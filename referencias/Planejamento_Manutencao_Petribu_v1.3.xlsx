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Claude/02_Templates_Vector/APP Manutenção/Petribú/"/>
    </mc:Choice>
  </mc:AlternateContent>
  <xr:revisionPtr revIDLastSave="1" documentId="11_E4EFF403ADDA88629186E3DFBD19932132C4345F" xr6:coauthVersionLast="47" xr6:coauthVersionMax="47" xr10:uidLastSave="{6B250388-E826-4246-97B1-65A1724F7F93}"/>
  <bookViews>
    <workbookView xWindow="-103" yWindow="-103" windowWidth="24892" windowHeight="14914" tabRatio="500" firstSheet="3" activeTab="9" xr2:uid="{00000000-000D-0000-FFFF-FFFF00000000}"/>
  </bookViews>
  <sheets>
    <sheet name="Menu" sheetId="1" r:id="rId1"/>
    <sheet name="Leia-me" sheetId="2" r:id="rId2"/>
    <sheet name="Calibração_OS" sheetId="3" r:id="rId3"/>
    <sheet name="Premissas" sheetId="4" r:id="rId4"/>
    <sheet name="Frota" sheetId="5" r:id="rId5"/>
    <sheet name="Pessoas" sheetId="6" r:id="rId6"/>
    <sheet name="Checklist" sheetId="7" r:id="rId7"/>
    <sheet name="Cronograma" sheetId="8" r:id="rId8"/>
    <sheet name="Cronograma_Ativos" sheetId="9" r:id="rId9"/>
    <sheet name="Agenda" sheetId="10" r:id="rId10"/>
    <sheet name="Mapa_Preventivas" sheetId="11" r:id="rId11"/>
    <sheet name="Plan_Prev" sheetId="12" r:id="rId12"/>
    <sheet name="Plan_Corr" sheetId="13" r:id="rId13"/>
    <sheet name="Disponibilidade" sheetId="14" r:id="rId14"/>
    <sheet name="Recursos" sheetId="15" r:id="rId15"/>
    <sheet name="Insumos" sheetId="16" r:id="rId16"/>
    <sheet name="Saving" sheetId="17" r:id="rId17"/>
    <sheet name="Resumo" sheetId="18" r:id="rId18"/>
    <sheet name="Semanas" sheetId="19" r:id="rId19"/>
    <sheet name="Cron_Uso" sheetId="20" r:id="rId20"/>
    <sheet name="Aux_HH" sheetId="21" r:id="rId21"/>
    <sheet name="Eventos" sheetId="22" r:id="rId22"/>
  </sheets>
  <definedNames>
    <definedName name="_xlnm._FilterDatabase" localSheetId="9" hidden="1">Agenda!$A$5:$L$2106</definedName>
    <definedName name="_xlnm._FilterDatabase" localSheetId="8" hidden="1">Cronograma_Ativos!$A$4:$BB$388</definedName>
    <definedName name="_xlnm._FilterDatabase" localSheetId="15" hidden="1">Insumos!$A$4:$H$32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67" i="22" l="1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J31" i="21"/>
  <c r="I31" i="21"/>
  <c r="H31" i="21"/>
  <c r="G31" i="21"/>
  <c r="F31" i="21"/>
  <c r="E31" i="21"/>
  <c r="D31" i="21"/>
  <c r="A31" i="21"/>
  <c r="J30" i="21"/>
  <c r="I30" i="21"/>
  <c r="H30" i="21"/>
  <c r="G30" i="21"/>
  <c r="F30" i="21"/>
  <c r="E30" i="21"/>
  <c r="D30" i="21"/>
  <c r="A30" i="21"/>
  <c r="J29" i="21"/>
  <c r="I29" i="21"/>
  <c r="H29" i="21"/>
  <c r="G29" i="21"/>
  <c r="F29" i="21"/>
  <c r="E29" i="21"/>
  <c r="D29" i="21"/>
  <c r="A29" i="21"/>
  <c r="J28" i="21"/>
  <c r="I28" i="21"/>
  <c r="H28" i="21"/>
  <c r="G28" i="21"/>
  <c r="F28" i="21"/>
  <c r="E28" i="21"/>
  <c r="D28" i="21"/>
  <c r="A28" i="21"/>
  <c r="J27" i="21"/>
  <c r="I27" i="21"/>
  <c r="H27" i="21"/>
  <c r="G27" i="21"/>
  <c r="F27" i="21"/>
  <c r="E27" i="21"/>
  <c r="D27" i="21"/>
  <c r="A27" i="21"/>
  <c r="J26" i="21"/>
  <c r="I26" i="21"/>
  <c r="H26" i="21"/>
  <c r="G26" i="21"/>
  <c r="F26" i="21"/>
  <c r="E26" i="21"/>
  <c r="D26" i="21"/>
  <c r="A26" i="21"/>
  <c r="J25" i="21"/>
  <c r="I25" i="21"/>
  <c r="H25" i="21"/>
  <c r="G25" i="21"/>
  <c r="F25" i="21"/>
  <c r="E25" i="21"/>
  <c r="D25" i="21"/>
  <c r="A25" i="21"/>
  <c r="J24" i="21"/>
  <c r="I24" i="21"/>
  <c r="H24" i="21"/>
  <c r="G24" i="21"/>
  <c r="F24" i="21"/>
  <c r="E24" i="21"/>
  <c r="D24" i="21"/>
  <c r="A24" i="21"/>
  <c r="J23" i="21"/>
  <c r="I23" i="21"/>
  <c r="H23" i="21"/>
  <c r="G23" i="21"/>
  <c r="F23" i="21"/>
  <c r="E23" i="21"/>
  <c r="D23" i="21"/>
  <c r="A23" i="21"/>
  <c r="J22" i="21"/>
  <c r="I22" i="21"/>
  <c r="H22" i="21"/>
  <c r="G22" i="21"/>
  <c r="F22" i="21"/>
  <c r="E22" i="21"/>
  <c r="D22" i="21"/>
  <c r="A22" i="21"/>
  <c r="J21" i="21"/>
  <c r="I21" i="21"/>
  <c r="H21" i="21"/>
  <c r="G21" i="21"/>
  <c r="F21" i="21"/>
  <c r="E21" i="21"/>
  <c r="D21" i="21"/>
  <c r="A21" i="21"/>
  <c r="J20" i="21"/>
  <c r="I20" i="21"/>
  <c r="H20" i="21"/>
  <c r="G20" i="21"/>
  <c r="F20" i="21"/>
  <c r="E20" i="21"/>
  <c r="D20" i="21"/>
  <c r="A20" i="21"/>
  <c r="J19" i="21"/>
  <c r="I19" i="21"/>
  <c r="H19" i="21"/>
  <c r="G19" i="21"/>
  <c r="F19" i="21"/>
  <c r="E19" i="21"/>
  <c r="D19" i="21"/>
  <c r="A19" i="21"/>
  <c r="J18" i="21"/>
  <c r="I18" i="21"/>
  <c r="H18" i="21"/>
  <c r="G18" i="21"/>
  <c r="F18" i="21"/>
  <c r="E18" i="21"/>
  <c r="D18" i="21"/>
  <c r="A18" i="21"/>
  <c r="J17" i="21"/>
  <c r="I17" i="21"/>
  <c r="H17" i="21"/>
  <c r="G17" i="21"/>
  <c r="F17" i="21"/>
  <c r="E17" i="21"/>
  <c r="D17" i="21"/>
  <c r="A17" i="21"/>
  <c r="J16" i="21"/>
  <c r="I16" i="21"/>
  <c r="H16" i="21"/>
  <c r="G16" i="21"/>
  <c r="F16" i="21"/>
  <c r="E16" i="21"/>
  <c r="D16" i="21"/>
  <c r="A16" i="21"/>
  <c r="J15" i="21"/>
  <c r="I15" i="21"/>
  <c r="H15" i="21"/>
  <c r="G15" i="21"/>
  <c r="F15" i="21"/>
  <c r="E15" i="21"/>
  <c r="D15" i="21"/>
  <c r="A15" i="21"/>
  <c r="J14" i="21"/>
  <c r="I14" i="21"/>
  <c r="H14" i="21"/>
  <c r="G14" i="21"/>
  <c r="F14" i="21"/>
  <c r="E14" i="21"/>
  <c r="D14" i="21"/>
  <c r="A14" i="21"/>
  <c r="J13" i="21"/>
  <c r="I13" i="21"/>
  <c r="H13" i="21"/>
  <c r="G13" i="21"/>
  <c r="F13" i="21"/>
  <c r="E13" i="21"/>
  <c r="D13" i="21"/>
  <c r="A13" i="21"/>
  <c r="J12" i="21"/>
  <c r="I12" i="21"/>
  <c r="H12" i="21"/>
  <c r="G12" i="21"/>
  <c r="F12" i="21"/>
  <c r="E12" i="21"/>
  <c r="D12" i="21"/>
  <c r="A12" i="21"/>
  <c r="J11" i="21"/>
  <c r="I11" i="21"/>
  <c r="H11" i="21"/>
  <c r="G11" i="21"/>
  <c r="F11" i="21"/>
  <c r="E11" i="21"/>
  <c r="D11" i="21"/>
  <c r="A11" i="21"/>
  <c r="J10" i="21"/>
  <c r="I10" i="21"/>
  <c r="H10" i="21"/>
  <c r="G10" i="21"/>
  <c r="F10" i="21"/>
  <c r="E10" i="21"/>
  <c r="D10" i="21"/>
  <c r="A10" i="21"/>
  <c r="J9" i="21"/>
  <c r="I9" i="21"/>
  <c r="H9" i="21"/>
  <c r="G9" i="21"/>
  <c r="F9" i="21"/>
  <c r="E9" i="21"/>
  <c r="D9" i="21"/>
  <c r="A9" i="21"/>
  <c r="J8" i="21"/>
  <c r="I8" i="21"/>
  <c r="H8" i="21"/>
  <c r="G8" i="21"/>
  <c r="F8" i="21"/>
  <c r="E8" i="21"/>
  <c r="D8" i="21"/>
  <c r="A8" i="21"/>
  <c r="J7" i="21"/>
  <c r="I7" i="21"/>
  <c r="H7" i="21"/>
  <c r="G7" i="21"/>
  <c r="F7" i="21"/>
  <c r="E7" i="21"/>
  <c r="D7" i="21"/>
  <c r="A7" i="21"/>
  <c r="J6" i="21"/>
  <c r="I6" i="21"/>
  <c r="H6" i="21"/>
  <c r="G6" i="21"/>
  <c r="F6" i="21"/>
  <c r="E6" i="21"/>
  <c r="D6" i="21"/>
  <c r="A6" i="21"/>
  <c r="J5" i="21"/>
  <c r="I5" i="21"/>
  <c r="H5" i="21"/>
  <c r="G5" i="21"/>
  <c r="F5" i="21"/>
  <c r="E5" i="21"/>
  <c r="D5" i="21"/>
  <c r="A5" i="21"/>
  <c r="J4" i="21"/>
  <c r="I4" i="21"/>
  <c r="H4" i="21"/>
  <c r="G4" i="21"/>
  <c r="F4" i="21"/>
  <c r="E4" i="21"/>
  <c r="D4" i="21"/>
  <c r="A4" i="21"/>
  <c r="A11" i="20"/>
  <c r="A10" i="20"/>
  <c r="A9" i="20"/>
  <c r="A8" i="20"/>
  <c r="A7" i="20"/>
  <c r="A6" i="20"/>
  <c r="A5" i="20"/>
  <c r="B3" i="19"/>
  <c r="B12" i="18"/>
  <c r="B11" i="18"/>
  <c r="B4" i="18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M10" i="11"/>
  <c r="L10" i="11"/>
  <c r="K10" i="11"/>
  <c r="J10" i="11"/>
  <c r="I10" i="11"/>
  <c r="H10" i="11"/>
  <c r="G10" i="11"/>
  <c r="F10" i="11"/>
  <c r="E10" i="11"/>
  <c r="D10" i="11"/>
  <c r="C10" i="11"/>
  <c r="B10" i="11"/>
  <c r="N10" i="11" s="1"/>
  <c r="M9" i="11"/>
  <c r="L9" i="11"/>
  <c r="K9" i="11"/>
  <c r="J9" i="11"/>
  <c r="I9" i="11"/>
  <c r="H9" i="11"/>
  <c r="H11" i="11" s="1"/>
  <c r="G9" i="11"/>
  <c r="F9" i="11"/>
  <c r="E9" i="11"/>
  <c r="D9" i="11"/>
  <c r="C9" i="11"/>
  <c r="B9" i="11"/>
  <c r="M8" i="11"/>
  <c r="L8" i="11"/>
  <c r="K8" i="11"/>
  <c r="J8" i="11"/>
  <c r="I8" i="11"/>
  <c r="H8" i="11"/>
  <c r="G8" i="11"/>
  <c r="F8" i="11"/>
  <c r="E8" i="11"/>
  <c r="D8" i="11"/>
  <c r="C8" i="11"/>
  <c r="B8" i="11"/>
  <c r="N8" i="11" s="1"/>
  <c r="M7" i="11"/>
  <c r="L7" i="11"/>
  <c r="K7" i="11"/>
  <c r="J7" i="11"/>
  <c r="I7" i="11"/>
  <c r="H7" i="11"/>
  <c r="G7" i="11"/>
  <c r="F7" i="11"/>
  <c r="E7" i="11"/>
  <c r="D7" i="11"/>
  <c r="C7" i="11"/>
  <c r="B7" i="11"/>
  <c r="N7" i="11" s="1"/>
  <c r="M6" i="11"/>
  <c r="L6" i="11"/>
  <c r="K6" i="11"/>
  <c r="J6" i="11"/>
  <c r="I6" i="11"/>
  <c r="H6" i="11"/>
  <c r="G6" i="11"/>
  <c r="F6" i="11"/>
  <c r="E6" i="11"/>
  <c r="D6" i="11"/>
  <c r="C6" i="11"/>
  <c r="B6" i="11"/>
  <c r="N6" i="11" s="1"/>
  <c r="M5" i="11"/>
  <c r="L5" i="11"/>
  <c r="K5" i="11"/>
  <c r="J5" i="11"/>
  <c r="I5" i="11"/>
  <c r="H5" i="11"/>
  <c r="G5" i="11"/>
  <c r="F5" i="11"/>
  <c r="E5" i="11"/>
  <c r="D5" i="11"/>
  <c r="C5" i="11"/>
  <c r="B5" i="11"/>
  <c r="N5" i="11" s="1"/>
  <c r="M4" i="11"/>
  <c r="M11" i="11" s="1"/>
  <c r="L4" i="11"/>
  <c r="K4" i="11"/>
  <c r="K11" i="11" s="1"/>
  <c r="J4" i="11"/>
  <c r="J11" i="11" s="1"/>
  <c r="I4" i="11"/>
  <c r="I11" i="11" s="1"/>
  <c r="H4" i="11"/>
  <c r="G4" i="11"/>
  <c r="G11" i="11" s="1"/>
  <c r="F4" i="11"/>
  <c r="F11" i="11" s="1"/>
  <c r="E4" i="11"/>
  <c r="E11" i="11" s="1"/>
  <c r="D4" i="11"/>
  <c r="C4" i="11"/>
  <c r="C11" i="11" s="1"/>
  <c r="B4" i="11"/>
  <c r="L2106" i="10"/>
  <c r="L2105" i="10"/>
  <c r="L2104" i="10"/>
  <c r="L2103" i="10"/>
  <c r="J2103" i="10"/>
  <c r="L2102" i="10"/>
  <c r="L2101" i="10"/>
  <c r="L2100" i="10"/>
  <c r="L2099" i="10"/>
  <c r="J2099" i="10"/>
  <c r="L2098" i="10"/>
  <c r="L2097" i="10"/>
  <c r="L2096" i="10"/>
  <c r="L2095" i="10"/>
  <c r="J2095" i="10"/>
  <c r="L2094" i="10"/>
  <c r="L2093" i="10"/>
  <c r="L2092" i="10"/>
  <c r="L2091" i="10"/>
  <c r="J2091" i="10"/>
  <c r="L2090" i="10"/>
  <c r="L2089" i="10"/>
  <c r="L2088" i="10"/>
  <c r="L2087" i="10"/>
  <c r="J2087" i="10"/>
  <c r="L2086" i="10"/>
  <c r="L2085" i="10"/>
  <c r="L2084" i="10"/>
  <c r="L2083" i="10"/>
  <c r="J2083" i="10"/>
  <c r="L2082" i="10"/>
  <c r="L2081" i="10"/>
  <c r="L2080" i="10"/>
  <c r="L2079" i="10"/>
  <c r="J2079" i="10"/>
  <c r="L2078" i="10"/>
  <c r="L2077" i="10"/>
  <c r="L2076" i="10"/>
  <c r="L2075" i="10"/>
  <c r="J2075" i="10"/>
  <c r="L2074" i="10"/>
  <c r="L2073" i="10"/>
  <c r="L2072" i="10"/>
  <c r="L2071" i="10"/>
  <c r="J2071" i="10"/>
  <c r="L2070" i="10"/>
  <c r="L2069" i="10"/>
  <c r="L2068" i="10"/>
  <c r="L2067" i="10"/>
  <c r="J2067" i="10"/>
  <c r="L2066" i="10"/>
  <c r="L2065" i="10"/>
  <c r="L2064" i="10"/>
  <c r="L2063" i="10"/>
  <c r="J2063" i="10"/>
  <c r="L2062" i="10"/>
  <c r="L2061" i="10"/>
  <c r="L2060" i="10"/>
  <c r="L2059" i="10"/>
  <c r="J2059" i="10"/>
  <c r="L2058" i="10"/>
  <c r="L2057" i="10"/>
  <c r="J2057" i="10"/>
  <c r="L2056" i="10"/>
  <c r="L2055" i="10"/>
  <c r="J2055" i="10"/>
  <c r="L2054" i="10"/>
  <c r="L2053" i="10"/>
  <c r="J2053" i="10"/>
  <c r="L2052" i="10"/>
  <c r="L2051" i="10"/>
  <c r="J2051" i="10"/>
  <c r="L2050" i="10"/>
  <c r="L2049" i="10"/>
  <c r="J2049" i="10"/>
  <c r="L2048" i="10"/>
  <c r="L2047" i="10"/>
  <c r="J2047" i="10"/>
  <c r="L2046" i="10"/>
  <c r="L2045" i="10"/>
  <c r="J2045" i="10"/>
  <c r="L2044" i="10"/>
  <c r="J2044" i="10"/>
  <c r="L2043" i="10"/>
  <c r="J2043" i="10"/>
  <c r="L2042" i="10"/>
  <c r="L2041" i="10"/>
  <c r="J2041" i="10"/>
  <c r="L2040" i="10"/>
  <c r="J2040" i="10"/>
  <c r="L2039" i="10"/>
  <c r="J2039" i="10"/>
  <c r="L2038" i="10"/>
  <c r="L2037" i="10"/>
  <c r="J2037" i="10"/>
  <c r="L2036" i="10"/>
  <c r="J2036" i="10"/>
  <c r="L2035" i="10"/>
  <c r="J2035" i="10"/>
  <c r="L2034" i="10"/>
  <c r="L2033" i="10"/>
  <c r="J2033" i="10"/>
  <c r="L2032" i="10"/>
  <c r="J2032" i="10"/>
  <c r="L2031" i="10"/>
  <c r="J2031" i="10"/>
  <c r="L2030" i="10"/>
  <c r="L2029" i="10"/>
  <c r="J2029" i="10"/>
  <c r="L2028" i="10"/>
  <c r="J2028" i="10"/>
  <c r="L2027" i="10"/>
  <c r="J2027" i="10"/>
  <c r="L2026" i="10"/>
  <c r="L2025" i="10"/>
  <c r="J2025" i="10"/>
  <c r="L2024" i="10"/>
  <c r="J2024" i="10"/>
  <c r="L2023" i="10"/>
  <c r="J2023" i="10"/>
  <c r="L2022" i="10"/>
  <c r="L2021" i="10"/>
  <c r="J2021" i="10"/>
  <c r="L2020" i="10"/>
  <c r="J2020" i="10"/>
  <c r="L2019" i="10"/>
  <c r="J2019" i="10"/>
  <c r="L2018" i="10"/>
  <c r="L2017" i="10"/>
  <c r="J2017" i="10"/>
  <c r="L2016" i="10"/>
  <c r="J2016" i="10"/>
  <c r="L2015" i="10"/>
  <c r="J2015" i="10"/>
  <c r="L2014" i="10"/>
  <c r="L2013" i="10"/>
  <c r="J2013" i="10"/>
  <c r="L2012" i="10"/>
  <c r="J2012" i="10"/>
  <c r="L2011" i="10"/>
  <c r="J2011" i="10"/>
  <c r="L2010" i="10"/>
  <c r="L2009" i="10"/>
  <c r="J2009" i="10"/>
  <c r="L2008" i="10"/>
  <c r="J2008" i="10"/>
  <c r="L2007" i="10"/>
  <c r="J2007" i="10"/>
  <c r="L2006" i="10"/>
  <c r="L2005" i="10"/>
  <c r="J2005" i="10"/>
  <c r="L2004" i="10"/>
  <c r="J2004" i="10"/>
  <c r="L2003" i="10"/>
  <c r="J2003" i="10"/>
  <c r="L2002" i="10"/>
  <c r="L2001" i="10"/>
  <c r="J2001" i="10"/>
  <c r="L2000" i="10"/>
  <c r="J2000" i="10"/>
  <c r="L1999" i="10"/>
  <c r="J1999" i="10"/>
  <c r="L1998" i="10"/>
  <c r="L1997" i="10"/>
  <c r="J1997" i="10"/>
  <c r="L1996" i="10"/>
  <c r="J1996" i="10"/>
  <c r="L1995" i="10"/>
  <c r="J1995" i="10"/>
  <c r="L1994" i="10"/>
  <c r="L1993" i="10"/>
  <c r="J1993" i="10"/>
  <c r="L1992" i="10"/>
  <c r="J1992" i="10"/>
  <c r="L1991" i="10"/>
  <c r="J1991" i="10"/>
  <c r="L1990" i="10"/>
  <c r="L1989" i="10"/>
  <c r="J1989" i="10"/>
  <c r="L1988" i="10"/>
  <c r="J1988" i="10"/>
  <c r="L1987" i="10"/>
  <c r="J1987" i="10"/>
  <c r="L1986" i="10"/>
  <c r="L1985" i="10"/>
  <c r="J1985" i="10"/>
  <c r="L1984" i="10"/>
  <c r="J1984" i="10"/>
  <c r="L1983" i="10"/>
  <c r="J1983" i="10"/>
  <c r="L1982" i="10"/>
  <c r="L1981" i="10"/>
  <c r="J1981" i="10"/>
  <c r="L1980" i="10"/>
  <c r="J1980" i="10"/>
  <c r="L1979" i="10"/>
  <c r="J1979" i="10"/>
  <c r="L1978" i="10"/>
  <c r="L1977" i="10"/>
  <c r="J1977" i="10"/>
  <c r="L1976" i="10"/>
  <c r="J1976" i="10"/>
  <c r="L1975" i="10"/>
  <c r="J1975" i="10"/>
  <c r="L1974" i="10"/>
  <c r="L1973" i="10"/>
  <c r="J1973" i="10"/>
  <c r="L1972" i="10"/>
  <c r="J1972" i="10"/>
  <c r="L1971" i="10"/>
  <c r="J1971" i="10"/>
  <c r="L1970" i="10"/>
  <c r="L1969" i="10"/>
  <c r="J1969" i="10"/>
  <c r="L1968" i="10"/>
  <c r="J1968" i="10"/>
  <c r="L1967" i="10"/>
  <c r="J1967" i="10"/>
  <c r="L1966" i="10"/>
  <c r="L1965" i="10"/>
  <c r="J1965" i="10"/>
  <c r="L1964" i="10"/>
  <c r="J1964" i="10"/>
  <c r="L1963" i="10"/>
  <c r="J1963" i="10"/>
  <c r="L1962" i="10"/>
  <c r="L1961" i="10"/>
  <c r="J1961" i="10"/>
  <c r="L1960" i="10"/>
  <c r="J1960" i="10"/>
  <c r="L1959" i="10"/>
  <c r="J1959" i="10"/>
  <c r="L1958" i="10"/>
  <c r="L1957" i="10"/>
  <c r="J1957" i="10"/>
  <c r="L1956" i="10"/>
  <c r="J1956" i="10"/>
  <c r="L1955" i="10"/>
  <c r="J1955" i="10"/>
  <c r="L1954" i="10"/>
  <c r="L1953" i="10"/>
  <c r="J1953" i="10"/>
  <c r="L1952" i="10"/>
  <c r="J1952" i="10"/>
  <c r="L1951" i="10"/>
  <c r="J1951" i="10"/>
  <c r="L1950" i="10"/>
  <c r="L1949" i="10"/>
  <c r="J1949" i="10"/>
  <c r="L1948" i="10"/>
  <c r="J1948" i="10"/>
  <c r="L1947" i="10"/>
  <c r="J1947" i="10"/>
  <c r="L1946" i="10"/>
  <c r="L1945" i="10"/>
  <c r="J1945" i="10"/>
  <c r="L1944" i="10"/>
  <c r="J1944" i="10"/>
  <c r="L1943" i="10"/>
  <c r="J1943" i="10"/>
  <c r="L1942" i="10"/>
  <c r="L1941" i="10"/>
  <c r="J1941" i="10"/>
  <c r="L1940" i="10"/>
  <c r="J1940" i="10"/>
  <c r="L1939" i="10"/>
  <c r="J1939" i="10"/>
  <c r="L1938" i="10"/>
  <c r="L1937" i="10"/>
  <c r="J1937" i="10"/>
  <c r="L1936" i="10"/>
  <c r="J1936" i="10"/>
  <c r="L1935" i="10"/>
  <c r="J1935" i="10"/>
  <c r="L1934" i="10"/>
  <c r="L1933" i="10"/>
  <c r="J1933" i="10"/>
  <c r="L1932" i="10"/>
  <c r="J1932" i="10"/>
  <c r="L1931" i="10"/>
  <c r="J1931" i="10"/>
  <c r="L1930" i="10"/>
  <c r="L1929" i="10"/>
  <c r="J1929" i="10"/>
  <c r="L1928" i="10"/>
  <c r="J1928" i="10"/>
  <c r="L1927" i="10"/>
  <c r="J1927" i="10"/>
  <c r="L1926" i="10"/>
  <c r="L1925" i="10"/>
  <c r="J1925" i="10"/>
  <c r="L1924" i="10"/>
  <c r="J1924" i="10"/>
  <c r="L1923" i="10"/>
  <c r="J1923" i="10"/>
  <c r="L1922" i="10"/>
  <c r="L1921" i="10"/>
  <c r="J1921" i="10"/>
  <c r="L1920" i="10"/>
  <c r="J1920" i="10"/>
  <c r="L1919" i="10"/>
  <c r="J1919" i="10"/>
  <c r="L1918" i="10"/>
  <c r="L1917" i="10"/>
  <c r="J1917" i="10"/>
  <c r="L1916" i="10"/>
  <c r="J1916" i="10"/>
  <c r="L1915" i="10"/>
  <c r="J1915" i="10"/>
  <c r="L1914" i="10"/>
  <c r="L1913" i="10"/>
  <c r="J1913" i="10"/>
  <c r="L1912" i="10"/>
  <c r="J1912" i="10"/>
  <c r="L1911" i="10"/>
  <c r="J1911" i="10"/>
  <c r="L1910" i="10"/>
  <c r="L1909" i="10"/>
  <c r="J1909" i="10"/>
  <c r="L1908" i="10"/>
  <c r="J1908" i="10"/>
  <c r="L1907" i="10"/>
  <c r="J1907" i="10"/>
  <c r="L1906" i="10"/>
  <c r="L1905" i="10"/>
  <c r="J1905" i="10"/>
  <c r="L1904" i="10"/>
  <c r="J1904" i="10"/>
  <c r="L1903" i="10"/>
  <c r="J1903" i="10"/>
  <c r="L1902" i="10"/>
  <c r="L1901" i="10"/>
  <c r="J1901" i="10"/>
  <c r="L1900" i="10"/>
  <c r="J1900" i="10"/>
  <c r="L1899" i="10"/>
  <c r="J1899" i="10"/>
  <c r="L1898" i="10"/>
  <c r="L1897" i="10"/>
  <c r="J1897" i="10"/>
  <c r="L1896" i="10"/>
  <c r="J1896" i="10"/>
  <c r="L1895" i="10"/>
  <c r="J1895" i="10"/>
  <c r="L1894" i="10"/>
  <c r="L1893" i="10"/>
  <c r="J1893" i="10"/>
  <c r="L1892" i="10"/>
  <c r="J1892" i="10"/>
  <c r="L1891" i="10"/>
  <c r="J1891" i="10"/>
  <c r="L1890" i="10"/>
  <c r="L1889" i="10"/>
  <c r="J1889" i="10"/>
  <c r="L1888" i="10"/>
  <c r="J1888" i="10"/>
  <c r="L1887" i="10"/>
  <c r="J1887" i="10"/>
  <c r="L1886" i="10"/>
  <c r="L1885" i="10"/>
  <c r="J1885" i="10"/>
  <c r="L1884" i="10"/>
  <c r="J1884" i="10"/>
  <c r="L1883" i="10"/>
  <c r="J1883" i="10"/>
  <c r="L1882" i="10"/>
  <c r="L1881" i="10"/>
  <c r="J1881" i="10"/>
  <c r="L1880" i="10"/>
  <c r="J1880" i="10"/>
  <c r="L1879" i="10"/>
  <c r="J1879" i="10"/>
  <c r="L1878" i="10"/>
  <c r="L1877" i="10"/>
  <c r="J1877" i="10"/>
  <c r="L1876" i="10"/>
  <c r="J1876" i="10"/>
  <c r="L1875" i="10"/>
  <c r="J1875" i="10"/>
  <c r="L1874" i="10"/>
  <c r="L1873" i="10"/>
  <c r="J1873" i="10"/>
  <c r="L1872" i="10"/>
  <c r="J1872" i="10"/>
  <c r="L1871" i="10"/>
  <c r="J1871" i="10"/>
  <c r="L1870" i="10"/>
  <c r="L1869" i="10"/>
  <c r="J1869" i="10"/>
  <c r="L1868" i="10"/>
  <c r="J1868" i="10"/>
  <c r="L1867" i="10"/>
  <c r="J1867" i="10"/>
  <c r="L1866" i="10"/>
  <c r="L1865" i="10"/>
  <c r="J1865" i="10"/>
  <c r="L1864" i="10"/>
  <c r="J1864" i="10"/>
  <c r="L1863" i="10"/>
  <c r="J1863" i="10"/>
  <c r="L1862" i="10"/>
  <c r="L1861" i="10"/>
  <c r="J1861" i="10"/>
  <c r="L1860" i="10"/>
  <c r="J1860" i="10"/>
  <c r="L1859" i="10"/>
  <c r="J1859" i="10"/>
  <c r="L1858" i="10"/>
  <c r="L1857" i="10"/>
  <c r="J1857" i="10"/>
  <c r="L1856" i="10"/>
  <c r="J1856" i="10"/>
  <c r="L1855" i="10"/>
  <c r="J1855" i="10"/>
  <c r="L1854" i="10"/>
  <c r="J1854" i="10"/>
  <c r="L1853" i="10"/>
  <c r="J1853" i="10"/>
  <c r="L1852" i="10"/>
  <c r="J1852" i="10"/>
  <c r="L1851" i="10"/>
  <c r="J1851" i="10"/>
  <c r="L1850" i="10"/>
  <c r="J1850" i="10"/>
  <c r="L1849" i="10"/>
  <c r="J1849" i="10"/>
  <c r="L1848" i="10"/>
  <c r="J1848" i="10"/>
  <c r="L1847" i="10"/>
  <c r="J1847" i="10"/>
  <c r="L1846" i="10"/>
  <c r="J1846" i="10"/>
  <c r="L1845" i="10"/>
  <c r="J1845" i="10"/>
  <c r="L1844" i="10"/>
  <c r="J1844" i="10"/>
  <c r="L1843" i="10"/>
  <c r="J1843" i="10"/>
  <c r="L1842" i="10"/>
  <c r="J1842" i="10"/>
  <c r="L1841" i="10"/>
  <c r="J1841" i="10"/>
  <c r="L1840" i="10"/>
  <c r="J1840" i="10"/>
  <c r="L1839" i="10"/>
  <c r="J1839" i="10"/>
  <c r="L1838" i="10"/>
  <c r="J1838" i="10"/>
  <c r="L1837" i="10"/>
  <c r="J1837" i="10"/>
  <c r="L1836" i="10"/>
  <c r="J1836" i="10"/>
  <c r="L1835" i="10"/>
  <c r="J1835" i="10"/>
  <c r="L1834" i="10"/>
  <c r="J1834" i="10"/>
  <c r="L1833" i="10"/>
  <c r="J1833" i="10"/>
  <c r="L1832" i="10"/>
  <c r="J1832" i="10"/>
  <c r="L1831" i="10"/>
  <c r="J1831" i="10"/>
  <c r="L1830" i="10"/>
  <c r="J1830" i="10"/>
  <c r="L1829" i="10"/>
  <c r="J1829" i="10"/>
  <c r="L1828" i="10"/>
  <c r="J1828" i="10"/>
  <c r="L1827" i="10"/>
  <c r="J1827" i="10"/>
  <c r="L1826" i="10"/>
  <c r="J1826" i="10"/>
  <c r="L1825" i="10"/>
  <c r="J1825" i="10"/>
  <c r="L1824" i="10"/>
  <c r="J1824" i="10"/>
  <c r="L1823" i="10"/>
  <c r="J1823" i="10"/>
  <c r="L1822" i="10"/>
  <c r="J1822" i="10"/>
  <c r="L1821" i="10"/>
  <c r="J1821" i="10"/>
  <c r="L1820" i="10"/>
  <c r="J1820" i="10"/>
  <c r="L1819" i="10"/>
  <c r="J1819" i="10"/>
  <c r="L1818" i="10"/>
  <c r="J1818" i="10"/>
  <c r="L1817" i="10"/>
  <c r="J1817" i="10"/>
  <c r="L1816" i="10"/>
  <c r="J1816" i="10"/>
  <c r="L1815" i="10"/>
  <c r="J1815" i="10"/>
  <c r="L1814" i="10"/>
  <c r="J1814" i="10"/>
  <c r="L1813" i="10"/>
  <c r="J1813" i="10"/>
  <c r="L1812" i="10"/>
  <c r="J1812" i="10"/>
  <c r="L1811" i="10"/>
  <c r="J1811" i="10"/>
  <c r="L1810" i="10"/>
  <c r="J1810" i="10"/>
  <c r="L1809" i="10"/>
  <c r="J1809" i="10"/>
  <c r="L1808" i="10"/>
  <c r="J1808" i="10"/>
  <c r="L1807" i="10"/>
  <c r="J1807" i="10"/>
  <c r="L1806" i="10"/>
  <c r="J1806" i="10"/>
  <c r="L1805" i="10"/>
  <c r="J1805" i="10"/>
  <c r="L1804" i="10"/>
  <c r="J1804" i="10"/>
  <c r="L1803" i="10"/>
  <c r="J1803" i="10"/>
  <c r="L1802" i="10"/>
  <c r="J1802" i="10"/>
  <c r="L1801" i="10"/>
  <c r="J1801" i="10"/>
  <c r="L1800" i="10"/>
  <c r="J1800" i="10"/>
  <c r="L1799" i="10"/>
  <c r="J1799" i="10"/>
  <c r="L1798" i="10"/>
  <c r="J1798" i="10"/>
  <c r="L1797" i="10"/>
  <c r="J1797" i="10"/>
  <c r="L1796" i="10"/>
  <c r="J1796" i="10"/>
  <c r="L1795" i="10"/>
  <c r="J1795" i="10"/>
  <c r="L1794" i="10"/>
  <c r="J1794" i="10"/>
  <c r="L1793" i="10"/>
  <c r="J1793" i="10"/>
  <c r="L1792" i="10"/>
  <c r="J1792" i="10"/>
  <c r="L1791" i="10"/>
  <c r="J1791" i="10"/>
  <c r="L1790" i="10"/>
  <c r="J1790" i="10"/>
  <c r="L1789" i="10"/>
  <c r="J1789" i="10"/>
  <c r="L1788" i="10"/>
  <c r="J1788" i="10"/>
  <c r="L1787" i="10"/>
  <c r="J1787" i="10"/>
  <c r="L1786" i="10"/>
  <c r="J1786" i="10"/>
  <c r="L1785" i="10"/>
  <c r="J1785" i="10"/>
  <c r="L1784" i="10"/>
  <c r="J1784" i="10"/>
  <c r="L1783" i="10"/>
  <c r="J1783" i="10"/>
  <c r="L1782" i="10"/>
  <c r="J1782" i="10"/>
  <c r="L1781" i="10"/>
  <c r="J1781" i="10"/>
  <c r="L1780" i="10"/>
  <c r="J1780" i="10"/>
  <c r="L1779" i="10"/>
  <c r="J1779" i="10"/>
  <c r="L1778" i="10"/>
  <c r="J1778" i="10"/>
  <c r="L1777" i="10"/>
  <c r="J1777" i="10"/>
  <c r="L1776" i="10"/>
  <c r="J1776" i="10"/>
  <c r="L1775" i="10"/>
  <c r="J1775" i="10"/>
  <c r="L1774" i="10"/>
  <c r="J1774" i="10"/>
  <c r="L1773" i="10"/>
  <c r="J1773" i="10"/>
  <c r="L1772" i="10"/>
  <c r="J1772" i="10"/>
  <c r="L1771" i="10"/>
  <c r="J1771" i="10"/>
  <c r="L1770" i="10"/>
  <c r="J1770" i="10"/>
  <c r="L1769" i="10"/>
  <c r="J1769" i="10"/>
  <c r="L1768" i="10"/>
  <c r="J1768" i="10"/>
  <c r="L1767" i="10"/>
  <c r="J1767" i="10"/>
  <c r="L1766" i="10"/>
  <c r="J1766" i="10"/>
  <c r="L1765" i="10"/>
  <c r="J1765" i="10"/>
  <c r="L1764" i="10"/>
  <c r="J1764" i="10"/>
  <c r="L1763" i="10"/>
  <c r="J1763" i="10"/>
  <c r="L1762" i="10"/>
  <c r="J1762" i="10"/>
  <c r="L1761" i="10"/>
  <c r="J1761" i="10"/>
  <c r="L1760" i="10"/>
  <c r="J1760" i="10"/>
  <c r="L1759" i="10"/>
  <c r="J1759" i="10"/>
  <c r="L1758" i="10"/>
  <c r="J1758" i="10"/>
  <c r="L1757" i="10"/>
  <c r="J1757" i="10"/>
  <c r="L1756" i="10"/>
  <c r="J1756" i="10"/>
  <c r="L1755" i="10"/>
  <c r="J1755" i="10"/>
  <c r="L1754" i="10"/>
  <c r="J1754" i="10"/>
  <c r="L1753" i="10"/>
  <c r="J1753" i="10"/>
  <c r="L1752" i="10"/>
  <c r="J1752" i="10"/>
  <c r="L1751" i="10"/>
  <c r="J1751" i="10"/>
  <c r="L1750" i="10"/>
  <c r="J1750" i="10"/>
  <c r="L1749" i="10"/>
  <c r="J1749" i="10"/>
  <c r="L1748" i="10"/>
  <c r="J1748" i="10"/>
  <c r="L1747" i="10"/>
  <c r="J1747" i="10"/>
  <c r="L1746" i="10"/>
  <c r="J1746" i="10"/>
  <c r="L1745" i="10"/>
  <c r="J1745" i="10"/>
  <c r="L1744" i="10"/>
  <c r="J1744" i="10"/>
  <c r="L1743" i="10"/>
  <c r="J1743" i="10"/>
  <c r="L1742" i="10"/>
  <c r="J1742" i="10"/>
  <c r="L1741" i="10"/>
  <c r="J1741" i="10"/>
  <c r="L1740" i="10"/>
  <c r="J1740" i="10"/>
  <c r="L1739" i="10"/>
  <c r="J1739" i="10"/>
  <c r="L1738" i="10"/>
  <c r="J1738" i="10"/>
  <c r="L1737" i="10"/>
  <c r="J1737" i="10"/>
  <c r="L1736" i="10"/>
  <c r="J1736" i="10"/>
  <c r="L1735" i="10"/>
  <c r="J1735" i="10"/>
  <c r="L1734" i="10"/>
  <c r="J1734" i="10"/>
  <c r="L1733" i="10"/>
  <c r="J1733" i="10"/>
  <c r="L1732" i="10"/>
  <c r="J1732" i="10"/>
  <c r="L1731" i="10"/>
  <c r="J1731" i="10"/>
  <c r="L1730" i="10"/>
  <c r="J1730" i="10"/>
  <c r="L1729" i="10"/>
  <c r="J1729" i="10"/>
  <c r="L1728" i="10"/>
  <c r="J1728" i="10"/>
  <c r="L1727" i="10"/>
  <c r="J1727" i="10"/>
  <c r="L1726" i="10"/>
  <c r="J1726" i="10"/>
  <c r="L1725" i="10"/>
  <c r="J1725" i="10"/>
  <c r="L1724" i="10"/>
  <c r="J1724" i="10"/>
  <c r="L1723" i="10"/>
  <c r="J1723" i="10"/>
  <c r="L1722" i="10"/>
  <c r="J1722" i="10"/>
  <c r="L1721" i="10"/>
  <c r="J1721" i="10"/>
  <c r="L1720" i="10"/>
  <c r="J1720" i="10"/>
  <c r="L1719" i="10"/>
  <c r="J1719" i="10"/>
  <c r="L1718" i="10"/>
  <c r="J1718" i="10"/>
  <c r="L1717" i="10"/>
  <c r="J1717" i="10"/>
  <c r="L1716" i="10"/>
  <c r="J1716" i="10"/>
  <c r="L1715" i="10"/>
  <c r="J1715" i="10"/>
  <c r="L1714" i="10"/>
  <c r="J1714" i="10"/>
  <c r="L1713" i="10"/>
  <c r="J1713" i="10"/>
  <c r="L1712" i="10"/>
  <c r="J1712" i="10"/>
  <c r="L1711" i="10"/>
  <c r="J1711" i="10"/>
  <c r="L1710" i="10"/>
  <c r="J1710" i="10"/>
  <c r="L1709" i="10"/>
  <c r="J1709" i="10"/>
  <c r="L1708" i="10"/>
  <c r="J1708" i="10"/>
  <c r="L1707" i="10"/>
  <c r="J1707" i="10"/>
  <c r="L1706" i="10"/>
  <c r="J1706" i="10"/>
  <c r="L1705" i="10"/>
  <c r="J1705" i="10"/>
  <c r="L1704" i="10"/>
  <c r="J1704" i="10"/>
  <c r="L1703" i="10"/>
  <c r="J1703" i="10"/>
  <c r="L1702" i="10"/>
  <c r="J1702" i="10"/>
  <c r="L1701" i="10"/>
  <c r="J1701" i="10"/>
  <c r="L1700" i="10"/>
  <c r="J1700" i="10"/>
  <c r="L1699" i="10"/>
  <c r="J1699" i="10"/>
  <c r="L1698" i="10"/>
  <c r="J1698" i="10"/>
  <c r="L1697" i="10"/>
  <c r="J1697" i="10"/>
  <c r="L1696" i="10"/>
  <c r="J1696" i="10"/>
  <c r="L1695" i="10"/>
  <c r="J1695" i="10"/>
  <c r="L1694" i="10"/>
  <c r="J1694" i="10"/>
  <c r="L1693" i="10"/>
  <c r="J1693" i="10"/>
  <c r="L1692" i="10"/>
  <c r="J1692" i="10"/>
  <c r="L1691" i="10"/>
  <c r="J1691" i="10"/>
  <c r="L1690" i="10"/>
  <c r="J1690" i="10"/>
  <c r="L1689" i="10"/>
  <c r="J1689" i="10"/>
  <c r="L1688" i="10"/>
  <c r="J1688" i="10"/>
  <c r="L1687" i="10"/>
  <c r="J1687" i="10"/>
  <c r="L1686" i="10"/>
  <c r="J1686" i="10"/>
  <c r="L1685" i="10"/>
  <c r="J1685" i="10"/>
  <c r="L1684" i="10"/>
  <c r="J1684" i="10"/>
  <c r="L1683" i="10"/>
  <c r="J1683" i="10"/>
  <c r="L1682" i="10"/>
  <c r="J1682" i="10"/>
  <c r="L1681" i="10"/>
  <c r="J1681" i="10"/>
  <c r="L1680" i="10"/>
  <c r="J1680" i="10"/>
  <c r="L1679" i="10"/>
  <c r="J1679" i="10"/>
  <c r="L1678" i="10"/>
  <c r="J1678" i="10"/>
  <c r="L1677" i="10"/>
  <c r="J1677" i="10"/>
  <c r="L1676" i="10"/>
  <c r="J1676" i="10"/>
  <c r="L1675" i="10"/>
  <c r="J1675" i="10"/>
  <c r="L1674" i="10"/>
  <c r="J1674" i="10"/>
  <c r="L1673" i="10"/>
  <c r="J1673" i="10"/>
  <c r="L1672" i="10"/>
  <c r="J1672" i="10"/>
  <c r="L1671" i="10"/>
  <c r="J1671" i="10"/>
  <c r="L1670" i="10"/>
  <c r="J1670" i="10"/>
  <c r="L1669" i="10"/>
  <c r="J1669" i="10"/>
  <c r="L1668" i="10"/>
  <c r="J1668" i="10"/>
  <c r="L1667" i="10"/>
  <c r="J1667" i="10"/>
  <c r="L1666" i="10"/>
  <c r="J1666" i="10"/>
  <c r="L1665" i="10"/>
  <c r="J1665" i="10"/>
  <c r="L1664" i="10"/>
  <c r="J1664" i="10"/>
  <c r="L1663" i="10"/>
  <c r="J1663" i="10"/>
  <c r="L1662" i="10"/>
  <c r="J1662" i="10"/>
  <c r="L1661" i="10"/>
  <c r="J1661" i="10"/>
  <c r="L1660" i="10"/>
  <c r="J1660" i="10"/>
  <c r="L1659" i="10"/>
  <c r="J1659" i="10"/>
  <c r="L1658" i="10"/>
  <c r="J1658" i="10"/>
  <c r="L1657" i="10"/>
  <c r="J1657" i="10"/>
  <c r="L1656" i="10"/>
  <c r="J1656" i="10"/>
  <c r="L1655" i="10"/>
  <c r="J1655" i="10"/>
  <c r="L1654" i="10"/>
  <c r="J1654" i="10"/>
  <c r="L1653" i="10"/>
  <c r="J1653" i="10"/>
  <c r="L1652" i="10"/>
  <c r="J1652" i="10"/>
  <c r="L1651" i="10"/>
  <c r="J1651" i="10"/>
  <c r="L1650" i="10"/>
  <c r="J1650" i="10"/>
  <c r="L1649" i="10"/>
  <c r="J1649" i="10"/>
  <c r="L1648" i="10"/>
  <c r="J1648" i="10"/>
  <c r="L1647" i="10"/>
  <c r="J1647" i="10"/>
  <c r="L1646" i="10"/>
  <c r="J1646" i="10"/>
  <c r="L1645" i="10"/>
  <c r="J1645" i="10"/>
  <c r="L1644" i="10"/>
  <c r="J1644" i="10"/>
  <c r="L1643" i="10"/>
  <c r="J1643" i="10"/>
  <c r="L1642" i="10"/>
  <c r="J1642" i="10"/>
  <c r="L1641" i="10"/>
  <c r="J1641" i="10"/>
  <c r="L1640" i="10"/>
  <c r="J1640" i="10"/>
  <c r="L1639" i="10"/>
  <c r="J1639" i="10"/>
  <c r="L1638" i="10"/>
  <c r="J1638" i="10"/>
  <c r="L1637" i="10"/>
  <c r="J1637" i="10"/>
  <c r="L1636" i="10"/>
  <c r="J1636" i="10"/>
  <c r="L1635" i="10"/>
  <c r="J1635" i="10"/>
  <c r="L1634" i="10"/>
  <c r="J1634" i="10"/>
  <c r="L1633" i="10"/>
  <c r="J1633" i="10"/>
  <c r="L1632" i="10"/>
  <c r="J1632" i="10"/>
  <c r="L1631" i="10"/>
  <c r="J1631" i="10"/>
  <c r="L1630" i="10"/>
  <c r="J1630" i="10"/>
  <c r="L1629" i="10"/>
  <c r="J1629" i="10"/>
  <c r="L1628" i="10"/>
  <c r="J1628" i="10"/>
  <c r="L1627" i="10"/>
  <c r="J1627" i="10"/>
  <c r="L1626" i="10"/>
  <c r="J1626" i="10"/>
  <c r="L1625" i="10"/>
  <c r="J1625" i="10"/>
  <c r="L1624" i="10"/>
  <c r="J1624" i="10"/>
  <c r="L1623" i="10"/>
  <c r="J1623" i="10"/>
  <c r="L1622" i="10"/>
  <c r="J1622" i="10"/>
  <c r="L1621" i="10"/>
  <c r="J1621" i="10"/>
  <c r="L1620" i="10"/>
  <c r="J1620" i="10"/>
  <c r="L1619" i="10"/>
  <c r="J1619" i="10"/>
  <c r="L1618" i="10"/>
  <c r="J1618" i="10"/>
  <c r="L1617" i="10"/>
  <c r="J1617" i="10"/>
  <c r="L1616" i="10"/>
  <c r="J1616" i="10"/>
  <c r="L1615" i="10"/>
  <c r="J1615" i="10"/>
  <c r="L1614" i="10"/>
  <c r="J1614" i="10"/>
  <c r="L1613" i="10"/>
  <c r="J1613" i="10"/>
  <c r="L1612" i="10"/>
  <c r="J1612" i="10"/>
  <c r="L1611" i="10"/>
  <c r="J1611" i="10"/>
  <c r="L1610" i="10"/>
  <c r="J1610" i="10"/>
  <c r="L1609" i="10"/>
  <c r="J1609" i="10"/>
  <c r="L1608" i="10"/>
  <c r="J1608" i="10"/>
  <c r="L1607" i="10"/>
  <c r="J1607" i="10"/>
  <c r="L1606" i="10"/>
  <c r="J1606" i="10"/>
  <c r="L1605" i="10"/>
  <c r="J1605" i="10"/>
  <c r="L1604" i="10"/>
  <c r="J1604" i="10"/>
  <c r="L1603" i="10"/>
  <c r="J1603" i="10"/>
  <c r="L1602" i="10"/>
  <c r="J1602" i="10"/>
  <c r="L1601" i="10"/>
  <c r="J1601" i="10"/>
  <c r="L1600" i="10"/>
  <c r="J1600" i="10"/>
  <c r="L1599" i="10"/>
  <c r="J1599" i="10"/>
  <c r="L1598" i="10"/>
  <c r="J1598" i="10"/>
  <c r="L1597" i="10"/>
  <c r="J1597" i="10"/>
  <c r="L1596" i="10"/>
  <c r="J1596" i="10"/>
  <c r="L1595" i="10"/>
  <c r="J1595" i="10"/>
  <c r="L1594" i="10"/>
  <c r="J1594" i="10"/>
  <c r="L1593" i="10"/>
  <c r="J1593" i="10"/>
  <c r="L1592" i="10"/>
  <c r="J1592" i="10"/>
  <c r="L1591" i="10"/>
  <c r="J1591" i="10"/>
  <c r="L1590" i="10"/>
  <c r="J1590" i="10"/>
  <c r="L1589" i="10"/>
  <c r="J1589" i="10"/>
  <c r="L1588" i="10"/>
  <c r="J1588" i="10"/>
  <c r="L1587" i="10"/>
  <c r="J1587" i="10"/>
  <c r="L1586" i="10"/>
  <c r="J1586" i="10"/>
  <c r="L1585" i="10"/>
  <c r="J1585" i="10"/>
  <c r="L1584" i="10"/>
  <c r="J1584" i="10"/>
  <c r="L1583" i="10"/>
  <c r="J1583" i="10"/>
  <c r="L1582" i="10"/>
  <c r="J1582" i="10"/>
  <c r="L1581" i="10"/>
  <c r="J1581" i="10"/>
  <c r="L1580" i="10"/>
  <c r="J1580" i="10"/>
  <c r="L1579" i="10"/>
  <c r="J1579" i="10"/>
  <c r="L1578" i="10"/>
  <c r="J1578" i="10"/>
  <c r="L1577" i="10"/>
  <c r="J1577" i="10"/>
  <c r="L1576" i="10"/>
  <c r="J1576" i="10"/>
  <c r="L1575" i="10"/>
  <c r="J1575" i="10"/>
  <c r="L1574" i="10"/>
  <c r="J1574" i="10"/>
  <c r="L1573" i="10"/>
  <c r="J1573" i="10"/>
  <c r="L1572" i="10"/>
  <c r="J1572" i="10"/>
  <c r="L1571" i="10"/>
  <c r="J1571" i="10"/>
  <c r="L1570" i="10"/>
  <c r="J1570" i="10"/>
  <c r="L1569" i="10"/>
  <c r="J1569" i="10"/>
  <c r="L1568" i="10"/>
  <c r="J1568" i="10"/>
  <c r="L1567" i="10"/>
  <c r="J1567" i="10"/>
  <c r="L1566" i="10"/>
  <c r="J1566" i="10"/>
  <c r="L1565" i="10"/>
  <c r="J1565" i="10"/>
  <c r="L1564" i="10"/>
  <c r="J1564" i="10"/>
  <c r="L1563" i="10"/>
  <c r="J1563" i="10"/>
  <c r="L1562" i="10"/>
  <c r="J1562" i="10"/>
  <c r="L1561" i="10"/>
  <c r="J1561" i="10"/>
  <c r="L1560" i="10"/>
  <c r="J1560" i="10"/>
  <c r="L1559" i="10"/>
  <c r="J1559" i="10"/>
  <c r="L1558" i="10"/>
  <c r="J1558" i="10"/>
  <c r="L1557" i="10"/>
  <c r="J1557" i="10"/>
  <c r="L1556" i="10"/>
  <c r="J1556" i="10"/>
  <c r="L1555" i="10"/>
  <c r="J1555" i="10"/>
  <c r="L1554" i="10"/>
  <c r="J1554" i="10"/>
  <c r="L1553" i="10"/>
  <c r="J1553" i="10"/>
  <c r="L1552" i="10"/>
  <c r="J1552" i="10"/>
  <c r="L1551" i="10"/>
  <c r="J1551" i="10"/>
  <c r="L1550" i="10"/>
  <c r="J1550" i="10"/>
  <c r="L1549" i="10"/>
  <c r="J1549" i="10"/>
  <c r="L1548" i="10"/>
  <c r="J1548" i="10"/>
  <c r="L1547" i="10"/>
  <c r="J1547" i="10"/>
  <c r="L1546" i="10"/>
  <c r="J1546" i="10"/>
  <c r="L1545" i="10"/>
  <c r="J1545" i="10"/>
  <c r="L1544" i="10"/>
  <c r="J1544" i="10"/>
  <c r="L1543" i="10"/>
  <c r="J1543" i="10"/>
  <c r="L1542" i="10"/>
  <c r="J1542" i="10"/>
  <c r="L1541" i="10"/>
  <c r="J1541" i="10"/>
  <c r="L1540" i="10"/>
  <c r="J1540" i="10"/>
  <c r="L1539" i="10"/>
  <c r="J1539" i="10"/>
  <c r="L1538" i="10"/>
  <c r="J1538" i="10"/>
  <c r="L1537" i="10"/>
  <c r="J1537" i="10"/>
  <c r="L1536" i="10"/>
  <c r="J1536" i="10"/>
  <c r="L1535" i="10"/>
  <c r="J1535" i="10"/>
  <c r="L1534" i="10"/>
  <c r="J1534" i="10"/>
  <c r="L1533" i="10"/>
  <c r="J1533" i="10"/>
  <c r="L1532" i="10"/>
  <c r="J1532" i="10"/>
  <c r="L1531" i="10"/>
  <c r="J1531" i="10"/>
  <c r="L1530" i="10"/>
  <c r="J1530" i="10"/>
  <c r="L1529" i="10"/>
  <c r="J1529" i="10"/>
  <c r="L1528" i="10"/>
  <c r="J1528" i="10"/>
  <c r="L1527" i="10"/>
  <c r="J1527" i="10"/>
  <c r="L1526" i="10"/>
  <c r="J1526" i="10"/>
  <c r="L1525" i="10"/>
  <c r="J1525" i="10"/>
  <c r="L1524" i="10"/>
  <c r="J1524" i="10"/>
  <c r="L1523" i="10"/>
  <c r="J1523" i="10"/>
  <c r="L1522" i="10"/>
  <c r="J1522" i="10"/>
  <c r="L1521" i="10"/>
  <c r="J1521" i="10"/>
  <c r="L1520" i="10"/>
  <c r="J1520" i="10"/>
  <c r="L1519" i="10"/>
  <c r="J1519" i="10"/>
  <c r="L1518" i="10"/>
  <c r="J1518" i="10"/>
  <c r="L1517" i="10"/>
  <c r="J1517" i="10"/>
  <c r="L1516" i="10"/>
  <c r="J1516" i="10"/>
  <c r="L1515" i="10"/>
  <c r="J1515" i="10"/>
  <c r="L1514" i="10"/>
  <c r="J1514" i="10"/>
  <c r="L1513" i="10"/>
  <c r="J1513" i="10"/>
  <c r="L1512" i="10"/>
  <c r="J1512" i="10"/>
  <c r="L1511" i="10"/>
  <c r="J1511" i="10"/>
  <c r="L1510" i="10"/>
  <c r="J1510" i="10"/>
  <c r="L1509" i="10"/>
  <c r="J1509" i="10"/>
  <c r="L1508" i="10"/>
  <c r="J1508" i="10"/>
  <c r="L1507" i="10"/>
  <c r="J1507" i="10"/>
  <c r="L1506" i="10"/>
  <c r="J1506" i="10"/>
  <c r="L1505" i="10"/>
  <c r="J1505" i="10"/>
  <c r="L1504" i="10"/>
  <c r="J1504" i="10"/>
  <c r="L1503" i="10"/>
  <c r="J1503" i="10"/>
  <c r="L1502" i="10"/>
  <c r="J1502" i="10"/>
  <c r="L1501" i="10"/>
  <c r="J1501" i="10"/>
  <c r="L1500" i="10"/>
  <c r="J1500" i="10"/>
  <c r="L1499" i="10"/>
  <c r="J1499" i="10"/>
  <c r="L1498" i="10"/>
  <c r="J1498" i="10"/>
  <c r="L1497" i="10"/>
  <c r="J1497" i="10"/>
  <c r="L1496" i="10"/>
  <c r="J1496" i="10"/>
  <c r="L1495" i="10"/>
  <c r="J1495" i="10"/>
  <c r="L1494" i="10"/>
  <c r="J1494" i="10"/>
  <c r="L1493" i="10"/>
  <c r="J1493" i="10"/>
  <c r="L1492" i="10"/>
  <c r="J1492" i="10"/>
  <c r="L1491" i="10"/>
  <c r="J1491" i="10"/>
  <c r="L1490" i="10"/>
  <c r="J1490" i="10"/>
  <c r="L1489" i="10"/>
  <c r="J1489" i="10"/>
  <c r="L1488" i="10"/>
  <c r="J1488" i="10"/>
  <c r="L1487" i="10"/>
  <c r="J1487" i="10"/>
  <c r="L1486" i="10"/>
  <c r="J1486" i="10"/>
  <c r="L1485" i="10"/>
  <c r="J1485" i="10"/>
  <c r="L1484" i="10"/>
  <c r="J1484" i="10"/>
  <c r="L1483" i="10"/>
  <c r="J1483" i="10"/>
  <c r="L1482" i="10"/>
  <c r="J1482" i="10"/>
  <c r="L1481" i="10"/>
  <c r="J1481" i="10"/>
  <c r="L1480" i="10"/>
  <c r="J1480" i="10"/>
  <c r="L1479" i="10"/>
  <c r="J1479" i="10"/>
  <c r="L1478" i="10"/>
  <c r="J1478" i="10"/>
  <c r="L1477" i="10"/>
  <c r="J1477" i="10"/>
  <c r="L1476" i="10"/>
  <c r="J1476" i="10"/>
  <c r="L1475" i="10"/>
  <c r="J1475" i="10"/>
  <c r="L1474" i="10"/>
  <c r="J1474" i="10"/>
  <c r="L1473" i="10"/>
  <c r="J1473" i="10"/>
  <c r="L1472" i="10"/>
  <c r="J1472" i="10"/>
  <c r="L1471" i="10"/>
  <c r="J1471" i="10"/>
  <c r="L1470" i="10"/>
  <c r="J1470" i="10"/>
  <c r="L1469" i="10"/>
  <c r="J1469" i="10"/>
  <c r="L1468" i="10"/>
  <c r="J1468" i="10"/>
  <c r="L1467" i="10"/>
  <c r="J1467" i="10"/>
  <c r="L1466" i="10"/>
  <c r="J1466" i="10"/>
  <c r="L1465" i="10"/>
  <c r="J1465" i="10"/>
  <c r="L1464" i="10"/>
  <c r="J1464" i="10"/>
  <c r="L1463" i="10"/>
  <c r="J1463" i="10"/>
  <c r="L1462" i="10"/>
  <c r="J1462" i="10"/>
  <c r="L1461" i="10"/>
  <c r="J1461" i="10"/>
  <c r="L1460" i="10"/>
  <c r="J1460" i="10"/>
  <c r="L1459" i="10"/>
  <c r="J1459" i="10"/>
  <c r="L1458" i="10"/>
  <c r="J1458" i="10"/>
  <c r="L1457" i="10"/>
  <c r="J1457" i="10"/>
  <c r="L1456" i="10"/>
  <c r="J1456" i="10"/>
  <c r="L1455" i="10"/>
  <c r="J1455" i="10"/>
  <c r="L1454" i="10"/>
  <c r="J1454" i="10"/>
  <c r="L1453" i="10"/>
  <c r="J1453" i="10"/>
  <c r="L1452" i="10"/>
  <c r="J1452" i="10"/>
  <c r="L1451" i="10"/>
  <c r="J1451" i="10"/>
  <c r="L1450" i="10"/>
  <c r="J1450" i="10"/>
  <c r="L1449" i="10"/>
  <c r="J1449" i="10"/>
  <c r="L1448" i="10"/>
  <c r="J1448" i="10"/>
  <c r="L1447" i="10"/>
  <c r="J1447" i="10"/>
  <c r="L1446" i="10"/>
  <c r="J1446" i="10"/>
  <c r="L1445" i="10"/>
  <c r="J1445" i="10"/>
  <c r="L1444" i="10"/>
  <c r="J1444" i="10"/>
  <c r="L1443" i="10"/>
  <c r="J1443" i="10"/>
  <c r="L1442" i="10"/>
  <c r="J1442" i="10"/>
  <c r="L1441" i="10"/>
  <c r="J1441" i="10"/>
  <c r="L1440" i="10"/>
  <c r="J1440" i="10"/>
  <c r="L1439" i="10"/>
  <c r="J1439" i="10"/>
  <c r="L1438" i="10"/>
  <c r="J1438" i="10"/>
  <c r="L1437" i="10"/>
  <c r="J1437" i="10"/>
  <c r="L1436" i="10"/>
  <c r="J1436" i="10"/>
  <c r="L1435" i="10"/>
  <c r="J1435" i="10"/>
  <c r="L1434" i="10"/>
  <c r="J1434" i="10"/>
  <c r="L1433" i="10"/>
  <c r="J1433" i="10"/>
  <c r="L1432" i="10"/>
  <c r="J1432" i="10"/>
  <c r="L1431" i="10"/>
  <c r="J1431" i="10"/>
  <c r="L1430" i="10"/>
  <c r="J1430" i="10"/>
  <c r="L1429" i="10"/>
  <c r="J1429" i="10"/>
  <c r="L1428" i="10"/>
  <c r="J1428" i="10"/>
  <c r="L1427" i="10"/>
  <c r="J1427" i="10"/>
  <c r="L1426" i="10"/>
  <c r="J1426" i="10"/>
  <c r="L1425" i="10"/>
  <c r="J1425" i="10"/>
  <c r="L1424" i="10"/>
  <c r="J1424" i="10"/>
  <c r="L1423" i="10"/>
  <c r="J1423" i="10"/>
  <c r="L1422" i="10"/>
  <c r="J1422" i="10"/>
  <c r="L1421" i="10"/>
  <c r="J1421" i="10"/>
  <c r="L1420" i="10"/>
  <c r="J1420" i="10"/>
  <c r="L1419" i="10"/>
  <c r="J1419" i="10"/>
  <c r="L1418" i="10"/>
  <c r="J1418" i="10"/>
  <c r="L1417" i="10"/>
  <c r="J1417" i="10"/>
  <c r="L1416" i="10"/>
  <c r="J1416" i="10"/>
  <c r="L1415" i="10"/>
  <c r="J1415" i="10"/>
  <c r="L1414" i="10"/>
  <c r="J1414" i="10"/>
  <c r="L1413" i="10"/>
  <c r="J1413" i="10"/>
  <c r="L1412" i="10"/>
  <c r="J1412" i="10"/>
  <c r="L1411" i="10"/>
  <c r="J1411" i="10"/>
  <c r="L1410" i="10"/>
  <c r="J1410" i="10"/>
  <c r="L1409" i="10"/>
  <c r="J1409" i="10"/>
  <c r="L1408" i="10"/>
  <c r="J1408" i="10"/>
  <c r="L1407" i="10"/>
  <c r="J1407" i="10"/>
  <c r="L1406" i="10"/>
  <c r="J1406" i="10"/>
  <c r="L1405" i="10"/>
  <c r="J1405" i="10"/>
  <c r="L1404" i="10"/>
  <c r="J1404" i="10"/>
  <c r="L1403" i="10"/>
  <c r="J1403" i="10"/>
  <c r="L1402" i="10"/>
  <c r="J1402" i="10"/>
  <c r="L1401" i="10"/>
  <c r="J1401" i="10"/>
  <c r="L1400" i="10"/>
  <c r="J1400" i="10"/>
  <c r="L1399" i="10"/>
  <c r="J1399" i="10"/>
  <c r="L1398" i="10"/>
  <c r="J1398" i="10"/>
  <c r="L1397" i="10"/>
  <c r="J1397" i="10"/>
  <c r="L1396" i="10"/>
  <c r="J1396" i="10"/>
  <c r="L1395" i="10"/>
  <c r="J1395" i="10"/>
  <c r="L1394" i="10"/>
  <c r="J1394" i="10"/>
  <c r="L1393" i="10"/>
  <c r="J1393" i="10"/>
  <c r="L1392" i="10"/>
  <c r="J1392" i="10"/>
  <c r="L1391" i="10"/>
  <c r="J1391" i="10"/>
  <c r="L1390" i="10"/>
  <c r="J1390" i="10"/>
  <c r="L1389" i="10"/>
  <c r="J1389" i="10"/>
  <c r="L1388" i="10"/>
  <c r="J1388" i="10"/>
  <c r="L1387" i="10"/>
  <c r="J1387" i="10"/>
  <c r="L1386" i="10"/>
  <c r="J1386" i="10"/>
  <c r="L1385" i="10"/>
  <c r="J1385" i="10"/>
  <c r="L1384" i="10"/>
  <c r="J1384" i="10"/>
  <c r="L1383" i="10"/>
  <c r="J1383" i="10"/>
  <c r="L1382" i="10"/>
  <c r="J1382" i="10"/>
  <c r="L1381" i="10"/>
  <c r="J1381" i="10"/>
  <c r="L1380" i="10"/>
  <c r="J1380" i="10"/>
  <c r="L1379" i="10"/>
  <c r="J1379" i="10"/>
  <c r="L1378" i="10"/>
  <c r="J1378" i="10"/>
  <c r="L1377" i="10"/>
  <c r="J1377" i="10"/>
  <c r="L1376" i="10"/>
  <c r="J1376" i="10"/>
  <c r="L1375" i="10"/>
  <c r="J1375" i="10"/>
  <c r="L1374" i="10"/>
  <c r="J1374" i="10"/>
  <c r="L1373" i="10"/>
  <c r="J1373" i="10"/>
  <c r="L1372" i="10"/>
  <c r="J1372" i="10"/>
  <c r="L1371" i="10"/>
  <c r="J1371" i="10"/>
  <c r="L1370" i="10"/>
  <c r="J1370" i="10"/>
  <c r="L1369" i="10"/>
  <c r="J1369" i="10"/>
  <c r="L1368" i="10"/>
  <c r="J1368" i="10"/>
  <c r="L1367" i="10"/>
  <c r="J1367" i="10"/>
  <c r="L1366" i="10"/>
  <c r="J1366" i="10"/>
  <c r="L1365" i="10"/>
  <c r="J1365" i="10"/>
  <c r="L1364" i="10"/>
  <c r="J1364" i="10"/>
  <c r="L1363" i="10"/>
  <c r="J1363" i="10"/>
  <c r="L1362" i="10"/>
  <c r="J1362" i="10"/>
  <c r="L1361" i="10"/>
  <c r="J1361" i="10"/>
  <c r="L1360" i="10"/>
  <c r="J1360" i="10"/>
  <c r="L1359" i="10"/>
  <c r="J1359" i="10"/>
  <c r="L1358" i="10"/>
  <c r="J1358" i="10"/>
  <c r="L1357" i="10"/>
  <c r="J1357" i="10"/>
  <c r="L1356" i="10"/>
  <c r="J1356" i="10"/>
  <c r="L1355" i="10"/>
  <c r="J1355" i="10"/>
  <c r="L1354" i="10"/>
  <c r="J1354" i="10"/>
  <c r="L1353" i="10"/>
  <c r="J1353" i="10"/>
  <c r="L1352" i="10"/>
  <c r="J1352" i="10"/>
  <c r="L1351" i="10"/>
  <c r="J1351" i="10"/>
  <c r="L1350" i="10"/>
  <c r="J1350" i="10"/>
  <c r="L1349" i="10"/>
  <c r="J1349" i="10"/>
  <c r="L1348" i="10"/>
  <c r="J1348" i="10"/>
  <c r="L1347" i="10"/>
  <c r="J1347" i="10"/>
  <c r="L1346" i="10"/>
  <c r="J1346" i="10"/>
  <c r="L1345" i="10"/>
  <c r="J1345" i="10"/>
  <c r="L1344" i="10"/>
  <c r="J1344" i="10"/>
  <c r="L1343" i="10"/>
  <c r="J1343" i="10"/>
  <c r="L1342" i="10"/>
  <c r="J1342" i="10"/>
  <c r="L1341" i="10"/>
  <c r="J1341" i="10"/>
  <c r="L1340" i="10"/>
  <c r="J1340" i="10"/>
  <c r="L1339" i="10"/>
  <c r="J1339" i="10"/>
  <c r="L1338" i="10"/>
  <c r="J1338" i="10"/>
  <c r="L1337" i="10"/>
  <c r="J1337" i="10"/>
  <c r="L1336" i="10"/>
  <c r="J1336" i="10"/>
  <c r="L1335" i="10"/>
  <c r="J1335" i="10"/>
  <c r="L1334" i="10"/>
  <c r="J1334" i="10"/>
  <c r="L1333" i="10"/>
  <c r="J1333" i="10"/>
  <c r="L1332" i="10"/>
  <c r="J1332" i="10"/>
  <c r="L1331" i="10"/>
  <c r="J1331" i="10"/>
  <c r="L1330" i="10"/>
  <c r="J1330" i="10"/>
  <c r="L1329" i="10"/>
  <c r="J1329" i="10"/>
  <c r="L1328" i="10"/>
  <c r="J1328" i="10"/>
  <c r="L1327" i="10"/>
  <c r="J1327" i="10"/>
  <c r="L1326" i="10"/>
  <c r="J1326" i="10"/>
  <c r="L1325" i="10"/>
  <c r="J1325" i="10"/>
  <c r="L1324" i="10"/>
  <c r="J1324" i="10"/>
  <c r="L1323" i="10"/>
  <c r="J1323" i="10"/>
  <c r="L1322" i="10"/>
  <c r="J1322" i="10"/>
  <c r="L1321" i="10"/>
  <c r="J1321" i="10"/>
  <c r="L1320" i="10"/>
  <c r="J1320" i="10"/>
  <c r="L1319" i="10"/>
  <c r="J1319" i="10"/>
  <c r="L1318" i="10"/>
  <c r="J1318" i="10"/>
  <c r="L1317" i="10"/>
  <c r="J1317" i="10"/>
  <c r="L1316" i="10"/>
  <c r="J1316" i="10"/>
  <c r="L1315" i="10"/>
  <c r="J1315" i="10"/>
  <c r="L1314" i="10"/>
  <c r="J1314" i="10"/>
  <c r="L1313" i="10"/>
  <c r="J1313" i="10"/>
  <c r="D13" i="11" s="1"/>
  <c r="L1312" i="10"/>
  <c r="J1312" i="10"/>
  <c r="L1311" i="10"/>
  <c r="J1311" i="10"/>
  <c r="L1310" i="10"/>
  <c r="J1310" i="10"/>
  <c r="L1309" i="10"/>
  <c r="J1309" i="10"/>
  <c r="L1308" i="10"/>
  <c r="J1308" i="10"/>
  <c r="L1307" i="10"/>
  <c r="J1307" i="10"/>
  <c r="L1306" i="10"/>
  <c r="J1306" i="10"/>
  <c r="L1305" i="10"/>
  <c r="J1305" i="10"/>
  <c r="L1304" i="10"/>
  <c r="J1304" i="10"/>
  <c r="L1303" i="10"/>
  <c r="J1303" i="10"/>
  <c r="L1302" i="10"/>
  <c r="J1302" i="10"/>
  <c r="L1301" i="10"/>
  <c r="J1301" i="10"/>
  <c r="L1300" i="10"/>
  <c r="J1300" i="10"/>
  <c r="L1299" i="10"/>
  <c r="J1299" i="10"/>
  <c r="L1298" i="10"/>
  <c r="J1298" i="10"/>
  <c r="L1297" i="10"/>
  <c r="J1297" i="10"/>
  <c r="L1296" i="10"/>
  <c r="J1296" i="10"/>
  <c r="L1295" i="10"/>
  <c r="J1295" i="10"/>
  <c r="L1294" i="10"/>
  <c r="J1294" i="10"/>
  <c r="L1293" i="10"/>
  <c r="J1293" i="10"/>
  <c r="L1292" i="10"/>
  <c r="J1292" i="10"/>
  <c r="L1291" i="10"/>
  <c r="J1291" i="10"/>
  <c r="L1290" i="10"/>
  <c r="J1290" i="10"/>
  <c r="L1289" i="10"/>
  <c r="J1289" i="10"/>
  <c r="L1288" i="10"/>
  <c r="J1288" i="10"/>
  <c r="L1287" i="10"/>
  <c r="J1287" i="10"/>
  <c r="L1286" i="10"/>
  <c r="J1286" i="10"/>
  <c r="L1285" i="10"/>
  <c r="J1285" i="10"/>
  <c r="L1284" i="10"/>
  <c r="J1284" i="10"/>
  <c r="L1283" i="10"/>
  <c r="J1283" i="10"/>
  <c r="L1282" i="10"/>
  <c r="J1282" i="10"/>
  <c r="L1281" i="10"/>
  <c r="J1281" i="10"/>
  <c r="L1280" i="10"/>
  <c r="J1280" i="10"/>
  <c r="L1279" i="10"/>
  <c r="J1279" i="10"/>
  <c r="L1278" i="10"/>
  <c r="J1278" i="10"/>
  <c r="L1277" i="10"/>
  <c r="J1277" i="10"/>
  <c r="L1276" i="10"/>
  <c r="J1276" i="10"/>
  <c r="L1275" i="10"/>
  <c r="J1275" i="10"/>
  <c r="L1274" i="10"/>
  <c r="J1274" i="10"/>
  <c r="L1273" i="10"/>
  <c r="J1273" i="10"/>
  <c r="L1272" i="10"/>
  <c r="J1272" i="10"/>
  <c r="L1271" i="10"/>
  <c r="J1271" i="10"/>
  <c r="L1270" i="10"/>
  <c r="J1270" i="10"/>
  <c r="L1269" i="10"/>
  <c r="J1269" i="10"/>
  <c r="L1268" i="10"/>
  <c r="J1268" i="10"/>
  <c r="L1267" i="10"/>
  <c r="J1267" i="10"/>
  <c r="L1266" i="10"/>
  <c r="J1266" i="10"/>
  <c r="L1265" i="10"/>
  <c r="J1265" i="10"/>
  <c r="L1264" i="10"/>
  <c r="J1264" i="10"/>
  <c r="L1263" i="10"/>
  <c r="J1263" i="10"/>
  <c r="L1262" i="10"/>
  <c r="J1262" i="10"/>
  <c r="L1261" i="10"/>
  <c r="J1261" i="10"/>
  <c r="L1260" i="10"/>
  <c r="J1260" i="10"/>
  <c r="L1259" i="10"/>
  <c r="J1259" i="10"/>
  <c r="L1258" i="10"/>
  <c r="J1258" i="10"/>
  <c r="L1257" i="10"/>
  <c r="J1257" i="10"/>
  <c r="L1256" i="10"/>
  <c r="J1256" i="10"/>
  <c r="L1255" i="10"/>
  <c r="J1255" i="10"/>
  <c r="L1254" i="10"/>
  <c r="J1254" i="10"/>
  <c r="L1253" i="10"/>
  <c r="J1253" i="10"/>
  <c r="L1252" i="10"/>
  <c r="J1252" i="10"/>
  <c r="L1251" i="10"/>
  <c r="J1251" i="10"/>
  <c r="L1250" i="10"/>
  <c r="J1250" i="10"/>
  <c r="L1249" i="10"/>
  <c r="J1249" i="10"/>
  <c r="L1248" i="10"/>
  <c r="J1248" i="10"/>
  <c r="L1247" i="10"/>
  <c r="J1247" i="10"/>
  <c r="L1246" i="10"/>
  <c r="J1246" i="10"/>
  <c r="L1245" i="10"/>
  <c r="J1245" i="10"/>
  <c r="L1244" i="10"/>
  <c r="J1244" i="10"/>
  <c r="L1243" i="10"/>
  <c r="J1243" i="10"/>
  <c r="L1242" i="10"/>
  <c r="J1242" i="10"/>
  <c r="L1241" i="10"/>
  <c r="J1241" i="10"/>
  <c r="L1240" i="10"/>
  <c r="J1240" i="10"/>
  <c r="L1239" i="10"/>
  <c r="J1239" i="10"/>
  <c r="L1238" i="10"/>
  <c r="J1238" i="10"/>
  <c r="L1237" i="10"/>
  <c r="J1237" i="10"/>
  <c r="L1236" i="10"/>
  <c r="J1236" i="10"/>
  <c r="L1235" i="10"/>
  <c r="J1235" i="10"/>
  <c r="L1234" i="10"/>
  <c r="J1234" i="10"/>
  <c r="L1233" i="10"/>
  <c r="J1233" i="10"/>
  <c r="L1232" i="10"/>
  <c r="J1232" i="10"/>
  <c r="L1231" i="10"/>
  <c r="J1231" i="10"/>
  <c r="L1230" i="10"/>
  <c r="J1230" i="10"/>
  <c r="L1229" i="10"/>
  <c r="J1229" i="10"/>
  <c r="L1228" i="10"/>
  <c r="J1228" i="10"/>
  <c r="L1227" i="10"/>
  <c r="J1227" i="10"/>
  <c r="L1226" i="10"/>
  <c r="J1226" i="10"/>
  <c r="L1225" i="10"/>
  <c r="J1225" i="10"/>
  <c r="L1224" i="10"/>
  <c r="J1224" i="10"/>
  <c r="L1223" i="10"/>
  <c r="J1223" i="10"/>
  <c r="L1222" i="10"/>
  <c r="J1222" i="10"/>
  <c r="L1221" i="10"/>
  <c r="J1221" i="10"/>
  <c r="L1220" i="10"/>
  <c r="J1220" i="10"/>
  <c r="L1219" i="10"/>
  <c r="J1219" i="10"/>
  <c r="L1218" i="10"/>
  <c r="J1218" i="10"/>
  <c r="L1217" i="10"/>
  <c r="J1217" i="10"/>
  <c r="L1216" i="10"/>
  <c r="J1216" i="10"/>
  <c r="L1215" i="10"/>
  <c r="J1215" i="10"/>
  <c r="L1214" i="10"/>
  <c r="J1214" i="10"/>
  <c r="L1213" i="10"/>
  <c r="J1213" i="10"/>
  <c r="L1212" i="10"/>
  <c r="J1212" i="10"/>
  <c r="L1211" i="10"/>
  <c r="J1211" i="10"/>
  <c r="L1210" i="10"/>
  <c r="J1210" i="10"/>
  <c r="L1209" i="10"/>
  <c r="J1209" i="10"/>
  <c r="L1208" i="10"/>
  <c r="J1208" i="10"/>
  <c r="L1207" i="10"/>
  <c r="J1207" i="10"/>
  <c r="L1206" i="10"/>
  <c r="J1206" i="10"/>
  <c r="L1205" i="10"/>
  <c r="J1205" i="10"/>
  <c r="L1204" i="10"/>
  <c r="J1204" i="10"/>
  <c r="L1203" i="10"/>
  <c r="J1203" i="10"/>
  <c r="L1202" i="10"/>
  <c r="J1202" i="10"/>
  <c r="L1201" i="10"/>
  <c r="J1201" i="10"/>
  <c r="L1200" i="10"/>
  <c r="J1200" i="10"/>
  <c r="L1199" i="10"/>
  <c r="J1199" i="10"/>
  <c r="L1198" i="10"/>
  <c r="J1198" i="10"/>
  <c r="L1197" i="10"/>
  <c r="J1197" i="10"/>
  <c r="L1196" i="10"/>
  <c r="J1196" i="10"/>
  <c r="L1195" i="10"/>
  <c r="J1195" i="10"/>
  <c r="L1194" i="10"/>
  <c r="J1194" i="10"/>
  <c r="L1193" i="10"/>
  <c r="J1193" i="10"/>
  <c r="L1192" i="10"/>
  <c r="J1192" i="10"/>
  <c r="L1191" i="10"/>
  <c r="J1191" i="10"/>
  <c r="L1190" i="10"/>
  <c r="J1190" i="10"/>
  <c r="L1189" i="10"/>
  <c r="J1189" i="10"/>
  <c r="L1188" i="10"/>
  <c r="J1188" i="10"/>
  <c r="L1187" i="10"/>
  <c r="J1187" i="10"/>
  <c r="L1186" i="10"/>
  <c r="J1186" i="10"/>
  <c r="L1185" i="10"/>
  <c r="J1185" i="10"/>
  <c r="L1184" i="10"/>
  <c r="J1184" i="10"/>
  <c r="L1183" i="10"/>
  <c r="J1183" i="10"/>
  <c r="L1182" i="10"/>
  <c r="J1182" i="10"/>
  <c r="L1181" i="10"/>
  <c r="J1181" i="10"/>
  <c r="L1180" i="10"/>
  <c r="J1180" i="10"/>
  <c r="L1179" i="10"/>
  <c r="J1179" i="10"/>
  <c r="L1178" i="10"/>
  <c r="J1178" i="10"/>
  <c r="L1177" i="10"/>
  <c r="J1177" i="10"/>
  <c r="L1176" i="10"/>
  <c r="J1176" i="10"/>
  <c r="L1175" i="10"/>
  <c r="J1175" i="10"/>
  <c r="L1174" i="10"/>
  <c r="J1174" i="10"/>
  <c r="L1173" i="10"/>
  <c r="J1173" i="10"/>
  <c r="L1172" i="10"/>
  <c r="J1172" i="10"/>
  <c r="L1171" i="10"/>
  <c r="J1171" i="10"/>
  <c r="L1170" i="10"/>
  <c r="J1170" i="10"/>
  <c r="L1169" i="10"/>
  <c r="J1169" i="10"/>
  <c r="L1168" i="10"/>
  <c r="J1168" i="10"/>
  <c r="L1167" i="10"/>
  <c r="J1167" i="10"/>
  <c r="L1166" i="10"/>
  <c r="J1166" i="10"/>
  <c r="L1165" i="10"/>
  <c r="J1165" i="10"/>
  <c r="L1164" i="10"/>
  <c r="J1164" i="10"/>
  <c r="L1163" i="10"/>
  <c r="J1163" i="10"/>
  <c r="L1162" i="10"/>
  <c r="J1162" i="10"/>
  <c r="L1161" i="10"/>
  <c r="J1161" i="10"/>
  <c r="L1160" i="10"/>
  <c r="J1160" i="10"/>
  <c r="L1159" i="10"/>
  <c r="J1159" i="10"/>
  <c r="L1158" i="10"/>
  <c r="J1158" i="10"/>
  <c r="L1157" i="10"/>
  <c r="J1157" i="10"/>
  <c r="L1156" i="10"/>
  <c r="J1156" i="10"/>
  <c r="L1155" i="10"/>
  <c r="J1155" i="10"/>
  <c r="L1154" i="10"/>
  <c r="J1154" i="10"/>
  <c r="L1153" i="10"/>
  <c r="J1153" i="10"/>
  <c r="L1152" i="10"/>
  <c r="J1152" i="10"/>
  <c r="L1151" i="10"/>
  <c r="J1151" i="10"/>
  <c r="L1150" i="10"/>
  <c r="J1150" i="10"/>
  <c r="L1149" i="10"/>
  <c r="J1149" i="10"/>
  <c r="L1148" i="10"/>
  <c r="J1148" i="10"/>
  <c r="L1147" i="10"/>
  <c r="J1147" i="10"/>
  <c r="L1146" i="10"/>
  <c r="J1146" i="10"/>
  <c r="L1145" i="10"/>
  <c r="J1145" i="10"/>
  <c r="L1144" i="10"/>
  <c r="J1144" i="10"/>
  <c r="L1143" i="10"/>
  <c r="J1143" i="10"/>
  <c r="L1142" i="10"/>
  <c r="J1142" i="10"/>
  <c r="L1141" i="10"/>
  <c r="J1141" i="10"/>
  <c r="L1140" i="10"/>
  <c r="J1140" i="10"/>
  <c r="L1139" i="10"/>
  <c r="J1139" i="10"/>
  <c r="L1138" i="10"/>
  <c r="J1138" i="10"/>
  <c r="L1137" i="10"/>
  <c r="J1137" i="10"/>
  <c r="L1136" i="10"/>
  <c r="J1136" i="10"/>
  <c r="L1135" i="10"/>
  <c r="J1135" i="10"/>
  <c r="L1134" i="10"/>
  <c r="J1134" i="10"/>
  <c r="L1133" i="10"/>
  <c r="J1133" i="10"/>
  <c r="L1132" i="10"/>
  <c r="J1132" i="10"/>
  <c r="L1131" i="10"/>
  <c r="J1131" i="10"/>
  <c r="L1130" i="10"/>
  <c r="J1130" i="10"/>
  <c r="L1129" i="10"/>
  <c r="J1129" i="10"/>
  <c r="L1128" i="10"/>
  <c r="J1128" i="10"/>
  <c r="L1127" i="10"/>
  <c r="J1127" i="10"/>
  <c r="L1126" i="10"/>
  <c r="J1126" i="10"/>
  <c r="L1125" i="10"/>
  <c r="J1125" i="10"/>
  <c r="L1124" i="10"/>
  <c r="J1124" i="10"/>
  <c r="L1123" i="10"/>
  <c r="J1123" i="10"/>
  <c r="L1122" i="10"/>
  <c r="J1122" i="10"/>
  <c r="L1121" i="10"/>
  <c r="J1121" i="10"/>
  <c r="L1120" i="10"/>
  <c r="J1120" i="10"/>
  <c r="L1119" i="10"/>
  <c r="J1119" i="10"/>
  <c r="L1118" i="10"/>
  <c r="J1118" i="10"/>
  <c r="L1117" i="10"/>
  <c r="J1117" i="10"/>
  <c r="L1116" i="10"/>
  <c r="J1116" i="10"/>
  <c r="L1115" i="10"/>
  <c r="J1115" i="10"/>
  <c r="L1114" i="10"/>
  <c r="J1114" i="10"/>
  <c r="L1113" i="10"/>
  <c r="J1113" i="10"/>
  <c r="L1112" i="10"/>
  <c r="J1112" i="10"/>
  <c r="L1111" i="10"/>
  <c r="J1111" i="10"/>
  <c r="L1110" i="10"/>
  <c r="J1110" i="10"/>
  <c r="L1109" i="10"/>
  <c r="J1109" i="10"/>
  <c r="L1108" i="10"/>
  <c r="J1108" i="10"/>
  <c r="L1107" i="10"/>
  <c r="J1107" i="10"/>
  <c r="L1106" i="10"/>
  <c r="J1106" i="10"/>
  <c r="L1105" i="10"/>
  <c r="J1105" i="10"/>
  <c r="L1104" i="10"/>
  <c r="J1104" i="10"/>
  <c r="L1103" i="10"/>
  <c r="J1103" i="10"/>
  <c r="L1102" i="10"/>
  <c r="J1102" i="10"/>
  <c r="L1101" i="10"/>
  <c r="J1101" i="10"/>
  <c r="L1100" i="10"/>
  <c r="J1100" i="10"/>
  <c r="L1099" i="10"/>
  <c r="J1099" i="10"/>
  <c r="L1098" i="10"/>
  <c r="J1098" i="10"/>
  <c r="L1097" i="10"/>
  <c r="J1097" i="10"/>
  <c r="L1096" i="10"/>
  <c r="J1096" i="10"/>
  <c r="L1095" i="10"/>
  <c r="J1095" i="10"/>
  <c r="L1094" i="10"/>
  <c r="J1094" i="10"/>
  <c r="L1093" i="10"/>
  <c r="J1093" i="10"/>
  <c r="L1092" i="10"/>
  <c r="J1092" i="10"/>
  <c r="C13" i="11" s="1"/>
  <c r="L1091" i="10"/>
  <c r="J1091" i="10"/>
  <c r="L1090" i="10"/>
  <c r="J1090" i="10"/>
  <c r="L1089" i="10"/>
  <c r="J1089" i="10"/>
  <c r="L1088" i="10"/>
  <c r="J1088" i="10"/>
  <c r="L1087" i="10"/>
  <c r="J1087" i="10"/>
  <c r="L1086" i="10"/>
  <c r="J1086" i="10"/>
  <c r="L1085" i="10"/>
  <c r="J1085" i="10"/>
  <c r="L1084" i="10"/>
  <c r="J1084" i="10"/>
  <c r="L1083" i="10"/>
  <c r="J1083" i="10"/>
  <c r="L1082" i="10"/>
  <c r="J1082" i="10"/>
  <c r="L1081" i="10"/>
  <c r="J1081" i="10"/>
  <c r="L1080" i="10"/>
  <c r="J1080" i="10"/>
  <c r="L1079" i="10"/>
  <c r="J1079" i="10"/>
  <c r="L1078" i="10"/>
  <c r="J1078" i="10"/>
  <c r="L1077" i="10"/>
  <c r="J1077" i="10"/>
  <c r="L1076" i="10"/>
  <c r="J1076" i="10"/>
  <c r="L1075" i="10"/>
  <c r="J1075" i="10"/>
  <c r="L1074" i="10"/>
  <c r="J1074" i="10"/>
  <c r="L1073" i="10"/>
  <c r="J1073" i="10"/>
  <c r="L1072" i="10"/>
  <c r="J1072" i="10"/>
  <c r="L1071" i="10"/>
  <c r="J1071" i="10"/>
  <c r="L1070" i="10"/>
  <c r="J1070" i="10"/>
  <c r="L1069" i="10"/>
  <c r="J1069" i="10"/>
  <c r="L1068" i="10"/>
  <c r="J1068" i="10"/>
  <c r="L1067" i="10"/>
  <c r="J1067" i="10"/>
  <c r="L1066" i="10"/>
  <c r="J1066" i="10"/>
  <c r="L1065" i="10"/>
  <c r="J1065" i="10"/>
  <c r="L1064" i="10"/>
  <c r="J1064" i="10"/>
  <c r="L1063" i="10"/>
  <c r="J1063" i="10"/>
  <c r="L1062" i="10"/>
  <c r="J1062" i="10"/>
  <c r="L1061" i="10"/>
  <c r="J1061" i="10"/>
  <c r="L1060" i="10"/>
  <c r="J1060" i="10"/>
  <c r="L1059" i="10"/>
  <c r="J1059" i="10"/>
  <c r="L1058" i="10"/>
  <c r="J1058" i="10"/>
  <c r="L1057" i="10"/>
  <c r="J1057" i="10"/>
  <c r="L1056" i="10"/>
  <c r="J1056" i="10"/>
  <c r="L1055" i="10"/>
  <c r="J1055" i="10"/>
  <c r="L1054" i="10"/>
  <c r="J1054" i="10"/>
  <c r="L1053" i="10"/>
  <c r="J1053" i="10"/>
  <c r="L1052" i="10"/>
  <c r="J1052" i="10"/>
  <c r="L1051" i="10"/>
  <c r="J1051" i="10"/>
  <c r="L1050" i="10"/>
  <c r="J1050" i="10"/>
  <c r="L1049" i="10"/>
  <c r="J1049" i="10"/>
  <c r="L1048" i="10"/>
  <c r="J1048" i="10"/>
  <c r="L1047" i="10"/>
  <c r="J1047" i="10"/>
  <c r="L1046" i="10"/>
  <c r="J1046" i="10"/>
  <c r="L1045" i="10"/>
  <c r="J1045" i="10"/>
  <c r="L1044" i="10"/>
  <c r="J1044" i="10"/>
  <c r="L1043" i="10"/>
  <c r="J1043" i="10"/>
  <c r="L1042" i="10"/>
  <c r="J1042" i="10"/>
  <c r="L1041" i="10"/>
  <c r="J1041" i="10"/>
  <c r="L1040" i="10"/>
  <c r="J1040" i="10"/>
  <c r="L1039" i="10"/>
  <c r="J1039" i="10"/>
  <c r="L1038" i="10"/>
  <c r="J1038" i="10"/>
  <c r="L1037" i="10"/>
  <c r="J1037" i="10"/>
  <c r="L1036" i="10"/>
  <c r="J1036" i="10"/>
  <c r="L1035" i="10"/>
  <c r="J1035" i="10"/>
  <c r="L1034" i="10"/>
  <c r="J1034" i="10"/>
  <c r="L1033" i="10"/>
  <c r="J1033" i="10"/>
  <c r="L1032" i="10"/>
  <c r="J1032" i="10"/>
  <c r="L1031" i="10"/>
  <c r="J1031" i="10"/>
  <c r="L1030" i="10"/>
  <c r="J1030" i="10"/>
  <c r="L1029" i="10"/>
  <c r="J1029" i="10"/>
  <c r="L1028" i="10"/>
  <c r="J1028" i="10"/>
  <c r="L1027" i="10"/>
  <c r="J1027" i="10"/>
  <c r="L1026" i="10"/>
  <c r="J1026" i="10"/>
  <c r="L1025" i="10"/>
  <c r="J1025" i="10"/>
  <c r="L1024" i="10"/>
  <c r="J1024" i="10"/>
  <c r="L1023" i="10"/>
  <c r="J1023" i="10"/>
  <c r="L1022" i="10"/>
  <c r="J1022" i="10"/>
  <c r="L1021" i="10"/>
  <c r="J1021" i="10"/>
  <c r="L1020" i="10"/>
  <c r="J1020" i="10"/>
  <c r="L1019" i="10"/>
  <c r="J1019" i="10"/>
  <c r="L1018" i="10"/>
  <c r="J1018" i="10"/>
  <c r="L1017" i="10"/>
  <c r="J1017" i="10"/>
  <c r="L1016" i="10"/>
  <c r="J1016" i="10"/>
  <c r="L1015" i="10"/>
  <c r="J1015" i="10"/>
  <c r="L1014" i="10"/>
  <c r="J1014" i="10"/>
  <c r="L1013" i="10"/>
  <c r="J1013" i="10"/>
  <c r="L1012" i="10"/>
  <c r="J1012" i="10"/>
  <c r="L1011" i="10"/>
  <c r="J1011" i="10"/>
  <c r="L1010" i="10"/>
  <c r="J1010" i="10"/>
  <c r="L1009" i="10"/>
  <c r="J1009" i="10"/>
  <c r="L1008" i="10"/>
  <c r="J1008" i="10"/>
  <c r="L1007" i="10"/>
  <c r="J1007" i="10"/>
  <c r="L1006" i="10"/>
  <c r="J1006" i="10"/>
  <c r="L1005" i="10"/>
  <c r="J1005" i="10"/>
  <c r="L1004" i="10"/>
  <c r="J1004" i="10"/>
  <c r="L1003" i="10"/>
  <c r="J1003" i="10"/>
  <c r="L1002" i="10"/>
  <c r="J1002" i="10"/>
  <c r="L1001" i="10"/>
  <c r="J1001" i="10"/>
  <c r="L1000" i="10"/>
  <c r="J1000" i="10"/>
  <c r="L999" i="10"/>
  <c r="J999" i="10"/>
  <c r="L998" i="10"/>
  <c r="J998" i="10"/>
  <c r="L997" i="10"/>
  <c r="J997" i="10"/>
  <c r="L996" i="10"/>
  <c r="J996" i="10"/>
  <c r="L995" i="10"/>
  <c r="J995" i="10"/>
  <c r="L994" i="10"/>
  <c r="J994" i="10"/>
  <c r="L993" i="10"/>
  <c r="J993" i="10"/>
  <c r="L992" i="10"/>
  <c r="J992" i="10"/>
  <c r="L991" i="10"/>
  <c r="J991" i="10"/>
  <c r="L990" i="10"/>
  <c r="J990" i="10"/>
  <c r="L989" i="10"/>
  <c r="J989" i="10"/>
  <c r="L988" i="10"/>
  <c r="J988" i="10"/>
  <c r="L987" i="10"/>
  <c r="J987" i="10"/>
  <c r="L986" i="10"/>
  <c r="J986" i="10"/>
  <c r="L985" i="10"/>
  <c r="J985" i="10"/>
  <c r="L984" i="10"/>
  <c r="J984" i="10"/>
  <c r="L983" i="10"/>
  <c r="J983" i="10"/>
  <c r="L982" i="10"/>
  <c r="J982" i="10"/>
  <c r="L981" i="10"/>
  <c r="J981" i="10"/>
  <c r="L980" i="10"/>
  <c r="J980" i="10"/>
  <c r="L979" i="10"/>
  <c r="J979" i="10"/>
  <c r="L978" i="10"/>
  <c r="J978" i="10"/>
  <c r="L977" i="10"/>
  <c r="J977" i="10"/>
  <c r="L976" i="10"/>
  <c r="J976" i="10"/>
  <c r="L975" i="10"/>
  <c r="J975" i="10"/>
  <c r="L974" i="10"/>
  <c r="J974" i="10"/>
  <c r="L973" i="10"/>
  <c r="J973" i="10"/>
  <c r="L972" i="10"/>
  <c r="J972" i="10"/>
  <c r="L971" i="10"/>
  <c r="J971" i="10"/>
  <c r="L970" i="10"/>
  <c r="J970" i="10"/>
  <c r="L969" i="10"/>
  <c r="J969" i="10"/>
  <c r="L968" i="10"/>
  <c r="J968" i="10"/>
  <c r="L967" i="10"/>
  <c r="J967" i="10"/>
  <c r="L966" i="10"/>
  <c r="J966" i="10"/>
  <c r="L965" i="10"/>
  <c r="J965" i="10"/>
  <c r="L964" i="10"/>
  <c r="J964" i="10"/>
  <c r="L963" i="10"/>
  <c r="J963" i="10"/>
  <c r="L962" i="10"/>
  <c r="J962" i="10"/>
  <c r="L961" i="10"/>
  <c r="J961" i="10"/>
  <c r="L960" i="10"/>
  <c r="J960" i="10"/>
  <c r="L959" i="10"/>
  <c r="J959" i="10"/>
  <c r="L958" i="10"/>
  <c r="J958" i="10"/>
  <c r="L957" i="10"/>
  <c r="J957" i="10"/>
  <c r="L956" i="10"/>
  <c r="J956" i="10"/>
  <c r="L955" i="10"/>
  <c r="J955" i="10"/>
  <c r="L954" i="10"/>
  <c r="J954" i="10"/>
  <c r="L953" i="10"/>
  <c r="J953" i="10"/>
  <c r="L952" i="10"/>
  <c r="J952" i="10"/>
  <c r="L951" i="10"/>
  <c r="J951" i="10"/>
  <c r="L950" i="10"/>
  <c r="J950" i="10"/>
  <c r="L949" i="10"/>
  <c r="J949" i="10"/>
  <c r="L948" i="10"/>
  <c r="J948" i="10"/>
  <c r="L947" i="10"/>
  <c r="J947" i="10"/>
  <c r="L946" i="10"/>
  <c r="J946" i="10"/>
  <c r="L945" i="10"/>
  <c r="J945" i="10"/>
  <c r="L944" i="10"/>
  <c r="J944" i="10"/>
  <c r="L943" i="10"/>
  <c r="J943" i="10"/>
  <c r="L942" i="10"/>
  <c r="J942" i="10"/>
  <c r="L941" i="10"/>
  <c r="J941" i="10"/>
  <c r="L940" i="10"/>
  <c r="J940" i="10"/>
  <c r="L939" i="10"/>
  <c r="J939" i="10"/>
  <c r="L938" i="10"/>
  <c r="J938" i="10"/>
  <c r="L937" i="10"/>
  <c r="J937" i="10"/>
  <c r="L936" i="10"/>
  <c r="J936" i="10"/>
  <c r="L935" i="10"/>
  <c r="J935" i="10"/>
  <c r="L934" i="10"/>
  <c r="J934" i="10"/>
  <c r="L933" i="10"/>
  <c r="J933" i="10"/>
  <c r="L932" i="10"/>
  <c r="J932" i="10"/>
  <c r="L931" i="10"/>
  <c r="J931" i="10"/>
  <c r="L930" i="10"/>
  <c r="J930" i="10"/>
  <c r="L929" i="10"/>
  <c r="J929" i="10"/>
  <c r="L928" i="10"/>
  <c r="J928" i="10"/>
  <c r="L927" i="10"/>
  <c r="J927" i="10"/>
  <c r="L926" i="10"/>
  <c r="J926" i="10"/>
  <c r="L925" i="10"/>
  <c r="J925" i="10"/>
  <c r="L924" i="10"/>
  <c r="J924" i="10"/>
  <c r="L923" i="10"/>
  <c r="J923" i="10"/>
  <c r="L922" i="10"/>
  <c r="J922" i="10"/>
  <c r="L921" i="10"/>
  <c r="J921" i="10"/>
  <c r="L920" i="10"/>
  <c r="J920" i="10"/>
  <c r="L919" i="10"/>
  <c r="J919" i="10"/>
  <c r="L918" i="10"/>
  <c r="J918" i="10"/>
  <c r="L917" i="10"/>
  <c r="J917" i="10"/>
  <c r="L916" i="10"/>
  <c r="J916" i="10"/>
  <c r="L915" i="10"/>
  <c r="J915" i="10"/>
  <c r="L914" i="10"/>
  <c r="J914" i="10"/>
  <c r="L913" i="10"/>
  <c r="J913" i="10"/>
  <c r="L912" i="10"/>
  <c r="J912" i="10"/>
  <c r="L911" i="10"/>
  <c r="J911" i="10"/>
  <c r="L910" i="10"/>
  <c r="J910" i="10"/>
  <c r="L909" i="10"/>
  <c r="J909" i="10"/>
  <c r="L908" i="10"/>
  <c r="J908" i="10"/>
  <c r="L907" i="10"/>
  <c r="J907" i="10"/>
  <c r="L906" i="10"/>
  <c r="J906" i="10"/>
  <c r="L905" i="10"/>
  <c r="J905" i="10"/>
  <c r="L904" i="10"/>
  <c r="J904" i="10"/>
  <c r="L903" i="10"/>
  <c r="J903" i="10"/>
  <c r="L902" i="10"/>
  <c r="J902" i="10"/>
  <c r="L901" i="10"/>
  <c r="J901" i="10"/>
  <c r="L900" i="10"/>
  <c r="J900" i="10"/>
  <c r="L899" i="10"/>
  <c r="J899" i="10"/>
  <c r="L898" i="10"/>
  <c r="J898" i="10"/>
  <c r="L897" i="10"/>
  <c r="J897" i="10"/>
  <c r="L896" i="10"/>
  <c r="J896" i="10"/>
  <c r="L895" i="10"/>
  <c r="J895" i="10"/>
  <c r="L894" i="10"/>
  <c r="J894" i="10"/>
  <c r="L893" i="10"/>
  <c r="J893" i="10"/>
  <c r="L892" i="10"/>
  <c r="J892" i="10"/>
  <c r="L891" i="10"/>
  <c r="J891" i="10"/>
  <c r="L890" i="10"/>
  <c r="J890" i="10"/>
  <c r="L889" i="10"/>
  <c r="J889" i="10"/>
  <c r="L888" i="10"/>
  <c r="J888" i="10"/>
  <c r="L887" i="10"/>
  <c r="J887" i="10"/>
  <c r="L886" i="10"/>
  <c r="J886" i="10"/>
  <c r="L885" i="10"/>
  <c r="J885" i="10"/>
  <c r="L884" i="10"/>
  <c r="J884" i="10"/>
  <c r="L883" i="10"/>
  <c r="J883" i="10"/>
  <c r="L882" i="10"/>
  <c r="J882" i="10"/>
  <c r="L881" i="10"/>
  <c r="J881" i="10"/>
  <c r="L880" i="10"/>
  <c r="J880" i="10"/>
  <c r="L879" i="10"/>
  <c r="J879" i="10"/>
  <c r="L878" i="10"/>
  <c r="J878" i="10"/>
  <c r="L877" i="10"/>
  <c r="J877" i="10"/>
  <c r="L876" i="10"/>
  <c r="J876" i="10"/>
  <c r="L875" i="10"/>
  <c r="J875" i="10"/>
  <c r="L874" i="10"/>
  <c r="J874" i="10"/>
  <c r="L873" i="10"/>
  <c r="J873" i="10"/>
  <c r="L872" i="10"/>
  <c r="J872" i="10"/>
  <c r="L871" i="10"/>
  <c r="J871" i="10"/>
  <c r="L870" i="10"/>
  <c r="J870" i="10"/>
  <c r="L869" i="10"/>
  <c r="J869" i="10"/>
  <c r="L868" i="10"/>
  <c r="J868" i="10"/>
  <c r="L867" i="10"/>
  <c r="J867" i="10"/>
  <c r="L866" i="10"/>
  <c r="J866" i="10"/>
  <c r="L865" i="10"/>
  <c r="J865" i="10"/>
  <c r="L864" i="10"/>
  <c r="J864" i="10"/>
  <c r="L863" i="10"/>
  <c r="J863" i="10"/>
  <c r="L862" i="10"/>
  <c r="J862" i="10"/>
  <c r="L861" i="10"/>
  <c r="J861" i="10"/>
  <c r="L860" i="10"/>
  <c r="J860" i="10"/>
  <c r="L859" i="10"/>
  <c r="J859" i="10"/>
  <c r="L858" i="10"/>
  <c r="J858" i="10"/>
  <c r="L857" i="10"/>
  <c r="J857" i="10"/>
  <c r="L856" i="10"/>
  <c r="J856" i="10"/>
  <c r="L855" i="10"/>
  <c r="J855" i="10"/>
  <c r="L854" i="10"/>
  <c r="J854" i="10"/>
  <c r="L853" i="10"/>
  <c r="J853" i="10"/>
  <c r="L852" i="10"/>
  <c r="J852" i="10"/>
  <c r="L851" i="10"/>
  <c r="J851" i="10"/>
  <c r="L850" i="10"/>
  <c r="J850" i="10"/>
  <c r="L849" i="10"/>
  <c r="J849" i="10"/>
  <c r="L848" i="10"/>
  <c r="J848" i="10"/>
  <c r="L847" i="10"/>
  <c r="J847" i="10"/>
  <c r="L846" i="10"/>
  <c r="J846" i="10"/>
  <c r="L845" i="10"/>
  <c r="J845" i="10"/>
  <c r="L844" i="10"/>
  <c r="J844" i="10"/>
  <c r="L843" i="10"/>
  <c r="J843" i="10"/>
  <c r="L842" i="10"/>
  <c r="J842" i="10"/>
  <c r="L841" i="10"/>
  <c r="J841" i="10"/>
  <c r="L840" i="10"/>
  <c r="J840" i="10"/>
  <c r="L839" i="10"/>
  <c r="J839" i="10"/>
  <c r="L838" i="10"/>
  <c r="J838" i="10"/>
  <c r="L837" i="10"/>
  <c r="J837" i="10"/>
  <c r="L836" i="10"/>
  <c r="J836" i="10"/>
  <c r="L835" i="10"/>
  <c r="J835" i="10"/>
  <c r="L834" i="10"/>
  <c r="J834" i="10"/>
  <c r="L833" i="10"/>
  <c r="J833" i="10"/>
  <c r="L832" i="10"/>
  <c r="J832" i="10"/>
  <c r="L831" i="10"/>
  <c r="J831" i="10"/>
  <c r="L830" i="10"/>
  <c r="J830" i="10"/>
  <c r="L829" i="10"/>
  <c r="J829" i="10"/>
  <c r="L828" i="10"/>
  <c r="J828" i="10"/>
  <c r="L827" i="10"/>
  <c r="J827" i="10"/>
  <c r="L826" i="10"/>
  <c r="J826" i="10"/>
  <c r="L825" i="10"/>
  <c r="J825" i="10"/>
  <c r="L824" i="10"/>
  <c r="J824" i="10"/>
  <c r="L823" i="10"/>
  <c r="J823" i="10"/>
  <c r="L822" i="10"/>
  <c r="J822" i="10"/>
  <c r="L821" i="10"/>
  <c r="J821" i="10"/>
  <c r="L820" i="10"/>
  <c r="J820" i="10"/>
  <c r="L819" i="10"/>
  <c r="J819" i="10"/>
  <c r="L818" i="10"/>
  <c r="J818" i="10"/>
  <c r="L817" i="10"/>
  <c r="J817" i="10"/>
  <c r="L816" i="10"/>
  <c r="J816" i="10"/>
  <c r="L815" i="10"/>
  <c r="J815" i="10"/>
  <c r="L814" i="10"/>
  <c r="J814" i="10"/>
  <c r="L813" i="10"/>
  <c r="J813" i="10"/>
  <c r="L812" i="10"/>
  <c r="J812" i="10"/>
  <c r="L811" i="10"/>
  <c r="J811" i="10"/>
  <c r="L810" i="10"/>
  <c r="J810" i="10"/>
  <c r="L809" i="10"/>
  <c r="J809" i="10"/>
  <c r="L808" i="10"/>
  <c r="J808" i="10"/>
  <c r="L807" i="10"/>
  <c r="J807" i="10"/>
  <c r="L806" i="10"/>
  <c r="J806" i="10"/>
  <c r="L805" i="10"/>
  <c r="J805" i="10"/>
  <c r="L804" i="10"/>
  <c r="J804" i="10"/>
  <c r="L803" i="10"/>
  <c r="J803" i="10"/>
  <c r="L802" i="10"/>
  <c r="J802" i="10"/>
  <c r="L801" i="10"/>
  <c r="J801" i="10"/>
  <c r="L800" i="10"/>
  <c r="J800" i="10"/>
  <c r="L799" i="10"/>
  <c r="J799" i="10"/>
  <c r="L798" i="10"/>
  <c r="J798" i="10"/>
  <c r="L797" i="10"/>
  <c r="J797" i="10"/>
  <c r="L796" i="10"/>
  <c r="J796" i="10"/>
  <c r="L795" i="10"/>
  <c r="J795" i="10"/>
  <c r="L794" i="10"/>
  <c r="J794" i="10"/>
  <c r="L793" i="10"/>
  <c r="J793" i="10"/>
  <c r="L792" i="10"/>
  <c r="J792" i="10"/>
  <c r="L791" i="10"/>
  <c r="J791" i="10"/>
  <c r="L790" i="10"/>
  <c r="J790" i="10"/>
  <c r="L789" i="10"/>
  <c r="J789" i="10"/>
  <c r="L788" i="10"/>
  <c r="J788" i="10"/>
  <c r="L787" i="10"/>
  <c r="J787" i="10"/>
  <c r="L786" i="10"/>
  <c r="J786" i="10"/>
  <c r="L785" i="10"/>
  <c r="J785" i="10"/>
  <c r="L784" i="10"/>
  <c r="J784" i="10"/>
  <c r="L783" i="10"/>
  <c r="J783" i="10"/>
  <c r="L782" i="10"/>
  <c r="J782" i="10"/>
  <c r="L781" i="10"/>
  <c r="J781" i="10"/>
  <c r="L780" i="10"/>
  <c r="J780" i="10"/>
  <c r="L779" i="10"/>
  <c r="J779" i="10"/>
  <c r="L778" i="10"/>
  <c r="J778" i="10"/>
  <c r="L777" i="10"/>
  <c r="J777" i="10"/>
  <c r="L776" i="10"/>
  <c r="J776" i="10"/>
  <c r="L775" i="10"/>
  <c r="J775" i="10"/>
  <c r="L774" i="10"/>
  <c r="J774" i="10"/>
  <c r="L773" i="10"/>
  <c r="J773" i="10"/>
  <c r="L772" i="10"/>
  <c r="J772" i="10"/>
  <c r="L771" i="10"/>
  <c r="J771" i="10"/>
  <c r="L770" i="10"/>
  <c r="J770" i="10"/>
  <c r="L769" i="10"/>
  <c r="J769" i="10"/>
  <c r="L768" i="10"/>
  <c r="J768" i="10"/>
  <c r="L767" i="10"/>
  <c r="J767" i="10"/>
  <c r="L766" i="10"/>
  <c r="J766" i="10"/>
  <c r="L765" i="10"/>
  <c r="J765" i="10"/>
  <c r="L764" i="10"/>
  <c r="J764" i="10"/>
  <c r="L763" i="10"/>
  <c r="J763" i="10"/>
  <c r="L762" i="10"/>
  <c r="J762" i="10"/>
  <c r="L761" i="10"/>
  <c r="J761" i="10"/>
  <c r="L760" i="10"/>
  <c r="J760" i="10"/>
  <c r="L759" i="10"/>
  <c r="J759" i="10"/>
  <c r="L758" i="10"/>
  <c r="J758" i="10"/>
  <c r="L757" i="10"/>
  <c r="J757" i="10"/>
  <c r="L756" i="10"/>
  <c r="J756" i="10"/>
  <c r="L755" i="10"/>
  <c r="J755" i="10"/>
  <c r="L754" i="10"/>
  <c r="J754" i="10"/>
  <c r="L753" i="10"/>
  <c r="J753" i="10"/>
  <c r="L752" i="10"/>
  <c r="J752" i="10"/>
  <c r="L751" i="10"/>
  <c r="J751" i="10"/>
  <c r="L750" i="10"/>
  <c r="J750" i="10"/>
  <c r="L749" i="10"/>
  <c r="J749" i="10"/>
  <c r="L748" i="10"/>
  <c r="J748" i="10"/>
  <c r="L747" i="10"/>
  <c r="J747" i="10"/>
  <c r="L746" i="10"/>
  <c r="J746" i="10"/>
  <c r="L745" i="10"/>
  <c r="J745" i="10"/>
  <c r="L744" i="10"/>
  <c r="J744" i="10"/>
  <c r="L743" i="10"/>
  <c r="J743" i="10"/>
  <c r="L742" i="10"/>
  <c r="J742" i="10"/>
  <c r="L741" i="10"/>
  <c r="J741" i="10"/>
  <c r="L740" i="10"/>
  <c r="J740" i="10"/>
  <c r="L739" i="10"/>
  <c r="J739" i="10"/>
  <c r="L738" i="10"/>
  <c r="J738" i="10"/>
  <c r="L737" i="10"/>
  <c r="J737" i="10"/>
  <c r="L736" i="10"/>
  <c r="J736" i="10"/>
  <c r="L735" i="10"/>
  <c r="J735" i="10"/>
  <c r="L734" i="10"/>
  <c r="J734" i="10"/>
  <c r="L733" i="10"/>
  <c r="J733" i="10"/>
  <c r="L732" i="10"/>
  <c r="J732" i="10"/>
  <c r="L731" i="10"/>
  <c r="J731" i="10"/>
  <c r="L730" i="10"/>
  <c r="J730" i="10"/>
  <c r="L729" i="10"/>
  <c r="J729" i="10"/>
  <c r="L728" i="10"/>
  <c r="J728" i="10"/>
  <c r="L727" i="10"/>
  <c r="J727" i="10"/>
  <c r="L726" i="10"/>
  <c r="J726" i="10"/>
  <c r="L725" i="10"/>
  <c r="J725" i="10"/>
  <c r="L724" i="10"/>
  <c r="J724" i="10"/>
  <c r="L723" i="10"/>
  <c r="J723" i="10"/>
  <c r="L722" i="10"/>
  <c r="J722" i="10"/>
  <c r="L721" i="10"/>
  <c r="J721" i="10"/>
  <c r="L720" i="10"/>
  <c r="J720" i="10"/>
  <c r="L719" i="10"/>
  <c r="J719" i="10"/>
  <c r="L718" i="10"/>
  <c r="J718" i="10"/>
  <c r="L717" i="10"/>
  <c r="J717" i="10"/>
  <c r="L716" i="10"/>
  <c r="J716" i="10"/>
  <c r="L715" i="10"/>
  <c r="J715" i="10"/>
  <c r="L714" i="10"/>
  <c r="J714" i="10"/>
  <c r="L713" i="10"/>
  <c r="J713" i="10"/>
  <c r="L712" i="10"/>
  <c r="J712" i="10"/>
  <c r="L711" i="10"/>
  <c r="J711" i="10"/>
  <c r="L710" i="10"/>
  <c r="J710" i="10"/>
  <c r="L709" i="10"/>
  <c r="J709" i="10"/>
  <c r="L708" i="10"/>
  <c r="J708" i="10"/>
  <c r="L707" i="10"/>
  <c r="J707" i="10"/>
  <c r="L706" i="10"/>
  <c r="J706" i="10"/>
  <c r="L705" i="10"/>
  <c r="J705" i="10"/>
  <c r="L704" i="10"/>
  <c r="J704" i="10"/>
  <c r="L703" i="10"/>
  <c r="J703" i="10"/>
  <c r="L702" i="10"/>
  <c r="J702" i="10"/>
  <c r="L701" i="10"/>
  <c r="J701" i="10"/>
  <c r="L700" i="10"/>
  <c r="J700" i="10"/>
  <c r="L699" i="10"/>
  <c r="J699" i="10"/>
  <c r="L698" i="10"/>
  <c r="J698" i="10"/>
  <c r="L697" i="10"/>
  <c r="J697" i="10"/>
  <c r="L696" i="10"/>
  <c r="J696" i="10"/>
  <c r="L695" i="10"/>
  <c r="J695" i="10"/>
  <c r="L694" i="10"/>
  <c r="J694" i="10"/>
  <c r="L693" i="10"/>
  <c r="J693" i="10"/>
  <c r="L692" i="10"/>
  <c r="J692" i="10"/>
  <c r="L691" i="10"/>
  <c r="J691" i="10"/>
  <c r="L690" i="10"/>
  <c r="J690" i="10"/>
  <c r="L689" i="10"/>
  <c r="J689" i="10"/>
  <c r="L688" i="10"/>
  <c r="J688" i="10"/>
  <c r="L687" i="10"/>
  <c r="J687" i="10"/>
  <c r="L686" i="10"/>
  <c r="J686" i="10"/>
  <c r="L685" i="10"/>
  <c r="J685" i="10"/>
  <c r="L684" i="10"/>
  <c r="J684" i="10"/>
  <c r="L683" i="10"/>
  <c r="J683" i="10"/>
  <c r="L682" i="10"/>
  <c r="J682" i="10"/>
  <c r="L681" i="10"/>
  <c r="J681" i="10"/>
  <c r="L680" i="10"/>
  <c r="J680" i="10"/>
  <c r="L679" i="10"/>
  <c r="J679" i="10"/>
  <c r="L678" i="10"/>
  <c r="J678" i="10"/>
  <c r="L677" i="10"/>
  <c r="J677" i="10"/>
  <c r="L676" i="10"/>
  <c r="J676" i="10"/>
  <c r="L675" i="10"/>
  <c r="J675" i="10"/>
  <c r="L674" i="10"/>
  <c r="J674" i="10"/>
  <c r="L673" i="10"/>
  <c r="J673" i="10"/>
  <c r="L672" i="10"/>
  <c r="J672" i="10"/>
  <c r="L671" i="10"/>
  <c r="J671" i="10"/>
  <c r="L670" i="10"/>
  <c r="J670" i="10"/>
  <c r="L669" i="10"/>
  <c r="J669" i="10"/>
  <c r="L668" i="10"/>
  <c r="J668" i="10"/>
  <c r="L667" i="10"/>
  <c r="J667" i="10"/>
  <c r="L666" i="10"/>
  <c r="J666" i="10"/>
  <c r="L665" i="10"/>
  <c r="J665" i="10"/>
  <c r="L664" i="10"/>
  <c r="J664" i="10"/>
  <c r="L663" i="10"/>
  <c r="J663" i="10"/>
  <c r="L662" i="10"/>
  <c r="J662" i="10"/>
  <c r="L661" i="10"/>
  <c r="J661" i="10"/>
  <c r="L660" i="10"/>
  <c r="J660" i="10"/>
  <c r="L659" i="10"/>
  <c r="J659" i="10"/>
  <c r="L658" i="10"/>
  <c r="J658" i="10"/>
  <c r="L657" i="10"/>
  <c r="J657" i="10"/>
  <c r="L656" i="10"/>
  <c r="J656" i="10"/>
  <c r="L655" i="10"/>
  <c r="J655" i="10"/>
  <c r="L654" i="10"/>
  <c r="J654" i="10"/>
  <c r="L653" i="10"/>
  <c r="J653" i="10"/>
  <c r="L652" i="10"/>
  <c r="J652" i="10"/>
  <c r="L651" i="10"/>
  <c r="J651" i="10"/>
  <c r="L650" i="10"/>
  <c r="J650" i="10"/>
  <c r="L649" i="10"/>
  <c r="J649" i="10"/>
  <c r="L648" i="10"/>
  <c r="J648" i="10"/>
  <c r="L647" i="10"/>
  <c r="J647" i="10"/>
  <c r="L646" i="10"/>
  <c r="J646" i="10"/>
  <c r="L645" i="10"/>
  <c r="J645" i="10"/>
  <c r="L644" i="10"/>
  <c r="J644" i="10"/>
  <c r="L643" i="10"/>
  <c r="J643" i="10"/>
  <c r="L642" i="10"/>
  <c r="J642" i="10"/>
  <c r="L641" i="10"/>
  <c r="J641" i="10"/>
  <c r="L640" i="10"/>
  <c r="J640" i="10"/>
  <c r="L639" i="10"/>
  <c r="J639" i="10"/>
  <c r="L638" i="10"/>
  <c r="J638" i="10"/>
  <c r="L637" i="10"/>
  <c r="J637" i="10"/>
  <c r="L636" i="10"/>
  <c r="J636" i="10"/>
  <c r="L635" i="10"/>
  <c r="J635" i="10"/>
  <c r="L634" i="10"/>
  <c r="J634" i="10"/>
  <c r="L633" i="10"/>
  <c r="J633" i="10"/>
  <c r="L632" i="10"/>
  <c r="J632" i="10"/>
  <c r="L631" i="10"/>
  <c r="J631" i="10"/>
  <c r="L630" i="10"/>
  <c r="J630" i="10"/>
  <c r="L629" i="10"/>
  <c r="J629" i="10"/>
  <c r="L628" i="10"/>
  <c r="J628" i="10"/>
  <c r="L627" i="10"/>
  <c r="J627" i="10"/>
  <c r="L626" i="10"/>
  <c r="J626" i="10"/>
  <c r="L625" i="10"/>
  <c r="J625" i="10"/>
  <c r="L624" i="10"/>
  <c r="J624" i="10"/>
  <c r="L623" i="10"/>
  <c r="J623" i="10"/>
  <c r="L622" i="10"/>
  <c r="J622" i="10"/>
  <c r="L621" i="10"/>
  <c r="J621" i="10"/>
  <c r="L620" i="10"/>
  <c r="J620" i="10"/>
  <c r="L619" i="10"/>
  <c r="J619" i="10"/>
  <c r="L618" i="10"/>
  <c r="J618" i="10"/>
  <c r="L617" i="10"/>
  <c r="J617" i="10"/>
  <c r="L616" i="10"/>
  <c r="J616" i="10"/>
  <c r="L615" i="10"/>
  <c r="J615" i="10"/>
  <c r="L614" i="10"/>
  <c r="J614" i="10"/>
  <c r="L613" i="10"/>
  <c r="J613" i="10"/>
  <c r="L612" i="10"/>
  <c r="J612" i="10"/>
  <c r="L611" i="10"/>
  <c r="J611" i="10"/>
  <c r="L610" i="10"/>
  <c r="J610" i="10"/>
  <c r="L609" i="10"/>
  <c r="J609" i="10"/>
  <c r="L608" i="10"/>
  <c r="J608" i="10"/>
  <c r="L607" i="10"/>
  <c r="J607" i="10"/>
  <c r="L606" i="10"/>
  <c r="J606" i="10"/>
  <c r="L605" i="10"/>
  <c r="J605" i="10"/>
  <c r="L604" i="10"/>
  <c r="J604" i="10"/>
  <c r="L603" i="10"/>
  <c r="J603" i="10"/>
  <c r="L602" i="10"/>
  <c r="J602" i="10"/>
  <c r="L601" i="10"/>
  <c r="J601" i="10"/>
  <c r="L600" i="10"/>
  <c r="J600" i="10"/>
  <c r="L599" i="10"/>
  <c r="J599" i="10"/>
  <c r="L598" i="10"/>
  <c r="J598" i="10"/>
  <c r="L597" i="10"/>
  <c r="J597" i="10"/>
  <c r="L596" i="10"/>
  <c r="J596" i="10"/>
  <c r="L595" i="10"/>
  <c r="J595" i="10"/>
  <c r="L594" i="10"/>
  <c r="J594" i="10"/>
  <c r="L593" i="10"/>
  <c r="J593" i="10"/>
  <c r="L592" i="10"/>
  <c r="J592" i="10"/>
  <c r="L591" i="10"/>
  <c r="J591" i="10"/>
  <c r="L590" i="10"/>
  <c r="J590" i="10"/>
  <c r="L589" i="10"/>
  <c r="J589" i="10"/>
  <c r="L588" i="10"/>
  <c r="J588" i="10"/>
  <c r="L587" i="10"/>
  <c r="J587" i="10"/>
  <c r="L586" i="10"/>
  <c r="J586" i="10"/>
  <c r="L585" i="10"/>
  <c r="J585" i="10"/>
  <c r="L584" i="10"/>
  <c r="J584" i="10"/>
  <c r="L583" i="10"/>
  <c r="J583" i="10"/>
  <c r="L582" i="10"/>
  <c r="J582" i="10"/>
  <c r="L581" i="10"/>
  <c r="J581" i="10"/>
  <c r="L580" i="10"/>
  <c r="J580" i="10"/>
  <c r="L579" i="10"/>
  <c r="J579" i="10"/>
  <c r="L578" i="10"/>
  <c r="J578" i="10"/>
  <c r="L577" i="10"/>
  <c r="J577" i="10"/>
  <c r="L576" i="10"/>
  <c r="J576" i="10"/>
  <c r="L575" i="10"/>
  <c r="J575" i="10"/>
  <c r="L574" i="10"/>
  <c r="J574" i="10"/>
  <c r="L573" i="10"/>
  <c r="J573" i="10"/>
  <c r="L572" i="10"/>
  <c r="J572" i="10"/>
  <c r="L571" i="10"/>
  <c r="J571" i="10"/>
  <c r="L570" i="10"/>
  <c r="J570" i="10"/>
  <c r="L569" i="10"/>
  <c r="J569" i="10"/>
  <c r="L568" i="10"/>
  <c r="J568" i="10"/>
  <c r="L567" i="10"/>
  <c r="J567" i="10"/>
  <c r="L566" i="10"/>
  <c r="J566" i="10"/>
  <c r="L565" i="10"/>
  <c r="J565" i="10"/>
  <c r="L564" i="10"/>
  <c r="J564" i="10"/>
  <c r="L563" i="10"/>
  <c r="J563" i="10"/>
  <c r="L562" i="10"/>
  <c r="J562" i="10"/>
  <c r="L561" i="10"/>
  <c r="J561" i="10"/>
  <c r="L560" i="10"/>
  <c r="J560" i="10"/>
  <c r="O23" i="10" s="1"/>
  <c r="L559" i="10"/>
  <c r="J559" i="10"/>
  <c r="M13" i="11" s="1"/>
  <c r="L558" i="10"/>
  <c r="J558" i="10"/>
  <c r="L557" i="10"/>
  <c r="J557" i="10"/>
  <c r="L556" i="10"/>
  <c r="J556" i="10"/>
  <c r="L555" i="10"/>
  <c r="J555" i="10"/>
  <c r="L554" i="10"/>
  <c r="J554" i="10"/>
  <c r="L553" i="10"/>
  <c r="J553" i="10"/>
  <c r="L552" i="10"/>
  <c r="J552" i="10"/>
  <c r="L551" i="10"/>
  <c r="J551" i="10"/>
  <c r="L550" i="10"/>
  <c r="J550" i="10"/>
  <c r="L549" i="10"/>
  <c r="J549" i="10"/>
  <c r="L548" i="10"/>
  <c r="J548" i="10"/>
  <c r="L547" i="10"/>
  <c r="J547" i="10"/>
  <c r="L546" i="10"/>
  <c r="J546" i="10"/>
  <c r="L545" i="10"/>
  <c r="J545" i="10"/>
  <c r="L544" i="10"/>
  <c r="J544" i="10"/>
  <c r="L543" i="10"/>
  <c r="J543" i="10"/>
  <c r="L542" i="10"/>
  <c r="J542" i="10"/>
  <c r="L541" i="10"/>
  <c r="J541" i="10"/>
  <c r="L540" i="10"/>
  <c r="J540" i="10"/>
  <c r="L539" i="10"/>
  <c r="J539" i="10"/>
  <c r="L538" i="10"/>
  <c r="J538" i="10"/>
  <c r="L537" i="10"/>
  <c r="J537" i="10"/>
  <c r="L536" i="10"/>
  <c r="J536" i="10"/>
  <c r="L535" i="10"/>
  <c r="J535" i="10"/>
  <c r="L534" i="10"/>
  <c r="J534" i="10"/>
  <c r="L533" i="10"/>
  <c r="J533" i="10"/>
  <c r="L532" i="10"/>
  <c r="J532" i="10"/>
  <c r="L531" i="10"/>
  <c r="J531" i="10"/>
  <c r="L530" i="10"/>
  <c r="J530" i="10"/>
  <c r="L529" i="10"/>
  <c r="J529" i="10"/>
  <c r="L528" i="10"/>
  <c r="J528" i="10"/>
  <c r="L527" i="10"/>
  <c r="J527" i="10"/>
  <c r="L526" i="10"/>
  <c r="J526" i="10"/>
  <c r="L525" i="10"/>
  <c r="J525" i="10"/>
  <c r="L524" i="10"/>
  <c r="J524" i="10"/>
  <c r="L523" i="10"/>
  <c r="J523" i="10"/>
  <c r="L522" i="10"/>
  <c r="J522" i="10"/>
  <c r="L521" i="10"/>
  <c r="J521" i="10"/>
  <c r="L520" i="10"/>
  <c r="J520" i="10"/>
  <c r="L519" i="10"/>
  <c r="J519" i="10"/>
  <c r="L518" i="10"/>
  <c r="J518" i="10"/>
  <c r="L517" i="10"/>
  <c r="J517" i="10"/>
  <c r="L516" i="10"/>
  <c r="J516" i="10"/>
  <c r="L515" i="10"/>
  <c r="J515" i="10"/>
  <c r="L514" i="10"/>
  <c r="J514" i="10"/>
  <c r="L513" i="10"/>
  <c r="J513" i="10"/>
  <c r="L512" i="10"/>
  <c r="J512" i="10"/>
  <c r="L511" i="10"/>
  <c r="J511" i="10"/>
  <c r="L510" i="10"/>
  <c r="J510" i="10"/>
  <c r="L509" i="10"/>
  <c r="J509" i="10"/>
  <c r="L508" i="10"/>
  <c r="J508" i="10"/>
  <c r="L507" i="10"/>
  <c r="J507" i="10"/>
  <c r="L506" i="10"/>
  <c r="J506" i="10"/>
  <c r="L505" i="10"/>
  <c r="J505" i="10"/>
  <c r="L504" i="10"/>
  <c r="J504" i="10"/>
  <c r="L503" i="10"/>
  <c r="J503" i="10"/>
  <c r="L502" i="10"/>
  <c r="J502" i="10"/>
  <c r="L501" i="10"/>
  <c r="J501" i="10"/>
  <c r="L500" i="10"/>
  <c r="J500" i="10"/>
  <c r="L499" i="10"/>
  <c r="J499" i="10"/>
  <c r="L498" i="10"/>
  <c r="J498" i="10"/>
  <c r="L497" i="10"/>
  <c r="J497" i="10"/>
  <c r="L496" i="10"/>
  <c r="J496" i="10"/>
  <c r="L495" i="10"/>
  <c r="J495" i="10"/>
  <c r="L494" i="10"/>
  <c r="J494" i="10"/>
  <c r="L493" i="10"/>
  <c r="J493" i="10"/>
  <c r="L492" i="10"/>
  <c r="J492" i="10"/>
  <c r="L491" i="10"/>
  <c r="J491" i="10"/>
  <c r="L490" i="10"/>
  <c r="J490" i="10"/>
  <c r="L489" i="10"/>
  <c r="J489" i="10"/>
  <c r="L488" i="10"/>
  <c r="J488" i="10"/>
  <c r="L487" i="10"/>
  <c r="J487" i="10"/>
  <c r="L486" i="10"/>
  <c r="J486" i="10"/>
  <c r="L485" i="10"/>
  <c r="J485" i="10"/>
  <c r="L484" i="10"/>
  <c r="J484" i="10"/>
  <c r="L483" i="10"/>
  <c r="J483" i="10"/>
  <c r="L482" i="10"/>
  <c r="J482" i="10"/>
  <c r="L481" i="10"/>
  <c r="J481" i="10"/>
  <c r="L480" i="10"/>
  <c r="J480" i="10"/>
  <c r="L479" i="10"/>
  <c r="J479" i="10"/>
  <c r="L478" i="10"/>
  <c r="J478" i="10"/>
  <c r="L477" i="10"/>
  <c r="J477" i="10"/>
  <c r="L476" i="10"/>
  <c r="J476" i="10"/>
  <c r="L475" i="10"/>
  <c r="J475" i="10"/>
  <c r="L474" i="10"/>
  <c r="J474" i="10"/>
  <c r="L473" i="10"/>
  <c r="J473" i="10"/>
  <c r="L472" i="10"/>
  <c r="J472" i="10"/>
  <c r="L471" i="10"/>
  <c r="J471" i="10"/>
  <c r="L470" i="10"/>
  <c r="J470" i="10"/>
  <c r="L469" i="10"/>
  <c r="J469" i="10"/>
  <c r="L468" i="10"/>
  <c r="J468" i="10"/>
  <c r="L467" i="10"/>
  <c r="J467" i="10"/>
  <c r="L466" i="10"/>
  <c r="J466" i="10"/>
  <c r="L465" i="10"/>
  <c r="J465" i="10"/>
  <c r="L464" i="10"/>
  <c r="J464" i="10"/>
  <c r="L463" i="10"/>
  <c r="J463" i="10"/>
  <c r="L462" i="10"/>
  <c r="J462" i="10"/>
  <c r="L461" i="10"/>
  <c r="J461" i="10"/>
  <c r="L460" i="10"/>
  <c r="J460" i="10"/>
  <c r="L459" i="10"/>
  <c r="J459" i="10"/>
  <c r="L458" i="10"/>
  <c r="J458" i="10"/>
  <c r="L457" i="10"/>
  <c r="J457" i="10"/>
  <c r="L456" i="10"/>
  <c r="J456" i="10"/>
  <c r="L455" i="10"/>
  <c r="J455" i="10"/>
  <c r="L454" i="10"/>
  <c r="J454" i="10"/>
  <c r="L453" i="10"/>
  <c r="J453" i="10"/>
  <c r="L452" i="10"/>
  <c r="J452" i="10"/>
  <c r="L451" i="10"/>
  <c r="J451" i="10"/>
  <c r="L450" i="10"/>
  <c r="J450" i="10"/>
  <c r="L449" i="10"/>
  <c r="J449" i="10"/>
  <c r="L448" i="10"/>
  <c r="J448" i="10"/>
  <c r="L447" i="10"/>
  <c r="J447" i="10"/>
  <c r="L446" i="10"/>
  <c r="J446" i="10"/>
  <c r="L445" i="10"/>
  <c r="J445" i="10"/>
  <c r="L444" i="10"/>
  <c r="J444" i="10"/>
  <c r="L443" i="10"/>
  <c r="J443" i="10"/>
  <c r="L442" i="10"/>
  <c r="J442" i="10"/>
  <c r="L441" i="10"/>
  <c r="J441" i="10"/>
  <c r="L440" i="10"/>
  <c r="J440" i="10"/>
  <c r="L439" i="10"/>
  <c r="J439" i="10"/>
  <c r="L438" i="10"/>
  <c r="J438" i="10"/>
  <c r="L437" i="10"/>
  <c r="J437" i="10"/>
  <c r="L436" i="10"/>
  <c r="J436" i="10"/>
  <c r="L435" i="10"/>
  <c r="J435" i="10"/>
  <c r="L434" i="10"/>
  <c r="J434" i="10"/>
  <c r="L433" i="10"/>
  <c r="J433" i="10"/>
  <c r="L432" i="10"/>
  <c r="J432" i="10"/>
  <c r="L431" i="10"/>
  <c r="J431" i="10"/>
  <c r="L430" i="10"/>
  <c r="J430" i="10"/>
  <c r="L429" i="10"/>
  <c r="J429" i="10"/>
  <c r="L428" i="10"/>
  <c r="J428" i="10"/>
  <c r="L427" i="10"/>
  <c r="J427" i="10"/>
  <c r="L426" i="10"/>
  <c r="J426" i="10"/>
  <c r="L425" i="10"/>
  <c r="J425" i="10"/>
  <c r="L424" i="10"/>
  <c r="J424" i="10"/>
  <c r="L423" i="10"/>
  <c r="J423" i="10"/>
  <c r="L422" i="10"/>
  <c r="J422" i="10"/>
  <c r="L421" i="10"/>
  <c r="J421" i="10"/>
  <c r="L420" i="10"/>
  <c r="J420" i="10"/>
  <c r="L419" i="10"/>
  <c r="J419" i="10"/>
  <c r="L418" i="10"/>
  <c r="J418" i="10"/>
  <c r="L417" i="10"/>
  <c r="J417" i="10"/>
  <c r="L416" i="10"/>
  <c r="J416" i="10"/>
  <c r="L415" i="10"/>
  <c r="J415" i="10"/>
  <c r="L414" i="10"/>
  <c r="J414" i="10"/>
  <c r="L413" i="10"/>
  <c r="J413" i="10"/>
  <c r="L412" i="10"/>
  <c r="J412" i="10"/>
  <c r="L411" i="10"/>
  <c r="J411" i="10"/>
  <c r="L410" i="10"/>
  <c r="J410" i="10"/>
  <c r="L409" i="10"/>
  <c r="J409" i="10"/>
  <c r="L408" i="10"/>
  <c r="J408" i="10"/>
  <c r="L407" i="10"/>
  <c r="J407" i="10"/>
  <c r="L406" i="10"/>
  <c r="J406" i="10"/>
  <c r="L405" i="10"/>
  <c r="J405" i="10"/>
  <c r="L404" i="10"/>
  <c r="J404" i="10"/>
  <c r="L403" i="10"/>
  <c r="J403" i="10"/>
  <c r="L402" i="10"/>
  <c r="J402" i="10"/>
  <c r="L401" i="10"/>
  <c r="J401" i="10"/>
  <c r="L400" i="10"/>
  <c r="J400" i="10"/>
  <c r="L399" i="10"/>
  <c r="J399" i="10"/>
  <c r="L398" i="10"/>
  <c r="J398" i="10"/>
  <c r="L397" i="10"/>
  <c r="J397" i="10"/>
  <c r="L396" i="10"/>
  <c r="J396" i="10"/>
  <c r="L395" i="10"/>
  <c r="J395" i="10"/>
  <c r="L394" i="10"/>
  <c r="J394" i="10"/>
  <c r="L393" i="10"/>
  <c r="J393" i="10"/>
  <c r="L392" i="10"/>
  <c r="J392" i="10"/>
  <c r="L391" i="10"/>
  <c r="J391" i="10"/>
  <c r="L390" i="10"/>
  <c r="J390" i="10"/>
  <c r="L389" i="10"/>
  <c r="J389" i="10"/>
  <c r="L388" i="10"/>
  <c r="J388" i="10"/>
  <c r="L387" i="10"/>
  <c r="J387" i="10"/>
  <c r="L386" i="10"/>
  <c r="J386" i="10"/>
  <c r="L385" i="10"/>
  <c r="J385" i="10"/>
  <c r="L384" i="10"/>
  <c r="J384" i="10"/>
  <c r="L383" i="10"/>
  <c r="J383" i="10"/>
  <c r="L382" i="10"/>
  <c r="J382" i="10"/>
  <c r="L381" i="10"/>
  <c r="J381" i="10"/>
  <c r="L380" i="10"/>
  <c r="J380" i="10"/>
  <c r="L379" i="10"/>
  <c r="J379" i="10"/>
  <c r="L378" i="10"/>
  <c r="J378" i="10"/>
  <c r="L377" i="10"/>
  <c r="J377" i="10"/>
  <c r="L376" i="10"/>
  <c r="J376" i="10"/>
  <c r="L375" i="10"/>
  <c r="J375" i="10"/>
  <c r="L374" i="10"/>
  <c r="J374" i="10"/>
  <c r="L373" i="10"/>
  <c r="J373" i="10"/>
  <c r="L372" i="10"/>
  <c r="J372" i="10"/>
  <c r="L371" i="10"/>
  <c r="J371" i="10"/>
  <c r="L370" i="10"/>
  <c r="J370" i="10"/>
  <c r="L369" i="10"/>
  <c r="J369" i="10"/>
  <c r="L368" i="10"/>
  <c r="J368" i="10"/>
  <c r="L367" i="10"/>
  <c r="J367" i="10"/>
  <c r="L366" i="10"/>
  <c r="J366" i="10"/>
  <c r="L365" i="10"/>
  <c r="J365" i="10"/>
  <c r="L364" i="10"/>
  <c r="J364" i="10"/>
  <c r="L363" i="10"/>
  <c r="J363" i="10"/>
  <c r="L362" i="10"/>
  <c r="J362" i="10"/>
  <c r="L361" i="10"/>
  <c r="J361" i="10"/>
  <c r="L360" i="10"/>
  <c r="J360" i="10"/>
  <c r="L359" i="10"/>
  <c r="J359" i="10"/>
  <c r="L358" i="10"/>
  <c r="J358" i="10"/>
  <c r="L357" i="10"/>
  <c r="J357" i="10"/>
  <c r="L356" i="10"/>
  <c r="J356" i="10"/>
  <c r="L13" i="11" s="1"/>
  <c r="L355" i="10"/>
  <c r="J355" i="10"/>
  <c r="L354" i="10"/>
  <c r="J354" i="10"/>
  <c r="L353" i="10"/>
  <c r="J353" i="10"/>
  <c r="L352" i="10"/>
  <c r="J352" i="10"/>
  <c r="L351" i="10"/>
  <c r="J351" i="10"/>
  <c r="L350" i="10"/>
  <c r="J350" i="10"/>
  <c r="L349" i="10"/>
  <c r="J349" i="10"/>
  <c r="L348" i="10"/>
  <c r="J348" i="10"/>
  <c r="L347" i="10"/>
  <c r="J347" i="10"/>
  <c r="L346" i="10"/>
  <c r="J346" i="10"/>
  <c r="L345" i="10"/>
  <c r="J345" i="10"/>
  <c r="L344" i="10"/>
  <c r="J344" i="10"/>
  <c r="L343" i="10"/>
  <c r="J343" i="10"/>
  <c r="L342" i="10"/>
  <c r="J342" i="10"/>
  <c r="L341" i="10"/>
  <c r="J341" i="10"/>
  <c r="L340" i="10"/>
  <c r="J340" i="10"/>
  <c r="L339" i="10"/>
  <c r="J339" i="10"/>
  <c r="L338" i="10"/>
  <c r="J338" i="10"/>
  <c r="L337" i="10"/>
  <c r="J337" i="10"/>
  <c r="L336" i="10"/>
  <c r="J336" i="10"/>
  <c r="L335" i="10"/>
  <c r="J335" i="10"/>
  <c r="L334" i="10"/>
  <c r="J334" i="10"/>
  <c r="L333" i="10"/>
  <c r="J333" i="10"/>
  <c r="L332" i="10"/>
  <c r="J332" i="10"/>
  <c r="L331" i="10"/>
  <c r="J331" i="10"/>
  <c r="L330" i="10"/>
  <c r="J330" i="10"/>
  <c r="L329" i="10"/>
  <c r="J329" i="10"/>
  <c r="L328" i="10"/>
  <c r="J328" i="10"/>
  <c r="L327" i="10"/>
  <c r="J327" i="10"/>
  <c r="L326" i="10"/>
  <c r="J326" i="10"/>
  <c r="L325" i="10"/>
  <c r="J325" i="10"/>
  <c r="L324" i="10"/>
  <c r="J324" i="10"/>
  <c r="L323" i="10"/>
  <c r="J323" i="10"/>
  <c r="L322" i="10"/>
  <c r="J322" i="10"/>
  <c r="L321" i="10"/>
  <c r="J321" i="10"/>
  <c r="L320" i="10"/>
  <c r="J320" i="10"/>
  <c r="L319" i="10"/>
  <c r="J319" i="10"/>
  <c r="L318" i="10"/>
  <c r="J318" i="10"/>
  <c r="L317" i="10"/>
  <c r="J317" i="10"/>
  <c r="L316" i="10"/>
  <c r="J316" i="10"/>
  <c r="L315" i="10"/>
  <c r="J315" i="10"/>
  <c r="L314" i="10"/>
  <c r="J314" i="10"/>
  <c r="L313" i="10"/>
  <c r="J313" i="10"/>
  <c r="L312" i="10"/>
  <c r="J312" i="10"/>
  <c r="L311" i="10"/>
  <c r="J311" i="10"/>
  <c r="L310" i="10"/>
  <c r="J310" i="10"/>
  <c r="L309" i="10"/>
  <c r="J309" i="10"/>
  <c r="L308" i="10"/>
  <c r="J308" i="10"/>
  <c r="L307" i="10"/>
  <c r="J307" i="10"/>
  <c r="L306" i="10"/>
  <c r="J306" i="10"/>
  <c r="L305" i="10"/>
  <c r="J305" i="10"/>
  <c r="L304" i="10"/>
  <c r="J304" i="10"/>
  <c r="L303" i="10"/>
  <c r="J303" i="10"/>
  <c r="L302" i="10"/>
  <c r="J302" i="10"/>
  <c r="L301" i="10"/>
  <c r="J301" i="10"/>
  <c r="L300" i="10"/>
  <c r="J300" i="10"/>
  <c r="L299" i="10"/>
  <c r="J299" i="10"/>
  <c r="L298" i="10"/>
  <c r="J298" i="10"/>
  <c r="L297" i="10"/>
  <c r="J297" i="10"/>
  <c r="L296" i="10"/>
  <c r="J296" i="10"/>
  <c r="L295" i="10"/>
  <c r="J295" i="10"/>
  <c r="L294" i="10"/>
  <c r="J294" i="10"/>
  <c r="L293" i="10"/>
  <c r="J293" i="10"/>
  <c r="L292" i="10"/>
  <c r="J292" i="10"/>
  <c r="L291" i="10"/>
  <c r="J291" i="10"/>
  <c r="L290" i="10"/>
  <c r="J290" i="10"/>
  <c r="L289" i="10"/>
  <c r="J289" i="10"/>
  <c r="L288" i="10"/>
  <c r="J288" i="10"/>
  <c r="L287" i="10"/>
  <c r="J287" i="10"/>
  <c r="L286" i="10"/>
  <c r="J286" i="10"/>
  <c r="L285" i="10"/>
  <c r="J285" i="10"/>
  <c r="L284" i="10"/>
  <c r="J284" i="10"/>
  <c r="L283" i="10"/>
  <c r="J283" i="10"/>
  <c r="L282" i="10"/>
  <c r="J282" i="10"/>
  <c r="L281" i="10"/>
  <c r="J281" i="10"/>
  <c r="L280" i="10"/>
  <c r="J280" i="10"/>
  <c r="L279" i="10"/>
  <c r="J279" i="10"/>
  <c r="L278" i="10"/>
  <c r="J278" i="10"/>
  <c r="L277" i="10"/>
  <c r="J277" i="10"/>
  <c r="L276" i="10"/>
  <c r="J276" i="10"/>
  <c r="L275" i="10"/>
  <c r="J275" i="10"/>
  <c r="L274" i="10"/>
  <c r="J274" i="10"/>
  <c r="L273" i="10"/>
  <c r="J273" i="10"/>
  <c r="L272" i="10"/>
  <c r="J272" i="10"/>
  <c r="L271" i="10"/>
  <c r="J271" i="10"/>
  <c r="L270" i="10"/>
  <c r="J270" i="10"/>
  <c r="L269" i="10"/>
  <c r="J269" i="10"/>
  <c r="L268" i="10"/>
  <c r="J268" i="10"/>
  <c r="L267" i="10"/>
  <c r="J267" i="10"/>
  <c r="L266" i="10"/>
  <c r="J266" i="10"/>
  <c r="L265" i="10"/>
  <c r="J265" i="10"/>
  <c r="L264" i="10"/>
  <c r="J264" i="10"/>
  <c r="L263" i="10"/>
  <c r="J263" i="10"/>
  <c r="L262" i="10"/>
  <c r="J262" i="10"/>
  <c r="L261" i="10"/>
  <c r="J261" i="10"/>
  <c r="L260" i="10"/>
  <c r="J260" i="10"/>
  <c r="L259" i="10"/>
  <c r="J259" i="10"/>
  <c r="L258" i="10"/>
  <c r="J258" i="10"/>
  <c r="L257" i="10"/>
  <c r="J257" i="10"/>
  <c r="L256" i="10"/>
  <c r="J256" i="10"/>
  <c r="L255" i="10"/>
  <c r="J255" i="10"/>
  <c r="L254" i="10"/>
  <c r="J254" i="10"/>
  <c r="L253" i="10"/>
  <c r="J253" i="10"/>
  <c r="L252" i="10"/>
  <c r="J252" i="10"/>
  <c r="L251" i="10"/>
  <c r="J251" i="10"/>
  <c r="L250" i="10"/>
  <c r="J250" i="10"/>
  <c r="L249" i="10"/>
  <c r="J249" i="10"/>
  <c r="L248" i="10"/>
  <c r="J248" i="10"/>
  <c r="L247" i="10"/>
  <c r="J247" i="10"/>
  <c r="L246" i="10"/>
  <c r="J246" i="10"/>
  <c r="L245" i="10"/>
  <c r="J245" i="10"/>
  <c r="L244" i="10"/>
  <c r="J244" i="10"/>
  <c r="L243" i="10"/>
  <c r="J243" i="10"/>
  <c r="L242" i="10"/>
  <c r="J242" i="10"/>
  <c r="L241" i="10"/>
  <c r="J241" i="10"/>
  <c r="L240" i="10"/>
  <c r="J240" i="10"/>
  <c r="L239" i="10"/>
  <c r="J239" i="10"/>
  <c r="L238" i="10"/>
  <c r="J238" i="10"/>
  <c r="L237" i="10"/>
  <c r="J237" i="10"/>
  <c r="L236" i="10"/>
  <c r="J236" i="10"/>
  <c r="L235" i="10"/>
  <c r="J235" i="10"/>
  <c r="L234" i="10"/>
  <c r="J234" i="10"/>
  <c r="L233" i="10"/>
  <c r="J233" i="10"/>
  <c r="L232" i="10"/>
  <c r="J232" i="10"/>
  <c r="L231" i="10"/>
  <c r="J231" i="10"/>
  <c r="L230" i="10"/>
  <c r="J230" i="10"/>
  <c r="L229" i="10"/>
  <c r="J229" i="10"/>
  <c r="L228" i="10"/>
  <c r="J228" i="10"/>
  <c r="L227" i="10"/>
  <c r="J227" i="10"/>
  <c r="L226" i="10"/>
  <c r="J226" i="10"/>
  <c r="L225" i="10"/>
  <c r="J225" i="10"/>
  <c r="L224" i="10"/>
  <c r="J224" i="10"/>
  <c r="L223" i="10"/>
  <c r="J223" i="10"/>
  <c r="L222" i="10"/>
  <c r="J222" i="10"/>
  <c r="L221" i="10"/>
  <c r="J221" i="10"/>
  <c r="L220" i="10"/>
  <c r="J220" i="10"/>
  <c r="L219" i="10"/>
  <c r="J219" i="10"/>
  <c r="L218" i="10"/>
  <c r="J218" i="10"/>
  <c r="L217" i="10"/>
  <c r="J217" i="10"/>
  <c r="L216" i="10"/>
  <c r="J216" i="10"/>
  <c r="L215" i="10"/>
  <c r="J215" i="10"/>
  <c r="L214" i="10"/>
  <c r="J214" i="10"/>
  <c r="L213" i="10"/>
  <c r="J213" i="10"/>
  <c r="L212" i="10"/>
  <c r="J212" i="10"/>
  <c r="L211" i="10"/>
  <c r="J211" i="10"/>
  <c r="L210" i="10"/>
  <c r="J210" i="10"/>
  <c r="L209" i="10"/>
  <c r="J209" i="10"/>
  <c r="L208" i="10"/>
  <c r="J208" i="10"/>
  <c r="L207" i="10"/>
  <c r="J207" i="10"/>
  <c r="L206" i="10"/>
  <c r="J206" i="10"/>
  <c r="L205" i="10"/>
  <c r="J205" i="10"/>
  <c r="L204" i="10"/>
  <c r="J204" i="10"/>
  <c r="L203" i="10"/>
  <c r="J203" i="10"/>
  <c r="L202" i="10"/>
  <c r="J202" i="10"/>
  <c r="L201" i="10"/>
  <c r="J201" i="10"/>
  <c r="L200" i="10"/>
  <c r="J200" i="10"/>
  <c r="L199" i="10"/>
  <c r="J199" i="10"/>
  <c r="L198" i="10"/>
  <c r="J198" i="10"/>
  <c r="L197" i="10"/>
  <c r="J197" i="10"/>
  <c r="L196" i="10"/>
  <c r="J196" i="10"/>
  <c r="L195" i="10"/>
  <c r="J195" i="10"/>
  <c r="L194" i="10"/>
  <c r="J194" i="10"/>
  <c r="L193" i="10"/>
  <c r="J193" i="10"/>
  <c r="L192" i="10"/>
  <c r="J192" i="10"/>
  <c r="L191" i="10"/>
  <c r="J191" i="10"/>
  <c r="L190" i="10"/>
  <c r="J190" i="10"/>
  <c r="L189" i="10"/>
  <c r="J189" i="10"/>
  <c r="L188" i="10"/>
  <c r="J188" i="10"/>
  <c r="L187" i="10"/>
  <c r="J187" i="10"/>
  <c r="L186" i="10"/>
  <c r="J186" i="10"/>
  <c r="L185" i="10"/>
  <c r="J185" i="10"/>
  <c r="L184" i="10"/>
  <c r="J184" i="10"/>
  <c r="L183" i="10"/>
  <c r="J183" i="10"/>
  <c r="L182" i="10"/>
  <c r="J182" i="10"/>
  <c r="L181" i="10"/>
  <c r="J181" i="10"/>
  <c r="L180" i="10"/>
  <c r="J180" i="10"/>
  <c r="L179" i="10"/>
  <c r="J179" i="10"/>
  <c r="L178" i="10"/>
  <c r="J178" i="10"/>
  <c r="L177" i="10"/>
  <c r="J177" i="10"/>
  <c r="L176" i="10"/>
  <c r="J176" i="10"/>
  <c r="L175" i="10"/>
  <c r="J175" i="10"/>
  <c r="L174" i="10"/>
  <c r="J174" i="10"/>
  <c r="L173" i="10"/>
  <c r="J173" i="10"/>
  <c r="L172" i="10"/>
  <c r="J172" i="10"/>
  <c r="L171" i="10"/>
  <c r="J171" i="10"/>
  <c r="L170" i="10"/>
  <c r="J170" i="10"/>
  <c r="L169" i="10"/>
  <c r="J169" i="10"/>
  <c r="L168" i="10"/>
  <c r="J168" i="10"/>
  <c r="L167" i="10"/>
  <c r="J167" i="10"/>
  <c r="L166" i="10"/>
  <c r="J166" i="10"/>
  <c r="L165" i="10"/>
  <c r="J165" i="10"/>
  <c r="L164" i="10"/>
  <c r="J164" i="10"/>
  <c r="L163" i="10"/>
  <c r="J163" i="10"/>
  <c r="L162" i="10"/>
  <c r="J162" i="10"/>
  <c r="L161" i="10"/>
  <c r="J161" i="10"/>
  <c r="L160" i="10"/>
  <c r="J160" i="10"/>
  <c r="L159" i="10"/>
  <c r="J159" i="10"/>
  <c r="L158" i="10"/>
  <c r="J158" i="10"/>
  <c r="L157" i="10"/>
  <c r="J157" i="10"/>
  <c r="L156" i="10"/>
  <c r="J156" i="10"/>
  <c r="L155" i="10"/>
  <c r="J155" i="10"/>
  <c r="L154" i="10"/>
  <c r="J154" i="10"/>
  <c r="L153" i="10"/>
  <c r="J153" i="10"/>
  <c r="L152" i="10"/>
  <c r="J152" i="10"/>
  <c r="L151" i="10"/>
  <c r="J151" i="10"/>
  <c r="L150" i="10"/>
  <c r="J150" i="10"/>
  <c r="L149" i="10"/>
  <c r="J149" i="10"/>
  <c r="L148" i="10"/>
  <c r="J148" i="10"/>
  <c r="L147" i="10"/>
  <c r="J147" i="10"/>
  <c r="L146" i="10"/>
  <c r="J146" i="10"/>
  <c r="L145" i="10"/>
  <c r="J145" i="10"/>
  <c r="L144" i="10"/>
  <c r="J144" i="10"/>
  <c r="L143" i="10"/>
  <c r="J143" i="10"/>
  <c r="L142" i="10"/>
  <c r="J142" i="10"/>
  <c r="L141" i="10"/>
  <c r="J141" i="10"/>
  <c r="L140" i="10"/>
  <c r="J140" i="10"/>
  <c r="L139" i="10"/>
  <c r="J139" i="10"/>
  <c r="L138" i="10"/>
  <c r="J138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31" i="10"/>
  <c r="J131" i="10"/>
  <c r="L130" i="10"/>
  <c r="J130" i="10"/>
  <c r="L129" i="10"/>
  <c r="J129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5" i="10"/>
  <c r="J115" i="10"/>
  <c r="L114" i="10"/>
  <c r="J114" i="10"/>
  <c r="L113" i="10"/>
  <c r="J113" i="10"/>
  <c r="L112" i="10"/>
  <c r="J112" i="10"/>
  <c r="L111" i="10"/>
  <c r="J111" i="10"/>
  <c r="L110" i="10"/>
  <c r="J110" i="10"/>
  <c r="L109" i="10"/>
  <c r="J109" i="10"/>
  <c r="L108" i="10"/>
  <c r="J108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9" i="10"/>
  <c r="J99" i="10"/>
  <c r="L98" i="10"/>
  <c r="J98" i="10"/>
  <c r="L97" i="10"/>
  <c r="J97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67" i="10"/>
  <c r="J67" i="10"/>
  <c r="L66" i="10"/>
  <c r="J66" i="10"/>
  <c r="L65" i="10"/>
  <c r="J65" i="10"/>
  <c r="L64" i="10"/>
  <c r="J64" i="10"/>
  <c r="L63" i="10"/>
  <c r="J63" i="10"/>
  <c r="L62" i="10"/>
  <c r="J62" i="10"/>
  <c r="L61" i="10"/>
  <c r="J61" i="10"/>
  <c r="L60" i="10"/>
  <c r="J60" i="10"/>
  <c r="L59" i="10"/>
  <c r="J59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9" i="10"/>
  <c r="J49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40" i="10"/>
  <c r="J40" i="10"/>
  <c r="L39" i="10"/>
  <c r="J39" i="10"/>
  <c r="L38" i="10"/>
  <c r="J38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6" i="10"/>
  <c r="J26" i="10"/>
  <c r="L25" i="10"/>
  <c r="J25" i="10"/>
  <c r="N24" i="10"/>
  <c r="L24" i="10"/>
  <c r="J24" i="10"/>
  <c r="P23" i="10"/>
  <c r="N23" i="10"/>
  <c r="L23" i="10"/>
  <c r="J23" i="10"/>
  <c r="P22" i="10"/>
  <c r="N22" i="10"/>
  <c r="L22" i="10"/>
  <c r="J22" i="10"/>
  <c r="P21" i="10"/>
  <c r="N21" i="10"/>
  <c r="L21" i="10"/>
  <c r="J21" i="10"/>
  <c r="P20" i="10"/>
  <c r="N20" i="10"/>
  <c r="L20" i="10"/>
  <c r="J20" i="10"/>
  <c r="P19" i="10"/>
  <c r="N19" i="10"/>
  <c r="L19" i="10"/>
  <c r="J19" i="10"/>
  <c r="P18" i="10"/>
  <c r="N18" i="10"/>
  <c r="L18" i="10"/>
  <c r="J18" i="10"/>
  <c r="P17" i="10"/>
  <c r="N17" i="10"/>
  <c r="L17" i="10"/>
  <c r="J17" i="10"/>
  <c r="P16" i="10"/>
  <c r="O16" i="10"/>
  <c r="N16" i="10"/>
  <c r="L16" i="10"/>
  <c r="J16" i="10"/>
  <c r="P15" i="10"/>
  <c r="O15" i="10"/>
  <c r="N15" i="10"/>
  <c r="L15" i="10"/>
  <c r="J15" i="10"/>
  <c r="P14" i="10"/>
  <c r="O14" i="10"/>
  <c r="N14" i="10"/>
  <c r="L14" i="10"/>
  <c r="J14" i="10"/>
  <c r="P13" i="10"/>
  <c r="O13" i="10"/>
  <c r="N13" i="10"/>
  <c r="L13" i="10"/>
  <c r="J13" i="10"/>
  <c r="P12" i="10"/>
  <c r="O12" i="10"/>
  <c r="N12" i="10"/>
  <c r="L12" i="10"/>
  <c r="J12" i="10"/>
  <c r="L11" i="10"/>
  <c r="J11" i="10"/>
  <c r="L10" i="10"/>
  <c r="J10" i="10"/>
  <c r="L9" i="10"/>
  <c r="J9" i="10"/>
  <c r="P8" i="10"/>
  <c r="N8" i="10"/>
  <c r="L8" i="10"/>
  <c r="J8" i="10"/>
  <c r="P7" i="10"/>
  <c r="O7" i="10"/>
  <c r="N7" i="10"/>
  <c r="L7" i="10"/>
  <c r="J7" i="10"/>
  <c r="P6" i="10"/>
  <c r="O6" i="10"/>
  <c r="N6" i="10"/>
  <c r="L6" i="10"/>
  <c r="J6" i="10"/>
  <c r="P5" i="10"/>
  <c r="N5" i="10"/>
  <c r="B388" i="9"/>
  <c r="A388" i="9"/>
  <c r="B387" i="9"/>
  <c r="A387" i="9"/>
  <c r="B386" i="9"/>
  <c r="A386" i="9"/>
  <c r="B385" i="9"/>
  <c r="A385" i="9"/>
  <c r="B384" i="9"/>
  <c r="A384" i="9"/>
  <c r="B383" i="9"/>
  <c r="A383" i="9"/>
  <c r="B382" i="9"/>
  <c r="A382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B322" i="9"/>
  <c r="A322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182" i="9"/>
  <c r="A182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B161" i="9"/>
  <c r="A161" i="9"/>
  <c r="B160" i="9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A11" i="8"/>
  <c r="A8" i="8"/>
  <c r="A7" i="8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5" i="4"/>
  <c r="I44" i="4"/>
  <c r="A10" i="8" s="1"/>
  <c r="I43" i="4"/>
  <c r="I42" i="4"/>
  <c r="I41" i="4"/>
  <c r="I40" i="4"/>
  <c r="I39" i="4"/>
  <c r="C35" i="4"/>
  <c r="B35" i="4"/>
  <c r="K19" i="4"/>
  <c r="J19" i="4"/>
  <c r="J18" i="4"/>
  <c r="K18" i="4" s="1"/>
  <c r="J17" i="4"/>
  <c r="K17" i="4" s="1"/>
  <c r="K16" i="4"/>
  <c r="J16" i="4"/>
  <c r="K15" i="4"/>
  <c r="J15" i="4"/>
  <c r="J14" i="4"/>
  <c r="K14" i="4" s="1"/>
  <c r="D10" i="4"/>
  <c r="D9" i="4"/>
  <c r="D8" i="4"/>
  <c r="D7" i="4"/>
  <c r="D6" i="4"/>
  <c r="D5" i="4"/>
  <c r="M8" i="14" l="1"/>
  <c r="E8" i="14"/>
  <c r="G8" i="14"/>
  <c r="F8" i="14"/>
  <c r="D8" i="14"/>
  <c r="L8" i="14"/>
  <c r="C8" i="14"/>
  <c r="K8" i="14"/>
  <c r="B8" i="14"/>
  <c r="J8" i="14"/>
  <c r="I8" i="14"/>
  <c r="H8" i="14"/>
  <c r="E104" i="22"/>
  <c r="E96" i="22"/>
  <c r="E88" i="22"/>
  <c r="E103" i="22"/>
  <c r="E95" i="22"/>
  <c r="E87" i="22"/>
  <c r="E102" i="22"/>
  <c r="E101" i="22"/>
  <c r="E100" i="22"/>
  <c r="E99" i="22"/>
  <c r="E98" i="22"/>
  <c r="E97" i="22"/>
  <c r="E86" i="22"/>
  <c r="E78" i="22"/>
  <c r="E70" i="22"/>
  <c r="E62" i="22"/>
  <c r="E107" i="22"/>
  <c r="E105" i="22"/>
  <c r="E89" i="22"/>
  <c r="E69" i="22"/>
  <c r="E64" i="22"/>
  <c r="E60" i="22"/>
  <c r="E90" i="22"/>
  <c r="E82" i="22"/>
  <c r="E73" i="22"/>
  <c r="E59" i="22"/>
  <c r="E92" i="22"/>
  <c r="E91" i="22"/>
  <c r="E77" i="22"/>
  <c r="E72" i="22"/>
  <c r="E68" i="22"/>
  <c r="E63" i="22"/>
  <c r="E93" i="22"/>
  <c r="E81" i="22"/>
  <c r="E67" i="22"/>
  <c r="E58" i="22"/>
  <c r="E94" i="22"/>
  <c r="E75" i="22"/>
  <c r="E66" i="22"/>
  <c r="E57" i="22"/>
  <c r="E106" i="22"/>
  <c r="E76" i="22"/>
  <c r="E65" i="22"/>
  <c r="E85" i="22"/>
  <c r="E74" i="22"/>
  <c r="E61" i="22"/>
  <c r="E83" i="22"/>
  <c r="E79" i="22"/>
  <c r="E84" i="22"/>
  <c r="E56" i="22"/>
  <c r="E80" i="22"/>
  <c r="B23" i="18"/>
  <c r="E71" i="22"/>
  <c r="A6" i="8"/>
  <c r="L5" i="14"/>
  <c r="D5" i="14"/>
  <c r="I5" i="14"/>
  <c r="H5" i="14"/>
  <c r="G5" i="14"/>
  <c r="F5" i="14"/>
  <c r="E5" i="14"/>
  <c r="M5" i="14"/>
  <c r="C5" i="14"/>
  <c r="K5" i="14"/>
  <c r="B5" i="14"/>
  <c r="J5" i="14"/>
  <c r="K10" i="14"/>
  <c r="C10" i="14"/>
  <c r="H10" i="14"/>
  <c r="G10" i="14"/>
  <c r="F10" i="14"/>
  <c r="E10" i="14"/>
  <c r="M10" i="14"/>
  <c r="D10" i="14"/>
  <c r="L10" i="14"/>
  <c r="B10" i="14"/>
  <c r="J10" i="14"/>
  <c r="I10" i="14"/>
  <c r="J7" i="14"/>
  <c r="B7" i="14"/>
  <c r="K7" i="14"/>
  <c r="I7" i="14"/>
  <c r="H7" i="14"/>
  <c r="G7" i="14"/>
  <c r="F7" i="14"/>
  <c r="E7" i="14"/>
  <c r="M7" i="14"/>
  <c r="D7" i="14"/>
  <c r="L7" i="14"/>
  <c r="C7" i="14"/>
  <c r="E54" i="22"/>
  <c r="E46" i="22"/>
  <c r="E55" i="22"/>
  <c r="E50" i="22"/>
  <c r="E42" i="22"/>
  <c r="E45" i="22"/>
  <c r="E39" i="22"/>
  <c r="E49" i="22"/>
  <c r="E38" i="22"/>
  <c r="E30" i="22"/>
  <c r="E22" i="22"/>
  <c r="E14" i="22"/>
  <c r="E6" i="22"/>
  <c r="E52" i="22"/>
  <c r="E41" i="22"/>
  <c r="E29" i="22"/>
  <c r="E24" i="22"/>
  <c r="E20" i="22"/>
  <c r="E15" i="22"/>
  <c r="E48" i="22"/>
  <c r="E33" i="22"/>
  <c r="E19" i="22"/>
  <c r="E10" i="22"/>
  <c r="E37" i="22"/>
  <c r="E32" i="22"/>
  <c r="E28" i="22"/>
  <c r="E23" i="22"/>
  <c r="E5" i="22"/>
  <c r="E44" i="22"/>
  <c r="E27" i="22"/>
  <c r="E18" i="22"/>
  <c r="E9" i="22"/>
  <c r="E53" i="22"/>
  <c r="E36" i="22"/>
  <c r="E31" i="22"/>
  <c r="E13" i="22"/>
  <c r="E8" i="22"/>
  <c r="E4" i="22"/>
  <c r="E51" i="22"/>
  <c r="E47" i="22"/>
  <c r="E40" i="22"/>
  <c r="E35" i="22"/>
  <c r="E26" i="22"/>
  <c r="E17" i="22"/>
  <c r="E21" i="22"/>
  <c r="E16" i="22"/>
  <c r="E12" i="22"/>
  <c r="E7" i="22"/>
  <c r="E34" i="22"/>
  <c r="B22" i="18"/>
  <c r="E25" i="22"/>
  <c r="E43" i="22"/>
  <c r="E11" i="22"/>
  <c r="E361" i="22"/>
  <c r="E353" i="22"/>
  <c r="E345" i="22"/>
  <c r="E366" i="22"/>
  <c r="E358" i="22"/>
  <c r="E363" i="22"/>
  <c r="E360" i="22"/>
  <c r="E352" i="22"/>
  <c r="E344" i="22"/>
  <c r="E362" i="22"/>
  <c r="E354" i="22"/>
  <c r="E346" i="22"/>
  <c r="E338" i="22"/>
  <c r="E330" i="22"/>
  <c r="E322" i="22"/>
  <c r="E364" i="22"/>
  <c r="E359" i="22"/>
  <c r="E347" i="22"/>
  <c r="E336" i="22"/>
  <c r="E331" i="22"/>
  <c r="E367" i="22"/>
  <c r="E349" i="22"/>
  <c r="E365" i="22"/>
  <c r="E351" i="22"/>
  <c r="E327" i="22"/>
  <c r="E318" i="22"/>
  <c r="E317" i="22"/>
  <c r="E356" i="22"/>
  <c r="E337" i="22"/>
  <c r="E321" i="22"/>
  <c r="E320" i="22"/>
  <c r="E343" i="22"/>
  <c r="E324" i="22"/>
  <c r="E355" i="22"/>
  <c r="E340" i="22"/>
  <c r="E326" i="22"/>
  <c r="E325" i="22"/>
  <c r="E323" i="22"/>
  <c r="E329" i="22"/>
  <c r="E357" i="22"/>
  <c r="E350" i="22"/>
  <c r="E348" i="22"/>
  <c r="E341" i="22"/>
  <c r="E335" i="22"/>
  <c r="E334" i="22"/>
  <c r="E333" i="22"/>
  <c r="E332" i="22"/>
  <c r="E316" i="22"/>
  <c r="E339" i="22"/>
  <c r="E342" i="22"/>
  <c r="E328" i="22"/>
  <c r="E319" i="22"/>
  <c r="B28" i="18"/>
  <c r="H9" i="14"/>
  <c r="L9" i="14"/>
  <c r="C9" i="14"/>
  <c r="K9" i="14"/>
  <c r="B9" i="14"/>
  <c r="J9" i="14"/>
  <c r="I9" i="14"/>
  <c r="G9" i="14"/>
  <c r="F9" i="14"/>
  <c r="E9" i="14"/>
  <c r="M9" i="14"/>
  <c r="D9" i="14"/>
  <c r="E314" i="22"/>
  <c r="E306" i="22"/>
  <c r="E313" i="22"/>
  <c r="E308" i="22"/>
  <c r="E304" i="22"/>
  <c r="E294" i="22"/>
  <c r="E286" i="22"/>
  <c r="E309" i="22"/>
  <c r="E297" i="22"/>
  <c r="E289" i="22"/>
  <c r="E281" i="22"/>
  <c r="E307" i="22"/>
  <c r="E305" i="22"/>
  <c r="E311" i="22"/>
  <c r="E310" i="22"/>
  <c r="E292" i="22"/>
  <c r="E290" i="22"/>
  <c r="E280" i="22"/>
  <c r="E277" i="22"/>
  <c r="E269" i="22"/>
  <c r="E315" i="22"/>
  <c r="E287" i="22"/>
  <c r="E279" i="22"/>
  <c r="E271" i="22"/>
  <c r="E282" i="22"/>
  <c r="E276" i="22"/>
  <c r="E312" i="22"/>
  <c r="E293" i="22"/>
  <c r="E283" i="22"/>
  <c r="E275" i="22"/>
  <c r="E274" i="22"/>
  <c r="E273" i="22"/>
  <c r="E302" i="22"/>
  <c r="E288" i="22"/>
  <c r="E272" i="22"/>
  <c r="E300" i="22"/>
  <c r="E296" i="22"/>
  <c r="E295" i="22"/>
  <c r="E284" i="22"/>
  <c r="E268" i="22"/>
  <c r="E285" i="22"/>
  <c r="E267" i="22"/>
  <c r="E266" i="22"/>
  <c r="E265" i="22"/>
  <c r="E299" i="22"/>
  <c r="E303" i="22"/>
  <c r="E298" i="22"/>
  <c r="E291" i="22"/>
  <c r="E301" i="22"/>
  <c r="E278" i="22"/>
  <c r="E270" i="22"/>
  <c r="E264" i="22"/>
  <c r="B27" i="18"/>
  <c r="G6" i="14"/>
  <c r="E6" i="14"/>
  <c r="M6" i="14"/>
  <c r="D6" i="14"/>
  <c r="L6" i="14"/>
  <c r="C6" i="14"/>
  <c r="K6" i="14"/>
  <c r="B6" i="14"/>
  <c r="J6" i="14"/>
  <c r="I6" i="14"/>
  <c r="H6" i="14"/>
  <c r="F6" i="14"/>
  <c r="A5" i="8"/>
  <c r="E261" i="22"/>
  <c r="E263" i="22"/>
  <c r="E255" i="22"/>
  <c r="E247" i="22"/>
  <c r="E239" i="22"/>
  <c r="E254" i="22"/>
  <c r="E249" i="22"/>
  <c r="E245" i="22"/>
  <c r="E240" i="22"/>
  <c r="E226" i="22"/>
  <c r="E252" i="22"/>
  <c r="E243" i="22"/>
  <c r="E234" i="22"/>
  <c r="E225" i="22"/>
  <c r="E258" i="22"/>
  <c r="E257" i="22"/>
  <c r="E241" i="22"/>
  <c r="E259" i="22"/>
  <c r="E242" i="22"/>
  <c r="E260" i="22"/>
  <c r="E244" i="22"/>
  <c r="E262" i="22"/>
  <c r="E221" i="22"/>
  <c r="E217" i="22"/>
  <c r="E246" i="22"/>
  <c r="E251" i="22"/>
  <c r="E248" i="22"/>
  <c r="E250" i="22"/>
  <c r="E235" i="22"/>
  <c r="E219" i="22"/>
  <c r="E216" i="22"/>
  <c r="E230" i="22"/>
  <c r="E231" i="22"/>
  <c r="E253" i="22"/>
  <c r="E232" i="22"/>
  <c r="E218" i="22"/>
  <c r="E238" i="22"/>
  <c r="E227" i="22"/>
  <c r="E256" i="22"/>
  <c r="E236" i="22"/>
  <c r="E233" i="22"/>
  <c r="E222" i="22"/>
  <c r="E220" i="22"/>
  <c r="E228" i="22"/>
  <c r="E223" i="22"/>
  <c r="E215" i="22"/>
  <c r="E214" i="22"/>
  <c r="E213" i="22"/>
  <c r="E212" i="22"/>
  <c r="E229" i="22"/>
  <c r="E224" i="22"/>
  <c r="E237" i="22"/>
  <c r="B26" i="18"/>
  <c r="E158" i="22"/>
  <c r="E152" i="22"/>
  <c r="E144" i="22"/>
  <c r="E136" i="22"/>
  <c r="E128" i="22"/>
  <c r="E120" i="22"/>
  <c r="E112" i="22"/>
  <c r="E159" i="22"/>
  <c r="E151" i="22"/>
  <c r="E143" i="22"/>
  <c r="E135" i="22"/>
  <c r="E127" i="22"/>
  <c r="E119" i="22"/>
  <c r="E111" i="22"/>
  <c r="E150" i="22"/>
  <c r="E149" i="22"/>
  <c r="E148" i="22"/>
  <c r="E134" i="22"/>
  <c r="E133" i="22"/>
  <c r="E132" i="22"/>
  <c r="E118" i="22"/>
  <c r="E117" i="22"/>
  <c r="E116" i="22"/>
  <c r="E147" i="22"/>
  <c r="E146" i="22"/>
  <c r="E145" i="22"/>
  <c r="E131" i="22"/>
  <c r="E130" i="22"/>
  <c r="E129" i="22"/>
  <c r="E115" i="22"/>
  <c r="E114" i="22"/>
  <c r="E113" i="22"/>
  <c r="E142" i="22"/>
  <c r="E140" i="22"/>
  <c r="E109" i="22"/>
  <c r="E138" i="22"/>
  <c r="E156" i="22"/>
  <c r="E125" i="22"/>
  <c r="E154" i="22"/>
  <c r="E123" i="22"/>
  <c r="E121" i="22"/>
  <c r="E141" i="22"/>
  <c r="E110" i="22"/>
  <c r="E108" i="22"/>
  <c r="E126" i="22"/>
  <c r="E124" i="22"/>
  <c r="E139" i="22"/>
  <c r="E122" i="22"/>
  <c r="E155" i="22"/>
  <c r="E137" i="22"/>
  <c r="E153" i="22"/>
  <c r="E157" i="22"/>
  <c r="B24" i="18"/>
  <c r="E209" i="22"/>
  <c r="E201" i="22"/>
  <c r="E193" i="22"/>
  <c r="E208" i="22"/>
  <c r="E200" i="22"/>
  <c r="E192" i="22"/>
  <c r="E184" i="22"/>
  <c r="E183" i="22"/>
  <c r="E177" i="22"/>
  <c r="E169" i="22"/>
  <c r="E207" i="22"/>
  <c r="E206" i="22"/>
  <c r="E205" i="22"/>
  <c r="E187" i="22"/>
  <c r="E174" i="22"/>
  <c r="E166" i="22"/>
  <c r="E204" i="22"/>
  <c r="E203" i="22"/>
  <c r="E202" i="22"/>
  <c r="E191" i="22"/>
  <c r="E176" i="22"/>
  <c r="E168" i="22"/>
  <c r="E160" i="22"/>
  <c r="E190" i="22"/>
  <c r="E185" i="22"/>
  <c r="E181" i="22"/>
  <c r="E199" i="22"/>
  <c r="E198" i="22"/>
  <c r="E197" i="22"/>
  <c r="E211" i="22"/>
  <c r="E210" i="22"/>
  <c r="E196" i="22"/>
  <c r="E195" i="22"/>
  <c r="E194" i="22"/>
  <c r="E175" i="22"/>
  <c r="E167" i="22"/>
  <c r="E188" i="22"/>
  <c r="E186" i="22"/>
  <c r="E172" i="22"/>
  <c r="E182" i="22"/>
  <c r="E161" i="22"/>
  <c r="E180" i="22"/>
  <c r="E173" i="22"/>
  <c r="E162" i="22"/>
  <c r="E178" i="22"/>
  <c r="E170" i="22"/>
  <c r="E163" i="22"/>
  <c r="E189" i="22"/>
  <c r="E164" i="22"/>
  <c r="E171" i="22"/>
  <c r="E179" i="22"/>
  <c r="E165" i="22"/>
  <c r="B25" i="18"/>
  <c r="A9" i="8"/>
  <c r="J13" i="11"/>
  <c r="O20" i="10"/>
  <c r="O5" i="10"/>
  <c r="K13" i="11"/>
  <c r="N4" i="11"/>
  <c r="N11" i="11" s="1"/>
  <c r="B11" i="11"/>
  <c r="B13" i="11"/>
  <c r="O22" i="10"/>
  <c r="C3" i="19"/>
  <c r="E3" i="19"/>
  <c r="B4" i="19"/>
  <c r="D3" i="19"/>
  <c r="B3" i="20" s="1"/>
  <c r="J2074" i="10"/>
  <c r="J2030" i="10"/>
  <c r="J2073" i="10"/>
  <c r="J2052" i="10"/>
  <c r="J2094" i="10"/>
  <c r="J2090" i="10"/>
  <c r="J2086" i="10"/>
  <c r="J2082" i="10"/>
  <c r="J2078" i="10"/>
  <c r="J2070" i="10"/>
  <c r="J2066" i="10"/>
  <c r="J2062" i="10"/>
  <c r="J2058" i="10"/>
  <c r="J2054" i="10"/>
  <c r="J2050" i="10"/>
  <c r="J2046" i="10"/>
  <c r="J2042" i="10"/>
  <c r="J2038" i="10"/>
  <c r="J2034" i="10"/>
  <c r="J2026" i="10"/>
  <c r="J2022" i="10"/>
  <c r="J2018" i="10"/>
  <c r="J2014" i="10"/>
  <c r="J2010" i="10"/>
  <c r="J2006" i="10"/>
  <c r="J2002" i="10"/>
  <c r="J1998" i="10"/>
  <c r="J1994" i="10"/>
  <c r="J1990" i="10"/>
  <c r="J1986" i="10"/>
  <c r="J2093" i="10"/>
  <c r="J2089" i="10"/>
  <c r="J2085" i="10"/>
  <c r="J2081" i="10"/>
  <c r="J2077" i="10"/>
  <c r="J2069" i="10"/>
  <c r="J2065" i="10"/>
  <c r="J2061" i="10"/>
  <c r="J2092" i="10"/>
  <c r="J2088" i="10"/>
  <c r="J2084" i="10"/>
  <c r="J2080" i="10"/>
  <c r="J2076" i="10"/>
  <c r="J2072" i="10"/>
  <c r="J2068" i="10"/>
  <c r="J2064" i="10"/>
  <c r="J2060" i="10"/>
  <c r="J2056" i="10"/>
  <c r="J2048" i="10"/>
  <c r="J1922" i="10"/>
  <c r="J1918" i="10"/>
  <c r="J1914" i="10"/>
  <c r="J1910" i="10"/>
  <c r="J1906" i="10"/>
  <c r="J1902" i="10"/>
  <c r="J1898" i="10"/>
  <c r="J1894" i="10"/>
  <c r="J1890" i="10"/>
  <c r="J1886" i="10"/>
  <c r="J1882" i="10"/>
  <c r="J1878" i="10"/>
  <c r="J1874" i="10"/>
  <c r="J1870" i="10"/>
  <c r="J1866" i="10"/>
  <c r="J1862" i="10"/>
  <c r="G13" i="11" s="1"/>
  <c r="J1858" i="10"/>
  <c r="J1982" i="10"/>
  <c r="J1978" i="10"/>
  <c r="J1974" i="10"/>
  <c r="J1970" i="10"/>
  <c r="J1966" i="10"/>
  <c r="J1962" i="10"/>
  <c r="J1958" i="10"/>
  <c r="J1954" i="10"/>
  <c r="J1950" i="10"/>
  <c r="J1946" i="10"/>
  <c r="J1942" i="10"/>
  <c r="J1938" i="10"/>
  <c r="J1934" i="10"/>
  <c r="J1930" i="10"/>
  <c r="J1926" i="10"/>
  <c r="O18" i="10" s="1"/>
  <c r="J2106" i="10"/>
  <c r="J2102" i="10"/>
  <c r="J2098" i="10"/>
  <c r="J2105" i="10"/>
  <c r="J2101" i="10"/>
  <c r="J2097" i="10"/>
  <c r="J2104" i="10"/>
  <c r="J2100" i="10"/>
  <c r="J2096" i="10"/>
  <c r="O21" i="10"/>
  <c r="E13" i="11"/>
  <c r="F13" i="11"/>
  <c r="N9" i="11"/>
  <c r="D11" i="11"/>
  <c r="L11" i="11"/>
  <c r="C316" i="22" l="1"/>
  <c r="C264" i="22"/>
  <c r="C108" i="22"/>
  <c r="C160" i="22"/>
  <c r="C212" i="22"/>
  <c r="C56" i="22"/>
  <c r="C4" i="22"/>
  <c r="B2" i="20"/>
  <c r="O24" i="10"/>
  <c r="B5" i="20"/>
  <c r="B8" i="20"/>
  <c r="B9" i="20"/>
  <c r="B7" i="20"/>
  <c r="B11" i="20"/>
  <c r="B6" i="20"/>
  <c r="B10" i="20"/>
  <c r="B5" i="19"/>
  <c r="E4" i="19"/>
  <c r="D4" i="19"/>
  <c r="C3" i="20" s="1"/>
  <c r="C4" i="19"/>
  <c r="H13" i="11"/>
  <c r="N13" i="11" s="1"/>
  <c r="O17" i="10"/>
  <c r="O8" i="10"/>
  <c r="O19" i="10"/>
  <c r="I13" i="11"/>
  <c r="N6" i="14"/>
  <c r="N7" i="14"/>
  <c r="N10" i="14"/>
  <c r="C11" i="14"/>
  <c r="L11" i="14"/>
  <c r="M11" i="14"/>
  <c r="N8" i="14"/>
  <c r="E11" i="14"/>
  <c r="N9" i="14"/>
  <c r="F11" i="14"/>
  <c r="G11" i="14"/>
  <c r="J11" i="14"/>
  <c r="H11" i="14"/>
  <c r="B11" i="14"/>
  <c r="N5" i="14"/>
  <c r="I11" i="14"/>
  <c r="K11" i="14"/>
  <c r="D11" i="14"/>
  <c r="C10" i="20" l="1"/>
  <c r="B10" i="8"/>
  <c r="C6" i="20"/>
  <c r="B6" i="8"/>
  <c r="C11" i="20"/>
  <c r="B11" i="8"/>
  <c r="C7" i="20"/>
  <c r="B7" i="8"/>
  <c r="C9" i="20"/>
  <c r="B9" i="8"/>
  <c r="C8" i="20"/>
  <c r="B8" i="8"/>
  <c r="C317" i="22"/>
  <c r="C265" i="22"/>
  <c r="C109" i="22"/>
  <c r="C161" i="22"/>
  <c r="C213" i="22"/>
  <c r="C2" i="20"/>
  <c r="C57" i="22"/>
  <c r="C5" i="22"/>
  <c r="C5" i="20"/>
  <c r="B5" i="8"/>
  <c r="N11" i="14"/>
  <c r="B8" i="18" s="1"/>
  <c r="C5" i="19"/>
  <c r="E5" i="19"/>
  <c r="D5" i="19"/>
  <c r="D3" i="20" s="1"/>
  <c r="B6" i="19"/>
  <c r="D108" i="22" l="1"/>
  <c r="C121" i="9"/>
  <c r="C113" i="9"/>
  <c r="C105" i="9"/>
  <c r="C97" i="9"/>
  <c r="C89" i="9"/>
  <c r="C81" i="9"/>
  <c r="C77" i="9"/>
  <c r="C73" i="9"/>
  <c r="C69" i="9"/>
  <c r="C65" i="9"/>
  <c r="C61" i="9"/>
  <c r="C57" i="9"/>
  <c r="C53" i="9"/>
  <c r="C109" i="9"/>
  <c r="C37" i="9"/>
  <c r="C101" i="9"/>
  <c r="C100" i="9"/>
  <c r="C88" i="9"/>
  <c r="C125" i="9"/>
  <c r="C93" i="9"/>
  <c r="C92" i="9"/>
  <c r="C84" i="9"/>
  <c r="C107" i="9"/>
  <c r="C83" i="9"/>
  <c r="C82" i="9"/>
  <c r="C75" i="9"/>
  <c r="C117" i="9"/>
  <c r="C95" i="9"/>
  <c r="C85" i="9"/>
  <c r="C124" i="9"/>
  <c r="C49" i="9"/>
  <c r="C33" i="9"/>
  <c r="C47" i="9"/>
  <c r="C76" i="9"/>
  <c r="C74" i="9"/>
  <c r="C66" i="9"/>
  <c r="C59" i="9"/>
  <c r="C40" i="9"/>
  <c r="C28" i="9"/>
  <c r="C29" i="9"/>
  <c r="C25" i="9"/>
  <c r="C15" i="9"/>
  <c r="C12" i="9"/>
  <c r="C45" i="9"/>
  <c r="C41" i="9"/>
  <c r="C30" i="9"/>
  <c r="C67" i="9"/>
  <c r="C60" i="9"/>
  <c r="C31" i="9"/>
  <c r="C26" i="9"/>
  <c r="C11" i="9"/>
  <c r="C8" i="9"/>
  <c r="C50" i="9"/>
  <c r="C36" i="9"/>
  <c r="C43" i="9"/>
  <c r="C5" i="9"/>
  <c r="C79" i="9"/>
  <c r="C116" i="9"/>
  <c r="C106" i="9"/>
  <c r="C7" i="9"/>
  <c r="C44" i="9"/>
  <c r="C22" i="9"/>
  <c r="C114" i="9"/>
  <c r="C38" i="9"/>
  <c r="C39" i="9"/>
  <c r="C42" i="9"/>
  <c r="C51" i="9"/>
  <c r="C48" i="9"/>
  <c r="C111" i="9"/>
  <c r="C122" i="9"/>
  <c r="C16" i="9"/>
  <c r="C23" i="9"/>
  <c r="C46" i="9"/>
  <c r="C86" i="9"/>
  <c r="C118" i="9"/>
  <c r="C90" i="9"/>
  <c r="C18" i="9"/>
  <c r="C68" i="9"/>
  <c r="C27" i="9"/>
  <c r="C21" i="9"/>
  <c r="C34" i="9"/>
  <c r="C104" i="9"/>
  <c r="C94" i="9"/>
  <c r="C6" i="9"/>
  <c r="C52" i="9"/>
  <c r="C58" i="9"/>
  <c r="C14" i="9"/>
  <c r="C24" i="9"/>
  <c r="C13" i="9"/>
  <c r="C103" i="9"/>
  <c r="C10" i="9"/>
  <c r="C19" i="9"/>
  <c r="C20" i="9"/>
  <c r="C9" i="9"/>
  <c r="C32" i="9"/>
  <c r="C91" i="9"/>
  <c r="C99" i="9"/>
  <c r="C56" i="9"/>
  <c r="C72" i="9"/>
  <c r="C112" i="9"/>
  <c r="C78" i="9"/>
  <c r="C102" i="9"/>
  <c r="C108" i="9"/>
  <c r="C17" i="9"/>
  <c r="C115" i="9"/>
  <c r="C119" i="9"/>
  <c r="C55" i="9"/>
  <c r="C63" i="9"/>
  <c r="C71" i="9"/>
  <c r="C87" i="9"/>
  <c r="C120" i="9"/>
  <c r="C98" i="9"/>
  <c r="C64" i="9"/>
  <c r="C96" i="9"/>
  <c r="C110" i="9"/>
  <c r="C35" i="9"/>
  <c r="C80" i="9"/>
  <c r="C54" i="9"/>
  <c r="C70" i="9"/>
  <c r="C62" i="9"/>
  <c r="C123" i="9"/>
  <c r="D7" i="20"/>
  <c r="C7" i="8"/>
  <c r="D4" i="22"/>
  <c r="C309" i="9"/>
  <c r="C305" i="9"/>
  <c r="C312" i="9"/>
  <c r="C307" i="9"/>
  <c r="C306" i="9"/>
  <c r="C310" i="9"/>
  <c r="C308" i="9"/>
  <c r="C311" i="9"/>
  <c r="D316" i="22"/>
  <c r="C379" i="9"/>
  <c r="C388" i="9"/>
  <c r="C375" i="9"/>
  <c r="C367" i="9"/>
  <c r="C387" i="9"/>
  <c r="C376" i="9"/>
  <c r="C371" i="9"/>
  <c r="C370" i="9"/>
  <c r="C363" i="9"/>
  <c r="C365" i="9"/>
  <c r="C368" i="9"/>
  <c r="C364" i="9"/>
  <c r="C369" i="9"/>
  <c r="C378" i="9"/>
  <c r="C366" i="9"/>
  <c r="C362" i="9"/>
  <c r="C380" i="9"/>
  <c r="C377" i="9"/>
  <c r="D5" i="20"/>
  <c r="C5" i="8"/>
  <c r="D11" i="20"/>
  <c r="C11" i="8"/>
  <c r="D160" i="22"/>
  <c r="C345" i="9"/>
  <c r="C341" i="9"/>
  <c r="C337" i="9"/>
  <c r="C333" i="9"/>
  <c r="C347" i="9"/>
  <c r="C321" i="9"/>
  <c r="C346" i="9"/>
  <c r="C339" i="9"/>
  <c r="C338" i="9"/>
  <c r="C331" i="9"/>
  <c r="C330" i="9"/>
  <c r="C319" i="9"/>
  <c r="C313" i="9"/>
  <c r="C316" i="9"/>
  <c r="C285" i="9"/>
  <c r="C332" i="9"/>
  <c r="C325" i="9"/>
  <c r="C334" i="9"/>
  <c r="C327" i="9"/>
  <c r="C317" i="9"/>
  <c r="C329" i="9"/>
  <c r="C335" i="9"/>
  <c r="C315" i="9"/>
  <c r="C344" i="9"/>
  <c r="C340" i="9"/>
  <c r="C328" i="9"/>
  <c r="C304" i="9"/>
  <c r="C283" i="9"/>
  <c r="C318" i="9"/>
  <c r="C314" i="9"/>
  <c r="C289" i="9"/>
  <c r="C291" i="9"/>
  <c r="C277" i="9"/>
  <c r="C295" i="9"/>
  <c r="C293" i="9"/>
  <c r="C273" i="9"/>
  <c r="C269" i="9"/>
  <c r="C281" i="9"/>
  <c r="C265" i="9"/>
  <c r="C270" i="9"/>
  <c r="C292" i="9"/>
  <c r="C290" i="9"/>
  <c r="C268" i="9"/>
  <c r="C278" i="9"/>
  <c r="C280" i="9"/>
  <c r="C326" i="9"/>
  <c r="C343" i="9"/>
  <c r="C272" i="9"/>
  <c r="C271" i="9"/>
  <c r="C323" i="9"/>
  <c r="C349" i="9"/>
  <c r="C322" i="9"/>
  <c r="C294" i="9"/>
  <c r="C276" i="9"/>
  <c r="C282" i="9"/>
  <c r="C288" i="9"/>
  <c r="C324" i="9"/>
  <c r="C342" i="9"/>
  <c r="C320" i="9"/>
  <c r="C266" i="9"/>
  <c r="C267" i="9"/>
  <c r="C303" i="9"/>
  <c r="C274" i="9"/>
  <c r="C275" i="9"/>
  <c r="C286" i="9"/>
  <c r="C336" i="9"/>
  <c r="C348" i="9"/>
  <c r="C287" i="9"/>
  <c r="C352" i="9"/>
  <c r="C351" i="9"/>
  <c r="C350" i="9"/>
  <c r="C284" i="9"/>
  <c r="C279" i="9"/>
  <c r="D56" i="22"/>
  <c r="C301" i="9"/>
  <c r="C299" i="9"/>
  <c r="C296" i="9"/>
  <c r="C297" i="9"/>
  <c r="C298" i="9"/>
  <c r="C220" i="9"/>
  <c r="C216" i="9"/>
  <c r="C212" i="9"/>
  <c r="C208" i="9"/>
  <c r="C204" i="9"/>
  <c r="C200" i="9"/>
  <c r="C196" i="9"/>
  <c r="C192" i="9"/>
  <c r="C184" i="9"/>
  <c r="C261" i="9"/>
  <c r="C253" i="9"/>
  <c r="C245" i="9"/>
  <c r="C237" i="9"/>
  <c r="C255" i="9"/>
  <c r="C247" i="9"/>
  <c r="C239" i="9"/>
  <c r="C263" i="9"/>
  <c r="C257" i="9"/>
  <c r="C256" i="9"/>
  <c r="C249" i="9"/>
  <c r="C248" i="9"/>
  <c r="C241" i="9"/>
  <c r="C240" i="9"/>
  <c r="C233" i="9"/>
  <c r="C232" i="9"/>
  <c r="C222" i="9"/>
  <c r="C221" i="9"/>
  <c r="C214" i="9"/>
  <c r="C213" i="9"/>
  <c r="C206" i="9"/>
  <c r="C205" i="9"/>
  <c r="C198" i="9"/>
  <c r="C197" i="9"/>
  <c r="C182" i="9"/>
  <c r="C225" i="9"/>
  <c r="C215" i="9"/>
  <c r="C207" i="9"/>
  <c r="C231" i="9"/>
  <c r="C223" i="9"/>
  <c r="C209" i="9"/>
  <c r="C199" i="9"/>
  <c r="C229" i="9"/>
  <c r="C217" i="9"/>
  <c r="C210" i="9"/>
  <c r="C201" i="9"/>
  <c r="C224" i="9"/>
  <c r="C202" i="9"/>
  <c r="C193" i="9"/>
  <c r="C203" i="9"/>
  <c r="C189" i="9"/>
  <c r="C187" i="9"/>
  <c r="C181" i="9"/>
  <c r="C173" i="9"/>
  <c r="C180" i="9"/>
  <c r="C190" i="9"/>
  <c r="C179" i="9"/>
  <c r="C177" i="9"/>
  <c r="C188" i="9"/>
  <c r="C170" i="9"/>
  <c r="C183" i="9"/>
  <c r="C219" i="9"/>
  <c r="C194" i="9"/>
  <c r="C211" i="9"/>
  <c r="C178" i="9"/>
  <c r="C186" i="9"/>
  <c r="C171" i="9"/>
  <c r="C246" i="9"/>
  <c r="C235" i="9"/>
  <c r="C174" i="9"/>
  <c r="C230" i="9"/>
  <c r="C244" i="9"/>
  <c r="C260" i="9"/>
  <c r="C228" i="9"/>
  <c r="C191" i="9"/>
  <c r="C176" i="9"/>
  <c r="C238" i="9"/>
  <c r="C251" i="9"/>
  <c r="C218" i="9"/>
  <c r="C250" i="9"/>
  <c r="C172" i="9"/>
  <c r="C185" i="9"/>
  <c r="C195" i="9"/>
  <c r="C175" i="9"/>
  <c r="C234" i="9"/>
  <c r="C264" i="9"/>
  <c r="C236" i="9"/>
  <c r="C227" i="9"/>
  <c r="C259" i="9"/>
  <c r="C226" i="9"/>
  <c r="C258" i="9"/>
  <c r="C254" i="9"/>
  <c r="C302" i="9"/>
  <c r="C242" i="9"/>
  <c r="C243" i="9"/>
  <c r="C300" i="9"/>
  <c r="C262" i="9"/>
  <c r="C252" i="9"/>
  <c r="B7" i="19"/>
  <c r="E6" i="19"/>
  <c r="D6" i="19"/>
  <c r="E3" i="20" s="1"/>
  <c r="C6" i="19"/>
  <c r="D8" i="20"/>
  <c r="C8" i="8"/>
  <c r="D6" i="20"/>
  <c r="C6" i="8"/>
  <c r="D212" i="22"/>
  <c r="C381" i="9"/>
  <c r="C383" i="9"/>
  <c r="C386" i="9"/>
  <c r="C169" i="9"/>
  <c r="C161" i="9"/>
  <c r="C153" i="9"/>
  <c r="C145" i="9"/>
  <c r="C137" i="9"/>
  <c r="C163" i="9"/>
  <c r="C155" i="9"/>
  <c r="C147" i="9"/>
  <c r="C165" i="9"/>
  <c r="C164" i="9"/>
  <c r="C157" i="9"/>
  <c r="C156" i="9"/>
  <c r="C149" i="9"/>
  <c r="C148" i="9"/>
  <c r="C141" i="9"/>
  <c r="C140" i="9"/>
  <c r="C133" i="9"/>
  <c r="C132" i="9"/>
  <c r="C139" i="9"/>
  <c r="C129" i="9"/>
  <c r="C131" i="9"/>
  <c r="C130" i="9"/>
  <c r="C127" i="9"/>
  <c r="C144" i="9"/>
  <c r="C138" i="9"/>
  <c r="C151" i="9"/>
  <c r="C134" i="9"/>
  <c r="C142" i="9"/>
  <c r="C158" i="9"/>
  <c r="C152" i="9"/>
  <c r="C136" i="9"/>
  <c r="C162" i="9"/>
  <c r="C159" i="9"/>
  <c r="C135" i="9"/>
  <c r="C143" i="9"/>
  <c r="C160" i="9"/>
  <c r="C167" i="9"/>
  <c r="C126" i="9"/>
  <c r="C128" i="9"/>
  <c r="C154" i="9"/>
  <c r="C166" i="9"/>
  <c r="C168" i="9"/>
  <c r="C146" i="9"/>
  <c r="C382" i="9"/>
  <c r="C150" i="9"/>
  <c r="C384" i="9"/>
  <c r="C385" i="9"/>
  <c r="D264" i="22"/>
  <c r="C372" i="9"/>
  <c r="C374" i="9"/>
  <c r="C353" i="9"/>
  <c r="C361" i="9"/>
  <c r="C355" i="9"/>
  <c r="C359" i="9"/>
  <c r="C357" i="9"/>
  <c r="C373" i="9"/>
  <c r="C360" i="9"/>
  <c r="C356" i="9"/>
  <c r="C358" i="9"/>
  <c r="C354" i="9"/>
  <c r="C318" i="22"/>
  <c r="C266" i="22"/>
  <c r="C214" i="22"/>
  <c r="C110" i="22"/>
  <c r="C162" i="22"/>
  <c r="C58" i="22"/>
  <c r="C6" i="22"/>
  <c r="D2" i="20"/>
  <c r="D9" i="20"/>
  <c r="C9" i="8"/>
  <c r="D10" i="20"/>
  <c r="C10" i="8"/>
  <c r="E9" i="20" l="1"/>
  <c r="D9" i="8"/>
  <c r="L212" i="22"/>
  <c r="I212" i="22"/>
  <c r="K212" i="22"/>
  <c r="J212" i="22"/>
  <c r="H212" i="22"/>
  <c r="G212" i="22"/>
  <c r="F212" i="22"/>
  <c r="C7" i="19"/>
  <c r="E7" i="19"/>
  <c r="B8" i="19"/>
  <c r="D7" i="19"/>
  <c r="F3" i="20" s="1"/>
  <c r="G316" i="22"/>
  <c r="H316" i="22"/>
  <c r="I316" i="22"/>
  <c r="L316" i="22"/>
  <c r="K316" i="22"/>
  <c r="J316" i="22"/>
  <c r="F316" i="22"/>
  <c r="D57" i="22"/>
  <c r="D301" i="9"/>
  <c r="D299" i="9"/>
  <c r="D296" i="9"/>
  <c r="D297" i="9"/>
  <c r="D220" i="9"/>
  <c r="D212" i="9"/>
  <c r="D204" i="9"/>
  <c r="D196" i="9"/>
  <c r="D261" i="9"/>
  <c r="D253" i="9"/>
  <c r="D245" i="9"/>
  <c r="D237" i="9"/>
  <c r="D229" i="9"/>
  <c r="D247" i="9"/>
  <c r="D239" i="9"/>
  <c r="D264" i="9"/>
  <c r="D263" i="9"/>
  <c r="D257" i="9"/>
  <c r="D256" i="9"/>
  <c r="D249" i="9"/>
  <c r="D248" i="9"/>
  <c r="D241" i="9"/>
  <c r="D240" i="9"/>
  <c r="D233" i="9"/>
  <c r="D232" i="9"/>
  <c r="D184" i="9"/>
  <c r="D222" i="9"/>
  <c r="D215" i="9"/>
  <c r="D207" i="9"/>
  <c r="D223" i="9"/>
  <c r="D208" i="9"/>
  <c r="D206" i="9"/>
  <c r="D182" i="9"/>
  <c r="D173" i="9"/>
  <c r="D199" i="9"/>
  <c r="D188" i="9"/>
  <c r="D200" i="9"/>
  <c r="D198" i="9"/>
  <c r="D211" i="9"/>
  <c r="D224" i="9"/>
  <c r="D202" i="9"/>
  <c r="D192" i="9"/>
  <c r="D216" i="9"/>
  <c r="D203" i="9"/>
  <c r="D225" i="9"/>
  <c r="D214" i="9"/>
  <c r="D180" i="9"/>
  <c r="D190" i="9"/>
  <c r="D179" i="9"/>
  <c r="D187" i="9"/>
  <c r="D172" i="9"/>
  <c r="D177" i="9"/>
  <c r="D171" i="9"/>
  <c r="D170" i="9"/>
  <c r="D178" i="9"/>
  <c r="D194" i="9"/>
  <c r="D201" i="9"/>
  <c r="D191" i="9"/>
  <c r="D242" i="9"/>
  <c r="D258" i="9"/>
  <c r="D175" i="9"/>
  <c r="D186" i="9"/>
  <c r="D176" i="9"/>
  <c r="D193" i="9"/>
  <c r="D217" i="9"/>
  <c r="D218" i="9"/>
  <c r="D195" i="9"/>
  <c r="D181" i="9"/>
  <c r="D238" i="9"/>
  <c r="D298" i="9"/>
  <c r="D250" i="9"/>
  <c r="D236" i="9"/>
  <c r="D302" i="9"/>
  <c r="D185" i="9"/>
  <c r="D227" i="9"/>
  <c r="D210" i="9"/>
  <c r="D234" i="9"/>
  <c r="D231" i="9"/>
  <c r="D255" i="9"/>
  <c r="D183" i="9"/>
  <c r="D226" i="9"/>
  <c r="D252" i="9"/>
  <c r="D243" i="9"/>
  <c r="D197" i="9"/>
  <c r="D205" i="9"/>
  <c r="D213" i="9"/>
  <c r="D221" i="9"/>
  <c r="D228" i="9"/>
  <c r="D219" i="9"/>
  <c r="D254" i="9"/>
  <c r="D235" i="9"/>
  <c r="D259" i="9"/>
  <c r="D244" i="9"/>
  <c r="D262" i="9"/>
  <c r="D174" i="9"/>
  <c r="D209" i="9"/>
  <c r="D260" i="9"/>
  <c r="D246" i="9"/>
  <c r="D300" i="9"/>
  <c r="D230" i="9"/>
  <c r="D251" i="9"/>
  <c r="D189" i="9"/>
  <c r="G160" i="22"/>
  <c r="J160" i="22"/>
  <c r="F160" i="22"/>
  <c r="L160" i="22"/>
  <c r="K160" i="22"/>
  <c r="I160" i="22"/>
  <c r="H160" i="22"/>
  <c r="K4" i="22"/>
  <c r="I4" i="22"/>
  <c r="H4" i="22"/>
  <c r="G4" i="22"/>
  <c r="F4" i="22"/>
  <c r="L4" i="22"/>
  <c r="J4" i="22"/>
  <c r="E6" i="20"/>
  <c r="D6" i="8"/>
  <c r="D317" i="22"/>
  <c r="D379" i="9"/>
  <c r="D375" i="9"/>
  <c r="D365" i="9"/>
  <c r="D377" i="9"/>
  <c r="D364" i="9"/>
  <c r="D387" i="9"/>
  <c r="D371" i="9"/>
  <c r="D367" i="9"/>
  <c r="D369" i="9"/>
  <c r="D370" i="9"/>
  <c r="D362" i="9"/>
  <c r="D363" i="9"/>
  <c r="D368" i="9"/>
  <c r="D376" i="9"/>
  <c r="D388" i="9"/>
  <c r="D380" i="9"/>
  <c r="D378" i="9"/>
  <c r="D366" i="9"/>
  <c r="D109" i="22"/>
  <c r="D113" i="9"/>
  <c r="D97" i="9"/>
  <c r="D37" i="9"/>
  <c r="D101" i="9"/>
  <c r="D105" i="9"/>
  <c r="D89" i="9"/>
  <c r="D77" i="9"/>
  <c r="D69" i="9"/>
  <c r="D61" i="9"/>
  <c r="D53" i="9"/>
  <c r="D125" i="9"/>
  <c r="D93" i="9"/>
  <c r="D107" i="9"/>
  <c r="D83" i="9"/>
  <c r="D117" i="9"/>
  <c r="D85" i="9"/>
  <c r="D124" i="9"/>
  <c r="D121" i="9"/>
  <c r="D81" i="9"/>
  <c r="D73" i="9"/>
  <c r="D65" i="9"/>
  <c r="D109" i="9"/>
  <c r="D75" i="9"/>
  <c r="D13" i="9"/>
  <c r="D9" i="9"/>
  <c r="D49" i="9"/>
  <c r="D44" i="9"/>
  <c r="D29" i="9"/>
  <c r="D25" i="9"/>
  <c r="D48" i="9"/>
  <c r="D45" i="9"/>
  <c r="D41" i="9"/>
  <c r="D21" i="9"/>
  <c r="D5" i="9"/>
  <c r="D67" i="9"/>
  <c r="D60" i="9"/>
  <c r="D31" i="9"/>
  <c r="D11" i="9"/>
  <c r="D8" i="9"/>
  <c r="D57" i="9"/>
  <c r="D47" i="9"/>
  <c r="D33" i="9"/>
  <c r="D32" i="9"/>
  <c r="D17" i="9"/>
  <c r="D30" i="9"/>
  <c r="D43" i="9"/>
  <c r="D56" i="9"/>
  <c r="D95" i="9"/>
  <c r="D114" i="9"/>
  <c r="D112" i="9"/>
  <c r="D76" i="9"/>
  <c r="D119" i="9"/>
  <c r="D34" i="9"/>
  <c r="D79" i="9"/>
  <c r="D6" i="9"/>
  <c r="D59" i="9"/>
  <c r="D26" i="9"/>
  <c r="D35" i="9"/>
  <c r="D72" i="9"/>
  <c r="D103" i="9"/>
  <c r="D122" i="9"/>
  <c r="D12" i="9"/>
  <c r="D10" i="9"/>
  <c r="D51" i="9"/>
  <c r="D50" i="9"/>
  <c r="D36" i="9"/>
  <c r="D46" i="9"/>
  <c r="D20" i="9"/>
  <c r="D86" i="9"/>
  <c r="D74" i="9"/>
  <c r="D118" i="9"/>
  <c r="D90" i="9"/>
  <c r="D98" i="9"/>
  <c r="D55" i="9"/>
  <c r="D71" i="9"/>
  <c r="D102" i="9"/>
  <c r="D14" i="9"/>
  <c r="D28" i="9"/>
  <c r="D24" i="9"/>
  <c r="D52" i="9"/>
  <c r="D16" i="9"/>
  <c r="D27" i="9"/>
  <c r="D7" i="9"/>
  <c r="D23" i="9"/>
  <c r="D82" i="9"/>
  <c r="D94" i="9"/>
  <c r="D92" i="9"/>
  <c r="D19" i="9"/>
  <c r="D40" i="9"/>
  <c r="D58" i="9"/>
  <c r="D42" i="9"/>
  <c r="D80" i="9"/>
  <c r="D110" i="9"/>
  <c r="D88" i="9"/>
  <c r="D38" i="9"/>
  <c r="D18" i="9"/>
  <c r="D68" i="9"/>
  <c r="D39" i="9"/>
  <c r="D22" i="9"/>
  <c r="D15" i="9"/>
  <c r="D66" i="9"/>
  <c r="D104" i="9"/>
  <c r="D84" i="9"/>
  <c r="D91" i="9"/>
  <c r="D120" i="9"/>
  <c r="D87" i="9"/>
  <c r="D106" i="9"/>
  <c r="D99" i="9"/>
  <c r="D96" i="9"/>
  <c r="D100" i="9"/>
  <c r="D64" i="9"/>
  <c r="D62" i="9"/>
  <c r="D108" i="9"/>
  <c r="D111" i="9"/>
  <c r="D116" i="9"/>
  <c r="D54" i="9"/>
  <c r="D123" i="9"/>
  <c r="D70" i="9"/>
  <c r="D63" i="9"/>
  <c r="D115" i="9"/>
  <c r="D78" i="9"/>
  <c r="D161" i="22"/>
  <c r="D345" i="9"/>
  <c r="D337" i="9"/>
  <c r="D350" i="9"/>
  <c r="D341" i="9"/>
  <c r="D321" i="9"/>
  <c r="D332" i="9"/>
  <c r="D325" i="9"/>
  <c r="D333" i="9"/>
  <c r="D331" i="9"/>
  <c r="D327" i="9"/>
  <c r="D317" i="9"/>
  <c r="D343" i="9"/>
  <c r="D329" i="9"/>
  <c r="D336" i="9"/>
  <c r="D324" i="9"/>
  <c r="D344" i="9"/>
  <c r="D313" i="9"/>
  <c r="D340" i="9"/>
  <c r="D328" i="9"/>
  <c r="D304" i="9"/>
  <c r="D339" i="9"/>
  <c r="D319" i="9"/>
  <c r="D316" i="9"/>
  <c r="D285" i="9"/>
  <c r="D281" i="9"/>
  <c r="D273" i="9"/>
  <c r="D265" i="9"/>
  <c r="D292" i="9"/>
  <c r="D283" i="9"/>
  <c r="D289" i="9"/>
  <c r="D291" i="9"/>
  <c r="D277" i="9"/>
  <c r="D315" i="9"/>
  <c r="D295" i="9"/>
  <c r="D293" i="9"/>
  <c r="D272" i="9"/>
  <c r="D269" i="9"/>
  <c r="D271" i="9"/>
  <c r="D320" i="9"/>
  <c r="D278" i="9"/>
  <c r="D294" i="9"/>
  <c r="D280" i="9"/>
  <c r="D270" i="9"/>
  <c r="D284" i="9"/>
  <c r="D288" i="9"/>
  <c r="D314" i="9"/>
  <c r="D322" i="9"/>
  <c r="D335" i="9"/>
  <c r="D267" i="9"/>
  <c r="D290" i="9"/>
  <c r="D266" i="9"/>
  <c r="D268" i="9"/>
  <c r="D279" i="9"/>
  <c r="D276" i="9"/>
  <c r="D274" i="9"/>
  <c r="D303" i="9"/>
  <c r="D326" i="9"/>
  <c r="D323" i="9"/>
  <c r="D286" i="9"/>
  <c r="D352" i="9"/>
  <c r="D346" i="9"/>
  <c r="D287" i="9"/>
  <c r="D349" i="9"/>
  <c r="D318" i="9"/>
  <c r="D342" i="9"/>
  <c r="D282" i="9"/>
  <c r="D334" i="9"/>
  <c r="D348" i="9"/>
  <c r="D351" i="9"/>
  <c r="D338" i="9"/>
  <c r="D347" i="9"/>
  <c r="D275" i="9"/>
  <c r="D330" i="9"/>
  <c r="E11" i="20"/>
  <c r="D11" i="8"/>
  <c r="E7" i="20"/>
  <c r="D7" i="8"/>
  <c r="E8" i="20"/>
  <c r="D8" i="8"/>
  <c r="D5" i="22"/>
  <c r="D309" i="9"/>
  <c r="D305" i="9"/>
  <c r="D312" i="9"/>
  <c r="D308" i="9"/>
  <c r="D307" i="9"/>
  <c r="D310" i="9"/>
  <c r="D306" i="9"/>
  <c r="D311" i="9"/>
  <c r="D265" i="22"/>
  <c r="D361" i="9"/>
  <c r="D358" i="9"/>
  <c r="D373" i="9"/>
  <c r="D354" i="9"/>
  <c r="D353" i="9"/>
  <c r="D357" i="9"/>
  <c r="D356" i="9"/>
  <c r="D355" i="9"/>
  <c r="D360" i="9"/>
  <c r="D374" i="9"/>
  <c r="D372" i="9"/>
  <c r="D359" i="9"/>
  <c r="L264" i="22"/>
  <c r="J264" i="22"/>
  <c r="K264" i="22"/>
  <c r="I264" i="22"/>
  <c r="F264" i="22"/>
  <c r="H264" i="22"/>
  <c r="G264" i="22"/>
  <c r="E5" i="20"/>
  <c r="D5" i="8"/>
  <c r="E10" i="20"/>
  <c r="D10" i="8"/>
  <c r="I108" i="22"/>
  <c r="F108" i="22"/>
  <c r="L108" i="22"/>
  <c r="K108" i="22"/>
  <c r="J108" i="22"/>
  <c r="H108" i="22"/>
  <c r="G108" i="22"/>
  <c r="D213" i="22"/>
  <c r="D383" i="9"/>
  <c r="D386" i="9"/>
  <c r="D161" i="9"/>
  <c r="D153" i="9"/>
  <c r="D145" i="9"/>
  <c r="D165" i="9"/>
  <c r="D164" i="9"/>
  <c r="D157" i="9"/>
  <c r="D156" i="9"/>
  <c r="D149" i="9"/>
  <c r="D148" i="9"/>
  <c r="D141" i="9"/>
  <c r="D140" i="9"/>
  <c r="D169" i="9"/>
  <c r="D137" i="9"/>
  <c r="D132" i="9"/>
  <c r="D133" i="9"/>
  <c r="D126" i="9"/>
  <c r="D129" i="9"/>
  <c r="D131" i="9"/>
  <c r="D152" i="9"/>
  <c r="D127" i="9"/>
  <c r="D130" i="9"/>
  <c r="D159" i="9"/>
  <c r="D168" i="9"/>
  <c r="D128" i="9"/>
  <c r="D135" i="9"/>
  <c r="D162" i="9"/>
  <c r="D139" i="9"/>
  <c r="D146" i="9"/>
  <c r="D155" i="9"/>
  <c r="D160" i="9"/>
  <c r="D143" i="9"/>
  <c r="D144" i="9"/>
  <c r="D167" i="9"/>
  <c r="D154" i="9"/>
  <c r="D163" i="9"/>
  <c r="D151" i="9"/>
  <c r="D138" i="9"/>
  <c r="D147" i="9"/>
  <c r="D136" i="9"/>
  <c r="D166" i="9"/>
  <c r="D134" i="9"/>
  <c r="D142" i="9"/>
  <c r="D150" i="9"/>
  <c r="D158" i="9"/>
  <c r="D385" i="9"/>
  <c r="D384" i="9"/>
  <c r="D381" i="9"/>
  <c r="D382" i="9"/>
  <c r="C319" i="22"/>
  <c r="C267" i="22"/>
  <c r="C215" i="22"/>
  <c r="C163" i="22"/>
  <c r="C111" i="22"/>
  <c r="C59" i="22"/>
  <c r="C7" i="22"/>
  <c r="E2" i="20"/>
  <c r="G56" i="22"/>
  <c r="L56" i="22"/>
  <c r="K56" i="22"/>
  <c r="J56" i="22"/>
  <c r="I56" i="22"/>
  <c r="F56" i="22"/>
  <c r="H56" i="22"/>
  <c r="D318" i="22" l="1"/>
  <c r="E367" i="9"/>
  <c r="E387" i="9"/>
  <c r="E364" i="9"/>
  <c r="E388" i="9"/>
  <c r="E379" i="9"/>
  <c r="E375" i="9"/>
  <c r="E371" i="9"/>
  <c r="E378" i="9"/>
  <c r="E365" i="9"/>
  <c r="E369" i="9"/>
  <c r="E370" i="9"/>
  <c r="E362" i="9"/>
  <c r="E368" i="9"/>
  <c r="E380" i="9"/>
  <c r="E376" i="9"/>
  <c r="E366" i="9"/>
  <c r="E363" i="9"/>
  <c r="E377" i="9"/>
  <c r="F109" i="22"/>
  <c r="K109" i="22"/>
  <c r="L109" i="22"/>
  <c r="J109" i="22"/>
  <c r="I109" i="22"/>
  <c r="H109" i="22"/>
  <c r="G109" i="22"/>
  <c r="D58" i="22"/>
  <c r="E301" i="9"/>
  <c r="E299" i="9"/>
  <c r="E296" i="9"/>
  <c r="E257" i="9"/>
  <c r="E249" i="9"/>
  <c r="E241" i="9"/>
  <c r="E233" i="9"/>
  <c r="E225" i="9"/>
  <c r="E297" i="9"/>
  <c r="E298" i="9"/>
  <c r="E261" i="9"/>
  <c r="E253" i="9"/>
  <c r="E245" i="9"/>
  <c r="E237" i="9"/>
  <c r="E229" i="9"/>
  <c r="E188" i="9"/>
  <c r="E254" i="9"/>
  <c r="E252" i="9"/>
  <c r="E246" i="9"/>
  <c r="E244" i="9"/>
  <c r="E238" i="9"/>
  <c r="E236" i="9"/>
  <c r="E256" i="9"/>
  <c r="E248" i="9"/>
  <c r="E240" i="9"/>
  <c r="E260" i="9"/>
  <c r="E262" i="9"/>
  <c r="E220" i="9"/>
  <c r="E212" i="9"/>
  <c r="E204" i="9"/>
  <c r="E196" i="9"/>
  <c r="E232" i="9"/>
  <c r="E208" i="9"/>
  <c r="E206" i="9"/>
  <c r="E182" i="9"/>
  <c r="E173" i="9"/>
  <c r="E199" i="9"/>
  <c r="E184" i="9"/>
  <c r="E228" i="9"/>
  <c r="E210" i="9"/>
  <c r="E200" i="9"/>
  <c r="E198" i="9"/>
  <c r="E230" i="9"/>
  <c r="E224" i="9"/>
  <c r="E202" i="9"/>
  <c r="E216" i="9"/>
  <c r="E214" i="9"/>
  <c r="E194" i="9"/>
  <c r="E222" i="9"/>
  <c r="E215" i="9"/>
  <c r="E207" i="9"/>
  <c r="E192" i="9"/>
  <c r="E176" i="9"/>
  <c r="E172" i="9"/>
  <c r="E189" i="9"/>
  <c r="E177" i="9"/>
  <c r="E181" i="9"/>
  <c r="E180" i="9"/>
  <c r="E171" i="9"/>
  <c r="E183" i="9"/>
  <c r="E186" i="9"/>
  <c r="E178" i="9"/>
  <c r="E179" i="9"/>
  <c r="E185" i="9"/>
  <c r="E223" i="9"/>
  <c r="E170" i="9"/>
  <c r="E218" i="9"/>
  <c r="E201" i="9"/>
  <c r="E219" i="9"/>
  <c r="E175" i="9"/>
  <c r="E187" i="9"/>
  <c r="E226" i="9"/>
  <c r="E247" i="9"/>
  <c r="E255" i="9"/>
  <c r="E302" i="9"/>
  <c r="E174" i="9"/>
  <c r="E258" i="9"/>
  <c r="E263" i="9"/>
  <c r="E239" i="9"/>
  <c r="E264" i="9"/>
  <c r="E227" i="9"/>
  <c r="E259" i="9"/>
  <c r="E191" i="9"/>
  <c r="E242" i="9"/>
  <c r="E211" i="9"/>
  <c r="E209" i="9"/>
  <c r="E243" i="9"/>
  <c r="E197" i="9"/>
  <c r="E205" i="9"/>
  <c r="E213" i="9"/>
  <c r="E193" i="9"/>
  <c r="E217" i="9"/>
  <c r="E235" i="9"/>
  <c r="E190" i="9"/>
  <c r="E195" i="9"/>
  <c r="E250" i="9"/>
  <c r="E231" i="9"/>
  <c r="E251" i="9"/>
  <c r="E300" i="9"/>
  <c r="E234" i="9"/>
  <c r="E203" i="9"/>
  <c r="E221" i="9"/>
  <c r="C8" i="19"/>
  <c r="B9" i="19"/>
  <c r="E8" i="19"/>
  <c r="D8" i="19"/>
  <c r="G3" i="20" s="1"/>
  <c r="D6" i="22"/>
  <c r="E309" i="9"/>
  <c r="E312" i="9"/>
  <c r="E307" i="9"/>
  <c r="E305" i="9"/>
  <c r="E306" i="9"/>
  <c r="E308" i="9"/>
  <c r="E310" i="9"/>
  <c r="E311" i="9"/>
  <c r="I265" i="22"/>
  <c r="G265" i="22"/>
  <c r="L265" i="22"/>
  <c r="K265" i="22"/>
  <c r="J265" i="22"/>
  <c r="H265" i="22"/>
  <c r="F265" i="22"/>
  <c r="D162" i="22"/>
  <c r="E350" i="9"/>
  <c r="E325" i="9"/>
  <c r="E341" i="9"/>
  <c r="E347" i="9"/>
  <c r="E345" i="9"/>
  <c r="E337" i="9"/>
  <c r="E333" i="9"/>
  <c r="E331" i="9"/>
  <c r="E317" i="9"/>
  <c r="E289" i="9"/>
  <c r="E343" i="9"/>
  <c r="E329" i="9"/>
  <c r="E335" i="9"/>
  <c r="E318" i="9"/>
  <c r="E326" i="9"/>
  <c r="E340" i="9"/>
  <c r="E328" i="9"/>
  <c r="E339" i="9"/>
  <c r="E319" i="9"/>
  <c r="E316" i="9"/>
  <c r="E332" i="9"/>
  <c r="E321" i="9"/>
  <c r="E281" i="9"/>
  <c r="E273" i="9"/>
  <c r="E265" i="9"/>
  <c r="E304" i="9"/>
  <c r="E292" i="9"/>
  <c r="E303" i="9"/>
  <c r="E294" i="9"/>
  <c r="E283" i="9"/>
  <c r="E285" i="9"/>
  <c r="E313" i="9"/>
  <c r="E291" i="9"/>
  <c r="E277" i="9"/>
  <c r="E295" i="9"/>
  <c r="E293" i="9"/>
  <c r="E276" i="9"/>
  <c r="E284" i="9"/>
  <c r="E280" i="9"/>
  <c r="E272" i="9"/>
  <c r="E268" i="9"/>
  <c r="E269" i="9"/>
  <c r="E270" i="9"/>
  <c r="E271" i="9"/>
  <c r="E286" i="9"/>
  <c r="E267" i="9"/>
  <c r="E336" i="9"/>
  <c r="E323" i="9"/>
  <c r="E349" i="9"/>
  <c r="E275" i="9"/>
  <c r="E266" i="9"/>
  <c r="E290" i="9"/>
  <c r="E348" i="9"/>
  <c r="E351" i="9"/>
  <c r="E330" i="9"/>
  <c r="E338" i="9"/>
  <c r="E288" i="9"/>
  <c r="E346" i="9"/>
  <c r="E279" i="9"/>
  <c r="E334" i="9"/>
  <c r="E342" i="9"/>
  <c r="E352" i="9"/>
  <c r="E320" i="9"/>
  <c r="E274" i="9"/>
  <c r="E314" i="9"/>
  <c r="E278" i="9"/>
  <c r="E322" i="9"/>
  <c r="E327" i="9"/>
  <c r="E282" i="9"/>
  <c r="E315" i="9"/>
  <c r="E344" i="9"/>
  <c r="E287" i="9"/>
  <c r="E324" i="9"/>
  <c r="F11" i="20"/>
  <c r="E11" i="8"/>
  <c r="F6" i="20"/>
  <c r="E6" i="8"/>
  <c r="C320" i="22"/>
  <c r="C268" i="22"/>
  <c r="C164" i="22"/>
  <c r="C216" i="22"/>
  <c r="C60" i="22"/>
  <c r="C112" i="22"/>
  <c r="C8" i="22"/>
  <c r="F2" i="20"/>
  <c r="F5" i="20"/>
  <c r="E5" i="8"/>
  <c r="F8" i="20"/>
  <c r="E8" i="8"/>
  <c r="L57" i="22"/>
  <c r="J57" i="22"/>
  <c r="I57" i="22"/>
  <c r="H57" i="22"/>
  <c r="G57" i="22"/>
  <c r="K57" i="22"/>
  <c r="F57" i="22"/>
  <c r="D214" i="22"/>
  <c r="E383" i="9"/>
  <c r="E386" i="9"/>
  <c r="E165" i="9"/>
  <c r="E157" i="9"/>
  <c r="E149" i="9"/>
  <c r="E141" i="9"/>
  <c r="E133" i="9"/>
  <c r="E161" i="9"/>
  <c r="E153" i="9"/>
  <c r="E145" i="9"/>
  <c r="E137" i="9"/>
  <c r="E129" i="9"/>
  <c r="E168" i="9"/>
  <c r="E164" i="9"/>
  <c r="E156" i="9"/>
  <c r="E148" i="9"/>
  <c r="E169" i="9"/>
  <c r="E132" i="9"/>
  <c r="E130" i="9"/>
  <c r="E128" i="9"/>
  <c r="E126" i="9"/>
  <c r="E140" i="9"/>
  <c r="E131" i="9"/>
  <c r="E127" i="9"/>
  <c r="E147" i="9"/>
  <c r="E150" i="9"/>
  <c r="E166" i="9"/>
  <c r="E138" i="9"/>
  <c r="E143" i="9"/>
  <c r="E139" i="9"/>
  <c r="E144" i="9"/>
  <c r="E154" i="9"/>
  <c r="E167" i="9"/>
  <c r="E160" i="9"/>
  <c r="E163" i="9"/>
  <c r="E135" i="9"/>
  <c r="E136" i="9"/>
  <c r="E146" i="9"/>
  <c r="E152" i="9"/>
  <c r="E162" i="9"/>
  <c r="E155" i="9"/>
  <c r="E159" i="9"/>
  <c r="E151" i="9"/>
  <c r="E158" i="9"/>
  <c r="E134" i="9"/>
  <c r="E142" i="9"/>
  <c r="E384" i="9"/>
  <c r="E382" i="9"/>
  <c r="E385" i="9"/>
  <c r="E381" i="9"/>
  <c r="F9" i="20"/>
  <c r="E9" i="8"/>
  <c r="D266" i="22"/>
  <c r="E373" i="9"/>
  <c r="E358" i="9"/>
  <c r="E361" i="9"/>
  <c r="E374" i="9"/>
  <c r="E372" i="9"/>
  <c r="E354" i="9"/>
  <c r="E353" i="9"/>
  <c r="E359" i="9"/>
  <c r="E357" i="9"/>
  <c r="E356" i="9"/>
  <c r="E360" i="9"/>
  <c r="E355" i="9"/>
  <c r="D110" i="22"/>
  <c r="E125" i="9"/>
  <c r="E117" i="9"/>
  <c r="E109" i="9"/>
  <c r="E101" i="9"/>
  <c r="E105" i="9"/>
  <c r="E89" i="9"/>
  <c r="E77" i="9"/>
  <c r="E69" i="9"/>
  <c r="E61" i="9"/>
  <c r="E53" i="9"/>
  <c r="E41" i="9"/>
  <c r="E93" i="9"/>
  <c r="E90" i="9"/>
  <c r="E94" i="9"/>
  <c r="E85" i="9"/>
  <c r="E124" i="9"/>
  <c r="E121" i="9"/>
  <c r="E81" i="9"/>
  <c r="E86" i="9"/>
  <c r="E80" i="9"/>
  <c r="E72" i="9"/>
  <c r="E64" i="9"/>
  <c r="E113" i="9"/>
  <c r="E106" i="9"/>
  <c r="E97" i="9"/>
  <c r="E37" i="9"/>
  <c r="E25" i="9"/>
  <c r="E35" i="9"/>
  <c r="E13" i="9"/>
  <c r="E21" i="9"/>
  <c r="E8" i="9"/>
  <c r="E5" i="9"/>
  <c r="E59" i="9"/>
  <c r="E49" i="9"/>
  <c r="E9" i="9"/>
  <c r="E29" i="9"/>
  <c r="E48" i="9"/>
  <c r="E45" i="9"/>
  <c r="E56" i="9"/>
  <c r="E31" i="9"/>
  <c r="E30" i="9"/>
  <c r="E57" i="9"/>
  <c r="E51" i="9"/>
  <c r="E47" i="9"/>
  <c r="E33" i="9"/>
  <c r="E32" i="9"/>
  <c r="E26" i="9"/>
  <c r="E17" i="9"/>
  <c r="E73" i="9"/>
  <c r="E65" i="9"/>
  <c r="E34" i="9"/>
  <c r="E39" i="9"/>
  <c r="E43" i="9"/>
  <c r="E67" i="9"/>
  <c r="E54" i="9"/>
  <c r="E50" i="9"/>
  <c r="E18" i="9"/>
  <c r="E68" i="9"/>
  <c r="E63" i="9"/>
  <c r="E74" i="9"/>
  <c r="E104" i="9"/>
  <c r="E111" i="9"/>
  <c r="E88" i="9"/>
  <c r="E15" i="9"/>
  <c r="E22" i="9"/>
  <c r="E116" i="9"/>
  <c r="E82" i="9"/>
  <c r="E112" i="9"/>
  <c r="E83" i="9"/>
  <c r="E70" i="9"/>
  <c r="E76" i="9"/>
  <c r="E84" i="9"/>
  <c r="E28" i="9"/>
  <c r="E24" i="9"/>
  <c r="E7" i="9"/>
  <c r="E58" i="9"/>
  <c r="E55" i="9"/>
  <c r="E107" i="9"/>
  <c r="E75" i="9"/>
  <c r="E6" i="9"/>
  <c r="E20" i="9"/>
  <c r="E38" i="9"/>
  <c r="E42" i="9"/>
  <c r="E52" i="9"/>
  <c r="E44" i="9"/>
  <c r="E19" i="9"/>
  <c r="E11" i="9"/>
  <c r="E95" i="9"/>
  <c r="E114" i="9"/>
  <c r="E115" i="9"/>
  <c r="E118" i="9"/>
  <c r="E23" i="9"/>
  <c r="E40" i="9"/>
  <c r="E12" i="9"/>
  <c r="E10" i="9"/>
  <c r="E36" i="9"/>
  <c r="E66" i="9"/>
  <c r="E110" i="9"/>
  <c r="E91" i="9"/>
  <c r="E14" i="9"/>
  <c r="E16" i="9"/>
  <c r="E27" i="9"/>
  <c r="E60" i="9"/>
  <c r="E79" i="9"/>
  <c r="E122" i="9"/>
  <c r="E103" i="9"/>
  <c r="E119" i="9"/>
  <c r="E62" i="9"/>
  <c r="E108" i="9"/>
  <c r="E100" i="9"/>
  <c r="E78" i="9"/>
  <c r="E102" i="9"/>
  <c r="E46" i="9"/>
  <c r="E96" i="9"/>
  <c r="E98" i="9"/>
  <c r="E71" i="9"/>
  <c r="E92" i="9"/>
  <c r="E120" i="9"/>
  <c r="E87" i="9"/>
  <c r="E99" i="9"/>
  <c r="E123" i="9"/>
  <c r="F10" i="20"/>
  <c r="E10" i="8"/>
  <c r="F7" i="20"/>
  <c r="E7" i="8"/>
  <c r="L161" i="22"/>
  <c r="J161" i="22"/>
  <c r="G161" i="22"/>
  <c r="F161" i="22"/>
  <c r="I161" i="22"/>
  <c r="K161" i="22"/>
  <c r="H161" i="22"/>
  <c r="L317" i="22"/>
  <c r="F317" i="22"/>
  <c r="G317" i="22"/>
  <c r="K317" i="22"/>
  <c r="J317" i="22"/>
  <c r="H317" i="22"/>
  <c r="I317" i="22"/>
  <c r="I213" i="22"/>
  <c r="F213" i="22"/>
  <c r="L213" i="22"/>
  <c r="K213" i="22"/>
  <c r="J213" i="22"/>
  <c r="H213" i="22"/>
  <c r="G213" i="22"/>
  <c r="H5" i="22"/>
  <c r="G5" i="22"/>
  <c r="F5" i="22"/>
  <c r="L5" i="22"/>
  <c r="K5" i="22"/>
  <c r="J5" i="22"/>
  <c r="I5" i="22"/>
  <c r="D111" i="22" l="1"/>
  <c r="F125" i="9"/>
  <c r="F117" i="9"/>
  <c r="F109" i="9"/>
  <c r="F101" i="9"/>
  <c r="F93" i="9"/>
  <c r="F85" i="9"/>
  <c r="F105" i="9"/>
  <c r="F89" i="9"/>
  <c r="F77" i="9"/>
  <c r="F69" i="9"/>
  <c r="F61" i="9"/>
  <c r="F53" i="9"/>
  <c r="F41" i="9"/>
  <c r="F25" i="9"/>
  <c r="F124" i="9"/>
  <c r="F121" i="9"/>
  <c r="F114" i="9"/>
  <c r="F82" i="9"/>
  <c r="F81" i="9"/>
  <c r="F104" i="9"/>
  <c r="F80" i="9"/>
  <c r="F113" i="9"/>
  <c r="F106" i="9"/>
  <c r="F97" i="9"/>
  <c r="F49" i="9"/>
  <c r="F21" i="9"/>
  <c r="F8" i="9"/>
  <c r="F9" i="9"/>
  <c r="F74" i="9"/>
  <c r="F66" i="9"/>
  <c r="F44" i="9"/>
  <c r="F29" i="9"/>
  <c r="F5" i="9"/>
  <c r="F72" i="9"/>
  <c r="F64" i="9"/>
  <c r="F48" i="9"/>
  <c r="F45" i="9"/>
  <c r="F56" i="9"/>
  <c r="F50" i="9"/>
  <c r="F37" i="9"/>
  <c r="F30" i="9"/>
  <c r="F18" i="9"/>
  <c r="F57" i="9"/>
  <c r="F33" i="9"/>
  <c r="F32" i="9"/>
  <c r="F17" i="9"/>
  <c r="F73" i="9"/>
  <c r="F65" i="9"/>
  <c r="F34" i="9"/>
  <c r="F20" i="9"/>
  <c r="F14" i="9"/>
  <c r="F13" i="9"/>
  <c r="F36" i="9"/>
  <c r="F38" i="9"/>
  <c r="F24" i="9"/>
  <c r="F42" i="9"/>
  <c r="F58" i="9"/>
  <c r="F94" i="9"/>
  <c r="F111" i="9"/>
  <c r="F63" i="9"/>
  <c r="F99" i="9"/>
  <c r="F84" i="9"/>
  <c r="F88" i="9"/>
  <c r="F7" i="9"/>
  <c r="F12" i="9"/>
  <c r="F31" i="9"/>
  <c r="F96" i="9"/>
  <c r="F67" i="9"/>
  <c r="F110" i="9"/>
  <c r="F6" i="9"/>
  <c r="F23" i="9"/>
  <c r="F22" i="9"/>
  <c r="F39" i="9"/>
  <c r="F26" i="9"/>
  <c r="F60" i="9"/>
  <c r="F107" i="9"/>
  <c r="F87" i="9"/>
  <c r="F120" i="9"/>
  <c r="F95" i="9"/>
  <c r="F100" i="9"/>
  <c r="F115" i="9"/>
  <c r="F119" i="9"/>
  <c r="F59" i="9"/>
  <c r="F68" i="9"/>
  <c r="F47" i="9"/>
  <c r="F98" i="9"/>
  <c r="F103" i="9"/>
  <c r="F75" i="9"/>
  <c r="F15" i="9"/>
  <c r="F43" i="9"/>
  <c r="F51" i="9"/>
  <c r="F46" i="9"/>
  <c r="F27" i="9"/>
  <c r="F40" i="9"/>
  <c r="F52" i="9"/>
  <c r="F19" i="9"/>
  <c r="F11" i="9"/>
  <c r="F86" i="9"/>
  <c r="F118" i="9"/>
  <c r="F112" i="9"/>
  <c r="F79" i="9"/>
  <c r="F102" i="9"/>
  <c r="F16" i="9"/>
  <c r="F91" i="9"/>
  <c r="F28" i="9"/>
  <c r="F122" i="9"/>
  <c r="F108" i="9"/>
  <c r="F35" i="9"/>
  <c r="F10" i="9"/>
  <c r="F71" i="9"/>
  <c r="F123" i="9"/>
  <c r="F55" i="9"/>
  <c r="F92" i="9"/>
  <c r="F54" i="9"/>
  <c r="F116" i="9"/>
  <c r="F76" i="9"/>
  <c r="F90" i="9"/>
  <c r="F78" i="9"/>
  <c r="F70" i="9"/>
  <c r="F83" i="9"/>
  <c r="F62" i="9"/>
  <c r="I162" i="22"/>
  <c r="G162" i="22"/>
  <c r="L162" i="22"/>
  <c r="H162" i="22"/>
  <c r="F162" i="22"/>
  <c r="K162" i="22"/>
  <c r="J162" i="22"/>
  <c r="F6" i="22"/>
  <c r="L6" i="22"/>
  <c r="K6" i="22"/>
  <c r="J6" i="22"/>
  <c r="I6" i="22"/>
  <c r="H6" i="22"/>
  <c r="G6" i="22"/>
  <c r="I318" i="22"/>
  <c r="G318" i="22"/>
  <c r="L318" i="22"/>
  <c r="K318" i="22"/>
  <c r="H318" i="22"/>
  <c r="J318" i="22"/>
  <c r="F318" i="22"/>
  <c r="G7" i="20"/>
  <c r="F7" i="8"/>
  <c r="D267" i="22"/>
  <c r="F372" i="9"/>
  <c r="F361" i="9"/>
  <c r="F374" i="9"/>
  <c r="F358" i="9"/>
  <c r="F354" i="9"/>
  <c r="F353" i="9"/>
  <c r="F355" i="9"/>
  <c r="F356" i="9"/>
  <c r="F357" i="9"/>
  <c r="F360" i="9"/>
  <c r="F359" i="9"/>
  <c r="F373" i="9"/>
  <c r="D163" i="22"/>
  <c r="F350" i="9"/>
  <c r="F347" i="9"/>
  <c r="F346" i="9"/>
  <c r="F345" i="9"/>
  <c r="F325" i="9"/>
  <c r="F330" i="9"/>
  <c r="F329" i="9"/>
  <c r="F334" i="9"/>
  <c r="F341" i="9"/>
  <c r="F318" i="9"/>
  <c r="F313" i="9"/>
  <c r="F340" i="9"/>
  <c r="F328" i="9"/>
  <c r="F337" i="9"/>
  <c r="F316" i="9"/>
  <c r="F342" i="9"/>
  <c r="F338" i="9"/>
  <c r="F332" i="9"/>
  <c r="F321" i="9"/>
  <c r="F333" i="9"/>
  <c r="F317" i="9"/>
  <c r="F289" i="9"/>
  <c r="F304" i="9"/>
  <c r="F294" i="9"/>
  <c r="F285" i="9"/>
  <c r="F277" i="9"/>
  <c r="F293" i="9"/>
  <c r="F284" i="9"/>
  <c r="F286" i="9"/>
  <c r="F281" i="9"/>
  <c r="F273" i="9"/>
  <c r="F265" i="9"/>
  <c r="F268" i="9"/>
  <c r="F269" i="9"/>
  <c r="F276" i="9"/>
  <c r="F267" i="9"/>
  <c r="F291" i="9"/>
  <c r="F335" i="9"/>
  <c r="F283" i="9"/>
  <c r="F349" i="9"/>
  <c r="F331" i="9"/>
  <c r="F339" i="9"/>
  <c r="F270" i="9"/>
  <c r="F272" i="9"/>
  <c r="F271" i="9"/>
  <c r="F287" i="9"/>
  <c r="F278" i="9"/>
  <c r="F292" i="9"/>
  <c r="F336" i="9"/>
  <c r="F315" i="9"/>
  <c r="F320" i="9"/>
  <c r="F280" i="9"/>
  <c r="F295" i="9"/>
  <c r="F324" i="9"/>
  <c r="F322" i="9"/>
  <c r="F344" i="9"/>
  <c r="F343" i="9"/>
  <c r="F351" i="9"/>
  <c r="F266" i="9"/>
  <c r="F288" i="9"/>
  <c r="F314" i="9"/>
  <c r="F274" i="9"/>
  <c r="F326" i="9"/>
  <c r="F303" i="9"/>
  <c r="F282" i="9"/>
  <c r="F279" i="9"/>
  <c r="F275" i="9"/>
  <c r="F348" i="9"/>
  <c r="F290" i="9"/>
  <c r="F323" i="9"/>
  <c r="F352" i="9"/>
  <c r="F319" i="9"/>
  <c r="F327" i="9"/>
  <c r="G10" i="20"/>
  <c r="F10" i="8"/>
  <c r="K110" i="22"/>
  <c r="H110" i="22"/>
  <c r="L110" i="22"/>
  <c r="J110" i="22"/>
  <c r="I110" i="22"/>
  <c r="G110" i="22"/>
  <c r="F110" i="22"/>
  <c r="G8" i="20"/>
  <c r="F8" i="8"/>
  <c r="D59" i="22"/>
  <c r="F301" i="9"/>
  <c r="F297" i="9"/>
  <c r="F298" i="9"/>
  <c r="F296" i="9"/>
  <c r="F257" i="9"/>
  <c r="F249" i="9"/>
  <c r="F241" i="9"/>
  <c r="F233" i="9"/>
  <c r="F225" i="9"/>
  <c r="F254" i="9"/>
  <c r="F252" i="9"/>
  <c r="F246" i="9"/>
  <c r="F244" i="9"/>
  <c r="F256" i="9"/>
  <c r="F248" i="9"/>
  <c r="F240" i="9"/>
  <c r="F232" i="9"/>
  <c r="F260" i="9"/>
  <c r="F262" i="9"/>
  <c r="F261" i="9"/>
  <c r="F253" i="9"/>
  <c r="F245" i="9"/>
  <c r="F237" i="9"/>
  <c r="F229" i="9"/>
  <c r="F188" i="9"/>
  <c r="F205" i="9"/>
  <c r="F199" i="9"/>
  <c r="F184" i="9"/>
  <c r="F209" i="9"/>
  <c r="F200" i="9"/>
  <c r="F196" i="9"/>
  <c r="F180" i="9"/>
  <c r="F197" i="9"/>
  <c r="F224" i="9"/>
  <c r="F221" i="9"/>
  <c r="F192" i="9"/>
  <c r="F216" i="9"/>
  <c r="F212" i="9"/>
  <c r="F193" i="9"/>
  <c r="F220" i="9"/>
  <c r="F215" i="9"/>
  <c r="F213" i="9"/>
  <c r="F207" i="9"/>
  <c r="F191" i="9"/>
  <c r="F208" i="9"/>
  <c r="F204" i="9"/>
  <c r="F173" i="9"/>
  <c r="F176" i="9"/>
  <c r="F178" i="9"/>
  <c r="F177" i="9"/>
  <c r="F181" i="9"/>
  <c r="F185" i="9"/>
  <c r="F183" i="9"/>
  <c r="F195" i="9"/>
  <c r="F175" i="9"/>
  <c r="F226" i="9"/>
  <c r="F264" i="9"/>
  <c r="F218" i="9"/>
  <c r="F171" i="9"/>
  <c r="F186" i="9"/>
  <c r="F179" i="9"/>
  <c r="F190" i="9"/>
  <c r="F201" i="9"/>
  <c r="F217" i="9"/>
  <c r="F227" i="9"/>
  <c r="F259" i="9"/>
  <c r="F182" i="9"/>
  <c r="F219" i="9"/>
  <c r="F236" i="9"/>
  <c r="F250" i="9"/>
  <c r="F243" i="9"/>
  <c r="F174" i="9"/>
  <c r="F194" i="9"/>
  <c r="F203" i="9"/>
  <c r="F231" i="9"/>
  <c r="F235" i="9"/>
  <c r="F228" i="9"/>
  <c r="F189" i="9"/>
  <c r="F234" i="9"/>
  <c r="F172" i="9"/>
  <c r="F211" i="9"/>
  <c r="F187" i="9"/>
  <c r="F258" i="9"/>
  <c r="F238" i="9"/>
  <c r="F251" i="9"/>
  <c r="F210" i="9"/>
  <c r="F223" i="9"/>
  <c r="F242" i="9"/>
  <c r="F247" i="9"/>
  <c r="F255" i="9"/>
  <c r="F230" i="9"/>
  <c r="F198" i="9"/>
  <c r="F206" i="9"/>
  <c r="F214" i="9"/>
  <c r="F302" i="9"/>
  <c r="F239" i="9"/>
  <c r="F222" i="9"/>
  <c r="F299" i="9"/>
  <c r="F170" i="9"/>
  <c r="F263" i="9"/>
  <c r="F300" i="9"/>
  <c r="F202" i="9"/>
  <c r="F266" i="22"/>
  <c r="L266" i="22"/>
  <c r="K266" i="22"/>
  <c r="J266" i="22"/>
  <c r="I266" i="22"/>
  <c r="H266" i="22"/>
  <c r="G266" i="22"/>
  <c r="F214" i="22"/>
  <c r="K214" i="22"/>
  <c r="L214" i="22"/>
  <c r="J214" i="22"/>
  <c r="I214" i="22"/>
  <c r="H214" i="22"/>
  <c r="G214" i="22"/>
  <c r="D7" i="22"/>
  <c r="F305" i="9"/>
  <c r="F309" i="9"/>
  <c r="F312" i="9"/>
  <c r="F310" i="9"/>
  <c r="F311" i="9"/>
  <c r="F308" i="9"/>
  <c r="F307" i="9"/>
  <c r="F306" i="9"/>
  <c r="G6" i="20"/>
  <c r="F6" i="8"/>
  <c r="C321" i="22"/>
  <c r="C269" i="22"/>
  <c r="C217" i="22"/>
  <c r="C165" i="22"/>
  <c r="C113" i="22"/>
  <c r="C61" i="22"/>
  <c r="C9" i="22"/>
  <c r="G2" i="20"/>
  <c r="G5" i="20"/>
  <c r="F5" i="8"/>
  <c r="C9" i="19"/>
  <c r="E9" i="19"/>
  <c r="B10" i="19"/>
  <c r="D9" i="19"/>
  <c r="H3" i="20" s="1"/>
  <c r="D319" i="22"/>
  <c r="F367" i="9"/>
  <c r="F387" i="9"/>
  <c r="F388" i="9"/>
  <c r="F379" i="9"/>
  <c r="F364" i="9"/>
  <c r="F375" i="9"/>
  <c r="F376" i="9"/>
  <c r="F371" i="9"/>
  <c r="F380" i="9"/>
  <c r="F365" i="9"/>
  <c r="F370" i="9"/>
  <c r="F362" i="9"/>
  <c r="F369" i="9"/>
  <c r="F378" i="9"/>
  <c r="F366" i="9"/>
  <c r="F368" i="9"/>
  <c r="F363" i="9"/>
  <c r="F377" i="9"/>
  <c r="D215" i="22"/>
  <c r="F383" i="9"/>
  <c r="F386" i="9"/>
  <c r="F165" i="9"/>
  <c r="F157" i="9"/>
  <c r="F149" i="9"/>
  <c r="F141" i="9"/>
  <c r="F133" i="9"/>
  <c r="F161" i="9"/>
  <c r="F153" i="9"/>
  <c r="F145" i="9"/>
  <c r="F137" i="9"/>
  <c r="F129" i="9"/>
  <c r="F168" i="9"/>
  <c r="F162" i="9"/>
  <c r="F160" i="9"/>
  <c r="F154" i="9"/>
  <c r="F152" i="9"/>
  <c r="F146" i="9"/>
  <c r="F144" i="9"/>
  <c r="F164" i="9"/>
  <c r="F156" i="9"/>
  <c r="F148" i="9"/>
  <c r="F140" i="9"/>
  <c r="F169" i="9"/>
  <c r="F132" i="9"/>
  <c r="F136" i="9"/>
  <c r="F130" i="9"/>
  <c r="F128" i="9"/>
  <c r="F126" i="9"/>
  <c r="F138" i="9"/>
  <c r="F147" i="9"/>
  <c r="F163" i="9"/>
  <c r="F143" i="9"/>
  <c r="F167" i="9"/>
  <c r="F134" i="9"/>
  <c r="F142" i="9"/>
  <c r="F158" i="9"/>
  <c r="F135" i="9"/>
  <c r="F127" i="9"/>
  <c r="F155" i="9"/>
  <c r="F151" i="9"/>
  <c r="F131" i="9"/>
  <c r="F139" i="9"/>
  <c r="F159" i="9"/>
  <c r="F150" i="9"/>
  <c r="F384" i="9"/>
  <c r="F385" i="9"/>
  <c r="F381" i="9"/>
  <c r="F166" i="9"/>
  <c r="F382" i="9"/>
  <c r="G11" i="20"/>
  <c r="F11" i="8"/>
  <c r="I58" i="22"/>
  <c r="H58" i="22"/>
  <c r="G58" i="22"/>
  <c r="F58" i="22"/>
  <c r="L58" i="22"/>
  <c r="K58" i="22"/>
  <c r="J58" i="22"/>
  <c r="G9" i="20"/>
  <c r="F9" i="8"/>
  <c r="H6" i="20" l="1"/>
  <c r="G6" i="8"/>
  <c r="E10" i="19"/>
  <c r="D10" i="19"/>
  <c r="I3" i="20" s="1"/>
  <c r="C10" i="19"/>
  <c r="B11" i="19"/>
  <c r="D268" i="22"/>
  <c r="G374" i="9"/>
  <c r="G361" i="9"/>
  <c r="G372" i="9"/>
  <c r="G358" i="9"/>
  <c r="G359" i="9"/>
  <c r="G355" i="9"/>
  <c r="G353" i="9"/>
  <c r="G354" i="9"/>
  <c r="G357" i="9"/>
  <c r="G356" i="9"/>
  <c r="G360" i="9"/>
  <c r="G373" i="9"/>
  <c r="K215" i="22"/>
  <c r="H215" i="22"/>
  <c r="L215" i="22"/>
  <c r="J215" i="22"/>
  <c r="I215" i="22"/>
  <c r="G215" i="22"/>
  <c r="F215" i="22"/>
  <c r="C322" i="22"/>
  <c r="C270" i="22"/>
  <c r="C166" i="22"/>
  <c r="C218" i="22"/>
  <c r="C114" i="22"/>
  <c r="C10" i="22"/>
  <c r="C62" i="22"/>
  <c r="H2" i="20"/>
  <c r="F59" i="22"/>
  <c r="G59" i="22"/>
  <c r="L59" i="22"/>
  <c r="J59" i="22"/>
  <c r="K59" i="22"/>
  <c r="I59" i="22"/>
  <c r="H59" i="22"/>
  <c r="H10" i="20"/>
  <c r="G10" i="8"/>
  <c r="D164" i="22"/>
  <c r="G350" i="9"/>
  <c r="G329" i="9"/>
  <c r="G347" i="9"/>
  <c r="G346" i="9"/>
  <c r="G345" i="9"/>
  <c r="G293" i="9"/>
  <c r="G341" i="9"/>
  <c r="G318" i="9"/>
  <c r="G315" i="9"/>
  <c r="G314" i="9"/>
  <c r="G313" i="9"/>
  <c r="G340" i="9"/>
  <c r="G304" i="9"/>
  <c r="G337" i="9"/>
  <c r="G351" i="9"/>
  <c r="G342" i="9"/>
  <c r="G338" i="9"/>
  <c r="G332" i="9"/>
  <c r="G321" i="9"/>
  <c r="G319" i="9"/>
  <c r="G333" i="9"/>
  <c r="G317" i="9"/>
  <c r="G330" i="9"/>
  <c r="G325" i="9"/>
  <c r="G285" i="9"/>
  <c r="G283" i="9"/>
  <c r="G289" i="9"/>
  <c r="G295" i="9"/>
  <c r="G284" i="9"/>
  <c r="G286" i="9"/>
  <c r="G282" i="9"/>
  <c r="G281" i="9"/>
  <c r="G316" i="9"/>
  <c r="G265" i="9"/>
  <c r="G271" i="9"/>
  <c r="G275" i="9"/>
  <c r="G269" i="9"/>
  <c r="G277" i="9"/>
  <c r="G274" i="9"/>
  <c r="G267" i="9"/>
  <c r="G278" i="9"/>
  <c r="G279" i="9"/>
  <c r="G273" i="9"/>
  <c r="G266" i="9"/>
  <c r="G320" i="9"/>
  <c r="G326" i="9"/>
  <c r="G303" i="9"/>
  <c r="G344" i="9"/>
  <c r="G272" i="9"/>
  <c r="G270" i="9"/>
  <c r="G287" i="9"/>
  <c r="G349" i="9"/>
  <c r="G323" i="9"/>
  <c r="G334" i="9"/>
  <c r="G290" i="9"/>
  <c r="G268" i="9"/>
  <c r="G331" i="9"/>
  <c r="G339" i="9"/>
  <c r="G288" i="9"/>
  <c r="G294" i="9"/>
  <c r="G327" i="9"/>
  <c r="G322" i="9"/>
  <c r="G352" i="9"/>
  <c r="G348" i="9"/>
  <c r="G276" i="9"/>
  <c r="G280" i="9"/>
  <c r="G335" i="9"/>
  <c r="G292" i="9"/>
  <c r="G336" i="9"/>
  <c r="G324" i="9"/>
  <c r="G343" i="9"/>
  <c r="G328" i="9"/>
  <c r="G291" i="9"/>
  <c r="K267" i="22"/>
  <c r="I267" i="22"/>
  <c r="L267" i="22"/>
  <c r="J267" i="22"/>
  <c r="H267" i="22"/>
  <c r="G267" i="22"/>
  <c r="F267" i="22"/>
  <c r="D8" i="22"/>
  <c r="G312" i="9"/>
  <c r="G309" i="9"/>
  <c r="G305" i="9"/>
  <c r="G306" i="9"/>
  <c r="G310" i="9"/>
  <c r="G311" i="9"/>
  <c r="G307" i="9"/>
  <c r="G308" i="9"/>
  <c r="H8" i="20"/>
  <c r="G8" i="8"/>
  <c r="H5" i="20"/>
  <c r="G5" i="8"/>
  <c r="D112" i="22"/>
  <c r="G125" i="9"/>
  <c r="G117" i="9"/>
  <c r="G109" i="9"/>
  <c r="G101" i="9"/>
  <c r="G93" i="9"/>
  <c r="G85" i="9"/>
  <c r="G45" i="9"/>
  <c r="G29" i="9"/>
  <c r="G121" i="9"/>
  <c r="G81" i="9"/>
  <c r="G73" i="9"/>
  <c r="G65" i="9"/>
  <c r="G80" i="9"/>
  <c r="G113" i="9"/>
  <c r="G106" i="9"/>
  <c r="G97" i="9"/>
  <c r="G98" i="9"/>
  <c r="G105" i="9"/>
  <c r="G89" i="9"/>
  <c r="G77" i="9"/>
  <c r="G69" i="9"/>
  <c r="G61" i="9"/>
  <c r="G53" i="9"/>
  <c r="G41" i="9"/>
  <c r="G25" i="9"/>
  <c r="G49" i="9"/>
  <c r="G9" i="9"/>
  <c r="G72" i="9"/>
  <c r="G64" i="9"/>
  <c r="G48" i="9"/>
  <c r="G21" i="9"/>
  <c r="G5" i="9"/>
  <c r="G17" i="9"/>
  <c r="G56" i="9"/>
  <c r="G37" i="9"/>
  <c r="G30" i="9"/>
  <c r="G57" i="9"/>
  <c r="G33" i="9"/>
  <c r="G32" i="9"/>
  <c r="G31" i="9"/>
  <c r="G47" i="9"/>
  <c r="G34" i="9"/>
  <c r="G14" i="9"/>
  <c r="G38" i="9"/>
  <c r="G13" i="9"/>
  <c r="G35" i="9"/>
  <c r="G15" i="9"/>
  <c r="G36" i="9"/>
  <c r="G8" i="9"/>
  <c r="G91" i="9"/>
  <c r="G43" i="9"/>
  <c r="G19" i="9"/>
  <c r="G70" i="9"/>
  <c r="G92" i="9"/>
  <c r="G118" i="9"/>
  <c r="G88" i="9"/>
  <c r="G12" i="9"/>
  <c r="G59" i="9"/>
  <c r="G52" i="9"/>
  <c r="G27" i="9"/>
  <c r="G50" i="9"/>
  <c r="G46" i="9"/>
  <c r="G42" i="9"/>
  <c r="G11" i="9"/>
  <c r="G78" i="9"/>
  <c r="G123" i="9"/>
  <c r="G75" i="9"/>
  <c r="G100" i="9"/>
  <c r="G107" i="9"/>
  <c r="G119" i="9"/>
  <c r="G18" i="9"/>
  <c r="G40" i="9"/>
  <c r="G24" i="9"/>
  <c r="G51" i="9"/>
  <c r="G103" i="9"/>
  <c r="G83" i="9"/>
  <c r="G110" i="9"/>
  <c r="G66" i="9"/>
  <c r="G114" i="9"/>
  <c r="G23" i="9"/>
  <c r="G16" i="9"/>
  <c r="G7" i="9"/>
  <c r="G39" i="9"/>
  <c r="G86" i="9"/>
  <c r="G104" i="9"/>
  <c r="G20" i="9"/>
  <c r="G10" i="9"/>
  <c r="G58" i="9"/>
  <c r="G22" i="9"/>
  <c r="G6" i="9"/>
  <c r="G44" i="9"/>
  <c r="G28" i="9"/>
  <c r="G68" i="9"/>
  <c r="G26" i="9"/>
  <c r="G54" i="9"/>
  <c r="G99" i="9"/>
  <c r="G67" i="9"/>
  <c r="G111" i="9"/>
  <c r="G108" i="9"/>
  <c r="G60" i="9"/>
  <c r="G120" i="9"/>
  <c r="G87" i="9"/>
  <c r="G94" i="9"/>
  <c r="G62" i="9"/>
  <c r="G82" i="9"/>
  <c r="G63" i="9"/>
  <c r="G96" i="9"/>
  <c r="G115" i="9"/>
  <c r="G124" i="9"/>
  <c r="G116" i="9"/>
  <c r="G95" i="9"/>
  <c r="G112" i="9"/>
  <c r="G74" i="9"/>
  <c r="G71" i="9"/>
  <c r="G79" i="9"/>
  <c r="G55" i="9"/>
  <c r="G122" i="9"/>
  <c r="G84" i="9"/>
  <c r="G102" i="9"/>
  <c r="G90" i="9"/>
  <c r="G76" i="9"/>
  <c r="D216" i="22"/>
  <c r="G386" i="9"/>
  <c r="G381" i="9"/>
  <c r="G382" i="9"/>
  <c r="G383" i="9"/>
  <c r="G169" i="9"/>
  <c r="G165" i="9"/>
  <c r="G157" i="9"/>
  <c r="G149" i="9"/>
  <c r="G166" i="9"/>
  <c r="G161" i="9"/>
  <c r="G158" i="9"/>
  <c r="G153" i="9"/>
  <c r="G150" i="9"/>
  <c r="G145" i="9"/>
  <c r="G142" i="9"/>
  <c r="G137" i="9"/>
  <c r="G134" i="9"/>
  <c r="G129" i="9"/>
  <c r="G126" i="9"/>
  <c r="G141" i="9"/>
  <c r="G133" i="9"/>
  <c r="G131" i="9"/>
  <c r="G152" i="9"/>
  <c r="G127" i="9"/>
  <c r="G167" i="9"/>
  <c r="G136" i="9"/>
  <c r="G147" i="9"/>
  <c r="G159" i="9"/>
  <c r="G162" i="9"/>
  <c r="G148" i="9"/>
  <c r="G164" i="9"/>
  <c r="G163" i="9"/>
  <c r="G151" i="9"/>
  <c r="G154" i="9"/>
  <c r="G143" i="9"/>
  <c r="G146" i="9"/>
  <c r="G144" i="9"/>
  <c r="G139" i="9"/>
  <c r="G155" i="9"/>
  <c r="G130" i="9"/>
  <c r="G135" i="9"/>
  <c r="G128" i="9"/>
  <c r="G156" i="9"/>
  <c r="G168" i="9"/>
  <c r="G160" i="9"/>
  <c r="G132" i="9"/>
  <c r="G140" i="9"/>
  <c r="G138" i="9"/>
  <c r="G384" i="9"/>
  <c r="G385" i="9"/>
  <c r="H9" i="20"/>
  <c r="G9" i="8"/>
  <c r="D320" i="22"/>
  <c r="G387" i="9"/>
  <c r="G371" i="9"/>
  <c r="G370" i="9"/>
  <c r="G388" i="9"/>
  <c r="G375" i="9"/>
  <c r="G376" i="9"/>
  <c r="G367" i="9"/>
  <c r="G365" i="9"/>
  <c r="G378" i="9"/>
  <c r="G377" i="9"/>
  <c r="G379" i="9"/>
  <c r="G366" i="9"/>
  <c r="G363" i="9"/>
  <c r="G368" i="9"/>
  <c r="G362" i="9"/>
  <c r="G369" i="9"/>
  <c r="G380" i="9"/>
  <c r="G364" i="9"/>
  <c r="F319" i="22"/>
  <c r="K319" i="22"/>
  <c r="L319" i="22"/>
  <c r="G319" i="22"/>
  <c r="J319" i="22"/>
  <c r="H319" i="22"/>
  <c r="I319" i="22"/>
  <c r="D60" i="22"/>
  <c r="G297" i="9"/>
  <c r="G298" i="9"/>
  <c r="G302" i="9"/>
  <c r="G296" i="9"/>
  <c r="G301" i="9"/>
  <c r="G299" i="9"/>
  <c r="G216" i="9"/>
  <c r="G255" i="9"/>
  <c r="G247" i="9"/>
  <c r="G239" i="9"/>
  <c r="G263" i="9"/>
  <c r="G257" i="9"/>
  <c r="G249" i="9"/>
  <c r="G241" i="9"/>
  <c r="G262" i="9"/>
  <c r="G261" i="9"/>
  <c r="G258" i="9"/>
  <c r="G253" i="9"/>
  <c r="G250" i="9"/>
  <c r="G245" i="9"/>
  <c r="G242" i="9"/>
  <c r="G237" i="9"/>
  <c r="G234" i="9"/>
  <c r="G229" i="9"/>
  <c r="G200" i="9"/>
  <c r="G196" i="9"/>
  <c r="G180" i="9"/>
  <c r="G231" i="9"/>
  <c r="G197" i="9"/>
  <c r="G188" i="9"/>
  <c r="G226" i="9"/>
  <c r="G221" i="9"/>
  <c r="G201" i="9"/>
  <c r="G192" i="9"/>
  <c r="G212" i="9"/>
  <c r="G220" i="9"/>
  <c r="G215" i="9"/>
  <c r="G213" i="9"/>
  <c r="G207" i="9"/>
  <c r="G203" i="9"/>
  <c r="G233" i="9"/>
  <c r="G225" i="9"/>
  <c r="G208" i="9"/>
  <c r="G204" i="9"/>
  <c r="G205" i="9"/>
  <c r="G199" i="9"/>
  <c r="G184" i="9"/>
  <c r="G182" i="9"/>
  <c r="G187" i="9"/>
  <c r="G178" i="9"/>
  <c r="G193" i="9"/>
  <c r="G177" i="9"/>
  <c r="G171" i="9"/>
  <c r="G175" i="9"/>
  <c r="G181" i="9"/>
  <c r="G174" i="9"/>
  <c r="G185" i="9"/>
  <c r="G173" i="9"/>
  <c r="G191" i="9"/>
  <c r="G209" i="9"/>
  <c r="G264" i="9"/>
  <c r="G179" i="9"/>
  <c r="G190" i="9"/>
  <c r="G183" i="9"/>
  <c r="G172" i="9"/>
  <c r="G211" i="9"/>
  <c r="G186" i="9"/>
  <c r="G240" i="9"/>
  <c r="G251" i="9"/>
  <c r="G254" i="9"/>
  <c r="G210" i="9"/>
  <c r="G228" i="9"/>
  <c r="G194" i="9"/>
  <c r="G189" i="9"/>
  <c r="G230" i="9"/>
  <c r="G223" i="9"/>
  <c r="G202" i="9"/>
  <c r="G217" i="9"/>
  <c r="G248" i="9"/>
  <c r="G236" i="9"/>
  <c r="G170" i="9"/>
  <c r="G218" i="9"/>
  <c r="G252" i="9"/>
  <c r="G198" i="9"/>
  <c r="G206" i="9"/>
  <c r="G214" i="9"/>
  <c r="G232" i="9"/>
  <c r="G224" i="9"/>
  <c r="G244" i="9"/>
  <c r="G235" i="9"/>
  <c r="G238" i="9"/>
  <c r="G246" i="9"/>
  <c r="G260" i="9"/>
  <c r="G176" i="9"/>
  <c r="G243" i="9"/>
  <c r="G222" i="9"/>
  <c r="G227" i="9"/>
  <c r="G256" i="9"/>
  <c r="G195" i="9"/>
  <c r="G259" i="9"/>
  <c r="G300" i="9"/>
  <c r="G219" i="9"/>
  <c r="F163" i="22"/>
  <c r="L163" i="22"/>
  <c r="I163" i="22"/>
  <c r="J163" i="22"/>
  <c r="H163" i="22"/>
  <c r="G163" i="22"/>
  <c r="K163" i="22"/>
  <c r="H7" i="20"/>
  <c r="G7" i="8"/>
  <c r="H111" i="22"/>
  <c r="L111" i="22"/>
  <c r="K111" i="22"/>
  <c r="J111" i="22"/>
  <c r="I111" i="22"/>
  <c r="G111" i="22"/>
  <c r="F111" i="22"/>
  <c r="H11" i="20"/>
  <c r="G11" i="8"/>
  <c r="J7" i="22"/>
  <c r="L7" i="22"/>
  <c r="K7" i="22"/>
  <c r="I7" i="22"/>
  <c r="H7" i="22"/>
  <c r="G7" i="22"/>
  <c r="F7" i="22"/>
  <c r="H216" i="22" l="1"/>
  <c r="K216" i="22"/>
  <c r="J216" i="22"/>
  <c r="I216" i="22"/>
  <c r="G216" i="22"/>
  <c r="F216" i="22"/>
  <c r="L216" i="22"/>
  <c r="D165" i="22"/>
  <c r="H341" i="9"/>
  <c r="H333" i="9"/>
  <c r="H351" i="9"/>
  <c r="H347" i="9"/>
  <c r="H346" i="9"/>
  <c r="H345" i="9"/>
  <c r="H350" i="9"/>
  <c r="H329" i="9"/>
  <c r="H318" i="9"/>
  <c r="H315" i="9"/>
  <c r="H314" i="9"/>
  <c r="H313" i="9"/>
  <c r="H337" i="9"/>
  <c r="H338" i="9"/>
  <c r="H339" i="9"/>
  <c r="H317" i="9"/>
  <c r="H330" i="9"/>
  <c r="H325" i="9"/>
  <c r="H331" i="9"/>
  <c r="H293" i="9"/>
  <c r="H321" i="9"/>
  <c r="H285" i="9"/>
  <c r="H283" i="9"/>
  <c r="H303" i="9"/>
  <c r="H277" i="9"/>
  <c r="H269" i="9"/>
  <c r="H289" i="9"/>
  <c r="H287" i="9"/>
  <c r="H295" i="9"/>
  <c r="H319" i="9"/>
  <c r="H286" i="9"/>
  <c r="H282" i="9"/>
  <c r="H281" i="9"/>
  <c r="H265" i="9"/>
  <c r="H275" i="9"/>
  <c r="H274" i="9"/>
  <c r="H267" i="9"/>
  <c r="H273" i="9"/>
  <c r="H266" i="9"/>
  <c r="H268" i="9"/>
  <c r="H279" i="9"/>
  <c r="H334" i="9"/>
  <c r="H270" i="9"/>
  <c r="H292" i="9"/>
  <c r="H327" i="9"/>
  <c r="H340" i="9"/>
  <c r="H272" i="9"/>
  <c r="H294" i="9"/>
  <c r="H324" i="9"/>
  <c r="H336" i="9"/>
  <c r="H349" i="9"/>
  <c r="H326" i="9"/>
  <c r="H343" i="9"/>
  <c r="H320" i="9"/>
  <c r="H278" i="9"/>
  <c r="H316" i="9"/>
  <c r="H291" i="9"/>
  <c r="H304" i="9"/>
  <c r="H328" i="9"/>
  <c r="H342" i="9"/>
  <c r="H288" i="9"/>
  <c r="H284" i="9"/>
  <c r="H332" i="9"/>
  <c r="H348" i="9"/>
  <c r="H290" i="9"/>
  <c r="H323" i="9"/>
  <c r="H352" i="9"/>
  <c r="H271" i="9"/>
  <c r="H344" i="9"/>
  <c r="H276" i="9"/>
  <c r="H335" i="9"/>
  <c r="H322" i="9"/>
  <c r="H280" i="9"/>
  <c r="I8" i="20"/>
  <c r="H8" i="8"/>
  <c r="K164" i="22"/>
  <c r="I164" i="22"/>
  <c r="F164" i="22"/>
  <c r="L164" i="22"/>
  <c r="J164" i="22"/>
  <c r="H164" i="22"/>
  <c r="G164" i="22"/>
  <c r="I7" i="20"/>
  <c r="H7" i="8"/>
  <c r="J112" i="22"/>
  <c r="K112" i="22"/>
  <c r="I112" i="22"/>
  <c r="H112" i="22"/>
  <c r="G112" i="22"/>
  <c r="F112" i="22"/>
  <c r="L112" i="22"/>
  <c r="G8" i="22"/>
  <c r="J8" i="22"/>
  <c r="I8" i="22"/>
  <c r="H8" i="22"/>
  <c r="F8" i="22"/>
  <c r="L8" i="22"/>
  <c r="K8" i="22"/>
  <c r="C323" i="22"/>
  <c r="C271" i="22"/>
  <c r="C219" i="22"/>
  <c r="C167" i="22"/>
  <c r="C115" i="22"/>
  <c r="C11" i="22"/>
  <c r="C63" i="22"/>
  <c r="I2" i="20"/>
  <c r="K320" i="22"/>
  <c r="I320" i="22"/>
  <c r="J320" i="22"/>
  <c r="G320" i="22"/>
  <c r="H320" i="22"/>
  <c r="L320" i="22"/>
  <c r="F320" i="22"/>
  <c r="D9" i="22"/>
  <c r="H305" i="9"/>
  <c r="H309" i="9"/>
  <c r="H308" i="9"/>
  <c r="H306" i="9"/>
  <c r="H310" i="9"/>
  <c r="H307" i="9"/>
  <c r="H312" i="9"/>
  <c r="H311" i="9"/>
  <c r="D269" i="22"/>
  <c r="H372" i="9"/>
  <c r="H373" i="9"/>
  <c r="H361" i="9"/>
  <c r="H359" i="9"/>
  <c r="H354" i="9"/>
  <c r="H355" i="9"/>
  <c r="H358" i="9"/>
  <c r="H356" i="9"/>
  <c r="H357" i="9"/>
  <c r="H374" i="9"/>
  <c r="H360" i="9"/>
  <c r="H353" i="9"/>
  <c r="D217" i="22"/>
  <c r="H383" i="9"/>
  <c r="H169" i="9"/>
  <c r="H126" i="9"/>
  <c r="H163" i="9"/>
  <c r="H155" i="9"/>
  <c r="H147" i="9"/>
  <c r="H165" i="9"/>
  <c r="H157" i="9"/>
  <c r="H149" i="9"/>
  <c r="H141" i="9"/>
  <c r="H166" i="9"/>
  <c r="H161" i="9"/>
  <c r="H158" i="9"/>
  <c r="H153" i="9"/>
  <c r="H150" i="9"/>
  <c r="H145" i="9"/>
  <c r="H142" i="9"/>
  <c r="H137" i="9"/>
  <c r="H133" i="9"/>
  <c r="H131" i="9"/>
  <c r="H129" i="9"/>
  <c r="H139" i="9"/>
  <c r="H134" i="9"/>
  <c r="H135" i="9"/>
  <c r="H136" i="9"/>
  <c r="H127" i="9"/>
  <c r="H160" i="9"/>
  <c r="H138" i="9"/>
  <c r="H151" i="9"/>
  <c r="H154" i="9"/>
  <c r="H167" i="9"/>
  <c r="H144" i="9"/>
  <c r="H128" i="9"/>
  <c r="H130" i="9"/>
  <c r="H152" i="9"/>
  <c r="H143" i="9"/>
  <c r="H148" i="9"/>
  <c r="H156" i="9"/>
  <c r="H162" i="9"/>
  <c r="H168" i="9"/>
  <c r="H382" i="9"/>
  <c r="H381" i="9"/>
  <c r="H159" i="9"/>
  <c r="H385" i="9"/>
  <c r="H384" i="9"/>
  <c r="H140" i="9"/>
  <c r="H164" i="9"/>
  <c r="H132" i="9"/>
  <c r="H386" i="9"/>
  <c r="H146" i="9"/>
  <c r="I11" i="20"/>
  <c r="H11" i="8"/>
  <c r="K60" i="22"/>
  <c r="L60" i="22"/>
  <c r="J60" i="22"/>
  <c r="H60" i="22"/>
  <c r="I60" i="22"/>
  <c r="G60" i="22"/>
  <c r="F60" i="22"/>
  <c r="I9" i="20"/>
  <c r="H9" i="8"/>
  <c r="I5" i="20"/>
  <c r="H5" i="8"/>
  <c r="I10" i="20"/>
  <c r="H10" i="8"/>
  <c r="D321" i="22"/>
  <c r="H387" i="9"/>
  <c r="H371" i="9"/>
  <c r="H388" i="9"/>
  <c r="H375" i="9"/>
  <c r="H376" i="9"/>
  <c r="H367" i="9"/>
  <c r="H377" i="9"/>
  <c r="H379" i="9"/>
  <c r="H380" i="9"/>
  <c r="H365" i="9"/>
  <c r="H363" i="9"/>
  <c r="H362" i="9"/>
  <c r="H366" i="9"/>
  <c r="H368" i="9"/>
  <c r="H369" i="9"/>
  <c r="H370" i="9"/>
  <c r="H378" i="9"/>
  <c r="H364" i="9"/>
  <c r="H268" i="22"/>
  <c r="F268" i="22"/>
  <c r="K268" i="22"/>
  <c r="J268" i="22"/>
  <c r="I268" i="22"/>
  <c r="L268" i="22"/>
  <c r="G268" i="22"/>
  <c r="D61" i="22"/>
  <c r="H261" i="9"/>
  <c r="H298" i="9"/>
  <c r="H302" i="9"/>
  <c r="H301" i="9"/>
  <c r="H299" i="9"/>
  <c r="H297" i="9"/>
  <c r="H216" i="9"/>
  <c r="H208" i="9"/>
  <c r="H200" i="9"/>
  <c r="H192" i="9"/>
  <c r="H255" i="9"/>
  <c r="H247" i="9"/>
  <c r="H257" i="9"/>
  <c r="H249" i="9"/>
  <c r="H241" i="9"/>
  <c r="H233" i="9"/>
  <c r="H258" i="9"/>
  <c r="H253" i="9"/>
  <c r="H250" i="9"/>
  <c r="H245" i="9"/>
  <c r="H242" i="9"/>
  <c r="H237" i="9"/>
  <c r="H234" i="9"/>
  <c r="H229" i="9"/>
  <c r="H197" i="9"/>
  <c r="H188" i="9"/>
  <c r="H226" i="9"/>
  <c r="H221" i="9"/>
  <c r="H198" i="9"/>
  <c r="H177" i="9"/>
  <c r="H212" i="9"/>
  <c r="H220" i="9"/>
  <c r="H213" i="9"/>
  <c r="H225" i="9"/>
  <c r="H214" i="9"/>
  <c r="H204" i="9"/>
  <c r="H222" i="9"/>
  <c r="H205" i="9"/>
  <c r="H206" i="9"/>
  <c r="H196" i="9"/>
  <c r="H180" i="9"/>
  <c r="H184" i="9"/>
  <c r="H175" i="9"/>
  <c r="H189" i="9"/>
  <c r="H181" i="9"/>
  <c r="H174" i="9"/>
  <c r="H185" i="9"/>
  <c r="H173" i="9"/>
  <c r="H182" i="9"/>
  <c r="H183" i="9"/>
  <c r="H210" i="9"/>
  <c r="H223" i="9"/>
  <c r="H195" i="9"/>
  <c r="H176" i="9"/>
  <c r="H187" i="9"/>
  <c r="H248" i="9"/>
  <c r="H263" i="9"/>
  <c r="H178" i="9"/>
  <c r="H190" i="9"/>
  <c r="H209" i="9"/>
  <c r="H228" i="9"/>
  <c r="H170" i="9"/>
  <c r="H186" i="9"/>
  <c r="H172" i="9"/>
  <c r="H179" i="9"/>
  <c r="H193" i="9"/>
  <c r="H217" i="9"/>
  <c r="H191" i="9"/>
  <c r="H207" i="9"/>
  <c r="H227" i="9"/>
  <c r="H236" i="9"/>
  <c r="H262" i="9"/>
  <c r="H199" i="9"/>
  <c r="H246" i="9"/>
  <c r="H259" i="9"/>
  <c r="H239" i="9"/>
  <c r="H232" i="9"/>
  <c r="H243" i="9"/>
  <c r="H252" i="9"/>
  <c r="H231" i="9"/>
  <c r="H211" i="9"/>
  <c r="H201" i="9"/>
  <c r="H224" i="9"/>
  <c r="H230" i="9"/>
  <c r="H254" i="9"/>
  <c r="H256" i="9"/>
  <c r="H264" i="9"/>
  <c r="H244" i="9"/>
  <c r="H202" i="9"/>
  <c r="H194" i="9"/>
  <c r="H203" i="9"/>
  <c r="H238" i="9"/>
  <c r="H240" i="9"/>
  <c r="H251" i="9"/>
  <c r="H219" i="9"/>
  <c r="H296" i="9"/>
  <c r="H171" i="9"/>
  <c r="H235" i="9"/>
  <c r="H260" i="9"/>
  <c r="H300" i="9"/>
  <c r="H215" i="9"/>
  <c r="H218" i="9"/>
  <c r="D113" i="22"/>
  <c r="H101" i="9"/>
  <c r="H45" i="9"/>
  <c r="H29" i="9"/>
  <c r="H93" i="9"/>
  <c r="H125" i="9"/>
  <c r="H121" i="9"/>
  <c r="H119" i="9"/>
  <c r="H114" i="9"/>
  <c r="H107" i="9"/>
  <c r="H83" i="9"/>
  <c r="H82" i="9"/>
  <c r="H81" i="9"/>
  <c r="H73" i="9"/>
  <c r="H65" i="9"/>
  <c r="H57" i="9"/>
  <c r="H85" i="9"/>
  <c r="H117" i="9"/>
  <c r="H113" i="9"/>
  <c r="H111" i="9"/>
  <c r="H106" i="9"/>
  <c r="H97" i="9"/>
  <c r="H110" i="9"/>
  <c r="H98" i="9"/>
  <c r="H95" i="9"/>
  <c r="H86" i="9"/>
  <c r="H109" i="9"/>
  <c r="H105" i="9"/>
  <c r="H103" i="9"/>
  <c r="H89" i="9"/>
  <c r="H77" i="9"/>
  <c r="H71" i="9"/>
  <c r="H70" i="9"/>
  <c r="H69" i="9"/>
  <c r="H63" i="9"/>
  <c r="H102" i="9"/>
  <c r="H49" i="9"/>
  <c r="H47" i="9"/>
  <c r="H54" i="9"/>
  <c r="H21" i="9"/>
  <c r="H5" i="9"/>
  <c r="H14" i="9"/>
  <c r="H11" i="9"/>
  <c r="H61" i="9"/>
  <c r="H37" i="9"/>
  <c r="H55" i="9"/>
  <c r="H33" i="9"/>
  <c r="H31" i="9"/>
  <c r="H25" i="9"/>
  <c r="H62" i="9"/>
  <c r="H41" i="9"/>
  <c r="H34" i="9"/>
  <c r="H53" i="9"/>
  <c r="H38" i="9"/>
  <c r="H13" i="9"/>
  <c r="H35" i="9"/>
  <c r="H10" i="9"/>
  <c r="H9" i="9"/>
  <c r="H17" i="9"/>
  <c r="H50" i="9"/>
  <c r="H16" i="9"/>
  <c r="H87" i="9"/>
  <c r="H79" i="9"/>
  <c r="H99" i="9"/>
  <c r="H100" i="9"/>
  <c r="H67" i="9"/>
  <c r="H74" i="9"/>
  <c r="H56" i="9"/>
  <c r="H72" i="9"/>
  <c r="H30" i="9"/>
  <c r="H40" i="9"/>
  <c r="H59" i="9"/>
  <c r="H18" i="9"/>
  <c r="H24" i="9"/>
  <c r="H58" i="9"/>
  <c r="H51" i="9"/>
  <c r="H60" i="9"/>
  <c r="H104" i="9"/>
  <c r="H76" i="9"/>
  <c r="H120" i="9"/>
  <c r="H80" i="9"/>
  <c r="H122" i="9"/>
  <c r="H7" i="9"/>
  <c r="H44" i="9"/>
  <c r="H28" i="9"/>
  <c r="H43" i="9"/>
  <c r="H20" i="9"/>
  <c r="H26" i="9"/>
  <c r="H39" i="9"/>
  <c r="H78" i="9"/>
  <c r="H112" i="9"/>
  <c r="H118" i="9"/>
  <c r="H23" i="9"/>
  <c r="H68" i="9"/>
  <c r="H27" i="9"/>
  <c r="H36" i="9"/>
  <c r="H15" i="9"/>
  <c r="H8" i="9"/>
  <c r="H123" i="9"/>
  <c r="H46" i="9"/>
  <c r="H12" i="9"/>
  <c r="H19" i="9"/>
  <c r="H42" i="9"/>
  <c r="H52" i="9"/>
  <c r="H6" i="9"/>
  <c r="H22" i="9"/>
  <c r="H90" i="9"/>
  <c r="H84" i="9"/>
  <c r="H92" i="9"/>
  <c r="H88" i="9"/>
  <c r="H94" i="9"/>
  <c r="H96" i="9"/>
  <c r="H91" i="9"/>
  <c r="H116" i="9"/>
  <c r="H64" i="9"/>
  <c r="H32" i="9"/>
  <c r="H115" i="9"/>
  <c r="H108" i="9"/>
  <c r="H66" i="9"/>
  <c r="H75" i="9"/>
  <c r="H124" i="9"/>
  <c r="H48" i="9"/>
  <c r="C11" i="19"/>
  <c r="E11" i="19"/>
  <c r="B12" i="19"/>
  <c r="D11" i="19"/>
  <c r="J3" i="20" s="1"/>
  <c r="I6" i="20"/>
  <c r="H6" i="8"/>
  <c r="B13" i="19" l="1"/>
  <c r="E12" i="19"/>
  <c r="D12" i="19"/>
  <c r="K3" i="20" s="1"/>
  <c r="C12" i="19"/>
  <c r="C324" i="22"/>
  <c r="C272" i="22"/>
  <c r="C220" i="22"/>
  <c r="C168" i="22"/>
  <c r="C116" i="22"/>
  <c r="C64" i="22"/>
  <c r="C12" i="22"/>
  <c r="J2" i="20"/>
  <c r="J10" i="20"/>
  <c r="I10" i="8"/>
  <c r="H165" i="22"/>
  <c r="F165" i="22"/>
  <c r="K165" i="22"/>
  <c r="L165" i="22"/>
  <c r="J165" i="22"/>
  <c r="I165" i="22"/>
  <c r="G165" i="22"/>
  <c r="H61" i="22"/>
  <c r="L61" i="22"/>
  <c r="K61" i="22"/>
  <c r="J61" i="22"/>
  <c r="I61" i="22"/>
  <c r="F61" i="22"/>
  <c r="G61" i="22"/>
  <c r="D10" i="22"/>
  <c r="I305" i="9"/>
  <c r="I310" i="9"/>
  <c r="I311" i="9"/>
  <c r="I309" i="9"/>
  <c r="I307" i="9"/>
  <c r="I312" i="9"/>
  <c r="I308" i="9"/>
  <c r="I306" i="9"/>
  <c r="J5" i="20"/>
  <c r="I5" i="8"/>
  <c r="D114" i="22"/>
  <c r="I85" i="9"/>
  <c r="I13" i="9"/>
  <c r="I81" i="9"/>
  <c r="I73" i="9"/>
  <c r="I65" i="9"/>
  <c r="I57" i="9"/>
  <c r="I49" i="9"/>
  <c r="I47" i="9"/>
  <c r="I33" i="9"/>
  <c r="I31" i="9"/>
  <c r="I21" i="9"/>
  <c r="I9" i="9"/>
  <c r="I5" i="9"/>
  <c r="I48" i="9"/>
  <c r="I110" i="9"/>
  <c r="I104" i="9"/>
  <c r="I98" i="9"/>
  <c r="I95" i="9"/>
  <c r="I86" i="9"/>
  <c r="I103" i="9"/>
  <c r="I99" i="9"/>
  <c r="I79" i="9"/>
  <c r="I78" i="9"/>
  <c r="I77" i="9"/>
  <c r="I102" i="9"/>
  <c r="I96" i="9"/>
  <c r="I87" i="9"/>
  <c r="I45" i="9"/>
  <c r="I29" i="9"/>
  <c r="I17" i="9"/>
  <c r="I61" i="9"/>
  <c r="I37" i="9"/>
  <c r="I40" i="9"/>
  <c r="I10" i="9"/>
  <c r="I14" i="9"/>
  <c r="I11" i="9"/>
  <c r="I55" i="9"/>
  <c r="I70" i="9"/>
  <c r="I62" i="9"/>
  <c r="I41" i="9"/>
  <c r="I34" i="9"/>
  <c r="I32" i="9"/>
  <c r="I53" i="9"/>
  <c r="I38" i="9"/>
  <c r="I35" i="9"/>
  <c r="I26" i="9"/>
  <c r="I42" i="9"/>
  <c r="I23" i="9"/>
  <c r="I7" i="9"/>
  <c r="I71" i="9"/>
  <c r="I69" i="9"/>
  <c r="I63" i="9"/>
  <c r="I54" i="9"/>
  <c r="I25" i="9"/>
  <c r="I22" i="9"/>
  <c r="I12" i="9"/>
  <c r="I60" i="9"/>
  <c r="I76" i="9"/>
  <c r="I112" i="9"/>
  <c r="I80" i="9"/>
  <c r="I44" i="9"/>
  <c r="I28" i="9"/>
  <c r="I16" i="9"/>
  <c r="I68" i="9"/>
  <c r="I114" i="9"/>
  <c r="I50" i="9"/>
  <c r="I15" i="9"/>
  <c r="I91" i="9"/>
  <c r="I122" i="9"/>
  <c r="I39" i="9"/>
  <c r="I59" i="9"/>
  <c r="I24" i="9"/>
  <c r="I36" i="9"/>
  <c r="I100" i="9"/>
  <c r="I107" i="9"/>
  <c r="I30" i="9"/>
  <c r="I52" i="9"/>
  <c r="I58" i="9"/>
  <c r="I20" i="9"/>
  <c r="I18" i="9"/>
  <c r="I51" i="9"/>
  <c r="I43" i="9"/>
  <c r="I19" i="9"/>
  <c r="I90" i="9"/>
  <c r="I6" i="9"/>
  <c r="I27" i="9"/>
  <c r="I46" i="9"/>
  <c r="I108" i="9"/>
  <c r="I94" i="9"/>
  <c r="I123" i="9"/>
  <c r="I66" i="9"/>
  <c r="I119" i="9"/>
  <c r="I88" i="9"/>
  <c r="I120" i="9"/>
  <c r="I125" i="9"/>
  <c r="I89" i="9"/>
  <c r="I121" i="9"/>
  <c r="I8" i="9"/>
  <c r="I75" i="9"/>
  <c r="I82" i="9"/>
  <c r="I106" i="9"/>
  <c r="I84" i="9"/>
  <c r="I67" i="9"/>
  <c r="I115" i="9"/>
  <c r="I111" i="9"/>
  <c r="I124" i="9"/>
  <c r="I116" i="9"/>
  <c r="I56" i="9"/>
  <c r="I93" i="9"/>
  <c r="I72" i="9"/>
  <c r="I83" i="9"/>
  <c r="I101" i="9"/>
  <c r="I109" i="9"/>
  <c r="I74" i="9"/>
  <c r="I117" i="9"/>
  <c r="I64" i="9"/>
  <c r="I97" i="9"/>
  <c r="I118" i="9"/>
  <c r="I105" i="9"/>
  <c r="I92" i="9"/>
  <c r="I113" i="9"/>
  <c r="J113" i="22"/>
  <c r="G113" i="22"/>
  <c r="I113" i="22"/>
  <c r="H113" i="22"/>
  <c r="F113" i="22"/>
  <c r="K113" i="22"/>
  <c r="L113" i="22"/>
  <c r="D218" i="22"/>
  <c r="I386" i="9"/>
  <c r="I381" i="9"/>
  <c r="I383" i="9"/>
  <c r="I126" i="9"/>
  <c r="I168" i="9"/>
  <c r="I166" i="9"/>
  <c r="I158" i="9"/>
  <c r="I150" i="9"/>
  <c r="I142" i="9"/>
  <c r="I134" i="9"/>
  <c r="I143" i="9"/>
  <c r="I138" i="9"/>
  <c r="I127" i="9"/>
  <c r="I151" i="9"/>
  <c r="I147" i="9"/>
  <c r="I136" i="9"/>
  <c r="I132" i="9"/>
  <c r="I140" i="9"/>
  <c r="I156" i="9"/>
  <c r="I139" i="9"/>
  <c r="I131" i="9"/>
  <c r="I154" i="9"/>
  <c r="I159" i="9"/>
  <c r="I167" i="9"/>
  <c r="I135" i="9"/>
  <c r="I163" i="9"/>
  <c r="I162" i="9"/>
  <c r="I160" i="9"/>
  <c r="I128" i="9"/>
  <c r="I130" i="9"/>
  <c r="I155" i="9"/>
  <c r="I146" i="9"/>
  <c r="I152" i="9"/>
  <c r="I144" i="9"/>
  <c r="I145" i="9"/>
  <c r="I133" i="9"/>
  <c r="I165" i="9"/>
  <c r="I164" i="9"/>
  <c r="I153" i="9"/>
  <c r="I141" i="9"/>
  <c r="I129" i="9"/>
  <c r="I161" i="9"/>
  <c r="I148" i="9"/>
  <c r="I149" i="9"/>
  <c r="I137" i="9"/>
  <c r="I169" i="9"/>
  <c r="I384" i="9"/>
  <c r="I385" i="9"/>
  <c r="I157" i="9"/>
  <c r="I382" i="9"/>
  <c r="D322" i="22"/>
  <c r="I388" i="9"/>
  <c r="I370" i="9"/>
  <c r="I375" i="9"/>
  <c r="I376" i="9"/>
  <c r="I379" i="9"/>
  <c r="I377" i="9"/>
  <c r="I387" i="9"/>
  <c r="I371" i="9"/>
  <c r="I378" i="9"/>
  <c r="I380" i="9"/>
  <c r="I364" i="9"/>
  <c r="I363" i="9"/>
  <c r="I367" i="9"/>
  <c r="I362" i="9"/>
  <c r="I368" i="9"/>
  <c r="I366" i="9"/>
  <c r="I369" i="9"/>
  <c r="I365" i="9"/>
  <c r="J7" i="20"/>
  <c r="I7" i="8"/>
  <c r="D166" i="22"/>
  <c r="I317" i="9"/>
  <c r="I347" i="9"/>
  <c r="I346" i="9"/>
  <c r="I345" i="9"/>
  <c r="I350" i="9"/>
  <c r="I341" i="9"/>
  <c r="I333" i="9"/>
  <c r="I313" i="9"/>
  <c r="I337" i="9"/>
  <c r="I326" i="9"/>
  <c r="I324" i="9"/>
  <c r="I338" i="9"/>
  <c r="I321" i="9"/>
  <c r="I319" i="9"/>
  <c r="I316" i="9"/>
  <c r="I339" i="9"/>
  <c r="I330" i="9"/>
  <c r="I325" i="9"/>
  <c r="I331" i="9"/>
  <c r="I352" i="9"/>
  <c r="I329" i="9"/>
  <c r="I318" i="9"/>
  <c r="I303" i="9"/>
  <c r="I289" i="9"/>
  <c r="I293" i="9"/>
  <c r="I291" i="9"/>
  <c r="I286" i="9"/>
  <c r="I284" i="9"/>
  <c r="I282" i="9"/>
  <c r="I276" i="9"/>
  <c r="I285" i="9"/>
  <c r="I283" i="9"/>
  <c r="I275" i="9"/>
  <c r="I268" i="9"/>
  <c r="I274" i="9"/>
  <c r="I267" i="9"/>
  <c r="I266" i="9"/>
  <c r="I271" i="9"/>
  <c r="I323" i="9"/>
  <c r="I279" i="9"/>
  <c r="I335" i="9"/>
  <c r="I277" i="9"/>
  <c r="I344" i="9"/>
  <c r="I270" i="9"/>
  <c r="I272" i="9"/>
  <c r="I288" i="9"/>
  <c r="I280" i="9"/>
  <c r="I281" i="9"/>
  <c r="I332" i="9"/>
  <c r="I290" i="9"/>
  <c r="I334" i="9"/>
  <c r="I265" i="9"/>
  <c r="I304" i="9"/>
  <c r="I314" i="9"/>
  <c r="I292" i="9"/>
  <c r="I287" i="9"/>
  <c r="I349" i="9"/>
  <c r="I351" i="9"/>
  <c r="I342" i="9"/>
  <c r="I320" i="9"/>
  <c r="I295" i="9"/>
  <c r="I278" i="9"/>
  <c r="I315" i="9"/>
  <c r="I336" i="9"/>
  <c r="I269" i="9"/>
  <c r="I328" i="9"/>
  <c r="I340" i="9"/>
  <c r="I343" i="9"/>
  <c r="I348" i="9"/>
  <c r="I294" i="9"/>
  <c r="I327" i="9"/>
  <c r="I273" i="9"/>
  <c r="I322" i="9"/>
  <c r="J9" i="20"/>
  <c r="I9" i="8"/>
  <c r="J11" i="20"/>
  <c r="I11" i="8"/>
  <c r="J8" i="20"/>
  <c r="I8" i="8"/>
  <c r="K269" i="22"/>
  <c r="J269" i="22"/>
  <c r="I269" i="22"/>
  <c r="H269" i="22"/>
  <c r="F269" i="22"/>
  <c r="L269" i="22"/>
  <c r="G269" i="22"/>
  <c r="J6" i="20"/>
  <c r="I6" i="8"/>
  <c r="H321" i="22"/>
  <c r="G321" i="22"/>
  <c r="I321" i="22"/>
  <c r="J321" i="22"/>
  <c r="K321" i="22"/>
  <c r="L321" i="22"/>
  <c r="F321" i="22"/>
  <c r="L9" i="22"/>
  <c r="H9" i="22"/>
  <c r="G9" i="22"/>
  <c r="F9" i="22"/>
  <c r="K9" i="22"/>
  <c r="J9" i="22"/>
  <c r="I9" i="22"/>
  <c r="D62" i="22"/>
  <c r="I297" i="9"/>
  <c r="I298" i="9"/>
  <c r="I302" i="9"/>
  <c r="I301" i="9"/>
  <c r="I299" i="9"/>
  <c r="I296" i="9"/>
  <c r="I180" i="9"/>
  <c r="I260" i="9"/>
  <c r="I258" i="9"/>
  <c r="I250" i="9"/>
  <c r="I242" i="9"/>
  <c r="I234" i="9"/>
  <c r="I235" i="9"/>
  <c r="I216" i="9"/>
  <c r="I208" i="9"/>
  <c r="I200" i="9"/>
  <c r="I192" i="9"/>
  <c r="I226" i="9"/>
  <c r="I221" i="9"/>
  <c r="I198" i="9"/>
  <c r="I181" i="9"/>
  <c r="I212" i="9"/>
  <c r="I220" i="9"/>
  <c r="I213" i="9"/>
  <c r="I214" i="9"/>
  <c r="I204" i="9"/>
  <c r="I227" i="9"/>
  <c r="I222" i="9"/>
  <c r="I205" i="9"/>
  <c r="I206" i="9"/>
  <c r="I196" i="9"/>
  <c r="I197" i="9"/>
  <c r="I188" i="9"/>
  <c r="I187" i="9"/>
  <c r="I184" i="9"/>
  <c r="I175" i="9"/>
  <c r="I189" i="9"/>
  <c r="I174" i="9"/>
  <c r="I182" i="9"/>
  <c r="I176" i="9"/>
  <c r="I183" i="9"/>
  <c r="I172" i="9"/>
  <c r="I170" i="9"/>
  <c r="I190" i="9"/>
  <c r="I211" i="9"/>
  <c r="I207" i="9"/>
  <c r="I171" i="9"/>
  <c r="I201" i="9"/>
  <c r="I217" i="9"/>
  <c r="I179" i="9"/>
  <c r="I218" i="9"/>
  <c r="I209" i="9"/>
  <c r="I210" i="9"/>
  <c r="I224" i="9"/>
  <c r="I256" i="9"/>
  <c r="I243" i="9"/>
  <c r="I264" i="9"/>
  <c r="I177" i="9"/>
  <c r="I300" i="9"/>
  <c r="I225" i="9"/>
  <c r="I257" i="9"/>
  <c r="I185" i="9"/>
  <c r="I202" i="9"/>
  <c r="I223" i="9"/>
  <c r="I228" i="9"/>
  <c r="I195" i="9"/>
  <c r="I194" i="9"/>
  <c r="I240" i="9"/>
  <c r="I245" i="9"/>
  <c r="I186" i="9"/>
  <c r="I203" i="9"/>
  <c r="I255" i="9"/>
  <c r="I254" i="9"/>
  <c r="I178" i="9"/>
  <c r="I193" i="9"/>
  <c r="I191" i="9"/>
  <c r="I263" i="9"/>
  <c r="I251" i="9"/>
  <c r="I239" i="9"/>
  <c r="I247" i="9"/>
  <c r="I230" i="9"/>
  <c r="I173" i="9"/>
  <c r="I219" i="9"/>
  <c r="I215" i="9"/>
  <c r="I238" i="9"/>
  <c r="I246" i="9"/>
  <c r="I248" i="9"/>
  <c r="I249" i="9"/>
  <c r="I232" i="9"/>
  <c r="I236" i="9"/>
  <c r="I199" i="9"/>
  <c r="I252" i="9"/>
  <c r="I262" i="9"/>
  <c r="I237" i="9"/>
  <c r="I259" i="9"/>
  <c r="I229" i="9"/>
  <c r="I231" i="9"/>
  <c r="I244" i="9"/>
  <c r="I241" i="9"/>
  <c r="I261" i="9"/>
  <c r="I233" i="9"/>
  <c r="I253" i="9"/>
  <c r="D270" i="22"/>
  <c r="I372" i="9"/>
  <c r="I354" i="9"/>
  <c r="I374" i="9"/>
  <c r="I358" i="9"/>
  <c r="I355" i="9"/>
  <c r="I360" i="9"/>
  <c r="I353" i="9"/>
  <c r="I356" i="9"/>
  <c r="I361" i="9"/>
  <c r="I359" i="9"/>
  <c r="I373" i="9"/>
  <c r="I357" i="9"/>
  <c r="J217" i="22"/>
  <c r="I217" i="22"/>
  <c r="H217" i="22"/>
  <c r="G217" i="22"/>
  <c r="F217" i="22"/>
  <c r="L217" i="22"/>
  <c r="K217" i="22"/>
  <c r="G114" i="22" l="1"/>
  <c r="L114" i="22"/>
  <c r="I114" i="22"/>
  <c r="H114" i="22"/>
  <c r="F114" i="22"/>
  <c r="K114" i="22"/>
  <c r="J114" i="22"/>
  <c r="D11" i="22"/>
  <c r="J312" i="9"/>
  <c r="J311" i="9"/>
  <c r="J309" i="9"/>
  <c r="J306" i="9"/>
  <c r="J308" i="9"/>
  <c r="J310" i="9"/>
  <c r="J307" i="9"/>
  <c r="J305" i="9"/>
  <c r="I10" i="22"/>
  <c r="F10" i="22"/>
  <c r="L10" i="22"/>
  <c r="K10" i="22"/>
  <c r="J10" i="22"/>
  <c r="H10" i="22"/>
  <c r="G10" i="22"/>
  <c r="K166" i="22"/>
  <c r="H166" i="22"/>
  <c r="L166" i="22"/>
  <c r="J166" i="22"/>
  <c r="I166" i="22"/>
  <c r="F166" i="22"/>
  <c r="G166" i="22"/>
  <c r="K5" i="20"/>
  <c r="J5" i="8"/>
  <c r="C325" i="22"/>
  <c r="C273" i="22"/>
  <c r="C221" i="22"/>
  <c r="C117" i="22"/>
  <c r="C169" i="22"/>
  <c r="C65" i="22"/>
  <c r="K2" i="20"/>
  <c r="C13" i="22"/>
  <c r="D167" i="22"/>
  <c r="J352" i="9"/>
  <c r="J335" i="9"/>
  <c r="J326" i="9"/>
  <c r="J324" i="9"/>
  <c r="J340" i="9"/>
  <c r="J338" i="9"/>
  <c r="J336" i="9"/>
  <c r="J319" i="9"/>
  <c r="J339" i="9"/>
  <c r="J328" i="9"/>
  <c r="J332" i="9"/>
  <c r="J330" i="9"/>
  <c r="J323" i="9"/>
  <c r="J331" i="9"/>
  <c r="J327" i="9"/>
  <c r="J346" i="9"/>
  <c r="J291" i="9"/>
  <c r="J286" i="9"/>
  <c r="J284" i="9"/>
  <c r="J282" i="9"/>
  <c r="J276" i="9"/>
  <c r="J275" i="9"/>
  <c r="J283" i="9"/>
  <c r="J304" i="9"/>
  <c r="J303" i="9"/>
  <c r="J268" i="9"/>
  <c r="J274" i="9"/>
  <c r="J267" i="9"/>
  <c r="J266" i="9"/>
  <c r="J265" i="9"/>
  <c r="J281" i="9"/>
  <c r="J279" i="9"/>
  <c r="J322" i="9"/>
  <c r="J271" i="9"/>
  <c r="J270" i="9"/>
  <c r="J280" i="9"/>
  <c r="J294" i="9"/>
  <c r="J320" i="9"/>
  <c r="J269" i="9"/>
  <c r="J313" i="9"/>
  <c r="J277" i="9"/>
  <c r="J314" i="9"/>
  <c r="J334" i="9"/>
  <c r="J351" i="9"/>
  <c r="J344" i="9"/>
  <c r="J289" i="9"/>
  <c r="J317" i="9"/>
  <c r="J347" i="9"/>
  <c r="J348" i="9"/>
  <c r="J337" i="9"/>
  <c r="J350" i="9"/>
  <c r="J288" i="9"/>
  <c r="J349" i="9"/>
  <c r="J316" i="9"/>
  <c r="J272" i="9"/>
  <c r="J343" i="9"/>
  <c r="J345" i="9"/>
  <c r="J278" i="9"/>
  <c r="J290" i="9"/>
  <c r="J285" i="9"/>
  <c r="J293" i="9"/>
  <c r="J333" i="9"/>
  <c r="J292" i="9"/>
  <c r="J287" i="9"/>
  <c r="J273" i="9"/>
  <c r="J321" i="9"/>
  <c r="J318" i="9"/>
  <c r="J341" i="9"/>
  <c r="J329" i="9"/>
  <c r="J315" i="9"/>
  <c r="J342" i="9"/>
  <c r="J295" i="9"/>
  <c r="J325" i="9"/>
  <c r="C13" i="19"/>
  <c r="E13" i="19"/>
  <c r="D13" i="19"/>
  <c r="L3" i="20" s="1"/>
  <c r="B14" i="19"/>
  <c r="D115" i="22"/>
  <c r="J31" i="9"/>
  <c r="J32" i="9"/>
  <c r="J48" i="9"/>
  <c r="J34" i="9"/>
  <c r="J111" i="9"/>
  <c r="J95" i="9"/>
  <c r="J86" i="9"/>
  <c r="J80" i="9"/>
  <c r="J72" i="9"/>
  <c r="J64" i="9"/>
  <c r="J103" i="9"/>
  <c r="J79" i="9"/>
  <c r="J78" i="9"/>
  <c r="J102" i="9"/>
  <c r="J96" i="9"/>
  <c r="J87" i="9"/>
  <c r="J10" i="9"/>
  <c r="J7" i="9"/>
  <c r="J55" i="9"/>
  <c r="J14" i="9"/>
  <c r="J70" i="9"/>
  <c r="J62" i="9"/>
  <c r="J56" i="9"/>
  <c r="J8" i="9"/>
  <c r="J38" i="9"/>
  <c r="J35" i="9"/>
  <c r="J26" i="9"/>
  <c r="J42" i="9"/>
  <c r="J23" i="9"/>
  <c r="J20" i="9"/>
  <c r="J71" i="9"/>
  <c r="J63" i="9"/>
  <c r="J54" i="9"/>
  <c r="J22" i="9"/>
  <c r="J6" i="9"/>
  <c r="J11" i="9"/>
  <c r="J16" i="9"/>
  <c r="J19" i="9"/>
  <c r="J30" i="9"/>
  <c r="J68" i="9"/>
  <c r="J58" i="9"/>
  <c r="J51" i="9"/>
  <c r="J84" i="9"/>
  <c r="J115" i="9"/>
  <c r="J94" i="9"/>
  <c r="J17" i="9"/>
  <c r="J67" i="9"/>
  <c r="J124" i="9"/>
  <c r="J12" i="9"/>
  <c r="J52" i="9"/>
  <c r="J18" i="9"/>
  <c r="J91" i="9"/>
  <c r="J108" i="9"/>
  <c r="J123" i="9"/>
  <c r="J82" i="9"/>
  <c r="J27" i="9"/>
  <c r="J88" i="9"/>
  <c r="J36" i="9"/>
  <c r="J44" i="9"/>
  <c r="J28" i="9"/>
  <c r="J60" i="9"/>
  <c r="J120" i="9"/>
  <c r="J92" i="9"/>
  <c r="J40" i="9"/>
  <c r="J39" i="9"/>
  <c r="J50" i="9"/>
  <c r="J15" i="9"/>
  <c r="J43" i="9"/>
  <c r="J59" i="9"/>
  <c r="J46" i="9"/>
  <c r="J24" i="9"/>
  <c r="J107" i="9"/>
  <c r="J90" i="9"/>
  <c r="J104" i="9"/>
  <c r="J98" i="9"/>
  <c r="J112" i="9"/>
  <c r="J83" i="9"/>
  <c r="J76" i="9"/>
  <c r="J122" i="9"/>
  <c r="J21" i="9"/>
  <c r="J47" i="9"/>
  <c r="J75" i="9"/>
  <c r="J119" i="9"/>
  <c r="J25" i="9"/>
  <c r="J57" i="9"/>
  <c r="J13" i="9"/>
  <c r="J45" i="9"/>
  <c r="J77" i="9"/>
  <c r="J97" i="9"/>
  <c r="J113" i="9"/>
  <c r="J114" i="9"/>
  <c r="J100" i="9"/>
  <c r="J33" i="9"/>
  <c r="J110" i="9"/>
  <c r="J5" i="9"/>
  <c r="J66" i="9"/>
  <c r="J74" i="9"/>
  <c r="J29" i="9"/>
  <c r="J49" i="9"/>
  <c r="J81" i="9"/>
  <c r="J37" i="9"/>
  <c r="J85" i="9"/>
  <c r="J99" i="9"/>
  <c r="J118" i="9"/>
  <c r="J69" i="9"/>
  <c r="J9" i="9"/>
  <c r="J121" i="9"/>
  <c r="J41" i="9"/>
  <c r="J61" i="9"/>
  <c r="J105" i="9"/>
  <c r="J116" i="9"/>
  <c r="J106" i="9"/>
  <c r="J53" i="9"/>
  <c r="J73" i="9"/>
  <c r="J89" i="9"/>
  <c r="J125" i="9"/>
  <c r="J65" i="9"/>
  <c r="J109" i="9"/>
  <c r="J117" i="9"/>
  <c r="J93" i="9"/>
  <c r="J101" i="9"/>
  <c r="K8" i="20"/>
  <c r="J8" i="8"/>
  <c r="K7" i="20"/>
  <c r="J7" i="8"/>
  <c r="J218" i="22"/>
  <c r="K218" i="22"/>
  <c r="G218" i="22"/>
  <c r="H218" i="22"/>
  <c r="F218" i="22"/>
  <c r="L218" i="22"/>
  <c r="I218" i="22"/>
  <c r="D323" i="22"/>
  <c r="J376" i="9"/>
  <c r="J377" i="9"/>
  <c r="J388" i="9"/>
  <c r="J370" i="9"/>
  <c r="J362" i="9"/>
  <c r="J368" i="9"/>
  <c r="J363" i="9"/>
  <c r="J379" i="9"/>
  <c r="J380" i="9"/>
  <c r="J367" i="9"/>
  <c r="J369" i="9"/>
  <c r="J366" i="9"/>
  <c r="J378" i="9"/>
  <c r="J365" i="9"/>
  <c r="J371" i="9"/>
  <c r="J375" i="9"/>
  <c r="J387" i="9"/>
  <c r="J364" i="9"/>
  <c r="J270" i="22"/>
  <c r="H270" i="22"/>
  <c r="I270" i="22"/>
  <c r="G270" i="22"/>
  <c r="F270" i="22"/>
  <c r="L270" i="22"/>
  <c r="K270" i="22"/>
  <c r="K6" i="20"/>
  <c r="J6" i="8"/>
  <c r="K11" i="20"/>
  <c r="J11" i="8"/>
  <c r="D271" i="22"/>
  <c r="J374" i="9"/>
  <c r="J372" i="9"/>
  <c r="J353" i="9"/>
  <c r="J356" i="9"/>
  <c r="J355" i="9"/>
  <c r="J358" i="9"/>
  <c r="J357" i="9"/>
  <c r="J360" i="9"/>
  <c r="J354" i="9"/>
  <c r="J373" i="9"/>
  <c r="J361" i="9"/>
  <c r="J359" i="9"/>
  <c r="J62" i="22"/>
  <c r="I62" i="22"/>
  <c r="H62" i="22"/>
  <c r="G62" i="22"/>
  <c r="L62" i="22"/>
  <c r="K62" i="22"/>
  <c r="F62" i="22"/>
  <c r="D63" i="22"/>
  <c r="J302" i="9"/>
  <c r="J299" i="9"/>
  <c r="J215" i="9"/>
  <c r="J260" i="9"/>
  <c r="J258" i="9"/>
  <c r="J250" i="9"/>
  <c r="J242" i="9"/>
  <c r="J234" i="9"/>
  <c r="J235" i="9"/>
  <c r="J210" i="9"/>
  <c r="J217" i="9"/>
  <c r="J213" i="9"/>
  <c r="J211" i="9"/>
  <c r="J214" i="9"/>
  <c r="J202" i="9"/>
  <c r="J193" i="9"/>
  <c r="J227" i="9"/>
  <c r="J222" i="9"/>
  <c r="J207" i="9"/>
  <c r="J205" i="9"/>
  <c r="J203" i="9"/>
  <c r="J206" i="9"/>
  <c r="J194" i="9"/>
  <c r="J191" i="9"/>
  <c r="J199" i="9"/>
  <c r="J197" i="9"/>
  <c r="J195" i="9"/>
  <c r="J226" i="9"/>
  <c r="J221" i="9"/>
  <c r="J198" i="9"/>
  <c r="J175" i="9"/>
  <c r="J189" i="9"/>
  <c r="J174" i="9"/>
  <c r="J182" i="9"/>
  <c r="J176" i="9"/>
  <c r="J187" i="9"/>
  <c r="J171" i="9"/>
  <c r="J172" i="9"/>
  <c r="J185" i="9"/>
  <c r="J231" i="9"/>
  <c r="J239" i="9"/>
  <c r="J251" i="9"/>
  <c r="J255" i="9"/>
  <c r="J223" i="9"/>
  <c r="J179" i="9"/>
  <c r="J183" i="9"/>
  <c r="J178" i="9"/>
  <c r="J201" i="9"/>
  <c r="J230" i="9"/>
  <c r="J204" i="9"/>
  <c r="J233" i="9"/>
  <c r="J249" i="9"/>
  <c r="J248" i="9"/>
  <c r="J252" i="9"/>
  <c r="J264" i="9"/>
  <c r="J238" i="9"/>
  <c r="J246" i="9"/>
  <c r="J192" i="9"/>
  <c r="J236" i="9"/>
  <c r="J259" i="9"/>
  <c r="J190" i="9"/>
  <c r="J209" i="9"/>
  <c r="J232" i="9"/>
  <c r="J243" i="9"/>
  <c r="J218" i="9"/>
  <c r="J177" i="9"/>
  <c r="J224" i="9"/>
  <c r="J263" i="9"/>
  <c r="J219" i="9"/>
  <c r="J228" i="9"/>
  <c r="J244" i="9"/>
  <c r="J256" i="9"/>
  <c r="J181" i="9"/>
  <c r="J170" i="9"/>
  <c r="J240" i="9"/>
  <c r="J196" i="9"/>
  <c r="J237" i="9"/>
  <c r="J253" i="9"/>
  <c r="J300" i="9"/>
  <c r="J216" i="9"/>
  <c r="J225" i="9"/>
  <c r="J296" i="9"/>
  <c r="J261" i="9"/>
  <c r="J254" i="9"/>
  <c r="J262" i="9"/>
  <c r="J188" i="9"/>
  <c r="J208" i="9"/>
  <c r="J245" i="9"/>
  <c r="J180" i="9"/>
  <c r="J200" i="9"/>
  <c r="J220" i="9"/>
  <c r="J229" i="9"/>
  <c r="J298" i="9"/>
  <c r="J301" i="9"/>
  <c r="J212" i="9"/>
  <c r="J186" i="9"/>
  <c r="J247" i="9"/>
  <c r="J257" i="9"/>
  <c r="J184" i="9"/>
  <c r="J173" i="9"/>
  <c r="J297" i="9"/>
  <c r="J241" i="9"/>
  <c r="D219" i="22"/>
  <c r="J382" i="9"/>
  <c r="J386" i="9"/>
  <c r="J381" i="9"/>
  <c r="J168" i="9"/>
  <c r="J166" i="9"/>
  <c r="J158" i="9"/>
  <c r="J150" i="9"/>
  <c r="J142" i="9"/>
  <c r="J134" i="9"/>
  <c r="J127" i="9"/>
  <c r="J143" i="9"/>
  <c r="J147" i="9"/>
  <c r="J159" i="9"/>
  <c r="J163" i="9"/>
  <c r="J146" i="9"/>
  <c r="J128" i="9"/>
  <c r="J135" i="9"/>
  <c r="J130" i="9"/>
  <c r="J144" i="9"/>
  <c r="J148" i="9"/>
  <c r="J160" i="9"/>
  <c r="J164" i="9"/>
  <c r="J155" i="9"/>
  <c r="J162" i="9"/>
  <c r="J167" i="9"/>
  <c r="J139" i="9"/>
  <c r="J151" i="9"/>
  <c r="J154" i="9"/>
  <c r="J126" i="9"/>
  <c r="J137" i="9"/>
  <c r="J149" i="9"/>
  <c r="J136" i="9"/>
  <c r="J145" i="9"/>
  <c r="J157" i="9"/>
  <c r="J169" i="9"/>
  <c r="J156" i="9"/>
  <c r="J133" i="9"/>
  <c r="J131" i="9"/>
  <c r="J129" i="9"/>
  <c r="J141" i="9"/>
  <c r="J153" i="9"/>
  <c r="J165" i="9"/>
  <c r="J138" i="9"/>
  <c r="J132" i="9"/>
  <c r="J140" i="9"/>
  <c r="J385" i="9"/>
  <c r="J152" i="9"/>
  <c r="J161" i="9"/>
  <c r="J384" i="9"/>
  <c r="J383" i="9"/>
  <c r="K10" i="20"/>
  <c r="J10" i="8"/>
  <c r="K9" i="20"/>
  <c r="J9" i="8"/>
  <c r="F322" i="22"/>
  <c r="G322" i="22"/>
  <c r="J322" i="22"/>
  <c r="H322" i="22"/>
  <c r="K322" i="22"/>
  <c r="L322" i="22"/>
  <c r="I322" i="22"/>
  <c r="L10" i="20" l="1"/>
  <c r="K10" i="8"/>
  <c r="D324" i="22"/>
  <c r="K375" i="9"/>
  <c r="K379" i="9"/>
  <c r="K387" i="9"/>
  <c r="K371" i="9"/>
  <c r="K367" i="9"/>
  <c r="K365" i="9"/>
  <c r="K363" i="9"/>
  <c r="K364" i="9"/>
  <c r="K388" i="9"/>
  <c r="K366" i="9"/>
  <c r="K369" i="9"/>
  <c r="K368" i="9"/>
  <c r="K362" i="9"/>
  <c r="K378" i="9"/>
  <c r="K380" i="9"/>
  <c r="K376" i="9"/>
  <c r="K377" i="9"/>
  <c r="K370" i="9"/>
  <c r="J323" i="22"/>
  <c r="L323" i="22"/>
  <c r="I323" i="22"/>
  <c r="G323" i="22"/>
  <c r="F323" i="22"/>
  <c r="K323" i="22"/>
  <c r="H323" i="22"/>
  <c r="B15" i="19"/>
  <c r="E14" i="19"/>
  <c r="D14" i="19"/>
  <c r="M3" i="20" s="1"/>
  <c r="C14" i="19"/>
  <c r="D12" i="22"/>
  <c r="K309" i="9"/>
  <c r="K305" i="9"/>
  <c r="K312" i="9"/>
  <c r="K311" i="9"/>
  <c r="K310" i="9"/>
  <c r="K308" i="9"/>
  <c r="K306" i="9"/>
  <c r="K307" i="9"/>
  <c r="F11" i="22"/>
  <c r="L11" i="22"/>
  <c r="K11" i="22"/>
  <c r="J11" i="22"/>
  <c r="I11" i="22"/>
  <c r="H11" i="22"/>
  <c r="G11" i="22"/>
  <c r="L5" i="20"/>
  <c r="K5" i="8"/>
  <c r="L11" i="20"/>
  <c r="K11" i="8"/>
  <c r="J63" i="22"/>
  <c r="G63" i="22"/>
  <c r="F63" i="22"/>
  <c r="K63" i="22"/>
  <c r="I63" i="22"/>
  <c r="H63" i="22"/>
  <c r="L63" i="22"/>
  <c r="D64" i="22"/>
  <c r="K301" i="9"/>
  <c r="K297" i="9"/>
  <c r="K302" i="9"/>
  <c r="K261" i="9"/>
  <c r="K253" i="9"/>
  <c r="K245" i="9"/>
  <c r="K237" i="9"/>
  <c r="K229" i="9"/>
  <c r="K220" i="9"/>
  <c r="K216" i="9"/>
  <c r="K212" i="9"/>
  <c r="K208" i="9"/>
  <c r="K204" i="9"/>
  <c r="K200" i="9"/>
  <c r="K196" i="9"/>
  <c r="K192" i="9"/>
  <c r="K260" i="9"/>
  <c r="K222" i="9"/>
  <c r="K221" i="9"/>
  <c r="K264" i="9"/>
  <c r="K257" i="9"/>
  <c r="K256" i="9"/>
  <c r="K249" i="9"/>
  <c r="K248" i="9"/>
  <c r="K241" i="9"/>
  <c r="K240" i="9"/>
  <c r="K263" i="9"/>
  <c r="K251" i="9"/>
  <c r="K243" i="9"/>
  <c r="K235" i="9"/>
  <c r="K180" i="9"/>
  <c r="K177" i="9"/>
  <c r="K228" i="9"/>
  <c r="K217" i="9"/>
  <c r="K213" i="9"/>
  <c r="K211" i="9"/>
  <c r="K224" i="9"/>
  <c r="K214" i="9"/>
  <c r="K202" i="9"/>
  <c r="K193" i="9"/>
  <c r="K189" i="9"/>
  <c r="K187" i="9"/>
  <c r="K227" i="9"/>
  <c r="K205" i="9"/>
  <c r="K203" i="9"/>
  <c r="K225" i="9"/>
  <c r="K206" i="9"/>
  <c r="K233" i="9"/>
  <c r="K197" i="9"/>
  <c r="K195" i="9"/>
  <c r="K209" i="9"/>
  <c r="K198" i="9"/>
  <c r="K232" i="9"/>
  <c r="K171" i="9"/>
  <c r="K194" i="9"/>
  <c r="K176" i="9"/>
  <c r="K173" i="9"/>
  <c r="K191" i="9"/>
  <c r="K188" i="9"/>
  <c r="K184" i="9"/>
  <c r="K175" i="9"/>
  <c r="K179" i="9"/>
  <c r="K183" i="9"/>
  <c r="K170" i="9"/>
  <c r="K201" i="9"/>
  <c r="K242" i="9"/>
  <c r="K258" i="9"/>
  <c r="K178" i="9"/>
  <c r="K190" i="9"/>
  <c r="K174" i="9"/>
  <c r="K236" i="9"/>
  <c r="K259" i="9"/>
  <c r="K230" i="9"/>
  <c r="K300" i="9"/>
  <c r="K181" i="9"/>
  <c r="K238" i="9"/>
  <c r="K182" i="9"/>
  <c r="K199" i="9"/>
  <c r="K207" i="9"/>
  <c r="K215" i="9"/>
  <c r="K298" i="9"/>
  <c r="K250" i="9"/>
  <c r="K210" i="9"/>
  <c r="K244" i="9"/>
  <c r="K185" i="9"/>
  <c r="K219" i="9"/>
  <c r="K234" i="9"/>
  <c r="K218" i="9"/>
  <c r="K226" i="9"/>
  <c r="K254" i="9"/>
  <c r="K186" i="9"/>
  <c r="K223" i="9"/>
  <c r="K262" i="9"/>
  <c r="K255" i="9"/>
  <c r="K246" i="9"/>
  <c r="K231" i="9"/>
  <c r="K252" i="9"/>
  <c r="K247" i="9"/>
  <c r="K296" i="9"/>
  <c r="K299" i="9"/>
  <c r="K239" i="9"/>
  <c r="K172" i="9"/>
  <c r="D116" i="22"/>
  <c r="K121" i="9"/>
  <c r="K113" i="9"/>
  <c r="K105" i="9"/>
  <c r="K81" i="9"/>
  <c r="K77" i="9"/>
  <c r="K73" i="9"/>
  <c r="K69" i="9"/>
  <c r="K65" i="9"/>
  <c r="K61" i="9"/>
  <c r="K57" i="9"/>
  <c r="K53" i="9"/>
  <c r="K49" i="9"/>
  <c r="K93" i="9"/>
  <c r="K33" i="9"/>
  <c r="K104" i="9"/>
  <c r="K95" i="9"/>
  <c r="K85" i="9"/>
  <c r="K80" i="9"/>
  <c r="K72" i="9"/>
  <c r="K64" i="9"/>
  <c r="K56" i="9"/>
  <c r="K117" i="9"/>
  <c r="K103" i="9"/>
  <c r="K97" i="9"/>
  <c r="K71" i="9"/>
  <c r="K70" i="9"/>
  <c r="K63" i="9"/>
  <c r="K96" i="9"/>
  <c r="K87" i="9"/>
  <c r="K109" i="9"/>
  <c r="K89" i="9"/>
  <c r="K101" i="9"/>
  <c r="K55" i="9"/>
  <c r="K37" i="9"/>
  <c r="K29" i="9"/>
  <c r="K25" i="9"/>
  <c r="K20" i="9"/>
  <c r="K62" i="9"/>
  <c r="K11" i="9"/>
  <c r="K26" i="9"/>
  <c r="K45" i="9"/>
  <c r="K41" i="9"/>
  <c r="K38" i="9"/>
  <c r="K30" i="9"/>
  <c r="K8" i="9"/>
  <c r="K42" i="9"/>
  <c r="K23" i="9"/>
  <c r="K7" i="9"/>
  <c r="K60" i="9"/>
  <c r="K54" i="9"/>
  <c r="K24" i="9"/>
  <c r="K43" i="9"/>
  <c r="K46" i="9"/>
  <c r="K9" i="9"/>
  <c r="K84" i="9"/>
  <c r="K107" i="9"/>
  <c r="K114" i="9"/>
  <c r="K116" i="9"/>
  <c r="K14" i="9"/>
  <c r="K39" i="9"/>
  <c r="K52" i="9"/>
  <c r="K12" i="9"/>
  <c r="K15" i="9"/>
  <c r="K5" i="9"/>
  <c r="K75" i="9"/>
  <c r="K82" i="9"/>
  <c r="K119" i="9"/>
  <c r="K92" i="9"/>
  <c r="K115" i="9"/>
  <c r="K122" i="9"/>
  <c r="K79" i="9"/>
  <c r="K18" i="9"/>
  <c r="K44" i="9"/>
  <c r="K31" i="9"/>
  <c r="K66" i="9"/>
  <c r="K86" i="9"/>
  <c r="K118" i="9"/>
  <c r="K90" i="9"/>
  <c r="K100" i="9"/>
  <c r="K98" i="9"/>
  <c r="K102" i="9"/>
  <c r="K124" i="9"/>
  <c r="K6" i="9"/>
  <c r="K68" i="9"/>
  <c r="K22" i="9"/>
  <c r="K28" i="9"/>
  <c r="K88" i="9"/>
  <c r="K94" i="9"/>
  <c r="K36" i="9"/>
  <c r="K50" i="9"/>
  <c r="K83" i="9"/>
  <c r="K110" i="9"/>
  <c r="K108" i="9"/>
  <c r="K10" i="9"/>
  <c r="K19" i="9"/>
  <c r="K59" i="9"/>
  <c r="K58" i="9"/>
  <c r="K17" i="9"/>
  <c r="K74" i="9"/>
  <c r="K120" i="9"/>
  <c r="K91" i="9"/>
  <c r="K16" i="9"/>
  <c r="K27" i="9"/>
  <c r="K51" i="9"/>
  <c r="K40" i="9"/>
  <c r="K13" i="9"/>
  <c r="K76" i="9"/>
  <c r="K48" i="9"/>
  <c r="K106" i="9"/>
  <c r="K47" i="9"/>
  <c r="K99" i="9"/>
  <c r="K32" i="9"/>
  <c r="K34" i="9"/>
  <c r="K125" i="9"/>
  <c r="K78" i="9"/>
  <c r="K21" i="9"/>
  <c r="K123" i="9"/>
  <c r="K35" i="9"/>
  <c r="K67" i="9"/>
  <c r="K111" i="9"/>
  <c r="K112" i="9"/>
  <c r="C326" i="22"/>
  <c r="C274" i="22"/>
  <c r="C222" i="22"/>
  <c r="C118" i="22"/>
  <c r="C170" i="22"/>
  <c r="C14" i="22"/>
  <c r="C66" i="22"/>
  <c r="L2" i="20"/>
  <c r="G219" i="22"/>
  <c r="I219" i="22"/>
  <c r="J219" i="22"/>
  <c r="H219" i="22"/>
  <c r="F219" i="22"/>
  <c r="L219" i="22"/>
  <c r="K219" i="22"/>
  <c r="L6" i="20"/>
  <c r="K6" i="8"/>
  <c r="L7" i="20"/>
  <c r="K7" i="8"/>
  <c r="D168" i="22"/>
  <c r="K345" i="9"/>
  <c r="K341" i="9"/>
  <c r="K337" i="9"/>
  <c r="K333" i="9"/>
  <c r="K346" i="9"/>
  <c r="K317" i="9"/>
  <c r="K313" i="9"/>
  <c r="K338" i="9"/>
  <c r="K336" i="9"/>
  <c r="K304" i="9"/>
  <c r="K339" i="9"/>
  <c r="K328" i="9"/>
  <c r="K321" i="9"/>
  <c r="K330" i="9"/>
  <c r="K331" i="9"/>
  <c r="K325" i="9"/>
  <c r="K334" i="9"/>
  <c r="K329" i="9"/>
  <c r="K289" i="9"/>
  <c r="K277" i="9"/>
  <c r="K269" i="9"/>
  <c r="K291" i="9"/>
  <c r="K295" i="9"/>
  <c r="K293" i="9"/>
  <c r="K286" i="9"/>
  <c r="K284" i="9"/>
  <c r="K281" i="9"/>
  <c r="K303" i="9"/>
  <c r="K285" i="9"/>
  <c r="K275" i="9"/>
  <c r="K271" i="9"/>
  <c r="K267" i="9"/>
  <c r="K276" i="9"/>
  <c r="K273" i="9"/>
  <c r="K268" i="9"/>
  <c r="K265" i="9"/>
  <c r="K278" i="9"/>
  <c r="K290" i="9"/>
  <c r="K314" i="9"/>
  <c r="K322" i="9"/>
  <c r="K335" i="9"/>
  <c r="K349" i="9"/>
  <c r="K316" i="9"/>
  <c r="K270" i="9"/>
  <c r="K266" i="9"/>
  <c r="K327" i="9"/>
  <c r="K318" i="9"/>
  <c r="K348" i="9"/>
  <c r="K287" i="9"/>
  <c r="K320" i="9"/>
  <c r="K280" i="9"/>
  <c r="K288" i="9"/>
  <c r="K282" i="9"/>
  <c r="K326" i="9"/>
  <c r="K344" i="9"/>
  <c r="K292" i="9"/>
  <c r="K342" i="9"/>
  <c r="K347" i="9"/>
  <c r="K272" i="9"/>
  <c r="K294" i="9"/>
  <c r="K274" i="9"/>
  <c r="K323" i="9"/>
  <c r="K283" i="9"/>
  <c r="K315" i="9"/>
  <c r="K351" i="9"/>
  <c r="K343" i="9"/>
  <c r="K332" i="9"/>
  <c r="K352" i="9"/>
  <c r="K324" i="9"/>
  <c r="K340" i="9"/>
  <c r="K319" i="9"/>
  <c r="K350" i="9"/>
  <c r="K279" i="9"/>
  <c r="L8" i="20"/>
  <c r="K8" i="8"/>
  <c r="D220" i="22"/>
  <c r="K383" i="9"/>
  <c r="K385" i="9"/>
  <c r="K382" i="9"/>
  <c r="K169" i="9"/>
  <c r="K161" i="9"/>
  <c r="K153" i="9"/>
  <c r="K145" i="9"/>
  <c r="K137" i="9"/>
  <c r="K129" i="9"/>
  <c r="K165" i="9"/>
  <c r="K164" i="9"/>
  <c r="K157" i="9"/>
  <c r="K156" i="9"/>
  <c r="K149" i="9"/>
  <c r="K148" i="9"/>
  <c r="K141" i="9"/>
  <c r="K140" i="9"/>
  <c r="K168" i="9"/>
  <c r="K133" i="9"/>
  <c r="K135" i="9"/>
  <c r="K132" i="9"/>
  <c r="K160" i="9"/>
  <c r="K159" i="9"/>
  <c r="K143" i="9"/>
  <c r="K128" i="9"/>
  <c r="K130" i="9"/>
  <c r="K131" i="9"/>
  <c r="K151" i="9"/>
  <c r="K139" i="9"/>
  <c r="K162" i="9"/>
  <c r="K127" i="9"/>
  <c r="K146" i="9"/>
  <c r="K136" i="9"/>
  <c r="K152" i="9"/>
  <c r="K163" i="9"/>
  <c r="K144" i="9"/>
  <c r="K154" i="9"/>
  <c r="K155" i="9"/>
  <c r="K158" i="9"/>
  <c r="K167" i="9"/>
  <c r="K138" i="9"/>
  <c r="K147" i="9"/>
  <c r="K166" i="9"/>
  <c r="K134" i="9"/>
  <c r="K142" i="9"/>
  <c r="K150" i="9"/>
  <c r="K126" i="9"/>
  <c r="K386" i="9"/>
  <c r="K381" i="9"/>
  <c r="K384" i="9"/>
  <c r="L9" i="20"/>
  <c r="K9" i="8"/>
  <c r="K167" i="22"/>
  <c r="J167" i="22"/>
  <c r="H167" i="22"/>
  <c r="L167" i="22"/>
  <c r="I167" i="22"/>
  <c r="G167" i="22"/>
  <c r="F167" i="22"/>
  <c r="D272" i="22"/>
  <c r="K361" i="9"/>
  <c r="K373" i="9"/>
  <c r="K353" i="9"/>
  <c r="K355" i="9"/>
  <c r="K357" i="9"/>
  <c r="K359" i="9"/>
  <c r="K356" i="9"/>
  <c r="K358" i="9"/>
  <c r="K360" i="9"/>
  <c r="K354" i="9"/>
  <c r="K372" i="9"/>
  <c r="K374" i="9"/>
  <c r="G271" i="22"/>
  <c r="I271" i="22"/>
  <c r="H271" i="22"/>
  <c r="F271" i="22"/>
  <c r="L271" i="22"/>
  <c r="K271" i="22"/>
  <c r="J271" i="22"/>
  <c r="L115" i="22"/>
  <c r="I115" i="22"/>
  <c r="H115" i="22"/>
  <c r="G115" i="22"/>
  <c r="F115" i="22"/>
  <c r="K115" i="22"/>
  <c r="J115" i="22"/>
  <c r="C275" i="22" l="1"/>
  <c r="C223" i="22"/>
  <c r="C327" i="22"/>
  <c r="C119" i="22"/>
  <c r="C171" i="22"/>
  <c r="C67" i="22"/>
  <c r="C15" i="22"/>
  <c r="M2" i="20"/>
  <c r="D169" i="22"/>
  <c r="L321" i="9"/>
  <c r="L350" i="9"/>
  <c r="L341" i="9"/>
  <c r="L319" i="9"/>
  <c r="L285" i="9"/>
  <c r="L337" i="9"/>
  <c r="L328" i="9"/>
  <c r="L345" i="9"/>
  <c r="L323" i="9"/>
  <c r="L316" i="9"/>
  <c r="L325" i="9"/>
  <c r="L327" i="9"/>
  <c r="L333" i="9"/>
  <c r="L329" i="9"/>
  <c r="L313" i="9"/>
  <c r="L283" i="9"/>
  <c r="L317" i="9"/>
  <c r="L295" i="9"/>
  <c r="L293" i="9"/>
  <c r="L281" i="9"/>
  <c r="L292" i="9"/>
  <c r="L289" i="9"/>
  <c r="L277" i="9"/>
  <c r="L269" i="9"/>
  <c r="L273" i="9"/>
  <c r="L265" i="9"/>
  <c r="L270" i="9"/>
  <c r="L314" i="9"/>
  <c r="L322" i="9"/>
  <c r="L320" i="9"/>
  <c r="L267" i="9"/>
  <c r="L268" i="9"/>
  <c r="L282" i="9"/>
  <c r="L324" i="9"/>
  <c r="L272" i="9"/>
  <c r="L275" i="9"/>
  <c r="L276" i="9"/>
  <c r="L315" i="9"/>
  <c r="L304" i="9"/>
  <c r="L343" i="9"/>
  <c r="L351" i="9"/>
  <c r="L330" i="9"/>
  <c r="L338" i="9"/>
  <c r="L280" i="9"/>
  <c r="L266" i="9"/>
  <c r="L274" i="9"/>
  <c r="L326" i="9"/>
  <c r="L303" i="9"/>
  <c r="L271" i="9"/>
  <c r="L288" i="9"/>
  <c r="L286" i="9"/>
  <c r="L332" i="9"/>
  <c r="L346" i="9"/>
  <c r="L278" i="9"/>
  <c r="L290" i="9"/>
  <c r="L331" i="9"/>
  <c r="L339" i="9"/>
  <c r="L287" i="9"/>
  <c r="L335" i="9"/>
  <c r="L318" i="9"/>
  <c r="L352" i="9"/>
  <c r="L342" i="9"/>
  <c r="L344" i="9"/>
  <c r="L291" i="9"/>
  <c r="L334" i="9"/>
  <c r="L349" i="9"/>
  <c r="L347" i="9"/>
  <c r="L279" i="9"/>
  <c r="L284" i="9"/>
  <c r="L336" i="9"/>
  <c r="L340" i="9"/>
  <c r="L348" i="9"/>
  <c r="L294" i="9"/>
  <c r="L272" i="22"/>
  <c r="J272" i="22"/>
  <c r="G272" i="22"/>
  <c r="F272" i="22"/>
  <c r="K272" i="22"/>
  <c r="H272" i="22"/>
  <c r="I272" i="22"/>
  <c r="D221" i="22"/>
  <c r="L381" i="9"/>
  <c r="L383" i="9"/>
  <c r="L386" i="9"/>
  <c r="L385" i="9"/>
  <c r="L169" i="9"/>
  <c r="L161" i="9"/>
  <c r="L153" i="9"/>
  <c r="L145" i="9"/>
  <c r="L137" i="9"/>
  <c r="L129" i="9"/>
  <c r="L165" i="9"/>
  <c r="L164" i="9"/>
  <c r="L157" i="9"/>
  <c r="L156" i="9"/>
  <c r="L149" i="9"/>
  <c r="L148" i="9"/>
  <c r="L133" i="9"/>
  <c r="L141" i="9"/>
  <c r="L135" i="9"/>
  <c r="L127" i="9"/>
  <c r="L140" i="9"/>
  <c r="L132" i="9"/>
  <c r="L128" i="9"/>
  <c r="L136" i="9"/>
  <c r="L152" i="9"/>
  <c r="L151" i="9"/>
  <c r="L154" i="9"/>
  <c r="L162" i="9"/>
  <c r="L146" i="9"/>
  <c r="L167" i="9"/>
  <c r="L147" i="9"/>
  <c r="L163" i="9"/>
  <c r="L144" i="9"/>
  <c r="L130" i="9"/>
  <c r="L138" i="9"/>
  <c r="L159" i="9"/>
  <c r="L143" i="9"/>
  <c r="L134" i="9"/>
  <c r="L142" i="9"/>
  <c r="L158" i="9"/>
  <c r="L126" i="9"/>
  <c r="L150" i="9"/>
  <c r="L160" i="9"/>
  <c r="L155" i="9"/>
  <c r="L131" i="9"/>
  <c r="L139" i="9"/>
  <c r="L166" i="9"/>
  <c r="L384" i="9"/>
  <c r="L168" i="9"/>
  <c r="L382" i="9"/>
  <c r="H168" i="22"/>
  <c r="G168" i="22"/>
  <c r="J168" i="22"/>
  <c r="L168" i="22"/>
  <c r="I168" i="22"/>
  <c r="F168" i="22"/>
  <c r="K168" i="22"/>
  <c r="G64" i="22"/>
  <c r="L64" i="22"/>
  <c r="K64" i="22"/>
  <c r="I64" i="22"/>
  <c r="J64" i="22"/>
  <c r="H64" i="22"/>
  <c r="F64" i="22"/>
  <c r="C15" i="19"/>
  <c r="E15" i="19"/>
  <c r="B16" i="19"/>
  <c r="D15" i="19"/>
  <c r="N3" i="20" s="1"/>
  <c r="M9" i="20"/>
  <c r="L9" i="8"/>
  <c r="I116" i="22"/>
  <c r="F116" i="22"/>
  <c r="H116" i="22"/>
  <c r="G116" i="22"/>
  <c r="K116" i="22"/>
  <c r="L116" i="22"/>
  <c r="J116" i="22"/>
  <c r="D325" i="22"/>
  <c r="L379" i="9"/>
  <c r="L365" i="9"/>
  <c r="L387" i="9"/>
  <c r="L370" i="9"/>
  <c r="L375" i="9"/>
  <c r="L367" i="9"/>
  <c r="L369" i="9"/>
  <c r="L364" i="9"/>
  <c r="L371" i="9"/>
  <c r="L363" i="9"/>
  <c r="L366" i="9"/>
  <c r="L362" i="9"/>
  <c r="L378" i="9"/>
  <c r="L368" i="9"/>
  <c r="L388" i="9"/>
  <c r="L380" i="9"/>
  <c r="L376" i="9"/>
  <c r="L377" i="9"/>
  <c r="M11" i="20"/>
  <c r="L11" i="8"/>
  <c r="D117" i="22"/>
  <c r="L121" i="9"/>
  <c r="L113" i="9"/>
  <c r="L105" i="9"/>
  <c r="L97" i="9"/>
  <c r="L89" i="9"/>
  <c r="L81" i="9"/>
  <c r="L73" i="9"/>
  <c r="L65" i="9"/>
  <c r="L57" i="9"/>
  <c r="L49" i="9"/>
  <c r="L125" i="9"/>
  <c r="L95" i="9"/>
  <c r="L85" i="9"/>
  <c r="L37" i="9"/>
  <c r="L117" i="9"/>
  <c r="L103" i="9"/>
  <c r="L124" i="9"/>
  <c r="L96" i="9"/>
  <c r="L87" i="9"/>
  <c r="L109" i="9"/>
  <c r="L99" i="9"/>
  <c r="L77" i="9"/>
  <c r="L100" i="9"/>
  <c r="L88" i="9"/>
  <c r="L101" i="9"/>
  <c r="L93" i="9"/>
  <c r="L33" i="9"/>
  <c r="L29" i="9"/>
  <c r="L25" i="9"/>
  <c r="L21" i="9"/>
  <c r="L5" i="9"/>
  <c r="L45" i="9"/>
  <c r="L41" i="9"/>
  <c r="L8" i="9"/>
  <c r="L17" i="9"/>
  <c r="L23" i="9"/>
  <c r="L20" i="9"/>
  <c r="L31" i="9"/>
  <c r="L7" i="9"/>
  <c r="L13" i="9"/>
  <c r="L53" i="9"/>
  <c r="L60" i="9"/>
  <c r="L47" i="9"/>
  <c r="L39" i="9"/>
  <c r="L51" i="9"/>
  <c r="L27" i="9"/>
  <c r="L16" i="9"/>
  <c r="L69" i="9"/>
  <c r="L9" i="9"/>
  <c r="L61" i="9"/>
  <c r="L11" i="9"/>
  <c r="L6" i="9"/>
  <c r="L40" i="9"/>
  <c r="L19" i="9"/>
  <c r="L59" i="9"/>
  <c r="L26" i="9"/>
  <c r="L32" i="9"/>
  <c r="L67" i="9"/>
  <c r="L120" i="9"/>
  <c r="L122" i="9"/>
  <c r="L54" i="9"/>
  <c r="L10" i="9"/>
  <c r="L50" i="9"/>
  <c r="L46" i="9"/>
  <c r="L86" i="9"/>
  <c r="L74" i="9"/>
  <c r="L91" i="9"/>
  <c r="L76" i="9"/>
  <c r="L116" i="9"/>
  <c r="L118" i="9"/>
  <c r="L90" i="9"/>
  <c r="L12" i="9"/>
  <c r="L14" i="9"/>
  <c r="L68" i="9"/>
  <c r="L44" i="9"/>
  <c r="L108" i="9"/>
  <c r="L112" i="9"/>
  <c r="L82" i="9"/>
  <c r="L94" i="9"/>
  <c r="L70" i="9"/>
  <c r="L64" i="9"/>
  <c r="L107" i="9"/>
  <c r="L111" i="9"/>
  <c r="L24" i="9"/>
  <c r="L43" i="9"/>
  <c r="L58" i="9"/>
  <c r="L42" i="9"/>
  <c r="L48" i="9"/>
  <c r="L75" i="9"/>
  <c r="L110" i="9"/>
  <c r="L119" i="9"/>
  <c r="L83" i="9"/>
  <c r="L15" i="9"/>
  <c r="L38" i="9"/>
  <c r="L18" i="9"/>
  <c r="L22" i="9"/>
  <c r="L66" i="9"/>
  <c r="L84" i="9"/>
  <c r="L28" i="9"/>
  <c r="L30" i="9"/>
  <c r="L36" i="9"/>
  <c r="L92" i="9"/>
  <c r="L115" i="9"/>
  <c r="L114" i="9"/>
  <c r="L63" i="9"/>
  <c r="L56" i="9"/>
  <c r="L72" i="9"/>
  <c r="L104" i="9"/>
  <c r="L34" i="9"/>
  <c r="L35" i="9"/>
  <c r="L123" i="9"/>
  <c r="L62" i="9"/>
  <c r="L52" i="9"/>
  <c r="L55" i="9"/>
  <c r="L78" i="9"/>
  <c r="L80" i="9"/>
  <c r="L98" i="9"/>
  <c r="L71" i="9"/>
  <c r="L106" i="9"/>
  <c r="L102" i="9"/>
  <c r="L79" i="9"/>
  <c r="D13" i="22"/>
  <c r="L309" i="9"/>
  <c r="L305" i="9"/>
  <c r="L308" i="9"/>
  <c r="L306" i="9"/>
  <c r="L307" i="9"/>
  <c r="L312" i="9"/>
  <c r="L310" i="9"/>
  <c r="L311" i="9"/>
  <c r="G324" i="22"/>
  <c r="J324" i="22"/>
  <c r="K324" i="22"/>
  <c r="I324" i="22"/>
  <c r="F324" i="22"/>
  <c r="L324" i="22"/>
  <c r="H324" i="22"/>
  <c r="L220" i="22"/>
  <c r="G220" i="22"/>
  <c r="J220" i="22"/>
  <c r="I220" i="22"/>
  <c r="H220" i="22"/>
  <c r="F220" i="22"/>
  <c r="K220" i="22"/>
  <c r="M7" i="20"/>
  <c r="L7" i="8"/>
  <c r="M5" i="20"/>
  <c r="L5" i="8"/>
  <c r="K12" i="22"/>
  <c r="L12" i="22"/>
  <c r="J12" i="22"/>
  <c r="I12" i="22"/>
  <c r="H12" i="22"/>
  <c r="G12" i="22"/>
  <c r="F12" i="22"/>
  <c r="D273" i="22"/>
  <c r="L374" i="9"/>
  <c r="L361" i="9"/>
  <c r="L354" i="9"/>
  <c r="L358" i="9"/>
  <c r="L359" i="9"/>
  <c r="L356" i="9"/>
  <c r="L355" i="9"/>
  <c r="L353" i="9"/>
  <c r="L360" i="9"/>
  <c r="L372" i="9"/>
  <c r="L357" i="9"/>
  <c r="L373" i="9"/>
  <c r="M10" i="20"/>
  <c r="L10" i="8"/>
  <c r="D65" i="22"/>
  <c r="L299" i="9"/>
  <c r="L301" i="9"/>
  <c r="L296" i="9"/>
  <c r="L297" i="9"/>
  <c r="L261" i="9"/>
  <c r="L253" i="9"/>
  <c r="L245" i="9"/>
  <c r="L237" i="9"/>
  <c r="L229" i="9"/>
  <c r="L184" i="9"/>
  <c r="L264" i="9"/>
  <c r="L257" i="9"/>
  <c r="L256" i="9"/>
  <c r="L249" i="9"/>
  <c r="L248" i="9"/>
  <c r="L241" i="9"/>
  <c r="L240" i="9"/>
  <c r="L233" i="9"/>
  <c r="L232" i="9"/>
  <c r="L225" i="9"/>
  <c r="L224" i="9"/>
  <c r="L263" i="9"/>
  <c r="L235" i="9"/>
  <c r="L182" i="9"/>
  <c r="L212" i="9"/>
  <c r="L202" i="9"/>
  <c r="L192" i="9"/>
  <c r="L187" i="9"/>
  <c r="L227" i="9"/>
  <c r="L220" i="9"/>
  <c r="L203" i="9"/>
  <c r="L216" i="9"/>
  <c r="L204" i="9"/>
  <c r="L194" i="9"/>
  <c r="L191" i="9"/>
  <c r="L208" i="9"/>
  <c r="L196" i="9"/>
  <c r="L200" i="9"/>
  <c r="L177" i="9"/>
  <c r="L186" i="9"/>
  <c r="L173" i="9"/>
  <c r="L188" i="9"/>
  <c r="L195" i="9"/>
  <c r="L180" i="9"/>
  <c r="L172" i="9"/>
  <c r="L179" i="9"/>
  <c r="L171" i="9"/>
  <c r="L218" i="9"/>
  <c r="L211" i="9"/>
  <c r="L199" i="9"/>
  <c r="L244" i="9"/>
  <c r="L183" i="9"/>
  <c r="L190" i="9"/>
  <c r="L170" i="9"/>
  <c r="L219" i="9"/>
  <c r="L250" i="9"/>
  <c r="L255" i="9"/>
  <c r="L302" i="9"/>
  <c r="L185" i="9"/>
  <c r="L239" i="9"/>
  <c r="L178" i="9"/>
  <c r="L234" i="9"/>
  <c r="L201" i="9"/>
  <c r="L223" i="9"/>
  <c r="L226" i="9"/>
  <c r="L197" i="9"/>
  <c r="L205" i="9"/>
  <c r="L213" i="9"/>
  <c r="L221" i="9"/>
  <c r="L228" i="9"/>
  <c r="L247" i="9"/>
  <c r="L258" i="9"/>
  <c r="L254" i="9"/>
  <c r="L176" i="9"/>
  <c r="L215" i="9"/>
  <c r="L242" i="9"/>
  <c r="L251" i="9"/>
  <c r="L198" i="9"/>
  <c r="L206" i="9"/>
  <c r="L214" i="9"/>
  <c r="L210" i="9"/>
  <c r="L209" i="9"/>
  <c r="L174" i="9"/>
  <c r="L189" i="9"/>
  <c r="L207" i="9"/>
  <c r="L231" i="9"/>
  <c r="L252" i="9"/>
  <c r="L230" i="9"/>
  <c r="L246" i="9"/>
  <c r="L262" i="9"/>
  <c r="L181" i="9"/>
  <c r="L175" i="9"/>
  <c r="L217" i="9"/>
  <c r="L238" i="9"/>
  <c r="L259" i="9"/>
  <c r="L300" i="9"/>
  <c r="L298" i="9"/>
  <c r="L193" i="9"/>
  <c r="L243" i="9"/>
  <c r="L222" i="9"/>
  <c r="L260" i="9"/>
  <c r="L236" i="9"/>
  <c r="M8" i="20"/>
  <c r="L8" i="8"/>
  <c r="M6" i="20"/>
  <c r="L6" i="8"/>
  <c r="N7" i="20" l="1"/>
  <c r="M7" i="8"/>
  <c r="H13" i="22"/>
  <c r="J13" i="22"/>
  <c r="I13" i="22"/>
  <c r="G13" i="22"/>
  <c r="F13" i="22"/>
  <c r="L13" i="22"/>
  <c r="K13" i="22"/>
  <c r="N9" i="20"/>
  <c r="M9" i="8"/>
  <c r="F117" i="22"/>
  <c r="K117" i="22"/>
  <c r="H117" i="22"/>
  <c r="G117" i="22"/>
  <c r="L117" i="22"/>
  <c r="J117" i="22"/>
  <c r="I117" i="22"/>
  <c r="C16" i="19"/>
  <c r="B17" i="19"/>
  <c r="E16" i="19"/>
  <c r="D16" i="19"/>
  <c r="O3" i="20" s="1"/>
  <c r="D66" i="22"/>
  <c r="M298" i="9"/>
  <c r="M300" i="9"/>
  <c r="M301" i="9"/>
  <c r="M299" i="9"/>
  <c r="M296" i="9"/>
  <c r="M297" i="9"/>
  <c r="M257" i="9"/>
  <c r="M249" i="9"/>
  <c r="M241" i="9"/>
  <c r="M233" i="9"/>
  <c r="M225" i="9"/>
  <c r="M220" i="9"/>
  <c r="M258" i="9"/>
  <c r="M250" i="9"/>
  <c r="M242" i="9"/>
  <c r="M262" i="9"/>
  <c r="M253" i="9"/>
  <c r="M245" i="9"/>
  <c r="M237" i="9"/>
  <c r="M261" i="9"/>
  <c r="M222" i="9"/>
  <c r="M214" i="9"/>
  <c r="M206" i="9"/>
  <c r="M198" i="9"/>
  <c r="M184" i="9"/>
  <c r="M212" i="9"/>
  <c r="M192" i="9"/>
  <c r="M181" i="9"/>
  <c r="M203" i="9"/>
  <c r="M189" i="9"/>
  <c r="M216" i="9"/>
  <c r="M204" i="9"/>
  <c r="M194" i="9"/>
  <c r="M229" i="9"/>
  <c r="M207" i="9"/>
  <c r="M195" i="9"/>
  <c r="M219" i="9"/>
  <c r="M215" i="9"/>
  <c r="M208" i="9"/>
  <c r="M234" i="9"/>
  <c r="M199" i="9"/>
  <c r="M226" i="9"/>
  <c r="M200" i="9"/>
  <c r="M196" i="9"/>
  <c r="M177" i="9"/>
  <c r="M174" i="9"/>
  <c r="M170" i="9"/>
  <c r="M173" i="9"/>
  <c r="M188" i="9"/>
  <c r="M182" i="9"/>
  <c r="M180" i="9"/>
  <c r="M186" i="9"/>
  <c r="M179" i="9"/>
  <c r="M175" i="9"/>
  <c r="M238" i="9"/>
  <c r="M185" i="9"/>
  <c r="M193" i="9"/>
  <c r="M218" i="9"/>
  <c r="M217" i="9"/>
  <c r="M172" i="9"/>
  <c r="M183" i="9"/>
  <c r="M178" i="9"/>
  <c r="M190" i="9"/>
  <c r="M201" i="9"/>
  <c r="M263" i="9"/>
  <c r="M239" i="9"/>
  <c r="M244" i="9"/>
  <c r="M227" i="9"/>
  <c r="M259" i="9"/>
  <c r="M232" i="9"/>
  <c r="M223" i="9"/>
  <c r="M228" i="9"/>
  <c r="M209" i="9"/>
  <c r="M254" i="9"/>
  <c r="M243" i="9"/>
  <c r="M197" i="9"/>
  <c r="M205" i="9"/>
  <c r="M213" i="9"/>
  <c r="M176" i="9"/>
  <c r="M235" i="9"/>
  <c r="M171" i="9"/>
  <c r="M191" i="9"/>
  <c r="M230" i="9"/>
  <c r="M231" i="9"/>
  <c r="M236" i="9"/>
  <c r="M251" i="9"/>
  <c r="M187" i="9"/>
  <c r="M202" i="9"/>
  <c r="M252" i="9"/>
  <c r="M255" i="9"/>
  <c r="M224" i="9"/>
  <c r="M240" i="9"/>
  <c r="M211" i="9"/>
  <c r="M246" i="9"/>
  <c r="M256" i="9"/>
  <c r="M210" i="9"/>
  <c r="M247" i="9"/>
  <c r="M248" i="9"/>
  <c r="M221" i="9"/>
  <c r="M264" i="9"/>
  <c r="M302" i="9"/>
  <c r="M260" i="9"/>
  <c r="D326" i="22"/>
  <c r="M379" i="9"/>
  <c r="M375" i="9"/>
  <c r="M376" i="9"/>
  <c r="M371" i="9"/>
  <c r="M365" i="9"/>
  <c r="M387" i="9"/>
  <c r="M370" i="9"/>
  <c r="M377" i="9"/>
  <c r="M369" i="9"/>
  <c r="M388" i="9"/>
  <c r="M367" i="9"/>
  <c r="M364" i="9"/>
  <c r="M368" i="9"/>
  <c r="M366" i="9"/>
  <c r="M363" i="9"/>
  <c r="M378" i="9"/>
  <c r="M380" i="9"/>
  <c r="M362" i="9"/>
  <c r="C328" i="22"/>
  <c r="C276" i="22"/>
  <c r="C224" i="22"/>
  <c r="C172" i="22"/>
  <c r="C120" i="22"/>
  <c r="C68" i="22"/>
  <c r="C16" i="22"/>
  <c r="N2" i="20"/>
  <c r="N10" i="20"/>
  <c r="M10" i="8"/>
  <c r="N6" i="20"/>
  <c r="M6" i="8"/>
  <c r="N11" i="20"/>
  <c r="M11" i="8"/>
  <c r="D170" i="22"/>
  <c r="M350" i="9"/>
  <c r="M341" i="9"/>
  <c r="M339" i="9"/>
  <c r="M331" i="9"/>
  <c r="M321" i="9"/>
  <c r="M337" i="9"/>
  <c r="M347" i="9"/>
  <c r="M345" i="9"/>
  <c r="M340" i="9"/>
  <c r="M319" i="9"/>
  <c r="M316" i="9"/>
  <c r="M325" i="9"/>
  <c r="M332" i="9"/>
  <c r="M317" i="9"/>
  <c r="M348" i="9"/>
  <c r="M344" i="9"/>
  <c r="M333" i="9"/>
  <c r="M329" i="9"/>
  <c r="M335" i="9"/>
  <c r="M318" i="9"/>
  <c r="M313" i="9"/>
  <c r="M304" i="9"/>
  <c r="M285" i="9"/>
  <c r="M293" i="9"/>
  <c r="M282" i="9"/>
  <c r="M283" i="9"/>
  <c r="M289" i="9"/>
  <c r="M277" i="9"/>
  <c r="M281" i="9"/>
  <c r="M274" i="9"/>
  <c r="M270" i="9"/>
  <c r="M273" i="9"/>
  <c r="M269" i="9"/>
  <c r="M266" i="9"/>
  <c r="M265" i="9"/>
  <c r="M267" i="9"/>
  <c r="M276" i="9"/>
  <c r="M284" i="9"/>
  <c r="M295" i="9"/>
  <c r="M278" i="9"/>
  <c r="M268" i="9"/>
  <c r="M286" i="9"/>
  <c r="M336" i="9"/>
  <c r="M328" i="9"/>
  <c r="M349" i="9"/>
  <c r="M272" i="9"/>
  <c r="M291" i="9"/>
  <c r="M292" i="9"/>
  <c r="M314" i="9"/>
  <c r="M322" i="9"/>
  <c r="M303" i="9"/>
  <c r="M320" i="9"/>
  <c r="M279" i="9"/>
  <c r="M275" i="9"/>
  <c r="M315" i="9"/>
  <c r="M334" i="9"/>
  <c r="M323" i="9"/>
  <c r="M342" i="9"/>
  <c r="M287" i="9"/>
  <c r="M280" i="9"/>
  <c r="M324" i="9"/>
  <c r="M351" i="9"/>
  <c r="M338" i="9"/>
  <c r="M271" i="9"/>
  <c r="M290" i="9"/>
  <c r="M288" i="9"/>
  <c r="M326" i="9"/>
  <c r="M330" i="9"/>
  <c r="M352" i="9"/>
  <c r="M327" i="9"/>
  <c r="M294" i="9"/>
  <c r="M346" i="9"/>
  <c r="M343" i="9"/>
  <c r="L65" i="22"/>
  <c r="K65" i="22"/>
  <c r="J65" i="22"/>
  <c r="I65" i="22"/>
  <c r="G65" i="22"/>
  <c r="F65" i="22"/>
  <c r="H65" i="22"/>
  <c r="I273" i="22"/>
  <c r="G273" i="22"/>
  <c r="F273" i="22"/>
  <c r="L273" i="22"/>
  <c r="K273" i="22"/>
  <c r="J273" i="22"/>
  <c r="H273" i="22"/>
  <c r="D14" i="22"/>
  <c r="M305" i="9"/>
  <c r="M312" i="9"/>
  <c r="M307" i="9"/>
  <c r="M309" i="9"/>
  <c r="M306" i="9"/>
  <c r="M311" i="9"/>
  <c r="M310" i="9"/>
  <c r="M308" i="9"/>
  <c r="N8" i="20"/>
  <c r="M8" i="8"/>
  <c r="D274" i="22"/>
  <c r="M372" i="9"/>
  <c r="M373" i="9"/>
  <c r="M353" i="9"/>
  <c r="M354" i="9"/>
  <c r="M358" i="9"/>
  <c r="M361" i="9"/>
  <c r="M356" i="9"/>
  <c r="M360" i="9"/>
  <c r="M357" i="9"/>
  <c r="M359" i="9"/>
  <c r="M374" i="9"/>
  <c r="M355" i="9"/>
  <c r="N5" i="20"/>
  <c r="M5" i="8"/>
  <c r="I221" i="22"/>
  <c r="K221" i="22"/>
  <c r="J221" i="22"/>
  <c r="H221" i="22"/>
  <c r="G221" i="22"/>
  <c r="F221" i="22"/>
  <c r="L221" i="22"/>
  <c r="D118" i="22"/>
  <c r="M121" i="9"/>
  <c r="M113" i="9"/>
  <c r="M105" i="9"/>
  <c r="M97" i="9"/>
  <c r="M89" i="9"/>
  <c r="M125" i="9"/>
  <c r="M85" i="9"/>
  <c r="M37" i="9"/>
  <c r="M117" i="9"/>
  <c r="M124" i="9"/>
  <c r="M110" i="9"/>
  <c r="M96" i="9"/>
  <c r="M86" i="9"/>
  <c r="M109" i="9"/>
  <c r="M77" i="9"/>
  <c r="M69" i="9"/>
  <c r="M116" i="9"/>
  <c r="M102" i="9"/>
  <c r="M100" i="9"/>
  <c r="M88" i="9"/>
  <c r="M84" i="9"/>
  <c r="M101" i="9"/>
  <c r="M83" i="9"/>
  <c r="M75" i="9"/>
  <c r="M93" i="9"/>
  <c r="M81" i="9"/>
  <c r="M73" i="9"/>
  <c r="M65" i="9"/>
  <c r="M57" i="9"/>
  <c r="M49" i="9"/>
  <c r="M45" i="9"/>
  <c r="M41" i="9"/>
  <c r="M48" i="9"/>
  <c r="M31" i="9"/>
  <c r="M30" i="9"/>
  <c r="M17" i="9"/>
  <c r="M32" i="9"/>
  <c r="M26" i="9"/>
  <c r="M76" i="9"/>
  <c r="M13" i="9"/>
  <c r="M53" i="9"/>
  <c r="M9" i="9"/>
  <c r="M60" i="9"/>
  <c r="M47" i="9"/>
  <c r="M42" i="9"/>
  <c r="M51" i="9"/>
  <c r="M27" i="9"/>
  <c r="M67" i="9"/>
  <c r="M61" i="9"/>
  <c r="M29" i="9"/>
  <c r="M25" i="9"/>
  <c r="M21" i="9"/>
  <c r="M5" i="9"/>
  <c r="M33" i="9"/>
  <c r="M50" i="9"/>
  <c r="M18" i="9"/>
  <c r="M74" i="9"/>
  <c r="M111" i="9"/>
  <c r="M99" i="9"/>
  <c r="M56" i="9"/>
  <c r="M72" i="9"/>
  <c r="M38" i="9"/>
  <c r="M28" i="9"/>
  <c r="M40" i="9"/>
  <c r="M36" i="9"/>
  <c r="M22" i="9"/>
  <c r="M8" i="9"/>
  <c r="M82" i="9"/>
  <c r="M15" i="9"/>
  <c r="M58" i="9"/>
  <c r="M68" i="9"/>
  <c r="M35" i="9"/>
  <c r="M107" i="9"/>
  <c r="M63" i="9"/>
  <c r="M87" i="9"/>
  <c r="M6" i="9"/>
  <c r="M44" i="9"/>
  <c r="M12" i="9"/>
  <c r="M19" i="9"/>
  <c r="M59" i="9"/>
  <c r="M95" i="9"/>
  <c r="M104" i="9"/>
  <c r="M115" i="9"/>
  <c r="M90" i="9"/>
  <c r="M119" i="9"/>
  <c r="M52" i="9"/>
  <c r="M24" i="9"/>
  <c r="M11" i="9"/>
  <c r="M103" i="9"/>
  <c r="M92" i="9"/>
  <c r="M108" i="9"/>
  <c r="M112" i="9"/>
  <c r="M10" i="9"/>
  <c r="M46" i="9"/>
  <c r="M39" i="9"/>
  <c r="M20" i="9"/>
  <c r="M23" i="9"/>
  <c r="M14" i="9"/>
  <c r="M7" i="9"/>
  <c r="M114" i="9"/>
  <c r="M43" i="9"/>
  <c r="M16" i="9"/>
  <c r="M122" i="9"/>
  <c r="M54" i="9"/>
  <c r="M55" i="9"/>
  <c r="M71" i="9"/>
  <c r="M64" i="9"/>
  <c r="M94" i="9"/>
  <c r="M78" i="9"/>
  <c r="M120" i="9"/>
  <c r="M66" i="9"/>
  <c r="M70" i="9"/>
  <c r="M98" i="9"/>
  <c r="M106" i="9"/>
  <c r="M34" i="9"/>
  <c r="M123" i="9"/>
  <c r="M80" i="9"/>
  <c r="M118" i="9"/>
  <c r="M91" i="9"/>
  <c r="M62" i="9"/>
  <c r="M79" i="9"/>
  <c r="L325" i="22"/>
  <c r="H325" i="22"/>
  <c r="I325" i="22"/>
  <c r="K325" i="22"/>
  <c r="G325" i="22"/>
  <c r="F325" i="22"/>
  <c r="J325" i="22"/>
  <c r="D222" i="22"/>
  <c r="M383" i="9"/>
  <c r="M386" i="9"/>
  <c r="M165" i="9"/>
  <c r="M164" i="9"/>
  <c r="M157" i="9"/>
  <c r="M156" i="9"/>
  <c r="M149" i="9"/>
  <c r="M148" i="9"/>
  <c r="M141" i="9"/>
  <c r="M140" i="9"/>
  <c r="M133" i="9"/>
  <c r="M132" i="9"/>
  <c r="M169" i="9"/>
  <c r="M166" i="9"/>
  <c r="M158" i="9"/>
  <c r="M150" i="9"/>
  <c r="M142" i="9"/>
  <c r="M161" i="9"/>
  <c r="M153" i="9"/>
  <c r="M145" i="9"/>
  <c r="M126" i="9"/>
  <c r="M134" i="9"/>
  <c r="M129" i="9"/>
  <c r="M137" i="9"/>
  <c r="M147" i="9"/>
  <c r="M163" i="9"/>
  <c r="M146" i="9"/>
  <c r="M154" i="9"/>
  <c r="M130" i="9"/>
  <c r="M138" i="9"/>
  <c r="M162" i="9"/>
  <c r="M143" i="9"/>
  <c r="M168" i="9"/>
  <c r="M131" i="9"/>
  <c r="M139" i="9"/>
  <c r="M152" i="9"/>
  <c r="M167" i="9"/>
  <c r="M127" i="9"/>
  <c r="M136" i="9"/>
  <c r="M151" i="9"/>
  <c r="M135" i="9"/>
  <c r="M160" i="9"/>
  <c r="M128" i="9"/>
  <c r="M155" i="9"/>
  <c r="M144" i="9"/>
  <c r="M159" i="9"/>
  <c r="M382" i="9"/>
  <c r="M384" i="9"/>
  <c r="M381" i="9"/>
  <c r="M385" i="9"/>
  <c r="L169" i="22"/>
  <c r="J169" i="22"/>
  <c r="G169" i="22"/>
  <c r="H169" i="22"/>
  <c r="F169" i="22"/>
  <c r="K169" i="22"/>
  <c r="I169" i="22"/>
  <c r="F222" i="22" l="1"/>
  <c r="L222" i="22"/>
  <c r="I222" i="22"/>
  <c r="K222" i="22"/>
  <c r="J222" i="22"/>
  <c r="H222" i="22"/>
  <c r="G222" i="22"/>
  <c r="K118" i="22"/>
  <c r="H118" i="22"/>
  <c r="G118" i="22"/>
  <c r="F118" i="22"/>
  <c r="J118" i="22"/>
  <c r="L118" i="22"/>
  <c r="I118" i="22"/>
  <c r="D15" i="22"/>
  <c r="N309" i="9"/>
  <c r="N305" i="9"/>
  <c r="N312" i="9"/>
  <c r="N308" i="9"/>
  <c r="N310" i="9"/>
  <c r="N311" i="9"/>
  <c r="N307" i="9"/>
  <c r="N306" i="9"/>
  <c r="O8" i="20"/>
  <c r="N8" i="8"/>
  <c r="D171" i="22"/>
  <c r="N345" i="9"/>
  <c r="N337" i="9"/>
  <c r="N325" i="9"/>
  <c r="N347" i="9"/>
  <c r="N350" i="9"/>
  <c r="N341" i="9"/>
  <c r="N340" i="9"/>
  <c r="N316" i="9"/>
  <c r="N289" i="9"/>
  <c r="N321" i="9"/>
  <c r="N332" i="9"/>
  <c r="N317" i="9"/>
  <c r="N344" i="9"/>
  <c r="N333" i="9"/>
  <c r="N329" i="9"/>
  <c r="N318" i="9"/>
  <c r="N313" i="9"/>
  <c r="N304" i="9"/>
  <c r="N349" i="9"/>
  <c r="N328" i="9"/>
  <c r="N284" i="9"/>
  <c r="N281" i="9"/>
  <c r="N273" i="9"/>
  <c r="N265" i="9"/>
  <c r="N285" i="9"/>
  <c r="N277" i="9"/>
  <c r="N293" i="9"/>
  <c r="N270" i="9"/>
  <c r="N269" i="9"/>
  <c r="N276" i="9"/>
  <c r="N291" i="9"/>
  <c r="N314" i="9"/>
  <c r="N335" i="9"/>
  <c r="N283" i="9"/>
  <c r="N278" i="9"/>
  <c r="N279" i="9"/>
  <c r="N280" i="9"/>
  <c r="N292" i="9"/>
  <c r="N315" i="9"/>
  <c r="N334" i="9"/>
  <c r="N271" i="9"/>
  <c r="N272" i="9"/>
  <c r="N320" i="9"/>
  <c r="N343" i="9"/>
  <c r="N348" i="9"/>
  <c r="N295" i="9"/>
  <c r="N326" i="9"/>
  <c r="N268" i="9"/>
  <c r="N266" i="9"/>
  <c r="N286" i="9"/>
  <c r="N346" i="9"/>
  <c r="N290" i="9"/>
  <c r="N274" i="9"/>
  <c r="N342" i="9"/>
  <c r="N267" i="9"/>
  <c r="N336" i="9"/>
  <c r="N322" i="9"/>
  <c r="N303" i="9"/>
  <c r="N338" i="9"/>
  <c r="N339" i="9"/>
  <c r="N275" i="9"/>
  <c r="N331" i="9"/>
  <c r="N324" i="9"/>
  <c r="N323" i="9"/>
  <c r="N352" i="9"/>
  <c r="N319" i="9"/>
  <c r="N330" i="9"/>
  <c r="N282" i="9"/>
  <c r="N327" i="9"/>
  <c r="N287" i="9"/>
  <c r="N294" i="9"/>
  <c r="N351" i="9"/>
  <c r="N288" i="9"/>
  <c r="O5" i="20"/>
  <c r="N5" i="8"/>
  <c r="H14" i="22"/>
  <c r="G14" i="22"/>
  <c r="F14" i="22"/>
  <c r="L14" i="22"/>
  <c r="K14" i="22"/>
  <c r="J14" i="22"/>
  <c r="I14" i="22"/>
  <c r="J170" i="22"/>
  <c r="I170" i="22"/>
  <c r="G170" i="22"/>
  <c r="L170" i="22"/>
  <c r="K170" i="22"/>
  <c r="H170" i="22"/>
  <c r="F170" i="22"/>
  <c r="I66" i="22"/>
  <c r="K66" i="22"/>
  <c r="J66" i="22"/>
  <c r="H66" i="22"/>
  <c r="G66" i="22"/>
  <c r="L66" i="22"/>
  <c r="F66" i="22"/>
  <c r="D327" i="22"/>
  <c r="N367" i="9"/>
  <c r="N387" i="9"/>
  <c r="N378" i="9"/>
  <c r="N371" i="9"/>
  <c r="N365" i="9"/>
  <c r="N375" i="9"/>
  <c r="N370" i="9"/>
  <c r="N379" i="9"/>
  <c r="N388" i="9"/>
  <c r="N364" i="9"/>
  <c r="N362" i="9"/>
  <c r="N368" i="9"/>
  <c r="N366" i="9"/>
  <c r="N369" i="9"/>
  <c r="N377" i="9"/>
  <c r="N380" i="9"/>
  <c r="N363" i="9"/>
  <c r="N376" i="9"/>
  <c r="I326" i="22"/>
  <c r="F326" i="22"/>
  <c r="G326" i="22"/>
  <c r="L326" i="22"/>
  <c r="J326" i="22"/>
  <c r="H326" i="22"/>
  <c r="K326" i="22"/>
  <c r="O11" i="20"/>
  <c r="N11" i="8"/>
  <c r="C329" i="22"/>
  <c r="C277" i="22"/>
  <c r="C225" i="22"/>
  <c r="C173" i="22"/>
  <c r="C121" i="22"/>
  <c r="C69" i="22"/>
  <c r="C17" i="22"/>
  <c r="O2" i="20"/>
  <c r="D67" i="22"/>
  <c r="N301" i="9"/>
  <c r="N296" i="9"/>
  <c r="N297" i="9"/>
  <c r="N298" i="9"/>
  <c r="N220" i="9"/>
  <c r="N212" i="9"/>
  <c r="N204" i="9"/>
  <c r="N196" i="9"/>
  <c r="N188" i="9"/>
  <c r="N258" i="9"/>
  <c r="N250" i="9"/>
  <c r="N242" i="9"/>
  <c r="N234" i="9"/>
  <c r="N226" i="9"/>
  <c r="N262" i="9"/>
  <c r="N253" i="9"/>
  <c r="N245" i="9"/>
  <c r="N237" i="9"/>
  <c r="N229" i="9"/>
  <c r="N261" i="9"/>
  <c r="N257" i="9"/>
  <c r="N249" i="9"/>
  <c r="N241" i="9"/>
  <c r="N233" i="9"/>
  <c r="N225" i="9"/>
  <c r="N216" i="9"/>
  <c r="N193" i="9"/>
  <c r="N173" i="9"/>
  <c r="N207" i="9"/>
  <c r="N215" i="9"/>
  <c r="N208" i="9"/>
  <c r="N200" i="9"/>
  <c r="N192" i="9"/>
  <c r="N181" i="9"/>
  <c r="N177" i="9"/>
  <c r="N199" i="9"/>
  <c r="N170" i="9"/>
  <c r="N180" i="9"/>
  <c r="N184" i="9"/>
  <c r="N171" i="9"/>
  <c r="N186" i="9"/>
  <c r="N218" i="9"/>
  <c r="N194" i="9"/>
  <c r="N264" i="9"/>
  <c r="N172" i="9"/>
  <c r="N178" i="9"/>
  <c r="N183" i="9"/>
  <c r="N179" i="9"/>
  <c r="N190" i="9"/>
  <c r="N176" i="9"/>
  <c r="N201" i="9"/>
  <c r="N202" i="9"/>
  <c r="N223" i="9"/>
  <c r="N174" i="9"/>
  <c r="N236" i="9"/>
  <c r="N185" i="9"/>
  <c r="N209" i="9"/>
  <c r="N246" i="9"/>
  <c r="N254" i="9"/>
  <c r="N243" i="9"/>
  <c r="N302" i="9"/>
  <c r="N195" i="9"/>
  <c r="N189" i="9"/>
  <c r="N217" i="9"/>
  <c r="N248" i="9"/>
  <c r="N231" i="9"/>
  <c r="N238" i="9"/>
  <c r="N235" i="9"/>
  <c r="N191" i="9"/>
  <c r="N252" i="9"/>
  <c r="N228" i="9"/>
  <c r="N219" i="9"/>
  <c r="N203" i="9"/>
  <c r="N232" i="9"/>
  <c r="N251" i="9"/>
  <c r="N197" i="9"/>
  <c r="N205" i="9"/>
  <c r="N213" i="9"/>
  <c r="N210" i="9"/>
  <c r="N224" i="9"/>
  <c r="N247" i="9"/>
  <c r="N255" i="9"/>
  <c r="N244" i="9"/>
  <c r="N198" i="9"/>
  <c r="N206" i="9"/>
  <c r="N214" i="9"/>
  <c r="N211" i="9"/>
  <c r="N175" i="9"/>
  <c r="N256" i="9"/>
  <c r="N263" i="9"/>
  <c r="N230" i="9"/>
  <c r="N239" i="9"/>
  <c r="N260" i="9"/>
  <c r="N299" i="9"/>
  <c r="N240" i="9"/>
  <c r="N222" i="9"/>
  <c r="N182" i="9"/>
  <c r="N187" i="9"/>
  <c r="N221" i="9"/>
  <c r="N227" i="9"/>
  <c r="N259" i="9"/>
  <c r="N300" i="9"/>
  <c r="C17" i="19"/>
  <c r="E17" i="19"/>
  <c r="B18" i="19"/>
  <c r="D17" i="19"/>
  <c r="P3" i="20" s="1"/>
  <c r="O6" i="20"/>
  <c r="N6" i="8"/>
  <c r="D223" i="22"/>
  <c r="N383" i="9"/>
  <c r="N386" i="9"/>
  <c r="N165" i="9"/>
  <c r="N157" i="9"/>
  <c r="N149" i="9"/>
  <c r="N141" i="9"/>
  <c r="N133" i="9"/>
  <c r="N169" i="9"/>
  <c r="N166" i="9"/>
  <c r="N158" i="9"/>
  <c r="N150" i="9"/>
  <c r="N161" i="9"/>
  <c r="N153" i="9"/>
  <c r="N145" i="9"/>
  <c r="N137" i="9"/>
  <c r="N126" i="9"/>
  <c r="N134" i="9"/>
  <c r="N129" i="9"/>
  <c r="N142" i="9"/>
  <c r="N131" i="9"/>
  <c r="N128" i="9"/>
  <c r="N130" i="9"/>
  <c r="N127" i="9"/>
  <c r="N147" i="9"/>
  <c r="N163" i="9"/>
  <c r="N162" i="9"/>
  <c r="N167" i="9"/>
  <c r="N135" i="9"/>
  <c r="N160" i="9"/>
  <c r="N168" i="9"/>
  <c r="N154" i="9"/>
  <c r="N155" i="9"/>
  <c r="N144" i="9"/>
  <c r="N151" i="9"/>
  <c r="N146" i="9"/>
  <c r="N138" i="9"/>
  <c r="N139" i="9"/>
  <c r="N159" i="9"/>
  <c r="N136" i="9"/>
  <c r="N152" i="9"/>
  <c r="N132" i="9"/>
  <c r="N140" i="9"/>
  <c r="N156" i="9"/>
  <c r="N148" i="9"/>
  <c r="N143" i="9"/>
  <c r="N164" i="9"/>
  <c r="N382" i="9"/>
  <c r="N381" i="9"/>
  <c r="N384" i="9"/>
  <c r="N385" i="9"/>
  <c r="F274" i="22"/>
  <c r="L274" i="22"/>
  <c r="G274" i="22"/>
  <c r="K274" i="22"/>
  <c r="J274" i="22"/>
  <c r="I274" i="22"/>
  <c r="H274" i="22"/>
  <c r="D275" i="22"/>
  <c r="N374" i="9"/>
  <c r="N372" i="9"/>
  <c r="N355" i="9"/>
  <c r="N358" i="9"/>
  <c r="N361" i="9"/>
  <c r="N359" i="9"/>
  <c r="N354" i="9"/>
  <c r="N353" i="9"/>
  <c r="N356" i="9"/>
  <c r="N373" i="9"/>
  <c r="N360" i="9"/>
  <c r="N357" i="9"/>
  <c r="O9" i="20"/>
  <c r="N9" i="8"/>
  <c r="D119" i="22"/>
  <c r="N117" i="9"/>
  <c r="N124" i="9"/>
  <c r="N121" i="9"/>
  <c r="N86" i="9"/>
  <c r="N41" i="9"/>
  <c r="N25" i="9"/>
  <c r="N109" i="9"/>
  <c r="N97" i="9"/>
  <c r="N77" i="9"/>
  <c r="N69" i="9"/>
  <c r="N61" i="9"/>
  <c r="N53" i="9"/>
  <c r="N113" i="9"/>
  <c r="N106" i="9"/>
  <c r="N102" i="9"/>
  <c r="N98" i="9"/>
  <c r="N101" i="9"/>
  <c r="N89" i="9"/>
  <c r="N105" i="9"/>
  <c r="N93" i="9"/>
  <c r="N90" i="9"/>
  <c r="N81" i="9"/>
  <c r="N73" i="9"/>
  <c r="N65" i="9"/>
  <c r="N125" i="9"/>
  <c r="N85" i="9"/>
  <c r="N37" i="9"/>
  <c r="N48" i="9"/>
  <c r="N17" i="9"/>
  <c r="N33" i="9"/>
  <c r="N32" i="9"/>
  <c r="N13" i="9"/>
  <c r="N6" i="9"/>
  <c r="N14" i="9"/>
  <c r="N9" i="9"/>
  <c r="N60" i="9"/>
  <c r="N50" i="9"/>
  <c r="N42" i="9"/>
  <c r="N57" i="9"/>
  <c r="N46" i="9"/>
  <c r="N22" i="9"/>
  <c r="N12" i="9"/>
  <c r="N5" i="9"/>
  <c r="N29" i="9"/>
  <c r="N21" i="9"/>
  <c r="N49" i="9"/>
  <c r="N45" i="9"/>
  <c r="N8" i="9"/>
  <c r="N26" i="9"/>
  <c r="N34" i="9"/>
  <c r="N10" i="9"/>
  <c r="N7" i="9"/>
  <c r="N31" i="9"/>
  <c r="N67" i="9"/>
  <c r="N84" i="9"/>
  <c r="N20" i="9"/>
  <c r="N39" i="9"/>
  <c r="N56" i="9"/>
  <c r="N107" i="9"/>
  <c r="N108" i="9"/>
  <c r="N76" i="9"/>
  <c r="N16" i="9"/>
  <c r="N72" i="9"/>
  <c r="N95" i="9"/>
  <c r="N74" i="9"/>
  <c r="N92" i="9"/>
  <c r="N115" i="9"/>
  <c r="N119" i="9"/>
  <c r="N35" i="9"/>
  <c r="N114" i="9"/>
  <c r="N38" i="9"/>
  <c r="N58" i="9"/>
  <c r="N59" i="9"/>
  <c r="N47" i="9"/>
  <c r="N94" i="9"/>
  <c r="N103" i="9"/>
  <c r="N75" i="9"/>
  <c r="N82" i="9"/>
  <c r="N88" i="9"/>
  <c r="N100" i="9"/>
  <c r="N23" i="9"/>
  <c r="N18" i="9"/>
  <c r="N15" i="9"/>
  <c r="N40" i="9"/>
  <c r="N24" i="9"/>
  <c r="N43" i="9"/>
  <c r="N51" i="9"/>
  <c r="N83" i="9"/>
  <c r="N91" i="9"/>
  <c r="N44" i="9"/>
  <c r="N28" i="9"/>
  <c r="N68" i="9"/>
  <c r="N27" i="9"/>
  <c r="N36" i="9"/>
  <c r="N19" i="9"/>
  <c r="N11" i="9"/>
  <c r="N64" i="9"/>
  <c r="N118" i="9"/>
  <c r="N104" i="9"/>
  <c r="N52" i="9"/>
  <c r="N30" i="9"/>
  <c r="N122" i="9"/>
  <c r="N66" i="9"/>
  <c r="N111" i="9"/>
  <c r="N112" i="9"/>
  <c r="N63" i="9"/>
  <c r="N99" i="9"/>
  <c r="N120" i="9"/>
  <c r="N62" i="9"/>
  <c r="N96" i="9"/>
  <c r="N80" i="9"/>
  <c r="N71" i="9"/>
  <c r="N79" i="9"/>
  <c r="N123" i="9"/>
  <c r="N55" i="9"/>
  <c r="N87" i="9"/>
  <c r="N116" i="9"/>
  <c r="N54" i="9"/>
  <c r="N110" i="9"/>
  <c r="N70" i="9"/>
  <c r="N78" i="9"/>
  <c r="O10" i="20"/>
  <c r="N10" i="8"/>
  <c r="O7" i="20"/>
  <c r="N7" i="8"/>
  <c r="D276" i="22" l="1"/>
  <c r="O372" i="9"/>
  <c r="O374" i="9"/>
  <c r="O358" i="9"/>
  <c r="O373" i="9"/>
  <c r="O361" i="9"/>
  <c r="O354" i="9"/>
  <c r="O353" i="9"/>
  <c r="O360" i="9"/>
  <c r="O356" i="9"/>
  <c r="O357" i="9"/>
  <c r="O359" i="9"/>
  <c r="O355" i="9"/>
  <c r="E18" i="19"/>
  <c r="D18" i="19"/>
  <c r="Q3" i="20" s="1"/>
  <c r="C18" i="19"/>
  <c r="B19" i="19"/>
  <c r="P8" i="20"/>
  <c r="O8" i="8"/>
  <c r="P10" i="20"/>
  <c r="O10" i="8"/>
  <c r="C330" i="22"/>
  <c r="C278" i="22"/>
  <c r="C226" i="22"/>
  <c r="C174" i="22"/>
  <c r="C122" i="22"/>
  <c r="C70" i="22"/>
  <c r="C18" i="22"/>
  <c r="P2" i="20"/>
  <c r="F67" i="22"/>
  <c r="I67" i="22"/>
  <c r="H67" i="22"/>
  <c r="G67" i="22"/>
  <c r="L67" i="22"/>
  <c r="K67" i="22"/>
  <c r="J67" i="22"/>
  <c r="J15" i="22"/>
  <c r="L15" i="22"/>
  <c r="K15" i="22"/>
  <c r="I15" i="22"/>
  <c r="H15" i="22"/>
  <c r="G15" i="22"/>
  <c r="F15" i="22"/>
  <c r="K275" i="22"/>
  <c r="I275" i="22"/>
  <c r="F275" i="22"/>
  <c r="L275" i="22"/>
  <c r="J275" i="22"/>
  <c r="H275" i="22"/>
  <c r="G275" i="22"/>
  <c r="D328" i="22"/>
  <c r="O367" i="9"/>
  <c r="O387" i="9"/>
  <c r="O388" i="9"/>
  <c r="O379" i="9"/>
  <c r="O380" i="9"/>
  <c r="O376" i="9"/>
  <c r="O371" i="9"/>
  <c r="O375" i="9"/>
  <c r="O365" i="9"/>
  <c r="O370" i="9"/>
  <c r="O369" i="9"/>
  <c r="O362" i="9"/>
  <c r="O366" i="9"/>
  <c r="O377" i="9"/>
  <c r="O364" i="9"/>
  <c r="O368" i="9"/>
  <c r="O378" i="9"/>
  <c r="O363" i="9"/>
  <c r="H119" i="22"/>
  <c r="G119" i="22"/>
  <c r="F119" i="22"/>
  <c r="L119" i="22"/>
  <c r="K119" i="22"/>
  <c r="J119" i="22"/>
  <c r="I119" i="22"/>
  <c r="P11" i="20"/>
  <c r="O11" i="8"/>
  <c r="D16" i="22"/>
  <c r="O309" i="9"/>
  <c r="O312" i="9"/>
  <c r="O305" i="9"/>
  <c r="O306" i="9"/>
  <c r="O307" i="9"/>
  <c r="O310" i="9"/>
  <c r="O308" i="9"/>
  <c r="O311" i="9"/>
  <c r="D224" i="22"/>
  <c r="O383" i="9"/>
  <c r="O386" i="9"/>
  <c r="O165" i="9"/>
  <c r="O157" i="9"/>
  <c r="O149" i="9"/>
  <c r="O141" i="9"/>
  <c r="O133" i="9"/>
  <c r="O169" i="9"/>
  <c r="O161" i="9"/>
  <c r="O153" i="9"/>
  <c r="O145" i="9"/>
  <c r="O137" i="9"/>
  <c r="O162" i="9"/>
  <c r="O154" i="9"/>
  <c r="O146" i="9"/>
  <c r="O129" i="9"/>
  <c r="O138" i="9"/>
  <c r="O126" i="9"/>
  <c r="O135" i="9"/>
  <c r="O139" i="9"/>
  <c r="O130" i="9"/>
  <c r="O127" i="9"/>
  <c r="O128" i="9"/>
  <c r="O155" i="9"/>
  <c r="O163" i="9"/>
  <c r="O136" i="9"/>
  <c r="O152" i="9"/>
  <c r="O148" i="9"/>
  <c r="O164" i="9"/>
  <c r="O131" i="9"/>
  <c r="O147" i="9"/>
  <c r="O159" i="9"/>
  <c r="O160" i="9"/>
  <c r="O167" i="9"/>
  <c r="O156" i="9"/>
  <c r="O158" i="9"/>
  <c r="O168" i="9"/>
  <c r="O144" i="9"/>
  <c r="O132" i="9"/>
  <c r="O134" i="9"/>
  <c r="O140" i="9"/>
  <c r="O142" i="9"/>
  <c r="O166" i="9"/>
  <c r="O151" i="9"/>
  <c r="O143" i="9"/>
  <c r="O150" i="9"/>
  <c r="O384" i="9"/>
  <c r="O385" i="9"/>
  <c r="O382" i="9"/>
  <c r="O381" i="9"/>
  <c r="F223" i="22"/>
  <c r="K223" i="22"/>
  <c r="L223" i="22"/>
  <c r="H223" i="22"/>
  <c r="J223" i="22"/>
  <c r="I223" i="22"/>
  <c r="G223" i="22"/>
  <c r="P5" i="20"/>
  <c r="O5" i="8"/>
  <c r="F327" i="22"/>
  <c r="L327" i="22"/>
  <c r="J327" i="22"/>
  <c r="I327" i="22"/>
  <c r="H327" i="22"/>
  <c r="G327" i="22"/>
  <c r="K327" i="22"/>
  <c r="P9" i="20"/>
  <c r="O9" i="8"/>
  <c r="D68" i="22"/>
  <c r="O301" i="9"/>
  <c r="O257" i="9"/>
  <c r="O249" i="9"/>
  <c r="O241" i="9"/>
  <c r="O233" i="9"/>
  <c r="O225" i="9"/>
  <c r="O296" i="9"/>
  <c r="O299" i="9"/>
  <c r="O297" i="9"/>
  <c r="O298" i="9"/>
  <c r="O263" i="9"/>
  <c r="O262" i="9"/>
  <c r="O253" i="9"/>
  <c r="O245" i="9"/>
  <c r="O237" i="9"/>
  <c r="O261" i="9"/>
  <c r="O254" i="9"/>
  <c r="O246" i="9"/>
  <c r="O238" i="9"/>
  <c r="O221" i="9"/>
  <c r="O220" i="9"/>
  <c r="O213" i="9"/>
  <c r="O212" i="9"/>
  <c r="O205" i="9"/>
  <c r="O204" i="9"/>
  <c r="O197" i="9"/>
  <c r="O196" i="9"/>
  <c r="O188" i="9"/>
  <c r="O216" i="9"/>
  <c r="O173" i="9"/>
  <c r="O207" i="9"/>
  <c r="O230" i="9"/>
  <c r="O229" i="9"/>
  <c r="O215" i="9"/>
  <c r="O208" i="9"/>
  <c r="O184" i="9"/>
  <c r="O182" i="9"/>
  <c r="O199" i="9"/>
  <c r="O209" i="9"/>
  <c r="O200" i="9"/>
  <c r="O192" i="9"/>
  <c r="O183" i="9"/>
  <c r="O181" i="9"/>
  <c r="O180" i="9"/>
  <c r="O177" i="9"/>
  <c r="O171" i="9"/>
  <c r="O185" i="9"/>
  <c r="O201" i="9"/>
  <c r="O250" i="9"/>
  <c r="O247" i="9"/>
  <c r="O190" i="9"/>
  <c r="O172" i="9"/>
  <c r="O178" i="9"/>
  <c r="O179" i="9"/>
  <c r="O223" i="9"/>
  <c r="O218" i="9"/>
  <c r="O210" i="9"/>
  <c r="O228" i="9"/>
  <c r="O194" i="9"/>
  <c r="O258" i="9"/>
  <c r="O242" i="9"/>
  <c r="O251" i="9"/>
  <c r="O222" i="9"/>
  <c r="O302" i="9"/>
  <c r="O202" i="9"/>
  <c r="O217" i="9"/>
  <c r="O211" i="9"/>
  <c r="O174" i="9"/>
  <c r="O193" i="9"/>
  <c r="O248" i="9"/>
  <c r="O236" i="9"/>
  <c r="O189" i="9"/>
  <c r="O252" i="9"/>
  <c r="O198" i="9"/>
  <c r="O206" i="9"/>
  <c r="O214" i="9"/>
  <c r="O170" i="9"/>
  <c r="O195" i="9"/>
  <c r="O187" i="9"/>
  <c r="O232" i="9"/>
  <c r="O227" i="9"/>
  <c r="O259" i="9"/>
  <c r="O224" i="9"/>
  <c r="O255" i="9"/>
  <c r="O244" i="9"/>
  <c r="O186" i="9"/>
  <c r="O176" i="9"/>
  <c r="O175" i="9"/>
  <c r="O191" i="9"/>
  <c r="O203" i="9"/>
  <c r="O234" i="9"/>
  <c r="O256" i="9"/>
  <c r="O231" i="9"/>
  <c r="O239" i="9"/>
  <c r="O264" i="9"/>
  <c r="O243" i="9"/>
  <c r="O260" i="9"/>
  <c r="O219" i="9"/>
  <c r="O300" i="9"/>
  <c r="O226" i="9"/>
  <c r="O235" i="9"/>
  <c r="O240" i="9"/>
  <c r="D120" i="22"/>
  <c r="O117" i="9"/>
  <c r="O109" i="9"/>
  <c r="O101" i="9"/>
  <c r="O121" i="9"/>
  <c r="O41" i="9"/>
  <c r="O25" i="9"/>
  <c r="O97" i="9"/>
  <c r="O77" i="9"/>
  <c r="O69" i="9"/>
  <c r="O61" i="9"/>
  <c r="O53" i="9"/>
  <c r="O113" i="9"/>
  <c r="O106" i="9"/>
  <c r="O98" i="9"/>
  <c r="O87" i="9"/>
  <c r="O89" i="9"/>
  <c r="O123" i="9"/>
  <c r="O105" i="9"/>
  <c r="O93" i="9"/>
  <c r="O90" i="9"/>
  <c r="O82" i="9"/>
  <c r="O81" i="9"/>
  <c r="O125" i="9"/>
  <c r="O85" i="9"/>
  <c r="O80" i="9"/>
  <c r="O72" i="9"/>
  <c r="O64" i="9"/>
  <c r="O33" i="9"/>
  <c r="O32" i="9"/>
  <c r="O31" i="9"/>
  <c r="O13" i="9"/>
  <c r="O74" i="9"/>
  <c r="O66" i="9"/>
  <c r="O56" i="9"/>
  <c r="O34" i="9"/>
  <c r="O10" i="9"/>
  <c r="O22" i="9"/>
  <c r="O57" i="9"/>
  <c r="O47" i="9"/>
  <c r="O9" i="9"/>
  <c r="O35" i="9"/>
  <c r="O5" i="9"/>
  <c r="O28" i="9"/>
  <c r="O73" i="9"/>
  <c r="O65" i="9"/>
  <c r="O36" i="9"/>
  <c r="O29" i="9"/>
  <c r="O21" i="9"/>
  <c r="O49" i="9"/>
  <c r="O45" i="9"/>
  <c r="O48" i="9"/>
  <c r="O37" i="9"/>
  <c r="O17" i="9"/>
  <c r="O6" i="9"/>
  <c r="O68" i="9"/>
  <c r="O27" i="9"/>
  <c r="O46" i="9"/>
  <c r="O19" i="9"/>
  <c r="O92" i="9"/>
  <c r="O88" i="9"/>
  <c r="O96" i="9"/>
  <c r="O86" i="9"/>
  <c r="O114" i="9"/>
  <c r="O23" i="9"/>
  <c r="O30" i="9"/>
  <c r="O59" i="9"/>
  <c r="O11" i="9"/>
  <c r="O75" i="9"/>
  <c r="O122" i="9"/>
  <c r="O111" i="9"/>
  <c r="O100" i="9"/>
  <c r="O12" i="9"/>
  <c r="O44" i="9"/>
  <c r="O16" i="9"/>
  <c r="O51" i="9"/>
  <c r="O83" i="9"/>
  <c r="O115" i="9"/>
  <c r="O91" i="9"/>
  <c r="O71" i="9"/>
  <c r="O116" i="9"/>
  <c r="O54" i="9"/>
  <c r="O70" i="9"/>
  <c r="O95" i="9"/>
  <c r="O18" i="9"/>
  <c r="O52" i="9"/>
  <c r="O7" i="9"/>
  <c r="O104" i="9"/>
  <c r="O118" i="9"/>
  <c r="O99" i="9"/>
  <c r="O58" i="9"/>
  <c r="O112" i="9"/>
  <c r="O50" i="9"/>
  <c r="O40" i="9"/>
  <c r="O60" i="9"/>
  <c r="O67" i="9"/>
  <c r="O94" i="9"/>
  <c r="O108" i="9"/>
  <c r="O38" i="9"/>
  <c r="O15" i="9"/>
  <c r="O24" i="9"/>
  <c r="O43" i="9"/>
  <c r="O39" i="9"/>
  <c r="O20" i="9"/>
  <c r="O42" i="9"/>
  <c r="O76" i="9"/>
  <c r="O120" i="9"/>
  <c r="O62" i="9"/>
  <c r="O8" i="9"/>
  <c r="O119" i="9"/>
  <c r="O84" i="9"/>
  <c r="O78" i="9"/>
  <c r="O103" i="9"/>
  <c r="O63" i="9"/>
  <c r="O102" i="9"/>
  <c r="O124" i="9"/>
  <c r="O79" i="9"/>
  <c r="O55" i="9"/>
  <c r="O26" i="9"/>
  <c r="O110" i="9"/>
  <c r="O107" i="9"/>
  <c r="O14" i="9"/>
  <c r="P6" i="20"/>
  <c r="O6" i="8"/>
  <c r="G171" i="22"/>
  <c r="F171" i="22"/>
  <c r="L171" i="22"/>
  <c r="I171" i="22"/>
  <c r="K171" i="22"/>
  <c r="J171" i="22"/>
  <c r="H171" i="22"/>
  <c r="P7" i="20"/>
  <c r="O7" i="8"/>
  <c r="D172" i="22"/>
  <c r="O350" i="9"/>
  <c r="O347" i="9"/>
  <c r="O341" i="9"/>
  <c r="O346" i="9"/>
  <c r="O345" i="9"/>
  <c r="O338" i="9"/>
  <c r="O337" i="9"/>
  <c r="O330" i="9"/>
  <c r="O325" i="9"/>
  <c r="O321" i="9"/>
  <c r="O319" i="9"/>
  <c r="O332" i="9"/>
  <c r="O317" i="9"/>
  <c r="O333" i="9"/>
  <c r="O329" i="9"/>
  <c r="O327" i="9"/>
  <c r="O334" i="9"/>
  <c r="O315" i="9"/>
  <c r="O328" i="9"/>
  <c r="O340" i="9"/>
  <c r="O316" i="9"/>
  <c r="O289" i="9"/>
  <c r="O281" i="9"/>
  <c r="O273" i="9"/>
  <c r="O265" i="9"/>
  <c r="O286" i="9"/>
  <c r="O318" i="9"/>
  <c r="O292" i="9"/>
  <c r="O313" i="9"/>
  <c r="O314" i="9"/>
  <c r="O285" i="9"/>
  <c r="O283" i="9"/>
  <c r="O277" i="9"/>
  <c r="O320" i="9"/>
  <c r="O304" i="9"/>
  <c r="O293" i="9"/>
  <c r="O291" i="9"/>
  <c r="O295" i="9"/>
  <c r="O269" i="9"/>
  <c r="O278" i="9"/>
  <c r="O336" i="9"/>
  <c r="O303" i="9"/>
  <c r="O323" i="9"/>
  <c r="O287" i="9"/>
  <c r="O268" i="9"/>
  <c r="O324" i="9"/>
  <c r="O271" i="9"/>
  <c r="O272" i="9"/>
  <c r="O294" i="9"/>
  <c r="O276" i="9"/>
  <c r="O274" i="9"/>
  <c r="O335" i="9"/>
  <c r="O331" i="9"/>
  <c r="O270" i="9"/>
  <c r="O279" i="9"/>
  <c r="O339" i="9"/>
  <c r="O352" i="9"/>
  <c r="O348" i="9"/>
  <c r="O288" i="9"/>
  <c r="O266" i="9"/>
  <c r="O280" i="9"/>
  <c r="O284" i="9"/>
  <c r="O326" i="9"/>
  <c r="O342" i="9"/>
  <c r="O290" i="9"/>
  <c r="O267" i="9"/>
  <c r="O343" i="9"/>
  <c r="O351" i="9"/>
  <c r="O275" i="9"/>
  <c r="O282" i="9"/>
  <c r="O349" i="9"/>
  <c r="O344" i="9"/>
  <c r="O322" i="9"/>
  <c r="L172" i="22" l="1"/>
  <c r="K172" i="22"/>
  <c r="I172" i="22"/>
  <c r="F172" i="22"/>
  <c r="J172" i="22"/>
  <c r="G172" i="22"/>
  <c r="H172" i="22"/>
  <c r="D121" i="22"/>
  <c r="P117" i="9"/>
  <c r="P109" i="9"/>
  <c r="P101" i="9"/>
  <c r="P93" i="9"/>
  <c r="P85" i="9"/>
  <c r="P125" i="9"/>
  <c r="P97" i="9"/>
  <c r="P77" i="9"/>
  <c r="P69" i="9"/>
  <c r="P61" i="9"/>
  <c r="P53" i="9"/>
  <c r="P29" i="9"/>
  <c r="P113" i="9"/>
  <c r="P106" i="9"/>
  <c r="P45" i="9"/>
  <c r="P89" i="9"/>
  <c r="P105" i="9"/>
  <c r="P83" i="9"/>
  <c r="P82" i="9"/>
  <c r="P81" i="9"/>
  <c r="P121" i="9"/>
  <c r="P41" i="9"/>
  <c r="P25" i="9"/>
  <c r="P75" i="9"/>
  <c r="P74" i="9"/>
  <c r="P66" i="9"/>
  <c r="P34" i="9"/>
  <c r="P13" i="9"/>
  <c r="P38" i="9"/>
  <c r="P9" i="9"/>
  <c r="P57" i="9"/>
  <c r="P47" i="9"/>
  <c r="P51" i="9"/>
  <c r="P73" i="9"/>
  <c r="P67" i="9"/>
  <c r="P65" i="9"/>
  <c r="P58" i="9"/>
  <c r="P49" i="9"/>
  <c r="P37" i="9"/>
  <c r="P30" i="9"/>
  <c r="P17" i="9"/>
  <c r="P33" i="9"/>
  <c r="P31" i="9"/>
  <c r="P35" i="9"/>
  <c r="P21" i="9"/>
  <c r="P5" i="9"/>
  <c r="P40" i="9"/>
  <c r="P43" i="9"/>
  <c r="P22" i="9"/>
  <c r="P46" i="9"/>
  <c r="P7" i="9"/>
  <c r="P50" i="9"/>
  <c r="P103" i="9"/>
  <c r="P107" i="9"/>
  <c r="P110" i="9"/>
  <c r="P116" i="9"/>
  <c r="P59" i="9"/>
  <c r="P24" i="9"/>
  <c r="P42" i="9"/>
  <c r="P60" i="9"/>
  <c r="P104" i="9"/>
  <c r="P76" i="9"/>
  <c r="P14" i="9"/>
  <c r="P44" i="9"/>
  <c r="P28" i="9"/>
  <c r="P19" i="9"/>
  <c r="P20" i="9"/>
  <c r="P112" i="9"/>
  <c r="P123" i="9"/>
  <c r="P99" i="9"/>
  <c r="P64" i="9"/>
  <c r="P32" i="9"/>
  <c r="P63" i="9"/>
  <c r="P124" i="9"/>
  <c r="P23" i="9"/>
  <c r="P15" i="9"/>
  <c r="P68" i="9"/>
  <c r="P36" i="9"/>
  <c r="P39" i="9"/>
  <c r="P8" i="9"/>
  <c r="P122" i="9"/>
  <c r="P10" i="9"/>
  <c r="P111" i="9"/>
  <c r="P108" i="9"/>
  <c r="P12" i="9"/>
  <c r="P18" i="9"/>
  <c r="P52" i="9"/>
  <c r="P6" i="9"/>
  <c r="P26" i="9"/>
  <c r="P86" i="9"/>
  <c r="P84" i="9"/>
  <c r="P92" i="9"/>
  <c r="P16" i="9"/>
  <c r="P27" i="9"/>
  <c r="P95" i="9"/>
  <c r="P94" i="9"/>
  <c r="P115" i="9"/>
  <c r="P91" i="9"/>
  <c r="P100" i="9"/>
  <c r="P119" i="9"/>
  <c r="P56" i="9"/>
  <c r="P72" i="9"/>
  <c r="P118" i="9"/>
  <c r="P102" i="9"/>
  <c r="P80" i="9"/>
  <c r="P88" i="9"/>
  <c r="P79" i="9"/>
  <c r="P114" i="9"/>
  <c r="P90" i="9"/>
  <c r="P62" i="9"/>
  <c r="P70" i="9"/>
  <c r="P11" i="9"/>
  <c r="P87" i="9"/>
  <c r="P98" i="9"/>
  <c r="P48" i="9"/>
  <c r="P55" i="9"/>
  <c r="P120" i="9"/>
  <c r="P78" i="9"/>
  <c r="P71" i="9"/>
  <c r="P96" i="9"/>
  <c r="P54" i="9"/>
  <c r="K224" i="22"/>
  <c r="H224" i="22"/>
  <c r="L224" i="22"/>
  <c r="G224" i="22"/>
  <c r="J224" i="22"/>
  <c r="I224" i="22"/>
  <c r="F224" i="22"/>
  <c r="Q7" i="20"/>
  <c r="P7" i="8"/>
  <c r="D69" i="22"/>
  <c r="P301" i="9"/>
  <c r="P299" i="9"/>
  <c r="P297" i="9"/>
  <c r="P298" i="9"/>
  <c r="P257" i="9"/>
  <c r="P249" i="9"/>
  <c r="P241" i="9"/>
  <c r="P233" i="9"/>
  <c r="P225" i="9"/>
  <c r="P262" i="9"/>
  <c r="P253" i="9"/>
  <c r="P245" i="9"/>
  <c r="P237" i="9"/>
  <c r="P229" i="9"/>
  <c r="P261" i="9"/>
  <c r="P213" i="9"/>
  <c r="P220" i="9"/>
  <c r="P214" i="9"/>
  <c r="P208" i="9"/>
  <c r="P204" i="9"/>
  <c r="P184" i="9"/>
  <c r="P182" i="9"/>
  <c r="P205" i="9"/>
  <c r="P222" i="9"/>
  <c r="P206" i="9"/>
  <c r="P200" i="9"/>
  <c r="P196" i="9"/>
  <c r="P198" i="9"/>
  <c r="P192" i="9"/>
  <c r="P221" i="9"/>
  <c r="P216" i="9"/>
  <c r="P212" i="9"/>
  <c r="P173" i="9"/>
  <c r="P186" i="9"/>
  <c r="P181" i="9"/>
  <c r="P180" i="9"/>
  <c r="P197" i="9"/>
  <c r="P188" i="9"/>
  <c r="P185" i="9"/>
  <c r="P177" i="9"/>
  <c r="P190" i="9"/>
  <c r="P179" i="9"/>
  <c r="P202" i="9"/>
  <c r="P228" i="9"/>
  <c r="P199" i="9"/>
  <c r="P232" i="9"/>
  <c r="P230" i="9"/>
  <c r="P238" i="9"/>
  <c r="P171" i="9"/>
  <c r="P211" i="9"/>
  <c r="P172" i="9"/>
  <c r="P183" i="9"/>
  <c r="P170" i="9"/>
  <c r="P174" i="9"/>
  <c r="P210" i="9"/>
  <c r="P218" i="9"/>
  <c r="P189" i="9"/>
  <c r="P248" i="9"/>
  <c r="P239" i="9"/>
  <c r="P247" i="9"/>
  <c r="P254" i="9"/>
  <c r="P263" i="9"/>
  <c r="P178" i="9"/>
  <c r="P217" i="9"/>
  <c r="P250" i="9"/>
  <c r="P252" i="9"/>
  <c r="P227" i="9"/>
  <c r="P300" i="9"/>
  <c r="P209" i="9"/>
  <c r="P194" i="9"/>
  <c r="P187" i="9"/>
  <c r="P224" i="9"/>
  <c r="P246" i="9"/>
  <c r="P195" i="9"/>
  <c r="P234" i="9"/>
  <c r="P256" i="9"/>
  <c r="P264" i="9"/>
  <c r="P244" i="9"/>
  <c r="P243" i="9"/>
  <c r="P193" i="9"/>
  <c r="P176" i="9"/>
  <c r="P203" i="9"/>
  <c r="P226" i="9"/>
  <c r="P240" i="9"/>
  <c r="P258" i="9"/>
  <c r="P231" i="9"/>
  <c r="P235" i="9"/>
  <c r="P259" i="9"/>
  <c r="P175" i="9"/>
  <c r="P242" i="9"/>
  <c r="P223" i="9"/>
  <c r="P201" i="9"/>
  <c r="P219" i="9"/>
  <c r="P215" i="9"/>
  <c r="P251" i="9"/>
  <c r="P236" i="9"/>
  <c r="P302" i="9"/>
  <c r="P255" i="9"/>
  <c r="P296" i="9"/>
  <c r="P260" i="9"/>
  <c r="P191" i="9"/>
  <c r="P207" i="9"/>
  <c r="G16" i="22"/>
  <c r="L16" i="22"/>
  <c r="K16" i="22"/>
  <c r="J16" i="22"/>
  <c r="I16" i="22"/>
  <c r="H16" i="22"/>
  <c r="F16" i="22"/>
  <c r="Q6" i="20"/>
  <c r="P6" i="8"/>
  <c r="D329" i="22"/>
  <c r="P387" i="9"/>
  <c r="P371" i="9"/>
  <c r="P388" i="9"/>
  <c r="P375" i="9"/>
  <c r="P367" i="9"/>
  <c r="P377" i="9"/>
  <c r="P376" i="9"/>
  <c r="P379" i="9"/>
  <c r="P365" i="9"/>
  <c r="P362" i="9"/>
  <c r="P368" i="9"/>
  <c r="P366" i="9"/>
  <c r="P370" i="9"/>
  <c r="P364" i="9"/>
  <c r="P363" i="9"/>
  <c r="P380" i="9"/>
  <c r="P369" i="9"/>
  <c r="P378" i="9"/>
  <c r="C331" i="22"/>
  <c r="C279" i="22"/>
  <c r="C175" i="22"/>
  <c r="C227" i="22"/>
  <c r="C123" i="22"/>
  <c r="C71" i="22"/>
  <c r="C19" i="22"/>
  <c r="Q2" i="20"/>
  <c r="K68" i="22"/>
  <c r="G68" i="22"/>
  <c r="F68" i="22"/>
  <c r="J68" i="22"/>
  <c r="L68" i="22"/>
  <c r="I68" i="22"/>
  <c r="H68" i="22"/>
  <c r="Q11" i="20"/>
  <c r="P11" i="8"/>
  <c r="D277" i="22"/>
  <c r="P361" i="9"/>
  <c r="P372" i="9"/>
  <c r="P358" i="9"/>
  <c r="P354" i="9"/>
  <c r="P359" i="9"/>
  <c r="P357" i="9"/>
  <c r="P374" i="9"/>
  <c r="P360" i="9"/>
  <c r="P353" i="9"/>
  <c r="P373" i="9"/>
  <c r="P356" i="9"/>
  <c r="P355" i="9"/>
  <c r="J120" i="22"/>
  <c r="F120" i="22"/>
  <c r="L120" i="22"/>
  <c r="K120" i="22"/>
  <c r="H120" i="22"/>
  <c r="I120" i="22"/>
  <c r="G120" i="22"/>
  <c r="D225" i="22"/>
  <c r="P383" i="9"/>
  <c r="P381" i="9"/>
  <c r="P165" i="9"/>
  <c r="P157" i="9"/>
  <c r="P149" i="9"/>
  <c r="P141" i="9"/>
  <c r="P133" i="9"/>
  <c r="P169" i="9"/>
  <c r="P161" i="9"/>
  <c r="P153" i="9"/>
  <c r="P145" i="9"/>
  <c r="P129" i="9"/>
  <c r="P131" i="9"/>
  <c r="P137" i="9"/>
  <c r="P126" i="9"/>
  <c r="P128" i="9"/>
  <c r="P130" i="9"/>
  <c r="P160" i="9"/>
  <c r="P127" i="9"/>
  <c r="P139" i="9"/>
  <c r="P155" i="9"/>
  <c r="P135" i="9"/>
  <c r="P163" i="9"/>
  <c r="P138" i="9"/>
  <c r="P134" i="9"/>
  <c r="P142" i="9"/>
  <c r="P158" i="9"/>
  <c r="P144" i="9"/>
  <c r="P143" i="9"/>
  <c r="P167" i="9"/>
  <c r="P147" i="9"/>
  <c r="P146" i="9"/>
  <c r="P162" i="9"/>
  <c r="P152" i="9"/>
  <c r="P136" i="9"/>
  <c r="P148" i="9"/>
  <c r="P164" i="9"/>
  <c r="P154" i="9"/>
  <c r="P150" i="9"/>
  <c r="P156" i="9"/>
  <c r="P159" i="9"/>
  <c r="P151" i="9"/>
  <c r="P168" i="9"/>
  <c r="P132" i="9"/>
  <c r="P140" i="9"/>
  <c r="P166" i="9"/>
  <c r="P386" i="9"/>
  <c r="P384" i="9"/>
  <c r="P385" i="9"/>
  <c r="P382" i="9"/>
  <c r="Q10" i="20"/>
  <c r="P10" i="8"/>
  <c r="K328" i="22"/>
  <c r="L328" i="22"/>
  <c r="I328" i="22"/>
  <c r="H328" i="22"/>
  <c r="G328" i="22"/>
  <c r="F328" i="22"/>
  <c r="J328" i="22"/>
  <c r="D173" i="22"/>
  <c r="P350" i="9"/>
  <c r="P329" i="9"/>
  <c r="P346" i="9"/>
  <c r="P345" i="9"/>
  <c r="P347" i="9"/>
  <c r="P343" i="9"/>
  <c r="P341" i="9"/>
  <c r="P338" i="9"/>
  <c r="P317" i="9"/>
  <c r="P293" i="9"/>
  <c r="P339" i="9"/>
  <c r="P333" i="9"/>
  <c r="P325" i="9"/>
  <c r="P330" i="9"/>
  <c r="P331" i="9"/>
  <c r="P318" i="9"/>
  <c r="P313" i="9"/>
  <c r="P342" i="9"/>
  <c r="P337" i="9"/>
  <c r="P321" i="9"/>
  <c r="P319" i="9"/>
  <c r="P294" i="9"/>
  <c r="P285" i="9"/>
  <c r="P283" i="9"/>
  <c r="P277" i="9"/>
  <c r="P315" i="9"/>
  <c r="P289" i="9"/>
  <c r="P295" i="9"/>
  <c r="P281" i="9"/>
  <c r="P273" i="9"/>
  <c r="P265" i="9"/>
  <c r="P269" i="9"/>
  <c r="P270" i="9"/>
  <c r="P271" i="9"/>
  <c r="P274" i="9"/>
  <c r="P292" i="9"/>
  <c r="P326" i="9"/>
  <c r="P272" i="9"/>
  <c r="P280" i="9"/>
  <c r="P290" i="9"/>
  <c r="P286" i="9"/>
  <c r="P291" i="9"/>
  <c r="P288" i="9"/>
  <c r="P322" i="9"/>
  <c r="P314" i="9"/>
  <c r="P334" i="9"/>
  <c r="P304" i="9"/>
  <c r="P320" i="9"/>
  <c r="P336" i="9"/>
  <c r="P340" i="9"/>
  <c r="P279" i="9"/>
  <c r="P327" i="9"/>
  <c r="P316" i="9"/>
  <c r="P352" i="9"/>
  <c r="P351" i="9"/>
  <c r="P303" i="9"/>
  <c r="P324" i="9"/>
  <c r="P335" i="9"/>
  <c r="P328" i="9"/>
  <c r="P348" i="9"/>
  <c r="P284" i="9"/>
  <c r="P332" i="9"/>
  <c r="P266" i="9"/>
  <c r="P349" i="9"/>
  <c r="P268" i="9"/>
  <c r="P323" i="9"/>
  <c r="P344" i="9"/>
  <c r="P282" i="9"/>
  <c r="P278" i="9"/>
  <c r="P276" i="9"/>
  <c r="P287" i="9"/>
  <c r="P267" i="9"/>
  <c r="P275" i="9"/>
  <c r="Q9" i="20"/>
  <c r="P9" i="8"/>
  <c r="D17" i="22"/>
  <c r="P305" i="9"/>
  <c r="P309" i="9"/>
  <c r="P310" i="9"/>
  <c r="P307" i="9"/>
  <c r="P311" i="9"/>
  <c r="P308" i="9"/>
  <c r="P306" i="9"/>
  <c r="P312" i="9"/>
  <c r="Q5" i="20"/>
  <c r="P5" i="8"/>
  <c r="Q8" i="20"/>
  <c r="P8" i="8"/>
  <c r="C19" i="19"/>
  <c r="E19" i="19"/>
  <c r="B20" i="19"/>
  <c r="D19" i="19"/>
  <c r="R3" i="20" s="1"/>
  <c r="H276" i="22"/>
  <c r="F276" i="22"/>
  <c r="L276" i="22"/>
  <c r="K276" i="22"/>
  <c r="J276" i="22"/>
  <c r="I276" i="22"/>
  <c r="G276" i="22"/>
  <c r="J121" i="22" l="1"/>
  <c r="G121" i="22"/>
  <c r="L121" i="22"/>
  <c r="K121" i="22"/>
  <c r="I121" i="22"/>
  <c r="H121" i="22"/>
  <c r="F121" i="22"/>
  <c r="B21" i="19"/>
  <c r="E20" i="19"/>
  <c r="D20" i="19"/>
  <c r="S3" i="20" s="1"/>
  <c r="C20" i="19"/>
  <c r="I173" i="22"/>
  <c r="H173" i="22"/>
  <c r="F173" i="22"/>
  <c r="K173" i="22"/>
  <c r="J173" i="22"/>
  <c r="G173" i="22"/>
  <c r="L173" i="22"/>
  <c r="D278" i="22"/>
  <c r="Q372" i="9"/>
  <c r="Q374" i="9"/>
  <c r="Q373" i="9"/>
  <c r="Q358" i="9"/>
  <c r="Q354" i="9"/>
  <c r="Q355" i="9"/>
  <c r="Q359" i="9"/>
  <c r="Q357" i="9"/>
  <c r="Q360" i="9"/>
  <c r="Q356" i="9"/>
  <c r="Q353" i="9"/>
  <c r="Q361" i="9"/>
  <c r="K277" i="22"/>
  <c r="F277" i="22"/>
  <c r="L277" i="22"/>
  <c r="J277" i="22"/>
  <c r="I277" i="22"/>
  <c r="H277" i="22"/>
  <c r="G277" i="22"/>
  <c r="R10" i="20"/>
  <c r="Q10" i="8"/>
  <c r="D330" i="22"/>
  <c r="Q387" i="9"/>
  <c r="Q371" i="9"/>
  <c r="Q388" i="9"/>
  <c r="Q370" i="9"/>
  <c r="Q375" i="9"/>
  <c r="Q376" i="9"/>
  <c r="Q367" i="9"/>
  <c r="Q380" i="9"/>
  <c r="Q378" i="9"/>
  <c r="Q377" i="9"/>
  <c r="Q379" i="9"/>
  <c r="Q364" i="9"/>
  <c r="Q366" i="9"/>
  <c r="Q362" i="9"/>
  <c r="Q368" i="9"/>
  <c r="Q365" i="9"/>
  <c r="Q369" i="9"/>
  <c r="Q363" i="9"/>
  <c r="D174" i="22"/>
  <c r="Q346" i="9"/>
  <c r="Q345" i="9"/>
  <c r="Q347" i="9"/>
  <c r="Q329" i="9"/>
  <c r="Q339" i="9"/>
  <c r="Q333" i="9"/>
  <c r="Q325" i="9"/>
  <c r="Q330" i="9"/>
  <c r="Q350" i="9"/>
  <c r="Q334" i="9"/>
  <c r="Q331" i="9"/>
  <c r="Q318" i="9"/>
  <c r="Q314" i="9"/>
  <c r="Q313" i="9"/>
  <c r="Q342" i="9"/>
  <c r="Q335" i="9"/>
  <c r="Q337" i="9"/>
  <c r="Q321" i="9"/>
  <c r="Q319" i="9"/>
  <c r="Q316" i="9"/>
  <c r="Q343" i="9"/>
  <c r="Q341" i="9"/>
  <c r="Q338" i="9"/>
  <c r="Q317" i="9"/>
  <c r="Q293" i="9"/>
  <c r="Q285" i="9"/>
  <c r="Q283" i="9"/>
  <c r="Q289" i="9"/>
  <c r="Q303" i="9"/>
  <c r="Q295" i="9"/>
  <c r="Q282" i="9"/>
  <c r="Q276" i="9"/>
  <c r="Q275" i="9"/>
  <c r="Q286" i="9"/>
  <c r="Q284" i="9"/>
  <c r="Q274" i="9"/>
  <c r="Q267" i="9"/>
  <c r="Q266" i="9"/>
  <c r="Q278" i="9"/>
  <c r="Q279" i="9"/>
  <c r="Q268" i="9"/>
  <c r="Q280" i="9"/>
  <c r="Q272" i="9"/>
  <c r="Q287" i="9"/>
  <c r="Q322" i="9"/>
  <c r="Q327" i="9"/>
  <c r="Q269" i="9"/>
  <c r="Q320" i="9"/>
  <c r="Q290" i="9"/>
  <c r="Q328" i="9"/>
  <c r="Q271" i="9"/>
  <c r="Q292" i="9"/>
  <c r="Q340" i="9"/>
  <c r="Q273" i="9"/>
  <c r="Q349" i="9"/>
  <c r="Q332" i="9"/>
  <c r="Q352" i="9"/>
  <c r="Q265" i="9"/>
  <c r="Q291" i="9"/>
  <c r="Q277" i="9"/>
  <c r="Q344" i="9"/>
  <c r="Q270" i="9"/>
  <c r="Q294" i="9"/>
  <c r="Q336" i="9"/>
  <c r="Q323" i="9"/>
  <c r="Q288" i="9"/>
  <c r="Q324" i="9"/>
  <c r="Q326" i="9"/>
  <c r="Q315" i="9"/>
  <c r="Q281" i="9"/>
  <c r="Q348" i="9"/>
  <c r="Q351" i="9"/>
  <c r="Q304" i="9"/>
  <c r="R8" i="20"/>
  <c r="Q8" i="8"/>
  <c r="D18" i="22"/>
  <c r="Q309" i="9"/>
  <c r="Q307" i="9"/>
  <c r="Q305" i="9"/>
  <c r="Q306" i="9"/>
  <c r="Q312" i="9"/>
  <c r="Q311" i="9"/>
  <c r="Q308" i="9"/>
  <c r="Q310" i="9"/>
  <c r="R11" i="20"/>
  <c r="Q11" i="8"/>
  <c r="R5" i="20"/>
  <c r="Q5" i="8"/>
  <c r="L17" i="22"/>
  <c r="J17" i="22"/>
  <c r="I17" i="22"/>
  <c r="H17" i="22"/>
  <c r="G17" i="22"/>
  <c r="F17" i="22"/>
  <c r="K17" i="22"/>
  <c r="H225" i="22"/>
  <c r="K225" i="22"/>
  <c r="G225" i="22"/>
  <c r="F225" i="22"/>
  <c r="L225" i="22"/>
  <c r="J225" i="22"/>
  <c r="I225" i="22"/>
  <c r="H329" i="22"/>
  <c r="J329" i="22"/>
  <c r="K329" i="22"/>
  <c r="I329" i="22"/>
  <c r="G329" i="22"/>
  <c r="F329" i="22"/>
  <c r="L329" i="22"/>
  <c r="H69" i="22"/>
  <c r="L69" i="22"/>
  <c r="K69" i="22"/>
  <c r="I69" i="22"/>
  <c r="F69" i="22"/>
  <c r="J69" i="22"/>
  <c r="G69" i="22"/>
  <c r="D226" i="22"/>
  <c r="Q386" i="9"/>
  <c r="Q383" i="9"/>
  <c r="Q382" i="9"/>
  <c r="Q166" i="9"/>
  <c r="Q158" i="9"/>
  <c r="Q150" i="9"/>
  <c r="Q142" i="9"/>
  <c r="Q134" i="9"/>
  <c r="Q160" i="9"/>
  <c r="Q155" i="9"/>
  <c r="Q152" i="9"/>
  <c r="Q147" i="9"/>
  <c r="Q144" i="9"/>
  <c r="Q168" i="9"/>
  <c r="Q164" i="9"/>
  <c r="Q156" i="9"/>
  <c r="Q148" i="9"/>
  <c r="Q140" i="9"/>
  <c r="Q132" i="9"/>
  <c r="Q136" i="9"/>
  <c r="Q127" i="9"/>
  <c r="Q131" i="9"/>
  <c r="Q139" i="9"/>
  <c r="Q126" i="9"/>
  <c r="Q146" i="9"/>
  <c r="Q128" i="9"/>
  <c r="Q130" i="9"/>
  <c r="Q143" i="9"/>
  <c r="Q159" i="9"/>
  <c r="Q138" i="9"/>
  <c r="Q154" i="9"/>
  <c r="Q151" i="9"/>
  <c r="Q167" i="9"/>
  <c r="Q157" i="9"/>
  <c r="Q135" i="9"/>
  <c r="Q163" i="9"/>
  <c r="Q145" i="9"/>
  <c r="Q162" i="9"/>
  <c r="Q133" i="9"/>
  <c r="Q165" i="9"/>
  <c r="Q153" i="9"/>
  <c r="Q141" i="9"/>
  <c r="Q129" i="9"/>
  <c r="Q161" i="9"/>
  <c r="Q149" i="9"/>
  <c r="Q169" i="9"/>
  <c r="Q385" i="9"/>
  <c r="Q381" i="9"/>
  <c r="Q137" i="9"/>
  <c r="Q384" i="9"/>
  <c r="D70" i="22"/>
  <c r="Q299" i="9"/>
  <c r="Q296" i="9"/>
  <c r="Q301" i="9"/>
  <c r="Q297" i="9"/>
  <c r="Q298" i="9"/>
  <c r="Q302" i="9"/>
  <c r="Q260" i="9"/>
  <c r="Q216" i="9"/>
  <c r="Q259" i="9"/>
  <c r="Q254" i="9"/>
  <c r="Q251" i="9"/>
  <c r="Q246" i="9"/>
  <c r="Q243" i="9"/>
  <c r="Q238" i="9"/>
  <c r="Q235" i="9"/>
  <c r="Q255" i="9"/>
  <c r="Q252" i="9"/>
  <c r="Q247" i="9"/>
  <c r="Q244" i="9"/>
  <c r="Q239" i="9"/>
  <c r="Q236" i="9"/>
  <c r="Q256" i="9"/>
  <c r="Q248" i="9"/>
  <c r="Q240" i="9"/>
  <c r="Q232" i="9"/>
  <c r="Q231" i="9"/>
  <c r="Q220" i="9"/>
  <c r="Q214" i="9"/>
  <c r="Q208" i="9"/>
  <c r="Q204" i="9"/>
  <c r="Q184" i="9"/>
  <c r="Q182" i="9"/>
  <c r="Q230" i="9"/>
  <c r="Q227" i="9"/>
  <c r="Q224" i="9"/>
  <c r="Q205" i="9"/>
  <c r="Q180" i="9"/>
  <c r="Q222" i="9"/>
  <c r="Q209" i="9"/>
  <c r="Q206" i="9"/>
  <c r="Q200" i="9"/>
  <c r="Q196" i="9"/>
  <c r="Q188" i="9"/>
  <c r="Q197" i="9"/>
  <c r="Q210" i="9"/>
  <c r="Q201" i="9"/>
  <c r="Q221" i="9"/>
  <c r="Q212" i="9"/>
  <c r="Q202" i="9"/>
  <c r="Q193" i="9"/>
  <c r="Q213" i="9"/>
  <c r="Q189" i="9"/>
  <c r="Q187" i="9"/>
  <c r="Q174" i="9"/>
  <c r="Q183" i="9"/>
  <c r="Q181" i="9"/>
  <c r="Q185" i="9"/>
  <c r="Q176" i="9"/>
  <c r="Q198" i="9"/>
  <c r="Q175" i="9"/>
  <c r="Q192" i="9"/>
  <c r="Q170" i="9"/>
  <c r="Q190" i="9"/>
  <c r="Q228" i="9"/>
  <c r="Q218" i="9"/>
  <c r="Q203" i="9"/>
  <c r="Q215" i="9"/>
  <c r="Q171" i="9"/>
  <c r="Q172" i="9"/>
  <c r="Q223" i="9"/>
  <c r="Q186" i="9"/>
  <c r="Q178" i="9"/>
  <c r="Q195" i="9"/>
  <c r="Q242" i="9"/>
  <c r="Q237" i="9"/>
  <c r="Q177" i="9"/>
  <c r="Q225" i="9"/>
  <c r="Q257" i="9"/>
  <c r="Q217" i="9"/>
  <c r="Q264" i="9"/>
  <c r="Q219" i="9"/>
  <c r="Q173" i="9"/>
  <c r="Q179" i="9"/>
  <c r="Q191" i="9"/>
  <c r="Q194" i="9"/>
  <c r="Q207" i="9"/>
  <c r="Q263" i="9"/>
  <c r="Q199" i="9"/>
  <c r="Q262" i="9"/>
  <c r="Q229" i="9"/>
  <c r="Q261" i="9"/>
  <c r="Q300" i="9"/>
  <c r="Q233" i="9"/>
  <c r="Q253" i="9"/>
  <c r="Q226" i="9"/>
  <c r="Q245" i="9"/>
  <c r="Q258" i="9"/>
  <c r="Q211" i="9"/>
  <c r="Q234" i="9"/>
  <c r="Q249" i="9"/>
  <c r="Q241" i="9"/>
  <c r="Q250" i="9"/>
  <c r="D122" i="22"/>
  <c r="Q45" i="9"/>
  <c r="Q29" i="9"/>
  <c r="Q21" i="9"/>
  <c r="Q17" i="9"/>
  <c r="Q13" i="9"/>
  <c r="Q100" i="9"/>
  <c r="Q90" i="9"/>
  <c r="Q47" i="9"/>
  <c r="Q81" i="9"/>
  <c r="Q73" i="9"/>
  <c r="Q65" i="9"/>
  <c r="Q92" i="9"/>
  <c r="Q77" i="9"/>
  <c r="Q69" i="9"/>
  <c r="Q61" i="9"/>
  <c r="Q53" i="9"/>
  <c r="Q9" i="9"/>
  <c r="Q5" i="9"/>
  <c r="Q57" i="9"/>
  <c r="Q35" i="9"/>
  <c r="Q51" i="9"/>
  <c r="Q18" i="9"/>
  <c r="Q49" i="9"/>
  <c r="Q36" i="9"/>
  <c r="Q37" i="9"/>
  <c r="Q15" i="9"/>
  <c r="Q48" i="9"/>
  <c r="Q33" i="9"/>
  <c r="Q31" i="9"/>
  <c r="Q25" i="9"/>
  <c r="Q14" i="9"/>
  <c r="Q41" i="9"/>
  <c r="Q34" i="9"/>
  <c r="Q32" i="9"/>
  <c r="Q11" i="9"/>
  <c r="Q30" i="9"/>
  <c r="Q58" i="9"/>
  <c r="Q22" i="9"/>
  <c r="Q38" i="9"/>
  <c r="Q54" i="9"/>
  <c r="Q79" i="9"/>
  <c r="Q104" i="9"/>
  <c r="Q118" i="9"/>
  <c r="Q122" i="9"/>
  <c r="Q88" i="9"/>
  <c r="Q91" i="9"/>
  <c r="Q120" i="9"/>
  <c r="Q64" i="9"/>
  <c r="Q96" i="9"/>
  <c r="Q99" i="9"/>
  <c r="Q102" i="9"/>
  <c r="Q50" i="9"/>
  <c r="Q16" i="9"/>
  <c r="Q68" i="9"/>
  <c r="Q23" i="9"/>
  <c r="Q107" i="9"/>
  <c r="Q112" i="9"/>
  <c r="Q67" i="9"/>
  <c r="Q40" i="9"/>
  <c r="Q24" i="9"/>
  <c r="Q43" i="9"/>
  <c r="Q39" i="9"/>
  <c r="Q26" i="9"/>
  <c r="Q63" i="9"/>
  <c r="Q70" i="9"/>
  <c r="Q103" i="9"/>
  <c r="Q110" i="9"/>
  <c r="Q115" i="9"/>
  <c r="Q98" i="9"/>
  <c r="Q27" i="9"/>
  <c r="Q7" i="9"/>
  <c r="Q78" i="9"/>
  <c r="Q86" i="9"/>
  <c r="Q83" i="9"/>
  <c r="Q52" i="9"/>
  <c r="Q46" i="9"/>
  <c r="Q20" i="9"/>
  <c r="Q8" i="9"/>
  <c r="Q55" i="9"/>
  <c r="Q95" i="9"/>
  <c r="Q84" i="9"/>
  <c r="Q94" i="9"/>
  <c r="Q66" i="9"/>
  <c r="Q75" i="9"/>
  <c r="Q59" i="9"/>
  <c r="Q28" i="9"/>
  <c r="Q44" i="9"/>
  <c r="Q10" i="9"/>
  <c r="Q62" i="9"/>
  <c r="Q71" i="9"/>
  <c r="Q111" i="9"/>
  <c r="Q12" i="9"/>
  <c r="Q19" i="9"/>
  <c r="Q6" i="9"/>
  <c r="Q60" i="9"/>
  <c r="Q114" i="9"/>
  <c r="Q76" i="9"/>
  <c r="Q74" i="9"/>
  <c r="Q80" i="9"/>
  <c r="Q87" i="9"/>
  <c r="Q124" i="9"/>
  <c r="Q101" i="9"/>
  <c r="Q116" i="9"/>
  <c r="Q56" i="9"/>
  <c r="Q72" i="9"/>
  <c r="Q82" i="9"/>
  <c r="Q119" i="9"/>
  <c r="Q42" i="9"/>
  <c r="Q108" i="9"/>
  <c r="Q106" i="9"/>
  <c r="Q123" i="9"/>
  <c r="Q125" i="9"/>
  <c r="Q113" i="9"/>
  <c r="Q121" i="9"/>
  <c r="Q85" i="9"/>
  <c r="Q93" i="9"/>
  <c r="Q109" i="9"/>
  <c r="Q117" i="9"/>
  <c r="Q89" i="9"/>
  <c r="Q97" i="9"/>
  <c r="Q105" i="9"/>
  <c r="C332" i="22"/>
  <c r="C280" i="22"/>
  <c r="C228" i="22"/>
  <c r="C124" i="22"/>
  <c r="C176" i="22"/>
  <c r="C20" i="22"/>
  <c r="C72" i="22"/>
  <c r="R2" i="20"/>
  <c r="R9" i="20"/>
  <c r="Q9" i="8"/>
  <c r="R6" i="20"/>
  <c r="Q6" i="8"/>
  <c r="R7" i="20"/>
  <c r="Q7" i="8"/>
  <c r="S7" i="20" l="1"/>
  <c r="R7" i="8"/>
  <c r="J226" i="22"/>
  <c r="I226" i="22"/>
  <c r="F226" i="22"/>
  <c r="H226" i="22"/>
  <c r="G226" i="22"/>
  <c r="L226" i="22"/>
  <c r="K226" i="22"/>
  <c r="D71" i="22"/>
  <c r="R298" i="9"/>
  <c r="R302" i="9"/>
  <c r="R299" i="9"/>
  <c r="R296" i="9"/>
  <c r="R254" i="9"/>
  <c r="R246" i="9"/>
  <c r="R247" i="9"/>
  <c r="R256" i="9"/>
  <c r="R248" i="9"/>
  <c r="R240" i="9"/>
  <c r="R232" i="9"/>
  <c r="R260" i="9"/>
  <c r="R224" i="9"/>
  <c r="R207" i="9"/>
  <c r="R205" i="9"/>
  <c r="R222" i="9"/>
  <c r="R215" i="9"/>
  <c r="R206" i="9"/>
  <c r="R199" i="9"/>
  <c r="R197" i="9"/>
  <c r="R198" i="9"/>
  <c r="R223" i="9"/>
  <c r="R221" i="9"/>
  <c r="R213" i="9"/>
  <c r="R214" i="9"/>
  <c r="R182" i="9"/>
  <c r="R189" i="9"/>
  <c r="R181" i="9"/>
  <c r="R185" i="9"/>
  <c r="R176" i="9"/>
  <c r="R175" i="9"/>
  <c r="R190" i="9"/>
  <c r="R187" i="9"/>
  <c r="R174" i="9"/>
  <c r="R170" i="9"/>
  <c r="R171" i="9"/>
  <c r="R179" i="9"/>
  <c r="R178" i="9"/>
  <c r="R209" i="9"/>
  <c r="R234" i="9"/>
  <c r="R202" i="9"/>
  <c r="R211" i="9"/>
  <c r="R172" i="9"/>
  <c r="R186" i="9"/>
  <c r="R193" i="9"/>
  <c r="R217" i="9"/>
  <c r="R219" i="9"/>
  <c r="R173" i="9"/>
  <c r="R251" i="9"/>
  <c r="R184" i="9"/>
  <c r="R216" i="9"/>
  <c r="R195" i="9"/>
  <c r="R204" i="9"/>
  <c r="R233" i="9"/>
  <c r="R249" i="9"/>
  <c r="R201" i="9"/>
  <c r="R191" i="9"/>
  <c r="R203" i="9"/>
  <c r="R236" i="9"/>
  <c r="R250" i="9"/>
  <c r="R227" i="9"/>
  <c r="R210" i="9"/>
  <c r="R194" i="9"/>
  <c r="R264" i="9"/>
  <c r="R231" i="9"/>
  <c r="R239" i="9"/>
  <c r="R255" i="9"/>
  <c r="R183" i="9"/>
  <c r="R177" i="9"/>
  <c r="R226" i="9"/>
  <c r="R252" i="9"/>
  <c r="R243" i="9"/>
  <c r="R218" i="9"/>
  <c r="R258" i="9"/>
  <c r="R235" i="9"/>
  <c r="R238" i="9"/>
  <c r="R259" i="9"/>
  <c r="R208" i="9"/>
  <c r="R244" i="9"/>
  <c r="R241" i="9"/>
  <c r="R297" i="9"/>
  <c r="R230" i="9"/>
  <c r="R196" i="9"/>
  <c r="R225" i="9"/>
  <c r="R228" i="9"/>
  <c r="R261" i="9"/>
  <c r="R242" i="9"/>
  <c r="R300" i="9"/>
  <c r="R188" i="9"/>
  <c r="R245" i="9"/>
  <c r="R253" i="9"/>
  <c r="R180" i="9"/>
  <c r="R200" i="9"/>
  <c r="R220" i="9"/>
  <c r="R229" i="9"/>
  <c r="R237" i="9"/>
  <c r="R301" i="9"/>
  <c r="R263" i="9"/>
  <c r="R192" i="9"/>
  <c r="R212" i="9"/>
  <c r="R262" i="9"/>
  <c r="R257" i="9"/>
  <c r="I18" i="22"/>
  <c r="H18" i="22"/>
  <c r="G18" i="22"/>
  <c r="F18" i="22"/>
  <c r="L18" i="22"/>
  <c r="K18" i="22"/>
  <c r="J18" i="22"/>
  <c r="D279" i="22"/>
  <c r="R372" i="9"/>
  <c r="R374" i="9"/>
  <c r="R360" i="9"/>
  <c r="R355" i="9"/>
  <c r="R353" i="9"/>
  <c r="R357" i="9"/>
  <c r="R356" i="9"/>
  <c r="R359" i="9"/>
  <c r="R373" i="9"/>
  <c r="R358" i="9"/>
  <c r="R354" i="9"/>
  <c r="R361" i="9"/>
  <c r="C21" i="19"/>
  <c r="E21" i="19"/>
  <c r="D21" i="19"/>
  <c r="T3" i="20" s="1"/>
  <c r="B22" i="19"/>
  <c r="S6" i="20"/>
  <c r="R6" i="8"/>
  <c r="D175" i="22"/>
  <c r="R346" i="9"/>
  <c r="R347" i="9"/>
  <c r="R332" i="9"/>
  <c r="R330" i="9"/>
  <c r="R331" i="9"/>
  <c r="R327" i="9"/>
  <c r="R318" i="9"/>
  <c r="R314" i="9"/>
  <c r="R326" i="9"/>
  <c r="R324" i="9"/>
  <c r="R319" i="9"/>
  <c r="R316" i="9"/>
  <c r="R340" i="9"/>
  <c r="R338" i="9"/>
  <c r="R339" i="9"/>
  <c r="R283" i="9"/>
  <c r="R303" i="9"/>
  <c r="R304" i="9"/>
  <c r="R291" i="9"/>
  <c r="R282" i="9"/>
  <c r="R286" i="9"/>
  <c r="R284" i="9"/>
  <c r="R266" i="9"/>
  <c r="R276" i="9"/>
  <c r="R268" i="9"/>
  <c r="R275" i="9"/>
  <c r="R274" i="9"/>
  <c r="R267" i="9"/>
  <c r="R270" i="9"/>
  <c r="R279" i="9"/>
  <c r="R295" i="9"/>
  <c r="R265" i="9"/>
  <c r="R281" i="9"/>
  <c r="R351" i="9"/>
  <c r="R289" i="9"/>
  <c r="R272" i="9"/>
  <c r="R271" i="9"/>
  <c r="R280" i="9"/>
  <c r="R323" i="9"/>
  <c r="R315" i="9"/>
  <c r="R322" i="9"/>
  <c r="R352" i="9"/>
  <c r="R293" i="9"/>
  <c r="R320" i="9"/>
  <c r="R292" i="9"/>
  <c r="R287" i="9"/>
  <c r="R329" i="9"/>
  <c r="R277" i="9"/>
  <c r="R343" i="9"/>
  <c r="R317" i="9"/>
  <c r="R269" i="9"/>
  <c r="R336" i="9"/>
  <c r="R344" i="9"/>
  <c r="R278" i="9"/>
  <c r="R290" i="9"/>
  <c r="R328" i="9"/>
  <c r="R325" i="9"/>
  <c r="R334" i="9"/>
  <c r="R349" i="9"/>
  <c r="R342" i="9"/>
  <c r="R345" i="9"/>
  <c r="R294" i="9"/>
  <c r="R285" i="9"/>
  <c r="R333" i="9"/>
  <c r="R273" i="9"/>
  <c r="R335" i="9"/>
  <c r="R348" i="9"/>
  <c r="R321" i="9"/>
  <c r="R337" i="9"/>
  <c r="R288" i="9"/>
  <c r="R341" i="9"/>
  <c r="R313" i="9"/>
  <c r="R350" i="9"/>
  <c r="S10" i="20"/>
  <c r="R10" i="8"/>
  <c r="S8" i="20"/>
  <c r="R8" i="8"/>
  <c r="L70" i="22"/>
  <c r="K70" i="22"/>
  <c r="J70" i="22"/>
  <c r="I70" i="22"/>
  <c r="G70" i="22"/>
  <c r="H70" i="22"/>
  <c r="F70" i="22"/>
  <c r="D19" i="22"/>
  <c r="R312" i="9"/>
  <c r="R308" i="9"/>
  <c r="R310" i="9"/>
  <c r="R311" i="9"/>
  <c r="R305" i="9"/>
  <c r="R309" i="9"/>
  <c r="R306" i="9"/>
  <c r="R307" i="9"/>
  <c r="F174" i="22"/>
  <c r="K174" i="22"/>
  <c r="H174" i="22"/>
  <c r="L174" i="22"/>
  <c r="J174" i="22"/>
  <c r="I174" i="22"/>
  <c r="G174" i="22"/>
  <c r="D227" i="22"/>
  <c r="R386" i="9"/>
  <c r="R385" i="9"/>
  <c r="R381" i="9"/>
  <c r="R162" i="9"/>
  <c r="R154" i="9"/>
  <c r="R146" i="9"/>
  <c r="R168" i="9"/>
  <c r="R164" i="9"/>
  <c r="R156" i="9"/>
  <c r="R148" i="9"/>
  <c r="R140" i="9"/>
  <c r="R131" i="9"/>
  <c r="R130" i="9"/>
  <c r="R126" i="9"/>
  <c r="R138" i="9"/>
  <c r="R132" i="9"/>
  <c r="R128" i="9"/>
  <c r="R155" i="9"/>
  <c r="R135" i="9"/>
  <c r="R136" i="9"/>
  <c r="R133" i="9"/>
  <c r="R149" i="9"/>
  <c r="R165" i="9"/>
  <c r="R159" i="9"/>
  <c r="R127" i="9"/>
  <c r="R139" i="9"/>
  <c r="R160" i="9"/>
  <c r="R143" i="9"/>
  <c r="R163" i="9"/>
  <c r="R151" i="9"/>
  <c r="R150" i="9"/>
  <c r="R166" i="9"/>
  <c r="R161" i="9"/>
  <c r="R137" i="9"/>
  <c r="R152" i="9"/>
  <c r="R167" i="9"/>
  <c r="R145" i="9"/>
  <c r="R157" i="9"/>
  <c r="R169" i="9"/>
  <c r="R147" i="9"/>
  <c r="R158" i="9"/>
  <c r="R144" i="9"/>
  <c r="R129" i="9"/>
  <c r="R141" i="9"/>
  <c r="R153" i="9"/>
  <c r="R134" i="9"/>
  <c r="R384" i="9"/>
  <c r="R382" i="9"/>
  <c r="R142" i="9"/>
  <c r="R383" i="9"/>
  <c r="G122" i="22"/>
  <c r="L122" i="22"/>
  <c r="K122" i="22"/>
  <c r="J122" i="22"/>
  <c r="I122" i="22"/>
  <c r="F122" i="22"/>
  <c r="H122" i="22"/>
  <c r="S5" i="20"/>
  <c r="R5" i="8"/>
  <c r="J278" i="22"/>
  <c r="H278" i="22"/>
  <c r="L278" i="22"/>
  <c r="K278" i="22"/>
  <c r="I278" i="22"/>
  <c r="G278" i="22"/>
  <c r="F278" i="22"/>
  <c r="S9" i="20"/>
  <c r="R9" i="8"/>
  <c r="D123" i="22"/>
  <c r="R125" i="9"/>
  <c r="R31" i="9"/>
  <c r="R103" i="9"/>
  <c r="R47" i="9"/>
  <c r="R102" i="9"/>
  <c r="R83" i="9"/>
  <c r="R82" i="9"/>
  <c r="R120" i="9"/>
  <c r="R107" i="9"/>
  <c r="R80" i="9"/>
  <c r="R71" i="9"/>
  <c r="R70" i="9"/>
  <c r="R63" i="9"/>
  <c r="R124" i="9"/>
  <c r="R106" i="9"/>
  <c r="R48" i="9"/>
  <c r="R62" i="9"/>
  <c r="R56" i="9"/>
  <c r="R35" i="9"/>
  <c r="R72" i="9"/>
  <c r="R64" i="9"/>
  <c r="R54" i="9"/>
  <c r="R14" i="9"/>
  <c r="R34" i="9"/>
  <c r="R32" i="9"/>
  <c r="R11" i="9"/>
  <c r="R8" i="9"/>
  <c r="R55" i="9"/>
  <c r="R44" i="9"/>
  <c r="R28" i="9"/>
  <c r="R59" i="9"/>
  <c r="R23" i="9"/>
  <c r="R112" i="9"/>
  <c r="R118" i="9"/>
  <c r="R122" i="9"/>
  <c r="R91" i="9"/>
  <c r="R38" i="9"/>
  <c r="R58" i="9"/>
  <c r="R51" i="9"/>
  <c r="R60" i="9"/>
  <c r="R79" i="9"/>
  <c r="R22" i="9"/>
  <c r="R6" i="9"/>
  <c r="R88" i="9"/>
  <c r="R96" i="9"/>
  <c r="R123" i="9"/>
  <c r="R5" i="9"/>
  <c r="R68" i="9"/>
  <c r="R20" i="9"/>
  <c r="R15" i="9"/>
  <c r="R30" i="9"/>
  <c r="R40" i="9"/>
  <c r="R16" i="9"/>
  <c r="R7" i="9"/>
  <c r="R26" i="9"/>
  <c r="R78" i="9"/>
  <c r="R24" i="9"/>
  <c r="R43" i="9"/>
  <c r="R39" i="9"/>
  <c r="R12" i="9"/>
  <c r="R52" i="9"/>
  <c r="R27" i="9"/>
  <c r="R18" i="9"/>
  <c r="R46" i="9"/>
  <c r="R95" i="9"/>
  <c r="R94" i="9"/>
  <c r="R119" i="9"/>
  <c r="R10" i="9"/>
  <c r="R50" i="9"/>
  <c r="R36" i="9"/>
  <c r="R42" i="9"/>
  <c r="R111" i="9"/>
  <c r="R115" i="9"/>
  <c r="R76" i="9"/>
  <c r="R9" i="9"/>
  <c r="R104" i="9"/>
  <c r="R110" i="9"/>
  <c r="R92" i="9"/>
  <c r="R84" i="9"/>
  <c r="R37" i="9"/>
  <c r="R69" i="9"/>
  <c r="R85" i="9"/>
  <c r="R101" i="9"/>
  <c r="R117" i="9"/>
  <c r="R19" i="9"/>
  <c r="R67" i="9"/>
  <c r="R21" i="9"/>
  <c r="R99" i="9"/>
  <c r="R25" i="9"/>
  <c r="R57" i="9"/>
  <c r="R108" i="9"/>
  <c r="R74" i="9"/>
  <c r="R87" i="9"/>
  <c r="R13" i="9"/>
  <c r="R100" i="9"/>
  <c r="R33" i="9"/>
  <c r="R116" i="9"/>
  <c r="R17" i="9"/>
  <c r="R98" i="9"/>
  <c r="R66" i="9"/>
  <c r="R75" i="9"/>
  <c r="R29" i="9"/>
  <c r="R61" i="9"/>
  <c r="R89" i="9"/>
  <c r="R105" i="9"/>
  <c r="R121" i="9"/>
  <c r="R93" i="9"/>
  <c r="R86" i="9"/>
  <c r="R90" i="9"/>
  <c r="R114" i="9"/>
  <c r="R49" i="9"/>
  <c r="R113" i="9"/>
  <c r="R81" i="9"/>
  <c r="R97" i="9"/>
  <c r="R41" i="9"/>
  <c r="R53" i="9"/>
  <c r="R73" i="9"/>
  <c r="R45" i="9"/>
  <c r="R65" i="9"/>
  <c r="R77" i="9"/>
  <c r="R109" i="9"/>
  <c r="D331" i="22"/>
  <c r="R388" i="9"/>
  <c r="R370" i="9"/>
  <c r="R376" i="9"/>
  <c r="R377" i="9"/>
  <c r="R378" i="9"/>
  <c r="R380" i="9"/>
  <c r="R362" i="9"/>
  <c r="R368" i="9"/>
  <c r="R363" i="9"/>
  <c r="R369" i="9"/>
  <c r="R379" i="9"/>
  <c r="R364" i="9"/>
  <c r="R366" i="9"/>
  <c r="R375" i="9"/>
  <c r="R367" i="9"/>
  <c r="R387" i="9"/>
  <c r="R365" i="9"/>
  <c r="R371" i="9"/>
  <c r="S11" i="20"/>
  <c r="R11" i="8"/>
  <c r="H330" i="22"/>
  <c r="I330" i="22"/>
  <c r="K330" i="22"/>
  <c r="J330" i="22"/>
  <c r="G330" i="22"/>
  <c r="F330" i="22"/>
  <c r="L330" i="22"/>
  <c r="C333" i="22"/>
  <c r="C281" i="22"/>
  <c r="C229" i="22"/>
  <c r="C125" i="22"/>
  <c r="C177" i="22"/>
  <c r="C73" i="22"/>
  <c r="C21" i="22"/>
  <c r="S2" i="20"/>
  <c r="F19" i="22" l="1"/>
  <c r="G19" i="22"/>
  <c r="L19" i="22"/>
  <c r="K19" i="22"/>
  <c r="J19" i="22"/>
  <c r="I19" i="22"/>
  <c r="H19" i="22"/>
  <c r="B23" i="19"/>
  <c r="E22" i="19"/>
  <c r="D22" i="19"/>
  <c r="U3" i="20" s="1"/>
  <c r="C22" i="19"/>
  <c r="J227" i="22"/>
  <c r="G227" i="22"/>
  <c r="H227" i="22"/>
  <c r="K227" i="22"/>
  <c r="I227" i="22"/>
  <c r="F227" i="22"/>
  <c r="L227" i="22"/>
  <c r="D176" i="22"/>
  <c r="S345" i="9"/>
  <c r="S341" i="9"/>
  <c r="S337" i="9"/>
  <c r="S333" i="9"/>
  <c r="S317" i="9"/>
  <c r="S346" i="9"/>
  <c r="S313" i="9"/>
  <c r="S331" i="9"/>
  <c r="S329" i="9"/>
  <c r="S304" i="9"/>
  <c r="S351" i="9"/>
  <c r="S340" i="9"/>
  <c r="S338" i="9"/>
  <c r="S328" i="9"/>
  <c r="S321" i="9"/>
  <c r="S339" i="9"/>
  <c r="S332" i="9"/>
  <c r="S330" i="9"/>
  <c r="S325" i="9"/>
  <c r="S283" i="9"/>
  <c r="S294" i="9"/>
  <c r="S292" i="9"/>
  <c r="S285" i="9"/>
  <c r="S287" i="9"/>
  <c r="S319" i="9"/>
  <c r="S303" i="9"/>
  <c r="S289" i="9"/>
  <c r="S291" i="9"/>
  <c r="S276" i="9"/>
  <c r="S275" i="9"/>
  <c r="S293" i="9"/>
  <c r="S286" i="9"/>
  <c r="S284" i="9"/>
  <c r="S281" i="9"/>
  <c r="S273" i="9"/>
  <c r="S277" i="9"/>
  <c r="S268" i="9"/>
  <c r="S265" i="9"/>
  <c r="S267" i="9"/>
  <c r="S269" i="9"/>
  <c r="S272" i="9"/>
  <c r="S290" i="9"/>
  <c r="S335" i="9"/>
  <c r="S324" i="9"/>
  <c r="S270" i="9"/>
  <c r="S314" i="9"/>
  <c r="S348" i="9"/>
  <c r="S318" i="9"/>
  <c r="S271" i="9"/>
  <c r="S295" i="9"/>
  <c r="S323" i="9"/>
  <c r="S336" i="9"/>
  <c r="S342" i="9"/>
  <c r="S282" i="9"/>
  <c r="S322" i="9"/>
  <c r="S349" i="9"/>
  <c r="S350" i="9"/>
  <c r="S326" i="9"/>
  <c r="S347" i="9"/>
  <c r="S352" i="9"/>
  <c r="S288" i="9"/>
  <c r="S266" i="9"/>
  <c r="S274" i="9"/>
  <c r="S280" i="9"/>
  <c r="S316" i="9"/>
  <c r="S320" i="9"/>
  <c r="S278" i="9"/>
  <c r="S327" i="9"/>
  <c r="S315" i="9"/>
  <c r="S343" i="9"/>
  <c r="S334" i="9"/>
  <c r="S344" i="9"/>
  <c r="S279" i="9"/>
  <c r="K279" i="22"/>
  <c r="G279" i="22"/>
  <c r="L279" i="22"/>
  <c r="J279" i="22"/>
  <c r="I279" i="22"/>
  <c r="H279" i="22"/>
  <c r="F279" i="22"/>
  <c r="J331" i="22"/>
  <c r="F331" i="22"/>
  <c r="K331" i="22"/>
  <c r="I331" i="22"/>
  <c r="H331" i="22"/>
  <c r="G331" i="22"/>
  <c r="L331" i="22"/>
  <c r="T8" i="20"/>
  <c r="S8" i="8"/>
  <c r="T11" i="20"/>
  <c r="S11" i="8"/>
  <c r="D280" i="22"/>
  <c r="S374" i="9"/>
  <c r="S372" i="9"/>
  <c r="S361" i="9"/>
  <c r="S353" i="9"/>
  <c r="S360" i="9"/>
  <c r="S359" i="9"/>
  <c r="S356" i="9"/>
  <c r="S355" i="9"/>
  <c r="S357" i="9"/>
  <c r="S358" i="9"/>
  <c r="S373" i="9"/>
  <c r="S354" i="9"/>
  <c r="C282" i="22"/>
  <c r="C334" i="22"/>
  <c r="C230" i="22"/>
  <c r="C126" i="22"/>
  <c r="C178" i="22"/>
  <c r="C74" i="22"/>
  <c r="C22" i="22"/>
  <c r="T2" i="20"/>
  <c r="L123" i="22"/>
  <c r="I123" i="22"/>
  <c r="K123" i="22"/>
  <c r="J123" i="22"/>
  <c r="H123" i="22"/>
  <c r="G123" i="22"/>
  <c r="F123" i="22"/>
  <c r="T10" i="20"/>
  <c r="S10" i="8"/>
  <c r="D332" i="22"/>
  <c r="S376" i="9"/>
  <c r="S375" i="9"/>
  <c r="S377" i="9"/>
  <c r="S379" i="9"/>
  <c r="S364" i="9"/>
  <c r="S367" i="9"/>
  <c r="S370" i="9"/>
  <c r="S387" i="9"/>
  <c r="S388" i="9"/>
  <c r="S371" i="9"/>
  <c r="S368" i="9"/>
  <c r="S363" i="9"/>
  <c r="S365" i="9"/>
  <c r="S369" i="9"/>
  <c r="S362" i="9"/>
  <c r="S366" i="9"/>
  <c r="S378" i="9"/>
  <c r="S380" i="9"/>
  <c r="D228" i="22"/>
  <c r="S383" i="9"/>
  <c r="S386" i="9"/>
  <c r="S381" i="9"/>
  <c r="S382" i="9"/>
  <c r="S161" i="9"/>
  <c r="S153" i="9"/>
  <c r="S145" i="9"/>
  <c r="S137" i="9"/>
  <c r="S129" i="9"/>
  <c r="S168" i="9"/>
  <c r="S169" i="9"/>
  <c r="S165" i="9"/>
  <c r="S157" i="9"/>
  <c r="S149" i="9"/>
  <c r="S141" i="9"/>
  <c r="S133" i="9"/>
  <c r="S139" i="9"/>
  <c r="S155" i="9"/>
  <c r="S154" i="9"/>
  <c r="S160" i="9"/>
  <c r="S127" i="9"/>
  <c r="S128" i="9"/>
  <c r="S131" i="9"/>
  <c r="S162" i="9"/>
  <c r="S167" i="9"/>
  <c r="S146" i="9"/>
  <c r="S159" i="9"/>
  <c r="S144" i="9"/>
  <c r="S151" i="9"/>
  <c r="S135" i="9"/>
  <c r="S130" i="9"/>
  <c r="S138" i="9"/>
  <c r="S134" i="9"/>
  <c r="S142" i="9"/>
  <c r="S158" i="9"/>
  <c r="S136" i="9"/>
  <c r="S164" i="9"/>
  <c r="S132" i="9"/>
  <c r="S140" i="9"/>
  <c r="S166" i="9"/>
  <c r="S147" i="9"/>
  <c r="S148" i="9"/>
  <c r="S150" i="9"/>
  <c r="S152" i="9"/>
  <c r="S126" i="9"/>
  <c r="S163" i="9"/>
  <c r="S384" i="9"/>
  <c r="S143" i="9"/>
  <c r="S156" i="9"/>
  <c r="S385" i="9"/>
  <c r="T9" i="20"/>
  <c r="S9" i="8"/>
  <c r="D20" i="22"/>
  <c r="S309" i="9"/>
  <c r="S305" i="9"/>
  <c r="S312" i="9"/>
  <c r="S310" i="9"/>
  <c r="S311" i="9"/>
  <c r="S308" i="9"/>
  <c r="S307" i="9"/>
  <c r="S306" i="9"/>
  <c r="K175" i="22"/>
  <c r="J175" i="22"/>
  <c r="H175" i="22"/>
  <c r="L175" i="22"/>
  <c r="I175" i="22"/>
  <c r="G175" i="22"/>
  <c r="F175" i="22"/>
  <c r="T5" i="20"/>
  <c r="S5" i="8"/>
  <c r="D72" i="22"/>
  <c r="S301" i="9"/>
  <c r="S297" i="9"/>
  <c r="S302" i="9"/>
  <c r="S299" i="9"/>
  <c r="S220" i="9"/>
  <c r="S216" i="9"/>
  <c r="S212" i="9"/>
  <c r="S208" i="9"/>
  <c r="S204" i="9"/>
  <c r="S200" i="9"/>
  <c r="S196" i="9"/>
  <c r="S192" i="9"/>
  <c r="S253" i="9"/>
  <c r="S245" i="9"/>
  <c r="S237" i="9"/>
  <c r="S229" i="9"/>
  <c r="S180" i="9"/>
  <c r="S261" i="9"/>
  <c r="S252" i="9"/>
  <c r="S244" i="9"/>
  <c r="S236" i="9"/>
  <c r="S260" i="9"/>
  <c r="S257" i="9"/>
  <c r="S249" i="9"/>
  <c r="S241" i="9"/>
  <c r="S233" i="9"/>
  <c r="S222" i="9"/>
  <c r="S215" i="9"/>
  <c r="S206" i="9"/>
  <c r="S199" i="9"/>
  <c r="S197" i="9"/>
  <c r="S188" i="9"/>
  <c r="S198" i="9"/>
  <c r="S225" i="9"/>
  <c r="S221" i="9"/>
  <c r="S213" i="9"/>
  <c r="S214" i="9"/>
  <c r="S207" i="9"/>
  <c r="S205" i="9"/>
  <c r="S203" i="9"/>
  <c r="S184" i="9"/>
  <c r="S185" i="9"/>
  <c r="S176" i="9"/>
  <c r="S173" i="9"/>
  <c r="S182" i="9"/>
  <c r="S175" i="9"/>
  <c r="S187" i="9"/>
  <c r="S177" i="9"/>
  <c r="S189" i="9"/>
  <c r="S186" i="9"/>
  <c r="S170" i="9"/>
  <c r="S171" i="9"/>
  <c r="S178" i="9"/>
  <c r="S201" i="9"/>
  <c r="S217" i="9"/>
  <c r="S219" i="9"/>
  <c r="S194" i="9"/>
  <c r="S240" i="9"/>
  <c r="S256" i="9"/>
  <c r="S179" i="9"/>
  <c r="S228" i="9"/>
  <c r="S190" i="9"/>
  <c r="S183" i="9"/>
  <c r="S202" i="9"/>
  <c r="S223" i="9"/>
  <c r="S238" i="9"/>
  <c r="S296" i="9"/>
  <c r="S209" i="9"/>
  <c r="S250" i="9"/>
  <c r="S255" i="9"/>
  <c r="S251" i="9"/>
  <c r="S300" i="9"/>
  <c r="S193" i="9"/>
  <c r="S211" i="9"/>
  <c r="S263" i="9"/>
  <c r="S239" i="9"/>
  <c r="S247" i="9"/>
  <c r="S191" i="9"/>
  <c r="S234" i="9"/>
  <c r="S172" i="9"/>
  <c r="S226" i="9"/>
  <c r="S248" i="9"/>
  <c r="S254" i="9"/>
  <c r="S218" i="9"/>
  <c r="S258" i="9"/>
  <c r="S195" i="9"/>
  <c r="S232" i="9"/>
  <c r="S242" i="9"/>
  <c r="S231" i="9"/>
  <c r="S246" i="9"/>
  <c r="S181" i="9"/>
  <c r="S227" i="9"/>
  <c r="S259" i="9"/>
  <c r="S224" i="9"/>
  <c r="S210" i="9"/>
  <c r="S262" i="9"/>
  <c r="S230" i="9"/>
  <c r="S243" i="9"/>
  <c r="S298" i="9"/>
  <c r="S264" i="9"/>
  <c r="S235" i="9"/>
  <c r="S174" i="9"/>
  <c r="J71" i="22"/>
  <c r="I71" i="22"/>
  <c r="H71" i="22"/>
  <c r="G71" i="22"/>
  <c r="F71" i="22"/>
  <c r="L71" i="22"/>
  <c r="K71" i="22"/>
  <c r="D124" i="22"/>
  <c r="S117" i="9"/>
  <c r="S109" i="9"/>
  <c r="S101" i="9"/>
  <c r="S93" i="9"/>
  <c r="S85" i="9"/>
  <c r="S81" i="9"/>
  <c r="S77" i="9"/>
  <c r="S73" i="9"/>
  <c r="S69" i="9"/>
  <c r="S65" i="9"/>
  <c r="S61" i="9"/>
  <c r="S57" i="9"/>
  <c r="S53" i="9"/>
  <c r="S49" i="9"/>
  <c r="S113" i="9"/>
  <c r="S89" i="9"/>
  <c r="S48" i="9"/>
  <c r="S34" i="9"/>
  <c r="S33" i="9"/>
  <c r="S32" i="9"/>
  <c r="S105" i="9"/>
  <c r="S88" i="9"/>
  <c r="S119" i="9"/>
  <c r="S80" i="9"/>
  <c r="S79" i="9"/>
  <c r="S78" i="9"/>
  <c r="S121" i="9"/>
  <c r="S95" i="9"/>
  <c r="S97" i="9"/>
  <c r="S45" i="9"/>
  <c r="S29" i="9"/>
  <c r="S72" i="9"/>
  <c r="S64" i="9"/>
  <c r="S70" i="9"/>
  <c r="S36" i="9"/>
  <c r="S54" i="9"/>
  <c r="S40" i="9"/>
  <c r="S37" i="9"/>
  <c r="S71" i="9"/>
  <c r="S63" i="9"/>
  <c r="S25" i="9"/>
  <c r="S11" i="9"/>
  <c r="S8" i="9"/>
  <c r="S55" i="9"/>
  <c r="S41" i="9"/>
  <c r="S38" i="9"/>
  <c r="S62" i="9"/>
  <c r="S56" i="9"/>
  <c r="S35" i="9"/>
  <c r="S26" i="9"/>
  <c r="S12" i="9"/>
  <c r="S10" i="9"/>
  <c r="S14" i="9"/>
  <c r="S22" i="9"/>
  <c r="S13" i="9"/>
  <c r="S99" i="9"/>
  <c r="S122" i="9"/>
  <c r="S66" i="9"/>
  <c r="S15" i="9"/>
  <c r="S27" i="9"/>
  <c r="S52" i="9"/>
  <c r="S43" i="9"/>
  <c r="S9" i="9"/>
  <c r="S86" i="9"/>
  <c r="S118" i="9"/>
  <c r="S90" i="9"/>
  <c r="S50" i="9"/>
  <c r="S24" i="9"/>
  <c r="S19" i="9"/>
  <c r="S5" i="9"/>
  <c r="S94" i="9"/>
  <c r="S112" i="9"/>
  <c r="S116" i="9"/>
  <c r="S75" i="9"/>
  <c r="S31" i="9"/>
  <c r="S100" i="9"/>
  <c r="S44" i="9"/>
  <c r="S18" i="9"/>
  <c r="S28" i="9"/>
  <c r="S59" i="9"/>
  <c r="S39" i="9"/>
  <c r="S42" i="9"/>
  <c r="S107" i="9"/>
  <c r="S110" i="9"/>
  <c r="S7" i="9"/>
  <c r="S58" i="9"/>
  <c r="S51" i="9"/>
  <c r="S23" i="9"/>
  <c r="S60" i="9"/>
  <c r="S115" i="9"/>
  <c r="S20" i="9"/>
  <c r="S16" i="9"/>
  <c r="S68" i="9"/>
  <c r="S46" i="9"/>
  <c r="S21" i="9"/>
  <c r="S104" i="9"/>
  <c r="S111" i="9"/>
  <c r="S108" i="9"/>
  <c r="S6" i="9"/>
  <c r="S30" i="9"/>
  <c r="S17" i="9"/>
  <c r="S114" i="9"/>
  <c r="S82" i="9"/>
  <c r="S76" i="9"/>
  <c r="S74" i="9"/>
  <c r="S103" i="9"/>
  <c r="S123" i="9"/>
  <c r="S91" i="9"/>
  <c r="S47" i="9"/>
  <c r="S98" i="9"/>
  <c r="S87" i="9"/>
  <c r="S83" i="9"/>
  <c r="S120" i="9"/>
  <c r="S96" i="9"/>
  <c r="S106" i="9"/>
  <c r="S84" i="9"/>
  <c r="S102" i="9"/>
  <c r="S125" i="9"/>
  <c r="S67" i="9"/>
  <c r="S92" i="9"/>
  <c r="S124" i="9"/>
  <c r="T6" i="20"/>
  <c r="S6" i="8"/>
  <c r="T7" i="20"/>
  <c r="S7" i="8"/>
  <c r="D73" i="22" l="1"/>
  <c r="T297" i="9"/>
  <c r="T301" i="9"/>
  <c r="T261" i="9"/>
  <c r="T216" i="9"/>
  <c r="T208" i="9"/>
  <c r="T200" i="9"/>
  <c r="T192" i="9"/>
  <c r="T252" i="9"/>
  <c r="T244" i="9"/>
  <c r="T215" i="9"/>
  <c r="T260" i="9"/>
  <c r="T257" i="9"/>
  <c r="T249" i="9"/>
  <c r="T241" i="9"/>
  <c r="T233" i="9"/>
  <c r="T253" i="9"/>
  <c r="T245" i="9"/>
  <c r="T237" i="9"/>
  <c r="T229" i="9"/>
  <c r="T180" i="9"/>
  <c r="T199" i="9"/>
  <c r="T188" i="9"/>
  <c r="T198" i="9"/>
  <c r="T196" i="9"/>
  <c r="T177" i="9"/>
  <c r="T225" i="9"/>
  <c r="T211" i="9"/>
  <c r="T214" i="9"/>
  <c r="T212" i="9"/>
  <c r="T202" i="9"/>
  <c r="T207" i="9"/>
  <c r="T203" i="9"/>
  <c r="T191" i="9"/>
  <c r="T222" i="9"/>
  <c r="T220" i="9"/>
  <c r="T206" i="9"/>
  <c r="T204" i="9"/>
  <c r="T176" i="9"/>
  <c r="T173" i="9"/>
  <c r="T175" i="9"/>
  <c r="T187" i="9"/>
  <c r="T184" i="9"/>
  <c r="T171" i="9"/>
  <c r="T223" i="9"/>
  <c r="T193" i="9"/>
  <c r="T194" i="9"/>
  <c r="T217" i="9"/>
  <c r="T179" i="9"/>
  <c r="T186" i="9"/>
  <c r="T178" i="9"/>
  <c r="T201" i="9"/>
  <c r="T185" i="9"/>
  <c r="T235" i="9"/>
  <c r="T248" i="9"/>
  <c r="T264" i="9"/>
  <c r="T195" i="9"/>
  <c r="T227" i="9"/>
  <c r="T234" i="9"/>
  <c r="T219" i="9"/>
  <c r="T226" i="9"/>
  <c r="T232" i="9"/>
  <c r="T259" i="9"/>
  <c r="T236" i="9"/>
  <c r="T182" i="9"/>
  <c r="T197" i="9"/>
  <c r="T205" i="9"/>
  <c r="T213" i="9"/>
  <c r="T221" i="9"/>
  <c r="T170" i="9"/>
  <c r="T228" i="9"/>
  <c r="T224" i="9"/>
  <c r="T243" i="9"/>
  <c r="T258" i="9"/>
  <c r="T263" i="9"/>
  <c r="T231" i="9"/>
  <c r="T254" i="9"/>
  <c r="T190" i="9"/>
  <c r="T210" i="9"/>
  <c r="T242" i="9"/>
  <c r="T256" i="9"/>
  <c r="T209" i="9"/>
  <c r="T174" i="9"/>
  <c r="T189" i="9"/>
  <c r="T240" i="9"/>
  <c r="T230" i="9"/>
  <c r="T246" i="9"/>
  <c r="T183" i="9"/>
  <c r="T172" i="9"/>
  <c r="T218" i="9"/>
  <c r="T181" i="9"/>
  <c r="T251" i="9"/>
  <c r="T247" i="9"/>
  <c r="T255" i="9"/>
  <c r="T238" i="9"/>
  <c r="T298" i="9"/>
  <c r="T302" i="9"/>
  <c r="T250" i="9"/>
  <c r="T239" i="9"/>
  <c r="T300" i="9"/>
  <c r="T296" i="9"/>
  <c r="T299" i="9"/>
  <c r="T262" i="9"/>
  <c r="G228" i="22"/>
  <c r="L228" i="22"/>
  <c r="H228" i="22"/>
  <c r="K228" i="22"/>
  <c r="J228" i="22"/>
  <c r="I228" i="22"/>
  <c r="F228" i="22"/>
  <c r="C23" i="19"/>
  <c r="E23" i="19"/>
  <c r="B24" i="19"/>
  <c r="D23" i="19"/>
  <c r="V3" i="20" s="1"/>
  <c r="G72" i="22"/>
  <c r="H72" i="22"/>
  <c r="F72" i="22"/>
  <c r="K72" i="22"/>
  <c r="L72" i="22"/>
  <c r="J72" i="22"/>
  <c r="I72" i="22"/>
  <c r="H280" i="22"/>
  <c r="L280" i="22"/>
  <c r="K280" i="22"/>
  <c r="J280" i="22"/>
  <c r="I280" i="22"/>
  <c r="F280" i="22"/>
  <c r="G280" i="22"/>
  <c r="D21" i="22"/>
  <c r="T305" i="9"/>
  <c r="T312" i="9"/>
  <c r="T309" i="9"/>
  <c r="T306" i="9"/>
  <c r="T307" i="9"/>
  <c r="T311" i="9"/>
  <c r="T308" i="9"/>
  <c r="T310" i="9"/>
  <c r="D333" i="22"/>
  <c r="T375" i="9"/>
  <c r="T379" i="9"/>
  <c r="T387" i="9"/>
  <c r="T371" i="9"/>
  <c r="T365" i="9"/>
  <c r="T364" i="9"/>
  <c r="T367" i="9"/>
  <c r="T363" i="9"/>
  <c r="T378" i="9"/>
  <c r="T380" i="9"/>
  <c r="T368" i="9"/>
  <c r="T369" i="9"/>
  <c r="T370" i="9"/>
  <c r="T388" i="9"/>
  <c r="T366" i="9"/>
  <c r="T376" i="9"/>
  <c r="T362" i="9"/>
  <c r="T377" i="9"/>
  <c r="U6" i="20"/>
  <c r="T6" i="8"/>
  <c r="I124" i="22"/>
  <c r="F124" i="22"/>
  <c r="L124" i="22"/>
  <c r="K124" i="22"/>
  <c r="J124" i="22"/>
  <c r="H124" i="22"/>
  <c r="G124" i="22"/>
  <c r="U5" i="20"/>
  <c r="T5" i="8"/>
  <c r="K20" i="22"/>
  <c r="L20" i="22"/>
  <c r="J20" i="22"/>
  <c r="I20" i="22"/>
  <c r="H20" i="22"/>
  <c r="G20" i="22"/>
  <c r="F20" i="22"/>
  <c r="G332" i="22"/>
  <c r="L332" i="22"/>
  <c r="K332" i="22"/>
  <c r="J332" i="22"/>
  <c r="I332" i="22"/>
  <c r="H332" i="22"/>
  <c r="F332" i="22"/>
  <c r="U11" i="20"/>
  <c r="T11" i="8"/>
  <c r="D229" i="22"/>
  <c r="T383" i="9"/>
  <c r="T385" i="9"/>
  <c r="T382" i="9"/>
  <c r="T169" i="9"/>
  <c r="T161" i="9"/>
  <c r="T153" i="9"/>
  <c r="T145" i="9"/>
  <c r="T137" i="9"/>
  <c r="T129" i="9"/>
  <c r="T160" i="9"/>
  <c r="T152" i="9"/>
  <c r="T144" i="9"/>
  <c r="T168" i="9"/>
  <c r="T165" i="9"/>
  <c r="T157" i="9"/>
  <c r="T149" i="9"/>
  <c r="T141" i="9"/>
  <c r="T128" i="9"/>
  <c r="T136" i="9"/>
  <c r="T133" i="9"/>
  <c r="T127" i="9"/>
  <c r="T131" i="9"/>
  <c r="T146" i="9"/>
  <c r="T148" i="9"/>
  <c r="T164" i="9"/>
  <c r="T155" i="9"/>
  <c r="T150" i="9"/>
  <c r="T166" i="9"/>
  <c r="T130" i="9"/>
  <c r="T135" i="9"/>
  <c r="T147" i="9"/>
  <c r="T143" i="9"/>
  <c r="T159" i="9"/>
  <c r="T163" i="9"/>
  <c r="T134" i="9"/>
  <c r="T142" i="9"/>
  <c r="T167" i="9"/>
  <c r="T126" i="9"/>
  <c r="T162" i="9"/>
  <c r="T156" i="9"/>
  <c r="T138" i="9"/>
  <c r="T151" i="9"/>
  <c r="T154" i="9"/>
  <c r="T132" i="9"/>
  <c r="T140" i="9"/>
  <c r="T158" i="9"/>
  <c r="T384" i="9"/>
  <c r="T386" i="9"/>
  <c r="T381" i="9"/>
  <c r="T139" i="9"/>
  <c r="D281" i="22"/>
  <c r="T358" i="9"/>
  <c r="T354" i="9"/>
  <c r="T353" i="9"/>
  <c r="T361" i="9"/>
  <c r="T355" i="9"/>
  <c r="T360" i="9"/>
  <c r="T357" i="9"/>
  <c r="T373" i="9"/>
  <c r="T356" i="9"/>
  <c r="T372" i="9"/>
  <c r="T359" i="9"/>
  <c r="T374" i="9"/>
  <c r="D177" i="22"/>
  <c r="T341" i="9"/>
  <c r="T333" i="9"/>
  <c r="T350" i="9"/>
  <c r="T345" i="9"/>
  <c r="T317" i="9"/>
  <c r="T329" i="9"/>
  <c r="T313" i="9"/>
  <c r="T324" i="9"/>
  <c r="T315" i="9"/>
  <c r="T340" i="9"/>
  <c r="T336" i="9"/>
  <c r="T328" i="9"/>
  <c r="T339" i="9"/>
  <c r="T337" i="9"/>
  <c r="T332" i="9"/>
  <c r="T325" i="9"/>
  <c r="T331" i="9"/>
  <c r="T285" i="9"/>
  <c r="T277" i="9"/>
  <c r="T269" i="9"/>
  <c r="T303" i="9"/>
  <c r="T289" i="9"/>
  <c r="T291" i="9"/>
  <c r="T276" i="9"/>
  <c r="T275" i="9"/>
  <c r="T304" i="9"/>
  <c r="T295" i="9"/>
  <c r="T293" i="9"/>
  <c r="T284" i="9"/>
  <c r="T281" i="9"/>
  <c r="T321" i="9"/>
  <c r="T273" i="9"/>
  <c r="T268" i="9"/>
  <c r="T265" i="9"/>
  <c r="T267" i="9"/>
  <c r="T287" i="9"/>
  <c r="T327" i="9"/>
  <c r="T274" i="9"/>
  <c r="T323" i="9"/>
  <c r="T349" i="9"/>
  <c r="T271" i="9"/>
  <c r="T272" i="9"/>
  <c r="T278" i="9"/>
  <c r="T294" i="9"/>
  <c r="T282" i="9"/>
  <c r="T348" i="9"/>
  <c r="T286" i="9"/>
  <c r="T292" i="9"/>
  <c r="T319" i="9"/>
  <c r="T346" i="9"/>
  <c r="T270" i="9"/>
  <c r="T290" i="9"/>
  <c r="T344" i="9"/>
  <c r="T320" i="9"/>
  <c r="T335" i="9"/>
  <c r="T318" i="9"/>
  <c r="T342" i="9"/>
  <c r="T280" i="9"/>
  <c r="T322" i="9"/>
  <c r="T334" i="9"/>
  <c r="T316" i="9"/>
  <c r="T347" i="9"/>
  <c r="T343" i="9"/>
  <c r="T351" i="9"/>
  <c r="T338" i="9"/>
  <c r="T283" i="9"/>
  <c r="T288" i="9"/>
  <c r="T314" i="9"/>
  <c r="T352" i="9"/>
  <c r="T330" i="9"/>
  <c r="T279" i="9"/>
  <c r="T266" i="9"/>
  <c r="T326" i="9"/>
  <c r="U10" i="20"/>
  <c r="T10" i="8"/>
  <c r="U8" i="20"/>
  <c r="T8" i="8"/>
  <c r="H176" i="22"/>
  <c r="G176" i="22"/>
  <c r="J176" i="22"/>
  <c r="L176" i="22"/>
  <c r="K176" i="22"/>
  <c r="I176" i="22"/>
  <c r="F176" i="22"/>
  <c r="U9" i="20"/>
  <c r="T9" i="8"/>
  <c r="D125" i="22"/>
  <c r="T89" i="9"/>
  <c r="T33" i="9"/>
  <c r="T109" i="9"/>
  <c r="T105" i="9"/>
  <c r="T81" i="9"/>
  <c r="T73" i="9"/>
  <c r="T65" i="9"/>
  <c r="T57" i="9"/>
  <c r="T49" i="9"/>
  <c r="T101" i="9"/>
  <c r="T93" i="9"/>
  <c r="T80" i="9"/>
  <c r="T72" i="9"/>
  <c r="T64" i="9"/>
  <c r="T79" i="9"/>
  <c r="T121" i="9"/>
  <c r="T95" i="9"/>
  <c r="T85" i="9"/>
  <c r="T97" i="9"/>
  <c r="T77" i="9"/>
  <c r="T69" i="9"/>
  <c r="T117" i="9"/>
  <c r="T113" i="9"/>
  <c r="T5" i="9"/>
  <c r="T25" i="9"/>
  <c r="T11" i="9"/>
  <c r="T53" i="9"/>
  <c r="T8" i="9"/>
  <c r="T37" i="9"/>
  <c r="T21" i="9"/>
  <c r="T71" i="9"/>
  <c r="T63" i="9"/>
  <c r="T44" i="9"/>
  <c r="T29" i="9"/>
  <c r="T61" i="9"/>
  <c r="T55" i="9"/>
  <c r="T45" i="9"/>
  <c r="T41" i="9"/>
  <c r="T17" i="9"/>
  <c r="T56" i="9"/>
  <c r="T20" i="9"/>
  <c r="T7" i="9"/>
  <c r="T13" i="9"/>
  <c r="T9" i="9"/>
  <c r="T10" i="9"/>
  <c r="T50" i="9"/>
  <c r="T52" i="9"/>
  <c r="T46" i="9"/>
  <c r="T86" i="9"/>
  <c r="T74" i="9"/>
  <c r="T111" i="9"/>
  <c r="T118" i="9"/>
  <c r="T90" i="9"/>
  <c r="T98" i="9"/>
  <c r="T48" i="9"/>
  <c r="T83" i="9"/>
  <c r="T102" i="9"/>
  <c r="T14" i="9"/>
  <c r="T43" i="9"/>
  <c r="T36" i="9"/>
  <c r="T84" i="9"/>
  <c r="T87" i="9"/>
  <c r="T82" i="9"/>
  <c r="T94" i="9"/>
  <c r="T91" i="9"/>
  <c r="T108" i="9"/>
  <c r="T58" i="9"/>
  <c r="T24" i="9"/>
  <c r="T15" i="9"/>
  <c r="T42" i="9"/>
  <c r="T96" i="9"/>
  <c r="T104" i="9"/>
  <c r="T110" i="9"/>
  <c r="T120" i="9"/>
  <c r="T75" i="9"/>
  <c r="T60" i="9"/>
  <c r="T31" i="9"/>
  <c r="T92" i="9"/>
  <c r="T112" i="9"/>
  <c r="T38" i="9"/>
  <c r="T18" i="9"/>
  <c r="T28" i="9"/>
  <c r="T22" i="9"/>
  <c r="T27" i="9"/>
  <c r="T39" i="9"/>
  <c r="T103" i="9"/>
  <c r="T23" i="9"/>
  <c r="T40" i="9"/>
  <c r="T12" i="9"/>
  <c r="T30" i="9"/>
  <c r="T59" i="9"/>
  <c r="T16" i="9"/>
  <c r="T47" i="9"/>
  <c r="T76" i="9"/>
  <c r="T107" i="9"/>
  <c r="T114" i="9"/>
  <c r="T6" i="9"/>
  <c r="T68" i="9"/>
  <c r="T51" i="9"/>
  <c r="T19" i="9"/>
  <c r="T26" i="9"/>
  <c r="T115" i="9"/>
  <c r="T122" i="9"/>
  <c r="T54" i="9"/>
  <c r="T124" i="9"/>
  <c r="T34" i="9"/>
  <c r="T100" i="9"/>
  <c r="T67" i="9"/>
  <c r="T66" i="9"/>
  <c r="T62" i="9"/>
  <c r="T32" i="9"/>
  <c r="T116" i="9"/>
  <c r="T106" i="9"/>
  <c r="T119" i="9"/>
  <c r="T78" i="9"/>
  <c r="T123" i="9"/>
  <c r="T70" i="9"/>
  <c r="T99" i="9"/>
  <c r="T88" i="9"/>
  <c r="T125" i="9"/>
  <c r="T35" i="9"/>
  <c r="U7" i="20"/>
  <c r="T7" i="8"/>
  <c r="C335" i="22"/>
  <c r="C283" i="22"/>
  <c r="C231" i="22"/>
  <c r="C179" i="22"/>
  <c r="C127" i="22"/>
  <c r="C23" i="22"/>
  <c r="C75" i="22"/>
  <c r="U2" i="20"/>
  <c r="V7" i="20" l="1"/>
  <c r="U7" i="8"/>
  <c r="L177" i="22"/>
  <c r="J177" i="22"/>
  <c r="G177" i="22"/>
  <c r="H177" i="22"/>
  <c r="F177" i="22"/>
  <c r="I177" i="22"/>
  <c r="K177" i="22"/>
  <c r="L229" i="22"/>
  <c r="I229" i="22"/>
  <c r="G229" i="22"/>
  <c r="K229" i="22"/>
  <c r="J229" i="22"/>
  <c r="H229" i="22"/>
  <c r="F229" i="22"/>
  <c r="C336" i="22"/>
  <c r="C284" i="22"/>
  <c r="C232" i="22"/>
  <c r="C180" i="22"/>
  <c r="C76" i="22"/>
  <c r="C24" i="22"/>
  <c r="C128" i="22"/>
  <c r="V2" i="20"/>
  <c r="F125" i="22"/>
  <c r="K125" i="22"/>
  <c r="L125" i="22"/>
  <c r="J125" i="22"/>
  <c r="I125" i="22"/>
  <c r="H125" i="22"/>
  <c r="G125" i="22"/>
  <c r="D334" i="22"/>
  <c r="U379" i="9"/>
  <c r="U387" i="9"/>
  <c r="U375" i="9"/>
  <c r="U371" i="9"/>
  <c r="U370" i="9"/>
  <c r="U367" i="9"/>
  <c r="U364" i="9"/>
  <c r="U362" i="9"/>
  <c r="U369" i="9"/>
  <c r="U366" i="9"/>
  <c r="U365" i="9"/>
  <c r="U376" i="9"/>
  <c r="U388" i="9"/>
  <c r="U363" i="9"/>
  <c r="U368" i="9"/>
  <c r="U377" i="9"/>
  <c r="U378" i="9"/>
  <c r="U380" i="9"/>
  <c r="D22" i="22"/>
  <c r="U305" i="9"/>
  <c r="U312" i="9"/>
  <c r="U311" i="9"/>
  <c r="U309" i="9"/>
  <c r="U308" i="9"/>
  <c r="U310" i="9"/>
  <c r="U307" i="9"/>
  <c r="U306" i="9"/>
  <c r="D230" i="22"/>
  <c r="U381" i="9"/>
  <c r="U383" i="9"/>
  <c r="U386" i="9"/>
  <c r="U385" i="9"/>
  <c r="U169" i="9"/>
  <c r="U161" i="9"/>
  <c r="U153" i="9"/>
  <c r="U145" i="9"/>
  <c r="U137" i="9"/>
  <c r="U129" i="9"/>
  <c r="U168" i="9"/>
  <c r="U165" i="9"/>
  <c r="U164" i="9"/>
  <c r="U157" i="9"/>
  <c r="U156" i="9"/>
  <c r="U149" i="9"/>
  <c r="U148" i="9"/>
  <c r="U166" i="9"/>
  <c r="U158" i="9"/>
  <c r="U150" i="9"/>
  <c r="U142" i="9"/>
  <c r="U134" i="9"/>
  <c r="U141" i="9"/>
  <c r="U140" i="9"/>
  <c r="U132" i="9"/>
  <c r="U133" i="9"/>
  <c r="U131" i="9"/>
  <c r="U128" i="9"/>
  <c r="U162" i="9"/>
  <c r="U127" i="9"/>
  <c r="U147" i="9"/>
  <c r="U163" i="9"/>
  <c r="U139" i="9"/>
  <c r="U167" i="9"/>
  <c r="U144" i="9"/>
  <c r="U154" i="9"/>
  <c r="U136" i="9"/>
  <c r="U138" i="9"/>
  <c r="U151" i="9"/>
  <c r="U135" i="9"/>
  <c r="U130" i="9"/>
  <c r="U155" i="9"/>
  <c r="U146" i="9"/>
  <c r="U159" i="9"/>
  <c r="U160" i="9"/>
  <c r="U143" i="9"/>
  <c r="U126" i="9"/>
  <c r="U152" i="9"/>
  <c r="U384" i="9"/>
  <c r="U382" i="9"/>
  <c r="V11" i="20"/>
  <c r="U11" i="8"/>
  <c r="V5" i="20"/>
  <c r="U5" i="8"/>
  <c r="D74" i="22"/>
  <c r="U299" i="9"/>
  <c r="U297" i="9"/>
  <c r="U261" i="9"/>
  <c r="U253" i="9"/>
  <c r="U245" i="9"/>
  <c r="U237" i="9"/>
  <c r="U229" i="9"/>
  <c r="U296" i="9"/>
  <c r="U301" i="9"/>
  <c r="U184" i="9"/>
  <c r="U222" i="9"/>
  <c r="U260" i="9"/>
  <c r="U257" i="9"/>
  <c r="U256" i="9"/>
  <c r="U249" i="9"/>
  <c r="U248" i="9"/>
  <c r="U241" i="9"/>
  <c r="U240" i="9"/>
  <c r="U258" i="9"/>
  <c r="U250" i="9"/>
  <c r="U242" i="9"/>
  <c r="U234" i="9"/>
  <c r="U216" i="9"/>
  <c r="U208" i="9"/>
  <c r="U200" i="9"/>
  <c r="U192" i="9"/>
  <c r="U182" i="9"/>
  <c r="U198" i="9"/>
  <c r="U196" i="9"/>
  <c r="U180" i="9"/>
  <c r="U177" i="9"/>
  <c r="U225" i="9"/>
  <c r="U210" i="9"/>
  <c r="U233" i="9"/>
  <c r="U214" i="9"/>
  <c r="U212" i="9"/>
  <c r="U202" i="9"/>
  <c r="U226" i="9"/>
  <c r="U203" i="9"/>
  <c r="U191" i="9"/>
  <c r="U232" i="9"/>
  <c r="U220" i="9"/>
  <c r="U206" i="9"/>
  <c r="U204" i="9"/>
  <c r="U194" i="9"/>
  <c r="U224" i="9"/>
  <c r="U188" i="9"/>
  <c r="U176" i="9"/>
  <c r="U173" i="9"/>
  <c r="U187" i="9"/>
  <c r="U189" i="9"/>
  <c r="U174" i="9"/>
  <c r="U171" i="9"/>
  <c r="U178" i="9"/>
  <c r="U193" i="9"/>
  <c r="U217" i="9"/>
  <c r="U181" i="9"/>
  <c r="U264" i="9"/>
  <c r="U183" i="9"/>
  <c r="U190" i="9"/>
  <c r="U172" i="9"/>
  <c r="U218" i="9"/>
  <c r="U223" i="9"/>
  <c r="U179" i="9"/>
  <c r="U185" i="9"/>
  <c r="U195" i="9"/>
  <c r="U228" i="9"/>
  <c r="U244" i="9"/>
  <c r="U209" i="9"/>
  <c r="U254" i="9"/>
  <c r="U243" i="9"/>
  <c r="U197" i="9"/>
  <c r="U205" i="9"/>
  <c r="U213" i="9"/>
  <c r="U221" i="9"/>
  <c r="U230" i="9"/>
  <c r="U235" i="9"/>
  <c r="U199" i="9"/>
  <c r="U207" i="9"/>
  <c r="U215" i="9"/>
  <c r="U231" i="9"/>
  <c r="U238" i="9"/>
  <c r="U246" i="9"/>
  <c r="U170" i="9"/>
  <c r="U251" i="9"/>
  <c r="U186" i="9"/>
  <c r="U247" i="9"/>
  <c r="U255" i="9"/>
  <c r="U302" i="9"/>
  <c r="U239" i="9"/>
  <c r="U300" i="9"/>
  <c r="U175" i="9"/>
  <c r="U219" i="9"/>
  <c r="U236" i="9"/>
  <c r="U262" i="9"/>
  <c r="U211" i="9"/>
  <c r="U263" i="9"/>
  <c r="U252" i="9"/>
  <c r="U298" i="9"/>
  <c r="U227" i="9"/>
  <c r="U259" i="9"/>
  <c r="U201" i="9"/>
  <c r="V9" i="20"/>
  <c r="U9" i="8"/>
  <c r="D178" i="22"/>
  <c r="U350" i="9"/>
  <c r="U321" i="9"/>
  <c r="U345" i="9"/>
  <c r="U341" i="9"/>
  <c r="U333" i="9"/>
  <c r="U319" i="9"/>
  <c r="U313" i="9"/>
  <c r="U285" i="9"/>
  <c r="U324" i="9"/>
  <c r="U315" i="9"/>
  <c r="U304" i="9"/>
  <c r="U335" i="9"/>
  <c r="U326" i="9"/>
  <c r="U328" i="9"/>
  <c r="U339" i="9"/>
  <c r="U337" i="9"/>
  <c r="U323" i="9"/>
  <c r="U325" i="9"/>
  <c r="U352" i="9"/>
  <c r="U331" i="9"/>
  <c r="U317" i="9"/>
  <c r="U329" i="9"/>
  <c r="U283" i="9"/>
  <c r="U277" i="9"/>
  <c r="U269" i="9"/>
  <c r="U303" i="9"/>
  <c r="U289" i="9"/>
  <c r="U291" i="9"/>
  <c r="U295" i="9"/>
  <c r="U293" i="9"/>
  <c r="U286" i="9"/>
  <c r="U281" i="9"/>
  <c r="U316" i="9"/>
  <c r="U273" i="9"/>
  <c r="U266" i="9"/>
  <c r="U268" i="9"/>
  <c r="U265" i="9"/>
  <c r="U276" i="9"/>
  <c r="U274" i="9"/>
  <c r="U320" i="9"/>
  <c r="U280" i="9"/>
  <c r="U288" i="9"/>
  <c r="U282" i="9"/>
  <c r="U279" i="9"/>
  <c r="U284" i="9"/>
  <c r="U334" i="9"/>
  <c r="U270" i="9"/>
  <c r="U272" i="9"/>
  <c r="U271" i="9"/>
  <c r="U287" i="9"/>
  <c r="U327" i="9"/>
  <c r="U336" i="9"/>
  <c r="U322" i="9"/>
  <c r="U290" i="9"/>
  <c r="U351" i="9"/>
  <c r="U338" i="9"/>
  <c r="U314" i="9"/>
  <c r="U344" i="9"/>
  <c r="U347" i="9"/>
  <c r="U294" i="9"/>
  <c r="U348" i="9"/>
  <c r="U330" i="9"/>
  <c r="U349" i="9"/>
  <c r="U278" i="9"/>
  <c r="U318" i="9"/>
  <c r="U292" i="9"/>
  <c r="U267" i="9"/>
  <c r="U343" i="9"/>
  <c r="U332" i="9"/>
  <c r="U346" i="9"/>
  <c r="U340" i="9"/>
  <c r="U342" i="9"/>
  <c r="U275" i="9"/>
  <c r="V6" i="20"/>
  <c r="U6" i="8"/>
  <c r="V8" i="20"/>
  <c r="U8" i="8"/>
  <c r="L281" i="22"/>
  <c r="J281" i="22"/>
  <c r="F281" i="22"/>
  <c r="K281" i="22"/>
  <c r="I281" i="22"/>
  <c r="H281" i="22"/>
  <c r="G281" i="22"/>
  <c r="D126" i="22"/>
  <c r="U121" i="9"/>
  <c r="U113" i="9"/>
  <c r="U105" i="9"/>
  <c r="U125" i="9"/>
  <c r="U109" i="9"/>
  <c r="U102" i="9"/>
  <c r="U81" i="9"/>
  <c r="U73" i="9"/>
  <c r="U65" i="9"/>
  <c r="U57" i="9"/>
  <c r="U49" i="9"/>
  <c r="U37" i="9"/>
  <c r="U101" i="9"/>
  <c r="U93" i="9"/>
  <c r="U80" i="9"/>
  <c r="U72" i="9"/>
  <c r="U64" i="9"/>
  <c r="U56" i="9"/>
  <c r="U71" i="9"/>
  <c r="U63" i="9"/>
  <c r="U94" i="9"/>
  <c r="U85" i="9"/>
  <c r="U104" i="9"/>
  <c r="U97" i="9"/>
  <c r="U77" i="9"/>
  <c r="U117" i="9"/>
  <c r="U98" i="9"/>
  <c r="U96" i="9"/>
  <c r="U86" i="9"/>
  <c r="U89" i="9"/>
  <c r="U33" i="9"/>
  <c r="U53" i="9"/>
  <c r="U47" i="9"/>
  <c r="U9" i="9"/>
  <c r="U5" i="9"/>
  <c r="U17" i="9"/>
  <c r="U60" i="9"/>
  <c r="U8" i="9"/>
  <c r="U40" i="9"/>
  <c r="U25" i="9"/>
  <c r="U29" i="9"/>
  <c r="U61" i="9"/>
  <c r="U55" i="9"/>
  <c r="U45" i="9"/>
  <c r="U41" i="9"/>
  <c r="U69" i="9"/>
  <c r="U38" i="9"/>
  <c r="U31" i="9"/>
  <c r="U30" i="9"/>
  <c r="U20" i="9"/>
  <c r="U26" i="9"/>
  <c r="U23" i="9"/>
  <c r="U13" i="9"/>
  <c r="U21" i="9"/>
  <c r="U15" i="9"/>
  <c r="U22" i="9"/>
  <c r="U43" i="9"/>
  <c r="U27" i="9"/>
  <c r="U76" i="9"/>
  <c r="U82" i="9"/>
  <c r="U92" i="9"/>
  <c r="U112" i="9"/>
  <c r="U70" i="9"/>
  <c r="U35" i="9"/>
  <c r="U88" i="9"/>
  <c r="U106" i="9"/>
  <c r="U16" i="9"/>
  <c r="U46" i="9"/>
  <c r="U58" i="9"/>
  <c r="U32" i="9"/>
  <c r="U84" i="9"/>
  <c r="U107" i="9"/>
  <c r="U114" i="9"/>
  <c r="U100" i="9"/>
  <c r="U6" i="9"/>
  <c r="U12" i="9"/>
  <c r="U68" i="9"/>
  <c r="U24" i="9"/>
  <c r="U11" i="9"/>
  <c r="U75" i="9"/>
  <c r="U95" i="9"/>
  <c r="U115" i="9"/>
  <c r="U122" i="9"/>
  <c r="U79" i="9"/>
  <c r="U119" i="9"/>
  <c r="U78" i="9"/>
  <c r="U34" i="9"/>
  <c r="U52" i="9"/>
  <c r="U19" i="9"/>
  <c r="U103" i="9"/>
  <c r="U108" i="9"/>
  <c r="U28" i="9"/>
  <c r="U10" i="9"/>
  <c r="U48" i="9"/>
  <c r="U66" i="9"/>
  <c r="U118" i="9"/>
  <c r="U91" i="9"/>
  <c r="U14" i="9"/>
  <c r="U39" i="9"/>
  <c r="U42" i="9"/>
  <c r="U59" i="9"/>
  <c r="U44" i="9"/>
  <c r="U36" i="9"/>
  <c r="U7" i="9"/>
  <c r="U51" i="9"/>
  <c r="U67" i="9"/>
  <c r="U50" i="9"/>
  <c r="U18" i="9"/>
  <c r="U74" i="9"/>
  <c r="U111" i="9"/>
  <c r="U99" i="9"/>
  <c r="U116" i="9"/>
  <c r="U90" i="9"/>
  <c r="U54" i="9"/>
  <c r="U83" i="9"/>
  <c r="U120" i="9"/>
  <c r="U110" i="9"/>
  <c r="U123" i="9"/>
  <c r="U87" i="9"/>
  <c r="U62" i="9"/>
  <c r="U124" i="9"/>
  <c r="V10" i="20"/>
  <c r="U10" i="8"/>
  <c r="L333" i="22"/>
  <c r="J333" i="22"/>
  <c r="K333" i="22"/>
  <c r="I333" i="22"/>
  <c r="H333" i="22"/>
  <c r="G333" i="22"/>
  <c r="F333" i="22"/>
  <c r="D282" i="22"/>
  <c r="U354" i="9"/>
  <c r="U361" i="9"/>
  <c r="U374" i="9"/>
  <c r="U358" i="9"/>
  <c r="U353" i="9"/>
  <c r="U356" i="9"/>
  <c r="U372" i="9"/>
  <c r="U359" i="9"/>
  <c r="U355" i="9"/>
  <c r="U357" i="9"/>
  <c r="U360" i="9"/>
  <c r="U373" i="9"/>
  <c r="H21" i="22"/>
  <c r="L21" i="22"/>
  <c r="K21" i="22"/>
  <c r="J21" i="22"/>
  <c r="I21" i="22"/>
  <c r="G21" i="22"/>
  <c r="F21" i="22"/>
  <c r="C24" i="19"/>
  <c r="B25" i="19"/>
  <c r="E24" i="19"/>
  <c r="D24" i="19"/>
  <c r="W3" i="20" s="1"/>
  <c r="L73" i="22"/>
  <c r="F73" i="22"/>
  <c r="K73" i="22"/>
  <c r="I73" i="22"/>
  <c r="J73" i="22"/>
  <c r="H73" i="22"/>
  <c r="G73" i="22"/>
  <c r="W10" i="20" l="1"/>
  <c r="V10" i="8"/>
  <c r="C25" i="19"/>
  <c r="E25" i="19"/>
  <c r="B26" i="19"/>
  <c r="D25" i="19"/>
  <c r="X3" i="20" s="1"/>
  <c r="K126" i="22"/>
  <c r="H126" i="22"/>
  <c r="L126" i="22"/>
  <c r="J126" i="22"/>
  <c r="I126" i="22"/>
  <c r="G126" i="22"/>
  <c r="F126" i="22"/>
  <c r="D179" i="22"/>
  <c r="V351" i="9"/>
  <c r="V341" i="9"/>
  <c r="V350" i="9"/>
  <c r="V321" i="9"/>
  <c r="V345" i="9"/>
  <c r="V318" i="9"/>
  <c r="V334" i="9"/>
  <c r="V326" i="9"/>
  <c r="V336" i="9"/>
  <c r="V328" i="9"/>
  <c r="V337" i="9"/>
  <c r="V316" i="9"/>
  <c r="V338" i="9"/>
  <c r="V325" i="9"/>
  <c r="V317" i="9"/>
  <c r="V346" i="9"/>
  <c r="V330" i="9"/>
  <c r="V329" i="9"/>
  <c r="V333" i="9"/>
  <c r="V313" i="9"/>
  <c r="V285" i="9"/>
  <c r="V289" i="9"/>
  <c r="V293" i="9"/>
  <c r="V281" i="9"/>
  <c r="V282" i="9"/>
  <c r="V277" i="9"/>
  <c r="V269" i="9"/>
  <c r="V265" i="9"/>
  <c r="V272" i="9"/>
  <c r="V274" i="9"/>
  <c r="V273" i="9"/>
  <c r="V266" i="9"/>
  <c r="V292" i="9"/>
  <c r="V279" i="9"/>
  <c r="V286" i="9"/>
  <c r="V315" i="9"/>
  <c r="V303" i="9"/>
  <c r="V340" i="9"/>
  <c r="V319" i="9"/>
  <c r="V271" i="9"/>
  <c r="V270" i="9"/>
  <c r="V320" i="9"/>
  <c r="V267" i="9"/>
  <c r="V276" i="9"/>
  <c r="V342" i="9"/>
  <c r="V343" i="9"/>
  <c r="V294" i="9"/>
  <c r="V280" i="9"/>
  <c r="V314" i="9"/>
  <c r="V304" i="9"/>
  <c r="V349" i="9"/>
  <c r="V291" i="9"/>
  <c r="V288" i="9"/>
  <c r="V284" i="9"/>
  <c r="V332" i="9"/>
  <c r="V339" i="9"/>
  <c r="V275" i="9"/>
  <c r="V283" i="9"/>
  <c r="V331" i="9"/>
  <c r="V323" i="9"/>
  <c r="V352" i="9"/>
  <c r="V344" i="9"/>
  <c r="V348" i="9"/>
  <c r="V347" i="9"/>
  <c r="V278" i="9"/>
  <c r="V290" i="9"/>
  <c r="V327" i="9"/>
  <c r="V287" i="9"/>
  <c r="V268" i="9"/>
  <c r="V324" i="9"/>
  <c r="V335" i="9"/>
  <c r="V322" i="9"/>
  <c r="V295" i="9"/>
  <c r="W5" i="20"/>
  <c r="V5" i="8"/>
  <c r="W8" i="20"/>
  <c r="V8" i="8"/>
  <c r="D335" i="22"/>
  <c r="V379" i="9"/>
  <c r="V375" i="9"/>
  <c r="V387" i="9"/>
  <c r="V376" i="9"/>
  <c r="V364" i="9"/>
  <c r="V388" i="9"/>
  <c r="V371" i="9"/>
  <c r="V370" i="9"/>
  <c r="V365" i="9"/>
  <c r="V367" i="9"/>
  <c r="V366" i="9"/>
  <c r="V369" i="9"/>
  <c r="V377" i="9"/>
  <c r="V380" i="9"/>
  <c r="V362" i="9"/>
  <c r="V363" i="9"/>
  <c r="V368" i="9"/>
  <c r="V378" i="9"/>
  <c r="I334" i="22"/>
  <c r="H334" i="22"/>
  <c r="J334" i="22"/>
  <c r="L334" i="22"/>
  <c r="K334" i="22"/>
  <c r="G334" i="22"/>
  <c r="F334" i="22"/>
  <c r="D75" i="22"/>
  <c r="V298" i="9"/>
  <c r="V302" i="9"/>
  <c r="V296" i="9"/>
  <c r="V301" i="9"/>
  <c r="V297" i="9"/>
  <c r="V261" i="9"/>
  <c r="V253" i="9"/>
  <c r="V245" i="9"/>
  <c r="V237" i="9"/>
  <c r="V229" i="9"/>
  <c r="V257" i="9"/>
  <c r="V256" i="9"/>
  <c r="V249" i="9"/>
  <c r="V248" i="9"/>
  <c r="V241" i="9"/>
  <c r="V240" i="9"/>
  <c r="V233" i="9"/>
  <c r="V232" i="9"/>
  <c r="V264" i="9"/>
  <c r="V258" i="9"/>
  <c r="V250" i="9"/>
  <c r="V242" i="9"/>
  <c r="V234" i="9"/>
  <c r="V184" i="9"/>
  <c r="V225" i="9"/>
  <c r="V197" i="9"/>
  <c r="V209" i="9"/>
  <c r="V200" i="9"/>
  <c r="V221" i="9"/>
  <c r="V211" i="9"/>
  <c r="V187" i="9"/>
  <c r="V212" i="9"/>
  <c r="V192" i="9"/>
  <c r="V226" i="9"/>
  <c r="V213" i="9"/>
  <c r="V203" i="9"/>
  <c r="V220" i="9"/>
  <c r="V204" i="9"/>
  <c r="V193" i="9"/>
  <c r="V224" i="9"/>
  <c r="V216" i="9"/>
  <c r="V205" i="9"/>
  <c r="V195" i="9"/>
  <c r="V208" i="9"/>
  <c r="V196" i="9"/>
  <c r="V180" i="9"/>
  <c r="V177" i="9"/>
  <c r="V188" i="9"/>
  <c r="V172" i="9"/>
  <c r="V191" i="9"/>
  <c r="V189" i="9"/>
  <c r="V174" i="9"/>
  <c r="V181" i="9"/>
  <c r="V173" i="9"/>
  <c r="V185" i="9"/>
  <c r="V247" i="9"/>
  <c r="V183" i="9"/>
  <c r="V186" i="9"/>
  <c r="V170" i="9"/>
  <c r="V219" i="9"/>
  <c r="V199" i="9"/>
  <c r="V238" i="9"/>
  <c r="V246" i="9"/>
  <c r="V243" i="9"/>
  <c r="V179" i="9"/>
  <c r="V201" i="9"/>
  <c r="V231" i="9"/>
  <c r="V235" i="9"/>
  <c r="V194" i="9"/>
  <c r="V252" i="9"/>
  <c r="V236" i="9"/>
  <c r="V251" i="9"/>
  <c r="V210" i="9"/>
  <c r="V228" i="9"/>
  <c r="V255" i="9"/>
  <c r="V198" i="9"/>
  <c r="V206" i="9"/>
  <c r="V214" i="9"/>
  <c r="V171" i="9"/>
  <c r="V178" i="9"/>
  <c r="V223" i="9"/>
  <c r="V175" i="9"/>
  <c r="V263" i="9"/>
  <c r="V239" i="9"/>
  <c r="V202" i="9"/>
  <c r="V217" i="9"/>
  <c r="V176" i="9"/>
  <c r="V215" i="9"/>
  <c r="V244" i="9"/>
  <c r="V254" i="9"/>
  <c r="V227" i="9"/>
  <c r="V259" i="9"/>
  <c r="V182" i="9"/>
  <c r="V190" i="9"/>
  <c r="V262" i="9"/>
  <c r="V300" i="9"/>
  <c r="V299" i="9"/>
  <c r="V207" i="9"/>
  <c r="V218" i="9"/>
  <c r="V230" i="9"/>
  <c r="V260" i="9"/>
  <c r="V222" i="9"/>
  <c r="W11" i="20"/>
  <c r="V11" i="8"/>
  <c r="W6" i="20"/>
  <c r="V6" i="8"/>
  <c r="I282" i="22"/>
  <c r="J282" i="22"/>
  <c r="K282" i="22"/>
  <c r="G282" i="22"/>
  <c r="L282" i="22"/>
  <c r="H282" i="22"/>
  <c r="F282" i="22"/>
  <c r="D283" i="22"/>
  <c r="V372" i="9"/>
  <c r="V354" i="9"/>
  <c r="V359" i="9"/>
  <c r="V361" i="9"/>
  <c r="V358" i="9"/>
  <c r="V373" i="9"/>
  <c r="V360" i="9"/>
  <c r="V355" i="9"/>
  <c r="V357" i="9"/>
  <c r="V374" i="9"/>
  <c r="V353" i="9"/>
  <c r="V356" i="9"/>
  <c r="J178" i="22"/>
  <c r="I178" i="22"/>
  <c r="G178" i="22"/>
  <c r="L178" i="22"/>
  <c r="K178" i="22"/>
  <c r="H178" i="22"/>
  <c r="F178" i="22"/>
  <c r="I230" i="22"/>
  <c r="F230" i="22"/>
  <c r="G230" i="22"/>
  <c r="L230" i="22"/>
  <c r="K230" i="22"/>
  <c r="J230" i="22"/>
  <c r="H230" i="22"/>
  <c r="D231" i="22"/>
  <c r="V383" i="9"/>
  <c r="V386" i="9"/>
  <c r="V169" i="9"/>
  <c r="V161" i="9"/>
  <c r="V153" i="9"/>
  <c r="V145" i="9"/>
  <c r="V137" i="9"/>
  <c r="V129" i="9"/>
  <c r="V126" i="9"/>
  <c r="V165" i="9"/>
  <c r="V164" i="9"/>
  <c r="V157" i="9"/>
  <c r="V156" i="9"/>
  <c r="V149" i="9"/>
  <c r="V148" i="9"/>
  <c r="V141" i="9"/>
  <c r="V140" i="9"/>
  <c r="V166" i="9"/>
  <c r="V158" i="9"/>
  <c r="V150" i="9"/>
  <c r="V142" i="9"/>
  <c r="V134" i="9"/>
  <c r="V132" i="9"/>
  <c r="V133" i="9"/>
  <c r="V130" i="9"/>
  <c r="V135" i="9"/>
  <c r="V139" i="9"/>
  <c r="V155" i="9"/>
  <c r="V127" i="9"/>
  <c r="V131" i="9"/>
  <c r="V163" i="9"/>
  <c r="V162" i="9"/>
  <c r="V151" i="9"/>
  <c r="V146" i="9"/>
  <c r="V128" i="9"/>
  <c r="V154" i="9"/>
  <c r="V138" i="9"/>
  <c r="V143" i="9"/>
  <c r="V136" i="9"/>
  <c r="V152" i="9"/>
  <c r="V167" i="9"/>
  <c r="V168" i="9"/>
  <c r="V159" i="9"/>
  <c r="V160" i="9"/>
  <c r="V147" i="9"/>
  <c r="V144" i="9"/>
  <c r="V382" i="9"/>
  <c r="V385" i="9"/>
  <c r="V381" i="9"/>
  <c r="V384" i="9"/>
  <c r="I74" i="22"/>
  <c r="L74" i="22"/>
  <c r="K74" i="22"/>
  <c r="J74" i="22"/>
  <c r="G74" i="22"/>
  <c r="H74" i="22"/>
  <c r="F74" i="22"/>
  <c r="J22" i="22"/>
  <c r="I22" i="22"/>
  <c r="H22" i="22"/>
  <c r="G22" i="22"/>
  <c r="F22" i="22"/>
  <c r="L22" i="22"/>
  <c r="K22" i="22"/>
  <c r="C337" i="22"/>
  <c r="C285" i="22"/>
  <c r="C233" i="22"/>
  <c r="C181" i="22"/>
  <c r="C129" i="22"/>
  <c r="C25" i="22"/>
  <c r="C77" i="22"/>
  <c r="W2" i="20"/>
  <c r="W9" i="20"/>
  <c r="V9" i="8"/>
  <c r="D23" i="22"/>
  <c r="V309" i="9"/>
  <c r="V305" i="9"/>
  <c r="V308" i="9"/>
  <c r="V310" i="9"/>
  <c r="V311" i="9"/>
  <c r="V307" i="9"/>
  <c r="V306" i="9"/>
  <c r="V312" i="9"/>
  <c r="D127" i="22"/>
  <c r="V121" i="9"/>
  <c r="V113" i="9"/>
  <c r="V105" i="9"/>
  <c r="V97" i="9"/>
  <c r="V89" i="9"/>
  <c r="V81" i="9"/>
  <c r="V73" i="9"/>
  <c r="V65" i="9"/>
  <c r="V57" i="9"/>
  <c r="V49" i="9"/>
  <c r="V37" i="9"/>
  <c r="V101" i="9"/>
  <c r="V93" i="9"/>
  <c r="V85" i="9"/>
  <c r="V104" i="9"/>
  <c r="V78" i="9"/>
  <c r="V77" i="9"/>
  <c r="V125" i="9"/>
  <c r="V117" i="9"/>
  <c r="V96" i="9"/>
  <c r="V86" i="9"/>
  <c r="V124" i="9"/>
  <c r="V109" i="9"/>
  <c r="V70" i="9"/>
  <c r="V29" i="9"/>
  <c r="V8" i="9"/>
  <c r="V5" i="9"/>
  <c r="V54" i="9"/>
  <c r="V44" i="9"/>
  <c r="V25" i="9"/>
  <c r="V17" i="9"/>
  <c r="V14" i="9"/>
  <c r="V61" i="9"/>
  <c r="V45" i="9"/>
  <c r="V41" i="9"/>
  <c r="V69" i="9"/>
  <c r="V30" i="9"/>
  <c r="V48" i="9"/>
  <c r="V33" i="9"/>
  <c r="V32" i="9"/>
  <c r="V26" i="9"/>
  <c r="V13" i="9"/>
  <c r="V62" i="9"/>
  <c r="V42" i="9"/>
  <c r="V10" i="9"/>
  <c r="V53" i="9"/>
  <c r="V9" i="9"/>
  <c r="V21" i="9"/>
  <c r="V20" i="9"/>
  <c r="V38" i="9"/>
  <c r="V16" i="9"/>
  <c r="V36" i="9"/>
  <c r="V39" i="9"/>
  <c r="V6" i="9"/>
  <c r="V22" i="9"/>
  <c r="V24" i="9"/>
  <c r="V107" i="9"/>
  <c r="V94" i="9"/>
  <c r="V56" i="9"/>
  <c r="V72" i="9"/>
  <c r="V87" i="9"/>
  <c r="V120" i="9"/>
  <c r="V68" i="9"/>
  <c r="V95" i="9"/>
  <c r="V115" i="9"/>
  <c r="V59" i="9"/>
  <c r="V52" i="9"/>
  <c r="V12" i="9"/>
  <c r="V47" i="9"/>
  <c r="V103" i="9"/>
  <c r="V75" i="9"/>
  <c r="V76" i="9"/>
  <c r="V118" i="9"/>
  <c r="V80" i="9"/>
  <c r="V102" i="9"/>
  <c r="V23" i="9"/>
  <c r="V15" i="9"/>
  <c r="V43" i="9"/>
  <c r="V51" i="9"/>
  <c r="V83" i="9"/>
  <c r="V91" i="9"/>
  <c r="V27" i="9"/>
  <c r="V40" i="9"/>
  <c r="V46" i="9"/>
  <c r="V88" i="9"/>
  <c r="V100" i="9"/>
  <c r="V110" i="9"/>
  <c r="V114" i="9"/>
  <c r="V50" i="9"/>
  <c r="V19" i="9"/>
  <c r="V18" i="9"/>
  <c r="V28" i="9"/>
  <c r="V34" i="9"/>
  <c r="V111" i="9"/>
  <c r="V7" i="9"/>
  <c r="V58" i="9"/>
  <c r="V31" i="9"/>
  <c r="V67" i="9"/>
  <c r="V84" i="9"/>
  <c r="V116" i="9"/>
  <c r="V82" i="9"/>
  <c r="V71" i="9"/>
  <c r="V79" i="9"/>
  <c r="V123" i="9"/>
  <c r="V55" i="9"/>
  <c r="V35" i="9"/>
  <c r="V60" i="9"/>
  <c r="V119" i="9"/>
  <c r="V99" i="9"/>
  <c r="V98" i="9"/>
  <c r="V11" i="9"/>
  <c r="V90" i="9"/>
  <c r="V108" i="9"/>
  <c r="V64" i="9"/>
  <c r="V63" i="9"/>
  <c r="V112" i="9"/>
  <c r="V66" i="9"/>
  <c r="V74" i="9"/>
  <c r="V106" i="9"/>
  <c r="V92" i="9"/>
  <c r="V122" i="9"/>
  <c r="W7" i="20"/>
  <c r="V7" i="8"/>
  <c r="X6" i="20" l="1"/>
  <c r="W6" i="8"/>
  <c r="F283" i="22"/>
  <c r="G283" i="22"/>
  <c r="J283" i="22"/>
  <c r="H283" i="22"/>
  <c r="I283" i="22"/>
  <c r="L283" i="22"/>
  <c r="K283" i="22"/>
  <c r="X5" i="20"/>
  <c r="W5" i="8"/>
  <c r="H127" i="22"/>
  <c r="L127" i="22"/>
  <c r="K127" i="22"/>
  <c r="J127" i="22"/>
  <c r="I127" i="22"/>
  <c r="G127" i="22"/>
  <c r="F127" i="22"/>
  <c r="J23" i="22"/>
  <c r="G23" i="22"/>
  <c r="F23" i="22"/>
  <c r="L23" i="22"/>
  <c r="K23" i="22"/>
  <c r="I23" i="22"/>
  <c r="H23" i="22"/>
  <c r="D336" i="22"/>
  <c r="W367" i="9"/>
  <c r="W387" i="9"/>
  <c r="W375" i="9"/>
  <c r="W388" i="9"/>
  <c r="W379" i="9"/>
  <c r="W378" i="9"/>
  <c r="W365" i="9"/>
  <c r="W371" i="9"/>
  <c r="W370" i="9"/>
  <c r="W377" i="9"/>
  <c r="W368" i="9"/>
  <c r="W363" i="9"/>
  <c r="W366" i="9"/>
  <c r="W364" i="9"/>
  <c r="W362" i="9"/>
  <c r="W376" i="9"/>
  <c r="W369" i="9"/>
  <c r="W380" i="9"/>
  <c r="F75" i="22"/>
  <c r="K75" i="22"/>
  <c r="J75" i="22"/>
  <c r="I75" i="22"/>
  <c r="H75" i="22"/>
  <c r="L75" i="22"/>
  <c r="G75" i="22"/>
  <c r="G179" i="22"/>
  <c r="F179" i="22"/>
  <c r="L179" i="22"/>
  <c r="K179" i="22"/>
  <c r="I179" i="22"/>
  <c r="J179" i="22"/>
  <c r="H179" i="22"/>
  <c r="D232" i="22"/>
  <c r="W383" i="9"/>
  <c r="W386" i="9"/>
  <c r="W126" i="9"/>
  <c r="W165" i="9"/>
  <c r="W157" i="9"/>
  <c r="W149" i="9"/>
  <c r="W141" i="9"/>
  <c r="W166" i="9"/>
  <c r="W158" i="9"/>
  <c r="W150" i="9"/>
  <c r="W169" i="9"/>
  <c r="W161" i="9"/>
  <c r="W153" i="9"/>
  <c r="W145" i="9"/>
  <c r="W137" i="9"/>
  <c r="W129" i="9"/>
  <c r="W134" i="9"/>
  <c r="W133" i="9"/>
  <c r="W142" i="9"/>
  <c r="W130" i="9"/>
  <c r="W151" i="9"/>
  <c r="W127" i="9"/>
  <c r="W135" i="9"/>
  <c r="W167" i="9"/>
  <c r="W136" i="9"/>
  <c r="W163" i="9"/>
  <c r="W160" i="9"/>
  <c r="W147" i="9"/>
  <c r="W162" i="9"/>
  <c r="W131" i="9"/>
  <c r="W143" i="9"/>
  <c r="W144" i="9"/>
  <c r="W154" i="9"/>
  <c r="W138" i="9"/>
  <c r="W128" i="9"/>
  <c r="W139" i="9"/>
  <c r="W155" i="9"/>
  <c r="W146" i="9"/>
  <c r="W132" i="9"/>
  <c r="W140" i="9"/>
  <c r="W164" i="9"/>
  <c r="W159" i="9"/>
  <c r="W148" i="9"/>
  <c r="W152" i="9"/>
  <c r="W385" i="9"/>
  <c r="W156" i="9"/>
  <c r="W168" i="9"/>
  <c r="W384" i="9"/>
  <c r="W381" i="9"/>
  <c r="W382" i="9"/>
  <c r="X11" i="20"/>
  <c r="W11" i="8"/>
  <c r="E26" i="19"/>
  <c r="D26" i="19"/>
  <c r="Y3" i="20" s="1"/>
  <c r="C26" i="19"/>
  <c r="B27" i="19"/>
  <c r="X9" i="20"/>
  <c r="W9" i="8"/>
  <c r="F335" i="22"/>
  <c r="G335" i="22"/>
  <c r="H335" i="22"/>
  <c r="L335" i="22"/>
  <c r="K335" i="22"/>
  <c r="J335" i="22"/>
  <c r="I335" i="22"/>
  <c r="C338" i="22"/>
  <c r="C286" i="22"/>
  <c r="C234" i="22"/>
  <c r="C182" i="22"/>
  <c r="C130" i="22"/>
  <c r="C78" i="22"/>
  <c r="C26" i="22"/>
  <c r="X2" i="20"/>
  <c r="F231" i="22"/>
  <c r="K231" i="22"/>
  <c r="G231" i="22"/>
  <c r="H231" i="22"/>
  <c r="L231" i="22"/>
  <c r="J231" i="22"/>
  <c r="I231" i="22"/>
  <c r="D180" i="22"/>
  <c r="W325" i="9"/>
  <c r="W346" i="9"/>
  <c r="W347" i="9"/>
  <c r="W341" i="9"/>
  <c r="W350" i="9"/>
  <c r="W340" i="9"/>
  <c r="W289" i="9"/>
  <c r="W336" i="9"/>
  <c r="W328" i="9"/>
  <c r="W344" i="9"/>
  <c r="W337" i="9"/>
  <c r="W316" i="9"/>
  <c r="W338" i="9"/>
  <c r="W321" i="9"/>
  <c r="W319" i="9"/>
  <c r="W332" i="9"/>
  <c r="W330" i="9"/>
  <c r="W329" i="9"/>
  <c r="W333" i="9"/>
  <c r="W313" i="9"/>
  <c r="W345" i="9"/>
  <c r="W318" i="9"/>
  <c r="W304" i="9"/>
  <c r="W317" i="9"/>
  <c r="W293" i="9"/>
  <c r="W291" i="9"/>
  <c r="W295" i="9"/>
  <c r="W284" i="9"/>
  <c r="W282" i="9"/>
  <c r="W292" i="9"/>
  <c r="W277" i="9"/>
  <c r="W285" i="9"/>
  <c r="W283" i="9"/>
  <c r="W265" i="9"/>
  <c r="W274" i="9"/>
  <c r="W267" i="9"/>
  <c r="W275" i="9"/>
  <c r="W273" i="9"/>
  <c r="W269" i="9"/>
  <c r="W266" i="9"/>
  <c r="W281" i="9"/>
  <c r="W268" i="9"/>
  <c r="W270" i="9"/>
  <c r="W290" i="9"/>
  <c r="W323" i="9"/>
  <c r="W352" i="9"/>
  <c r="W272" i="9"/>
  <c r="W286" i="9"/>
  <c r="W315" i="9"/>
  <c r="W334" i="9"/>
  <c r="W271" i="9"/>
  <c r="W279" i="9"/>
  <c r="W348" i="9"/>
  <c r="W331" i="9"/>
  <c r="W287" i="9"/>
  <c r="W280" i="9"/>
  <c r="W276" i="9"/>
  <c r="W327" i="9"/>
  <c r="W322" i="9"/>
  <c r="W326" i="9"/>
  <c r="W351" i="9"/>
  <c r="W320" i="9"/>
  <c r="W314" i="9"/>
  <c r="W335" i="9"/>
  <c r="W324" i="9"/>
  <c r="W342" i="9"/>
  <c r="W343" i="9"/>
  <c r="W278" i="9"/>
  <c r="W294" i="9"/>
  <c r="W288" i="9"/>
  <c r="W349" i="9"/>
  <c r="W303" i="9"/>
  <c r="W339" i="9"/>
  <c r="X8" i="20"/>
  <c r="W8" i="8"/>
  <c r="D284" i="22"/>
  <c r="W361" i="9"/>
  <c r="W373" i="9"/>
  <c r="W374" i="9"/>
  <c r="W372" i="9"/>
  <c r="W353" i="9"/>
  <c r="W355" i="9"/>
  <c r="W358" i="9"/>
  <c r="W354" i="9"/>
  <c r="W359" i="9"/>
  <c r="W357" i="9"/>
  <c r="W360" i="9"/>
  <c r="W356" i="9"/>
  <c r="D76" i="22"/>
  <c r="W298" i="9"/>
  <c r="W302" i="9"/>
  <c r="W296" i="9"/>
  <c r="W301" i="9"/>
  <c r="W299" i="9"/>
  <c r="W297" i="9"/>
  <c r="W261" i="9"/>
  <c r="W188" i="9"/>
  <c r="W221" i="9"/>
  <c r="W220" i="9"/>
  <c r="W257" i="9"/>
  <c r="W255" i="9"/>
  <c r="W249" i="9"/>
  <c r="W247" i="9"/>
  <c r="W241" i="9"/>
  <c r="W239" i="9"/>
  <c r="W258" i="9"/>
  <c r="W250" i="9"/>
  <c r="W242" i="9"/>
  <c r="W234" i="9"/>
  <c r="W263" i="9"/>
  <c r="W253" i="9"/>
  <c r="W245" i="9"/>
  <c r="W237" i="9"/>
  <c r="W235" i="9"/>
  <c r="W229" i="9"/>
  <c r="W262" i="9"/>
  <c r="W227" i="9"/>
  <c r="W200" i="9"/>
  <c r="W211" i="9"/>
  <c r="W181" i="9"/>
  <c r="W212" i="9"/>
  <c r="W201" i="9"/>
  <c r="W192" i="9"/>
  <c r="W189" i="9"/>
  <c r="W233" i="9"/>
  <c r="W226" i="9"/>
  <c r="W213" i="9"/>
  <c r="W203" i="9"/>
  <c r="W191" i="9"/>
  <c r="W217" i="9"/>
  <c r="W204" i="9"/>
  <c r="W216" i="9"/>
  <c r="W207" i="9"/>
  <c r="W205" i="9"/>
  <c r="W195" i="9"/>
  <c r="W208" i="9"/>
  <c r="W196" i="9"/>
  <c r="W231" i="9"/>
  <c r="W225" i="9"/>
  <c r="W215" i="9"/>
  <c r="W199" i="9"/>
  <c r="W197" i="9"/>
  <c r="W193" i="9"/>
  <c r="W180" i="9"/>
  <c r="W182" i="9"/>
  <c r="W179" i="9"/>
  <c r="W175" i="9"/>
  <c r="W184" i="9"/>
  <c r="W177" i="9"/>
  <c r="W174" i="9"/>
  <c r="W173" i="9"/>
  <c r="W170" i="9"/>
  <c r="W178" i="9"/>
  <c r="W171" i="9"/>
  <c r="W176" i="9"/>
  <c r="W248" i="9"/>
  <c r="W259" i="9"/>
  <c r="W210" i="9"/>
  <c r="W228" i="9"/>
  <c r="W186" i="9"/>
  <c r="W190" i="9"/>
  <c r="W185" i="9"/>
  <c r="W209" i="9"/>
  <c r="W222" i="9"/>
  <c r="W172" i="9"/>
  <c r="W202" i="9"/>
  <c r="W243" i="9"/>
  <c r="W236" i="9"/>
  <c r="W254" i="9"/>
  <c r="W300" i="9"/>
  <c r="W252" i="9"/>
  <c r="W198" i="9"/>
  <c r="W206" i="9"/>
  <c r="W214" i="9"/>
  <c r="W218" i="9"/>
  <c r="W232" i="9"/>
  <c r="W223" i="9"/>
  <c r="W224" i="9"/>
  <c r="W251" i="9"/>
  <c r="W244" i="9"/>
  <c r="W183" i="9"/>
  <c r="W256" i="9"/>
  <c r="W264" i="9"/>
  <c r="W219" i="9"/>
  <c r="W187" i="9"/>
  <c r="W240" i="9"/>
  <c r="W246" i="9"/>
  <c r="W238" i="9"/>
  <c r="W194" i="9"/>
  <c r="W230" i="9"/>
  <c r="W260" i="9"/>
  <c r="D128" i="22"/>
  <c r="W121" i="9"/>
  <c r="W113" i="9"/>
  <c r="W105" i="9"/>
  <c r="W97" i="9"/>
  <c r="W89" i="9"/>
  <c r="W101" i="9"/>
  <c r="W93" i="9"/>
  <c r="W25" i="9"/>
  <c r="W41" i="9"/>
  <c r="W119" i="9"/>
  <c r="W85" i="9"/>
  <c r="W77" i="9"/>
  <c r="W70" i="9"/>
  <c r="W69" i="9"/>
  <c r="W125" i="9"/>
  <c r="W117" i="9"/>
  <c r="W111" i="9"/>
  <c r="W95" i="9"/>
  <c r="W86" i="9"/>
  <c r="W84" i="9"/>
  <c r="W110" i="9"/>
  <c r="W109" i="9"/>
  <c r="W103" i="9"/>
  <c r="W87" i="9"/>
  <c r="W102" i="9"/>
  <c r="W81" i="9"/>
  <c r="W73" i="9"/>
  <c r="W65" i="9"/>
  <c r="W57" i="9"/>
  <c r="W49" i="9"/>
  <c r="W37" i="9"/>
  <c r="W76" i="9"/>
  <c r="W21" i="9"/>
  <c r="W5" i="9"/>
  <c r="W13" i="9"/>
  <c r="W54" i="9"/>
  <c r="W29" i="9"/>
  <c r="W61" i="9"/>
  <c r="W45" i="9"/>
  <c r="W17" i="9"/>
  <c r="W30" i="9"/>
  <c r="W48" i="9"/>
  <c r="W33" i="9"/>
  <c r="W32" i="9"/>
  <c r="W31" i="9"/>
  <c r="W26" i="9"/>
  <c r="W62" i="9"/>
  <c r="W42" i="9"/>
  <c r="W34" i="9"/>
  <c r="W53" i="9"/>
  <c r="W9" i="9"/>
  <c r="W60" i="9"/>
  <c r="W47" i="9"/>
  <c r="W14" i="9"/>
  <c r="W10" i="9"/>
  <c r="W6" i="9"/>
  <c r="W12" i="9"/>
  <c r="W59" i="9"/>
  <c r="W18" i="9"/>
  <c r="W11" i="9"/>
  <c r="W75" i="9"/>
  <c r="W115" i="9"/>
  <c r="W100" i="9"/>
  <c r="W94" i="9"/>
  <c r="W99" i="9"/>
  <c r="W64" i="9"/>
  <c r="W22" i="9"/>
  <c r="W51" i="9"/>
  <c r="W83" i="9"/>
  <c r="W38" i="9"/>
  <c r="W7" i="9"/>
  <c r="W44" i="9"/>
  <c r="W82" i="9"/>
  <c r="W104" i="9"/>
  <c r="W90" i="9"/>
  <c r="W120" i="9"/>
  <c r="W123" i="9"/>
  <c r="W55" i="9"/>
  <c r="W98" i="9"/>
  <c r="W68" i="9"/>
  <c r="W50" i="9"/>
  <c r="W40" i="9"/>
  <c r="W35" i="9"/>
  <c r="W66" i="9"/>
  <c r="W112" i="9"/>
  <c r="W23" i="9"/>
  <c r="W27" i="9"/>
  <c r="W16" i="9"/>
  <c r="W36" i="9"/>
  <c r="W39" i="9"/>
  <c r="W20" i="9"/>
  <c r="W28" i="9"/>
  <c r="W24" i="9"/>
  <c r="W58" i="9"/>
  <c r="W15" i="9"/>
  <c r="W52" i="9"/>
  <c r="W46" i="9"/>
  <c r="W19" i="9"/>
  <c r="W8" i="9"/>
  <c r="W43" i="9"/>
  <c r="W74" i="9"/>
  <c r="W107" i="9"/>
  <c r="W92" i="9"/>
  <c r="W78" i="9"/>
  <c r="W88" i="9"/>
  <c r="W96" i="9"/>
  <c r="W80" i="9"/>
  <c r="W91" i="9"/>
  <c r="W63" i="9"/>
  <c r="W124" i="9"/>
  <c r="W108" i="9"/>
  <c r="W122" i="9"/>
  <c r="W56" i="9"/>
  <c r="W114" i="9"/>
  <c r="W116" i="9"/>
  <c r="W72" i="9"/>
  <c r="W118" i="9"/>
  <c r="W79" i="9"/>
  <c r="W67" i="9"/>
  <c r="W71" i="9"/>
  <c r="W106" i="9"/>
  <c r="X7" i="20"/>
  <c r="W7" i="8"/>
  <c r="D24" i="22"/>
  <c r="W310" i="9"/>
  <c r="W305" i="9"/>
  <c r="W312" i="9"/>
  <c r="W309" i="9"/>
  <c r="W306" i="9"/>
  <c r="W307" i="9"/>
  <c r="W308" i="9"/>
  <c r="W311" i="9"/>
  <c r="X10" i="20"/>
  <c r="W10" i="8"/>
  <c r="G24" i="22" l="1"/>
  <c r="L24" i="22"/>
  <c r="K24" i="22"/>
  <c r="J24" i="22"/>
  <c r="I24" i="22"/>
  <c r="H24" i="22"/>
  <c r="F24" i="22"/>
  <c r="K284" i="22"/>
  <c r="L284" i="22"/>
  <c r="I284" i="22"/>
  <c r="G284" i="22"/>
  <c r="J284" i="22"/>
  <c r="H284" i="22"/>
  <c r="F284" i="22"/>
  <c r="C287" i="22"/>
  <c r="C339" i="22"/>
  <c r="C235" i="22"/>
  <c r="C131" i="22"/>
  <c r="C183" i="22"/>
  <c r="C79" i="22"/>
  <c r="C27" i="22"/>
  <c r="Y2" i="20"/>
  <c r="Y8" i="20"/>
  <c r="X8" i="8"/>
  <c r="Y11" i="20"/>
  <c r="X11" i="8"/>
  <c r="K76" i="22"/>
  <c r="I76" i="22"/>
  <c r="H76" i="22"/>
  <c r="G76" i="22"/>
  <c r="F76" i="22"/>
  <c r="J76" i="22"/>
  <c r="L76" i="22"/>
  <c r="D233" i="22"/>
  <c r="X383" i="9"/>
  <c r="X165" i="9"/>
  <c r="X163" i="9"/>
  <c r="X157" i="9"/>
  <c r="X155" i="9"/>
  <c r="X149" i="9"/>
  <c r="X147" i="9"/>
  <c r="X166" i="9"/>
  <c r="X158" i="9"/>
  <c r="X150" i="9"/>
  <c r="X142" i="9"/>
  <c r="X169" i="9"/>
  <c r="X161" i="9"/>
  <c r="X153" i="9"/>
  <c r="X145" i="9"/>
  <c r="X137" i="9"/>
  <c r="X126" i="9"/>
  <c r="X139" i="9"/>
  <c r="X133" i="9"/>
  <c r="X141" i="9"/>
  <c r="X134" i="9"/>
  <c r="X131" i="9"/>
  <c r="X129" i="9"/>
  <c r="X128" i="9"/>
  <c r="X151" i="9"/>
  <c r="X167" i="9"/>
  <c r="X127" i="9"/>
  <c r="X144" i="9"/>
  <c r="X160" i="9"/>
  <c r="X132" i="9"/>
  <c r="X140" i="9"/>
  <c r="X156" i="9"/>
  <c r="X130" i="9"/>
  <c r="X135" i="9"/>
  <c r="X136" i="9"/>
  <c r="X146" i="9"/>
  <c r="X162" i="9"/>
  <c r="X143" i="9"/>
  <c r="X148" i="9"/>
  <c r="X154" i="9"/>
  <c r="X159" i="9"/>
  <c r="X138" i="9"/>
  <c r="X168" i="9"/>
  <c r="X164" i="9"/>
  <c r="X384" i="9"/>
  <c r="X386" i="9"/>
  <c r="X381" i="9"/>
  <c r="X152" i="9"/>
  <c r="X385" i="9"/>
  <c r="X382" i="9"/>
  <c r="J128" i="22"/>
  <c r="K128" i="22"/>
  <c r="I128" i="22"/>
  <c r="H128" i="22"/>
  <c r="G128" i="22"/>
  <c r="F128" i="22"/>
  <c r="L128" i="22"/>
  <c r="L180" i="22"/>
  <c r="K180" i="22"/>
  <c r="I180" i="22"/>
  <c r="H180" i="22"/>
  <c r="F180" i="22"/>
  <c r="J180" i="22"/>
  <c r="G180" i="22"/>
  <c r="Y9" i="20"/>
  <c r="X9" i="8"/>
  <c r="D129" i="22"/>
  <c r="X105" i="9"/>
  <c r="X41" i="9"/>
  <c r="X25" i="9"/>
  <c r="X85" i="9"/>
  <c r="X77" i="9"/>
  <c r="X69" i="9"/>
  <c r="X61" i="9"/>
  <c r="X53" i="9"/>
  <c r="X125" i="9"/>
  <c r="X117" i="9"/>
  <c r="X95" i="9"/>
  <c r="X86" i="9"/>
  <c r="X121" i="9"/>
  <c r="X114" i="9"/>
  <c r="X110" i="9"/>
  <c r="X107" i="9"/>
  <c r="X97" i="9"/>
  <c r="X109" i="9"/>
  <c r="X103" i="9"/>
  <c r="X98" i="9"/>
  <c r="X87" i="9"/>
  <c r="X113" i="9"/>
  <c r="X106" i="9"/>
  <c r="X102" i="9"/>
  <c r="X89" i="9"/>
  <c r="X81" i="9"/>
  <c r="X73" i="9"/>
  <c r="X65" i="9"/>
  <c r="X101" i="9"/>
  <c r="X93" i="9"/>
  <c r="X29" i="9"/>
  <c r="X45" i="9"/>
  <c r="X11" i="9"/>
  <c r="X9" i="9"/>
  <c r="X17" i="9"/>
  <c r="X10" i="9"/>
  <c r="X37" i="9"/>
  <c r="X14" i="9"/>
  <c r="X49" i="9"/>
  <c r="X33" i="9"/>
  <c r="X31" i="9"/>
  <c r="X34" i="9"/>
  <c r="X7" i="9"/>
  <c r="X47" i="9"/>
  <c r="X35" i="9"/>
  <c r="X22" i="9"/>
  <c r="X57" i="9"/>
  <c r="X21" i="9"/>
  <c r="X5" i="9"/>
  <c r="X30" i="9"/>
  <c r="X13" i="9"/>
  <c r="X6" i="9"/>
  <c r="X23" i="9"/>
  <c r="X27" i="9"/>
  <c r="X24" i="9"/>
  <c r="X51" i="9"/>
  <c r="X60" i="9"/>
  <c r="X90" i="9"/>
  <c r="X66" i="9"/>
  <c r="X104" i="9"/>
  <c r="X76" i="9"/>
  <c r="X63" i="9"/>
  <c r="X120" i="9"/>
  <c r="X80" i="9"/>
  <c r="X119" i="9"/>
  <c r="X91" i="9"/>
  <c r="X19" i="9"/>
  <c r="X43" i="9"/>
  <c r="X44" i="9"/>
  <c r="X28" i="9"/>
  <c r="X20" i="9"/>
  <c r="X67" i="9"/>
  <c r="X99" i="9"/>
  <c r="X84" i="9"/>
  <c r="X112" i="9"/>
  <c r="X68" i="9"/>
  <c r="X36" i="9"/>
  <c r="X8" i="9"/>
  <c r="X54" i="9"/>
  <c r="X18" i="9"/>
  <c r="X74" i="9"/>
  <c r="X108" i="9"/>
  <c r="X15" i="9"/>
  <c r="X12" i="9"/>
  <c r="X26" i="9"/>
  <c r="X75" i="9"/>
  <c r="X82" i="9"/>
  <c r="X50" i="9"/>
  <c r="X52" i="9"/>
  <c r="X38" i="9"/>
  <c r="X16" i="9"/>
  <c r="X39" i="9"/>
  <c r="X42" i="9"/>
  <c r="X46" i="9"/>
  <c r="X40" i="9"/>
  <c r="X59" i="9"/>
  <c r="X58" i="9"/>
  <c r="X62" i="9"/>
  <c r="X79" i="9"/>
  <c r="X116" i="9"/>
  <c r="X83" i="9"/>
  <c r="X100" i="9"/>
  <c r="X71" i="9"/>
  <c r="X115" i="9"/>
  <c r="X88" i="9"/>
  <c r="X122" i="9"/>
  <c r="X92" i="9"/>
  <c r="X111" i="9"/>
  <c r="X70" i="9"/>
  <c r="X78" i="9"/>
  <c r="X118" i="9"/>
  <c r="X48" i="9"/>
  <c r="X124" i="9"/>
  <c r="X94" i="9"/>
  <c r="X96" i="9"/>
  <c r="X72" i="9"/>
  <c r="X64" i="9"/>
  <c r="X55" i="9"/>
  <c r="X123" i="9"/>
  <c r="X32" i="9"/>
  <c r="X56" i="9"/>
  <c r="D337" i="22"/>
  <c r="X367" i="9"/>
  <c r="X387" i="9"/>
  <c r="X388" i="9"/>
  <c r="X379" i="9"/>
  <c r="X365" i="9"/>
  <c r="X375" i="9"/>
  <c r="X380" i="9"/>
  <c r="X371" i="9"/>
  <c r="X376" i="9"/>
  <c r="X363" i="9"/>
  <c r="X368" i="9"/>
  <c r="X369" i="9"/>
  <c r="X377" i="9"/>
  <c r="X364" i="9"/>
  <c r="X362" i="9"/>
  <c r="X378" i="9"/>
  <c r="X366" i="9"/>
  <c r="X370" i="9"/>
  <c r="C27" i="19"/>
  <c r="E27" i="19"/>
  <c r="B28" i="19"/>
  <c r="D27" i="19"/>
  <c r="Z3" i="20" s="1"/>
  <c r="J232" i="22"/>
  <c r="L232" i="22"/>
  <c r="H232" i="22"/>
  <c r="F232" i="22"/>
  <c r="I232" i="22"/>
  <c r="G232" i="22"/>
  <c r="K232" i="22"/>
  <c r="D25" i="22"/>
  <c r="X309" i="9"/>
  <c r="X305" i="9"/>
  <c r="X311" i="9"/>
  <c r="X307" i="9"/>
  <c r="X310" i="9"/>
  <c r="X312" i="9"/>
  <c r="X308" i="9"/>
  <c r="X306" i="9"/>
  <c r="D181" i="22"/>
  <c r="X345" i="9"/>
  <c r="X337" i="9"/>
  <c r="X352" i="9"/>
  <c r="X347" i="9"/>
  <c r="X341" i="9"/>
  <c r="X350" i="9"/>
  <c r="X325" i="9"/>
  <c r="X335" i="9"/>
  <c r="X321" i="9"/>
  <c r="X319" i="9"/>
  <c r="X317" i="9"/>
  <c r="X329" i="9"/>
  <c r="X327" i="9"/>
  <c r="X333" i="9"/>
  <c r="X313" i="9"/>
  <c r="X318" i="9"/>
  <c r="X289" i="9"/>
  <c r="X293" i="9"/>
  <c r="X295" i="9"/>
  <c r="X281" i="9"/>
  <c r="X273" i="9"/>
  <c r="X265" i="9"/>
  <c r="X282" i="9"/>
  <c r="X286" i="9"/>
  <c r="X277" i="9"/>
  <c r="X285" i="9"/>
  <c r="X283" i="9"/>
  <c r="X269" i="9"/>
  <c r="X272" i="9"/>
  <c r="X280" i="9"/>
  <c r="X287" i="9"/>
  <c r="X294" i="9"/>
  <c r="X266" i="9"/>
  <c r="X271" i="9"/>
  <c r="X326" i="9"/>
  <c r="X314" i="9"/>
  <c r="X351" i="9"/>
  <c r="X348" i="9"/>
  <c r="X344" i="9"/>
  <c r="X331" i="9"/>
  <c r="X270" i="9"/>
  <c r="X268" i="9"/>
  <c r="X316" i="9"/>
  <c r="X332" i="9"/>
  <c r="X342" i="9"/>
  <c r="X292" i="9"/>
  <c r="X334" i="9"/>
  <c r="X324" i="9"/>
  <c r="X303" i="9"/>
  <c r="X328" i="9"/>
  <c r="X284" i="9"/>
  <c r="X304" i="9"/>
  <c r="X346" i="9"/>
  <c r="X278" i="9"/>
  <c r="X288" i="9"/>
  <c r="X274" i="9"/>
  <c r="X349" i="9"/>
  <c r="X339" i="9"/>
  <c r="X290" i="9"/>
  <c r="X267" i="9"/>
  <c r="X315" i="9"/>
  <c r="X323" i="9"/>
  <c r="X338" i="9"/>
  <c r="X276" i="9"/>
  <c r="X291" i="9"/>
  <c r="X322" i="9"/>
  <c r="X275" i="9"/>
  <c r="X330" i="9"/>
  <c r="X343" i="9"/>
  <c r="X336" i="9"/>
  <c r="X320" i="9"/>
  <c r="X340" i="9"/>
  <c r="X279" i="9"/>
  <c r="Y7" i="20"/>
  <c r="X7" i="8"/>
  <c r="K336" i="22"/>
  <c r="F336" i="22"/>
  <c r="G336" i="22"/>
  <c r="L336" i="22"/>
  <c r="J336" i="22"/>
  <c r="I336" i="22"/>
  <c r="H336" i="22"/>
  <c r="Y5" i="20"/>
  <c r="X5" i="8"/>
  <c r="D77" i="22"/>
  <c r="X301" i="9"/>
  <c r="X298" i="9"/>
  <c r="X299" i="9"/>
  <c r="X297" i="9"/>
  <c r="X220" i="9"/>
  <c r="X212" i="9"/>
  <c r="X204" i="9"/>
  <c r="X196" i="9"/>
  <c r="X257" i="9"/>
  <c r="X255" i="9"/>
  <c r="X249" i="9"/>
  <c r="X247" i="9"/>
  <c r="X241" i="9"/>
  <c r="X233" i="9"/>
  <c r="X225" i="9"/>
  <c r="X258" i="9"/>
  <c r="X250" i="9"/>
  <c r="X242" i="9"/>
  <c r="X234" i="9"/>
  <c r="X263" i="9"/>
  <c r="X253" i="9"/>
  <c r="X245" i="9"/>
  <c r="X237" i="9"/>
  <c r="X235" i="9"/>
  <c r="X229" i="9"/>
  <c r="X262" i="9"/>
  <c r="X261" i="9"/>
  <c r="X188" i="9"/>
  <c r="X181" i="9"/>
  <c r="X210" i="9"/>
  <c r="X192" i="9"/>
  <c r="X173" i="9"/>
  <c r="X226" i="9"/>
  <c r="X202" i="9"/>
  <c r="X193" i="9"/>
  <c r="X216" i="9"/>
  <c r="X208" i="9"/>
  <c r="X194" i="9"/>
  <c r="X227" i="9"/>
  <c r="X200" i="9"/>
  <c r="X180" i="9"/>
  <c r="X182" i="9"/>
  <c r="X179" i="9"/>
  <c r="X178" i="9"/>
  <c r="X184" i="9"/>
  <c r="X177" i="9"/>
  <c r="X183" i="9"/>
  <c r="X211" i="9"/>
  <c r="X191" i="9"/>
  <c r="X218" i="9"/>
  <c r="X174" i="9"/>
  <c r="X207" i="9"/>
  <c r="X224" i="9"/>
  <c r="X230" i="9"/>
  <c r="X236" i="9"/>
  <c r="X172" i="9"/>
  <c r="X171" i="9"/>
  <c r="X190" i="9"/>
  <c r="X170" i="9"/>
  <c r="X186" i="9"/>
  <c r="X175" i="9"/>
  <c r="X199" i="9"/>
  <c r="X252" i="9"/>
  <c r="X259" i="9"/>
  <c r="X300" i="9"/>
  <c r="X217" i="9"/>
  <c r="X223" i="9"/>
  <c r="X201" i="9"/>
  <c r="X187" i="9"/>
  <c r="X232" i="9"/>
  <c r="X260" i="9"/>
  <c r="X296" i="9"/>
  <c r="X195" i="9"/>
  <c r="X189" i="9"/>
  <c r="X246" i="9"/>
  <c r="X256" i="9"/>
  <c r="X264" i="9"/>
  <c r="X244" i="9"/>
  <c r="X239" i="9"/>
  <c r="X176" i="9"/>
  <c r="X203" i="9"/>
  <c r="X240" i="9"/>
  <c r="X251" i="9"/>
  <c r="X231" i="9"/>
  <c r="X209" i="9"/>
  <c r="X243" i="9"/>
  <c r="X228" i="9"/>
  <c r="X219" i="9"/>
  <c r="X215" i="9"/>
  <c r="X254" i="9"/>
  <c r="X197" i="9"/>
  <c r="X205" i="9"/>
  <c r="X213" i="9"/>
  <c r="X185" i="9"/>
  <c r="X238" i="9"/>
  <c r="X198" i="9"/>
  <c r="X206" i="9"/>
  <c r="X214" i="9"/>
  <c r="X221" i="9"/>
  <c r="X248" i="9"/>
  <c r="X222" i="9"/>
  <c r="X302" i="9"/>
  <c r="D285" i="22"/>
  <c r="X372" i="9"/>
  <c r="X373" i="9"/>
  <c r="X361" i="9"/>
  <c r="X359" i="9"/>
  <c r="X354" i="9"/>
  <c r="X355" i="9"/>
  <c r="X358" i="9"/>
  <c r="X353" i="9"/>
  <c r="X356" i="9"/>
  <c r="X360" i="9"/>
  <c r="X357" i="9"/>
  <c r="X374" i="9"/>
  <c r="Y10" i="20"/>
  <c r="X10" i="8"/>
  <c r="Y6" i="20"/>
  <c r="X6" i="8"/>
  <c r="Z7" i="20" l="1"/>
  <c r="Y7" i="8"/>
  <c r="D182" i="22"/>
  <c r="Y350" i="9"/>
  <c r="Y329" i="9"/>
  <c r="Y341" i="9"/>
  <c r="Y346" i="9"/>
  <c r="Y345" i="9"/>
  <c r="Y339" i="9"/>
  <c r="Y338" i="9"/>
  <c r="Y337" i="9"/>
  <c r="Y331" i="9"/>
  <c r="Y330" i="9"/>
  <c r="Y347" i="9"/>
  <c r="Y293" i="9"/>
  <c r="Y321" i="9"/>
  <c r="Y319" i="9"/>
  <c r="Y316" i="9"/>
  <c r="Y317" i="9"/>
  <c r="Y325" i="9"/>
  <c r="Y333" i="9"/>
  <c r="Y318" i="9"/>
  <c r="Y334" i="9"/>
  <c r="Y313" i="9"/>
  <c r="Y286" i="9"/>
  <c r="Y284" i="9"/>
  <c r="Y314" i="9"/>
  <c r="Y285" i="9"/>
  <c r="Y283" i="9"/>
  <c r="Y289" i="9"/>
  <c r="Y272" i="9"/>
  <c r="Y271" i="9"/>
  <c r="Y287" i="9"/>
  <c r="Y290" i="9"/>
  <c r="Y266" i="9"/>
  <c r="Y324" i="9"/>
  <c r="Y281" i="9"/>
  <c r="Y320" i="9"/>
  <c r="Y278" i="9"/>
  <c r="Y288" i="9"/>
  <c r="Y276" i="9"/>
  <c r="Y295" i="9"/>
  <c r="Y327" i="9"/>
  <c r="Y269" i="9"/>
  <c r="Y351" i="9"/>
  <c r="Y270" i="9"/>
  <c r="Y279" i="9"/>
  <c r="Y315" i="9"/>
  <c r="Y273" i="9"/>
  <c r="Y352" i="9"/>
  <c r="Y342" i="9"/>
  <c r="Y294" i="9"/>
  <c r="Y268" i="9"/>
  <c r="Y343" i="9"/>
  <c r="Y344" i="9"/>
  <c r="Y292" i="9"/>
  <c r="Y322" i="9"/>
  <c r="Y336" i="9"/>
  <c r="Y265" i="9"/>
  <c r="Y280" i="9"/>
  <c r="Y277" i="9"/>
  <c r="Y335" i="9"/>
  <c r="Y274" i="9"/>
  <c r="Y340" i="9"/>
  <c r="Y323" i="9"/>
  <c r="Y303" i="9"/>
  <c r="Y328" i="9"/>
  <c r="Y348" i="9"/>
  <c r="Y291" i="9"/>
  <c r="Y267" i="9"/>
  <c r="Y304" i="9"/>
  <c r="Y326" i="9"/>
  <c r="Y282" i="9"/>
  <c r="Y332" i="9"/>
  <c r="Y349" i="9"/>
  <c r="Y275" i="9"/>
  <c r="H337" i="22"/>
  <c r="L337" i="22"/>
  <c r="G337" i="22"/>
  <c r="K337" i="22"/>
  <c r="J337" i="22"/>
  <c r="I337" i="22"/>
  <c r="F337" i="22"/>
  <c r="Z8" i="20"/>
  <c r="Y8" i="8"/>
  <c r="L25" i="22"/>
  <c r="K25" i="22"/>
  <c r="J25" i="22"/>
  <c r="I25" i="22"/>
  <c r="H25" i="22"/>
  <c r="G25" i="22"/>
  <c r="F25" i="22"/>
  <c r="J129" i="22"/>
  <c r="G129" i="22"/>
  <c r="I129" i="22"/>
  <c r="H129" i="22"/>
  <c r="F129" i="22"/>
  <c r="L129" i="22"/>
  <c r="K129" i="22"/>
  <c r="Z10" i="20"/>
  <c r="Y10" i="8"/>
  <c r="I181" i="22"/>
  <c r="H181" i="22"/>
  <c r="F181" i="22"/>
  <c r="K181" i="22"/>
  <c r="L181" i="22"/>
  <c r="J181" i="22"/>
  <c r="G181" i="22"/>
  <c r="B29" i="19"/>
  <c r="E28" i="19"/>
  <c r="D28" i="19"/>
  <c r="AA3" i="20" s="1"/>
  <c r="C28" i="19"/>
  <c r="D234" i="22"/>
  <c r="Y386" i="9"/>
  <c r="Y381" i="9"/>
  <c r="Y383" i="9"/>
  <c r="Y164" i="9"/>
  <c r="Y156" i="9"/>
  <c r="Y148" i="9"/>
  <c r="Y140" i="9"/>
  <c r="Y132" i="9"/>
  <c r="Y126" i="9"/>
  <c r="Y127" i="9"/>
  <c r="Y131" i="9"/>
  <c r="Y154" i="9"/>
  <c r="Y135" i="9"/>
  <c r="Y146" i="9"/>
  <c r="Y152" i="9"/>
  <c r="Y147" i="9"/>
  <c r="Y138" i="9"/>
  <c r="Y162" i="9"/>
  <c r="Y136" i="9"/>
  <c r="Y159" i="9"/>
  <c r="Y139" i="9"/>
  <c r="Y143" i="9"/>
  <c r="Y128" i="9"/>
  <c r="Y144" i="9"/>
  <c r="Y151" i="9"/>
  <c r="Y163" i="9"/>
  <c r="Y150" i="9"/>
  <c r="Y166" i="9"/>
  <c r="Y137" i="9"/>
  <c r="Y169" i="9"/>
  <c r="Y167" i="9"/>
  <c r="Y157" i="9"/>
  <c r="Y134" i="9"/>
  <c r="Y142" i="9"/>
  <c r="Y145" i="9"/>
  <c r="Y133" i="9"/>
  <c r="Y165" i="9"/>
  <c r="Y153" i="9"/>
  <c r="Y160" i="9"/>
  <c r="Y141" i="9"/>
  <c r="Y130" i="9"/>
  <c r="Y155" i="9"/>
  <c r="Y168" i="9"/>
  <c r="Y129" i="9"/>
  <c r="Y161" i="9"/>
  <c r="Y158" i="9"/>
  <c r="Y384" i="9"/>
  <c r="Y382" i="9"/>
  <c r="Y149" i="9"/>
  <c r="Y385" i="9"/>
  <c r="C340" i="22"/>
  <c r="C288" i="22"/>
  <c r="C184" i="22"/>
  <c r="C236" i="22"/>
  <c r="C132" i="22"/>
  <c r="C28" i="22"/>
  <c r="C80" i="22"/>
  <c r="Z2" i="20"/>
  <c r="Z9" i="20"/>
  <c r="Y9" i="8"/>
  <c r="D286" i="22"/>
  <c r="Y358" i="9"/>
  <c r="Y374" i="9"/>
  <c r="Y372" i="9"/>
  <c r="Y354" i="9"/>
  <c r="Y355" i="9"/>
  <c r="Y356" i="9"/>
  <c r="Y360" i="9"/>
  <c r="Y373" i="9"/>
  <c r="Y357" i="9"/>
  <c r="Y353" i="9"/>
  <c r="Y359" i="9"/>
  <c r="Y361" i="9"/>
  <c r="H77" i="22"/>
  <c r="G77" i="22"/>
  <c r="F77" i="22"/>
  <c r="K77" i="22"/>
  <c r="L77" i="22"/>
  <c r="J77" i="22"/>
  <c r="I77" i="22"/>
  <c r="D26" i="22"/>
  <c r="Y309" i="9"/>
  <c r="Y306" i="9"/>
  <c r="Y307" i="9"/>
  <c r="Y305" i="9"/>
  <c r="Y311" i="9"/>
  <c r="Y308" i="9"/>
  <c r="Y312" i="9"/>
  <c r="Y310" i="9"/>
  <c r="G233" i="22"/>
  <c r="J233" i="22"/>
  <c r="F233" i="22"/>
  <c r="H233" i="22"/>
  <c r="L233" i="22"/>
  <c r="K233" i="22"/>
  <c r="I233" i="22"/>
  <c r="D338" i="22"/>
  <c r="Y387" i="9"/>
  <c r="Y371" i="9"/>
  <c r="Y388" i="9"/>
  <c r="Y375" i="9"/>
  <c r="Y379" i="9"/>
  <c r="Y377" i="9"/>
  <c r="Y370" i="9"/>
  <c r="Y367" i="9"/>
  <c r="Y363" i="9"/>
  <c r="Y376" i="9"/>
  <c r="Y364" i="9"/>
  <c r="Y362" i="9"/>
  <c r="Y368" i="9"/>
  <c r="Y366" i="9"/>
  <c r="Y369" i="9"/>
  <c r="Y380" i="9"/>
  <c r="Y378" i="9"/>
  <c r="Y365" i="9"/>
  <c r="D78" i="22"/>
  <c r="Y301" i="9"/>
  <c r="Y299" i="9"/>
  <c r="Y296" i="9"/>
  <c r="Y297" i="9"/>
  <c r="Y298" i="9"/>
  <c r="Y256" i="9"/>
  <c r="Y248" i="9"/>
  <c r="Y240" i="9"/>
  <c r="Y263" i="9"/>
  <c r="Y262" i="9"/>
  <c r="Y222" i="9"/>
  <c r="Y221" i="9"/>
  <c r="Y220" i="9"/>
  <c r="Y214" i="9"/>
  <c r="Y213" i="9"/>
  <c r="Y212" i="9"/>
  <c r="Y206" i="9"/>
  <c r="Y205" i="9"/>
  <c r="Y204" i="9"/>
  <c r="Y198" i="9"/>
  <c r="Y197" i="9"/>
  <c r="Y196" i="9"/>
  <c r="Y192" i="9"/>
  <c r="Y217" i="9"/>
  <c r="Y202" i="9"/>
  <c r="Y193" i="9"/>
  <c r="Y216" i="9"/>
  <c r="Y208" i="9"/>
  <c r="Y232" i="9"/>
  <c r="Y224" i="9"/>
  <c r="Y209" i="9"/>
  <c r="Y200" i="9"/>
  <c r="Y181" i="9"/>
  <c r="Y182" i="9"/>
  <c r="Y188" i="9"/>
  <c r="Y178" i="9"/>
  <c r="Y172" i="9"/>
  <c r="Y184" i="9"/>
  <c r="Y171" i="9"/>
  <c r="Y194" i="9"/>
  <c r="Y180" i="9"/>
  <c r="Y170" i="9"/>
  <c r="Y191" i="9"/>
  <c r="Y176" i="9"/>
  <c r="Y234" i="9"/>
  <c r="Y230" i="9"/>
  <c r="Y183" i="9"/>
  <c r="Y190" i="9"/>
  <c r="Y211" i="9"/>
  <c r="Y228" i="9"/>
  <c r="Y242" i="9"/>
  <c r="Y246" i="9"/>
  <c r="Y251" i="9"/>
  <c r="Y247" i="9"/>
  <c r="Y249" i="9"/>
  <c r="Y203" i="9"/>
  <c r="Y237" i="9"/>
  <c r="Y186" i="9"/>
  <c r="Y219" i="9"/>
  <c r="Y264" i="9"/>
  <c r="Y177" i="9"/>
  <c r="Y179" i="9"/>
  <c r="Y185" i="9"/>
  <c r="Y174" i="9"/>
  <c r="Y187" i="9"/>
  <c r="Y215" i="9"/>
  <c r="Y254" i="9"/>
  <c r="Y236" i="9"/>
  <c r="Y227" i="9"/>
  <c r="Y259" i="9"/>
  <c r="Y201" i="9"/>
  <c r="Y210" i="9"/>
  <c r="Y207" i="9"/>
  <c r="Y250" i="9"/>
  <c r="Y238" i="9"/>
  <c r="Y223" i="9"/>
  <c r="Y218" i="9"/>
  <c r="Y199" i="9"/>
  <c r="Y252" i="9"/>
  <c r="Y243" i="9"/>
  <c r="Y173" i="9"/>
  <c r="Y226" i="9"/>
  <c r="Y235" i="9"/>
  <c r="Y231" i="9"/>
  <c r="Y300" i="9"/>
  <c r="Y241" i="9"/>
  <c r="Y258" i="9"/>
  <c r="Y255" i="9"/>
  <c r="Y233" i="9"/>
  <c r="Y253" i="9"/>
  <c r="Y302" i="9"/>
  <c r="Y175" i="9"/>
  <c r="Y225" i="9"/>
  <c r="Y245" i="9"/>
  <c r="Y257" i="9"/>
  <c r="Y239" i="9"/>
  <c r="Y229" i="9"/>
  <c r="Y244" i="9"/>
  <c r="Y189" i="9"/>
  <c r="Y261" i="9"/>
  <c r="Y260" i="9"/>
  <c r="Y195" i="9"/>
  <c r="H285" i="22"/>
  <c r="I285" i="22"/>
  <c r="J285" i="22"/>
  <c r="F285" i="22"/>
  <c r="L285" i="22"/>
  <c r="K285" i="22"/>
  <c r="G285" i="22"/>
  <c r="Z6" i="20"/>
  <c r="Y6" i="8"/>
  <c r="Z5" i="20"/>
  <c r="Y5" i="8"/>
  <c r="D130" i="22"/>
  <c r="Y13" i="9"/>
  <c r="Y9" i="9"/>
  <c r="Y5" i="9"/>
  <c r="Y77" i="9"/>
  <c r="Y69" i="9"/>
  <c r="Y61" i="9"/>
  <c r="Y53" i="9"/>
  <c r="Y45" i="9"/>
  <c r="Y29" i="9"/>
  <c r="Y17" i="9"/>
  <c r="Y95" i="9"/>
  <c r="Y86" i="9"/>
  <c r="Y98" i="9"/>
  <c r="Y96" i="9"/>
  <c r="Y87" i="9"/>
  <c r="Y124" i="9"/>
  <c r="Y106" i="9"/>
  <c r="Y99" i="9"/>
  <c r="Y83" i="9"/>
  <c r="Y82" i="9"/>
  <c r="Y81" i="9"/>
  <c r="Y75" i="9"/>
  <c r="Y41" i="9"/>
  <c r="Y25" i="9"/>
  <c r="Y21" i="9"/>
  <c r="Y30" i="9"/>
  <c r="Y14" i="9"/>
  <c r="Y33" i="9"/>
  <c r="Y37" i="9"/>
  <c r="Y31" i="9"/>
  <c r="Y49" i="9"/>
  <c r="Y11" i="9"/>
  <c r="Y10" i="9"/>
  <c r="Y73" i="9"/>
  <c r="Y67" i="9"/>
  <c r="Y65" i="9"/>
  <c r="Y48" i="9"/>
  <c r="Y34" i="9"/>
  <c r="Y32" i="9"/>
  <c r="Y7" i="9"/>
  <c r="Y59" i="9"/>
  <c r="Y38" i="9"/>
  <c r="Y47" i="9"/>
  <c r="Y35" i="9"/>
  <c r="Y22" i="9"/>
  <c r="Y57" i="9"/>
  <c r="Y74" i="9"/>
  <c r="Y66" i="9"/>
  <c r="Y6" i="9"/>
  <c r="Y28" i="9"/>
  <c r="Y16" i="9"/>
  <c r="Y68" i="9"/>
  <c r="Y42" i="9"/>
  <c r="Y111" i="9"/>
  <c r="Y55" i="9"/>
  <c r="Y71" i="9"/>
  <c r="Y94" i="9"/>
  <c r="Y50" i="9"/>
  <c r="Y27" i="9"/>
  <c r="Y46" i="9"/>
  <c r="Y23" i="9"/>
  <c r="Y39" i="9"/>
  <c r="Y15" i="9"/>
  <c r="Y104" i="9"/>
  <c r="Y118" i="9"/>
  <c r="Y120" i="9"/>
  <c r="Y79" i="9"/>
  <c r="Y102" i="9"/>
  <c r="Y52" i="9"/>
  <c r="Y20" i="9"/>
  <c r="Y8" i="9"/>
  <c r="Y44" i="9"/>
  <c r="Y51" i="9"/>
  <c r="Y116" i="9"/>
  <c r="Y123" i="9"/>
  <c r="Y112" i="9"/>
  <c r="Y107" i="9"/>
  <c r="Y91" i="9"/>
  <c r="Y103" i="9"/>
  <c r="Y88" i="9"/>
  <c r="Y110" i="9"/>
  <c r="Y18" i="9"/>
  <c r="Y40" i="9"/>
  <c r="Y12" i="9"/>
  <c r="Y24" i="9"/>
  <c r="Y58" i="9"/>
  <c r="Y60" i="9"/>
  <c r="Y76" i="9"/>
  <c r="Y19" i="9"/>
  <c r="Y43" i="9"/>
  <c r="Y90" i="9"/>
  <c r="Y64" i="9"/>
  <c r="Y122" i="9"/>
  <c r="Y114" i="9"/>
  <c r="Y119" i="9"/>
  <c r="Y113" i="9"/>
  <c r="Y36" i="9"/>
  <c r="Y62" i="9"/>
  <c r="Y84" i="9"/>
  <c r="Y56" i="9"/>
  <c r="Y72" i="9"/>
  <c r="Y78" i="9"/>
  <c r="Y108" i="9"/>
  <c r="Y100" i="9"/>
  <c r="Y63" i="9"/>
  <c r="Y26" i="9"/>
  <c r="Y80" i="9"/>
  <c r="Y92" i="9"/>
  <c r="Y125" i="9"/>
  <c r="Y115" i="9"/>
  <c r="Y105" i="9"/>
  <c r="Y121" i="9"/>
  <c r="Y85" i="9"/>
  <c r="Y93" i="9"/>
  <c r="Y101" i="9"/>
  <c r="Y109" i="9"/>
  <c r="Y54" i="9"/>
  <c r="Y117" i="9"/>
  <c r="Y89" i="9"/>
  <c r="Y97" i="9"/>
  <c r="Y70" i="9"/>
  <c r="Z11" i="20"/>
  <c r="Y11" i="8"/>
  <c r="G130" i="22" l="1"/>
  <c r="L130" i="22"/>
  <c r="I130" i="22"/>
  <c r="H130" i="22"/>
  <c r="F130" i="22"/>
  <c r="K130" i="22"/>
  <c r="J130" i="22"/>
  <c r="D27" i="22"/>
  <c r="Z312" i="9"/>
  <c r="Z308" i="9"/>
  <c r="Z305" i="9"/>
  <c r="Z306" i="9"/>
  <c r="Z310" i="9"/>
  <c r="Z307" i="9"/>
  <c r="Z309" i="9"/>
  <c r="Z311" i="9"/>
  <c r="F286" i="22"/>
  <c r="I286" i="22"/>
  <c r="G286" i="22"/>
  <c r="L286" i="22"/>
  <c r="K286" i="22"/>
  <c r="J286" i="22"/>
  <c r="H286" i="22"/>
  <c r="C341" i="22"/>
  <c r="C289" i="22"/>
  <c r="C237" i="22"/>
  <c r="C185" i="22"/>
  <c r="C133" i="22"/>
  <c r="AA2" i="20"/>
  <c r="C29" i="22"/>
  <c r="C81" i="22"/>
  <c r="F78" i="22"/>
  <c r="L78" i="22"/>
  <c r="K78" i="22"/>
  <c r="I78" i="22"/>
  <c r="G78" i="22"/>
  <c r="J78" i="22"/>
  <c r="H78" i="22"/>
  <c r="D235" i="22"/>
  <c r="Z386" i="9"/>
  <c r="Z382" i="9"/>
  <c r="Z384" i="9"/>
  <c r="Z164" i="9"/>
  <c r="Z156" i="9"/>
  <c r="Z148" i="9"/>
  <c r="Z140" i="9"/>
  <c r="Z132" i="9"/>
  <c r="Z126" i="9"/>
  <c r="Z146" i="9"/>
  <c r="Z162" i="9"/>
  <c r="Z136" i="9"/>
  <c r="Z128" i="9"/>
  <c r="Z160" i="9"/>
  <c r="Z143" i="9"/>
  <c r="Z130" i="9"/>
  <c r="Z144" i="9"/>
  <c r="Z167" i="9"/>
  <c r="Z154" i="9"/>
  <c r="Z151" i="9"/>
  <c r="Z127" i="9"/>
  <c r="Z152" i="9"/>
  <c r="Z131" i="9"/>
  <c r="Z138" i="9"/>
  <c r="Z159" i="9"/>
  <c r="Z139" i="9"/>
  <c r="Z155" i="9"/>
  <c r="Z135" i="9"/>
  <c r="Z150" i="9"/>
  <c r="Z168" i="9"/>
  <c r="Z147" i="9"/>
  <c r="Z149" i="9"/>
  <c r="Z161" i="9"/>
  <c r="Z137" i="9"/>
  <c r="Z158" i="9"/>
  <c r="Z133" i="9"/>
  <c r="Z145" i="9"/>
  <c r="Z157" i="9"/>
  <c r="Z169" i="9"/>
  <c r="Z166" i="9"/>
  <c r="Z134" i="9"/>
  <c r="Z142" i="9"/>
  <c r="Z163" i="9"/>
  <c r="Z165" i="9"/>
  <c r="Z129" i="9"/>
  <c r="Z141" i="9"/>
  <c r="Z153" i="9"/>
  <c r="Z385" i="9"/>
  <c r="Z383" i="9"/>
  <c r="Z381" i="9"/>
  <c r="C29" i="19"/>
  <c r="E29" i="19"/>
  <c r="D29" i="19"/>
  <c r="AB3" i="20" s="1"/>
  <c r="B30" i="19"/>
  <c r="D287" i="22"/>
  <c r="Z372" i="9"/>
  <c r="Z374" i="9"/>
  <c r="Z373" i="9"/>
  <c r="Z355" i="9"/>
  <c r="Z353" i="9"/>
  <c r="Z356" i="9"/>
  <c r="Z357" i="9"/>
  <c r="Z354" i="9"/>
  <c r="Z360" i="9"/>
  <c r="Z358" i="9"/>
  <c r="Z359" i="9"/>
  <c r="Z361" i="9"/>
  <c r="D183" i="22"/>
  <c r="Z347" i="9"/>
  <c r="Z346" i="9"/>
  <c r="Z319" i="9"/>
  <c r="Z316" i="9"/>
  <c r="Z344" i="9"/>
  <c r="Z342" i="9"/>
  <c r="Z338" i="9"/>
  <c r="Z323" i="9"/>
  <c r="Z340" i="9"/>
  <c r="Z339" i="9"/>
  <c r="Z332" i="9"/>
  <c r="Z330" i="9"/>
  <c r="Z331" i="9"/>
  <c r="Z315" i="9"/>
  <c r="Z343" i="9"/>
  <c r="Z304" i="9"/>
  <c r="Z318" i="9"/>
  <c r="Z286" i="9"/>
  <c r="Z284" i="9"/>
  <c r="Z283" i="9"/>
  <c r="Z295" i="9"/>
  <c r="Z271" i="9"/>
  <c r="Z270" i="9"/>
  <c r="Z267" i="9"/>
  <c r="Z278" i="9"/>
  <c r="Z269" i="9"/>
  <c r="Z335" i="9"/>
  <c r="Z274" i="9"/>
  <c r="Z276" i="9"/>
  <c r="Z272" i="9"/>
  <c r="Z290" i="9"/>
  <c r="Z273" i="9"/>
  <c r="Z322" i="9"/>
  <c r="Z336" i="9"/>
  <c r="Z351" i="9"/>
  <c r="Z275" i="9"/>
  <c r="Z352" i="9"/>
  <c r="Z348" i="9"/>
  <c r="Z313" i="9"/>
  <c r="Z341" i="9"/>
  <c r="Z291" i="9"/>
  <c r="Z289" i="9"/>
  <c r="Z329" i="9"/>
  <c r="Z268" i="9"/>
  <c r="Z294" i="9"/>
  <c r="Z279" i="9"/>
  <c r="Z288" i="9"/>
  <c r="Z277" i="9"/>
  <c r="Z324" i="9"/>
  <c r="Z303" i="9"/>
  <c r="Z334" i="9"/>
  <c r="Z349" i="9"/>
  <c r="Z337" i="9"/>
  <c r="Z350" i="9"/>
  <c r="Z287" i="9"/>
  <c r="Z292" i="9"/>
  <c r="Z280" i="9"/>
  <c r="Z314" i="9"/>
  <c r="Z325" i="9"/>
  <c r="Z266" i="9"/>
  <c r="Z281" i="9"/>
  <c r="Z326" i="9"/>
  <c r="Z327" i="9"/>
  <c r="Z293" i="9"/>
  <c r="Z345" i="9"/>
  <c r="Z320" i="9"/>
  <c r="Z265" i="9"/>
  <c r="Z328" i="9"/>
  <c r="Z285" i="9"/>
  <c r="Z333" i="9"/>
  <c r="Z282" i="9"/>
  <c r="Z317" i="9"/>
  <c r="Z321" i="9"/>
  <c r="AA9" i="20"/>
  <c r="Z9" i="8"/>
  <c r="AA10" i="20"/>
  <c r="Z10" i="8"/>
  <c r="AA8" i="20"/>
  <c r="Z8" i="8"/>
  <c r="AA5" i="20"/>
  <c r="Z5" i="8"/>
  <c r="K182" i="22"/>
  <c r="G182" i="22"/>
  <c r="F182" i="22"/>
  <c r="L182" i="22"/>
  <c r="I182" i="22"/>
  <c r="H182" i="22"/>
  <c r="J182" i="22"/>
  <c r="J338" i="22"/>
  <c r="K338" i="22"/>
  <c r="G338" i="22"/>
  <c r="L338" i="22"/>
  <c r="I338" i="22"/>
  <c r="H338" i="22"/>
  <c r="F338" i="22"/>
  <c r="I26" i="22"/>
  <c r="K26" i="22"/>
  <c r="J26" i="22"/>
  <c r="H26" i="22"/>
  <c r="G26" i="22"/>
  <c r="F26" i="22"/>
  <c r="L26" i="22"/>
  <c r="D131" i="22"/>
  <c r="Z125" i="9"/>
  <c r="Z114" i="9"/>
  <c r="Z107" i="9"/>
  <c r="Z98" i="9"/>
  <c r="Z124" i="9"/>
  <c r="Z106" i="9"/>
  <c r="Z99" i="9"/>
  <c r="Z83" i="9"/>
  <c r="Z82" i="9"/>
  <c r="Z100" i="9"/>
  <c r="Z90" i="9"/>
  <c r="Z8" i="9"/>
  <c r="Z7" i="9"/>
  <c r="Z22" i="9"/>
  <c r="Z31" i="9"/>
  <c r="Z6" i="9"/>
  <c r="Z67" i="9"/>
  <c r="Z48" i="9"/>
  <c r="Z34" i="9"/>
  <c r="Z32" i="9"/>
  <c r="Z10" i="9"/>
  <c r="Z38" i="9"/>
  <c r="Z50" i="9"/>
  <c r="Z47" i="9"/>
  <c r="Z35" i="9"/>
  <c r="Z23" i="9"/>
  <c r="Z16" i="9"/>
  <c r="Z74" i="9"/>
  <c r="Z66" i="9"/>
  <c r="Z60" i="9"/>
  <c r="Z75" i="9"/>
  <c r="Z11" i="9"/>
  <c r="Z20" i="9"/>
  <c r="Z92" i="9"/>
  <c r="Z9" i="9"/>
  <c r="Z19" i="9"/>
  <c r="Z40" i="9"/>
  <c r="Z24" i="9"/>
  <c r="Z43" i="9"/>
  <c r="Z26" i="9"/>
  <c r="Z58" i="9"/>
  <c r="Z27" i="9"/>
  <c r="Z59" i="9"/>
  <c r="Z56" i="9"/>
  <c r="Z91" i="9"/>
  <c r="Z76" i="9"/>
  <c r="Z88" i="9"/>
  <c r="Z96" i="9"/>
  <c r="Z17" i="9"/>
  <c r="Z79" i="9"/>
  <c r="Z12" i="9"/>
  <c r="Z30" i="9"/>
  <c r="Z51" i="9"/>
  <c r="Z46" i="9"/>
  <c r="Z72" i="9"/>
  <c r="Z84" i="9"/>
  <c r="Z111" i="9"/>
  <c r="Z18" i="9"/>
  <c r="Z28" i="9"/>
  <c r="Z68" i="9"/>
  <c r="Z52" i="9"/>
  <c r="Z42" i="9"/>
  <c r="Z36" i="9"/>
  <c r="Z44" i="9"/>
  <c r="Z15" i="9"/>
  <c r="Z14" i="9"/>
  <c r="Z80" i="9"/>
  <c r="Z95" i="9"/>
  <c r="Z116" i="9"/>
  <c r="Z94" i="9"/>
  <c r="Z112" i="9"/>
  <c r="Z39" i="9"/>
  <c r="Z64" i="9"/>
  <c r="Z103" i="9"/>
  <c r="Z110" i="9"/>
  <c r="Z21" i="9"/>
  <c r="Z54" i="9"/>
  <c r="Z70" i="9"/>
  <c r="Z63" i="9"/>
  <c r="Z71" i="9"/>
  <c r="Z78" i="9"/>
  <c r="Z49" i="9"/>
  <c r="Z81" i="9"/>
  <c r="Z37" i="9"/>
  <c r="Z69" i="9"/>
  <c r="Z85" i="9"/>
  <c r="Z101" i="9"/>
  <c r="Z117" i="9"/>
  <c r="Z108" i="9"/>
  <c r="Z25" i="9"/>
  <c r="Z13" i="9"/>
  <c r="Z115" i="9"/>
  <c r="Z104" i="9"/>
  <c r="Z87" i="9"/>
  <c r="Z86" i="9"/>
  <c r="Z123" i="9"/>
  <c r="Z119" i="9"/>
  <c r="Z62" i="9"/>
  <c r="Z41" i="9"/>
  <c r="Z73" i="9"/>
  <c r="Z57" i="9"/>
  <c r="Z77" i="9"/>
  <c r="Z109" i="9"/>
  <c r="Z120" i="9"/>
  <c r="Z5" i="9"/>
  <c r="Z93" i="9"/>
  <c r="Z122" i="9"/>
  <c r="Z113" i="9"/>
  <c r="Z121" i="9"/>
  <c r="Z61" i="9"/>
  <c r="Z97" i="9"/>
  <c r="Z105" i="9"/>
  <c r="Z118" i="9"/>
  <c r="Z89" i="9"/>
  <c r="Z55" i="9"/>
  <c r="Z102" i="9"/>
  <c r="Z29" i="9"/>
  <c r="Z53" i="9"/>
  <c r="Z33" i="9"/>
  <c r="Z45" i="9"/>
  <c r="Z65" i="9"/>
  <c r="D79" i="22"/>
  <c r="Z299" i="9"/>
  <c r="Z296" i="9"/>
  <c r="Z298" i="9"/>
  <c r="Z256" i="9"/>
  <c r="Z248" i="9"/>
  <c r="Z240" i="9"/>
  <c r="Z232" i="9"/>
  <c r="Z224" i="9"/>
  <c r="Z264" i="9"/>
  <c r="Z263" i="9"/>
  <c r="Z262" i="9"/>
  <c r="Z221" i="9"/>
  <c r="Z217" i="9"/>
  <c r="Z202" i="9"/>
  <c r="Z193" i="9"/>
  <c r="Z189" i="9"/>
  <c r="Z187" i="9"/>
  <c r="Z213" i="9"/>
  <c r="Z203" i="9"/>
  <c r="Z182" i="9"/>
  <c r="Z214" i="9"/>
  <c r="Z194" i="9"/>
  <c r="Z207" i="9"/>
  <c r="Z205" i="9"/>
  <c r="Z206" i="9"/>
  <c r="Z222" i="9"/>
  <c r="Z215" i="9"/>
  <c r="Z199" i="9"/>
  <c r="Z197" i="9"/>
  <c r="Z198" i="9"/>
  <c r="Z171" i="9"/>
  <c r="Z170" i="9"/>
  <c r="Z195" i="9"/>
  <c r="Z181" i="9"/>
  <c r="Z210" i="9"/>
  <c r="Z218" i="9"/>
  <c r="Z242" i="9"/>
  <c r="Z258" i="9"/>
  <c r="Z230" i="9"/>
  <c r="Z238" i="9"/>
  <c r="Z254" i="9"/>
  <c r="Z228" i="9"/>
  <c r="Z183" i="9"/>
  <c r="Z179" i="9"/>
  <c r="Z186" i="9"/>
  <c r="Z209" i="9"/>
  <c r="Z172" i="9"/>
  <c r="Z250" i="9"/>
  <c r="Z227" i="9"/>
  <c r="Z196" i="9"/>
  <c r="Z237" i="9"/>
  <c r="Z253" i="9"/>
  <c r="Z302" i="9"/>
  <c r="Z176" i="9"/>
  <c r="Z173" i="9"/>
  <c r="Z255" i="9"/>
  <c r="Z184" i="9"/>
  <c r="Z216" i="9"/>
  <c r="Z301" i="9"/>
  <c r="Z190" i="9"/>
  <c r="Z178" i="9"/>
  <c r="Z201" i="9"/>
  <c r="Z223" i="9"/>
  <c r="Z234" i="9"/>
  <c r="Z239" i="9"/>
  <c r="Z246" i="9"/>
  <c r="Z252" i="9"/>
  <c r="Z243" i="9"/>
  <c r="Z185" i="9"/>
  <c r="Z219" i="9"/>
  <c r="Z226" i="9"/>
  <c r="Z235" i="9"/>
  <c r="Z259" i="9"/>
  <c r="Z174" i="9"/>
  <c r="Z191" i="9"/>
  <c r="Z244" i="9"/>
  <c r="Z247" i="9"/>
  <c r="Z251" i="9"/>
  <c r="Z175" i="9"/>
  <c r="Z177" i="9"/>
  <c r="Z188" i="9"/>
  <c r="Z220" i="9"/>
  <c r="Z225" i="9"/>
  <c r="Z241" i="9"/>
  <c r="Z257" i="9"/>
  <c r="Z233" i="9"/>
  <c r="Z236" i="9"/>
  <c r="Z297" i="9"/>
  <c r="Z260" i="9"/>
  <c r="Z208" i="9"/>
  <c r="Z261" i="9"/>
  <c r="Z300" i="9"/>
  <c r="Z245" i="9"/>
  <c r="Z180" i="9"/>
  <c r="Z200" i="9"/>
  <c r="Z229" i="9"/>
  <c r="Z211" i="9"/>
  <c r="Z231" i="9"/>
  <c r="Z192" i="9"/>
  <c r="Z212" i="9"/>
  <c r="Z204" i="9"/>
  <c r="Z249" i="9"/>
  <c r="AA6" i="20"/>
  <c r="Z6" i="8"/>
  <c r="D339" i="22"/>
  <c r="Z388" i="9"/>
  <c r="Z370" i="9"/>
  <c r="Z376" i="9"/>
  <c r="Z377" i="9"/>
  <c r="Z378" i="9"/>
  <c r="Z380" i="9"/>
  <c r="Z368" i="9"/>
  <c r="Z362" i="9"/>
  <c r="Z365" i="9"/>
  <c r="Z371" i="9"/>
  <c r="Z366" i="9"/>
  <c r="Z363" i="9"/>
  <c r="Z364" i="9"/>
  <c r="Z369" i="9"/>
  <c r="Z375" i="9"/>
  <c r="Z367" i="9"/>
  <c r="Z387" i="9"/>
  <c r="Z379" i="9"/>
  <c r="AA11" i="20"/>
  <c r="Z11" i="8"/>
  <c r="L234" i="22"/>
  <c r="H234" i="22"/>
  <c r="I234" i="22"/>
  <c r="K234" i="22"/>
  <c r="J234" i="22"/>
  <c r="G234" i="22"/>
  <c r="F234" i="22"/>
  <c r="AA7" i="20"/>
  <c r="Z7" i="8"/>
  <c r="D288" i="22" l="1"/>
  <c r="AA372" i="9"/>
  <c r="AA374" i="9"/>
  <c r="AA353" i="9"/>
  <c r="AA361" i="9"/>
  <c r="AA356" i="9"/>
  <c r="AA360" i="9"/>
  <c r="AA354" i="9"/>
  <c r="AA357" i="9"/>
  <c r="AA355" i="9"/>
  <c r="AA359" i="9"/>
  <c r="AA373" i="9"/>
  <c r="AA358" i="9"/>
  <c r="F27" i="22"/>
  <c r="I27" i="22"/>
  <c r="H27" i="22"/>
  <c r="G27" i="22"/>
  <c r="L27" i="22"/>
  <c r="K27" i="22"/>
  <c r="J27" i="22"/>
  <c r="AB10" i="20"/>
  <c r="AA10" i="8"/>
  <c r="I235" i="22"/>
  <c r="F235" i="22"/>
  <c r="L235" i="22"/>
  <c r="J235" i="22"/>
  <c r="H235" i="22"/>
  <c r="G235" i="22"/>
  <c r="K235" i="22"/>
  <c r="AB11" i="20"/>
  <c r="AA11" i="8"/>
  <c r="D236" i="22"/>
  <c r="AA386" i="9"/>
  <c r="AA383" i="9"/>
  <c r="AA385" i="9"/>
  <c r="AA381" i="9"/>
  <c r="AA165" i="9"/>
  <c r="AA157" i="9"/>
  <c r="AA149" i="9"/>
  <c r="AA141" i="9"/>
  <c r="AA133" i="9"/>
  <c r="AA168" i="9"/>
  <c r="AA164" i="9"/>
  <c r="AA156" i="9"/>
  <c r="AA148" i="9"/>
  <c r="AA140" i="9"/>
  <c r="AA132" i="9"/>
  <c r="AA169" i="9"/>
  <c r="AA161" i="9"/>
  <c r="AA153" i="9"/>
  <c r="AA145" i="9"/>
  <c r="AA137" i="9"/>
  <c r="AA129" i="9"/>
  <c r="AA163" i="9"/>
  <c r="AA136" i="9"/>
  <c r="AA135" i="9"/>
  <c r="AA127" i="9"/>
  <c r="AA144" i="9"/>
  <c r="AA167" i="9"/>
  <c r="AA162" i="9"/>
  <c r="AA128" i="9"/>
  <c r="AA131" i="9"/>
  <c r="AA151" i="9"/>
  <c r="AA146" i="9"/>
  <c r="AA150" i="9"/>
  <c r="AA166" i="9"/>
  <c r="AA126" i="9"/>
  <c r="AA139" i="9"/>
  <c r="AA155" i="9"/>
  <c r="AA147" i="9"/>
  <c r="AA159" i="9"/>
  <c r="AA130" i="9"/>
  <c r="AA138" i="9"/>
  <c r="AA154" i="9"/>
  <c r="AA152" i="9"/>
  <c r="AA160" i="9"/>
  <c r="AA143" i="9"/>
  <c r="AA158" i="9"/>
  <c r="AA134" i="9"/>
  <c r="AA142" i="9"/>
  <c r="AA384" i="9"/>
  <c r="AA382" i="9"/>
  <c r="J287" i="22"/>
  <c r="K287" i="22"/>
  <c r="G287" i="22"/>
  <c r="F287" i="22"/>
  <c r="L287" i="22"/>
  <c r="I287" i="22"/>
  <c r="H287" i="22"/>
  <c r="AB9" i="20"/>
  <c r="AA9" i="8"/>
  <c r="B31" i="19"/>
  <c r="E30" i="19"/>
  <c r="D30" i="19"/>
  <c r="AC3" i="20" s="1"/>
  <c r="C30" i="19"/>
  <c r="J79" i="22"/>
  <c r="L79" i="22"/>
  <c r="K79" i="22"/>
  <c r="I79" i="22"/>
  <c r="H79" i="22"/>
  <c r="F79" i="22"/>
  <c r="G79" i="22"/>
  <c r="D28" i="22"/>
  <c r="AA309" i="9"/>
  <c r="AA305" i="9"/>
  <c r="AA312" i="9"/>
  <c r="AA306" i="9"/>
  <c r="AA307" i="9"/>
  <c r="AA310" i="9"/>
  <c r="AA308" i="9"/>
  <c r="AA311" i="9"/>
  <c r="G339" i="22"/>
  <c r="L339" i="22"/>
  <c r="J339" i="22"/>
  <c r="H339" i="22"/>
  <c r="I339" i="22"/>
  <c r="F339" i="22"/>
  <c r="K339" i="22"/>
  <c r="D80" i="22"/>
  <c r="AA301" i="9"/>
  <c r="AA257" i="9"/>
  <c r="AA249" i="9"/>
  <c r="AA241" i="9"/>
  <c r="AA233" i="9"/>
  <c r="AA225" i="9"/>
  <c r="AA299" i="9"/>
  <c r="AA296" i="9"/>
  <c r="AA302" i="9"/>
  <c r="AA300" i="9"/>
  <c r="AA297" i="9"/>
  <c r="AA298" i="9"/>
  <c r="AA220" i="9"/>
  <c r="AA216" i="9"/>
  <c r="AA212" i="9"/>
  <c r="AA208" i="9"/>
  <c r="AA204" i="9"/>
  <c r="AA200" i="9"/>
  <c r="AA196" i="9"/>
  <c r="AA192" i="9"/>
  <c r="AA264" i="9"/>
  <c r="AA263" i="9"/>
  <c r="AA260" i="9"/>
  <c r="AA253" i="9"/>
  <c r="AA251" i="9"/>
  <c r="AA245" i="9"/>
  <c r="AA243" i="9"/>
  <c r="AA237" i="9"/>
  <c r="AA235" i="9"/>
  <c r="AA261" i="9"/>
  <c r="AA221" i="9"/>
  <c r="AA173" i="9"/>
  <c r="AA229" i="9"/>
  <c r="AA213" i="9"/>
  <c r="AA182" i="9"/>
  <c r="AA223" i="9"/>
  <c r="AA214" i="9"/>
  <c r="AA194" i="9"/>
  <c r="AA184" i="9"/>
  <c r="AA207" i="9"/>
  <c r="AA205" i="9"/>
  <c r="AA209" i="9"/>
  <c r="AA206" i="9"/>
  <c r="AA228" i="9"/>
  <c r="AA215" i="9"/>
  <c r="AA199" i="9"/>
  <c r="AA197" i="9"/>
  <c r="AA227" i="9"/>
  <c r="AA198" i="9"/>
  <c r="AA188" i="9"/>
  <c r="AA175" i="9"/>
  <c r="AA177" i="9"/>
  <c r="AA190" i="9"/>
  <c r="AA181" i="9"/>
  <c r="AA180" i="9"/>
  <c r="AA176" i="9"/>
  <c r="AA179" i="9"/>
  <c r="AA186" i="9"/>
  <c r="AA219" i="9"/>
  <c r="AA172" i="9"/>
  <c r="AA171" i="9"/>
  <c r="AA185" i="9"/>
  <c r="AA201" i="9"/>
  <c r="AA178" i="9"/>
  <c r="AA210" i="9"/>
  <c r="AA250" i="9"/>
  <c r="AA252" i="9"/>
  <c r="AA224" i="9"/>
  <c r="AA256" i="9"/>
  <c r="AA211" i="9"/>
  <c r="AA217" i="9"/>
  <c r="AA218" i="9"/>
  <c r="AA191" i="9"/>
  <c r="AA236" i="9"/>
  <c r="AA232" i="9"/>
  <c r="AA170" i="9"/>
  <c r="AA234" i="9"/>
  <c r="AA247" i="9"/>
  <c r="AA195" i="9"/>
  <c r="AA189" i="9"/>
  <c r="AA193" i="9"/>
  <c r="AA226" i="9"/>
  <c r="AA259" i="9"/>
  <c r="AA254" i="9"/>
  <c r="AA258" i="9"/>
  <c r="AA244" i="9"/>
  <c r="AA203" i="9"/>
  <c r="AA242" i="9"/>
  <c r="AA246" i="9"/>
  <c r="AA174" i="9"/>
  <c r="AA255" i="9"/>
  <c r="AA230" i="9"/>
  <c r="AA240" i="9"/>
  <c r="AA231" i="9"/>
  <c r="AA239" i="9"/>
  <c r="AA202" i="9"/>
  <c r="AA238" i="9"/>
  <c r="AA262" i="9"/>
  <c r="AA183" i="9"/>
  <c r="AA222" i="9"/>
  <c r="AA187" i="9"/>
  <c r="AA248" i="9"/>
  <c r="AB6" i="20"/>
  <c r="AA6" i="8"/>
  <c r="AB5" i="20"/>
  <c r="AA5" i="8"/>
  <c r="H183" i="22"/>
  <c r="K183" i="22"/>
  <c r="J183" i="22"/>
  <c r="G183" i="22"/>
  <c r="L183" i="22"/>
  <c r="I183" i="22"/>
  <c r="F183" i="22"/>
  <c r="C342" i="22"/>
  <c r="C290" i="22"/>
  <c r="C238" i="22"/>
  <c r="C134" i="22"/>
  <c r="C186" i="22"/>
  <c r="C82" i="22"/>
  <c r="C30" i="22"/>
  <c r="AB2" i="20"/>
  <c r="D132" i="22"/>
  <c r="AA117" i="9"/>
  <c r="AA109" i="9"/>
  <c r="AA101" i="9"/>
  <c r="AA81" i="9"/>
  <c r="AA77" i="9"/>
  <c r="AA73" i="9"/>
  <c r="AA69" i="9"/>
  <c r="AA65" i="9"/>
  <c r="AA61" i="9"/>
  <c r="AA57" i="9"/>
  <c r="AA53" i="9"/>
  <c r="AA49" i="9"/>
  <c r="AA85" i="9"/>
  <c r="AA45" i="9"/>
  <c r="AA29" i="9"/>
  <c r="AA125" i="9"/>
  <c r="AA47" i="9"/>
  <c r="AA48" i="9"/>
  <c r="AA124" i="9"/>
  <c r="AA121" i="9"/>
  <c r="AA97" i="9"/>
  <c r="AA100" i="9"/>
  <c r="AA113" i="9"/>
  <c r="AA89" i="9"/>
  <c r="AA93" i="9"/>
  <c r="AA80" i="9"/>
  <c r="AA72" i="9"/>
  <c r="AA64" i="9"/>
  <c r="AA105" i="9"/>
  <c r="AA31" i="9"/>
  <c r="AA37" i="9"/>
  <c r="AA34" i="9"/>
  <c r="AA25" i="9"/>
  <c r="AA33" i="9"/>
  <c r="AA32" i="9"/>
  <c r="AA59" i="9"/>
  <c r="AA41" i="9"/>
  <c r="AA38" i="9"/>
  <c r="AA35" i="9"/>
  <c r="AA26" i="9"/>
  <c r="AA42" i="9"/>
  <c r="AA23" i="9"/>
  <c r="AA56" i="9"/>
  <c r="AA51" i="9"/>
  <c r="AA18" i="9"/>
  <c r="AA7" i="9"/>
  <c r="AA40" i="9"/>
  <c r="AA17" i="9"/>
  <c r="AA86" i="9"/>
  <c r="AA115" i="9"/>
  <c r="AA112" i="9"/>
  <c r="AA118" i="9"/>
  <c r="AA74" i="9"/>
  <c r="AA90" i="9"/>
  <c r="AA119" i="9"/>
  <c r="AA98" i="9"/>
  <c r="AA102" i="9"/>
  <c r="AA24" i="9"/>
  <c r="AA13" i="9"/>
  <c r="AA54" i="9"/>
  <c r="AA79" i="9"/>
  <c r="AA103" i="9"/>
  <c r="AA94" i="9"/>
  <c r="AA84" i="9"/>
  <c r="AA6" i="9"/>
  <c r="AA39" i="9"/>
  <c r="AA52" i="9"/>
  <c r="AA8" i="9"/>
  <c r="AA9" i="9"/>
  <c r="AA110" i="9"/>
  <c r="AA116" i="9"/>
  <c r="AA67" i="9"/>
  <c r="AA87" i="9"/>
  <c r="AA30" i="9"/>
  <c r="AA50" i="9"/>
  <c r="AA5" i="9"/>
  <c r="AA63" i="9"/>
  <c r="AA70" i="9"/>
  <c r="AA95" i="9"/>
  <c r="AA108" i="9"/>
  <c r="AA91" i="9"/>
  <c r="AA10" i="9"/>
  <c r="AA12" i="9"/>
  <c r="AA15" i="9"/>
  <c r="AA43" i="9"/>
  <c r="AA22" i="9"/>
  <c r="AA78" i="9"/>
  <c r="AA83" i="9"/>
  <c r="AA14" i="9"/>
  <c r="AA36" i="9"/>
  <c r="AA27" i="9"/>
  <c r="AA46" i="9"/>
  <c r="AA19" i="9"/>
  <c r="AA20" i="9"/>
  <c r="AA11" i="9"/>
  <c r="AA114" i="9"/>
  <c r="AA123" i="9"/>
  <c r="AA58" i="9"/>
  <c r="AA44" i="9"/>
  <c r="AA28" i="9"/>
  <c r="AA68" i="9"/>
  <c r="AA16" i="9"/>
  <c r="AA21" i="9"/>
  <c r="AA62" i="9"/>
  <c r="AA71" i="9"/>
  <c r="AA104" i="9"/>
  <c r="AA122" i="9"/>
  <c r="AA82" i="9"/>
  <c r="AA88" i="9"/>
  <c r="AA120" i="9"/>
  <c r="AA96" i="9"/>
  <c r="AA60" i="9"/>
  <c r="AA76" i="9"/>
  <c r="AA55" i="9"/>
  <c r="AA92" i="9"/>
  <c r="AA66" i="9"/>
  <c r="AA99" i="9"/>
  <c r="AA111" i="9"/>
  <c r="AA106" i="9"/>
  <c r="AA107" i="9"/>
  <c r="AA75" i="9"/>
  <c r="L131" i="22"/>
  <c r="I131" i="22"/>
  <c r="H131" i="22"/>
  <c r="G131" i="22"/>
  <c r="F131" i="22"/>
  <c r="K131" i="22"/>
  <c r="J131" i="22"/>
  <c r="D184" i="22"/>
  <c r="AA345" i="9"/>
  <c r="AA341" i="9"/>
  <c r="AA337" i="9"/>
  <c r="AA333" i="9"/>
  <c r="AA347" i="9"/>
  <c r="AA340" i="9"/>
  <c r="AA346" i="9"/>
  <c r="AA329" i="9"/>
  <c r="AA313" i="9"/>
  <c r="AA321" i="9"/>
  <c r="AA342" i="9"/>
  <c r="AA338" i="9"/>
  <c r="AA317" i="9"/>
  <c r="AA339" i="9"/>
  <c r="AA325" i="9"/>
  <c r="AA314" i="9"/>
  <c r="AA348" i="9"/>
  <c r="AA332" i="9"/>
  <c r="AA330" i="9"/>
  <c r="AA318" i="9"/>
  <c r="AA334" i="9"/>
  <c r="AA331" i="9"/>
  <c r="AA343" i="9"/>
  <c r="AA304" i="9"/>
  <c r="AA335" i="9"/>
  <c r="AA319" i="9"/>
  <c r="AA316" i="9"/>
  <c r="AA293" i="9"/>
  <c r="AA303" i="9"/>
  <c r="AA281" i="9"/>
  <c r="AA273" i="9"/>
  <c r="AA265" i="9"/>
  <c r="AA283" i="9"/>
  <c r="AA285" i="9"/>
  <c r="AA277" i="9"/>
  <c r="AA320" i="9"/>
  <c r="AA289" i="9"/>
  <c r="AA276" i="9"/>
  <c r="AA275" i="9"/>
  <c r="AA268" i="9"/>
  <c r="AA267" i="9"/>
  <c r="AA269" i="9"/>
  <c r="AA279" i="9"/>
  <c r="AA280" i="9"/>
  <c r="AA272" i="9"/>
  <c r="AA270" i="9"/>
  <c r="AA295" i="9"/>
  <c r="AA294" i="9"/>
  <c r="AA274" i="9"/>
  <c r="AA278" i="9"/>
  <c r="AA328" i="9"/>
  <c r="AA287" i="9"/>
  <c r="AA349" i="9"/>
  <c r="AA326" i="9"/>
  <c r="AA350" i="9"/>
  <c r="AA271" i="9"/>
  <c r="AA266" i="9"/>
  <c r="AA286" i="9"/>
  <c r="AA290" i="9"/>
  <c r="AA315" i="9"/>
  <c r="AA324" i="9"/>
  <c r="AA291" i="9"/>
  <c r="AA284" i="9"/>
  <c r="AA288" i="9"/>
  <c r="AA322" i="9"/>
  <c r="AA336" i="9"/>
  <c r="AA323" i="9"/>
  <c r="AA351" i="9"/>
  <c r="AA352" i="9"/>
  <c r="AA282" i="9"/>
  <c r="AA344" i="9"/>
  <c r="AA327" i="9"/>
  <c r="AA292" i="9"/>
  <c r="AB7" i="20"/>
  <c r="AA7" i="8"/>
  <c r="D340" i="22"/>
  <c r="AA388" i="9"/>
  <c r="AA387" i="9"/>
  <c r="AA371" i="9"/>
  <c r="AA370" i="9"/>
  <c r="AA376" i="9"/>
  <c r="AA375" i="9"/>
  <c r="AA377" i="9"/>
  <c r="AA367" i="9"/>
  <c r="AA379" i="9"/>
  <c r="AA365" i="9"/>
  <c r="AA380" i="9"/>
  <c r="AA378" i="9"/>
  <c r="AA364" i="9"/>
  <c r="AA369" i="9"/>
  <c r="AA366" i="9"/>
  <c r="AA368" i="9"/>
  <c r="AA362" i="9"/>
  <c r="AA363" i="9"/>
  <c r="AB8" i="20"/>
  <c r="AA8" i="8"/>
  <c r="AC8" i="20" l="1"/>
  <c r="AB8" i="8"/>
  <c r="AC5" i="20"/>
  <c r="AB5" i="8"/>
  <c r="F236" i="22"/>
  <c r="J236" i="22"/>
  <c r="L236" i="22"/>
  <c r="K236" i="22"/>
  <c r="G236" i="22"/>
  <c r="I236" i="22"/>
  <c r="H236" i="22"/>
  <c r="D81" i="22"/>
  <c r="AB297" i="9"/>
  <c r="AB301" i="9"/>
  <c r="AB299" i="9"/>
  <c r="AB257" i="9"/>
  <c r="AB249" i="9"/>
  <c r="AB241" i="9"/>
  <c r="AB233" i="9"/>
  <c r="AB225" i="9"/>
  <c r="AB180" i="9"/>
  <c r="AB260" i="9"/>
  <c r="AB253" i="9"/>
  <c r="AB245" i="9"/>
  <c r="AB237" i="9"/>
  <c r="AB235" i="9"/>
  <c r="AB229" i="9"/>
  <c r="AB261" i="9"/>
  <c r="AB182" i="9"/>
  <c r="AB223" i="9"/>
  <c r="AB214" i="9"/>
  <c r="AB212" i="9"/>
  <c r="AB184" i="9"/>
  <c r="AB216" i="9"/>
  <c r="AB207" i="9"/>
  <c r="AB208" i="9"/>
  <c r="AB206" i="9"/>
  <c r="AB204" i="9"/>
  <c r="AB228" i="9"/>
  <c r="AB220" i="9"/>
  <c r="AB215" i="9"/>
  <c r="AB199" i="9"/>
  <c r="AB227" i="9"/>
  <c r="AB222" i="9"/>
  <c r="AB200" i="9"/>
  <c r="AB198" i="9"/>
  <c r="AB196" i="9"/>
  <c r="AB192" i="9"/>
  <c r="AB187" i="9"/>
  <c r="AB173" i="9"/>
  <c r="AB175" i="9"/>
  <c r="AB177" i="9"/>
  <c r="AB176" i="9"/>
  <c r="AB188" i="9"/>
  <c r="AB190" i="9"/>
  <c r="AB186" i="9"/>
  <c r="AB183" i="9"/>
  <c r="AB193" i="9"/>
  <c r="AB202" i="9"/>
  <c r="AB211" i="9"/>
  <c r="AB217" i="9"/>
  <c r="AB191" i="9"/>
  <c r="AB240" i="9"/>
  <c r="AB256" i="9"/>
  <c r="AB259" i="9"/>
  <c r="AB185" i="9"/>
  <c r="AB172" i="9"/>
  <c r="AB170" i="9"/>
  <c r="AB171" i="9"/>
  <c r="AB178" i="9"/>
  <c r="AB179" i="9"/>
  <c r="AB210" i="9"/>
  <c r="AB195" i="9"/>
  <c r="AB234" i="9"/>
  <c r="AB236" i="9"/>
  <c r="AB255" i="9"/>
  <c r="AB243" i="9"/>
  <c r="AB203" i="9"/>
  <c r="AB226" i="9"/>
  <c r="AB239" i="9"/>
  <c r="AB247" i="9"/>
  <c r="AB197" i="9"/>
  <c r="AB205" i="9"/>
  <c r="AB213" i="9"/>
  <c r="AB221" i="9"/>
  <c r="AB296" i="9"/>
  <c r="AB201" i="9"/>
  <c r="AB258" i="9"/>
  <c r="AB254" i="9"/>
  <c r="AB194" i="9"/>
  <c r="AB242" i="9"/>
  <c r="AB248" i="9"/>
  <c r="AB264" i="9"/>
  <c r="AB209" i="9"/>
  <c r="AB174" i="9"/>
  <c r="AB189" i="9"/>
  <c r="AB230" i="9"/>
  <c r="AB246" i="9"/>
  <c r="AB218" i="9"/>
  <c r="AB181" i="9"/>
  <c r="AB232" i="9"/>
  <c r="AB231" i="9"/>
  <c r="AB238" i="9"/>
  <c r="AB224" i="9"/>
  <c r="AB250" i="9"/>
  <c r="AB263" i="9"/>
  <c r="AB251" i="9"/>
  <c r="AB302" i="9"/>
  <c r="AB300" i="9"/>
  <c r="AB298" i="9"/>
  <c r="AB244" i="9"/>
  <c r="AB219" i="9"/>
  <c r="AB262" i="9"/>
  <c r="AB252" i="9"/>
  <c r="G80" i="22"/>
  <c r="J80" i="22"/>
  <c r="I80" i="22"/>
  <c r="H80" i="22"/>
  <c r="F80" i="22"/>
  <c r="L80" i="22"/>
  <c r="K80" i="22"/>
  <c r="K28" i="22"/>
  <c r="G28" i="22"/>
  <c r="F28" i="22"/>
  <c r="L28" i="22"/>
  <c r="J28" i="22"/>
  <c r="I28" i="22"/>
  <c r="H28" i="22"/>
  <c r="D341" i="22"/>
  <c r="AB375" i="9"/>
  <c r="AB377" i="9"/>
  <c r="AB379" i="9"/>
  <c r="AB371" i="9"/>
  <c r="AB370" i="9"/>
  <c r="AB387" i="9"/>
  <c r="AB363" i="9"/>
  <c r="AB367" i="9"/>
  <c r="AB364" i="9"/>
  <c r="AB368" i="9"/>
  <c r="AB366" i="9"/>
  <c r="AB365" i="9"/>
  <c r="AB380" i="9"/>
  <c r="AB369" i="9"/>
  <c r="AB388" i="9"/>
  <c r="AB362" i="9"/>
  <c r="AB376" i="9"/>
  <c r="AB378" i="9"/>
  <c r="AC11" i="20"/>
  <c r="AB11" i="8"/>
  <c r="D289" i="22"/>
  <c r="AB374" i="9"/>
  <c r="AB361" i="9"/>
  <c r="AB358" i="9"/>
  <c r="AB354" i="9"/>
  <c r="AB353" i="9"/>
  <c r="AB360" i="9"/>
  <c r="AB357" i="9"/>
  <c r="AB372" i="9"/>
  <c r="AB359" i="9"/>
  <c r="AB373" i="9"/>
  <c r="AB356" i="9"/>
  <c r="AB355" i="9"/>
  <c r="C343" i="22"/>
  <c r="C239" i="22"/>
  <c r="C291" i="22"/>
  <c r="C135" i="22"/>
  <c r="C187" i="22"/>
  <c r="C83" i="22"/>
  <c r="C31" i="22"/>
  <c r="AC2" i="20"/>
  <c r="AC10" i="20"/>
  <c r="AB10" i="8"/>
  <c r="AC6" i="20"/>
  <c r="AB6" i="8"/>
  <c r="C31" i="19"/>
  <c r="E31" i="19"/>
  <c r="B32" i="19"/>
  <c r="D31" i="19"/>
  <c r="AD3" i="20" s="1"/>
  <c r="D133" i="22"/>
  <c r="AB117" i="9"/>
  <c r="AB109" i="9"/>
  <c r="AB101" i="9"/>
  <c r="AB93" i="9"/>
  <c r="AB85" i="9"/>
  <c r="AB77" i="9"/>
  <c r="AB69" i="9"/>
  <c r="AB61" i="9"/>
  <c r="AB53" i="9"/>
  <c r="AB32" i="9"/>
  <c r="AB95" i="9"/>
  <c r="AB48" i="9"/>
  <c r="AB33" i="9"/>
  <c r="AB124" i="9"/>
  <c r="AB121" i="9"/>
  <c r="AB111" i="9"/>
  <c r="AB97" i="9"/>
  <c r="AB83" i="9"/>
  <c r="AB96" i="9"/>
  <c r="AB87" i="9"/>
  <c r="AB123" i="9"/>
  <c r="AB116" i="9"/>
  <c r="AB113" i="9"/>
  <c r="AB103" i="9"/>
  <c r="AB89" i="9"/>
  <c r="AB81" i="9"/>
  <c r="AB88" i="9"/>
  <c r="AB80" i="9"/>
  <c r="AB105" i="9"/>
  <c r="AB71" i="9"/>
  <c r="AB63" i="9"/>
  <c r="AB45" i="9"/>
  <c r="AB29" i="9"/>
  <c r="AB25" i="9"/>
  <c r="AB17" i="9"/>
  <c r="AB49" i="9"/>
  <c r="AB41" i="9"/>
  <c r="AB13" i="9"/>
  <c r="AB73" i="9"/>
  <c r="AB65" i="9"/>
  <c r="AB35" i="9"/>
  <c r="AB9" i="9"/>
  <c r="AB55" i="9"/>
  <c r="AB23" i="9"/>
  <c r="AB5" i="9"/>
  <c r="AB56" i="9"/>
  <c r="AB39" i="9"/>
  <c r="AB57" i="9"/>
  <c r="AB36" i="9"/>
  <c r="AB27" i="9"/>
  <c r="AB15" i="9"/>
  <c r="AB12" i="9"/>
  <c r="AB21" i="9"/>
  <c r="AB72" i="9"/>
  <c r="AB64" i="9"/>
  <c r="AB37" i="9"/>
  <c r="AB11" i="9"/>
  <c r="AB8" i="9"/>
  <c r="AB14" i="9"/>
  <c r="AB51" i="9"/>
  <c r="AB60" i="9"/>
  <c r="AB82" i="9"/>
  <c r="AB94" i="9"/>
  <c r="AB91" i="9"/>
  <c r="AB104" i="9"/>
  <c r="AB70" i="9"/>
  <c r="AB76" i="9"/>
  <c r="AB112" i="9"/>
  <c r="AB40" i="9"/>
  <c r="AB58" i="9"/>
  <c r="AB42" i="9"/>
  <c r="AB110" i="9"/>
  <c r="AB7" i="9"/>
  <c r="AB44" i="9"/>
  <c r="AB28" i="9"/>
  <c r="AB68" i="9"/>
  <c r="AB79" i="9"/>
  <c r="AB67" i="9"/>
  <c r="AB78" i="9"/>
  <c r="AB107" i="9"/>
  <c r="AB38" i="9"/>
  <c r="AB18" i="9"/>
  <c r="AB22" i="9"/>
  <c r="AB115" i="9"/>
  <c r="AB92" i="9"/>
  <c r="AB24" i="9"/>
  <c r="AB43" i="9"/>
  <c r="AB66" i="9"/>
  <c r="AB19" i="9"/>
  <c r="AB30" i="9"/>
  <c r="AB52" i="9"/>
  <c r="AB16" i="9"/>
  <c r="AB6" i="9"/>
  <c r="AB26" i="9"/>
  <c r="AB10" i="9"/>
  <c r="AB50" i="9"/>
  <c r="AB59" i="9"/>
  <c r="AB46" i="9"/>
  <c r="AB86" i="9"/>
  <c r="AB74" i="9"/>
  <c r="AB118" i="9"/>
  <c r="AB90" i="9"/>
  <c r="AB75" i="9"/>
  <c r="AB98" i="9"/>
  <c r="AB102" i="9"/>
  <c r="AB20" i="9"/>
  <c r="AB114" i="9"/>
  <c r="AB62" i="9"/>
  <c r="AB119" i="9"/>
  <c r="AB84" i="9"/>
  <c r="AB99" i="9"/>
  <c r="AB47" i="9"/>
  <c r="AB106" i="9"/>
  <c r="AB108" i="9"/>
  <c r="AB31" i="9"/>
  <c r="AB100" i="9"/>
  <c r="AB54" i="9"/>
  <c r="AB122" i="9"/>
  <c r="AB34" i="9"/>
  <c r="AB120" i="9"/>
  <c r="AB125" i="9"/>
  <c r="AC7" i="20"/>
  <c r="AB7" i="8"/>
  <c r="D237" i="22"/>
  <c r="AB381" i="9"/>
  <c r="AB386" i="9"/>
  <c r="AB383" i="9"/>
  <c r="AB165" i="9"/>
  <c r="AB157" i="9"/>
  <c r="AB149" i="9"/>
  <c r="AB141" i="9"/>
  <c r="AB133" i="9"/>
  <c r="AB168" i="9"/>
  <c r="AB169" i="9"/>
  <c r="AB161" i="9"/>
  <c r="AB153" i="9"/>
  <c r="AB145" i="9"/>
  <c r="AB137" i="9"/>
  <c r="AB126" i="9"/>
  <c r="AB129" i="9"/>
  <c r="AB131" i="9"/>
  <c r="AB128" i="9"/>
  <c r="AB139" i="9"/>
  <c r="AB155" i="9"/>
  <c r="AB138" i="9"/>
  <c r="AB127" i="9"/>
  <c r="AB144" i="9"/>
  <c r="AB160" i="9"/>
  <c r="AB135" i="9"/>
  <c r="AB152" i="9"/>
  <c r="AB150" i="9"/>
  <c r="AB166" i="9"/>
  <c r="AB130" i="9"/>
  <c r="AB163" i="9"/>
  <c r="AB151" i="9"/>
  <c r="AB167" i="9"/>
  <c r="AB136" i="9"/>
  <c r="AB154" i="9"/>
  <c r="AB159" i="9"/>
  <c r="AB162" i="9"/>
  <c r="AB143" i="9"/>
  <c r="AB146" i="9"/>
  <c r="AB148" i="9"/>
  <c r="AB156" i="9"/>
  <c r="AB158" i="9"/>
  <c r="AB147" i="9"/>
  <c r="AB164" i="9"/>
  <c r="AB134" i="9"/>
  <c r="AB384" i="9"/>
  <c r="AB140" i="9"/>
  <c r="AB142" i="9"/>
  <c r="AB385" i="9"/>
  <c r="AB132" i="9"/>
  <c r="AB382" i="9"/>
  <c r="L340" i="22"/>
  <c r="I340" i="22"/>
  <c r="G340" i="22"/>
  <c r="J340" i="22"/>
  <c r="K340" i="22"/>
  <c r="H340" i="22"/>
  <c r="F340" i="22"/>
  <c r="D185" i="22"/>
  <c r="AB350" i="9"/>
  <c r="AB317" i="9"/>
  <c r="AB340" i="9"/>
  <c r="AB345" i="9"/>
  <c r="AB339" i="9"/>
  <c r="AB337" i="9"/>
  <c r="AB325" i="9"/>
  <c r="AB332" i="9"/>
  <c r="AB327" i="9"/>
  <c r="AB333" i="9"/>
  <c r="AB331" i="9"/>
  <c r="AB329" i="9"/>
  <c r="AB313" i="9"/>
  <c r="AB341" i="9"/>
  <c r="AB319" i="9"/>
  <c r="AB328" i="9"/>
  <c r="AB321" i="9"/>
  <c r="AB283" i="9"/>
  <c r="AB304" i="9"/>
  <c r="AB285" i="9"/>
  <c r="AB277" i="9"/>
  <c r="AB289" i="9"/>
  <c r="AB276" i="9"/>
  <c r="AB291" i="9"/>
  <c r="AB303" i="9"/>
  <c r="AB293" i="9"/>
  <c r="AB284" i="9"/>
  <c r="AB281" i="9"/>
  <c r="AB273" i="9"/>
  <c r="AB265" i="9"/>
  <c r="AB268" i="9"/>
  <c r="AB267" i="9"/>
  <c r="AB269" i="9"/>
  <c r="AB275" i="9"/>
  <c r="AB320" i="9"/>
  <c r="AB274" i="9"/>
  <c r="AB272" i="9"/>
  <c r="AB287" i="9"/>
  <c r="AB286" i="9"/>
  <c r="AB334" i="9"/>
  <c r="AB344" i="9"/>
  <c r="AB348" i="9"/>
  <c r="AB271" i="9"/>
  <c r="AB270" i="9"/>
  <c r="AB314" i="9"/>
  <c r="AB324" i="9"/>
  <c r="AB322" i="9"/>
  <c r="AB290" i="9"/>
  <c r="AB278" i="9"/>
  <c r="AB336" i="9"/>
  <c r="AB318" i="9"/>
  <c r="AB342" i="9"/>
  <c r="AB280" i="9"/>
  <c r="AB343" i="9"/>
  <c r="AB347" i="9"/>
  <c r="AB349" i="9"/>
  <c r="AB351" i="9"/>
  <c r="AB338" i="9"/>
  <c r="AB323" i="9"/>
  <c r="AB352" i="9"/>
  <c r="AB316" i="9"/>
  <c r="AB288" i="9"/>
  <c r="AB315" i="9"/>
  <c r="AB335" i="9"/>
  <c r="AB330" i="9"/>
  <c r="AB294" i="9"/>
  <c r="AB292" i="9"/>
  <c r="AB266" i="9"/>
  <c r="AB279" i="9"/>
  <c r="AB282" i="9"/>
  <c r="AB295" i="9"/>
  <c r="AB326" i="9"/>
  <c r="AB346" i="9"/>
  <c r="L184" i="22"/>
  <c r="K184" i="22"/>
  <c r="I184" i="22"/>
  <c r="H184" i="22"/>
  <c r="F184" i="22"/>
  <c r="J184" i="22"/>
  <c r="G184" i="22"/>
  <c r="AC9" i="20"/>
  <c r="AB9" i="8"/>
  <c r="I132" i="22"/>
  <c r="F132" i="22"/>
  <c r="H132" i="22"/>
  <c r="G132" i="22"/>
  <c r="K132" i="22"/>
  <c r="J132" i="22"/>
  <c r="L132" i="22"/>
  <c r="D29" i="22"/>
  <c r="AB305" i="9"/>
  <c r="AB309" i="9"/>
  <c r="AB312" i="9"/>
  <c r="AB311" i="9"/>
  <c r="AB306" i="9"/>
  <c r="AB307" i="9"/>
  <c r="AB310" i="9"/>
  <c r="AB308" i="9"/>
  <c r="G288" i="22"/>
  <c r="H288" i="22"/>
  <c r="F288" i="22"/>
  <c r="J288" i="22"/>
  <c r="I288" i="22"/>
  <c r="L288" i="22"/>
  <c r="K288" i="22"/>
  <c r="C344" i="22" l="1"/>
  <c r="C292" i="22"/>
  <c r="C240" i="22"/>
  <c r="C188" i="22"/>
  <c r="C136" i="22"/>
  <c r="C84" i="22"/>
  <c r="C32" i="22"/>
  <c r="AD2" i="20"/>
  <c r="D134" i="22"/>
  <c r="AC117" i="9"/>
  <c r="AC109" i="9"/>
  <c r="AC101" i="9"/>
  <c r="AC93" i="9"/>
  <c r="AC85" i="9"/>
  <c r="AC33" i="9"/>
  <c r="AC121" i="9"/>
  <c r="AC97" i="9"/>
  <c r="AC34" i="9"/>
  <c r="AC104" i="9"/>
  <c r="AC100" i="9"/>
  <c r="AC98" i="9"/>
  <c r="AC96" i="9"/>
  <c r="AC113" i="9"/>
  <c r="AC106" i="9"/>
  <c r="AC89" i="9"/>
  <c r="AC81" i="9"/>
  <c r="AC73" i="9"/>
  <c r="AC65" i="9"/>
  <c r="AC92" i="9"/>
  <c r="AC90" i="9"/>
  <c r="AC88" i="9"/>
  <c r="AC80" i="9"/>
  <c r="AC105" i="9"/>
  <c r="AC79" i="9"/>
  <c r="AC77" i="9"/>
  <c r="AC69" i="9"/>
  <c r="AC61" i="9"/>
  <c r="AC53" i="9"/>
  <c r="AC49" i="9"/>
  <c r="AC45" i="9"/>
  <c r="AC41" i="9"/>
  <c r="AC38" i="9"/>
  <c r="AC5" i="9"/>
  <c r="AC55" i="9"/>
  <c r="AC71" i="9"/>
  <c r="AC63" i="9"/>
  <c r="AC56" i="9"/>
  <c r="AC42" i="9"/>
  <c r="AC57" i="9"/>
  <c r="AC36" i="9"/>
  <c r="AC27" i="9"/>
  <c r="AC21" i="9"/>
  <c r="AC72" i="9"/>
  <c r="AC64" i="9"/>
  <c r="AC37" i="9"/>
  <c r="AC8" i="9"/>
  <c r="AC29" i="9"/>
  <c r="AC25" i="9"/>
  <c r="AC17" i="9"/>
  <c r="AC13" i="9"/>
  <c r="AC26" i="9"/>
  <c r="AC9" i="9"/>
  <c r="AC16" i="9"/>
  <c r="AC43" i="9"/>
  <c r="AC52" i="9"/>
  <c r="AC58" i="9"/>
  <c r="AC122" i="9"/>
  <c r="AC107" i="9"/>
  <c r="AC87" i="9"/>
  <c r="AC76" i="9"/>
  <c r="AC6" i="9"/>
  <c r="AC19" i="9"/>
  <c r="AC95" i="9"/>
  <c r="AC110" i="9"/>
  <c r="AC115" i="9"/>
  <c r="AC28" i="9"/>
  <c r="AC40" i="9"/>
  <c r="AC59" i="9"/>
  <c r="AC7" i="9"/>
  <c r="AC86" i="9"/>
  <c r="AC103" i="9"/>
  <c r="AC62" i="9"/>
  <c r="AC84" i="9"/>
  <c r="AC10" i="9"/>
  <c r="AC39" i="9"/>
  <c r="AC51" i="9"/>
  <c r="AC11" i="9"/>
  <c r="AC60" i="9"/>
  <c r="AC66" i="9"/>
  <c r="AC94" i="9"/>
  <c r="AC91" i="9"/>
  <c r="AC14" i="9"/>
  <c r="AC44" i="9"/>
  <c r="AC20" i="9"/>
  <c r="AC31" i="9"/>
  <c r="AC24" i="9"/>
  <c r="AC68" i="9"/>
  <c r="AC46" i="9"/>
  <c r="AC12" i="9"/>
  <c r="AC30" i="9"/>
  <c r="AC50" i="9"/>
  <c r="AC18" i="9"/>
  <c r="AC74" i="9"/>
  <c r="AC111" i="9"/>
  <c r="AC23" i="9"/>
  <c r="AC15" i="9"/>
  <c r="AC22" i="9"/>
  <c r="AC47" i="9"/>
  <c r="AC82" i="9"/>
  <c r="AC120" i="9"/>
  <c r="AC118" i="9"/>
  <c r="AC70" i="9"/>
  <c r="AC102" i="9"/>
  <c r="AC48" i="9"/>
  <c r="AC112" i="9"/>
  <c r="AC54" i="9"/>
  <c r="AC78" i="9"/>
  <c r="AC114" i="9"/>
  <c r="AC75" i="9"/>
  <c r="AC32" i="9"/>
  <c r="AC124" i="9"/>
  <c r="AC108" i="9"/>
  <c r="AC116" i="9"/>
  <c r="AC35" i="9"/>
  <c r="AC67" i="9"/>
  <c r="AC99" i="9"/>
  <c r="AC83" i="9"/>
  <c r="AC125" i="9"/>
  <c r="AC123" i="9"/>
  <c r="AC119" i="9"/>
  <c r="D82" i="22"/>
  <c r="AC297" i="9"/>
  <c r="AC301" i="9"/>
  <c r="AC257" i="9"/>
  <c r="AC249" i="9"/>
  <c r="AC241" i="9"/>
  <c r="AC233" i="9"/>
  <c r="AC225" i="9"/>
  <c r="AC260" i="9"/>
  <c r="AC216" i="9"/>
  <c r="AC258" i="9"/>
  <c r="AC253" i="9"/>
  <c r="AC250" i="9"/>
  <c r="AC245" i="9"/>
  <c r="AC242" i="9"/>
  <c r="AC237" i="9"/>
  <c r="AC262" i="9"/>
  <c r="AC261" i="9"/>
  <c r="AC254" i="9"/>
  <c r="AC252" i="9"/>
  <c r="AC246" i="9"/>
  <c r="AC244" i="9"/>
  <c r="AC238" i="9"/>
  <c r="AC236" i="9"/>
  <c r="AC180" i="9"/>
  <c r="AC230" i="9"/>
  <c r="AC229" i="9"/>
  <c r="AC214" i="9"/>
  <c r="AC212" i="9"/>
  <c r="AC184" i="9"/>
  <c r="AC226" i="9"/>
  <c r="AC207" i="9"/>
  <c r="AC203" i="9"/>
  <c r="AC208" i="9"/>
  <c r="AC206" i="9"/>
  <c r="AC204" i="9"/>
  <c r="AC188" i="9"/>
  <c r="AC220" i="9"/>
  <c r="AC215" i="9"/>
  <c r="AC199" i="9"/>
  <c r="AC195" i="9"/>
  <c r="AC234" i="9"/>
  <c r="AC222" i="9"/>
  <c r="AC200" i="9"/>
  <c r="AC192" i="9"/>
  <c r="AC189" i="9"/>
  <c r="AC177" i="9"/>
  <c r="AC170" i="9"/>
  <c r="AC187" i="9"/>
  <c r="AC174" i="9"/>
  <c r="AC198" i="9"/>
  <c r="AC176" i="9"/>
  <c r="AC173" i="9"/>
  <c r="AC196" i="9"/>
  <c r="AC185" i="9"/>
  <c r="AC190" i="9"/>
  <c r="AC247" i="9"/>
  <c r="AC209" i="9"/>
  <c r="AC183" i="9"/>
  <c r="AC186" i="9"/>
  <c r="AC171" i="9"/>
  <c r="AC172" i="9"/>
  <c r="AC179" i="9"/>
  <c r="AC202" i="9"/>
  <c r="AC211" i="9"/>
  <c r="AC223" i="9"/>
  <c r="AC194" i="9"/>
  <c r="AC240" i="9"/>
  <c r="AC243" i="9"/>
  <c r="AC197" i="9"/>
  <c r="AC205" i="9"/>
  <c r="AC213" i="9"/>
  <c r="AC221" i="9"/>
  <c r="AC300" i="9"/>
  <c r="AC178" i="9"/>
  <c r="AC235" i="9"/>
  <c r="AC231" i="9"/>
  <c r="AC193" i="9"/>
  <c r="AC217" i="9"/>
  <c r="AC248" i="9"/>
  <c r="AC251" i="9"/>
  <c r="AC182" i="9"/>
  <c r="AC218" i="9"/>
  <c r="AC219" i="9"/>
  <c r="AC232" i="9"/>
  <c r="AC255" i="9"/>
  <c r="AC201" i="9"/>
  <c r="AC210" i="9"/>
  <c r="AC228" i="9"/>
  <c r="AC175" i="9"/>
  <c r="AC224" i="9"/>
  <c r="AC263" i="9"/>
  <c r="AC264" i="9"/>
  <c r="AC239" i="9"/>
  <c r="AC227" i="9"/>
  <c r="AC259" i="9"/>
  <c r="AC296" i="9"/>
  <c r="AC298" i="9"/>
  <c r="AC191" i="9"/>
  <c r="AC181" i="9"/>
  <c r="AC302" i="9"/>
  <c r="AC256" i="9"/>
  <c r="AC299" i="9"/>
  <c r="L289" i="22"/>
  <c r="G289" i="22"/>
  <c r="K289" i="22"/>
  <c r="J289" i="22"/>
  <c r="I289" i="22"/>
  <c r="H289" i="22"/>
  <c r="F289" i="22"/>
  <c r="AD7" i="20"/>
  <c r="AC7" i="8"/>
  <c r="AD6" i="20"/>
  <c r="AC6" i="8"/>
  <c r="D342" i="22"/>
  <c r="AC375" i="9"/>
  <c r="AC379" i="9"/>
  <c r="AC387" i="9"/>
  <c r="AC371" i="9"/>
  <c r="AC388" i="9"/>
  <c r="AC367" i="9"/>
  <c r="AC369" i="9"/>
  <c r="AC365" i="9"/>
  <c r="AC364" i="9"/>
  <c r="AC378" i="9"/>
  <c r="AC366" i="9"/>
  <c r="AC363" i="9"/>
  <c r="AC380" i="9"/>
  <c r="AC362" i="9"/>
  <c r="AC370" i="9"/>
  <c r="AC368" i="9"/>
  <c r="AC376" i="9"/>
  <c r="AC377" i="9"/>
  <c r="D290" i="22"/>
  <c r="AC361" i="9"/>
  <c r="AC373" i="9"/>
  <c r="AC372" i="9"/>
  <c r="AC358" i="9"/>
  <c r="AC354" i="9"/>
  <c r="AC353" i="9"/>
  <c r="AC355" i="9"/>
  <c r="AC359" i="9"/>
  <c r="AC357" i="9"/>
  <c r="AC360" i="9"/>
  <c r="AC374" i="9"/>
  <c r="AC356" i="9"/>
  <c r="AD11" i="20"/>
  <c r="AC11" i="8"/>
  <c r="L81" i="22"/>
  <c r="H81" i="22"/>
  <c r="G81" i="22"/>
  <c r="F81" i="22"/>
  <c r="K81" i="22"/>
  <c r="J81" i="22"/>
  <c r="I81" i="22"/>
  <c r="D30" i="22"/>
  <c r="AC312" i="9"/>
  <c r="AC309" i="9"/>
  <c r="AC311" i="9"/>
  <c r="AC305" i="9"/>
  <c r="AC308" i="9"/>
  <c r="AC306" i="9"/>
  <c r="AC307" i="9"/>
  <c r="AC310" i="9"/>
  <c r="D238" i="22"/>
  <c r="AC382" i="9"/>
  <c r="AC383" i="9"/>
  <c r="AC165" i="9"/>
  <c r="AC157" i="9"/>
  <c r="AC149" i="9"/>
  <c r="AC141" i="9"/>
  <c r="AC133" i="9"/>
  <c r="AC169" i="9"/>
  <c r="AC166" i="9"/>
  <c r="AC161" i="9"/>
  <c r="AC158" i="9"/>
  <c r="AC153" i="9"/>
  <c r="AC150" i="9"/>
  <c r="AC145" i="9"/>
  <c r="AC142" i="9"/>
  <c r="AC137" i="9"/>
  <c r="AC162" i="9"/>
  <c r="AC160" i="9"/>
  <c r="AC154" i="9"/>
  <c r="AC152" i="9"/>
  <c r="AC146" i="9"/>
  <c r="AC144" i="9"/>
  <c r="AC168" i="9"/>
  <c r="AC130" i="9"/>
  <c r="AC128" i="9"/>
  <c r="AC138" i="9"/>
  <c r="AC129" i="9"/>
  <c r="AC136" i="9"/>
  <c r="AC134" i="9"/>
  <c r="AC135" i="9"/>
  <c r="AC139" i="9"/>
  <c r="AC155" i="9"/>
  <c r="AC127" i="9"/>
  <c r="AC131" i="9"/>
  <c r="AC151" i="9"/>
  <c r="AC143" i="9"/>
  <c r="AC132" i="9"/>
  <c r="AC140" i="9"/>
  <c r="AC156" i="9"/>
  <c r="AC164" i="9"/>
  <c r="AC147" i="9"/>
  <c r="AC126" i="9"/>
  <c r="AC148" i="9"/>
  <c r="AC163" i="9"/>
  <c r="AC167" i="9"/>
  <c r="AC385" i="9"/>
  <c r="AC159" i="9"/>
  <c r="AC384" i="9"/>
  <c r="AC386" i="9"/>
  <c r="AC381" i="9"/>
  <c r="F133" i="22"/>
  <c r="K133" i="22"/>
  <c r="H133" i="22"/>
  <c r="G133" i="22"/>
  <c r="L133" i="22"/>
  <c r="J133" i="22"/>
  <c r="I133" i="22"/>
  <c r="AD10" i="20"/>
  <c r="AC10" i="8"/>
  <c r="AD5" i="20"/>
  <c r="AC5" i="8"/>
  <c r="K237" i="22"/>
  <c r="L237" i="22"/>
  <c r="H237" i="22"/>
  <c r="J237" i="22"/>
  <c r="F237" i="22"/>
  <c r="I237" i="22"/>
  <c r="G237" i="22"/>
  <c r="H29" i="22"/>
  <c r="L29" i="22"/>
  <c r="K29" i="22"/>
  <c r="J29" i="22"/>
  <c r="I29" i="22"/>
  <c r="G29" i="22"/>
  <c r="F29" i="22"/>
  <c r="AD9" i="20"/>
  <c r="AC9" i="8"/>
  <c r="D186" i="22"/>
  <c r="AC350" i="9"/>
  <c r="AC345" i="9"/>
  <c r="AC317" i="9"/>
  <c r="AC339" i="9"/>
  <c r="AC337" i="9"/>
  <c r="AC325" i="9"/>
  <c r="AC332" i="9"/>
  <c r="AC327" i="9"/>
  <c r="AC340" i="9"/>
  <c r="AC333" i="9"/>
  <c r="AC331" i="9"/>
  <c r="AC329" i="9"/>
  <c r="AC313" i="9"/>
  <c r="AC304" i="9"/>
  <c r="AC324" i="9"/>
  <c r="AC341" i="9"/>
  <c r="AC328" i="9"/>
  <c r="AC321" i="9"/>
  <c r="AC292" i="9"/>
  <c r="AC285" i="9"/>
  <c r="AC315" i="9"/>
  <c r="AC289" i="9"/>
  <c r="AC276" i="9"/>
  <c r="AC291" i="9"/>
  <c r="AC303" i="9"/>
  <c r="AC295" i="9"/>
  <c r="AC293" i="9"/>
  <c r="AC284" i="9"/>
  <c r="AC281" i="9"/>
  <c r="AC286" i="9"/>
  <c r="AC270" i="9"/>
  <c r="AC269" i="9"/>
  <c r="AC277" i="9"/>
  <c r="AC274" i="9"/>
  <c r="AC278" i="9"/>
  <c r="AC273" i="9"/>
  <c r="AC266" i="9"/>
  <c r="AC268" i="9"/>
  <c r="AC265" i="9"/>
  <c r="AC279" i="9"/>
  <c r="AC287" i="9"/>
  <c r="AC280" i="9"/>
  <c r="AC334" i="9"/>
  <c r="AC282" i="9"/>
  <c r="AC322" i="9"/>
  <c r="AC342" i="9"/>
  <c r="AC271" i="9"/>
  <c r="AC272" i="9"/>
  <c r="AC267" i="9"/>
  <c r="AC352" i="9"/>
  <c r="AC319" i="9"/>
  <c r="AC288" i="9"/>
  <c r="AC344" i="9"/>
  <c r="AC351" i="9"/>
  <c r="AC338" i="9"/>
  <c r="AC323" i="9"/>
  <c r="AC314" i="9"/>
  <c r="AC335" i="9"/>
  <c r="AC347" i="9"/>
  <c r="AC294" i="9"/>
  <c r="AC330" i="9"/>
  <c r="AC336" i="9"/>
  <c r="AC316" i="9"/>
  <c r="AC348" i="9"/>
  <c r="AC346" i="9"/>
  <c r="AC275" i="9"/>
  <c r="AC283" i="9"/>
  <c r="AC326" i="9"/>
  <c r="AC290" i="9"/>
  <c r="AC349" i="9"/>
  <c r="AC320" i="9"/>
  <c r="AC343" i="9"/>
  <c r="AC318" i="9"/>
  <c r="J185" i="22"/>
  <c r="I185" i="22"/>
  <c r="H185" i="22"/>
  <c r="F185" i="22"/>
  <c r="L185" i="22"/>
  <c r="K185" i="22"/>
  <c r="G185" i="22"/>
  <c r="C32" i="19"/>
  <c r="B33" i="19"/>
  <c r="E32" i="19"/>
  <c r="D32" i="19"/>
  <c r="AE3" i="20" s="1"/>
  <c r="I341" i="22"/>
  <c r="F341" i="22"/>
  <c r="L341" i="22"/>
  <c r="K341" i="22"/>
  <c r="J341" i="22"/>
  <c r="H341" i="22"/>
  <c r="G341" i="22"/>
  <c r="AD8" i="20"/>
  <c r="AC8" i="8"/>
  <c r="AE11" i="20" l="1"/>
  <c r="AD11" i="8"/>
  <c r="D239" i="22"/>
  <c r="AD383" i="9"/>
  <c r="AD386" i="9"/>
  <c r="AD169" i="9"/>
  <c r="AD165" i="9"/>
  <c r="AD157" i="9"/>
  <c r="AD149" i="9"/>
  <c r="AD141" i="9"/>
  <c r="AD133" i="9"/>
  <c r="AD166" i="9"/>
  <c r="AD161" i="9"/>
  <c r="AD158" i="9"/>
  <c r="AD153" i="9"/>
  <c r="AD150" i="9"/>
  <c r="AD145" i="9"/>
  <c r="AD168" i="9"/>
  <c r="AD130" i="9"/>
  <c r="AD128" i="9"/>
  <c r="AD129" i="9"/>
  <c r="AD137" i="9"/>
  <c r="AD142" i="9"/>
  <c r="AD134" i="9"/>
  <c r="AD127" i="9"/>
  <c r="AD162" i="9"/>
  <c r="AD135" i="9"/>
  <c r="AD163" i="9"/>
  <c r="AD152" i="9"/>
  <c r="AD154" i="9"/>
  <c r="AD151" i="9"/>
  <c r="AD126" i="9"/>
  <c r="AD155" i="9"/>
  <c r="AD136" i="9"/>
  <c r="AD138" i="9"/>
  <c r="AD147" i="9"/>
  <c r="AD159" i="9"/>
  <c r="AD131" i="9"/>
  <c r="AD144" i="9"/>
  <c r="AD143" i="9"/>
  <c r="AD167" i="9"/>
  <c r="AD156" i="9"/>
  <c r="AD146" i="9"/>
  <c r="AD132" i="9"/>
  <c r="AD140" i="9"/>
  <c r="AD164" i="9"/>
  <c r="AD139" i="9"/>
  <c r="AD384" i="9"/>
  <c r="AD385" i="9"/>
  <c r="AD381" i="9"/>
  <c r="AD148" i="9"/>
  <c r="AD160" i="9"/>
  <c r="AD382" i="9"/>
  <c r="C345" i="22"/>
  <c r="C293" i="22"/>
  <c r="C241" i="22"/>
  <c r="C137" i="22"/>
  <c r="C33" i="22"/>
  <c r="C85" i="22"/>
  <c r="C189" i="22"/>
  <c r="AE2" i="20"/>
  <c r="I290" i="22"/>
  <c r="J290" i="22"/>
  <c r="L290" i="22"/>
  <c r="K290" i="22"/>
  <c r="H290" i="22"/>
  <c r="G290" i="22"/>
  <c r="F290" i="22"/>
  <c r="H238" i="22"/>
  <c r="J238" i="22"/>
  <c r="F238" i="22"/>
  <c r="L238" i="22"/>
  <c r="K238" i="22"/>
  <c r="I238" i="22"/>
  <c r="G238" i="22"/>
  <c r="C33" i="19"/>
  <c r="E33" i="19"/>
  <c r="B34" i="19"/>
  <c r="D33" i="19"/>
  <c r="AF3" i="20" s="1"/>
  <c r="L30" i="22"/>
  <c r="K30" i="22"/>
  <c r="J30" i="22"/>
  <c r="I30" i="22"/>
  <c r="H30" i="22"/>
  <c r="G30" i="22"/>
  <c r="F30" i="22"/>
  <c r="F342" i="22"/>
  <c r="K342" i="22"/>
  <c r="I342" i="22"/>
  <c r="G342" i="22"/>
  <c r="L342" i="22"/>
  <c r="J342" i="22"/>
  <c r="H342" i="22"/>
  <c r="D343" i="22"/>
  <c r="AD379" i="9"/>
  <c r="AD367" i="9"/>
  <c r="AD364" i="9"/>
  <c r="AD371" i="9"/>
  <c r="AD365" i="9"/>
  <c r="AD370" i="9"/>
  <c r="AD375" i="9"/>
  <c r="AD387" i="9"/>
  <c r="AD368" i="9"/>
  <c r="AD376" i="9"/>
  <c r="AD363" i="9"/>
  <c r="AD362" i="9"/>
  <c r="AD366" i="9"/>
  <c r="AD380" i="9"/>
  <c r="AD388" i="9"/>
  <c r="AD378" i="9"/>
  <c r="AD377" i="9"/>
  <c r="AD369" i="9"/>
  <c r="G186" i="22"/>
  <c r="H186" i="22"/>
  <c r="F186" i="22"/>
  <c r="L186" i="22"/>
  <c r="J186" i="22"/>
  <c r="K186" i="22"/>
  <c r="I186" i="22"/>
  <c r="D83" i="22"/>
  <c r="AD296" i="9"/>
  <c r="AD302" i="9"/>
  <c r="AD261" i="9"/>
  <c r="AD297" i="9"/>
  <c r="AD301" i="9"/>
  <c r="AD260" i="9"/>
  <c r="AD216" i="9"/>
  <c r="AD208" i="9"/>
  <c r="AD200" i="9"/>
  <c r="AD192" i="9"/>
  <c r="AD184" i="9"/>
  <c r="AD258" i="9"/>
  <c r="AD253" i="9"/>
  <c r="AD250" i="9"/>
  <c r="AD245" i="9"/>
  <c r="AD242" i="9"/>
  <c r="AD237" i="9"/>
  <c r="AD234" i="9"/>
  <c r="AD229" i="9"/>
  <c r="AD226" i="9"/>
  <c r="AD215" i="9"/>
  <c r="AD257" i="9"/>
  <c r="AD249" i="9"/>
  <c r="AD241" i="9"/>
  <c r="AD233" i="9"/>
  <c r="AD225" i="9"/>
  <c r="AD213" i="9"/>
  <c r="AD207" i="9"/>
  <c r="AD204" i="9"/>
  <c r="AD188" i="9"/>
  <c r="AD177" i="9"/>
  <c r="AD220" i="9"/>
  <c r="AD205" i="9"/>
  <c r="AD199" i="9"/>
  <c r="AD222" i="9"/>
  <c r="AD196" i="9"/>
  <c r="AD221" i="9"/>
  <c r="AD212" i="9"/>
  <c r="AD187" i="9"/>
  <c r="AD197" i="9"/>
  <c r="AD174" i="9"/>
  <c r="AD189" i="9"/>
  <c r="AD176" i="9"/>
  <c r="AD173" i="9"/>
  <c r="AD180" i="9"/>
  <c r="AD185" i="9"/>
  <c r="AD186" i="9"/>
  <c r="AD172" i="9"/>
  <c r="AD190" i="9"/>
  <c r="AD170" i="9"/>
  <c r="AD183" i="9"/>
  <c r="AD248" i="9"/>
  <c r="AD171" i="9"/>
  <c r="AD179" i="9"/>
  <c r="AD218" i="9"/>
  <c r="AD231" i="9"/>
  <c r="AD244" i="9"/>
  <c r="AD235" i="9"/>
  <c r="AD201" i="9"/>
  <c r="AD194" i="9"/>
  <c r="AD232" i="9"/>
  <c r="AD230" i="9"/>
  <c r="AD254" i="9"/>
  <c r="AD219" i="9"/>
  <c r="AD181" i="9"/>
  <c r="AD224" i="9"/>
  <c r="AD238" i="9"/>
  <c r="AD251" i="9"/>
  <c r="AD210" i="9"/>
  <c r="AD195" i="9"/>
  <c r="AD256" i="9"/>
  <c r="AD255" i="9"/>
  <c r="AD236" i="9"/>
  <c r="AD246" i="9"/>
  <c r="AD198" i="9"/>
  <c r="AD206" i="9"/>
  <c r="AD214" i="9"/>
  <c r="AD178" i="9"/>
  <c r="AD191" i="9"/>
  <c r="AD223" i="9"/>
  <c r="AD175" i="9"/>
  <c r="AD240" i="9"/>
  <c r="AD263" i="9"/>
  <c r="AD239" i="9"/>
  <c r="AD247" i="9"/>
  <c r="AD202" i="9"/>
  <c r="AD209" i="9"/>
  <c r="AD203" i="9"/>
  <c r="AD227" i="9"/>
  <c r="AD259" i="9"/>
  <c r="AD182" i="9"/>
  <c r="AD228" i="9"/>
  <c r="AD252" i="9"/>
  <c r="AD262" i="9"/>
  <c r="AD243" i="9"/>
  <c r="AD300" i="9"/>
  <c r="AD299" i="9"/>
  <c r="AD217" i="9"/>
  <c r="AD193" i="9"/>
  <c r="AD211" i="9"/>
  <c r="AD298" i="9"/>
  <c r="AD264" i="9"/>
  <c r="AE9" i="20"/>
  <c r="AD9" i="8"/>
  <c r="AE5" i="20"/>
  <c r="AD5" i="8"/>
  <c r="AE6" i="20"/>
  <c r="AD6" i="8"/>
  <c r="I82" i="22"/>
  <c r="F82" i="22"/>
  <c r="L82" i="22"/>
  <c r="J82" i="22"/>
  <c r="K82" i="22"/>
  <c r="H82" i="22"/>
  <c r="G82" i="22"/>
  <c r="D291" i="22"/>
  <c r="AD374" i="9"/>
  <c r="AD361" i="9"/>
  <c r="AD358" i="9"/>
  <c r="AD354" i="9"/>
  <c r="AD353" i="9"/>
  <c r="AD357" i="9"/>
  <c r="AD356" i="9"/>
  <c r="AD355" i="9"/>
  <c r="AD359" i="9"/>
  <c r="AD372" i="9"/>
  <c r="AD360" i="9"/>
  <c r="AD373" i="9"/>
  <c r="D135" i="22"/>
  <c r="AD125" i="9"/>
  <c r="AD121" i="9"/>
  <c r="AD97" i="9"/>
  <c r="AD86" i="9"/>
  <c r="AD37" i="9"/>
  <c r="AD49" i="9"/>
  <c r="AD117" i="9"/>
  <c r="AD113" i="9"/>
  <c r="AD106" i="9"/>
  <c r="AD89" i="9"/>
  <c r="AD82" i="9"/>
  <c r="AD81" i="9"/>
  <c r="AD73" i="9"/>
  <c r="AD65" i="9"/>
  <c r="AD57" i="9"/>
  <c r="AD80" i="9"/>
  <c r="AD72" i="9"/>
  <c r="AD64" i="9"/>
  <c r="AD109" i="9"/>
  <c r="AD105" i="9"/>
  <c r="AD102" i="9"/>
  <c r="AD93" i="9"/>
  <c r="AD101" i="9"/>
  <c r="AD77" i="9"/>
  <c r="AD70" i="9"/>
  <c r="AD69" i="9"/>
  <c r="AD85" i="9"/>
  <c r="AD33" i="9"/>
  <c r="AD54" i="9"/>
  <c r="AD13" i="9"/>
  <c r="AD61" i="9"/>
  <c r="AD5" i="9"/>
  <c r="AD26" i="9"/>
  <c r="AD9" i="9"/>
  <c r="AD56" i="9"/>
  <c r="AD42" i="9"/>
  <c r="AD21" i="9"/>
  <c r="AD62" i="9"/>
  <c r="AD53" i="9"/>
  <c r="AD29" i="9"/>
  <c r="AD25" i="9"/>
  <c r="AD17" i="9"/>
  <c r="AD45" i="9"/>
  <c r="AD41" i="9"/>
  <c r="AD8" i="9"/>
  <c r="AD58" i="9"/>
  <c r="AD12" i="9"/>
  <c r="AD30" i="9"/>
  <c r="AD95" i="9"/>
  <c r="AD108" i="9"/>
  <c r="AD115" i="9"/>
  <c r="AD119" i="9"/>
  <c r="AD35" i="9"/>
  <c r="AD104" i="9"/>
  <c r="AD46" i="9"/>
  <c r="AD59" i="9"/>
  <c r="AD10" i="9"/>
  <c r="AD38" i="9"/>
  <c r="AD47" i="9"/>
  <c r="AD103" i="9"/>
  <c r="AD75" i="9"/>
  <c r="AD120" i="9"/>
  <c r="AD23" i="9"/>
  <c r="AD15" i="9"/>
  <c r="AD43" i="9"/>
  <c r="AD51" i="9"/>
  <c r="AD60" i="9"/>
  <c r="AD32" i="9"/>
  <c r="AD83" i="9"/>
  <c r="AD122" i="9"/>
  <c r="AD92" i="9"/>
  <c r="AD91" i="9"/>
  <c r="AD110" i="9"/>
  <c r="AD71" i="9"/>
  <c r="AD74" i="9"/>
  <c r="AD123" i="9"/>
  <c r="AD14" i="9"/>
  <c r="AD27" i="9"/>
  <c r="AD112" i="9"/>
  <c r="AD88" i="9"/>
  <c r="AD100" i="9"/>
  <c r="AD19" i="9"/>
  <c r="AD16" i="9"/>
  <c r="AD11" i="9"/>
  <c r="AD94" i="9"/>
  <c r="AD40" i="9"/>
  <c r="AD36" i="9"/>
  <c r="AD22" i="9"/>
  <c r="AD20" i="9"/>
  <c r="AD44" i="9"/>
  <c r="AD50" i="9"/>
  <c r="AD18" i="9"/>
  <c r="AD28" i="9"/>
  <c r="AD24" i="9"/>
  <c r="AD68" i="9"/>
  <c r="AD7" i="9"/>
  <c r="AD31" i="9"/>
  <c r="AD67" i="9"/>
  <c r="AD52" i="9"/>
  <c r="AD39" i="9"/>
  <c r="AD6" i="9"/>
  <c r="AD76" i="9"/>
  <c r="AD107" i="9"/>
  <c r="AD87" i="9"/>
  <c r="AD79" i="9"/>
  <c r="AD55" i="9"/>
  <c r="AD118" i="9"/>
  <c r="AD84" i="9"/>
  <c r="AD48" i="9"/>
  <c r="AD114" i="9"/>
  <c r="AD124" i="9"/>
  <c r="AD99" i="9"/>
  <c r="AD116" i="9"/>
  <c r="AD34" i="9"/>
  <c r="AD78" i="9"/>
  <c r="AD111" i="9"/>
  <c r="AD63" i="9"/>
  <c r="AD90" i="9"/>
  <c r="AD96" i="9"/>
  <c r="AD98" i="9"/>
  <c r="AD66" i="9"/>
  <c r="D31" i="22"/>
  <c r="AD305" i="9"/>
  <c r="AD312" i="9"/>
  <c r="AD309" i="9"/>
  <c r="AD306" i="9"/>
  <c r="AD307" i="9"/>
  <c r="AD310" i="9"/>
  <c r="AD308" i="9"/>
  <c r="AD311" i="9"/>
  <c r="D187" i="22"/>
  <c r="AD341" i="9"/>
  <c r="AD333" i="9"/>
  <c r="AD321" i="9"/>
  <c r="AD350" i="9"/>
  <c r="AD346" i="9"/>
  <c r="AD345" i="9"/>
  <c r="AD347" i="9"/>
  <c r="AD338" i="9"/>
  <c r="AD332" i="9"/>
  <c r="AD317" i="9"/>
  <c r="AD285" i="9"/>
  <c r="AD340" i="9"/>
  <c r="AD329" i="9"/>
  <c r="AD314" i="9"/>
  <c r="AD313" i="9"/>
  <c r="AD330" i="9"/>
  <c r="AD326" i="9"/>
  <c r="AD328" i="9"/>
  <c r="AD349" i="9"/>
  <c r="AD316" i="9"/>
  <c r="AD337" i="9"/>
  <c r="AD325" i="9"/>
  <c r="AD292" i="9"/>
  <c r="AD277" i="9"/>
  <c r="AD269" i="9"/>
  <c r="AD304" i="9"/>
  <c r="AD294" i="9"/>
  <c r="AD289" i="9"/>
  <c r="AD276" i="9"/>
  <c r="AD293" i="9"/>
  <c r="AD281" i="9"/>
  <c r="AD286" i="9"/>
  <c r="AD274" i="9"/>
  <c r="AD273" i="9"/>
  <c r="AD266" i="9"/>
  <c r="AD268" i="9"/>
  <c r="AD265" i="9"/>
  <c r="AD271" i="9"/>
  <c r="AD270" i="9"/>
  <c r="AD280" i="9"/>
  <c r="AD284" i="9"/>
  <c r="AD290" i="9"/>
  <c r="AD336" i="9"/>
  <c r="AD303" i="9"/>
  <c r="AD324" i="9"/>
  <c r="AD272" i="9"/>
  <c r="AD291" i="9"/>
  <c r="AD335" i="9"/>
  <c r="AD334" i="9"/>
  <c r="AD283" i="9"/>
  <c r="AD331" i="9"/>
  <c r="AD351" i="9"/>
  <c r="AD339" i="9"/>
  <c r="AD267" i="9"/>
  <c r="AD275" i="9"/>
  <c r="AD344" i="9"/>
  <c r="AD320" i="9"/>
  <c r="AD322" i="9"/>
  <c r="AD323" i="9"/>
  <c r="AD352" i="9"/>
  <c r="AD348" i="9"/>
  <c r="AD288" i="9"/>
  <c r="AD279" i="9"/>
  <c r="AD278" i="9"/>
  <c r="AD282" i="9"/>
  <c r="AD327" i="9"/>
  <c r="AD319" i="9"/>
  <c r="AD287" i="9"/>
  <c r="AD342" i="9"/>
  <c r="AD295" i="9"/>
  <c r="AD318" i="9"/>
  <c r="AD315" i="9"/>
  <c r="AD343" i="9"/>
  <c r="AE8" i="20"/>
  <c r="AD8" i="8"/>
  <c r="AE10" i="20"/>
  <c r="AD10" i="8"/>
  <c r="AE7" i="20"/>
  <c r="AD7" i="8"/>
  <c r="K134" i="22"/>
  <c r="H134" i="22"/>
  <c r="G134" i="22"/>
  <c r="F134" i="22"/>
  <c r="J134" i="22"/>
  <c r="I134" i="22"/>
  <c r="L134" i="22"/>
  <c r="D188" i="22" l="1"/>
  <c r="AE346" i="9"/>
  <c r="AE345" i="9"/>
  <c r="AE341" i="9"/>
  <c r="AE333" i="9"/>
  <c r="AE321" i="9"/>
  <c r="AE319" i="9"/>
  <c r="AE329" i="9"/>
  <c r="AE313" i="9"/>
  <c r="AE350" i="9"/>
  <c r="AE330" i="9"/>
  <c r="AE304" i="9"/>
  <c r="AE324" i="9"/>
  <c r="AE318" i="9"/>
  <c r="AE328" i="9"/>
  <c r="AE316" i="9"/>
  <c r="AE337" i="9"/>
  <c r="AE325" i="9"/>
  <c r="AE338" i="9"/>
  <c r="AE317" i="9"/>
  <c r="AE285" i="9"/>
  <c r="AE283" i="9"/>
  <c r="AE277" i="9"/>
  <c r="AE269" i="9"/>
  <c r="AE294" i="9"/>
  <c r="AE289" i="9"/>
  <c r="AE287" i="9"/>
  <c r="AE293" i="9"/>
  <c r="AE291" i="9"/>
  <c r="AE281" i="9"/>
  <c r="AE275" i="9"/>
  <c r="AE295" i="9"/>
  <c r="AE282" i="9"/>
  <c r="AE274" i="9"/>
  <c r="AE267" i="9"/>
  <c r="AE273" i="9"/>
  <c r="AE266" i="9"/>
  <c r="AE265" i="9"/>
  <c r="AE288" i="9"/>
  <c r="AE292" i="9"/>
  <c r="AE271" i="9"/>
  <c r="AE290" i="9"/>
  <c r="AE280" i="9"/>
  <c r="AE272" i="9"/>
  <c r="AE270" i="9"/>
  <c r="AE278" i="9"/>
  <c r="AE284" i="9"/>
  <c r="AE303" i="9"/>
  <c r="AE332" i="9"/>
  <c r="AE268" i="9"/>
  <c r="AE279" i="9"/>
  <c r="AE352" i="9"/>
  <c r="AE351" i="9"/>
  <c r="AE340" i="9"/>
  <c r="AE276" i="9"/>
  <c r="AE314" i="9"/>
  <c r="AE335" i="9"/>
  <c r="AE326" i="9"/>
  <c r="AE342" i="9"/>
  <c r="AE343" i="9"/>
  <c r="AE344" i="9"/>
  <c r="AE286" i="9"/>
  <c r="AE349" i="9"/>
  <c r="AE323" i="9"/>
  <c r="AE336" i="9"/>
  <c r="AE322" i="9"/>
  <c r="AE334" i="9"/>
  <c r="AE327" i="9"/>
  <c r="AE339" i="9"/>
  <c r="AE315" i="9"/>
  <c r="AE348" i="9"/>
  <c r="AE331" i="9"/>
  <c r="AE320" i="9"/>
  <c r="AE347" i="9"/>
  <c r="L187" i="22"/>
  <c r="F187" i="22"/>
  <c r="K187" i="22"/>
  <c r="J187" i="22"/>
  <c r="H187" i="22"/>
  <c r="I187" i="22"/>
  <c r="G187" i="22"/>
  <c r="AF10" i="20"/>
  <c r="AE10" i="8"/>
  <c r="D240" i="22"/>
  <c r="AE383" i="9"/>
  <c r="AE381" i="9"/>
  <c r="AE386" i="9"/>
  <c r="AE169" i="9"/>
  <c r="AE161" i="9"/>
  <c r="AE153" i="9"/>
  <c r="AE145" i="9"/>
  <c r="AE137" i="9"/>
  <c r="AE129" i="9"/>
  <c r="AE166" i="9"/>
  <c r="AE158" i="9"/>
  <c r="AE150" i="9"/>
  <c r="AE142" i="9"/>
  <c r="AE134" i="9"/>
  <c r="AE165" i="9"/>
  <c r="AE157" i="9"/>
  <c r="AE149" i="9"/>
  <c r="AE141" i="9"/>
  <c r="AE133" i="9"/>
  <c r="AE126" i="9"/>
  <c r="AE127" i="9"/>
  <c r="AE128" i="9"/>
  <c r="AE135" i="9"/>
  <c r="AE130" i="9"/>
  <c r="AE160" i="9"/>
  <c r="AE151" i="9"/>
  <c r="AE139" i="9"/>
  <c r="AE155" i="9"/>
  <c r="AE131" i="9"/>
  <c r="AE154" i="9"/>
  <c r="AE138" i="9"/>
  <c r="AE143" i="9"/>
  <c r="AE144" i="9"/>
  <c r="AE159" i="9"/>
  <c r="AE163" i="9"/>
  <c r="AE147" i="9"/>
  <c r="AE152" i="9"/>
  <c r="AE167" i="9"/>
  <c r="AE148" i="9"/>
  <c r="AE164" i="9"/>
  <c r="AE146" i="9"/>
  <c r="AE132" i="9"/>
  <c r="AE140" i="9"/>
  <c r="AE162" i="9"/>
  <c r="AE136" i="9"/>
  <c r="AE156" i="9"/>
  <c r="AE168" i="9"/>
  <c r="AE384" i="9"/>
  <c r="AE385" i="9"/>
  <c r="AE382" i="9"/>
  <c r="F83" i="22"/>
  <c r="L83" i="22"/>
  <c r="K83" i="22"/>
  <c r="J83" i="22"/>
  <c r="H83" i="22"/>
  <c r="I83" i="22"/>
  <c r="G83" i="22"/>
  <c r="K343" i="22"/>
  <c r="H343" i="22"/>
  <c r="F343" i="22"/>
  <c r="J343" i="22"/>
  <c r="G343" i="22"/>
  <c r="L343" i="22"/>
  <c r="I343" i="22"/>
  <c r="E34" i="19"/>
  <c r="D34" i="19"/>
  <c r="AG3" i="20" s="1"/>
  <c r="C34" i="19"/>
  <c r="B35" i="19"/>
  <c r="C346" i="22"/>
  <c r="C294" i="22"/>
  <c r="C242" i="22"/>
  <c r="C190" i="22"/>
  <c r="C138" i="22"/>
  <c r="C34" i="22"/>
  <c r="C86" i="22"/>
  <c r="AF2" i="20"/>
  <c r="F291" i="22"/>
  <c r="G291" i="22"/>
  <c r="L291" i="22"/>
  <c r="K291" i="22"/>
  <c r="J291" i="22"/>
  <c r="I291" i="22"/>
  <c r="H291" i="22"/>
  <c r="D84" i="22"/>
  <c r="AE302" i="9"/>
  <c r="AE261" i="9"/>
  <c r="AE253" i="9"/>
  <c r="AE245" i="9"/>
  <c r="AE237" i="9"/>
  <c r="AE229" i="9"/>
  <c r="AE297" i="9"/>
  <c r="AE301" i="9"/>
  <c r="AE298" i="9"/>
  <c r="AE296" i="9"/>
  <c r="AE251" i="9"/>
  <c r="AE243" i="9"/>
  <c r="AE235" i="9"/>
  <c r="AE257" i="9"/>
  <c r="AE249" i="9"/>
  <c r="AE241" i="9"/>
  <c r="AE233" i="9"/>
  <c r="AE216" i="9"/>
  <c r="AE208" i="9"/>
  <c r="AE200" i="9"/>
  <c r="AE192" i="9"/>
  <c r="AE184" i="9"/>
  <c r="AE182" i="9"/>
  <c r="AE204" i="9"/>
  <c r="AE188" i="9"/>
  <c r="AE177" i="9"/>
  <c r="AE220" i="9"/>
  <c r="AE205" i="9"/>
  <c r="AE180" i="9"/>
  <c r="AE196" i="9"/>
  <c r="AE197" i="9"/>
  <c r="AE227" i="9"/>
  <c r="AE219" i="9"/>
  <c r="AE225" i="9"/>
  <c r="AE221" i="9"/>
  <c r="AE212" i="9"/>
  <c r="AE191" i="9"/>
  <c r="AE213" i="9"/>
  <c r="AE203" i="9"/>
  <c r="AE187" i="9"/>
  <c r="AE174" i="9"/>
  <c r="AE189" i="9"/>
  <c r="AE173" i="9"/>
  <c r="AE181" i="9"/>
  <c r="AE175" i="9"/>
  <c r="AE170" i="9"/>
  <c r="AE179" i="9"/>
  <c r="AE210" i="9"/>
  <c r="AE228" i="9"/>
  <c r="AE232" i="9"/>
  <c r="AE230" i="9"/>
  <c r="AE238" i="9"/>
  <c r="AE186" i="9"/>
  <c r="AE190" i="9"/>
  <c r="AE172" i="9"/>
  <c r="AE178" i="9"/>
  <c r="AE202" i="9"/>
  <c r="AE209" i="9"/>
  <c r="AE255" i="9"/>
  <c r="AE236" i="9"/>
  <c r="AE254" i="9"/>
  <c r="AE259" i="9"/>
  <c r="AE193" i="9"/>
  <c r="AE248" i="9"/>
  <c r="AE263" i="9"/>
  <c r="AE239" i="9"/>
  <c r="AE247" i="9"/>
  <c r="AE252" i="9"/>
  <c r="AE198" i="9"/>
  <c r="AE206" i="9"/>
  <c r="AE214" i="9"/>
  <c r="AE222" i="9"/>
  <c r="AE242" i="9"/>
  <c r="AE262" i="9"/>
  <c r="AE218" i="9"/>
  <c r="AE246" i="9"/>
  <c r="AE183" i="9"/>
  <c r="AE211" i="9"/>
  <c r="AE224" i="9"/>
  <c r="AE244" i="9"/>
  <c r="AE199" i="9"/>
  <c r="AE207" i="9"/>
  <c r="AE215" i="9"/>
  <c r="AE185" i="9"/>
  <c r="AE256" i="9"/>
  <c r="AE264" i="9"/>
  <c r="AE201" i="9"/>
  <c r="AE217" i="9"/>
  <c r="AE176" i="9"/>
  <c r="AE240" i="9"/>
  <c r="AE231" i="9"/>
  <c r="AE171" i="9"/>
  <c r="AE194" i="9"/>
  <c r="AE250" i="9"/>
  <c r="AE300" i="9"/>
  <c r="AE195" i="9"/>
  <c r="AE226" i="9"/>
  <c r="AE299" i="9"/>
  <c r="AE258" i="9"/>
  <c r="AE223" i="9"/>
  <c r="AE234" i="9"/>
  <c r="AE260" i="9"/>
  <c r="J31" i="22"/>
  <c r="I31" i="22"/>
  <c r="H31" i="22"/>
  <c r="G31" i="22"/>
  <c r="F31" i="22"/>
  <c r="L31" i="22"/>
  <c r="K31" i="22"/>
  <c r="AF6" i="20"/>
  <c r="AE6" i="8"/>
  <c r="H239" i="22"/>
  <c r="F239" i="22"/>
  <c r="L239" i="22"/>
  <c r="K239" i="22"/>
  <c r="J239" i="22"/>
  <c r="I239" i="22"/>
  <c r="G239" i="22"/>
  <c r="AF9" i="20"/>
  <c r="AE9" i="8"/>
  <c r="D136" i="22"/>
  <c r="AE125" i="9"/>
  <c r="AE121" i="9"/>
  <c r="AE113" i="9"/>
  <c r="AE105" i="9"/>
  <c r="AE37" i="9"/>
  <c r="AE117" i="9"/>
  <c r="AE89" i="9"/>
  <c r="AE81" i="9"/>
  <c r="AE73" i="9"/>
  <c r="AE65" i="9"/>
  <c r="AE57" i="9"/>
  <c r="AE49" i="9"/>
  <c r="AE110" i="9"/>
  <c r="AE90" i="9"/>
  <c r="AE87" i="9"/>
  <c r="AE80" i="9"/>
  <c r="AE72" i="9"/>
  <c r="AE64" i="9"/>
  <c r="AE56" i="9"/>
  <c r="AE109" i="9"/>
  <c r="AE103" i="9"/>
  <c r="AE102" i="9"/>
  <c r="AE93" i="9"/>
  <c r="AE101" i="9"/>
  <c r="AE78" i="9"/>
  <c r="AE77" i="9"/>
  <c r="AE85" i="9"/>
  <c r="AE97" i="9"/>
  <c r="AE61" i="9"/>
  <c r="AE33" i="9"/>
  <c r="AE32" i="9"/>
  <c r="AE31" i="9"/>
  <c r="AE9" i="9"/>
  <c r="AE18" i="9"/>
  <c r="AE48" i="9"/>
  <c r="AE5" i="9"/>
  <c r="AE69" i="9"/>
  <c r="AE62" i="9"/>
  <c r="AE47" i="9"/>
  <c r="AE53" i="9"/>
  <c r="AE40" i="9"/>
  <c r="AE28" i="9"/>
  <c r="AE60" i="9"/>
  <c r="AE29" i="9"/>
  <c r="AE25" i="9"/>
  <c r="AE17" i="9"/>
  <c r="AE45" i="9"/>
  <c r="AE41" i="9"/>
  <c r="AE14" i="9"/>
  <c r="AE70" i="9"/>
  <c r="AE54" i="9"/>
  <c r="AE13" i="9"/>
  <c r="AE21" i="9"/>
  <c r="AE43" i="9"/>
  <c r="AE51" i="9"/>
  <c r="AE83" i="9"/>
  <c r="AE114" i="9"/>
  <c r="AE71" i="9"/>
  <c r="AE116" i="9"/>
  <c r="AE82" i="9"/>
  <c r="AE42" i="9"/>
  <c r="AE12" i="9"/>
  <c r="AE50" i="9"/>
  <c r="AE68" i="9"/>
  <c r="AE27" i="9"/>
  <c r="AE7" i="9"/>
  <c r="AE22" i="9"/>
  <c r="AE76" i="9"/>
  <c r="AE104" i="9"/>
  <c r="AE122" i="9"/>
  <c r="AE91" i="9"/>
  <c r="AE30" i="9"/>
  <c r="AE52" i="9"/>
  <c r="AE84" i="9"/>
  <c r="AE119" i="9"/>
  <c r="AE107" i="9"/>
  <c r="AE112" i="9"/>
  <c r="AE79" i="9"/>
  <c r="AE118" i="9"/>
  <c r="AE124" i="9"/>
  <c r="AE23" i="9"/>
  <c r="AE44" i="9"/>
  <c r="AE16" i="9"/>
  <c r="AE58" i="9"/>
  <c r="AE115" i="9"/>
  <c r="AE67" i="9"/>
  <c r="AE108" i="9"/>
  <c r="AE15" i="9"/>
  <c r="AE46" i="9"/>
  <c r="AE24" i="9"/>
  <c r="AE39" i="9"/>
  <c r="AE19" i="9"/>
  <c r="AE92" i="9"/>
  <c r="AE38" i="9"/>
  <c r="AE59" i="9"/>
  <c r="AE36" i="9"/>
  <c r="AE6" i="9"/>
  <c r="AE20" i="9"/>
  <c r="AE8" i="9"/>
  <c r="AE10" i="9"/>
  <c r="AE11" i="9"/>
  <c r="AE34" i="9"/>
  <c r="AE75" i="9"/>
  <c r="AE94" i="9"/>
  <c r="AE100" i="9"/>
  <c r="AE106" i="9"/>
  <c r="AE88" i="9"/>
  <c r="AE63" i="9"/>
  <c r="AE123" i="9"/>
  <c r="AE66" i="9"/>
  <c r="AE74" i="9"/>
  <c r="AE99" i="9"/>
  <c r="AE86" i="9"/>
  <c r="AE95" i="9"/>
  <c r="AE96" i="9"/>
  <c r="AE111" i="9"/>
  <c r="AE35" i="9"/>
  <c r="AE98" i="9"/>
  <c r="AE26" i="9"/>
  <c r="AE55" i="9"/>
  <c r="AE120" i="9"/>
  <c r="AF7" i="20"/>
  <c r="AE7" i="8"/>
  <c r="D32" i="22"/>
  <c r="AE305" i="9"/>
  <c r="AE312" i="9"/>
  <c r="AE310" i="9"/>
  <c r="AE309" i="9"/>
  <c r="AE308" i="9"/>
  <c r="AE311" i="9"/>
  <c r="AE306" i="9"/>
  <c r="AE307" i="9"/>
  <c r="D344" i="22"/>
  <c r="AE379" i="9"/>
  <c r="AE375" i="9"/>
  <c r="AE387" i="9"/>
  <c r="AE388" i="9"/>
  <c r="AE367" i="9"/>
  <c r="AE371" i="9"/>
  <c r="AE370" i="9"/>
  <c r="AE376" i="9"/>
  <c r="AE365" i="9"/>
  <c r="AE362" i="9"/>
  <c r="AE369" i="9"/>
  <c r="AE366" i="9"/>
  <c r="AE380" i="9"/>
  <c r="AE368" i="9"/>
  <c r="AE377" i="9"/>
  <c r="AE364" i="9"/>
  <c r="AE363" i="9"/>
  <c r="AE378" i="9"/>
  <c r="AF8" i="20"/>
  <c r="AE8" i="8"/>
  <c r="D292" i="22"/>
  <c r="AE354" i="9"/>
  <c r="AE372" i="9"/>
  <c r="AE361" i="9"/>
  <c r="AE358" i="9"/>
  <c r="AE353" i="9"/>
  <c r="AE359" i="9"/>
  <c r="AE355" i="9"/>
  <c r="AE357" i="9"/>
  <c r="AE356" i="9"/>
  <c r="AE373" i="9"/>
  <c r="AE360" i="9"/>
  <c r="AE374" i="9"/>
  <c r="H135" i="22"/>
  <c r="G135" i="22"/>
  <c r="F135" i="22"/>
  <c r="L135" i="22"/>
  <c r="K135" i="22"/>
  <c r="J135" i="22"/>
  <c r="I135" i="22"/>
  <c r="AF5" i="20"/>
  <c r="AE5" i="8"/>
  <c r="AF11" i="20"/>
  <c r="AE11" i="8"/>
  <c r="H344" i="22" l="1"/>
  <c r="K344" i="22"/>
  <c r="F344" i="22"/>
  <c r="L344" i="22"/>
  <c r="J344" i="22"/>
  <c r="I344" i="22"/>
  <c r="G344" i="22"/>
  <c r="D345" i="22"/>
  <c r="AF367" i="9"/>
  <c r="AF387" i="9"/>
  <c r="AF388" i="9"/>
  <c r="AF369" i="9"/>
  <c r="AF375" i="9"/>
  <c r="AF377" i="9"/>
  <c r="AF379" i="9"/>
  <c r="AF365" i="9"/>
  <c r="AF371" i="9"/>
  <c r="AF362" i="9"/>
  <c r="AF368" i="9"/>
  <c r="AF366" i="9"/>
  <c r="AF363" i="9"/>
  <c r="AF378" i="9"/>
  <c r="AF376" i="9"/>
  <c r="AF370" i="9"/>
  <c r="AF364" i="9"/>
  <c r="AF380" i="9"/>
  <c r="D189" i="22"/>
  <c r="AF325" i="9"/>
  <c r="AF350" i="9"/>
  <c r="AF341" i="9"/>
  <c r="AF330" i="9"/>
  <c r="AF289" i="9"/>
  <c r="AF333" i="9"/>
  <c r="AF331" i="9"/>
  <c r="AF318" i="9"/>
  <c r="AF326" i="9"/>
  <c r="AF315" i="9"/>
  <c r="AF346" i="9"/>
  <c r="AF337" i="9"/>
  <c r="AF321" i="9"/>
  <c r="AF319" i="9"/>
  <c r="AF345" i="9"/>
  <c r="AF338" i="9"/>
  <c r="AF317" i="9"/>
  <c r="AF339" i="9"/>
  <c r="AF329" i="9"/>
  <c r="AF313" i="9"/>
  <c r="AF285" i="9"/>
  <c r="AF283" i="9"/>
  <c r="AF293" i="9"/>
  <c r="AF291" i="9"/>
  <c r="AF281" i="9"/>
  <c r="AF275" i="9"/>
  <c r="AF295" i="9"/>
  <c r="AF303" i="9"/>
  <c r="AF282" i="9"/>
  <c r="AF277" i="9"/>
  <c r="AF269" i="9"/>
  <c r="AF274" i="9"/>
  <c r="AF267" i="9"/>
  <c r="AF273" i="9"/>
  <c r="AF266" i="9"/>
  <c r="AF265" i="9"/>
  <c r="AF271" i="9"/>
  <c r="AF323" i="9"/>
  <c r="AF320" i="9"/>
  <c r="AF287" i="9"/>
  <c r="AF327" i="9"/>
  <c r="AF328" i="9"/>
  <c r="AF342" i="9"/>
  <c r="AF270" i="9"/>
  <c r="AF278" i="9"/>
  <c r="AF292" i="9"/>
  <c r="AF340" i="9"/>
  <c r="AF343" i="9"/>
  <c r="AF279" i="9"/>
  <c r="AF286" i="9"/>
  <c r="AF324" i="9"/>
  <c r="AF316" i="9"/>
  <c r="AF348" i="9"/>
  <c r="AF272" i="9"/>
  <c r="AF284" i="9"/>
  <c r="AF322" i="9"/>
  <c r="AF334" i="9"/>
  <c r="AF304" i="9"/>
  <c r="AF290" i="9"/>
  <c r="AF288" i="9"/>
  <c r="AF314" i="9"/>
  <c r="AF349" i="9"/>
  <c r="AF332" i="9"/>
  <c r="AF335" i="9"/>
  <c r="AF352" i="9"/>
  <c r="AF351" i="9"/>
  <c r="AF268" i="9"/>
  <c r="AF276" i="9"/>
  <c r="AF294" i="9"/>
  <c r="AF344" i="9"/>
  <c r="AF347" i="9"/>
  <c r="AF280" i="9"/>
  <c r="AF336" i="9"/>
  <c r="AG8" i="20"/>
  <c r="AF8" i="8"/>
  <c r="D33" i="22"/>
  <c r="AF309" i="9"/>
  <c r="AF305" i="9"/>
  <c r="AF306" i="9"/>
  <c r="AF312" i="9"/>
  <c r="AF307" i="9"/>
  <c r="AF311" i="9"/>
  <c r="AF308" i="9"/>
  <c r="AF310" i="9"/>
  <c r="D241" i="22"/>
  <c r="AF383" i="9"/>
  <c r="AF169" i="9"/>
  <c r="AF161" i="9"/>
  <c r="AF153" i="9"/>
  <c r="AF145" i="9"/>
  <c r="AF137" i="9"/>
  <c r="AF129" i="9"/>
  <c r="AF165" i="9"/>
  <c r="AF157" i="9"/>
  <c r="AF149" i="9"/>
  <c r="AF141" i="9"/>
  <c r="AF133" i="9"/>
  <c r="AF126" i="9"/>
  <c r="AF147" i="9"/>
  <c r="AF163" i="9"/>
  <c r="AF144" i="9"/>
  <c r="AF135" i="9"/>
  <c r="AF130" i="9"/>
  <c r="AF155" i="9"/>
  <c r="AF162" i="9"/>
  <c r="AF132" i="9"/>
  <c r="AF140" i="9"/>
  <c r="AF156" i="9"/>
  <c r="AF168" i="9"/>
  <c r="AF146" i="9"/>
  <c r="AF128" i="9"/>
  <c r="AF159" i="9"/>
  <c r="AF131" i="9"/>
  <c r="AF139" i="9"/>
  <c r="AF152" i="9"/>
  <c r="AF127" i="9"/>
  <c r="AF138" i="9"/>
  <c r="AF167" i="9"/>
  <c r="AF134" i="9"/>
  <c r="AF142" i="9"/>
  <c r="AF148" i="9"/>
  <c r="AF166" i="9"/>
  <c r="AF150" i="9"/>
  <c r="AF160" i="9"/>
  <c r="AF136" i="9"/>
  <c r="AF158" i="9"/>
  <c r="AF164" i="9"/>
  <c r="AF151" i="9"/>
  <c r="AF385" i="9"/>
  <c r="AF154" i="9"/>
  <c r="AF143" i="9"/>
  <c r="AF384" i="9"/>
  <c r="AF382" i="9"/>
  <c r="AF381" i="9"/>
  <c r="AF386" i="9"/>
  <c r="K84" i="22"/>
  <c r="L84" i="22"/>
  <c r="J84" i="22"/>
  <c r="I84" i="22"/>
  <c r="H84" i="22"/>
  <c r="F84" i="22"/>
  <c r="G84" i="22"/>
  <c r="C35" i="19"/>
  <c r="E35" i="19"/>
  <c r="B36" i="19"/>
  <c r="D35" i="19"/>
  <c r="AH3" i="20" s="1"/>
  <c r="D85" i="22"/>
  <c r="AF299" i="9"/>
  <c r="AF297" i="9"/>
  <c r="AF301" i="9"/>
  <c r="AF298" i="9"/>
  <c r="AF302" i="9"/>
  <c r="AF261" i="9"/>
  <c r="AF253" i="9"/>
  <c r="AF245" i="9"/>
  <c r="AF237" i="9"/>
  <c r="AF229" i="9"/>
  <c r="AF188" i="9"/>
  <c r="AF259" i="9"/>
  <c r="AF257" i="9"/>
  <c r="AF249" i="9"/>
  <c r="AF241" i="9"/>
  <c r="AF233" i="9"/>
  <c r="AF220" i="9"/>
  <c r="AF205" i="9"/>
  <c r="AF180" i="9"/>
  <c r="AF216" i="9"/>
  <c r="AF208" i="9"/>
  <c r="AF206" i="9"/>
  <c r="AF196" i="9"/>
  <c r="AF197" i="9"/>
  <c r="AF200" i="9"/>
  <c r="AF198" i="9"/>
  <c r="AF225" i="9"/>
  <c r="AF221" i="9"/>
  <c r="AF212" i="9"/>
  <c r="AF192" i="9"/>
  <c r="AF213" i="9"/>
  <c r="AF214" i="9"/>
  <c r="AF204" i="9"/>
  <c r="AF184" i="9"/>
  <c r="AF182" i="9"/>
  <c r="AF177" i="9"/>
  <c r="AF174" i="9"/>
  <c r="AF189" i="9"/>
  <c r="AF173" i="9"/>
  <c r="AF181" i="9"/>
  <c r="AF175" i="9"/>
  <c r="AF172" i="9"/>
  <c r="AF209" i="9"/>
  <c r="AF203" i="9"/>
  <c r="AF215" i="9"/>
  <c r="AF250" i="9"/>
  <c r="AF186" i="9"/>
  <c r="AF179" i="9"/>
  <c r="AF202" i="9"/>
  <c r="AF218" i="9"/>
  <c r="AF178" i="9"/>
  <c r="AF170" i="9"/>
  <c r="AF190" i="9"/>
  <c r="AF193" i="9"/>
  <c r="AF171" i="9"/>
  <c r="AF185" i="9"/>
  <c r="AF187" i="9"/>
  <c r="AF232" i="9"/>
  <c r="AF242" i="9"/>
  <c r="AF260" i="9"/>
  <c r="AF296" i="9"/>
  <c r="AF183" i="9"/>
  <c r="AF210" i="9"/>
  <c r="AF195" i="9"/>
  <c r="AF224" i="9"/>
  <c r="AF256" i="9"/>
  <c r="AF264" i="9"/>
  <c r="AF244" i="9"/>
  <c r="AF251" i="9"/>
  <c r="AF211" i="9"/>
  <c r="AF176" i="9"/>
  <c r="AF240" i="9"/>
  <c r="AF263" i="9"/>
  <c r="AF231" i="9"/>
  <c r="AF223" i="9"/>
  <c r="AF194" i="9"/>
  <c r="AF217" i="9"/>
  <c r="AF228" i="9"/>
  <c r="AF219" i="9"/>
  <c r="AF227" i="9"/>
  <c r="AF234" i="9"/>
  <c r="AF247" i="9"/>
  <c r="AF255" i="9"/>
  <c r="AF254" i="9"/>
  <c r="AF191" i="9"/>
  <c r="AF207" i="9"/>
  <c r="AF226" i="9"/>
  <c r="AF248" i="9"/>
  <c r="AF239" i="9"/>
  <c r="AF230" i="9"/>
  <c r="AF236" i="9"/>
  <c r="AF243" i="9"/>
  <c r="AF201" i="9"/>
  <c r="AF262" i="9"/>
  <c r="AF199" i="9"/>
  <c r="AF258" i="9"/>
  <c r="AF246" i="9"/>
  <c r="AF222" i="9"/>
  <c r="AF300" i="9"/>
  <c r="AF238" i="9"/>
  <c r="AF252" i="9"/>
  <c r="AF235" i="9"/>
  <c r="AG6" i="20"/>
  <c r="AF6" i="8"/>
  <c r="C295" i="22"/>
  <c r="C347" i="22"/>
  <c r="C243" i="22"/>
  <c r="C191" i="22"/>
  <c r="C139" i="22"/>
  <c r="C87" i="22"/>
  <c r="AG2" i="20"/>
  <c r="C35" i="22"/>
  <c r="AG5" i="20"/>
  <c r="AF5" i="8"/>
  <c r="J240" i="22"/>
  <c r="K240" i="22"/>
  <c r="L240" i="22"/>
  <c r="I240" i="22"/>
  <c r="H240" i="22"/>
  <c r="G240" i="22"/>
  <c r="F240" i="22"/>
  <c r="D137" i="22"/>
  <c r="AF121" i="9"/>
  <c r="AF113" i="9"/>
  <c r="AF105" i="9"/>
  <c r="AF97" i="9"/>
  <c r="AF89" i="9"/>
  <c r="AF125" i="9"/>
  <c r="AF117" i="9"/>
  <c r="AF81" i="9"/>
  <c r="AF73" i="9"/>
  <c r="AF65" i="9"/>
  <c r="AF57" i="9"/>
  <c r="AF49" i="9"/>
  <c r="AF41" i="9"/>
  <c r="AF25" i="9"/>
  <c r="AF109" i="9"/>
  <c r="AF103" i="9"/>
  <c r="AF102" i="9"/>
  <c r="AF93" i="9"/>
  <c r="AF101" i="9"/>
  <c r="AF79" i="9"/>
  <c r="AF78" i="9"/>
  <c r="AF77" i="9"/>
  <c r="AF85" i="9"/>
  <c r="AF37" i="9"/>
  <c r="AF34" i="9"/>
  <c r="AF9" i="9"/>
  <c r="AF21" i="9"/>
  <c r="AF55" i="9"/>
  <c r="AF71" i="9"/>
  <c r="AF69" i="9"/>
  <c r="AF63" i="9"/>
  <c r="AF62" i="9"/>
  <c r="AF47" i="9"/>
  <c r="AF53" i="9"/>
  <c r="AF46" i="9"/>
  <c r="AF29" i="9"/>
  <c r="AF45" i="9"/>
  <c r="AF14" i="9"/>
  <c r="AF70" i="9"/>
  <c r="AF54" i="9"/>
  <c r="AF30" i="9"/>
  <c r="AF13" i="9"/>
  <c r="AF11" i="9"/>
  <c r="AF61" i="9"/>
  <c r="AF33" i="9"/>
  <c r="AF31" i="9"/>
  <c r="AF26" i="9"/>
  <c r="AF5" i="9"/>
  <c r="AF17" i="9"/>
  <c r="AF10" i="9"/>
  <c r="AF44" i="9"/>
  <c r="AF28" i="9"/>
  <c r="AF20" i="9"/>
  <c r="AF6" i="9"/>
  <c r="AF84" i="9"/>
  <c r="AF91" i="9"/>
  <c r="AF112" i="9"/>
  <c r="AF123" i="9"/>
  <c r="AF64" i="9"/>
  <c r="AF32" i="9"/>
  <c r="AF124" i="9"/>
  <c r="AF38" i="9"/>
  <c r="AF68" i="9"/>
  <c r="AF36" i="9"/>
  <c r="AF8" i="9"/>
  <c r="AF27" i="9"/>
  <c r="AF22" i="9"/>
  <c r="AF43" i="9"/>
  <c r="AF108" i="9"/>
  <c r="AF110" i="9"/>
  <c r="AF67" i="9"/>
  <c r="AF106" i="9"/>
  <c r="AF12" i="9"/>
  <c r="AF39" i="9"/>
  <c r="AF114" i="9"/>
  <c r="AF50" i="9"/>
  <c r="AF52" i="9"/>
  <c r="AF42" i="9"/>
  <c r="AF35" i="9"/>
  <c r="AF119" i="9"/>
  <c r="AF92" i="9"/>
  <c r="AF122" i="9"/>
  <c r="AF88" i="9"/>
  <c r="AF19" i="9"/>
  <c r="AF23" i="9"/>
  <c r="AF59" i="9"/>
  <c r="AF16" i="9"/>
  <c r="AF40" i="9"/>
  <c r="AF58" i="9"/>
  <c r="AF15" i="9"/>
  <c r="AF18" i="9"/>
  <c r="AF51" i="9"/>
  <c r="AF86" i="9"/>
  <c r="AF115" i="9"/>
  <c r="AF24" i="9"/>
  <c r="AF60" i="9"/>
  <c r="AF95" i="9"/>
  <c r="AF118" i="9"/>
  <c r="AF104" i="9"/>
  <c r="AF76" i="9"/>
  <c r="AF94" i="9"/>
  <c r="AF120" i="9"/>
  <c r="AF80" i="9"/>
  <c r="AF7" i="9"/>
  <c r="AF107" i="9"/>
  <c r="AF75" i="9"/>
  <c r="AF82" i="9"/>
  <c r="AF98" i="9"/>
  <c r="AF90" i="9"/>
  <c r="AF87" i="9"/>
  <c r="AF99" i="9"/>
  <c r="AF96" i="9"/>
  <c r="AF111" i="9"/>
  <c r="AF56" i="9"/>
  <c r="AF72" i="9"/>
  <c r="AF66" i="9"/>
  <c r="AF100" i="9"/>
  <c r="AF116" i="9"/>
  <c r="AF48" i="9"/>
  <c r="AF83" i="9"/>
  <c r="AF74" i="9"/>
  <c r="K292" i="22"/>
  <c r="L292" i="22"/>
  <c r="F292" i="22"/>
  <c r="J292" i="22"/>
  <c r="I292" i="22"/>
  <c r="H292" i="22"/>
  <c r="G292" i="22"/>
  <c r="AG7" i="20"/>
  <c r="AF7" i="8"/>
  <c r="D293" i="22"/>
  <c r="AF372" i="9"/>
  <c r="AF373" i="9"/>
  <c r="AF354" i="9"/>
  <c r="AF358" i="9"/>
  <c r="AF361" i="9"/>
  <c r="AF357" i="9"/>
  <c r="AF360" i="9"/>
  <c r="AF359" i="9"/>
  <c r="AF356" i="9"/>
  <c r="AF355" i="9"/>
  <c r="AF374" i="9"/>
  <c r="AF353" i="9"/>
  <c r="AG9" i="20"/>
  <c r="AF9" i="8"/>
  <c r="AG10" i="20"/>
  <c r="AF10" i="8"/>
  <c r="G32" i="22"/>
  <c r="H32" i="22"/>
  <c r="F32" i="22"/>
  <c r="L32" i="22"/>
  <c r="K32" i="22"/>
  <c r="J32" i="22"/>
  <c r="I32" i="22"/>
  <c r="AG11" i="20"/>
  <c r="AF11" i="8"/>
  <c r="J136" i="22"/>
  <c r="F136" i="22"/>
  <c r="L136" i="22"/>
  <c r="K136" i="22"/>
  <c r="H136" i="22"/>
  <c r="G136" i="22"/>
  <c r="I136" i="22"/>
  <c r="I188" i="22"/>
  <c r="L188" i="22"/>
  <c r="K188" i="22"/>
  <c r="J188" i="22"/>
  <c r="H188" i="22"/>
  <c r="F188" i="22"/>
  <c r="G188" i="22"/>
  <c r="D346" i="22" l="1"/>
  <c r="AG367" i="9"/>
  <c r="AG387" i="9"/>
  <c r="AG388" i="9"/>
  <c r="AG379" i="9"/>
  <c r="AG364" i="9"/>
  <c r="AG371" i="9"/>
  <c r="AG370" i="9"/>
  <c r="AG375" i="9"/>
  <c r="AG376" i="9"/>
  <c r="AG378" i="9"/>
  <c r="AG380" i="9"/>
  <c r="AG363" i="9"/>
  <c r="AG362" i="9"/>
  <c r="AG369" i="9"/>
  <c r="AG365" i="9"/>
  <c r="AG368" i="9"/>
  <c r="AG366" i="9"/>
  <c r="AG377" i="9"/>
  <c r="AH11" i="20"/>
  <c r="AG11" i="8"/>
  <c r="AH10" i="20"/>
  <c r="AG10" i="8"/>
  <c r="AH9" i="20"/>
  <c r="AG9" i="8"/>
  <c r="J137" i="22"/>
  <c r="G137" i="22"/>
  <c r="L137" i="22"/>
  <c r="K137" i="22"/>
  <c r="I137" i="22"/>
  <c r="H137" i="22"/>
  <c r="F137" i="22"/>
  <c r="D34" i="22"/>
  <c r="AG311" i="9"/>
  <c r="AG310" i="9"/>
  <c r="AG305" i="9"/>
  <c r="AG309" i="9"/>
  <c r="AG308" i="9"/>
  <c r="AG306" i="9"/>
  <c r="AG312" i="9"/>
  <c r="AG307" i="9"/>
  <c r="G241" i="22"/>
  <c r="L241" i="22"/>
  <c r="I241" i="22"/>
  <c r="K241" i="22"/>
  <c r="J241" i="22"/>
  <c r="H241" i="22"/>
  <c r="F241" i="22"/>
  <c r="J345" i="22"/>
  <c r="H345" i="22"/>
  <c r="F345" i="22"/>
  <c r="L345" i="22"/>
  <c r="K345" i="22"/>
  <c r="I345" i="22"/>
  <c r="G345" i="22"/>
  <c r="AH5" i="20"/>
  <c r="AG5" i="8"/>
  <c r="L33" i="22"/>
  <c r="F33" i="22"/>
  <c r="K33" i="22"/>
  <c r="J33" i="22"/>
  <c r="I33" i="22"/>
  <c r="H33" i="22"/>
  <c r="G33" i="22"/>
  <c r="D86" i="22"/>
  <c r="AG301" i="9"/>
  <c r="AG298" i="9"/>
  <c r="AG302" i="9"/>
  <c r="AG296" i="9"/>
  <c r="AG299" i="9"/>
  <c r="AG297" i="9"/>
  <c r="AG263" i="9"/>
  <c r="AG221" i="9"/>
  <c r="AG220" i="9"/>
  <c r="AG262" i="9"/>
  <c r="AG254" i="9"/>
  <c r="AG252" i="9"/>
  <c r="AG246" i="9"/>
  <c r="AG244" i="9"/>
  <c r="AG238" i="9"/>
  <c r="AG236" i="9"/>
  <c r="AG255" i="9"/>
  <c r="AG247" i="9"/>
  <c r="AG239" i="9"/>
  <c r="AG258" i="9"/>
  <c r="AG256" i="9"/>
  <c r="AG250" i="9"/>
  <c r="AG248" i="9"/>
  <c r="AG242" i="9"/>
  <c r="AG240" i="9"/>
  <c r="AG234" i="9"/>
  <c r="AG232" i="9"/>
  <c r="AG260" i="9"/>
  <c r="AG188" i="9"/>
  <c r="AG226" i="9"/>
  <c r="AG216" i="9"/>
  <c r="AG208" i="9"/>
  <c r="AG206" i="9"/>
  <c r="AG196" i="9"/>
  <c r="AG197" i="9"/>
  <c r="AG228" i="9"/>
  <c r="AG222" i="9"/>
  <c r="AG209" i="9"/>
  <c r="AG200" i="9"/>
  <c r="AG198" i="9"/>
  <c r="AG224" i="9"/>
  <c r="AG212" i="9"/>
  <c r="AG210" i="9"/>
  <c r="AG201" i="9"/>
  <c r="AG213" i="9"/>
  <c r="AG191" i="9"/>
  <c r="AG231" i="9"/>
  <c r="AG214" i="9"/>
  <c r="AG204" i="9"/>
  <c r="AG202" i="9"/>
  <c r="AG193" i="9"/>
  <c r="AG230" i="9"/>
  <c r="AG205" i="9"/>
  <c r="AG180" i="9"/>
  <c r="AG184" i="9"/>
  <c r="AG181" i="9"/>
  <c r="AG176" i="9"/>
  <c r="AG185" i="9"/>
  <c r="AG175" i="9"/>
  <c r="AG192" i="9"/>
  <c r="AG182" i="9"/>
  <c r="AG174" i="9"/>
  <c r="AG171" i="9"/>
  <c r="AG178" i="9"/>
  <c r="AG179" i="9"/>
  <c r="AG190" i="9"/>
  <c r="AG172" i="9"/>
  <c r="AG186" i="9"/>
  <c r="AG183" i="9"/>
  <c r="AG170" i="9"/>
  <c r="AG217" i="9"/>
  <c r="AG203" i="9"/>
  <c r="AG235" i="9"/>
  <c r="AG229" i="9"/>
  <c r="AG261" i="9"/>
  <c r="AG219" i="9"/>
  <c r="AG189" i="9"/>
  <c r="AG249" i="9"/>
  <c r="AG218" i="9"/>
  <c r="AG215" i="9"/>
  <c r="AG223" i="9"/>
  <c r="AG207" i="9"/>
  <c r="AG177" i="9"/>
  <c r="AG199" i="9"/>
  <c r="AG187" i="9"/>
  <c r="AG211" i="9"/>
  <c r="AG195" i="9"/>
  <c r="AG194" i="9"/>
  <c r="AG173" i="9"/>
  <c r="AG253" i="9"/>
  <c r="AG241" i="9"/>
  <c r="AG259" i="9"/>
  <c r="AG251" i="9"/>
  <c r="AG233" i="9"/>
  <c r="AG225" i="9"/>
  <c r="AG245" i="9"/>
  <c r="AG237" i="9"/>
  <c r="AG257" i="9"/>
  <c r="AG227" i="9"/>
  <c r="AG243" i="9"/>
  <c r="AG264" i="9"/>
  <c r="AG300" i="9"/>
  <c r="H85" i="22"/>
  <c r="K85" i="22"/>
  <c r="J85" i="22"/>
  <c r="I85" i="22"/>
  <c r="G85" i="22"/>
  <c r="F85" i="22"/>
  <c r="L85" i="22"/>
  <c r="D190" i="22"/>
  <c r="AG350" i="9"/>
  <c r="AG346" i="9"/>
  <c r="AG341" i="9"/>
  <c r="AG347" i="9"/>
  <c r="AG325" i="9"/>
  <c r="AG333" i="9"/>
  <c r="AG331" i="9"/>
  <c r="AG318" i="9"/>
  <c r="AG315" i="9"/>
  <c r="AG334" i="9"/>
  <c r="AG351" i="9"/>
  <c r="AG328" i="9"/>
  <c r="AG337" i="9"/>
  <c r="AG335" i="9"/>
  <c r="AG345" i="9"/>
  <c r="AG338" i="9"/>
  <c r="AG317" i="9"/>
  <c r="AG339" i="9"/>
  <c r="AG329" i="9"/>
  <c r="AG313" i="9"/>
  <c r="AG330" i="9"/>
  <c r="AG289" i="9"/>
  <c r="AG285" i="9"/>
  <c r="AG283" i="9"/>
  <c r="AG319" i="9"/>
  <c r="AG293" i="9"/>
  <c r="AG291" i="9"/>
  <c r="AG295" i="9"/>
  <c r="AG303" i="9"/>
  <c r="AG282" i="9"/>
  <c r="AG316" i="9"/>
  <c r="AG286" i="9"/>
  <c r="AG284" i="9"/>
  <c r="AG321" i="9"/>
  <c r="AG266" i="9"/>
  <c r="AG276" i="9"/>
  <c r="AG275" i="9"/>
  <c r="AG268" i="9"/>
  <c r="AG274" i="9"/>
  <c r="AG267" i="9"/>
  <c r="AG270" i="9"/>
  <c r="AG294" i="9"/>
  <c r="AG326" i="9"/>
  <c r="AG280" i="9"/>
  <c r="AG290" i="9"/>
  <c r="AG324" i="9"/>
  <c r="AG336" i="9"/>
  <c r="AG281" i="9"/>
  <c r="AG349" i="9"/>
  <c r="AG343" i="9"/>
  <c r="AG271" i="9"/>
  <c r="AG272" i="9"/>
  <c r="AG320" i="9"/>
  <c r="AG279" i="9"/>
  <c r="AG323" i="9"/>
  <c r="AG342" i="9"/>
  <c r="AG352" i="9"/>
  <c r="AG344" i="9"/>
  <c r="AG322" i="9"/>
  <c r="AG273" i="9"/>
  <c r="AG265" i="9"/>
  <c r="AG340" i="9"/>
  <c r="AG314" i="9"/>
  <c r="AG327" i="9"/>
  <c r="AG277" i="9"/>
  <c r="AG287" i="9"/>
  <c r="AG288" i="9"/>
  <c r="AG269" i="9"/>
  <c r="AG304" i="9"/>
  <c r="AG278" i="9"/>
  <c r="AG332" i="9"/>
  <c r="AG292" i="9"/>
  <c r="AG348" i="9"/>
  <c r="B37" i="19"/>
  <c r="E36" i="19"/>
  <c r="D36" i="19"/>
  <c r="AI3" i="20" s="1"/>
  <c r="C36" i="19"/>
  <c r="D294" i="22"/>
  <c r="AG372" i="9"/>
  <c r="AG374" i="9"/>
  <c r="AG373" i="9"/>
  <c r="AG358" i="9"/>
  <c r="AG354" i="9"/>
  <c r="AG355" i="9"/>
  <c r="AG359" i="9"/>
  <c r="AG357" i="9"/>
  <c r="AG360" i="9"/>
  <c r="AG353" i="9"/>
  <c r="AG356" i="9"/>
  <c r="AG361" i="9"/>
  <c r="H293" i="22"/>
  <c r="I293" i="22"/>
  <c r="L293" i="22"/>
  <c r="F293" i="22"/>
  <c r="K293" i="22"/>
  <c r="J293" i="22"/>
  <c r="G293" i="22"/>
  <c r="C348" i="22"/>
  <c r="C296" i="22"/>
  <c r="C244" i="22"/>
  <c r="C192" i="22"/>
  <c r="C140" i="22"/>
  <c r="C88" i="22"/>
  <c r="C36" i="22"/>
  <c r="AH2" i="20"/>
  <c r="F189" i="22"/>
  <c r="K189" i="22"/>
  <c r="J189" i="22"/>
  <c r="I189" i="22"/>
  <c r="H189" i="22"/>
  <c r="G189" i="22"/>
  <c r="L189" i="22"/>
  <c r="AH8" i="20"/>
  <c r="AG8" i="8"/>
  <c r="D138" i="22"/>
  <c r="AG41" i="9"/>
  <c r="AG25" i="9"/>
  <c r="AG103" i="9"/>
  <c r="AG21" i="9"/>
  <c r="AG13" i="9"/>
  <c r="AG9" i="9"/>
  <c r="AG5" i="9"/>
  <c r="AG102" i="9"/>
  <c r="AG88" i="9"/>
  <c r="AG77" i="9"/>
  <c r="AG71" i="9"/>
  <c r="AG70" i="9"/>
  <c r="AG69" i="9"/>
  <c r="AG63" i="9"/>
  <c r="AG120" i="9"/>
  <c r="AG94" i="9"/>
  <c r="AG95" i="9"/>
  <c r="AG86" i="9"/>
  <c r="AG81" i="9"/>
  <c r="AG73" i="9"/>
  <c r="AG65" i="9"/>
  <c r="AG57" i="9"/>
  <c r="AG49" i="9"/>
  <c r="AG17" i="9"/>
  <c r="AG45" i="9"/>
  <c r="AG55" i="9"/>
  <c r="AG48" i="9"/>
  <c r="AG47" i="9"/>
  <c r="AG62" i="9"/>
  <c r="AG35" i="9"/>
  <c r="AG14" i="9"/>
  <c r="AG53" i="9"/>
  <c r="AG29" i="9"/>
  <c r="AG44" i="9"/>
  <c r="AG54" i="9"/>
  <c r="AG37" i="9"/>
  <c r="AG30" i="9"/>
  <c r="AG11" i="9"/>
  <c r="AG61" i="9"/>
  <c r="AG33" i="9"/>
  <c r="AG31" i="9"/>
  <c r="AG10" i="9"/>
  <c r="AG34" i="9"/>
  <c r="AG32" i="9"/>
  <c r="AG74" i="9"/>
  <c r="AG111" i="9"/>
  <c r="AG78" i="9"/>
  <c r="AG100" i="9"/>
  <c r="AG104" i="9"/>
  <c r="AG110" i="9"/>
  <c r="AG124" i="9"/>
  <c r="AG46" i="9"/>
  <c r="AG6" i="9"/>
  <c r="AG22" i="9"/>
  <c r="AG26" i="9"/>
  <c r="AG112" i="9"/>
  <c r="AG118" i="9"/>
  <c r="AG90" i="9"/>
  <c r="AG50" i="9"/>
  <c r="AG40" i="9"/>
  <c r="AG24" i="9"/>
  <c r="AG52" i="9"/>
  <c r="AG43" i="9"/>
  <c r="AG15" i="9"/>
  <c r="AG20" i="9"/>
  <c r="AG8" i="9"/>
  <c r="AG84" i="9"/>
  <c r="AG108" i="9"/>
  <c r="AG18" i="9"/>
  <c r="AG36" i="9"/>
  <c r="AG19" i="9"/>
  <c r="AG75" i="9"/>
  <c r="AG82" i="9"/>
  <c r="AG79" i="9"/>
  <c r="AG59" i="9"/>
  <c r="AG58" i="9"/>
  <c r="AG66" i="9"/>
  <c r="AG114" i="9"/>
  <c r="AG91" i="9"/>
  <c r="AG27" i="9"/>
  <c r="AG7" i="9"/>
  <c r="AG38" i="9"/>
  <c r="AG12" i="9"/>
  <c r="AG28" i="9"/>
  <c r="AG39" i="9"/>
  <c r="AG51" i="9"/>
  <c r="AG83" i="9"/>
  <c r="AG107" i="9"/>
  <c r="AG23" i="9"/>
  <c r="AG16" i="9"/>
  <c r="AG68" i="9"/>
  <c r="AG67" i="9"/>
  <c r="AG92" i="9"/>
  <c r="AG119" i="9"/>
  <c r="AG115" i="9"/>
  <c r="AG99" i="9"/>
  <c r="AG96" i="9"/>
  <c r="AG76" i="9"/>
  <c r="AG93" i="9"/>
  <c r="AG122" i="9"/>
  <c r="AG116" i="9"/>
  <c r="AG56" i="9"/>
  <c r="AG72" i="9"/>
  <c r="AG123" i="9"/>
  <c r="AG64" i="9"/>
  <c r="AG106" i="9"/>
  <c r="AG42" i="9"/>
  <c r="AG80" i="9"/>
  <c r="AG97" i="9"/>
  <c r="AG60" i="9"/>
  <c r="AG105" i="9"/>
  <c r="AG113" i="9"/>
  <c r="AG98" i="9"/>
  <c r="AG121" i="9"/>
  <c r="AG85" i="9"/>
  <c r="AG101" i="9"/>
  <c r="AG87" i="9"/>
  <c r="AG109" i="9"/>
  <c r="AG117" i="9"/>
  <c r="AG125" i="9"/>
  <c r="AG89" i="9"/>
  <c r="AH6" i="20"/>
  <c r="AG6" i="8"/>
  <c r="D242" i="22"/>
  <c r="AG383" i="9"/>
  <c r="AG386" i="9"/>
  <c r="AG126" i="9"/>
  <c r="AG168" i="9"/>
  <c r="AG155" i="9"/>
  <c r="AG147" i="9"/>
  <c r="AG166" i="9"/>
  <c r="AG164" i="9"/>
  <c r="AG158" i="9"/>
  <c r="AG156" i="9"/>
  <c r="AG150" i="9"/>
  <c r="AG148" i="9"/>
  <c r="AG142" i="9"/>
  <c r="AG140" i="9"/>
  <c r="AG134" i="9"/>
  <c r="AG132" i="9"/>
  <c r="AG139" i="9"/>
  <c r="AG131" i="9"/>
  <c r="AG136" i="9"/>
  <c r="AG152" i="9"/>
  <c r="AG162" i="9"/>
  <c r="AG167" i="9"/>
  <c r="AG138" i="9"/>
  <c r="AG159" i="9"/>
  <c r="AG135" i="9"/>
  <c r="AG127" i="9"/>
  <c r="AG130" i="9"/>
  <c r="AG163" i="9"/>
  <c r="AG143" i="9"/>
  <c r="AG149" i="9"/>
  <c r="AG128" i="9"/>
  <c r="AG160" i="9"/>
  <c r="AG137" i="9"/>
  <c r="AG169" i="9"/>
  <c r="AG157" i="9"/>
  <c r="AG144" i="9"/>
  <c r="AG151" i="9"/>
  <c r="AG145" i="9"/>
  <c r="AG146" i="9"/>
  <c r="AG133" i="9"/>
  <c r="AG165" i="9"/>
  <c r="AG153" i="9"/>
  <c r="AG141" i="9"/>
  <c r="AG382" i="9"/>
  <c r="AG381" i="9"/>
  <c r="AG129" i="9"/>
  <c r="AG154" i="9"/>
  <c r="AG385" i="9"/>
  <c r="AG161" i="9"/>
  <c r="AG384" i="9"/>
  <c r="AH7" i="20"/>
  <c r="AG7" i="8"/>
  <c r="L242" i="22" l="1"/>
  <c r="J242" i="22"/>
  <c r="G242" i="22"/>
  <c r="F242" i="22"/>
  <c r="K242" i="22"/>
  <c r="I242" i="22"/>
  <c r="H242" i="22"/>
  <c r="G138" i="22"/>
  <c r="L138" i="22"/>
  <c r="K138" i="22"/>
  <c r="J138" i="22"/>
  <c r="I138" i="22"/>
  <c r="F138" i="22"/>
  <c r="H138" i="22"/>
  <c r="AI7" i="20"/>
  <c r="AH7" i="8"/>
  <c r="AI8" i="20"/>
  <c r="AH8" i="8"/>
  <c r="AI5" i="20"/>
  <c r="AH5" i="8"/>
  <c r="AI9" i="20"/>
  <c r="AH9" i="8"/>
  <c r="K190" i="22"/>
  <c r="I190" i="22"/>
  <c r="H190" i="22"/>
  <c r="G190" i="22"/>
  <c r="F190" i="22"/>
  <c r="L190" i="22"/>
  <c r="J190" i="22"/>
  <c r="D295" i="22"/>
  <c r="AH374" i="9"/>
  <c r="AH372" i="9"/>
  <c r="AH355" i="9"/>
  <c r="AH359" i="9"/>
  <c r="AH354" i="9"/>
  <c r="AH357" i="9"/>
  <c r="AH356" i="9"/>
  <c r="AH353" i="9"/>
  <c r="AH358" i="9"/>
  <c r="AH360" i="9"/>
  <c r="AH373" i="9"/>
  <c r="AH361" i="9"/>
  <c r="AI10" i="20"/>
  <c r="AH10" i="8"/>
  <c r="F294" i="22"/>
  <c r="K294" i="22"/>
  <c r="I294" i="22"/>
  <c r="H294" i="22"/>
  <c r="G294" i="22"/>
  <c r="L294" i="22"/>
  <c r="J294" i="22"/>
  <c r="D347" i="22"/>
  <c r="AH388" i="9"/>
  <c r="AH376" i="9"/>
  <c r="AH377" i="9"/>
  <c r="AH370" i="9"/>
  <c r="AH362" i="9"/>
  <c r="AH363" i="9"/>
  <c r="AH365" i="9"/>
  <c r="AH371" i="9"/>
  <c r="AH366" i="9"/>
  <c r="AH369" i="9"/>
  <c r="AH364" i="9"/>
  <c r="AH380" i="9"/>
  <c r="AH375" i="9"/>
  <c r="AH378" i="9"/>
  <c r="AH368" i="9"/>
  <c r="AH367" i="9"/>
  <c r="AH387" i="9"/>
  <c r="AH379" i="9"/>
  <c r="D87" i="22"/>
  <c r="AH298" i="9"/>
  <c r="AH296" i="9"/>
  <c r="AH299" i="9"/>
  <c r="AH262" i="9"/>
  <c r="AH254" i="9"/>
  <c r="AH252" i="9"/>
  <c r="AH246" i="9"/>
  <c r="AH244" i="9"/>
  <c r="AH222" i="9"/>
  <c r="AH247" i="9"/>
  <c r="AH258" i="9"/>
  <c r="AH256" i="9"/>
  <c r="AH250" i="9"/>
  <c r="AH248" i="9"/>
  <c r="AH242" i="9"/>
  <c r="AH240" i="9"/>
  <c r="AH234" i="9"/>
  <c r="AH232" i="9"/>
  <c r="AH209" i="9"/>
  <c r="AH181" i="9"/>
  <c r="AH224" i="9"/>
  <c r="AH211" i="9"/>
  <c r="AH202" i="9"/>
  <c r="AH193" i="9"/>
  <c r="AH203" i="9"/>
  <c r="AH226" i="9"/>
  <c r="AH191" i="9"/>
  <c r="AH182" i="9"/>
  <c r="AH183" i="9"/>
  <c r="AH171" i="9"/>
  <c r="AH217" i="9"/>
  <c r="AH189" i="9"/>
  <c r="AH243" i="9"/>
  <c r="AH179" i="9"/>
  <c r="AH190" i="9"/>
  <c r="AH219" i="9"/>
  <c r="AH172" i="9"/>
  <c r="AH178" i="9"/>
  <c r="AH186" i="9"/>
  <c r="AH170" i="9"/>
  <c r="AH223" i="9"/>
  <c r="AH207" i="9"/>
  <c r="AH230" i="9"/>
  <c r="AH208" i="9"/>
  <c r="AH218" i="9"/>
  <c r="AH174" i="9"/>
  <c r="AH175" i="9"/>
  <c r="AH199" i="9"/>
  <c r="AH235" i="9"/>
  <c r="AH263" i="9"/>
  <c r="AH196" i="9"/>
  <c r="AH237" i="9"/>
  <c r="AH253" i="9"/>
  <c r="AH201" i="9"/>
  <c r="AH228" i="9"/>
  <c r="AH187" i="9"/>
  <c r="AH195" i="9"/>
  <c r="AH173" i="9"/>
  <c r="AH227" i="9"/>
  <c r="AH236" i="9"/>
  <c r="AH210" i="9"/>
  <c r="AH231" i="9"/>
  <c r="AH239" i="9"/>
  <c r="AH255" i="9"/>
  <c r="AH194" i="9"/>
  <c r="AH197" i="9"/>
  <c r="AH205" i="9"/>
  <c r="AH213" i="9"/>
  <c r="AH221" i="9"/>
  <c r="AH260" i="9"/>
  <c r="AH200" i="9"/>
  <c r="AH177" i="9"/>
  <c r="AH259" i="9"/>
  <c r="AH198" i="9"/>
  <c r="AH184" i="9"/>
  <c r="AH204" i="9"/>
  <c r="AH249" i="9"/>
  <c r="AH257" i="9"/>
  <c r="AH216" i="9"/>
  <c r="AH233" i="9"/>
  <c r="AH241" i="9"/>
  <c r="AH185" i="9"/>
  <c r="AH214" i="9"/>
  <c r="AH225" i="9"/>
  <c r="AH297" i="9"/>
  <c r="AH251" i="9"/>
  <c r="AH176" i="9"/>
  <c r="AH300" i="9"/>
  <c r="AH188" i="9"/>
  <c r="AH261" i="9"/>
  <c r="AH206" i="9"/>
  <c r="AH220" i="9"/>
  <c r="AH245" i="9"/>
  <c r="AH301" i="9"/>
  <c r="AH264" i="9"/>
  <c r="AH238" i="9"/>
  <c r="AH180" i="9"/>
  <c r="AH229" i="9"/>
  <c r="AH302" i="9"/>
  <c r="AH192" i="9"/>
  <c r="AH212" i="9"/>
  <c r="AH215" i="9"/>
  <c r="AI6" i="20"/>
  <c r="AH6" i="8"/>
  <c r="AI11" i="20"/>
  <c r="AH11" i="8"/>
  <c r="C349" i="22"/>
  <c r="C245" i="22"/>
  <c r="C297" i="22"/>
  <c r="C193" i="22"/>
  <c r="C141" i="22"/>
  <c r="C89" i="22"/>
  <c r="AI2" i="20"/>
  <c r="C37" i="22"/>
  <c r="D139" i="22"/>
  <c r="AH125" i="9"/>
  <c r="AH124" i="9"/>
  <c r="AH106" i="9"/>
  <c r="AH102" i="9"/>
  <c r="AH119" i="9"/>
  <c r="AH95" i="9"/>
  <c r="AH86" i="9"/>
  <c r="AH47" i="9"/>
  <c r="AH35" i="9"/>
  <c r="AH8" i="9"/>
  <c r="AH50" i="9"/>
  <c r="AH14" i="9"/>
  <c r="AH60" i="9"/>
  <c r="AH30" i="9"/>
  <c r="AH51" i="9"/>
  <c r="AH31" i="9"/>
  <c r="AH10" i="9"/>
  <c r="AH34" i="9"/>
  <c r="AH32" i="9"/>
  <c r="AH20" i="9"/>
  <c r="AH7" i="9"/>
  <c r="AH48" i="9"/>
  <c r="AH11" i="9"/>
  <c r="AH36" i="9"/>
  <c r="AH46" i="9"/>
  <c r="AH19" i="9"/>
  <c r="AH115" i="9"/>
  <c r="AH62" i="9"/>
  <c r="AH79" i="9"/>
  <c r="AH21" i="9"/>
  <c r="AH23" i="9"/>
  <c r="AH6" i="9"/>
  <c r="AH39" i="9"/>
  <c r="AH59" i="9"/>
  <c r="AH12" i="9"/>
  <c r="AH18" i="9"/>
  <c r="AH107" i="9"/>
  <c r="AH66" i="9"/>
  <c r="AH94" i="9"/>
  <c r="AH22" i="9"/>
  <c r="AH38" i="9"/>
  <c r="AH87" i="9"/>
  <c r="AH67" i="9"/>
  <c r="AH108" i="9"/>
  <c r="AH116" i="9"/>
  <c r="AH88" i="9"/>
  <c r="AH96" i="9"/>
  <c r="AH76" i="9"/>
  <c r="AH112" i="9"/>
  <c r="AH58" i="9"/>
  <c r="AH40" i="9"/>
  <c r="AH26" i="9"/>
  <c r="AH74" i="9"/>
  <c r="AH84" i="9"/>
  <c r="AH122" i="9"/>
  <c r="AH28" i="9"/>
  <c r="AH24" i="9"/>
  <c r="AH68" i="9"/>
  <c r="AH43" i="9"/>
  <c r="AH27" i="9"/>
  <c r="AH44" i="9"/>
  <c r="AH52" i="9"/>
  <c r="AH98" i="9"/>
  <c r="AH110" i="9"/>
  <c r="AH114" i="9"/>
  <c r="AH83" i="9"/>
  <c r="AH15" i="9"/>
  <c r="AH42" i="9"/>
  <c r="AH16" i="9"/>
  <c r="AH104" i="9"/>
  <c r="AH111" i="9"/>
  <c r="AH55" i="9"/>
  <c r="AH78" i="9"/>
  <c r="AH99" i="9"/>
  <c r="AH118" i="9"/>
  <c r="AH120" i="9"/>
  <c r="AH90" i="9"/>
  <c r="AH9" i="9"/>
  <c r="AH29" i="9"/>
  <c r="AH61" i="9"/>
  <c r="AH89" i="9"/>
  <c r="AH105" i="9"/>
  <c r="AH121" i="9"/>
  <c r="AH92" i="9"/>
  <c r="AH71" i="9"/>
  <c r="AH103" i="9"/>
  <c r="AH49" i="9"/>
  <c r="AH81" i="9"/>
  <c r="AH75" i="9"/>
  <c r="AH123" i="9"/>
  <c r="AH25" i="9"/>
  <c r="AH54" i="9"/>
  <c r="AH63" i="9"/>
  <c r="AH91" i="9"/>
  <c r="AH56" i="9"/>
  <c r="AH72" i="9"/>
  <c r="AH5" i="9"/>
  <c r="AH33" i="9"/>
  <c r="AH82" i="9"/>
  <c r="AH70" i="9"/>
  <c r="AH64" i="9"/>
  <c r="AH17" i="9"/>
  <c r="AH53" i="9"/>
  <c r="AH93" i="9"/>
  <c r="AH109" i="9"/>
  <c r="AH45" i="9"/>
  <c r="AH65" i="9"/>
  <c r="AH101" i="9"/>
  <c r="AH80" i="9"/>
  <c r="AH37" i="9"/>
  <c r="AH57" i="9"/>
  <c r="AH77" i="9"/>
  <c r="AH85" i="9"/>
  <c r="AH69" i="9"/>
  <c r="AH13" i="9"/>
  <c r="AH100" i="9"/>
  <c r="AH113" i="9"/>
  <c r="AH41" i="9"/>
  <c r="AH97" i="9"/>
  <c r="AH73" i="9"/>
  <c r="AH117" i="9"/>
  <c r="D191" i="22"/>
  <c r="AH351" i="9"/>
  <c r="AH347" i="9"/>
  <c r="AH334" i="9"/>
  <c r="AH328" i="9"/>
  <c r="AH319" i="9"/>
  <c r="AH316" i="9"/>
  <c r="AH336" i="9"/>
  <c r="AH318" i="9"/>
  <c r="AH295" i="9"/>
  <c r="AH282" i="9"/>
  <c r="AH286" i="9"/>
  <c r="AH284" i="9"/>
  <c r="AH283" i="9"/>
  <c r="AH288" i="9"/>
  <c r="AH275" i="9"/>
  <c r="AH276" i="9"/>
  <c r="AH327" i="9"/>
  <c r="AH270" i="9"/>
  <c r="AH271" i="9"/>
  <c r="AH292" i="9"/>
  <c r="AH266" i="9"/>
  <c r="AH287" i="9"/>
  <c r="AH269" i="9"/>
  <c r="AH332" i="9"/>
  <c r="AH313" i="9"/>
  <c r="AH330" i="9"/>
  <c r="AH338" i="9"/>
  <c r="AH274" i="9"/>
  <c r="AH326" i="9"/>
  <c r="AH348" i="9"/>
  <c r="AH352" i="9"/>
  <c r="AH285" i="9"/>
  <c r="AH279" i="9"/>
  <c r="AH290" i="9"/>
  <c r="AH324" i="9"/>
  <c r="AH343" i="9"/>
  <c r="AH321" i="9"/>
  <c r="AH320" i="9"/>
  <c r="AH323" i="9"/>
  <c r="AH322" i="9"/>
  <c r="AH341" i="9"/>
  <c r="AH280" i="9"/>
  <c r="AH303" i="9"/>
  <c r="AH304" i="9"/>
  <c r="AH349" i="9"/>
  <c r="AH289" i="9"/>
  <c r="AH277" i="9"/>
  <c r="AH335" i="9"/>
  <c r="AH342" i="9"/>
  <c r="AH331" i="9"/>
  <c r="AH317" i="9"/>
  <c r="AH278" i="9"/>
  <c r="AH314" i="9"/>
  <c r="AH339" i="9"/>
  <c r="AH346" i="9"/>
  <c r="AH337" i="9"/>
  <c r="AH350" i="9"/>
  <c r="AH291" i="9"/>
  <c r="AH267" i="9"/>
  <c r="AH315" i="9"/>
  <c r="AH344" i="9"/>
  <c r="AH325" i="9"/>
  <c r="AH294" i="9"/>
  <c r="AH281" i="9"/>
  <c r="AH293" i="9"/>
  <c r="AH345" i="9"/>
  <c r="AH265" i="9"/>
  <c r="AH273" i="9"/>
  <c r="AH329" i="9"/>
  <c r="AH333" i="9"/>
  <c r="AH268" i="9"/>
  <c r="AH272" i="9"/>
  <c r="AH340" i="9"/>
  <c r="C37" i="19"/>
  <c r="E37" i="19"/>
  <c r="D37" i="19"/>
  <c r="AJ3" i="20" s="1"/>
  <c r="B38" i="19"/>
  <c r="I86" i="22"/>
  <c r="H86" i="22"/>
  <c r="G86" i="22"/>
  <c r="F86" i="22"/>
  <c r="K86" i="22"/>
  <c r="L86" i="22"/>
  <c r="J86" i="22"/>
  <c r="D35" i="22"/>
  <c r="AH308" i="9"/>
  <c r="AH310" i="9"/>
  <c r="AH311" i="9"/>
  <c r="AH306" i="9"/>
  <c r="AH305" i="9"/>
  <c r="AH307" i="9"/>
  <c r="AH309" i="9"/>
  <c r="AH312" i="9"/>
  <c r="I34" i="22"/>
  <c r="L34" i="22"/>
  <c r="K34" i="22"/>
  <c r="J34" i="22"/>
  <c r="H34" i="22"/>
  <c r="G34" i="22"/>
  <c r="F34" i="22"/>
  <c r="D243" i="22"/>
  <c r="AH386" i="9"/>
  <c r="AH381" i="9"/>
  <c r="AH126" i="9"/>
  <c r="AH162" i="9"/>
  <c r="AH160" i="9"/>
  <c r="AH154" i="9"/>
  <c r="AH152" i="9"/>
  <c r="AH146" i="9"/>
  <c r="AH144" i="9"/>
  <c r="AH166" i="9"/>
  <c r="AH164" i="9"/>
  <c r="AH158" i="9"/>
  <c r="AH156" i="9"/>
  <c r="AH150" i="9"/>
  <c r="AH148" i="9"/>
  <c r="AH142" i="9"/>
  <c r="AH140" i="9"/>
  <c r="AH132" i="9"/>
  <c r="AH138" i="9"/>
  <c r="AH134" i="9"/>
  <c r="AH131" i="9"/>
  <c r="AH136" i="9"/>
  <c r="AH128" i="9"/>
  <c r="AH135" i="9"/>
  <c r="AH127" i="9"/>
  <c r="AH130" i="9"/>
  <c r="AH147" i="9"/>
  <c r="AH137" i="9"/>
  <c r="AH153" i="9"/>
  <c r="AH169" i="9"/>
  <c r="AH155" i="9"/>
  <c r="AH159" i="9"/>
  <c r="AH129" i="9"/>
  <c r="AH141" i="9"/>
  <c r="AH168" i="9"/>
  <c r="AH167" i="9"/>
  <c r="AH149" i="9"/>
  <c r="AH161" i="9"/>
  <c r="AH143" i="9"/>
  <c r="AH151" i="9"/>
  <c r="AH133" i="9"/>
  <c r="AH145" i="9"/>
  <c r="AH157" i="9"/>
  <c r="AH163" i="9"/>
  <c r="AH383" i="9"/>
  <c r="AH384" i="9"/>
  <c r="AH382" i="9"/>
  <c r="AH385" i="9"/>
  <c r="AH165" i="9"/>
  <c r="AH139" i="9"/>
  <c r="J346" i="22"/>
  <c r="G346" i="22"/>
  <c r="F346" i="22"/>
  <c r="I346" i="22"/>
  <c r="L346" i="22"/>
  <c r="K346" i="22"/>
  <c r="H346" i="22"/>
  <c r="AJ11" i="20" l="1"/>
  <c r="AI11" i="8"/>
  <c r="D140" i="22"/>
  <c r="AI121" i="9"/>
  <c r="AI113" i="9"/>
  <c r="AI105" i="9"/>
  <c r="AI97" i="9"/>
  <c r="AI89" i="9"/>
  <c r="AI81" i="9"/>
  <c r="AI77" i="9"/>
  <c r="AI73" i="9"/>
  <c r="AI69" i="9"/>
  <c r="AI65" i="9"/>
  <c r="AI61" i="9"/>
  <c r="AI57" i="9"/>
  <c r="AI53" i="9"/>
  <c r="AI49" i="9"/>
  <c r="AI29" i="9"/>
  <c r="AI109" i="9"/>
  <c r="AI45" i="9"/>
  <c r="AI47" i="9"/>
  <c r="AI93" i="9"/>
  <c r="AI101" i="9"/>
  <c r="AI95" i="9"/>
  <c r="AI85" i="9"/>
  <c r="AI83" i="9"/>
  <c r="AI82" i="9"/>
  <c r="AI75" i="9"/>
  <c r="AI74" i="9"/>
  <c r="AI96" i="9"/>
  <c r="AI87" i="9"/>
  <c r="AI125" i="9"/>
  <c r="AI117" i="9"/>
  <c r="AI41" i="9"/>
  <c r="AI25" i="9"/>
  <c r="AI36" i="9"/>
  <c r="AI8" i="9"/>
  <c r="AI67" i="9"/>
  <c r="AI11" i="9"/>
  <c r="AI60" i="9"/>
  <c r="AI51" i="9"/>
  <c r="AI37" i="9"/>
  <c r="AI31" i="9"/>
  <c r="AI66" i="9"/>
  <c r="AI34" i="9"/>
  <c r="AI33" i="9"/>
  <c r="AI32" i="9"/>
  <c r="AI20" i="9"/>
  <c r="AI48" i="9"/>
  <c r="AI38" i="9"/>
  <c r="AI76" i="9"/>
  <c r="AI35" i="9"/>
  <c r="AI7" i="9"/>
  <c r="AI14" i="9"/>
  <c r="AI40" i="9"/>
  <c r="AI24" i="9"/>
  <c r="AI43" i="9"/>
  <c r="AI26" i="9"/>
  <c r="AI21" i="9"/>
  <c r="AI94" i="9"/>
  <c r="AI80" i="9"/>
  <c r="AI18" i="9"/>
  <c r="AI27" i="9"/>
  <c r="AI17" i="9"/>
  <c r="AI99" i="9"/>
  <c r="AI104" i="9"/>
  <c r="AI110" i="9"/>
  <c r="AI16" i="9"/>
  <c r="AI19" i="9"/>
  <c r="AI46" i="9"/>
  <c r="AI13" i="9"/>
  <c r="AI107" i="9"/>
  <c r="AI84" i="9"/>
  <c r="AI112" i="9"/>
  <c r="AI119" i="9"/>
  <c r="AI116" i="9"/>
  <c r="AI91" i="9"/>
  <c r="AI56" i="9"/>
  <c r="AI72" i="9"/>
  <c r="AI15" i="9"/>
  <c r="AI39" i="9"/>
  <c r="AI42" i="9"/>
  <c r="AI9" i="9"/>
  <c r="AI103" i="9"/>
  <c r="AI115" i="9"/>
  <c r="AI6" i="9"/>
  <c r="AI44" i="9"/>
  <c r="AI59" i="9"/>
  <c r="AI5" i="9"/>
  <c r="AI68" i="9"/>
  <c r="AI52" i="9"/>
  <c r="AI58" i="9"/>
  <c r="AI10" i="9"/>
  <c r="AI28" i="9"/>
  <c r="AI50" i="9"/>
  <c r="AI108" i="9"/>
  <c r="AI30" i="9"/>
  <c r="AI22" i="9"/>
  <c r="AI86" i="9"/>
  <c r="AI111" i="9"/>
  <c r="AI118" i="9"/>
  <c r="AI90" i="9"/>
  <c r="AI62" i="9"/>
  <c r="AI98" i="9"/>
  <c r="AI102" i="9"/>
  <c r="AI114" i="9"/>
  <c r="AI92" i="9"/>
  <c r="AI54" i="9"/>
  <c r="AI70" i="9"/>
  <c r="AI120" i="9"/>
  <c r="AI124" i="9"/>
  <c r="AI23" i="9"/>
  <c r="AI55" i="9"/>
  <c r="AI71" i="9"/>
  <c r="AI78" i="9"/>
  <c r="AI100" i="9"/>
  <c r="AI122" i="9"/>
  <c r="AI123" i="9"/>
  <c r="AI79" i="9"/>
  <c r="AI106" i="9"/>
  <c r="AI88" i="9"/>
  <c r="AI64" i="9"/>
  <c r="AI63" i="9"/>
  <c r="AI12" i="9"/>
  <c r="C350" i="22"/>
  <c r="C298" i="22"/>
  <c r="C246" i="22"/>
  <c r="C194" i="22"/>
  <c r="C142" i="22"/>
  <c r="C90" i="22"/>
  <c r="C38" i="22"/>
  <c r="AJ2" i="20"/>
  <c r="D88" i="22"/>
  <c r="AI301" i="9"/>
  <c r="AI298" i="9"/>
  <c r="AI296" i="9"/>
  <c r="AI299" i="9"/>
  <c r="AI297" i="9"/>
  <c r="AI220" i="9"/>
  <c r="AI216" i="9"/>
  <c r="AI212" i="9"/>
  <c r="AI208" i="9"/>
  <c r="AI204" i="9"/>
  <c r="AI200" i="9"/>
  <c r="AI196" i="9"/>
  <c r="AI192" i="9"/>
  <c r="AI253" i="9"/>
  <c r="AI245" i="9"/>
  <c r="AI237" i="9"/>
  <c r="AI229" i="9"/>
  <c r="AI255" i="9"/>
  <c r="AI247" i="9"/>
  <c r="AI239" i="9"/>
  <c r="AI261" i="9"/>
  <c r="AI257" i="9"/>
  <c r="AI256" i="9"/>
  <c r="AI249" i="9"/>
  <c r="AI248" i="9"/>
  <c r="AI241" i="9"/>
  <c r="AI240" i="9"/>
  <c r="AI221" i="9"/>
  <c r="AI214" i="9"/>
  <c r="AI213" i="9"/>
  <c r="AI206" i="9"/>
  <c r="AI205" i="9"/>
  <c r="AI198" i="9"/>
  <c r="AI197" i="9"/>
  <c r="AI181" i="9"/>
  <c r="AI199" i="9"/>
  <c r="AI233" i="9"/>
  <c r="AI224" i="9"/>
  <c r="AI215" i="9"/>
  <c r="AI210" i="9"/>
  <c r="AI201" i="9"/>
  <c r="AI232" i="9"/>
  <c r="AI225" i="9"/>
  <c r="AI202" i="9"/>
  <c r="AI231" i="9"/>
  <c r="AI203" i="9"/>
  <c r="AI194" i="9"/>
  <c r="AI207" i="9"/>
  <c r="AI188" i="9"/>
  <c r="AI193" i="9"/>
  <c r="AI184" i="9"/>
  <c r="AI189" i="9"/>
  <c r="AI173" i="9"/>
  <c r="AI180" i="9"/>
  <c r="AI182" i="9"/>
  <c r="AI187" i="9"/>
  <c r="AI177" i="9"/>
  <c r="AI171" i="9"/>
  <c r="AI179" i="9"/>
  <c r="AI223" i="9"/>
  <c r="AI218" i="9"/>
  <c r="AI211" i="9"/>
  <c r="AI172" i="9"/>
  <c r="AI183" i="9"/>
  <c r="AI186" i="9"/>
  <c r="AI170" i="9"/>
  <c r="AI178" i="9"/>
  <c r="AI190" i="9"/>
  <c r="AI185" i="9"/>
  <c r="AI175" i="9"/>
  <c r="AI300" i="9"/>
  <c r="AI195" i="9"/>
  <c r="AI209" i="9"/>
  <c r="AI234" i="9"/>
  <c r="AI226" i="9"/>
  <c r="AI236" i="9"/>
  <c r="AI254" i="9"/>
  <c r="AI227" i="9"/>
  <c r="AI259" i="9"/>
  <c r="AI191" i="9"/>
  <c r="AI219" i="9"/>
  <c r="AI258" i="9"/>
  <c r="AI264" i="9"/>
  <c r="AI176" i="9"/>
  <c r="AI242" i="9"/>
  <c r="AI246" i="9"/>
  <c r="AI252" i="9"/>
  <c r="AI243" i="9"/>
  <c r="AI174" i="9"/>
  <c r="AI230" i="9"/>
  <c r="AI235" i="9"/>
  <c r="AI263" i="9"/>
  <c r="AI238" i="9"/>
  <c r="AI244" i="9"/>
  <c r="AI228" i="9"/>
  <c r="AI250" i="9"/>
  <c r="AI260" i="9"/>
  <c r="AI262" i="9"/>
  <c r="AI222" i="9"/>
  <c r="AI302" i="9"/>
  <c r="AI251" i="9"/>
  <c r="AI217" i="9"/>
  <c r="H87" i="22"/>
  <c r="L87" i="22"/>
  <c r="G87" i="22"/>
  <c r="F87" i="22"/>
  <c r="J87" i="22"/>
  <c r="K87" i="22"/>
  <c r="I87" i="22"/>
  <c r="AJ7" i="20"/>
  <c r="AI7" i="8"/>
  <c r="AJ6" i="20"/>
  <c r="AI6" i="8"/>
  <c r="J295" i="22"/>
  <c r="K295" i="22"/>
  <c r="I295" i="22"/>
  <c r="H295" i="22"/>
  <c r="G295" i="22"/>
  <c r="F295" i="22"/>
  <c r="L295" i="22"/>
  <c r="D244" i="22"/>
  <c r="AI386" i="9"/>
  <c r="AI382" i="9"/>
  <c r="AI383" i="9"/>
  <c r="AI169" i="9"/>
  <c r="AI161" i="9"/>
  <c r="AI153" i="9"/>
  <c r="AI145" i="9"/>
  <c r="AI137" i="9"/>
  <c r="AI129" i="9"/>
  <c r="AI165" i="9"/>
  <c r="AI164" i="9"/>
  <c r="AI157" i="9"/>
  <c r="AI156" i="9"/>
  <c r="AI149" i="9"/>
  <c r="AI148" i="9"/>
  <c r="AI140" i="9"/>
  <c r="AI133" i="9"/>
  <c r="AI131" i="9"/>
  <c r="AI141" i="9"/>
  <c r="AI132" i="9"/>
  <c r="AI138" i="9"/>
  <c r="AI152" i="9"/>
  <c r="AI127" i="9"/>
  <c r="AI136" i="9"/>
  <c r="AI146" i="9"/>
  <c r="AI159" i="9"/>
  <c r="AI150" i="9"/>
  <c r="AI166" i="9"/>
  <c r="AI126" i="9"/>
  <c r="AI143" i="9"/>
  <c r="AI160" i="9"/>
  <c r="AI147" i="9"/>
  <c r="AI163" i="9"/>
  <c r="AI167" i="9"/>
  <c r="AI128" i="9"/>
  <c r="AI130" i="9"/>
  <c r="AI135" i="9"/>
  <c r="AI151" i="9"/>
  <c r="AI162" i="9"/>
  <c r="AI155" i="9"/>
  <c r="AI139" i="9"/>
  <c r="AI134" i="9"/>
  <c r="AI142" i="9"/>
  <c r="AI144" i="9"/>
  <c r="AI154" i="9"/>
  <c r="AI384" i="9"/>
  <c r="AI168" i="9"/>
  <c r="AI381" i="9"/>
  <c r="AI385" i="9"/>
  <c r="AI158" i="9"/>
  <c r="AJ9" i="20"/>
  <c r="AI9" i="8"/>
  <c r="G347" i="22"/>
  <c r="L347" i="22"/>
  <c r="J347" i="22"/>
  <c r="F347" i="22"/>
  <c r="I347" i="22"/>
  <c r="H347" i="22"/>
  <c r="K347" i="22"/>
  <c r="D296" i="22"/>
  <c r="AI372" i="9"/>
  <c r="AI374" i="9"/>
  <c r="AI373" i="9"/>
  <c r="AI361" i="9"/>
  <c r="AI353" i="9"/>
  <c r="AI355" i="9"/>
  <c r="AI360" i="9"/>
  <c r="AI358" i="9"/>
  <c r="AI354" i="9"/>
  <c r="AI356" i="9"/>
  <c r="AI357" i="9"/>
  <c r="AI359" i="9"/>
  <c r="D36" i="22"/>
  <c r="AI309" i="9"/>
  <c r="AI305" i="9"/>
  <c r="AI312" i="9"/>
  <c r="AI306" i="9"/>
  <c r="AI307" i="9"/>
  <c r="AI308" i="9"/>
  <c r="AI311" i="9"/>
  <c r="AI310" i="9"/>
  <c r="H191" i="22"/>
  <c r="G191" i="22"/>
  <c r="F191" i="22"/>
  <c r="L191" i="22"/>
  <c r="K191" i="22"/>
  <c r="J191" i="22"/>
  <c r="I191" i="22"/>
  <c r="AJ10" i="20"/>
  <c r="AI10" i="8"/>
  <c r="AJ5" i="20"/>
  <c r="AI5" i="8"/>
  <c r="D192" i="22"/>
  <c r="AI345" i="9"/>
  <c r="AI341" i="9"/>
  <c r="AI337" i="9"/>
  <c r="AI333" i="9"/>
  <c r="AI329" i="9"/>
  <c r="AI347" i="9"/>
  <c r="AI340" i="9"/>
  <c r="AI339" i="9"/>
  <c r="AI338" i="9"/>
  <c r="AI331" i="9"/>
  <c r="AI330" i="9"/>
  <c r="AI313" i="9"/>
  <c r="AI344" i="9"/>
  <c r="AI293" i="9"/>
  <c r="AI326" i="9"/>
  <c r="AI324" i="9"/>
  <c r="AI335" i="9"/>
  <c r="AI319" i="9"/>
  <c r="AI316" i="9"/>
  <c r="AI321" i="9"/>
  <c r="AI323" i="9"/>
  <c r="AI325" i="9"/>
  <c r="AI318" i="9"/>
  <c r="AI332" i="9"/>
  <c r="AI304" i="9"/>
  <c r="AI295" i="9"/>
  <c r="AI289" i="9"/>
  <c r="AI314" i="9"/>
  <c r="AI282" i="9"/>
  <c r="AI286" i="9"/>
  <c r="AI284" i="9"/>
  <c r="AI283" i="9"/>
  <c r="AI277" i="9"/>
  <c r="AI317" i="9"/>
  <c r="AI285" i="9"/>
  <c r="AI273" i="9"/>
  <c r="AI269" i="9"/>
  <c r="AI265" i="9"/>
  <c r="AI281" i="9"/>
  <c r="AI274" i="9"/>
  <c r="AI315" i="9"/>
  <c r="AI272" i="9"/>
  <c r="AI288" i="9"/>
  <c r="AI271" i="9"/>
  <c r="AI267" i="9"/>
  <c r="AI327" i="9"/>
  <c r="AI270" i="9"/>
  <c r="AI291" i="9"/>
  <c r="AI275" i="9"/>
  <c r="AI279" i="9"/>
  <c r="AI294" i="9"/>
  <c r="AI266" i="9"/>
  <c r="AI268" i="9"/>
  <c r="AI334" i="9"/>
  <c r="AI343" i="9"/>
  <c r="AI320" i="9"/>
  <c r="AI276" i="9"/>
  <c r="AI292" i="9"/>
  <c r="AI349" i="9"/>
  <c r="AI346" i="9"/>
  <c r="AI278" i="9"/>
  <c r="AI280" i="9"/>
  <c r="AI348" i="9"/>
  <c r="AI352" i="9"/>
  <c r="AI351" i="9"/>
  <c r="AI328" i="9"/>
  <c r="AI342" i="9"/>
  <c r="AI290" i="9"/>
  <c r="AI287" i="9"/>
  <c r="AI322" i="9"/>
  <c r="AI336" i="9"/>
  <c r="AI303" i="9"/>
  <c r="AI350" i="9"/>
  <c r="L139" i="22"/>
  <c r="I139" i="22"/>
  <c r="K139" i="22"/>
  <c r="J139" i="22"/>
  <c r="H139" i="22"/>
  <c r="G139" i="22"/>
  <c r="F139" i="22"/>
  <c r="I243" i="22"/>
  <c r="H243" i="22"/>
  <c r="G243" i="22"/>
  <c r="F243" i="22"/>
  <c r="L243" i="22"/>
  <c r="K243" i="22"/>
  <c r="J243" i="22"/>
  <c r="F35" i="22"/>
  <c r="K35" i="22"/>
  <c r="J35" i="22"/>
  <c r="I35" i="22"/>
  <c r="H35" i="22"/>
  <c r="G35" i="22"/>
  <c r="L35" i="22"/>
  <c r="B39" i="19"/>
  <c r="E38" i="19"/>
  <c r="D38" i="19"/>
  <c r="AK3" i="20" s="1"/>
  <c r="C38" i="19"/>
  <c r="D348" i="22"/>
  <c r="AI388" i="9"/>
  <c r="AI387" i="9"/>
  <c r="AI371" i="9"/>
  <c r="AI370" i="9"/>
  <c r="AI376" i="9"/>
  <c r="AI375" i="9"/>
  <c r="AI377" i="9"/>
  <c r="AI378" i="9"/>
  <c r="AI380" i="9"/>
  <c r="AI379" i="9"/>
  <c r="AI367" i="9"/>
  <c r="AI365" i="9"/>
  <c r="AI364" i="9"/>
  <c r="AI363" i="9"/>
  <c r="AI362" i="9"/>
  <c r="AI366" i="9"/>
  <c r="AI368" i="9"/>
  <c r="AI369" i="9"/>
  <c r="AJ8" i="20"/>
  <c r="AI8" i="8"/>
  <c r="D297" i="22" l="1"/>
  <c r="AJ374" i="9"/>
  <c r="AJ360" i="9"/>
  <c r="AJ354" i="9"/>
  <c r="AJ353" i="9"/>
  <c r="AJ361" i="9"/>
  <c r="AJ358" i="9"/>
  <c r="AJ355" i="9"/>
  <c r="AJ357" i="9"/>
  <c r="AJ359" i="9"/>
  <c r="AJ373" i="9"/>
  <c r="AJ356" i="9"/>
  <c r="AJ372" i="9"/>
  <c r="AK10" i="20"/>
  <c r="AJ10" i="8"/>
  <c r="K36" i="22"/>
  <c r="I36" i="22"/>
  <c r="H36" i="22"/>
  <c r="G36" i="22"/>
  <c r="F36" i="22"/>
  <c r="L36" i="22"/>
  <c r="J36" i="22"/>
  <c r="L348" i="22"/>
  <c r="I348" i="22"/>
  <c r="G348" i="22"/>
  <c r="F348" i="22"/>
  <c r="H348" i="22"/>
  <c r="K348" i="22"/>
  <c r="J348" i="22"/>
  <c r="F244" i="22"/>
  <c r="G244" i="22"/>
  <c r="L244" i="22"/>
  <c r="I244" i="22"/>
  <c r="H244" i="22"/>
  <c r="K244" i="22"/>
  <c r="J244" i="22"/>
  <c r="D89" i="22"/>
  <c r="AJ301" i="9"/>
  <c r="AJ296" i="9"/>
  <c r="AJ299" i="9"/>
  <c r="AJ297" i="9"/>
  <c r="AJ220" i="9"/>
  <c r="AJ212" i="9"/>
  <c r="AJ204" i="9"/>
  <c r="AJ196" i="9"/>
  <c r="AJ255" i="9"/>
  <c r="AJ247" i="9"/>
  <c r="AJ261" i="9"/>
  <c r="AJ257" i="9"/>
  <c r="AJ256" i="9"/>
  <c r="AJ249" i="9"/>
  <c r="AJ248" i="9"/>
  <c r="AJ241" i="9"/>
  <c r="AJ240" i="9"/>
  <c r="AJ233" i="9"/>
  <c r="AJ232" i="9"/>
  <c r="AJ263" i="9"/>
  <c r="AJ253" i="9"/>
  <c r="AJ245" i="9"/>
  <c r="AJ237" i="9"/>
  <c r="AJ229" i="9"/>
  <c r="AJ199" i="9"/>
  <c r="AJ224" i="9"/>
  <c r="AJ215" i="9"/>
  <c r="AJ210" i="9"/>
  <c r="AJ200" i="9"/>
  <c r="AJ198" i="9"/>
  <c r="AJ173" i="9"/>
  <c r="AJ211" i="9"/>
  <c r="AJ187" i="9"/>
  <c r="AJ225" i="9"/>
  <c r="AJ202" i="9"/>
  <c r="AJ192" i="9"/>
  <c r="AJ203" i="9"/>
  <c r="AJ214" i="9"/>
  <c r="AJ194" i="9"/>
  <c r="AJ207" i="9"/>
  <c r="AJ195" i="9"/>
  <c r="AJ216" i="9"/>
  <c r="AJ208" i="9"/>
  <c r="AJ206" i="9"/>
  <c r="AJ179" i="9"/>
  <c r="AJ180" i="9"/>
  <c r="AJ182" i="9"/>
  <c r="AJ188" i="9"/>
  <c r="AJ177" i="9"/>
  <c r="AJ184" i="9"/>
  <c r="AJ183" i="9"/>
  <c r="AJ178" i="9"/>
  <c r="AJ186" i="9"/>
  <c r="AJ185" i="9"/>
  <c r="AJ176" i="9"/>
  <c r="AJ228" i="9"/>
  <c r="AJ250" i="9"/>
  <c r="AJ171" i="9"/>
  <c r="AJ209" i="9"/>
  <c r="AJ170" i="9"/>
  <c r="AJ190" i="9"/>
  <c r="AJ172" i="9"/>
  <c r="AJ223" i="9"/>
  <c r="AJ191" i="9"/>
  <c r="AJ226" i="9"/>
  <c r="AJ197" i="9"/>
  <c r="AJ205" i="9"/>
  <c r="AJ213" i="9"/>
  <c r="AJ221" i="9"/>
  <c r="AJ260" i="9"/>
  <c r="AJ201" i="9"/>
  <c r="AJ258" i="9"/>
  <c r="AJ252" i="9"/>
  <c r="AJ254" i="9"/>
  <c r="AJ243" i="9"/>
  <c r="AJ219" i="9"/>
  <c r="AJ242" i="9"/>
  <c r="AJ235" i="9"/>
  <c r="AJ259" i="9"/>
  <c r="AJ174" i="9"/>
  <c r="AJ189" i="9"/>
  <c r="AJ230" i="9"/>
  <c r="AJ244" i="9"/>
  <c r="AJ246" i="9"/>
  <c r="AJ239" i="9"/>
  <c r="AJ218" i="9"/>
  <c r="AJ181" i="9"/>
  <c r="AJ238" i="9"/>
  <c r="AJ231" i="9"/>
  <c r="AJ251" i="9"/>
  <c r="AJ193" i="9"/>
  <c r="AJ217" i="9"/>
  <c r="AJ264" i="9"/>
  <c r="AJ236" i="9"/>
  <c r="AJ222" i="9"/>
  <c r="AJ227" i="9"/>
  <c r="AJ298" i="9"/>
  <c r="AJ234" i="9"/>
  <c r="AJ300" i="9"/>
  <c r="AJ175" i="9"/>
  <c r="AJ262" i="9"/>
  <c r="AJ302" i="9"/>
  <c r="AK6" i="20"/>
  <c r="AJ6" i="8"/>
  <c r="J88" i="22"/>
  <c r="K88" i="22"/>
  <c r="G88" i="22"/>
  <c r="F88" i="22"/>
  <c r="I88" i="22"/>
  <c r="H88" i="22"/>
  <c r="L88" i="22"/>
  <c r="D141" i="22"/>
  <c r="AJ109" i="9"/>
  <c r="AJ89" i="9"/>
  <c r="AJ45" i="9"/>
  <c r="AJ29" i="9"/>
  <c r="AJ113" i="9"/>
  <c r="AJ93" i="9"/>
  <c r="AJ47" i="9"/>
  <c r="AJ31" i="9"/>
  <c r="AJ48" i="9"/>
  <c r="AJ101" i="9"/>
  <c r="AJ77" i="9"/>
  <c r="AJ69" i="9"/>
  <c r="AJ61" i="9"/>
  <c r="AJ53" i="9"/>
  <c r="AJ105" i="9"/>
  <c r="AJ85" i="9"/>
  <c r="AJ83" i="9"/>
  <c r="AJ107" i="9"/>
  <c r="AJ125" i="9"/>
  <c r="AJ117" i="9"/>
  <c r="AJ97" i="9"/>
  <c r="AJ81" i="9"/>
  <c r="AJ73" i="9"/>
  <c r="AJ65" i="9"/>
  <c r="AJ124" i="9"/>
  <c r="AJ121" i="9"/>
  <c r="AJ67" i="9"/>
  <c r="AJ21" i="9"/>
  <c r="AJ8" i="9"/>
  <c r="AJ60" i="9"/>
  <c r="AJ25" i="9"/>
  <c r="AJ57" i="9"/>
  <c r="AJ51" i="9"/>
  <c r="AJ37" i="9"/>
  <c r="AJ17" i="9"/>
  <c r="AJ33" i="9"/>
  <c r="AJ32" i="9"/>
  <c r="AJ20" i="9"/>
  <c r="AJ41" i="9"/>
  <c r="AJ13" i="9"/>
  <c r="AJ75" i="9"/>
  <c r="AJ35" i="9"/>
  <c r="AJ49" i="9"/>
  <c r="AJ9" i="9"/>
  <c r="AJ5" i="9"/>
  <c r="AJ11" i="9"/>
  <c r="AJ7" i="9"/>
  <c r="AJ24" i="9"/>
  <c r="AJ19" i="9"/>
  <c r="AJ52" i="9"/>
  <c r="AJ58" i="9"/>
  <c r="AJ42" i="9"/>
  <c r="AJ64" i="9"/>
  <c r="AJ110" i="9"/>
  <c r="AJ84" i="9"/>
  <c r="AJ115" i="9"/>
  <c r="AJ16" i="9"/>
  <c r="AJ36" i="9"/>
  <c r="AJ88" i="9"/>
  <c r="AJ38" i="9"/>
  <c r="AJ59" i="9"/>
  <c r="AJ18" i="9"/>
  <c r="AJ22" i="9"/>
  <c r="AJ99" i="9"/>
  <c r="AJ111" i="9"/>
  <c r="AJ62" i="9"/>
  <c r="AJ116" i="9"/>
  <c r="AJ43" i="9"/>
  <c r="AJ68" i="9"/>
  <c r="AJ12" i="9"/>
  <c r="AJ15" i="9"/>
  <c r="AJ56" i="9"/>
  <c r="AJ66" i="9"/>
  <c r="AJ76" i="9"/>
  <c r="AJ30" i="9"/>
  <c r="AJ27" i="9"/>
  <c r="AJ72" i="9"/>
  <c r="AJ104" i="9"/>
  <c r="AJ114" i="9"/>
  <c r="AJ6" i="9"/>
  <c r="AJ10" i="9"/>
  <c r="AJ23" i="9"/>
  <c r="AJ44" i="9"/>
  <c r="AJ50" i="9"/>
  <c r="AJ28" i="9"/>
  <c r="AJ40" i="9"/>
  <c r="AJ46" i="9"/>
  <c r="AJ86" i="9"/>
  <c r="AJ103" i="9"/>
  <c r="AJ74" i="9"/>
  <c r="AJ118" i="9"/>
  <c r="AJ14" i="9"/>
  <c r="AJ80" i="9"/>
  <c r="AJ82" i="9"/>
  <c r="AJ94" i="9"/>
  <c r="AJ108" i="9"/>
  <c r="AJ70" i="9"/>
  <c r="AJ96" i="9"/>
  <c r="AJ123" i="9"/>
  <c r="AJ55" i="9"/>
  <c r="AJ90" i="9"/>
  <c r="AJ63" i="9"/>
  <c r="AJ71" i="9"/>
  <c r="AJ106" i="9"/>
  <c r="AJ39" i="9"/>
  <c r="AJ79" i="9"/>
  <c r="AJ91" i="9"/>
  <c r="AJ102" i="9"/>
  <c r="AJ26" i="9"/>
  <c r="AJ95" i="9"/>
  <c r="AJ54" i="9"/>
  <c r="AJ78" i="9"/>
  <c r="AJ122" i="9"/>
  <c r="AJ119" i="9"/>
  <c r="AJ92" i="9"/>
  <c r="AJ120" i="9"/>
  <c r="AJ98" i="9"/>
  <c r="AJ34" i="9"/>
  <c r="AJ100" i="9"/>
  <c r="AJ112" i="9"/>
  <c r="AJ87" i="9"/>
  <c r="H192" i="22"/>
  <c r="F192" i="22"/>
  <c r="L192" i="22"/>
  <c r="K192" i="22"/>
  <c r="J192" i="22"/>
  <c r="I192" i="22"/>
  <c r="G192" i="22"/>
  <c r="AK7" i="20"/>
  <c r="AJ7" i="8"/>
  <c r="I140" i="22"/>
  <c r="F140" i="22"/>
  <c r="L140" i="22"/>
  <c r="K140" i="22"/>
  <c r="J140" i="22"/>
  <c r="H140" i="22"/>
  <c r="G140" i="22"/>
  <c r="C39" i="19"/>
  <c r="E39" i="19"/>
  <c r="B40" i="19"/>
  <c r="D39" i="19"/>
  <c r="AL3" i="20" s="1"/>
  <c r="D37" i="22"/>
  <c r="AJ309" i="9"/>
  <c r="AJ305" i="9"/>
  <c r="AJ312" i="9"/>
  <c r="AJ308" i="9"/>
  <c r="AJ311" i="9"/>
  <c r="AJ306" i="9"/>
  <c r="AJ310" i="9"/>
  <c r="AJ307" i="9"/>
  <c r="G296" i="22"/>
  <c r="H296" i="22"/>
  <c r="L296" i="22"/>
  <c r="J296" i="22"/>
  <c r="K296" i="22"/>
  <c r="I296" i="22"/>
  <c r="F296" i="22"/>
  <c r="D245" i="22"/>
  <c r="AJ386" i="9"/>
  <c r="AJ383" i="9"/>
  <c r="AJ385" i="9"/>
  <c r="AJ381" i="9"/>
  <c r="AJ169" i="9"/>
  <c r="AJ161" i="9"/>
  <c r="AJ153" i="9"/>
  <c r="AJ145" i="9"/>
  <c r="AJ137" i="9"/>
  <c r="AJ129" i="9"/>
  <c r="AJ163" i="9"/>
  <c r="AJ155" i="9"/>
  <c r="AJ147" i="9"/>
  <c r="AJ165" i="9"/>
  <c r="AJ164" i="9"/>
  <c r="AJ157" i="9"/>
  <c r="AJ156" i="9"/>
  <c r="AJ149" i="9"/>
  <c r="AJ148" i="9"/>
  <c r="AJ141" i="9"/>
  <c r="AJ140" i="9"/>
  <c r="AJ126" i="9"/>
  <c r="AJ133" i="9"/>
  <c r="AJ139" i="9"/>
  <c r="AJ131" i="9"/>
  <c r="AJ132" i="9"/>
  <c r="AJ128" i="9"/>
  <c r="AJ160" i="9"/>
  <c r="AJ162" i="9"/>
  <c r="AJ127" i="9"/>
  <c r="AJ130" i="9"/>
  <c r="AJ144" i="9"/>
  <c r="AJ167" i="9"/>
  <c r="AJ154" i="9"/>
  <c r="AJ151" i="9"/>
  <c r="AJ138" i="9"/>
  <c r="AJ136" i="9"/>
  <c r="AJ159" i="9"/>
  <c r="AJ135" i="9"/>
  <c r="AJ146" i="9"/>
  <c r="AJ152" i="9"/>
  <c r="AJ150" i="9"/>
  <c r="AJ168" i="9"/>
  <c r="AJ158" i="9"/>
  <c r="AJ143" i="9"/>
  <c r="AJ134" i="9"/>
  <c r="AJ142" i="9"/>
  <c r="AJ166" i="9"/>
  <c r="AJ384" i="9"/>
  <c r="AJ382" i="9"/>
  <c r="D349" i="22"/>
  <c r="AJ387" i="9"/>
  <c r="AJ371" i="9"/>
  <c r="AJ370" i="9"/>
  <c r="AJ375" i="9"/>
  <c r="AJ377" i="9"/>
  <c r="AJ367" i="9"/>
  <c r="AJ378" i="9"/>
  <c r="AJ364" i="9"/>
  <c r="AJ379" i="9"/>
  <c r="AJ363" i="9"/>
  <c r="AJ365" i="9"/>
  <c r="AJ368" i="9"/>
  <c r="AJ388" i="9"/>
  <c r="AJ366" i="9"/>
  <c r="AJ362" i="9"/>
  <c r="AJ369" i="9"/>
  <c r="AJ380" i="9"/>
  <c r="AJ376" i="9"/>
  <c r="C351" i="22"/>
  <c r="C299" i="22"/>
  <c r="C247" i="22"/>
  <c r="C91" i="22"/>
  <c r="C195" i="22"/>
  <c r="C143" i="22"/>
  <c r="C39" i="22"/>
  <c r="AK2" i="20"/>
  <c r="D193" i="22"/>
  <c r="AJ345" i="9"/>
  <c r="AJ337" i="9"/>
  <c r="AJ329" i="9"/>
  <c r="AJ341" i="9"/>
  <c r="AJ340" i="9"/>
  <c r="AJ350" i="9"/>
  <c r="AJ346" i="9"/>
  <c r="AJ335" i="9"/>
  <c r="AJ319" i="9"/>
  <c r="AJ316" i="9"/>
  <c r="AJ336" i="9"/>
  <c r="AJ321" i="9"/>
  <c r="AJ317" i="9"/>
  <c r="AJ343" i="9"/>
  <c r="AJ325" i="9"/>
  <c r="AJ339" i="9"/>
  <c r="AJ313" i="9"/>
  <c r="AJ332" i="9"/>
  <c r="AJ304" i="9"/>
  <c r="AJ344" i="9"/>
  <c r="AJ333" i="9"/>
  <c r="AJ331" i="9"/>
  <c r="AJ293" i="9"/>
  <c r="AJ289" i="9"/>
  <c r="AJ291" i="9"/>
  <c r="AJ281" i="9"/>
  <c r="AJ273" i="9"/>
  <c r="AJ265" i="9"/>
  <c r="AJ284" i="9"/>
  <c r="AJ283" i="9"/>
  <c r="AJ277" i="9"/>
  <c r="AJ285" i="9"/>
  <c r="AJ269" i="9"/>
  <c r="AJ271" i="9"/>
  <c r="AJ320" i="9"/>
  <c r="AJ286" i="9"/>
  <c r="AJ327" i="9"/>
  <c r="AJ334" i="9"/>
  <c r="AJ267" i="9"/>
  <c r="AJ287" i="9"/>
  <c r="AJ326" i="9"/>
  <c r="AJ318" i="9"/>
  <c r="AJ342" i="9"/>
  <c r="AJ270" i="9"/>
  <c r="AJ272" i="9"/>
  <c r="AJ275" i="9"/>
  <c r="AJ288" i="9"/>
  <c r="AJ279" i="9"/>
  <c r="AJ323" i="9"/>
  <c r="AJ278" i="9"/>
  <c r="AJ324" i="9"/>
  <c r="AJ349" i="9"/>
  <c r="AJ347" i="9"/>
  <c r="AJ276" i="9"/>
  <c r="AJ295" i="9"/>
  <c r="AJ315" i="9"/>
  <c r="AJ322" i="9"/>
  <c r="AJ328" i="9"/>
  <c r="AJ351" i="9"/>
  <c r="AJ338" i="9"/>
  <c r="AJ268" i="9"/>
  <c r="AJ303" i="9"/>
  <c r="AJ330" i="9"/>
  <c r="AJ294" i="9"/>
  <c r="AJ280" i="9"/>
  <c r="AJ266" i="9"/>
  <c r="AJ282" i="9"/>
  <c r="AJ314" i="9"/>
  <c r="AJ348" i="9"/>
  <c r="AJ292" i="9"/>
  <c r="AJ352" i="9"/>
  <c r="AJ290" i="9"/>
  <c r="AJ274" i="9"/>
  <c r="AK8" i="20"/>
  <c r="AJ8" i="8"/>
  <c r="AK5" i="20"/>
  <c r="AJ5" i="8"/>
  <c r="AK9" i="20"/>
  <c r="AJ9" i="8"/>
  <c r="AK11" i="20"/>
  <c r="AJ11" i="8"/>
  <c r="AL9" i="20" l="1"/>
  <c r="AK9" i="8"/>
  <c r="D194" i="22"/>
  <c r="AK350" i="9"/>
  <c r="AK317" i="9"/>
  <c r="AK341" i="9"/>
  <c r="AK340" i="9"/>
  <c r="AK345" i="9"/>
  <c r="AK337" i="9"/>
  <c r="AK329" i="9"/>
  <c r="AK319" i="9"/>
  <c r="AK328" i="9"/>
  <c r="AK321" i="9"/>
  <c r="AK323" i="9"/>
  <c r="AK343" i="9"/>
  <c r="AK325" i="9"/>
  <c r="AK339" i="9"/>
  <c r="AK327" i="9"/>
  <c r="AK352" i="9"/>
  <c r="AK332" i="9"/>
  <c r="AK318" i="9"/>
  <c r="AK304" i="9"/>
  <c r="AK333" i="9"/>
  <c r="AK331" i="9"/>
  <c r="AK281" i="9"/>
  <c r="AK273" i="9"/>
  <c r="AK265" i="9"/>
  <c r="AK313" i="9"/>
  <c r="AK293" i="9"/>
  <c r="AK284" i="9"/>
  <c r="AK286" i="9"/>
  <c r="AK303" i="9"/>
  <c r="AK283" i="9"/>
  <c r="AK277" i="9"/>
  <c r="AK292" i="9"/>
  <c r="AK285" i="9"/>
  <c r="AK276" i="9"/>
  <c r="AK289" i="9"/>
  <c r="AK272" i="9"/>
  <c r="AK268" i="9"/>
  <c r="AK280" i="9"/>
  <c r="AK269" i="9"/>
  <c r="AK270" i="9"/>
  <c r="AK271" i="9"/>
  <c r="AK294" i="9"/>
  <c r="AK274" i="9"/>
  <c r="AK266" i="9"/>
  <c r="AK315" i="9"/>
  <c r="AK326" i="9"/>
  <c r="AK336" i="9"/>
  <c r="AK316" i="9"/>
  <c r="AK282" i="9"/>
  <c r="AK314" i="9"/>
  <c r="AK344" i="9"/>
  <c r="AK347" i="9"/>
  <c r="AK330" i="9"/>
  <c r="AK288" i="9"/>
  <c r="AK324" i="9"/>
  <c r="AK322" i="9"/>
  <c r="AK290" i="9"/>
  <c r="AK335" i="9"/>
  <c r="AK320" i="9"/>
  <c r="AK287" i="9"/>
  <c r="AK278" i="9"/>
  <c r="AK267" i="9"/>
  <c r="AK275" i="9"/>
  <c r="AK295" i="9"/>
  <c r="AK349" i="9"/>
  <c r="AK291" i="9"/>
  <c r="AK342" i="9"/>
  <c r="AK348" i="9"/>
  <c r="AK346" i="9"/>
  <c r="AK351" i="9"/>
  <c r="AK334" i="9"/>
  <c r="AK279" i="9"/>
  <c r="AK338" i="9"/>
  <c r="D350" i="22"/>
  <c r="AK388" i="9"/>
  <c r="AK375" i="9"/>
  <c r="AK377" i="9"/>
  <c r="AK376" i="9"/>
  <c r="AK379" i="9"/>
  <c r="AK387" i="9"/>
  <c r="AK380" i="9"/>
  <c r="AK370" i="9"/>
  <c r="AK371" i="9"/>
  <c r="AK365" i="9"/>
  <c r="AK364" i="9"/>
  <c r="AK367" i="9"/>
  <c r="AK366" i="9"/>
  <c r="AK369" i="9"/>
  <c r="AK378" i="9"/>
  <c r="AK362" i="9"/>
  <c r="AK363" i="9"/>
  <c r="AK368" i="9"/>
  <c r="D246" i="22"/>
  <c r="AK381" i="9"/>
  <c r="AK386" i="9"/>
  <c r="AK382" i="9"/>
  <c r="AK383" i="9"/>
  <c r="AK165" i="9"/>
  <c r="AK157" i="9"/>
  <c r="AK149" i="9"/>
  <c r="AK141" i="9"/>
  <c r="AK133" i="9"/>
  <c r="AK164" i="9"/>
  <c r="AK156" i="9"/>
  <c r="AK148" i="9"/>
  <c r="AK140" i="9"/>
  <c r="AK168" i="9"/>
  <c r="AK169" i="9"/>
  <c r="AK161" i="9"/>
  <c r="AK153" i="9"/>
  <c r="AK145" i="9"/>
  <c r="AK137" i="9"/>
  <c r="AK129" i="9"/>
  <c r="AK132" i="9"/>
  <c r="AK126" i="9"/>
  <c r="AK127" i="9"/>
  <c r="AK130" i="9"/>
  <c r="AK131" i="9"/>
  <c r="AK151" i="9"/>
  <c r="AK152" i="9"/>
  <c r="AK144" i="9"/>
  <c r="AK134" i="9"/>
  <c r="AK142" i="9"/>
  <c r="AK158" i="9"/>
  <c r="AK136" i="9"/>
  <c r="AK135" i="9"/>
  <c r="AK163" i="9"/>
  <c r="AK159" i="9"/>
  <c r="AK162" i="9"/>
  <c r="AK128" i="9"/>
  <c r="AK143" i="9"/>
  <c r="AK146" i="9"/>
  <c r="AK147" i="9"/>
  <c r="AK167" i="9"/>
  <c r="AK138" i="9"/>
  <c r="AK160" i="9"/>
  <c r="AK166" i="9"/>
  <c r="AK139" i="9"/>
  <c r="AK154" i="9"/>
  <c r="AK150" i="9"/>
  <c r="AK155" i="9"/>
  <c r="AK384" i="9"/>
  <c r="AK385" i="9"/>
  <c r="C352" i="22"/>
  <c r="C300" i="22"/>
  <c r="C248" i="22"/>
  <c r="C196" i="22"/>
  <c r="C144" i="22"/>
  <c r="C40" i="22"/>
  <c r="C92" i="22"/>
  <c r="AL2" i="20"/>
  <c r="D142" i="22"/>
  <c r="AK117" i="9"/>
  <c r="AK109" i="9"/>
  <c r="AK101" i="9"/>
  <c r="AK113" i="9"/>
  <c r="AK93" i="9"/>
  <c r="AK77" i="9"/>
  <c r="AK69" i="9"/>
  <c r="AK61" i="9"/>
  <c r="AK53" i="9"/>
  <c r="AK48" i="9"/>
  <c r="AK33" i="9"/>
  <c r="AK32" i="9"/>
  <c r="AK105" i="9"/>
  <c r="AK85" i="9"/>
  <c r="AK86" i="9"/>
  <c r="AK84" i="9"/>
  <c r="AK97" i="9"/>
  <c r="AK81" i="9"/>
  <c r="AK124" i="9"/>
  <c r="AK121" i="9"/>
  <c r="AK98" i="9"/>
  <c r="AK80" i="9"/>
  <c r="AK72" i="9"/>
  <c r="AK64" i="9"/>
  <c r="AK89" i="9"/>
  <c r="AK45" i="9"/>
  <c r="AK29" i="9"/>
  <c r="AK21" i="9"/>
  <c r="AK5" i="9"/>
  <c r="AK73" i="9"/>
  <c r="AK65" i="9"/>
  <c r="AK56" i="9"/>
  <c r="AK13" i="9"/>
  <c r="AK57" i="9"/>
  <c r="AK51" i="9"/>
  <c r="AK40" i="9"/>
  <c r="AK37" i="9"/>
  <c r="AK20" i="9"/>
  <c r="AK41" i="9"/>
  <c r="AK34" i="9"/>
  <c r="AK38" i="9"/>
  <c r="AK35" i="9"/>
  <c r="AK49" i="9"/>
  <c r="AK26" i="9"/>
  <c r="AK23" i="9"/>
  <c r="AK9" i="9"/>
  <c r="AK8" i="9"/>
  <c r="AK17" i="9"/>
  <c r="AK25" i="9"/>
  <c r="AK6" i="9"/>
  <c r="AK71" i="9"/>
  <c r="AK95" i="9"/>
  <c r="AK114" i="9"/>
  <c r="AK115" i="9"/>
  <c r="AK119" i="9"/>
  <c r="AK78" i="9"/>
  <c r="AK116" i="9"/>
  <c r="AK15" i="9"/>
  <c r="AK44" i="9"/>
  <c r="AK28" i="9"/>
  <c r="AK52" i="9"/>
  <c r="AK43" i="9"/>
  <c r="AK11" i="9"/>
  <c r="AK27" i="9"/>
  <c r="AK103" i="9"/>
  <c r="AK118" i="9"/>
  <c r="AK122" i="9"/>
  <c r="AK10" i="9"/>
  <c r="AK30" i="9"/>
  <c r="AK19" i="9"/>
  <c r="AK79" i="9"/>
  <c r="AK66" i="9"/>
  <c r="AK91" i="9"/>
  <c r="AK123" i="9"/>
  <c r="AK59" i="9"/>
  <c r="AK14" i="9"/>
  <c r="AK110" i="9"/>
  <c r="AK67" i="9"/>
  <c r="AK24" i="9"/>
  <c r="AK12" i="9"/>
  <c r="AK46" i="9"/>
  <c r="AK60" i="9"/>
  <c r="AK63" i="9"/>
  <c r="AK50" i="9"/>
  <c r="AK18" i="9"/>
  <c r="AK7" i="9"/>
  <c r="AK39" i="9"/>
  <c r="AK42" i="9"/>
  <c r="AK68" i="9"/>
  <c r="AK22" i="9"/>
  <c r="AK36" i="9"/>
  <c r="AK55" i="9"/>
  <c r="AK82" i="9"/>
  <c r="AK100" i="9"/>
  <c r="AK104" i="9"/>
  <c r="AK16" i="9"/>
  <c r="AK58" i="9"/>
  <c r="AK107" i="9"/>
  <c r="AK112" i="9"/>
  <c r="AK108" i="9"/>
  <c r="AK87" i="9"/>
  <c r="AK47" i="9"/>
  <c r="AK106" i="9"/>
  <c r="AK75" i="9"/>
  <c r="AK54" i="9"/>
  <c r="AK125" i="9"/>
  <c r="AK90" i="9"/>
  <c r="AK102" i="9"/>
  <c r="AK70" i="9"/>
  <c r="AK76" i="9"/>
  <c r="AK94" i="9"/>
  <c r="AK111" i="9"/>
  <c r="AK88" i="9"/>
  <c r="AK83" i="9"/>
  <c r="AK62" i="9"/>
  <c r="AK99" i="9"/>
  <c r="AK120" i="9"/>
  <c r="AK92" i="9"/>
  <c r="AK74" i="9"/>
  <c r="AK31" i="9"/>
  <c r="AK96" i="9"/>
  <c r="D298" i="22"/>
  <c r="AK372" i="9"/>
  <c r="AK374" i="9"/>
  <c r="AK361" i="9"/>
  <c r="AK358" i="9"/>
  <c r="AK354" i="9"/>
  <c r="AK353" i="9"/>
  <c r="AK357" i="9"/>
  <c r="AK360" i="9"/>
  <c r="AK359" i="9"/>
  <c r="AK355" i="9"/>
  <c r="AK373" i="9"/>
  <c r="AK356" i="9"/>
  <c r="AL5" i="20"/>
  <c r="AK5" i="8"/>
  <c r="F141" i="22"/>
  <c r="K141" i="22"/>
  <c r="L141" i="22"/>
  <c r="J141" i="22"/>
  <c r="I141" i="22"/>
  <c r="H141" i="22"/>
  <c r="G141" i="22"/>
  <c r="D90" i="22"/>
  <c r="AK301" i="9"/>
  <c r="AK297" i="9"/>
  <c r="AK257" i="9"/>
  <c r="AK249" i="9"/>
  <c r="AK241" i="9"/>
  <c r="AK233" i="9"/>
  <c r="AK225" i="9"/>
  <c r="AK299" i="9"/>
  <c r="AK298" i="9"/>
  <c r="AK180" i="9"/>
  <c r="AK261" i="9"/>
  <c r="AK256" i="9"/>
  <c r="AK248" i="9"/>
  <c r="AK240" i="9"/>
  <c r="AK264" i="9"/>
  <c r="AK260" i="9"/>
  <c r="AK253" i="9"/>
  <c r="AK245" i="9"/>
  <c r="AK237" i="9"/>
  <c r="AK229" i="9"/>
  <c r="AK220" i="9"/>
  <c r="AK212" i="9"/>
  <c r="AK204" i="9"/>
  <c r="AK196" i="9"/>
  <c r="AK224" i="9"/>
  <c r="AK215" i="9"/>
  <c r="AK200" i="9"/>
  <c r="AK198" i="9"/>
  <c r="AK173" i="9"/>
  <c r="AK187" i="9"/>
  <c r="AK202" i="9"/>
  <c r="AK192" i="9"/>
  <c r="AK189" i="9"/>
  <c r="AK182" i="9"/>
  <c r="AK232" i="9"/>
  <c r="AK191" i="9"/>
  <c r="AK214" i="9"/>
  <c r="AK207" i="9"/>
  <c r="AK216" i="9"/>
  <c r="AK208" i="9"/>
  <c r="AK206" i="9"/>
  <c r="AK199" i="9"/>
  <c r="AK181" i="9"/>
  <c r="AK194" i="9"/>
  <c r="AK186" i="9"/>
  <c r="AK176" i="9"/>
  <c r="AK172" i="9"/>
  <c r="AK188" i="9"/>
  <c r="AK177" i="9"/>
  <c r="AK184" i="9"/>
  <c r="AK170" i="9"/>
  <c r="AK209" i="9"/>
  <c r="AK195" i="9"/>
  <c r="AK226" i="9"/>
  <c r="AK183" i="9"/>
  <c r="AK190" i="9"/>
  <c r="AK171" i="9"/>
  <c r="AK179" i="9"/>
  <c r="AK193" i="9"/>
  <c r="AK217" i="9"/>
  <c r="AK218" i="9"/>
  <c r="AK211" i="9"/>
  <c r="AK235" i="9"/>
  <c r="AK238" i="9"/>
  <c r="AK231" i="9"/>
  <c r="AK244" i="9"/>
  <c r="AK185" i="9"/>
  <c r="AK251" i="9"/>
  <c r="AK250" i="9"/>
  <c r="AK174" i="9"/>
  <c r="AK203" i="9"/>
  <c r="AK255" i="9"/>
  <c r="AK201" i="9"/>
  <c r="AK175" i="9"/>
  <c r="AK210" i="9"/>
  <c r="AK234" i="9"/>
  <c r="AK263" i="9"/>
  <c r="AK239" i="9"/>
  <c r="AK247" i="9"/>
  <c r="AK227" i="9"/>
  <c r="AK259" i="9"/>
  <c r="AK178" i="9"/>
  <c r="AK219" i="9"/>
  <c r="AK258" i="9"/>
  <c r="AK252" i="9"/>
  <c r="AK228" i="9"/>
  <c r="AK296" i="9"/>
  <c r="AK242" i="9"/>
  <c r="AK205" i="9"/>
  <c r="AK236" i="9"/>
  <c r="AK246" i="9"/>
  <c r="AK300" i="9"/>
  <c r="AK262" i="9"/>
  <c r="AK302" i="9"/>
  <c r="AK223" i="9"/>
  <c r="AK221" i="9"/>
  <c r="AK197" i="9"/>
  <c r="AK254" i="9"/>
  <c r="AK222" i="9"/>
  <c r="AK243" i="9"/>
  <c r="AK230" i="9"/>
  <c r="AK213" i="9"/>
  <c r="J89" i="22"/>
  <c r="G89" i="22"/>
  <c r="I89" i="22"/>
  <c r="F89" i="22"/>
  <c r="K89" i="22"/>
  <c r="L89" i="22"/>
  <c r="H89" i="22"/>
  <c r="D38" i="22"/>
  <c r="AK309" i="9"/>
  <c r="AK312" i="9"/>
  <c r="AK307" i="9"/>
  <c r="AK305" i="9"/>
  <c r="AK310" i="9"/>
  <c r="AK311" i="9"/>
  <c r="AK308" i="9"/>
  <c r="AK306" i="9"/>
  <c r="I349" i="22"/>
  <c r="F349" i="22"/>
  <c r="L349" i="22"/>
  <c r="H349" i="22"/>
  <c r="J349" i="22"/>
  <c r="G349" i="22"/>
  <c r="K349" i="22"/>
  <c r="AL6" i="20"/>
  <c r="AK6" i="8"/>
  <c r="AL10" i="20"/>
  <c r="AK10" i="8"/>
  <c r="AL8" i="20"/>
  <c r="AK8" i="8"/>
  <c r="K245" i="22"/>
  <c r="J245" i="22"/>
  <c r="I245" i="22"/>
  <c r="H245" i="22"/>
  <c r="G245" i="22"/>
  <c r="F245" i="22"/>
  <c r="L245" i="22"/>
  <c r="H37" i="22"/>
  <c r="G37" i="22"/>
  <c r="F37" i="22"/>
  <c r="L37" i="22"/>
  <c r="K37" i="22"/>
  <c r="J37" i="22"/>
  <c r="I37" i="22"/>
  <c r="AL7" i="20"/>
  <c r="AK7" i="8"/>
  <c r="AL11" i="20"/>
  <c r="AK11" i="8"/>
  <c r="J193" i="22"/>
  <c r="L193" i="22"/>
  <c r="K193" i="22"/>
  <c r="I193" i="22"/>
  <c r="H193" i="22"/>
  <c r="G193" i="22"/>
  <c r="F193" i="22"/>
  <c r="C40" i="19"/>
  <c r="B41" i="19"/>
  <c r="E40" i="19"/>
  <c r="D40" i="19"/>
  <c r="AM3" i="20" s="1"/>
  <c r="L297" i="22"/>
  <c r="K297" i="22"/>
  <c r="I297" i="22"/>
  <c r="J297" i="22"/>
  <c r="H297" i="22"/>
  <c r="G297" i="22"/>
  <c r="F297" i="22"/>
  <c r="D351" i="22" l="1"/>
  <c r="AL375" i="9"/>
  <c r="AL379" i="9"/>
  <c r="AL387" i="9"/>
  <c r="AL371" i="9"/>
  <c r="AL365" i="9"/>
  <c r="AL364" i="9"/>
  <c r="AL388" i="9"/>
  <c r="AL366" i="9"/>
  <c r="AL367" i="9"/>
  <c r="AL363" i="9"/>
  <c r="AL380" i="9"/>
  <c r="AL370" i="9"/>
  <c r="AL368" i="9"/>
  <c r="AL369" i="9"/>
  <c r="AL377" i="9"/>
  <c r="AL376" i="9"/>
  <c r="AL378" i="9"/>
  <c r="AL362" i="9"/>
  <c r="H246" i="22"/>
  <c r="L246" i="22"/>
  <c r="I246" i="22"/>
  <c r="K246" i="22"/>
  <c r="J246" i="22"/>
  <c r="G246" i="22"/>
  <c r="F246" i="22"/>
  <c r="F350" i="22"/>
  <c r="K350" i="22"/>
  <c r="I350" i="22"/>
  <c r="J350" i="22"/>
  <c r="G350" i="22"/>
  <c r="L350" i="22"/>
  <c r="H350" i="22"/>
  <c r="I298" i="22"/>
  <c r="J298" i="22"/>
  <c r="K298" i="22"/>
  <c r="G298" i="22"/>
  <c r="L298" i="22"/>
  <c r="H298" i="22"/>
  <c r="F298" i="22"/>
  <c r="D299" i="22"/>
  <c r="AL372" i="9"/>
  <c r="AL361" i="9"/>
  <c r="AL358" i="9"/>
  <c r="AL354" i="9"/>
  <c r="AL353" i="9"/>
  <c r="AL355" i="9"/>
  <c r="AL360" i="9"/>
  <c r="AL359" i="9"/>
  <c r="AL356" i="9"/>
  <c r="AL373" i="9"/>
  <c r="AL357" i="9"/>
  <c r="AL374" i="9"/>
  <c r="G90" i="22"/>
  <c r="L90" i="22"/>
  <c r="I90" i="22"/>
  <c r="H90" i="22"/>
  <c r="F90" i="22"/>
  <c r="K90" i="22"/>
  <c r="J90" i="22"/>
  <c r="D39" i="22"/>
  <c r="AL305" i="9"/>
  <c r="AL309" i="9"/>
  <c r="AL312" i="9"/>
  <c r="AL307" i="9"/>
  <c r="AL308" i="9"/>
  <c r="AL306" i="9"/>
  <c r="AL310" i="9"/>
  <c r="AL311" i="9"/>
  <c r="K142" i="22"/>
  <c r="H142" i="22"/>
  <c r="L142" i="22"/>
  <c r="J142" i="22"/>
  <c r="I142" i="22"/>
  <c r="G142" i="22"/>
  <c r="F142" i="22"/>
  <c r="J194" i="22"/>
  <c r="G194" i="22"/>
  <c r="L194" i="22"/>
  <c r="K194" i="22"/>
  <c r="I194" i="22"/>
  <c r="H194" i="22"/>
  <c r="F194" i="22"/>
  <c r="D195" i="22"/>
  <c r="AL350" i="9"/>
  <c r="AL347" i="9"/>
  <c r="AL340" i="9"/>
  <c r="AL345" i="9"/>
  <c r="AL317" i="9"/>
  <c r="AL342" i="9"/>
  <c r="AL321" i="9"/>
  <c r="AL325" i="9"/>
  <c r="AL337" i="9"/>
  <c r="AL313" i="9"/>
  <c r="AL341" i="9"/>
  <c r="AL338" i="9"/>
  <c r="AL332" i="9"/>
  <c r="AL333" i="9"/>
  <c r="AL329" i="9"/>
  <c r="AL330" i="9"/>
  <c r="AL293" i="9"/>
  <c r="AL304" i="9"/>
  <c r="AL286" i="9"/>
  <c r="AL277" i="9"/>
  <c r="AL320" i="9"/>
  <c r="AL285" i="9"/>
  <c r="AL276" i="9"/>
  <c r="AL289" i="9"/>
  <c r="AL281" i="9"/>
  <c r="AL273" i="9"/>
  <c r="AL265" i="9"/>
  <c r="AL268" i="9"/>
  <c r="AL269" i="9"/>
  <c r="AL272" i="9"/>
  <c r="AL292" i="9"/>
  <c r="AL280" i="9"/>
  <c r="AL282" i="9"/>
  <c r="AL314" i="9"/>
  <c r="AL294" i="9"/>
  <c r="AL278" i="9"/>
  <c r="AL275" i="9"/>
  <c r="AL295" i="9"/>
  <c r="AL327" i="9"/>
  <c r="AL323" i="9"/>
  <c r="AL352" i="9"/>
  <c r="AL270" i="9"/>
  <c r="AL271" i="9"/>
  <c r="AL279" i="9"/>
  <c r="AL288" i="9"/>
  <c r="AL326" i="9"/>
  <c r="AL315" i="9"/>
  <c r="AL349" i="9"/>
  <c r="AL336" i="9"/>
  <c r="AL322" i="9"/>
  <c r="AL351" i="9"/>
  <c r="AL318" i="9"/>
  <c r="AL339" i="9"/>
  <c r="AL291" i="9"/>
  <c r="AL267" i="9"/>
  <c r="AL334" i="9"/>
  <c r="AL303" i="9"/>
  <c r="AL283" i="9"/>
  <c r="AL348" i="9"/>
  <c r="AL331" i="9"/>
  <c r="AL344" i="9"/>
  <c r="AL319" i="9"/>
  <c r="AL287" i="9"/>
  <c r="AL324" i="9"/>
  <c r="AL346" i="9"/>
  <c r="AL274" i="9"/>
  <c r="AL290" i="9"/>
  <c r="AL284" i="9"/>
  <c r="AL316" i="9"/>
  <c r="AL266" i="9"/>
  <c r="AL335" i="9"/>
  <c r="AL328" i="9"/>
  <c r="AL343" i="9"/>
  <c r="AM7" i="20"/>
  <c r="AL7" i="8"/>
  <c r="AM10" i="20"/>
  <c r="AL10" i="8"/>
  <c r="AM5" i="20"/>
  <c r="AL5" i="8"/>
  <c r="D247" i="22"/>
  <c r="AL382" i="9"/>
  <c r="AL383" i="9"/>
  <c r="AL165" i="9"/>
  <c r="AL157" i="9"/>
  <c r="AL149" i="9"/>
  <c r="AL141" i="9"/>
  <c r="AL133" i="9"/>
  <c r="AL164" i="9"/>
  <c r="AL156" i="9"/>
  <c r="AL148" i="9"/>
  <c r="AL168" i="9"/>
  <c r="AL169" i="9"/>
  <c r="AL161" i="9"/>
  <c r="AL153" i="9"/>
  <c r="AL145" i="9"/>
  <c r="AL137" i="9"/>
  <c r="AL129" i="9"/>
  <c r="AL132" i="9"/>
  <c r="AL140" i="9"/>
  <c r="AL135" i="9"/>
  <c r="AL139" i="9"/>
  <c r="AL155" i="9"/>
  <c r="AL127" i="9"/>
  <c r="AL130" i="9"/>
  <c r="AL147" i="9"/>
  <c r="AL159" i="9"/>
  <c r="AL128" i="9"/>
  <c r="AL167" i="9"/>
  <c r="AL134" i="9"/>
  <c r="AL142" i="9"/>
  <c r="AL158" i="9"/>
  <c r="AL146" i="9"/>
  <c r="AL152" i="9"/>
  <c r="AL151" i="9"/>
  <c r="AL154" i="9"/>
  <c r="AL160" i="9"/>
  <c r="AL131" i="9"/>
  <c r="AL143" i="9"/>
  <c r="AL136" i="9"/>
  <c r="AL126" i="9"/>
  <c r="AL166" i="9"/>
  <c r="AL138" i="9"/>
  <c r="AL144" i="9"/>
  <c r="AL162" i="9"/>
  <c r="AL163" i="9"/>
  <c r="AL150" i="9"/>
  <c r="AL384" i="9"/>
  <c r="AL386" i="9"/>
  <c r="AL381" i="9"/>
  <c r="AL385" i="9"/>
  <c r="AM11" i="20"/>
  <c r="AL11" i="8"/>
  <c r="D143" i="22"/>
  <c r="AL117" i="9"/>
  <c r="AL109" i="9"/>
  <c r="AL101" i="9"/>
  <c r="AL93" i="9"/>
  <c r="AL85" i="9"/>
  <c r="AL77" i="9"/>
  <c r="AL69" i="9"/>
  <c r="AL61" i="9"/>
  <c r="AL53" i="9"/>
  <c r="AL33" i="9"/>
  <c r="AL34" i="9"/>
  <c r="AL105" i="9"/>
  <c r="AL97" i="9"/>
  <c r="AL82" i="9"/>
  <c r="AL81" i="9"/>
  <c r="AL124" i="9"/>
  <c r="AL121" i="9"/>
  <c r="AL100" i="9"/>
  <c r="AL98" i="9"/>
  <c r="AL96" i="9"/>
  <c r="AL80" i="9"/>
  <c r="AL89" i="9"/>
  <c r="AL113" i="9"/>
  <c r="AL106" i="9"/>
  <c r="AL73" i="9"/>
  <c r="AL65" i="9"/>
  <c r="AL56" i="9"/>
  <c r="AL37" i="9"/>
  <c r="AL17" i="9"/>
  <c r="AL25" i="9"/>
  <c r="AL6" i="9"/>
  <c r="AL57" i="9"/>
  <c r="AL44" i="9"/>
  <c r="AL13" i="9"/>
  <c r="AL10" i="9"/>
  <c r="AL41" i="9"/>
  <c r="AL9" i="9"/>
  <c r="AL66" i="9"/>
  <c r="AL58" i="9"/>
  <c r="AL45" i="9"/>
  <c r="AL38" i="9"/>
  <c r="AL74" i="9"/>
  <c r="AL72" i="9"/>
  <c r="AL64" i="9"/>
  <c r="AL49" i="9"/>
  <c r="AL26" i="9"/>
  <c r="AL42" i="9"/>
  <c r="AL22" i="9"/>
  <c r="AL21" i="9"/>
  <c r="AL5" i="9"/>
  <c r="AL29" i="9"/>
  <c r="AL14" i="9"/>
  <c r="AL59" i="9"/>
  <c r="AL20" i="9"/>
  <c r="AL47" i="9"/>
  <c r="AL103" i="9"/>
  <c r="AL75" i="9"/>
  <c r="AL54" i="9"/>
  <c r="AL70" i="9"/>
  <c r="AL23" i="9"/>
  <c r="AL15" i="9"/>
  <c r="AL43" i="9"/>
  <c r="AL68" i="9"/>
  <c r="AL51" i="9"/>
  <c r="AL24" i="9"/>
  <c r="AL50" i="9"/>
  <c r="AL90" i="9"/>
  <c r="AL92" i="9"/>
  <c r="AL83" i="9"/>
  <c r="AL91" i="9"/>
  <c r="AL27" i="9"/>
  <c r="AL84" i="9"/>
  <c r="AL55" i="9"/>
  <c r="AL48" i="9"/>
  <c r="AL19" i="9"/>
  <c r="AL8" i="9"/>
  <c r="AL11" i="9"/>
  <c r="AL104" i="9"/>
  <c r="AL52" i="9"/>
  <c r="AL46" i="9"/>
  <c r="AL18" i="9"/>
  <c r="AL86" i="9"/>
  <c r="AL116" i="9"/>
  <c r="AL111" i="9"/>
  <c r="AL112" i="9"/>
  <c r="AL118" i="9"/>
  <c r="AL16" i="9"/>
  <c r="AL30" i="9"/>
  <c r="AL12" i="9"/>
  <c r="AL7" i="9"/>
  <c r="AL36" i="9"/>
  <c r="AL39" i="9"/>
  <c r="AL40" i="9"/>
  <c r="AL107" i="9"/>
  <c r="AL110" i="9"/>
  <c r="AL114" i="9"/>
  <c r="AL28" i="9"/>
  <c r="AL60" i="9"/>
  <c r="AL95" i="9"/>
  <c r="AL115" i="9"/>
  <c r="AL119" i="9"/>
  <c r="AL35" i="9"/>
  <c r="AL108" i="9"/>
  <c r="AL32" i="9"/>
  <c r="AL62" i="9"/>
  <c r="AL88" i="9"/>
  <c r="AL71" i="9"/>
  <c r="AL123" i="9"/>
  <c r="AL94" i="9"/>
  <c r="AL122" i="9"/>
  <c r="AL99" i="9"/>
  <c r="AL87" i="9"/>
  <c r="AL78" i="9"/>
  <c r="AL31" i="9"/>
  <c r="AL67" i="9"/>
  <c r="AL63" i="9"/>
  <c r="AL102" i="9"/>
  <c r="AL120" i="9"/>
  <c r="AL125" i="9"/>
  <c r="AL79" i="9"/>
  <c r="AL76" i="9"/>
  <c r="AM8" i="20"/>
  <c r="AL8" i="8"/>
  <c r="C301" i="22"/>
  <c r="C353" i="22"/>
  <c r="C249" i="22"/>
  <c r="C93" i="22"/>
  <c r="C197" i="22"/>
  <c r="C41" i="22"/>
  <c r="C145" i="22"/>
  <c r="AM2" i="20"/>
  <c r="D91" i="22"/>
  <c r="AL301" i="9"/>
  <c r="AL297" i="9"/>
  <c r="AL257" i="9"/>
  <c r="AL249" i="9"/>
  <c r="AL241" i="9"/>
  <c r="AL233" i="9"/>
  <c r="AL225" i="9"/>
  <c r="AL261" i="9"/>
  <c r="AL256" i="9"/>
  <c r="AL248" i="9"/>
  <c r="AL240" i="9"/>
  <c r="AL232" i="9"/>
  <c r="AL224" i="9"/>
  <c r="AL260" i="9"/>
  <c r="AL253" i="9"/>
  <c r="AL245" i="9"/>
  <c r="AL237" i="9"/>
  <c r="AL229" i="9"/>
  <c r="AL262" i="9"/>
  <c r="AL222" i="9"/>
  <c r="AL180" i="9"/>
  <c r="AL197" i="9"/>
  <c r="AL192" i="9"/>
  <c r="AL189" i="9"/>
  <c r="AL184" i="9"/>
  <c r="AL212" i="9"/>
  <c r="AL193" i="9"/>
  <c r="AL221" i="9"/>
  <c r="AL217" i="9"/>
  <c r="AL213" i="9"/>
  <c r="AL207" i="9"/>
  <c r="AL216" i="9"/>
  <c r="AL208" i="9"/>
  <c r="AL204" i="9"/>
  <c r="AL205" i="9"/>
  <c r="AL199" i="9"/>
  <c r="AL220" i="9"/>
  <c r="AL215" i="9"/>
  <c r="AL200" i="9"/>
  <c r="AL196" i="9"/>
  <c r="AL173" i="9"/>
  <c r="AL176" i="9"/>
  <c r="AL183" i="9"/>
  <c r="AL188" i="9"/>
  <c r="AL177" i="9"/>
  <c r="AL174" i="9"/>
  <c r="AL203" i="9"/>
  <c r="AL236" i="9"/>
  <c r="AL246" i="9"/>
  <c r="AL252" i="9"/>
  <c r="AL172" i="9"/>
  <c r="AL178" i="9"/>
  <c r="AL210" i="9"/>
  <c r="AL170" i="9"/>
  <c r="AL171" i="9"/>
  <c r="AL179" i="9"/>
  <c r="AL190" i="9"/>
  <c r="AL185" i="9"/>
  <c r="AL194" i="9"/>
  <c r="AL187" i="9"/>
  <c r="AL181" i="9"/>
  <c r="AL234" i="9"/>
  <c r="AL251" i="9"/>
  <c r="AL302" i="9"/>
  <c r="AL201" i="9"/>
  <c r="AL226" i="9"/>
  <c r="AL264" i="9"/>
  <c r="AL255" i="9"/>
  <c r="AL198" i="9"/>
  <c r="AL206" i="9"/>
  <c r="AL214" i="9"/>
  <c r="AL186" i="9"/>
  <c r="AL223" i="9"/>
  <c r="AL228" i="9"/>
  <c r="AL175" i="9"/>
  <c r="AL258" i="9"/>
  <c r="AL263" i="9"/>
  <c r="AL239" i="9"/>
  <c r="AL247" i="9"/>
  <c r="AL202" i="9"/>
  <c r="AL211" i="9"/>
  <c r="AL230" i="9"/>
  <c r="AL242" i="9"/>
  <c r="AL227" i="9"/>
  <c r="AL259" i="9"/>
  <c r="AL182" i="9"/>
  <c r="AL209" i="9"/>
  <c r="AL191" i="9"/>
  <c r="AL218" i="9"/>
  <c r="AL219" i="9"/>
  <c r="AL254" i="9"/>
  <c r="AL243" i="9"/>
  <c r="AL195" i="9"/>
  <c r="AL300" i="9"/>
  <c r="AL250" i="9"/>
  <c r="AL235" i="9"/>
  <c r="AL244" i="9"/>
  <c r="AL238" i="9"/>
  <c r="AL231" i="9"/>
  <c r="AL298" i="9"/>
  <c r="AL296" i="9"/>
  <c r="AL299" i="9"/>
  <c r="C41" i="19"/>
  <c r="E41" i="19"/>
  <c r="B42" i="19"/>
  <c r="D41" i="19"/>
  <c r="AN3" i="20" s="1"/>
  <c r="AM6" i="20"/>
  <c r="AL6" i="8"/>
  <c r="J38" i="22"/>
  <c r="G38" i="22"/>
  <c r="F38" i="22"/>
  <c r="L38" i="22"/>
  <c r="K38" i="22"/>
  <c r="I38" i="22"/>
  <c r="H38" i="22"/>
  <c r="AM9" i="20"/>
  <c r="AL9" i="8"/>
  <c r="AN6" i="20" l="1"/>
  <c r="AM6" i="8"/>
  <c r="D352" i="22"/>
  <c r="AM379" i="9"/>
  <c r="AM387" i="9"/>
  <c r="AM365" i="9"/>
  <c r="AM375" i="9"/>
  <c r="AM371" i="9"/>
  <c r="AM370" i="9"/>
  <c r="AM366" i="9"/>
  <c r="AM367" i="9"/>
  <c r="AM362" i="9"/>
  <c r="AM388" i="9"/>
  <c r="AM368" i="9"/>
  <c r="AM363" i="9"/>
  <c r="AM369" i="9"/>
  <c r="AM377" i="9"/>
  <c r="AM364" i="9"/>
  <c r="AM378" i="9"/>
  <c r="AM380" i="9"/>
  <c r="AM376" i="9"/>
  <c r="AN10" i="20"/>
  <c r="AM10" i="8"/>
  <c r="AN11" i="20"/>
  <c r="AM11" i="8"/>
  <c r="D144" i="22"/>
  <c r="AM117" i="9"/>
  <c r="AM109" i="9"/>
  <c r="AM101" i="9"/>
  <c r="AM93" i="9"/>
  <c r="AM85" i="9"/>
  <c r="AM105" i="9"/>
  <c r="AM37" i="9"/>
  <c r="AM97" i="9"/>
  <c r="AM81" i="9"/>
  <c r="AM73" i="9"/>
  <c r="AM65" i="9"/>
  <c r="AM121" i="9"/>
  <c r="AM114" i="9"/>
  <c r="AM107" i="9"/>
  <c r="AM98" i="9"/>
  <c r="AM80" i="9"/>
  <c r="AM125" i="9"/>
  <c r="AM99" i="9"/>
  <c r="AM89" i="9"/>
  <c r="AM113" i="9"/>
  <c r="AM106" i="9"/>
  <c r="AM77" i="9"/>
  <c r="AM69" i="9"/>
  <c r="AM61" i="9"/>
  <c r="AM53" i="9"/>
  <c r="AM33" i="9"/>
  <c r="AM57" i="9"/>
  <c r="AM17" i="9"/>
  <c r="AM29" i="9"/>
  <c r="AM10" i="9"/>
  <c r="AM25" i="9"/>
  <c r="AM41" i="9"/>
  <c r="AM5" i="9"/>
  <c r="AM45" i="9"/>
  <c r="AM38" i="9"/>
  <c r="AM30" i="9"/>
  <c r="AM72" i="9"/>
  <c r="AM64" i="9"/>
  <c r="AM49" i="9"/>
  <c r="AM26" i="9"/>
  <c r="AM9" i="9"/>
  <c r="AM42" i="9"/>
  <c r="AM23" i="9"/>
  <c r="AM22" i="9"/>
  <c r="AM6" i="9"/>
  <c r="AM21" i="9"/>
  <c r="AM56" i="9"/>
  <c r="AM14" i="9"/>
  <c r="AM13" i="9"/>
  <c r="AM39" i="9"/>
  <c r="AM7" i="9"/>
  <c r="AM43" i="9"/>
  <c r="AM47" i="9"/>
  <c r="AM62" i="9"/>
  <c r="AM103" i="9"/>
  <c r="AM90" i="9"/>
  <c r="AM104" i="9"/>
  <c r="AM110" i="9"/>
  <c r="AM82" i="9"/>
  <c r="AM120" i="9"/>
  <c r="AM55" i="9"/>
  <c r="AM12" i="9"/>
  <c r="AM16" i="9"/>
  <c r="AM40" i="9"/>
  <c r="AM86" i="9"/>
  <c r="AM112" i="9"/>
  <c r="AM74" i="9"/>
  <c r="AM58" i="9"/>
  <c r="AM50" i="9"/>
  <c r="AM24" i="9"/>
  <c r="AM46" i="9"/>
  <c r="AM60" i="9"/>
  <c r="AM54" i="9"/>
  <c r="AM95" i="9"/>
  <c r="AM94" i="9"/>
  <c r="AM63" i="9"/>
  <c r="AM44" i="9"/>
  <c r="AM32" i="9"/>
  <c r="AM67" i="9"/>
  <c r="AM108" i="9"/>
  <c r="AM15" i="9"/>
  <c r="AM68" i="9"/>
  <c r="AM36" i="9"/>
  <c r="AM70" i="9"/>
  <c r="AM111" i="9"/>
  <c r="AM27" i="9"/>
  <c r="AM19" i="9"/>
  <c r="AM18" i="9"/>
  <c r="AM59" i="9"/>
  <c r="AM20" i="9"/>
  <c r="AM8" i="9"/>
  <c r="AM11" i="9"/>
  <c r="AM48" i="9"/>
  <c r="AM75" i="9"/>
  <c r="AM52" i="9"/>
  <c r="AM51" i="9"/>
  <c r="AM83" i="9"/>
  <c r="AM119" i="9"/>
  <c r="AM71" i="9"/>
  <c r="AM116" i="9"/>
  <c r="AM122" i="9"/>
  <c r="AM35" i="9"/>
  <c r="AM123" i="9"/>
  <c r="AM28" i="9"/>
  <c r="AM124" i="9"/>
  <c r="AM78" i="9"/>
  <c r="AM91" i="9"/>
  <c r="AM115" i="9"/>
  <c r="AM96" i="9"/>
  <c r="AM118" i="9"/>
  <c r="AM79" i="9"/>
  <c r="AM84" i="9"/>
  <c r="AM34" i="9"/>
  <c r="AM92" i="9"/>
  <c r="AM66" i="9"/>
  <c r="AM31" i="9"/>
  <c r="AM100" i="9"/>
  <c r="AM76" i="9"/>
  <c r="AM102" i="9"/>
  <c r="AM88" i="9"/>
  <c r="AM87" i="9"/>
  <c r="E42" i="19"/>
  <c r="D42" i="19"/>
  <c r="AO3" i="20" s="1"/>
  <c r="C42" i="19"/>
  <c r="B43" i="19"/>
  <c r="AN7" i="20"/>
  <c r="AM7" i="8"/>
  <c r="G39" i="22"/>
  <c r="F39" i="22"/>
  <c r="L39" i="22"/>
  <c r="J39" i="22"/>
  <c r="I39" i="22"/>
  <c r="H39" i="22"/>
  <c r="K39" i="22"/>
  <c r="D40" i="22"/>
  <c r="AM312" i="9"/>
  <c r="AM309" i="9"/>
  <c r="AM306" i="9"/>
  <c r="AM305" i="9"/>
  <c r="AM310" i="9"/>
  <c r="AM307" i="9"/>
  <c r="AM311" i="9"/>
  <c r="AM308" i="9"/>
  <c r="J247" i="22"/>
  <c r="G247" i="22"/>
  <c r="L247" i="22"/>
  <c r="K247" i="22"/>
  <c r="I247" i="22"/>
  <c r="H247" i="22"/>
  <c r="F247" i="22"/>
  <c r="AN8" i="20"/>
  <c r="AM8" i="8"/>
  <c r="AN5" i="20"/>
  <c r="AM5" i="8"/>
  <c r="C354" i="22"/>
  <c r="C302" i="22"/>
  <c r="C250" i="22"/>
  <c r="C198" i="22"/>
  <c r="C94" i="22"/>
  <c r="C146" i="22"/>
  <c r="C42" i="22"/>
  <c r="AN2" i="20"/>
  <c r="L91" i="22"/>
  <c r="I91" i="22"/>
  <c r="H91" i="22"/>
  <c r="J91" i="22"/>
  <c r="G91" i="22"/>
  <c r="F91" i="22"/>
  <c r="K91" i="22"/>
  <c r="D196" i="22"/>
  <c r="AM321" i="9"/>
  <c r="AM345" i="9"/>
  <c r="AM350" i="9"/>
  <c r="AM346" i="9"/>
  <c r="AM340" i="9"/>
  <c r="AM316" i="9"/>
  <c r="AM285" i="9"/>
  <c r="AM336" i="9"/>
  <c r="AM325" i="9"/>
  <c r="AM337" i="9"/>
  <c r="AM317" i="9"/>
  <c r="AM314" i="9"/>
  <c r="AM313" i="9"/>
  <c r="AM341" i="9"/>
  <c r="AM338" i="9"/>
  <c r="AM332" i="9"/>
  <c r="AM304" i="9"/>
  <c r="AM333" i="9"/>
  <c r="AM329" i="9"/>
  <c r="AM330" i="9"/>
  <c r="AM334" i="9"/>
  <c r="AM347" i="9"/>
  <c r="AM342" i="9"/>
  <c r="AM328" i="9"/>
  <c r="AM289" i="9"/>
  <c r="AM281" i="9"/>
  <c r="AM275" i="9"/>
  <c r="AM293" i="9"/>
  <c r="AM273" i="9"/>
  <c r="AM266" i="9"/>
  <c r="AM277" i="9"/>
  <c r="AM265" i="9"/>
  <c r="AM278" i="9"/>
  <c r="AM279" i="9"/>
  <c r="AM269" i="9"/>
  <c r="AM274" i="9"/>
  <c r="AM267" i="9"/>
  <c r="AM291" i="9"/>
  <c r="AM280" i="9"/>
  <c r="AM322" i="9"/>
  <c r="AM272" i="9"/>
  <c r="AM318" i="9"/>
  <c r="AM343" i="9"/>
  <c r="AM348" i="9"/>
  <c r="AM271" i="9"/>
  <c r="AM270" i="9"/>
  <c r="AM320" i="9"/>
  <c r="AM294" i="9"/>
  <c r="AM268" i="9"/>
  <c r="AM282" i="9"/>
  <c r="AM288" i="9"/>
  <c r="AM276" i="9"/>
  <c r="AM295" i="9"/>
  <c r="AM327" i="9"/>
  <c r="AM287" i="9"/>
  <c r="AM315" i="9"/>
  <c r="AM335" i="9"/>
  <c r="AM344" i="9"/>
  <c r="AM319" i="9"/>
  <c r="AM326" i="9"/>
  <c r="AM286" i="9"/>
  <c r="AM351" i="9"/>
  <c r="AM290" i="9"/>
  <c r="AM284" i="9"/>
  <c r="AM324" i="9"/>
  <c r="AM339" i="9"/>
  <c r="AM303" i="9"/>
  <c r="AM349" i="9"/>
  <c r="AM331" i="9"/>
  <c r="AM352" i="9"/>
  <c r="AM292" i="9"/>
  <c r="AM283" i="9"/>
  <c r="AM323" i="9"/>
  <c r="G195" i="22"/>
  <c r="L195" i="22"/>
  <c r="K195" i="22"/>
  <c r="J195" i="22"/>
  <c r="I195" i="22"/>
  <c r="H195" i="22"/>
  <c r="F195" i="22"/>
  <c r="D248" i="22"/>
  <c r="AM383" i="9"/>
  <c r="AM386" i="9"/>
  <c r="AM165" i="9"/>
  <c r="AM157" i="9"/>
  <c r="AM149" i="9"/>
  <c r="AM141" i="9"/>
  <c r="AM169" i="9"/>
  <c r="AM166" i="9"/>
  <c r="AM161" i="9"/>
  <c r="AM158" i="9"/>
  <c r="AM153" i="9"/>
  <c r="AM150" i="9"/>
  <c r="AM145" i="9"/>
  <c r="AM129" i="9"/>
  <c r="AM137" i="9"/>
  <c r="AM134" i="9"/>
  <c r="AM142" i="9"/>
  <c r="AM133" i="9"/>
  <c r="AM127" i="9"/>
  <c r="AM130" i="9"/>
  <c r="AM128" i="9"/>
  <c r="AM131" i="9"/>
  <c r="AM138" i="9"/>
  <c r="AM155" i="9"/>
  <c r="AM146" i="9"/>
  <c r="AM154" i="9"/>
  <c r="AM144" i="9"/>
  <c r="AM160" i="9"/>
  <c r="AM147" i="9"/>
  <c r="AM132" i="9"/>
  <c r="AM140" i="9"/>
  <c r="AM156" i="9"/>
  <c r="AM126" i="9"/>
  <c r="AM162" i="9"/>
  <c r="AM139" i="9"/>
  <c r="AM135" i="9"/>
  <c r="AM159" i="9"/>
  <c r="AM152" i="9"/>
  <c r="AM136" i="9"/>
  <c r="AM143" i="9"/>
  <c r="AM164" i="9"/>
  <c r="AM163" i="9"/>
  <c r="AM151" i="9"/>
  <c r="AM148" i="9"/>
  <c r="AM168" i="9"/>
  <c r="AM382" i="9"/>
  <c r="AM385" i="9"/>
  <c r="AM167" i="9"/>
  <c r="AM384" i="9"/>
  <c r="AM381" i="9"/>
  <c r="AN9" i="20"/>
  <c r="AM9" i="8"/>
  <c r="D92" i="22"/>
  <c r="AM296" i="9"/>
  <c r="AM297" i="9"/>
  <c r="AM302" i="9"/>
  <c r="AM301" i="9"/>
  <c r="AM184" i="9"/>
  <c r="AM216" i="9"/>
  <c r="AM257" i="9"/>
  <c r="AM249" i="9"/>
  <c r="AM241" i="9"/>
  <c r="AM258" i="9"/>
  <c r="AM253" i="9"/>
  <c r="AM250" i="9"/>
  <c r="AM245" i="9"/>
  <c r="AM242" i="9"/>
  <c r="AM237" i="9"/>
  <c r="AM234" i="9"/>
  <c r="AM263" i="9"/>
  <c r="AM262" i="9"/>
  <c r="AM235" i="9"/>
  <c r="AM261" i="9"/>
  <c r="AM192" i="9"/>
  <c r="AM233" i="9"/>
  <c r="AM222" i="9"/>
  <c r="AM211" i="9"/>
  <c r="AM225" i="9"/>
  <c r="AM212" i="9"/>
  <c r="AM193" i="9"/>
  <c r="AM227" i="9"/>
  <c r="AM221" i="9"/>
  <c r="AM213" i="9"/>
  <c r="AM207" i="9"/>
  <c r="AM203" i="9"/>
  <c r="AM208" i="9"/>
  <c r="AM204" i="9"/>
  <c r="AM205" i="9"/>
  <c r="AM199" i="9"/>
  <c r="AM195" i="9"/>
  <c r="AM226" i="9"/>
  <c r="AM220" i="9"/>
  <c r="AM215" i="9"/>
  <c r="AM200" i="9"/>
  <c r="AM196" i="9"/>
  <c r="AM229" i="9"/>
  <c r="AM197" i="9"/>
  <c r="AM187" i="9"/>
  <c r="AM173" i="9"/>
  <c r="AM186" i="9"/>
  <c r="AM179" i="9"/>
  <c r="AM180" i="9"/>
  <c r="AM178" i="9"/>
  <c r="AM188" i="9"/>
  <c r="AM177" i="9"/>
  <c r="AM185" i="9"/>
  <c r="AM175" i="9"/>
  <c r="AM174" i="9"/>
  <c r="AM224" i="9"/>
  <c r="AM236" i="9"/>
  <c r="AM202" i="9"/>
  <c r="AM217" i="9"/>
  <c r="AM172" i="9"/>
  <c r="AM171" i="9"/>
  <c r="AM170" i="9"/>
  <c r="AM219" i="9"/>
  <c r="AM248" i="9"/>
  <c r="AM252" i="9"/>
  <c r="AM198" i="9"/>
  <c r="AM206" i="9"/>
  <c r="AM214" i="9"/>
  <c r="AM218" i="9"/>
  <c r="AM246" i="9"/>
  <c r="AM247" i="9"/>
  <c r="AM260" i="9"/>
  <c r="AM299" i="9"/>
  <c r="AM183" i="9"/>
  <c r="AM232" i="9"/>
  <c r="AM243" i="9"/>
  <c r="AM244" i="9"/>
  <c r="AM181" i="9"/>
  <c r="AM256" i="9"/>
  <c r="AM264" i="9"/>
  <c r="AM223" i="9"/>
  <c r="AM176" i="9"/>
  <c r="AM191" i="9"/>
  <c r="AM189" i="9"/>
  <c r="AM240" i="9"/>
  <c r="AM254" i="9"/>
  <c r="AM182" i="9"/>
  <c r="AM194" i="9"/>
  <c r="AM201" i="9"/>
  <c r="AM230" i="9"/>
  <c r="AM238" i="9"/>
  <c r="AM251" i="9"/>
  <c r="AM190" i="9"/>
  <c r="AM209" i="9"/>
  <c r="AM255" i="9"/>
  <c r="AM210" i="9"/>
  <c r="AM231" i="9"/>
  <c r="AM300" i="9"/>
  <c r="AM298" i="9"/>
  <c r="AM259" i="9"/>
  <c r="AM228" i="9"/>
  <c r="AM239" i="9"/>
  <c r="H143" i="22"/>
  <c r="L143" i="22"/>
  <c r="K143" i="22"/>
  <c r="J143" i="22"/>
  <c r="I143" i="22"/>
  <c r="G143" i="22"/>
  <c r="F143" i="22"/>
  <c r="D300" i="22"/>
  <c r="AM374" i="9"/>
  <c r="AM361" i="9"/>
  <c r="AM354" i="9"/>
  <c r="AM353" i="9"/>
  <c r="AM358" i="9"/>
  <c r="AM355" i="9"/>
  <c r="AM359" i="9"/>
  <c r="AM357" i="9"/>
  <c r="AM356" i="9"/>
  <c r="AM360" i="9"/>
  <c r="AM372" i="9"/>
  <c r="AM373" i="9"/>
  <c r="F299" i="22"/>
  <c r="G299" i="22"/>
  <c r="L299" i="22"/>
  <c r="J299" i="22"/>
  <c r="H299" i="22"/>
  <c r="K299" i="22"/>
  <c r="I299" i="22"/>
  <c r="K351" i="22"/>
  <c r="J351" i="22"/>
  <c r="H351" i="22"/>
  <c r="F351" i="22"/>
  <c r="I351" i="22"/>
  <c r="L351" i="22"/>
  <c r="G351" i="22"/>
  <c r="AO7" i="20" l="1"/>
  <c r="AN7" i="8"/>
  <c r="AO11" i="20"/>
  <c r="AN11" i="8"/>
  <c r="G300" i="22"/>
  <c r="L300" i="22"/>
  <c r="J300" i="22"/>
  <c r="H300" i="22"/>
  <c r="K300" i="22"/>
  <c r="I300" i="22"/>
  <c r="F300" i="22"/>
  <c r="AO9" i="20"/>
  <c r="AN9" i="8"/>
  <c r="C43" i="19"/>
  <c r="E43" i="19"/>
  <c r="B44" i="19"/>
  <c r="D43" i="19"/>
  <c r="AP3" i="20" s="1"/>
  <c r="D301" i="22"/>
  <c r="AN372" i="9"/>
  <c r="AN361" i="9"/>
  <c r="AN355" i="9"/>
  <c r="AN359" i="9"/>
  <c r="AN358" i="9"/>
  <c r="AN354" i="9"/>
  <c r="AN356" i="9"/>
  <c r="AN360" i="9"/>
  <c r="AN373" i="9"/>
  <c r="AN357" i="9"/>
  <c r="AN353" i="9"/>
  <c r="AN374" i="9"/>
  <c r="AO10" i="20"/>
  <c r="AN10" i="8"/>
  <c r="J248" i="22"/>
  <c r="G248" i="22"/>
  <c r="L248" i="22"/>
  <c r="K248" i="22"/>
  <c r="I248" i="22"/>
  <c r="H248" i="22"/>
  <c r="F248" i="22"/>
  <c r="D41" i="22"/>
  <c r="AN305" i="9"/>
  <c r="AN309" i="9"/>
  <c r="AN306" i="9"/>
  <c r="AN307" i="9"/>
  <c r="AN311" i="9"/>
  <c r="AN312" i="9"/>
  <c r="AN308" i="9"/>
  <c r="AN310" i="9"/>
  <c r="C355" i="22"/>
  <c r="C303" i="22"/>
  <c r="C199" i="22"/>
  <c r="C251" i="22"/>
  <c r="C147" i="22"/>
  <c r="C43" i="22"/>
  <c r="C95" i="22"/>
  <c r="AO2" i="20"/>
  <c r="H352" i="22"/>
  <c r="G352" i="22"/>
  <c r="K352" i="22"/>
  <c r="J352" i="22"/>
  <c r="F352" i="22"/>
  <c r="L352" i="22"/>
  <c r="I352" i="22"/>
  <c r="AO5" i="20"/>
  <c r="AN5" i="8"/>
  <c r="I92" i="22"/>
  <c r="F92" i="22"/>
  <c r="H92" i="22"/>
  <c r="K92" i="22"/>
  <c r="J92" i="22"/>
  <c r="G92" i="22"/>
  <c r="L92" i="22"/>
  <c r="D197" i="22"/>
  <c r="AN341" i="9"/>
  <c r="AN333" i="9"/>
  <c r="AN352" i="9"/>
  <c r="AN347" i="9"/>
  <c r="AN345" i="9"/>
  <c r="AN350" i="9"/>
  <c r="AN346" i="9"/>
  <c r="AN321" i="9"/>
  <c r="AN319" i="9"/>
  <c r="AN325" i="9"/>
  <c r="AN337" i="9"/>
  <c r="AN317" i="9"/>
  <c r="AN314" i="9"/>
  <c r="AN313" i="9"/>
  <c r="AN338" i="9"/>
  <c r="AN327" i="9"/>
  <c r="AN339" i="9"/>
  <c r="AN329" i="9"/>
  <c r="AN330" i="9"/>
  <c r="AN331" i="9"/>
  <c r="AN315" i="9"/>
  <c r="AN285" i="9"/>
  <c r="AN283" i="9"/>
  <c r="AN318" i="9"/>
  <c r="AN277" i="9"/>
  <c r="AN269" i="9"/>
  <c r="AN303" i="9"/>
  <c r="AN289" i="9"/>
  <c r="AN281" i="9"/>
  <c r="AN293" i="9"/>
  <c r="AN291" i="9"/>
  <c r="AN295" i="9"/>
  <c r="AN265" i="9"/>
  <c r="AN275" i="9"/>
  <c r="AN274" i="9"/>
  <c r="AN267" i="9"/>
  <c r="AN273" i="9"/>
  <c r="AN266" i="9"/>
  <c r="AN272" i="9"/>
  <c r="AN320" i="9"/>
  <c r="AN294" i="9"/>
  <c r="AN276" i="9"/>
  <c r="AN284" i="9"/>
  <c r="AN335" i="9"/>
  <c r="AN348" i="9"/>
  <c r="AN323" i="9"/>
  <c r="AN271" i="9"/>
  <c r="AN280" i="9"/>
  <c r="AN278" i="9"/>
  <c r="AN282" i="9"/>
  <c r="AN286" i="9"/>
  <c r="AN290" i="9"/>
  <c r="AN326" i="9"/>
  <c r="AN304" i="9"/>
  <c r="AN328" i="9"/>
  <c r="AN288" i="9"/>
  <c r="AN349" i="9"/>
  <c r="AN332" i="9"/>
  <c r="AN351" i="9"/>
  <c r="AN270" i="9"/>
  <c r="AN268" i="9"/>
  <c r="AN334" i="9"/>
  <c r="AN344" i="9"/>
  <c r="AN343" i="9"/>
  <c r="AN336" i="9"/>
  <c r="AN322" i="9"/>
  <c r="AN340" i="9"/>
  <c r="AN342" i="9"/>
  <c r="AN316" i="9"/>
  <c r="AN279" i="9"/>
  <c r="AN287" i="9"/>
  <c r="AN292" i="9"/>
  <c r="AN324" i="9"/>
  <c r="J144" i="22"/>
  <c r="K144" i="22"/>
  <c r="I144" i="22"/>
  <c r="H144" i="22"/>
  <c r="G144" i="22"/>
  <c r="F144" i="22"/>
  <c r="L144" i="22"/>
  <c r="D93" i="22"/>
  <c r="AN261" i="9"/>
  <c r="AN299" i="9"/>
  <c r="AN297" i="9"/>
  <c r="AN302" i="9"/>
  <c r="AN301" i="9"/>
  <c r="AN298" i="9"/>
  <c r="AN216" i="9"/>
  <c r="AN208" i="9"/>
  <c r="AN200" i="9"/>
  <c r="AN192" i="9"/>
  <c r="AN257" i="9"/>
  <c r="AN249" i="9"/>
  <c r="AN241" i="9"/>
  <c r="AN233" i="9"/>
  <c r="AN225" i="9"/>
  <c r="AN258" i="9"/>
  <c r="AN253" i="9"/>
  <c r="AN250" i="9"/>
  <c r="AN245" i="9"/>
  <c r="AN242" i="9"/>
  <c r="AN237" i="9"/>
  <c r="AN234" i="9"/>
  <c r="AN229" i="9"/>
  <c r="AN235" i="9"/>
  <c r="AN184" i="9"/>
  <c r="AN182" i="9"/>
  <c r="AN222" i="9"/>
  <c r="AN212" i="9"/>
  <c r="AN177" i="9"/>
  <c r="AN227" i="9"/>
  <c r="AN221" i="9"/>
  <c r="AN213" i="9"/>
  <c r="AN188" i="9"/>
  <c r="AN214" i="9"/>
  <c r="AN204" i="9"/>
  <c r="AN205" i="9"/>
  <c r="AN226" i="9"/>
  <c r="AN220" i="9"/>
  <c r="AN206" i="9"/>
  <c r="AN196" i="9"/>
  <c r="AN197" i="9"/>
  <c r="AN198" i="9"/>
  <c r="AN189" i="9"/>
  <c r="AN181" i="9"/>
  <c r="AN180" i="9"/>
  <c r="AN190" i="9"/>
  <c r="AN175" i="9"/>
  <c r="AN174" i="9"/>
  <c r="AN173" i="9"/>
  <c r="AN171" i="9"/>
  <c r="AN172" i="9"/>
  <c r="AN238" i="9"/>
  <c r="AN239" i="9"/>
  <c r="AN240" i="9"/>
  <c r="AN255" i="9"/>
  <c r="AN256" i="9"/>
  <c r="AN259" i="9"/>
  <c r="AN186" i="9"/>
  <c r="AN201" i="9"/>
  <c r="AN218" i="9"/>
  <c r="AN223" i="9"/>
  <c r="AN170" i="9"/>
  <c r="AN183" i="9"/>
  <c r="AN179" i="9"/>
  <c r="AN178" i="9"/>
  <c r="AN185" i="9"/>
  <c r="AN211" i="9"/>
  <c r="AN209" i="9"/>
  <c r="AN246" i="9"/>
  <c r="AN195" i="9"/>
  <c r="AN224" i="9"/>
  <c r="AN231" i="9"/>
  <c r="AN264" i="9"/>
  <c r="AN244" i="9"/>
  <c r="AN254" i="9"/>
  <c r="AN176" i="9"/>
  <c r="AN194" i="9"/>
  <c r="AN203" i="9"/>
  <c r="AN210" i="9"/>
  <c r="AN228" i="9"/>
  <c r="AN219" i="9"/>
  <c r="AN202" i="9"/>
  <c r="AN215" i="9"/>
  <c r="AN251" i="9"/>
  <c r="AN191" i="9"/>
  <c r="AN207" i="9"/>
  <c r="AN248" i="9"/>
  <c r="AN263" i="9"/>
  <c r="AN243" i="9"/>
  <c r="AN236" i="9"/>
  <c r="AN193" i="9"/>
  <c r="AN217" i="9"/>
  <c r="AN199" i="9"/>
  <c r="AN247" i="9"/>
  <c r="AN252" i="9"/>
  <c r="AN300" i="9"/>
  <c r="AN230" i="9"/>
  <c r="AN296" i="9"/>
  <c r="AN260" i="9"/>
  <c r="AN187" i="9"/>
  <c r="AN262" i="9"/>
  <c r="AN232" i="9"/>
  <c r="L196" i="22"/>
  <c r="I196" i="22"/>
  <c r="K196" i="22"/>
  <c r="J196" i="22"/>
  <c r="H196" i="22"/>
  <c r="G196" i="22"/>
  <c r="F196" i="22"/>
  <c r="D249" i="22"/>
  <c r="AN383" i="9"/>
  <c r="AN381" i="9"/>
  <c r="AN385" i="9"/>
  <c r="AN169" i="9"/>
  <c r="AN165" i="9"/>
  <c r="AN157" i="9"/>
  <c r="AN149" i="9"/>
  <c r="AN166" i="9"/>
  <c r="AN161" i="9"/>
  <c r="AN158" i="9"/>
  <c r="AN153" i="9"/>
  <c r="AN150" i="9"/>
  <c r="AN145" i="9"/>
  <c r="AN142" i="9"/>
  <c r="AN137" i="9"/>
  <c r="AN129" i="9"/>
  <c r="AN134" i="9"/>
  <c r="AN127" i="9"/>
  <c r="AN141" i="9"/>
  <c r="AN126" i="9"/>
  <c r="AN133" i="9"/>
  <c r="AN138" i="9"/>
  <c r="AN151" i="9"/>
  <c r="AN167" i="9"/>
  <c r="AN130" i="9"/>
  <c r="AN162" i="9"/>
  <c r="AN143" i="9"/>
  <c r="AN128" i="9"/>
  <c r="AN135" i="9"/>
  <c r="AN152" i="9"/>
  <c r="AN136" i="9"/>
  <c r="AN131" i="9"/>
  <c r="AN159" i="9"/>
  <c r="AN146" i="9"/>
  <c r="AN160" i="9"/>
  <c r="AN139" i="9"/>
  <c r="AN154" i="9"/>
  <c r="AN144" i="9"/>
  <c r="AN147" i="9"/>
  <c r="AN156" i="9"/>
  <c r="AN168" i="9"/>
  <c r="AN164" i="9"/>
  <c r="AN132" i="9"/>
  <c r="AN140" i="9"/>
  <c r="AN155" i="9"/>
  <c r="AN148" i="9"/>
  <c r="AN163" i="9"/>
  <c r="AN384" i="9"/>
  <c r="AN382" i="9"/>
  <c r="AN386" i="9"/>
  <c r="AO8" i="20"/>
  <c r="AN8" i="8"/>
  <c r="L40" i="22"/>
  <c r="K40" i="22"/>
  <c r="J40" i="22"/>
  <c r="I40" i="22"/>
  <c r="G40" i="22"/>
  <c r="H40" i="22"/>
  <c r="F40" i="22"/>
  <c r="D145" i="22"/>
  <c r="AN37" i="9"/>
  <c r="AN101" i="9"/>
  <c r="AN85" i="9"/>
  <c r="AN97" i="9"/>
  <c r="AN83" i="9"/>
  <c r="AN82" i="9"/>
  <c r="AN81" i="9"/>
  <c r="AN73" i="9"/>
  <c r="AN65" i="9"/>
  <c r="AN57" i="9"/>
  <c r="AN121" i="9"/>
  <c r="AN98" i="9"/>
  <c r="AN95" i="9"/>
  <c r="AN86" i="9"/>
  <c r="AN125" i="9"/>
  <c r="AN99" i="9"/>
  <c r="AN89" i="9"/>
  <c r="AN117" i="9"/>
  <c r="AN113" i="9"/>
  <c r="AN106" i="9"/>
  <c r="AN90" i="9"/>
  <c r="AN87" i="9"/>
  <c r="AN77" i="9"/>
  <c r="AN71" i="9"/>
  <c r="AN70" i="9"/>
  <c r="AN69" i="9"/>
  <c r="AN63" i="9"/>
  <c r="AN109" i="9"/>
  <c r="AN105" i="9"/>
  <c r="AN93" i="9"/>
  <c r="AN49" i="9"/>
  <c r="AN62" i="9"/>
  <c r="AN29" i="9"/>
  <c r="AN25" i="9"/>
  <c r="AN13" i="9"/>
  <c r="AN11" i="9"/>
  <c r="AN30" i="9"/>
  <c r="AN9" i="9"/>
  <c r="AN53" i="9"/>
  <c r="AN41" i="9"/>
  <c r="AN7" i="9"/>
  <c r="AN45" i="9"/>
  <c r="AN6" i="9"/>
  <c r="AN33" i="9"/>
  <c r="AN31" i="9"/>
  <c r="AN26" i="9"/>
  <c r="AN54" i="9"/>
  <c r="AN42" i="9"/>
  <c r="AN23" i="9"/>
  <c r="AN61" i="9"/>
  <c r="AN21" i="9"/>
  <c r="AN55" i="9"/>
  <c r="AN47" i="9"/>
  <c r="AN17" i="9"/>
  <c r="AN10" i="9"/>
  <c r="AN22" i="9"/>
  <c r="AN5" i="9"/>
  <c r="AN68" i="9"/>
  <c r="AN36" i="9"/>
  <c r="AN8" i="9"/>
  <c r="AN34" i="9"/>
  <c r="AN75" i="9"/>
  <c r="AN122" i="9"/>
  <c r="AN111" i="9"/>
  <c r="AN108" i="9"/>
  <c r="AN43" i="9"/>
  <c r="AN12" i="9"/>
  <c r="AN19" i="9"/>
  <c r="AN94" i="9"/>
  <c r="AN35" i="9"/>
  <c r="AN48" i="9"/>
  <c r="AN39" i="9"/>
  <c r="AN52" i="9"/>
  <c r="AN79" i="9"/>
  <c r="AN91" i="9"/>
  <c r="AN92" i="9"/>
  <c r="AN118" i="9"/>
  <c r="AN88" i="9"/>
  <c r="AN16" i="9"/>
  <c r="AN123" i="9"/>
  <c r="AN18" i="9"/>
  <c r="AN50" i="9"/>
  <c r="AN40" i="9"/>
  <c r="AN38" i="9"/>
  <c r="AN59" i="9"/>
  <c r="AN24" i="9"/>
  <c r="AN60" i="9"/>
  <c r="AN78" i="9"/>
  <c r="AN104" i="9"/>
  <c r="AN76" i="9"/>
  <c r="AN27" i="9"/>
  <c r="AN15" i="9"/>
  <c r="AN44" i="9"/>
  <c r="AN28" i="9"/>
  <c r="AN58" i="9"/>
  <c r="AN20" i="9"/>
  <c r="AN51" i="9"/>
  <c r="AN14" i="9"/>
  <c r="AN84" i="9"/>
  <c r="AN112" i="9"/>
  <c r="AN64" i="9"/>
  <c r="AN115" i="9"/>
  <c r="AN32" i="9"/>
  <c r="AN124" i="9"/>
  <c r="AN107" i="9"/>
  <c r="AN66" i="9"/>
  <c r="AN80" i="9"/>
  <c r="AN114" i="9"/>
  <c r="AN67" i="9"/>
  <c r="AN103" i="9"/>
  <c r="AN74" i="9"/>
  <c r="AN120" i="9"/>
  <c r="AN56" i="9"/>
  <c r="AN72" i="9"/>
  <c r="AN46" i="9"/>
  <c r="AN100" i="9"/>
  <c r="AN119" i="9"/>
  <c r="AN116" i="9"/>
  <c r="AN102" i="9"/>
  <c r="AN96" i="9"/>
  <c r="AN110" i="9"/>
  <c r="D353" i="22"/>
  <c r="AN379" i="9"/>
  <c r="AN375" i="9"/>
  <c r="AN376" i="9"/>
  <c r="AN388" i="9"/>
  <c r="AN387" i="9"/>
  <c r="AN371" i="9"/>
  <c r="AN365" i="9"/>
  <c r="AN367" i="9"/>
  <c r="AN362" i="9"/>
  <c r="AN363" i="9"/>
  <c r="AN368" i="9"/>
  <c r="AN369" i="9"/>
  <c r="AN377" i="9"/>
  <c r="AN370" i="9"/>
  <c r="AN366" i="9"/>
  <c r="AN364" i="9"/>
  <c r="AN380" i="9"/>
  <c r="AN378" i="9"/>
  <c r="AO6" i="20"/>
  <c r="AN6" i="8"/>
  <c r="L353" i="22" l="1"/>
  <c r="J353" i="22"/>
  <c r="H353" i="22"/>
  <c r="F353" i="22"/>
  <c r="G353" i="22"/>
  <c r="K353" i="22"/>
  <c r="I353" i="22"/>
  <c r="J145" i="22"/>
  <c r="G145" i="22"/>
  <c r="I145" i="22"/>
  <c r="H145" i="22"/>
  <c r="F145" i="22"/>
  <c r="L145" i="22"/>
  <c r="K145" i="22"/>
  <c r="AP8" i="20"/>
  <c r="AO8" i="8"/>
  <c r="G249" i="22"/>
  <c r="K249" i="22"/>
  <c r="L249" i="22"/>
  <c r="J249" i="22"/>
  <c r="I249" i="22"/>
  <c r="H249" i="22"/>
  <c r="F249" i="22"/>
  <c r="AP5" i="20"/>
  <c r="AO5" i="8"/>
  <c r="I41" i="22"/>
  <c r="H41" i="22"/>
  <c r="G41" i="22"/>
  <c r="F41" i="22"/>
  <c r="L41" i="22"/>
  <c r="K41" i="22"/>
  <c r="J41" i="22"/>
  <c r="D302" i="22"/>
  <c r="AO354" i="9"/>
  <c r="AO373" i="9"/>
  <c r="AO372" i="9"/>
  <c r="AO359" i="9"/>
  <c r="AO358" i="9"/>
  <c r="AO356" i="9"/>
  <c r="AO355" i="9"/>
  <c r="AO357" i="9"/>
  <c r="AO374" i="9"/>
  <c r="AO360" i="9"/>
  <c r="AO353" i="9"/>
  <c r="AO361" i="9"/>
  <c r="B45" i="19"/>
  <c r="E44" i="19"/>
  <c r="D44" i="19"/>
  <c r="AQ3" i="20" s="1"/>
  <c r="C44" i="19"/>
  <c r="AP10" i="20"/>
  <c r="AO10" i="8"/>
  <c r="C356" i="22"/>
  <c r="C304" i="22"/>
  <c r="C252" i="22"/>
  <c r="C200" i="22"/>
  <c r="C148" i="22"/>
  <c r="C44" i="22"/>
  <c r="C96" i="22"/>
  <c r="AP2" i="20"/>
  <c r="D250" i="22"/>
  <c r="AO383" i="9"/>
  <c r="AO386" i="9"/>
  <c r="AO168" i="9"/>
  <c r="AO166" i="9"/>
  <c r="AO158" i="9"/>
  <c r="AO150" i="9"/>
  <c r="AO142" i="9"/>
  <c r="AO134" i="9"/>
  <c r="AO127" i="9"/>
  <c r="AO126" i="9"/>
  <c r="AO144" i="9"/>
  <c r="AO167" i="9"/>
  <c r="AO160" i="9"/>
  <c r="AO147" i="9"/>
  <c r="AO163" i="9"/>
  <c r="AO159" i="9"/>
  <c r="AO146" i="9"/>
  <c r="AO135" i="9"/>
  <c r="AO128" i="9"/>
  <c r="AO139" i="9"/>
  <c r="AO138" i="9"/>
  <c r="AO148" i="9"/>
  <c r="AO164" i="9"/>
  <c r="AO151" i="9"/>
  <c r="AO162" i="9"/>
  <c r="AO130" i="9"/>
  <c r="AO155" i="9"/>
  <c r="AO136" i="9"/>
  <c r="AO143" i="9"/>
  <c r="AO129" i="9"/>
  <c r="AO161" i="9"/>
  <c r="AO132" i="9"/>
  <c r="AO140" i="9"/>
  <c r="AO149" i="9"/>
  <c r="AO137" i="9"/>
  <c r="AO169" i="9"/>
  <c r="AO157" i="9"/>
  <c r="AO131" i="9"/>
  <c r="AO152" i="9"/>
  <c r="AO145" i="9"/>
  <c r="AO133" i="9"/>
  <c r="AO165" i="9"/>
  <c r="AO154" i="9"/>
  <c r="AO156" i="9"/>
  <c r="AO153" i="9"/>
  <c r="AO381" i="9"/>
  <c r="AO141" i="9"/>
  <c r="AO384" i="9"/>
  <c r="AO382" i="9"/>
  <c r="AO385" i="9"/>
  <c r="D198" i="22"/>
  <c r="AO325" i="9"/>
  <c r="AO345" i="9"/>
  <c r="AO350" i="9"/>
  <c r="AO346" i="9"/>
  <c r="AO341" i="9"/>
  <c r="AO333" i="9"/>
  <c r="AO337" i="9"/>
  <c r="AO317" i="9"/>
  <c r="AO313" i="9"/>
  <c r="AO289" i="9"/>
  <c r="AO338" i="9"/>
  <c r="AO327" i="9"/>
  <c r="AO339" i="9"/>
  <c r="AO329" i="9"/>
  <c r="AO330" i="9"/>
  <c r="AO318" i="9"/>
  <c r="AO331" i="9"/>
  <c r="AO326" i="9"/>
  <c r="AO324" i="9"/>
  <c r="AO328" i="9"/>
  <c r="AO321" i="9"/>
  <c r="AO319" i="9"/>
  <c r="AO316" i="9"/>
  <c r="AO303" i="9"/>
  <c r="AO294" i="9"/>
  <c r="AO292" i="9"/>
  <c r="AO315" i="9"/>
  <c r="AO285" i="9"/>
  <c r="AO283" i="9"/>
  <c r="AO276" i="9"/>
  <c r="AO275" i="9"/>
  <c r="AO293" i="9"/>
  <c r="AO291" i="9"/>
  <c r="AO295" i="9"/>
  <c r="AO268" i="9"/>
  <c r="AO274" i="9"/>
  <c r="AO267" i="9"/>
  <c r="AO266" i="9"/>
  <c r="AO271" i="9"/>
  <c r="AO287" i="9"/>
  <c r="AO336" i="9"/>
  <c r="AO273" i="9"/>
  <c r="AO280" i="9"/>
  <c r="AO290" i="9"/>
  <c r="AO322" i="9"/>
  <c r="AO304" i="9"/>
  <c r="AO270" i="9"/>
  <c r="AO272" i="9"/>
  <c r="AO282" i="9"/>
  <c r="AO335" i="9"/>
  <c r="AO265" i="9"/>
  <c r="AO343" i="9"/>
  <c r="AO344" i="9"/>
  <c r="AO279" i="9"/>
  <c r="AO284" i="9"/>
  <c r="AO288" i="9"/>
  <c r="AO314" i="9"/>
  <c r="AO340" i="9"/>
  <c r="AO348" i="9"/>
  <c r="AO347" i="9"/>
  <c r="AO342" i="9"/>
  <c r="AO334" i="9"/>
  <c r="AO277" i="9"/>
  <c r="AO332" i="9"/>
  <c r="AO320" i="9"/>
  <c r="AO278" i="9"/>
  <c r="AO269" i="9"/>
  <c r="AO349" i="9"/>
  <c r="AO286" i="9"/>
  <c r="AO281" i="9"/>
  <c r="AO323" i="9"/>
  <c r="AO351" i="9"/>
  <c r="AO352" i="9"/>
  <c r="AP9" i="20"/>
  <c r="AO9" i="8"/>
  <c r="D354" i="22"/>
  <c r="AO367" i="9"/>
  <c r="AO387" i="9"/>
  <c r="AO371" i="9"/>
  <c r="AO370" i="9"/>
  <c r="AO375" i="9"/>
  <c r="AO363" i="9"/>
  <c r="AO377" i="9"/>
  <c r="AO379" i="9"/>
  <c r="AO388" i="9"/>
  <c r="AO364" i="9"/>
  <c r="AO368" i="9"/>
  <c r="AO365" i="9"/>
  <c r="AO369" i="9"/>
  <c r="AO376" i="9"/>
  <c r="AO362" i="9"/>
  <c r="AO378" i="9"/>
  <c r="AO380" i="9"/>
  <c r="AO366" i="9"/>
  <c r="AP11" i="20"/>
  <c r="AO11" i="8"/>
  <c r="F93" i="22"/>
  <c r="K93" i="22"/>
  <c r="J93" i="22"/>
  <c r="H93" i="22"/>
  <c r="L93" i="22"/>
  <c r="I93" i="22"/>
  <c r="G93" i="22"/>
  <c r="L301" i="22"/>
  <c r="J301" i="22"/>
  <c r="K301" i="22"/>
  <c r="I301" i="22"/>
  <c r="G301" i="22"/>
  <c r="H301" i="22"/>
  <c r="F301" i="22"/>
  <c r="D146" i="22"/>
  <c r="AO25" i="9"/>
  <c r="AO21" i="9"/>
  <c r="AO9" i="9"/>
  <c r="AO81" i="9"/>
  <c r="AO73" i="9"/>
  <c r="AO65" i="9"/>
  <c r="AO57" i="9"/>
  <c r="AO49" i="9"/>
  <c r="AO41" i="9"/>
  <c r="AO17" i="9"/>
  <c r="AO119" i="9"/>
  <c r="AO98" i="9"/>
  <c r="AO95" i="9"/>
  <c r="AO86" i="9"/>
  <c r="AO111" i="9"/>
  <c r="AO100" i="9"/>
  <c r="AO96" i="9"/>
  <c r="AO90" i="9"/>
  <c r="AO87" i="9"/>
  <c r="AO110" i="9"/>
  <c r="AO104" i="9"/>
  <c r="AO79" i="9"/>
  <c r="AO78" i="9"/>
  <c r="AO77" i="9"/>
  <c r="AO103" i="9"/>
  <c r="AO102" i="9"/>
  <c r="AO37" i="9"/>
  <c r="AO13" i="9"/>
  <c r="AO5" i="9"/>
  <c r="AO53" i="9"/>
  <c r="AO31" i="9"/>
  <c r="AO71" i="9"/>
  <c r="AO69" i="9"/>
  <c r="AO63" i="9"/>
  <c r="AO45" i="9"/>
  <c r="AO30" i="9"/>
  <c r="AO33" i="9"/>
  <c r="AO26" i="9"/>
  <c r="AO54" i="9"/>
  <c r="AO42" i="9"/>
  <c r="AO34" i="9"/>
  <c r="AO32" i="9"/>
  <c r="AO61" i="9"/>
  <c r="AO70" i="9"/>
  <c r="AO48" i="9"/>
  <c r="AO27" i="9"/>
  <c r="AO55" i="9"/>
  <c r="AO47" i="9"/>
  <c r="AO62" i="9"/>
  <c r="AO29" i="9"/>
  <c r="AO38" i="9"/>
  <c r="AO50" i="9"/>
  <c r="AO6" i="9"/>
  <c r="AO122" i="9"/>
  <c r="AO116" i="9"/>
  <c r="AO28" i="9"/>
  <c r="AO59" i="9"/>
  <c r="AO52" i="9"/>
  <c r="AO22" i="9"/>
  <c r="AO20" i="9"/>
  <c r="AO8" i="9"/>
  <c r="AO107" i="9"/>
  <c r="AO40" i="9"/>
  <c r="AO39" i="9"/>
  <c r="AO58" i="9"/>
  <c r="AO10" i="9"/>
  <c r="AO51" i="9"/>
  <c r="AO115" i="9"/>
  <c r="AO56" i="9"/>
  <c r="AO66" i="9"/>
  <c r="AO72" i="9"/>
  <c r="AO124" i="9"/>
  <c r="AO23" i="9"/>
  <c r="AO7" i="9"/>
  <c r="AO14" i="9"/>
  <c r="AO12" i="9"/>
  <c r="AO44" i="9"/>
  <c r="AO60" i="9"/>
  <c r="AO76" i="9"/>
  <c r="AO108" i="9"/>
  <c r="AO15" i="9"/>
  <c r="AO24" i="9"/>
  <c r="AO43" i="9"/>
  <c r="AO19" i="9"/>
  <c r="AO16" i="9"/>
  <c r="AO68" i="9"/>
  <c r="AO36" i="9"/>
  <c r="AO91" i="9"/>
  <c r="AO92" i="9"/>
  <c r="AO18" i="9"/>
  <c r="AO99" i="9"/>
  <c r="AO11" i="9"/>
  <c r="AO46" i="9"/>
  <c r="AO114" i="9"/>
  <c r="AO67" i="9"/>
  <c r="AO74" i="9"/>
  <c r="AO94" i="9"/>
  <c r="AO105" i="9"/>
  <c r="AO88" i="9"/>
  <c r="AO84" i="9"/>
  <c r="AO106" i="9"/>
  <c r="AO64" i="9"/>
  <c r="AO80" i="9"/>
  <c r="AO82" i="9"/>
  <c r="AO118" i="9"/>
  <c r="AO89" i="9"/>
  <c r="AO97" i="9"/>
  <c r="AO120" i="9"/>
  <c r="AO113" i="9"/>
  <c r="AO83" i="9"/>
  <c r="AO121" i="9"/>
  <c r="AO75" i="9"/>
  <c r="AO85" i="9"/>
  <c r="AO93" i="9"/>
  <c r="AO112" i="9"/>
  <c r="AO101" i="9"/>
  <c r="AO125" i="9"/>
  <c r="AO109" i="9"/>
  <c r="AO35" i="9"/>
  <c r="AO123" i="9"/>
  <c r="AO117" i="9"/>
  <c r="D94" i="22"/>
  <c r="AO296" i="9"/>
  <c r="AO297" i="9"/>
  <c r="AO302" i="9"/>
  <c r="AO301" i="9"/>
  <c r="AO298" i="9"/>
  <c r="AO188" i="9"/>
  <c r="AO258" i="9"/>
  <c r="AO250" i="9"/>
  <c r="AO242" i="9"/>
  <c r="AO260" i="9"/>
  <c r="AO251" i="9"/>
  <c r="AO243" i="9"/>
  <c r="AO235" i="9"/>
  <c r="AO216" i="9"/>
  <c r="AO208" i="9"/>
  <c r="AO200" i="9"/>
  <c r="AO192" i="9"/>
  <c r="AO212" i="9"/>
  <c r="AO227" i="9"/>
  <c r="AO221" i="9"/>
  <c r="AO213" i="9"/>
  <c r="AO184" i="9"/>
  <c r="AO182" i="9"/>
  <c r="AO214" i="9"/>
  <c r="AO204" i="9"/>
  <c r="AO234" i="9"/>
  <c r="AO205" i="9"/>
  <c r="AO226" i="9"/>
  <c r="AO220" i="9"/>
  <c r="AO206" i="9"/>
  <c r="AO197" i="9"/>
  <c r="AO198" i="9"/>
  <c r="AO189" i="9"/>
  <c r="AO181" i="9"/>
  <c r="AO180" i="9"/>
  <c r="AO176" i="9"/>
  <c r="AO175" i="9"/>
  <c r="AO174" i="9"/>
  <c r="AO196" i="9"/>
  <c r="AO187" i="9"/>
  <c r="AO183" i="9"/>
  <c r="AO186" i="9"/>
  <c r="AO263" i="9"/>
  <c r="AO252" i="9"/>
  <c r="AO264" i="9"/>
  <c r="AO231" i="9"/>
  <c r="AO239" i="9"/>
  <c r="AO255" i="9"/>
  <c r="AO193" i="9"/>
  <c r="AO223" i="9"/>
  <c r="AO178" i="9"/>
  <c r="AO172" i="9"/>
  <c r="AO190" i="9"/>
  <c r="AO170" i="9"/>
  <c r="AO171" i="9"/>
  <c r="AO201" i="9"/>
  <c r="AO217" i="9"/>
  <c r="AO219" i="9"/>
  <c r="AO191" i="9"/>
  <c r="AO259" i="9"/>
  <c r="AO247" i="9"/>
  <c r="AO222" i="9"/>
  <c r="AO262" i="9"/>
  <c r="AO241" i="9"/>
  <c r="AO228" i="9"/>
  <c r="AO215" i="9"/>
  <c r="AO230" i="9"/>
  <c r="AO246" i="9"/>
  <c r="AO229" i="9"/>
  <c r="AO261" i="9"/>
  <c r="AO207" i="9"/>
  <c r="AO248" i="9"/>
  <c r="AO236" i="9"/>
  <c r="AO238" i="9"/>
  <c r="AO179" i="9"/>
  <c r="AO218" i="9"/>
  <c r="AO199" i="9"/>
  <c r="AO232" i="9"/>
  <c r="AO177" i="9"/>
  <c r="AO211" i="9"/>
  <c r="AO210" i="9"/>
  <c r="AO195" i="9"/>
  <c r="AO224" i="9"/>
  <c r="AO244" i="9"/>
  <c r="AO256" i="9"/>
  <c r="AO233" i="9"/>
  <c r="AO299" i="9"/>
  <c r="AO202" i="9"/>
  <c r="AO185" i="9"/>
  <c r="AO254" i="9"/>
  <c r="AO173" i="9"/>
  <c r="AO209" i="9"/>
  <c r="AO253" i="9"/>
  <c r="AO203" i="9"/>
  <c r="AO225" i="9"/>
  <c r="AO245" i="9"/>
  <c r="AO237" i="9"/>
  <c r="AO257" i="9"/>
  <c r="AO300" i="9"/>
  <c r="AO249" i="9"/>
  <c r="AO194" i="9"/>
  <c r="AO240" i="9"/>
  <c r="AP6" i="20"/>
  <c r="AO6" i="8"/>
  <c r="I197" i="22"/>
  <c r="F197" i="22"/>
  <c r="L197" i="22"/>
  <c r="K197" i="22"/>
  <c r="J197" i="22"/>
  <c r="H197" i="22"/>
  <c r="G197" i="22"/>
  <c r="D42" i="22"/>
  <c r="AO305" i="9"/>
  <c r="AO309" i="9"/>
  <c r="AO310" i="9"/>
  <c r="AO311" i="9"/>
  <c r="AO308" i="9"/>
  <c r="AO306" i="9"/>
  <c r="AO312" i="9"/>
  <c r="AO307" i="9"/>
  <c r="AP7" i="20"/>
  <c r="AO7" i="8"/>
  <c r="F42" i="22" l="1"/>
  <c r="L42" i="22"/>
  <c r="K42" i="22"/>
  <c r="I42" i="22"/>
  <c r="J42" i="22"/>
  <c r="H42" i="22"/>
  <c r="G42" i="22"/>
  <c r="D95" i="22"/>
  <c r="AP299" i="9"/>
  <c r="AP296" i="9"/>
  <c r="AP302" i="9"/>
  <c r="AP298" i="9"/>
  <c r="AP258" i="9"/>
  <c r="AP250" i="9"/>
  <c r="AP242" i="9"/>
  <c r="AP234" i="9"/>
  <c r="AP226" i="9"/>
  <c r="AP215" i="9"/>
  <c r="AP260" i="9"/>
  <c r="AP235" i="9"/>
  <c r="AP227" i="9"/>
  <c r="AP221" i="9"/>
  <c r="AP213" i="9"/>
  <c r="AP182" i="9"/>
  <c r="AP228" i="9"/>
  <c r="AP214" i="9"/>
  <c r="AP202" i="9"/>
  <c r="AP193" i="9"/>
  <c r="AP207" i="9"/>
  <c r="AP205" i="9"/>
  <c r="AP203" i="9"/>
  <c r="AP206" i="9"/>
  <c r="AP194" i="9"/>
  <c r="AP199" i="9"/>
  <c r="AP198" i="9"/>
  <c r="AP197" i="9"/>
  <c r="AP183" i="9"/>
  <c r="AP175" i="9"/>
  <c r="AP185" i="9"/>
  <c r="AP174" i="9"/>
  <c r="AP195" i="9"/>
  <c r="AP181" i="9"/>
  <c r="AP176" i="9"/>
  <c r="AP178" i="9"/>
  <c r="AP191" i="9"/>
  <c r="AP201" i="9"/>
  <c r="AP251" i="9"/>
  <c r="AP232" i="9"/>
  <c r="AP190" i="9"/>
  <c r="AP210" i="9"/>
  <c r="AP209" i="9"/>
  <c r="AP171" i="9"/>
  <c r="AP172" i="9"/>
  <c r="AP223" i="9"/>
  <c r="AP189" i="9"/>
  <c r="AP211" i="9"/>
  <c r="AP177" i="9"/>
  <c r="AP244" i="9"/>
  <c r="AP252" i="9"/>
  <c r="AP188" i="9"/>
  <c r="AP220" i="9"/>
  <c r="AP225" i="9"/>
  <c r="AP241" i="9"/>
  <c r="AP257" i="9"/>
  <c r="AP218" i="9"/>
  <c r="AP219" i="9"/>
  <c r="AP224" i="9"/>
  <c r="AP263" i="9"/>
  <c r="AP231" i="9"/>
  <c r="AP236" i="9"/>
  <c r="AP208" i="9"/>
  <c r="AP179" i="9"/>
  <c r="AP217" i="9"/>
  <c r="AP256" i="9"/>
  <c r="AP173" i="9"/>
  <c r="AP240" i="9"/>
  <c r="AP243" i="9"/>
  <c r="AP187" i="9"/>
  <c r="AP247" i="9"/>
  <c r="AP255" i="9"/>
  <c r="AP259" i="9"/>
  <c r="AP254" i="9"/>
  <c r="AP170" i="9"/>
  <c r="AP186" i="9"/>
  <c r="AP239" i="9"/>
  <c r="AP230" i="9"/>
  <c r="AP264" i="9"/>
  <c r="AP238" i="9"/>
  <c r="AP246" i="9"/>
  <c r="AP222" i="9"/>
  <c r="AP180" i="9"/>
  <c r="AP212" i="9"/>
  <c r="AP229" i="9"/>
  <c r="AP245" i="9"/>
  <c r="AP261" i="9"/>
  <c r="AP297" i="9"/>
  <c r="AP192" i="9"/>
  <c r="AP184" i="9"/>
  <c r="AP204" i="9"/>
  <c r="AP249" i="9"/>
  <c r="AP196" i="9"/>
  <c r="AP216" i="9"/>
  <c r="AP233" i="9"/>
  <c r="AP253" i="9"/>
  <c r="AP300" i="9"/>
  <c r="AP237" i="9"/>
  <c r="AP200" i="9"/>
  <c r="AP301" i="9"/>
  <c r="AP248" i="9"/>
  <c r="AP262" i="9"/>
  <c r="K94" i="22"/>
  <c r="H94" i="22"/>
  <c r="J94" i="22"/>
  <c r="I94" i="22"/>
  <c r="G94" i="22"/>
  <c r="L94" i="22"/>
  <c r="F94" i="22"/>
  <c r="AQ5" i="20"/>
  <c r="AP5" i="8"/>
  <c r="D199" i="22"/>
  <c r="AP338" i="9"/>
  <c r="AP339" i="9"/>
  <c r="AP332" i="9"/>
  <c r="AP330" i="9"/>
  <c r="AP318" i="9"/>
  <c r="AP331" i="9"/>
  <c r="AP328" i="9"/>
  <c r="AP319" i="9"/>
  <c r="AP316" i="9"/>
  <c r="AP340" i="9"/>
  <c r="AP304" i="9"/>
  <c r="AP303" i="9"/>
  <c r="AP294" i="9"/>
  <c r="AP292" i="9"/>
  <c r="AP283" i="9"/>
  <c r="AP276" i="9"/>
  <c r="AP275" i="9"/>
  <c r="AP291" i="9"/>
  <c r="AP295" i="9"/>
  <c r="AP282" i="9"/>
  <c r="AP286" i="9"/>
  <c r="AP284" i="9"/>
  <c r="AP268" i="9"/>
  <c r="AP274" i="9"/>
  <c r="AP267" i="9"/>
  <c r="AP266" i="9"/>
  <c r="AP272" i="9"/>
  <c r="AP290" i="9"/>
  <c r="AP273" i="9"/>
  <c r="AP324" i="9"/>
  <c r="AP271" i="9"/>
  <c r="AP280" i="9"/>
  <c r="AP334" i="9"/>
  <c r="AP288" i="9"/>
  <c r="AP335" i="9"/>
  <c r="AP293" i="9"/>
  <c r="AP270" i="9"/>
  <c r="AP287" i="9"/>
  <c r="AP277" i="9"/>
  <c r="AP327" i="9"/>
  <c r="AP352" i="9"/>
  <c r="AP344" i="9"/>
  <c r="AP351" i="9"/>
  <c r="AP265" i="9"/>
  <c r="AP315" i="9"/>
  <c r="AP333" i="9"/>
  <c r="AP279" i="9"/>
  <c r="AP342" i="9"/>
  <c r="AP313" i="9"/>
  <c r="AP321" i="9"/>
  <c r="AP320" i="9"/>
  <c r="AP326" i="9"/>
  <c r="AP322" i="9"/>
  <c r="AP349" i="9"/>
  <c r="AP269" i="9"/>
  <c r="AP314" i="9"/>
  <c r="AP323" i="9"/>
  <c r="AP289" i="9"/>
  <c r="AP346" i="9"/>
  <c r="AP329" i="9"/>
  <c r="AP317" i="9"/>
  <c r="AP343" i="9"/>
  <c r="AP337" i="9"/>
  <c r="AP350" i="9"/>
  <c r="AP278" i="9"/>
  <c r="AP347" i="9"/>
  <c r="AP325" i="9"/>
  <c r="AP281" i="9"/>
  <c r="AP285" i="9"/>
  <c r="AP336" i="9"/>
  <c r="AP348" i="9"/>
  <c r="AP341" i="9"/>
  <c r="AP345" i="9"/>
  <c r="D355" i="22"/>
  <c r="AP388" i="9"/>
  <c r="AP380" i="9"/>
  <c r="AP378" i="9"/>
  <c r="AP370" i="9"/>
  <c r="AP376" i="9"/>
  <c r="AP363" i="9"/>
  <c r="AP369" i="9"/>
  <c r="AP366" i="9"/>
  <c r="AP362" i="9"/>
  <c r="AP368" i="9"/>
  <c r="AP377" i="9"/>
  <c r="AP364" i="9"/>
  <c r="AP387" i="9"/>
  <c r="AP375" i="9"/>
  <c r="AP365" i="9"/>
  <c r="AP367" i="9"/>
  <c r="AP379" i="9"/>
  <c r="AP371" i="9"/>
  <c r="F198" i="22"/>
  <c r="K198" i="22"/>
  <c r="L198" i="22"/>
  <c r="J198" i="22"/>
  <c r="I198" i="22"/>
  <c r="H198" i="22"/>
  <c r="G198" i="22"/>
  <c r="C305" i="22"/>
  <c r="C357" i="22"/>
  <c r="C253" i="22"/>
  <c r="C201" i="22"/>
  <c r="C149" i="22"/>
  <c r="AQ2" i="20"/>
  <c r="C97" i="22"/>
  <c r="C45" i="22"/>
  <c r="AQ8" i="20"/>
  <c r="AP8" i="8"/>
  <c r="G146" i="22"/>
  <c r="L146" i="22"/>
  <c r="I146" i="22"/>
  <c r="H146" i="22"/>
  <c r="F146" i="22"/>
  <c r="K146" i="22"/>
  <c r="J146" i="22"/>
  <c r="AQ11" i="20"/>
  <c r="AP11" i="8"/>
  <c r="C45" i="19"/>
  <c r="E45" i="19"/>
  <c r="D45" i="19"/>
  <c r="AR3" i="20" s="1"/>
  <c r="B46" i="19"/>
  <c r="AQ6" i="20"/>
  <c r="AP6" i="8"/>
  <c r="J354" i="22"/>
  <c r="I354" i="22"/>
  <c r="G354" i="22"/>
  <c r="H354" i="22"/>
  <c r="K354" i="22"/>
  <c r="L354" i="22"/>
  <c r="F354" i="22"/>
  <c r="D303" i="22"/>
  <c r="AP372" i="9"/>
  <c r="AP374" i="9"/>
  <c r="AP373" i="9"/>
  <c r="AP353" i="9"/>
  <c r="AP357" i="9"/>
  <c r="AP356" i="9"/>
  <c r="AP360" i="9"/>
  <c r="AP355" i="9"/>
  <c r="AP359" i="9"/>
  <c r="AP361" i="9"/>
  <c r="AP354" i="9"/>
  <c r="AP358" i="9"/>
  <c r="D147" i="22"/>
  <c r="AP125" i="9"/>
  <c r="AP95" i="9"/>
  <c r="AP86" i="9"/>
  <c r="AP96" i="9"/>
  <c r="AP87" i="9"/>
  <c r="AP80" i="9"/>
  <c r="AP72" i="9"/>
  <c r="AP64" i="9"/>
  <c r="AP110" i="9"/>
  <c r="AP104" i="9"/>
  <c r="AP79" i="9"/>
  <c r="AP78" i="9"/>
  <c r="AP103" i="9"/>
  <c r="AP88" i="9"/>
  <c r="AP102" i="9"/>
  <c r="AP71" i="9"/>
  <c r="AP63" i="9"/>
  <c r="AP31" i="9"/>
  <c r="AP34" i="9"/>
  <c r="AP54" i="9"/>
  <c r="AP70" i="9"/>
  <c r="AP48" i="9"/>
  <c r="AP35" i="9"/>
  <c r="AP27" i="9"/>
  <c r="AP55" i="9"/>
  <c r="AP47" i="9"/>
  <c r="AP15" i="9"/>
  <c r="AP12" i="9"/>
  <c r="AP62" i="9"/>
  <c r="AP56" i="9"/>
  <c r="AP14" i="9"/>
  <c r="AP11" i="9"/>
  <c r="AP8" i="9"/>
  <c r="AP32" i="9"/>
  <c r="AP18" i="9"/>
  <c r="AP28" i="9"/>
  <c r="AP46" i="9"/>
  <c r="AP20" i="9"/>
  <c r="AP10" i="9"/>
  <c r="AP76" i="9"/>
  <c r="AP43" i="9"/>
  <c r="AP40" i="9"/>
  <c r="AP30" i="9"/>
  <c r="AP60" i="9"/>
  <c r="AP92" i="9"/>
  <c r="AP36" i="9"/>
  <c r="AP114" i="9"/>
  <c r="AP100" i="9"/>
  <c r="AP99" i="9"/>
  <c r="AP112" i="9"/>
  <c r="AP9" i="9"/>
  <c r="AP83" i="9"/>
  <c r="AP44" i="9"/>
  <c r="AP22" i="9"/>
  <c r="AP6" i="9"/>
  <c r="AP7" i="9"/>
  <c r="AP50" i="9"/>
  <c r="AP26" i="9"/>
  <c r="AP122" i="9"/>
  <c r="AP38" i="9"/>
  <c r="AP59" i="9"/>
  <c r="AP24" i="9"/>
  <c r="AP39" i="9"/>
  <c r="AP16" i="9"/>
  <c r="AP42" i="9"/>
  <c r="AP107" i="9"/>
  <c r="AP68" i="9"/>
  <c r="AP58" i="9"/>
  <c r="AP51" i="9"/>
  <c r="AP19" i="9"/>
  <c r="AP23" i="9"/>
  <c r="AP52" i="9"/>
  <c r="AP91" i="9"/>
  <c r="AP108" i="9"/>
  <c r="AP123" i="9"/>
  <c r="AP13" i="9"/>
  <c r="AP74" i="9"/>
  <c r="AP84" i="9"/>
  <c r="AP66" i="9"/>
  <c r="AP124" i="9"/>
  <c r="AP41" i="9"/>
  <c r="AP73" i="9"/>
  <c r="AP116" i="9"/>
  <c r="AP98" i="9"/>
  <c r="AP29" i="9"/>
  <c r="AP61" i="9"/>
  <c r="AP89" i="9"/>
  <c r="AP105" i="9"/>
  <c r="AP121" i="9"/>
  <c r="AP94" i="9"/>
  <c r="AP90" i="9"/>
  <c r="AP119" i="9"/>
  <c r="AP21" i="9"/>
  <c r="AP67" i="9"/>
  <c r="AP75" i="9"/>
  <c r="AP82" i="9"/>
  <c r="AP115" i="9"/>
  <c r="AP120" i="9"/>
  <c r="AP106" i="9"/>
  <c r="AP111" i="9"/>
  <c r="AP118" i="9"/>
  <c r="AP5" i="9"/>
  <c r="AP33" i="9"/>
  <c r="AP65" i="9"/>
  <c r="AP117" i="9"/>
  <c r="AP45" i="9"/>
  <c r="AP101" i="9"/>
  <c r="AP109" i="9"/>
  <c r="AP37" i="9"/>
  <c r="AP57" i="9"/>
  <c r="AP77" i="9"/>
  <c r="AP85" i="9"/>
  <c r="AP93" i="9"/>
  <c r="AP49" i="9"/>
  <c r="AP69" i="9"/>
  <c r="AP17" i="9"/>
  <c r="AP81" i="9"/>
  <c r="AP25" i="9"/>
  <c r="AP113" i="9"/>
  <c r="AP97" i="9"/>
  <c r="AP53" i="9"/>
  <c r="D251" i="22"/>
  <c r="AP386" i="9"/>
  <c r="AP168" i="9"/>
  <c r="AP166" i="9"/>
  <c r="AP158" i="9"/>
  <c r="AP150" i="9"/>
  <c r="AP134" i="9"/>
  <c r="AP142" i="9"/>
  <c r="AP126" i="9"/>
  <c r="AP131" i="9"/>
  <c r="AP144" i="9"/>
  <c r="AP160" i="9"/>
  <c r="AP128" i="9"/>
  <c r="AP135" i="9"/>
  <c r="AP154" i="9"/>
  <c r="AP167" i="9"/>
  <c r="AP127" i="9"/>
  <c r="AP147" i="9"/>
  <c r="AP163" i="9"/>
  <c r="AP130" i="9"/>
  <c r="AP143" i="9"/>
  <c r="AP146" i="9"/>
  <c r="AP152" i="9"/>
  <c r="AP139" i="9"/>
  <c r="AP151" i="9"/>
  <c r="AP148" i="9"/>
  <c r="AP164" i="9"/>
  <c r="AP156" i="9"/>
  <c r="AP153" i="9"/>
  <c r="AP165" i="9"/>
  <c r="AP129" i="9"/>
  <c r="AP141" i="9"/>
  <c r="AP155" i="9"/>
  <c r="AP159" i="9"/>
  <c r="AP136" i="9"/>
  <c r="AP132" i="9"/>
  <c r="AP140" i="9"/>
  <c r="AP137" i="9"/>
  <c r="AP149" i="9"/>
  <c r="AP161" i="9"/>
  <c r="AP162" i="9"/>
  <c r="AP138" i="9"/>
  <c r="AP169" i="9"/>
  <c r="AP133" i="9"/>
  <c r="AP145" i="9"/>
  <c r="AP157" i="9"/>
  <c r="AP382" i="9"/>
  <c r="AP385" i="9"/>
  <c r="AP383" i="9"/>
  <c r="AP384" i="9"/>
  <c r="AP381" i="9"/>
  <c r="AQ10" i="20"/>
  <c r="AP10" i="8"/>
  <c r="L250" i="22"/>
  <c r="I250" i="22"/>
  <c r="K250" i="22"/>
  <c r="J250" i="22"/>
  <c r="H250" i="22"/>
  <c r="G250" i="22"/>
  <c r="F250" i="22"/>
  <c r="AQ7" i="20"/>
  <c r="AP7" i="8"/>
  <c r="AQ9" i="20"/>
  <c r="AP9" i="8"/>
  <c r="I302" i="22"/>
  <c r="H302" i="22"/>
  <c r="J302" i="22"/>
  <c r="L302" i="22"/>
  <c r="G302" i="22"/>
  <c r="K302" i="22"/>
  <c r="F302" i="22"/>
  <c r="D43" i="22"/>
  <c r="AP312" i="9"/>
  <c r="AP310" i="9"/>
  <c r="AP306" i="9"/>
  <c r="AP307" i="9"/>
  <c r="AP308" i="9"/>
  <c r="AP311" i="9"/>
  <c r="AP305" i="9"/>
  <c r="AP309" i="9"/>
  <c r="D304" i="22" l="1"/>
  <c r="AQ372" i="9"/>
  <c r="AQ374" i="9"/>
  <c r="AQ356" i="9"/>
  <c r="AQ361" i="9"/>
  <c r="AQ353" i="9"/>
  <c r="AQ360" i="9"/>
  <c r="AQ359" i="9"/>
  <c r="AQ358" i="9"/>
  <c r="AQ355" i="9"/>
  <c r="AQ373" i="9"/>
  <c r="AQ354" i="9"/>
  <c r="AQ357" i="9"/>
  <c r="D96" i="22"/>
  <c r="AQ301" i="9"/>
  <c r="AQ261" i="9"/>
  <c r="AQ253" i="9"/>
  <c r="AQ245" i="9"/>
  <c r="AQ237" i="9"/>
  <c r="AQ229" i="9"/>
  <c r="AQ302" i="9"/>
  <c r="AQ299" i="9"/>
  <c r="AQ297" i="9"/>
  <c r="AQ300" i="9"/>
  <c r="AQ298" i="9"/>
  <c r="AQ296" i="9"/>
  <c r="AQ220" i="9"/>
  <c r="AQ216" i="9"/>
  <c r="AQ212" i="9"/>
  <c r="AQ208" i="9"/>
  <c r="AQ204" i="9"/>
  <c r="AQ200" i="9"/>
  <c r="AQ196" i="9"/>
  <c r="AQ192" i="9"/>
  <c r="AQ257" i="9"/>
  <c r="AQ249" i="9"/>
  <c r="AQ241" i="9"/>
  <c r="AQ233" i="9"/>
  <c r="AQ225" i="9"/>
  <c r="AQ221" i="9"/>
  <c r="AQ214" i="9"/>
  <c r="AQ260" i="9"/>
  <c r="AQ251" i="9"/>
  <c r="AQ243" i="9"/>
  <c r="AQ235" i="9"/>
  <c r="AQ263" i="9"/>
  <c r="AQ252" i="9"/>
  <c r="AQ244" i="9"/>
  <c r="AQ236" i="9"/>
  <c r="AQ188" i="9"/>
  <c r="AQ184" i="9"/>
  <c r="AQ177" i="9"/>
  <c r="AQ205" i="9"/>
  <c r="AQ203" i="9"/>
  <c r="AQ180" i="9"/>
  <c r="AQ217" i="9"/>
  <c r="AQ206" i="9"/>
  <c r="AQ194" i="9"/>
  <c r="AQ197" i="9"/>
  <c r="AQ195" i="9"/>
  <c r="AQ209" i="9"/>
  <c r="AQ191" i="9"/>
  <c r="AQ227" i="9"/>
  <c r="AQ213" i="9"/>
  <c r="AQ182" i="9"/>
  <c r="AQ175" i="9"/>
  <c r="AQ172" i="9"/>
  <c r="AQ185" i="9"/>
  <c r="AQ171" i="9"/>
  <c r="AQ198" i="9"/>
  <c r="AQ181" i="9"/>
  <c r="AQ176" i="9"/>
  <c r="AQ173" i="9"/>
  <c r="AQ178" i="9"/>
  <c r="AQ179" i="9"/>
  <c r="AQ190" i="9"/>
  <c r="AQ187" i="9"/>
  <c r="AQ228" i="9"/>
  <c r="AQ250" i="9"/>
  <c r="AQ210" i="9"/>
  <c r="AQ201" i="9"/>
  <c r="AQ170" i="9"/>
  <c r="AQ211" i="9"/>
  <c r="AQ202" i="9"/>
  <c r="AQ234" i="9"/>
  <c r="AQ226" i="9"/>
  <c r="AQ259" i="9"/>
  <c r="AQ254" i="9"/>
  <c r="AQ222" i="9"/>
  <c r="AQ224" i="9"/>
  <c r="AQ256" i="9"/>
  <c r="AQ258" i="9"/>
  <c r="AQ239" i="9"/>
  <c r="AQ242" i="9"/>
  <c r="AQ246" i="9"/>
  <c r="AQ264" i="9"/>
  <c r="AQ223" i="9"/>
  <c r="AQ174" i="9"/>
  <c r="AQ193" i="9"/>
  <c r="AQ230" i="9"/>
  <c r="AQ199" i="9"/>
  <c r="AQ207" i="9"/>
  <c r="AQ215" i="9"/>
  <c r="AQ247" i="9"/>
  <c r="AQ238" i="9"/>
  <c r="AQ183" i="9"/>
  <c r="AQ218" i="9"/>
  <c r="AQ255" i="9"/>
  <c r="AQ189" i="9"/>
  <c r="AQ262" i="9"/>
  <c r="AQ240" i="9"/>
  <c r="AQ219" i="9"/>
  <c r="AQ231" i="9"/>
  <c r="AQ232" i="9"/>
  <c r="AQ186" i="9"/>
  <c r="AQ248" i="9"/>
  <c r="K43" i="22"/>
  <c r="J43" i="22"/>
  <c r="I43" i="22"/>
  <c r="H43" i="22"/>
  <c r="F43" i="22"/>
  <c r="L43" i="22"/>
  <c r="G43" i="22"/>
  <c r="D252" i="22"/>
  <c r="AQ383" i="9"/>
  <c r="AQ386" i="9"/>
  <c r="AQ381" i="9"/>
  <c r="AQ169" i="9"/>
  <c r="AQ161" i="9"/>
  <c r="AQ153" i="9"/>
  <c r="AQ145" i="9"/>
  <c r="AQ137" i="9"/>
  <c r="AQ129" i="9"/>
  <c r="AQ168" i="9"/>
  <c r="AQ165" i="9"/>
  <c r="AQ164" i="9"/>
  <c r="AQ157" i="9"/>
  <c r="AQ156" i="9"/>
  <c r="AQ149" i="9"/>
  <c r="AQ148" i="9"/>
  <c r="AQ141" i="9"/>
  <c r="AQ140" i="9"/>
  <c r="AQ133" i="9"/>
  <c r="AQ132" i="9"/>
  <c r="AQ160" i="9"/>
  <c r="AQ152" i="9"/>
  <c r="AQ144" i="9"/>
  <c r="AQ136" i="9"/>
  <c r="AQ159" i="9"/>
  <c r="AQ167" i="9"/>
  <c r="AQ131" i="9"/>
  <c r="AQ162" i="9"/>
  <c r="AQ139" i="9"/>
  <c r="AQ127" i="9"/>
  <c r="AQ128" i="9"/>
  <c r="AQ135" i="9"/>
  <c r="AQ155" i="9"/>
  <c r="AQ143" i="9"/>
  <c r="AQ147" i="9"/>
  <c r="AQ130" i="9"/>
  <c r="AQ151" i="9"/>
  <c r="AQ154" i="9"/>
  <c r="AQ138" i="9"/>
  <c r="AQ134" i="9"/>
  <c r="AQ142" i="9"/>
  <c r="AQ166" i="9"/>
  <c r="AQ163" i="9"/>
  <c r="AQ150" i="9"/>
  <c r="AQ126" i="9"/>
  <c r="AQ146" i="9"/>
  <c r="AQ158" i="9"/>
  <c r="AQ384" i="9"/>
  <c r="AQ385" i="9"/>
  <c r="AQ382" i="9"/>
  <c r="B47" i="19"/>
  <c r="E46" i="19"/>
  <c r="D46" i="19"/>
  <c r="AS3" i="20" s="1"/>
  <c r="C46" i="19"/>
  <c r="D148" i="22"/>
  <c r="AQ125" i="9"/>
  <c r="AQ121" i="9"/>
  <c r="AQ113" i="9"/>
  <c r="AQ105" i="9"/>
  <c r="AQ81" i="9"/>
  <c r="AQ77" i="9"/>
  <c r="AQ73" i="9"/>
  <c r="AQ69" i="9"/>
  <c r="AQ65" i="9"/>
  <c r="AQ61" i="9"/>
  <c r="AQ57" i="9"/>
  <c r="AQ53" i="9"/>
  <c r="AQ49" i="9"/>
  <c r="AQ101" i="9"/>
  <c r="AQ85" i="9"/>
  <c r="AQ41" i="9"/>
  <c r="AQ25" i="9"/>
  <c r="AQ97" i="9"/>
  <c r="AQ45" i="9"/>
  <c r="AQ111" i="9"/>
  <c r="AQ96" i="9"/>
  <c r="AQ87" i="9"/>
  <c r="AQ80" i="9"/>
  <c r="AQ72" i="9"/>
  <c r="AQ64" i="9"/>
  <c r="AQ56" i="9"/>
  <c r="AQ89" i="9"/>
  <c r="AQ71" i="9"/>
  <c r="AQ70" i="9"/>
  <c r="AQ63" i="9"/>
  <c r="AQ117" i="9"/>
  <c r="AQ103" i="9"/>
  <c r="AQ88" i="9"/>
  <c r="AQ109" i="9"/>
  <c r="AQ93" i="9"/>
  <c r="AQ37" i="9"/>
  <c r="AQ31" i="9"/>
  <c r="AQ34" i="9"/>
  <c r="AQ33" i="9"/>
  <c r="AQ32" i="9"/>
  <c r="AQ60" i="9"/>
  <c r="AQ54" i="9"/>
  <c r="AQ38" i="9"/>
  <c r="AQ48" i="9"/>
  <c r="AQ35" i="9"/>
  <c r="AQ55" i="9"/>
  <c r="AQ47" i="9"/>
  <c r="AQ62" i="9"/>
  <c r="AQ29" i="9"/>
  <c r="AQ11" i="9"/>
  <c r="AQ8" i="9"/>
  <c r="AQ23" i="9"/>
  <c r="AQ68" i="9"/>
  <c r="AQ27" i="9"/>
  <c r="AQ82" i="9"/>
  <c r="AQ39" i="9"/>
  <c r="AQ67" i="9"/>
  <c r="AQ110" i="9"/>
  <c r="AQ123" i="9"/>
  <c r="AQ36" i="9"/>
  <c r="AQ50" i="9"/>
  <c r="AQ15" i="9"/>
  <c r="AQ21" i="9"/>
  <c r="AQ108" i="9"/>
  <c r="AQ18" i="9"/>
  <c r="AQ12" i="9"/>
  <c r="AQ17" i="9"/>
  <c r="AQ76" i="9"/>
  <c r="AQ30" i="9"/>
  <c r="AQ40" i="9"/>
  <c r="AQ59" i="9"/>
  <c r="AQ58" i="9"/>
  <c r="AQ22" i="9"/>
  <c r="AQ26" i="9"/>
  <c r="AQ13" i="9"/>
  <c r="AQ84" i="9"/>
  <c r="AQ91" i="9"/>
  <c r="AQ52" i="9"/>
  <c r="AQ14" i="9"/>
  <c r="AQ24" i="9"/>
  <c r="AQ74" i="9"/>
  <c r="AQ51" i="9"/>
  <c r="AQ16" i="9"/>
  <c r="AQ9" i="9"/>
  <c r="AQ75" i="9"/>
  <c r="AQ114" i="9"/>
  <c r="AQ79" i="9"/>
  <c r="AQ43" i="9"/>
  <c r="AQ6" i="9"/>
  <c r="AQ66" i="9"/>
  <c r="AQ19" i="9"/>
  <c r="AQ42" i="9"/>
  <c r="AQ7" i="9"/>
  <c r="AQ86" i="9"/>
  <c r="AQ120" i="9"/>
  <c r="AQ92" i="9"/>
  <c r="AQ115" i="9"/>
  <c r="AQ118" i="9"/>
  <c r="AQ10" i="9"/>
  <c r="AQ44" i="9"/>
  <c r="AQ28" i="9"/>
  <c r="AQ78" i="9"/>
  <c r="AQ46" i="9"/>
  <c r="AQ83" i="9"/>
  <c r="AQ94" i="9"/>
  <c r="AQ100" i="9"/>
  <c r="AQ124" i="9"/>
  <c r="AQ5" i="9"/>
  <c r="AQ99" i="9"/>
  <c r="AQ116" i="9"/>
  <c r="AQ112" i="9"/>
  <c r="AQ98" i="9"/>
  <c r="AQ20" i="9"/>
  <c r="AQ107" i="9"/>
  <c r="AQ95" i="9"/>
  <c r="AQ119" i="9"/>
  <c r="AQ122" i="9"/>
  <c r="AQ90" i="9"/>
  <c r="AQ102" i="9"/>
  <c r="AQ106" i="9"/>
  <c r="AQ104" i="9"/>
  <c r="C358" i="22"/>
  <c r="C306" i="22"/>
  <c r="C254" i="22"/>
  <c r="C150" i="22"/>
  <c r="C202" i="22"/>
  <c r="C98" i="22"/>
  <c r="C46" i="22"/>
  <c r="AR2" i="20"/>
  <c r="K199" i="22"/>
  <c r="H199" i="22"/>
  <c r="L199" i="22"/>
  <c r="J199" i="22"/>
  <c r="I199" i="22"/>
  <c r="G199" i="22"/>
  <c r="F199" i="22"/>
  <c r="H95" i="22"/>
  <c r="J95" i="22"/>
  <c r="I95" i="22"/>
  <c r="G95" i="22"/>
  <c r="F95" i="22"/>
  <c r="L95" i="22"/>
  <c r="K95" i="22"/>
  <c r="D44" i="22"/>
  <c r="AQ309" i="9"/>
  <c r="AQ305" i="9"/>
  <c r="AQ312" i="9"/>
  <c r="AQ311" i="9"/>
  <c r="AQ310" i="9"/>
  <c r="AQ306" i="9"/>
  <c r="AQ307" i="9"/>
  <c r="AQ308" i="9"/>
  <c r="AR7" i="20"/>
  <c r="AQ7" i="8"/>
  <c r="AR5" i="20"/>
  <c r="AQ5" i="8"/>
  <c r="D356" i="22"/>
  <c r="AQ367" i="9"/>
  <c r="AQ388" i="9"/>
  <c r="AQ387" i="9"/>
  <c r="AQ379" i="9"/>
  <c r="AQ371" i="9"/>
  <c r="AQ375" i="9"/>
  <c r="AQ377" i="9"/>
  <c r="AQ376" i="9"/>
  <c r="AQ365" i="9"/>
  <c r="AQ370" i="9"/>
  <c r="AQ364" i="9"/>
  <c r="AQ368" i="9"/>
  <c r="AQ363" i="9"/>
  <c r="AQ378" i="9"/>
  <c r="AQ362" i="9"/>
  <c r="AQ366" i="9"/>
  <c r="AQ369" i="9"/>
  <c r="AQ380" i="9"/>
  <c r="AR11" i="20"/>
  <c r="AQ11" i="8"/>
  <c r="D200" i="22"/>
  <c r="AQ345" i="9"/>
  <c r="AQ341" i="9"/>
  <c r="AQ337" i="9"/>
  <c r="AQ333" i="9"/>
  <c r="AQ329" i="9"/>
  <c r="AQ347" i="9"/>
  <c r="AQ346" i="9"/>
  <c r="AQ325" i="9"/>
  <c r="AQ313" i="9"/>
  <c r="AQ339" i="9"/>
  <c r="AQ330" i="9"/>
  <c r="AQ318" i="9"/>
  <c r="AQ304" i="9"/>
  <c r="AQ348" i="9"/>
  <c r="AQ331" i="9"/>
  <c r="AQ315" i="9"/>
  <c r="AQ334" i="9"/>
  <c r="AQ328" i="9"/>
  <c r="AQ319" i="9"/>
  <c r="AQ316" i="9"/>
  <c r="AQ335" i="9"/>
  <c r="AQ321" i="9"/>
  <c r="AQ338" i="9"/>
  <c r="AQ317" i="9"/>
  <c r="AQ289" i="9"/>
  <c r="AQ277" i="9"/>
  <c r="AQ269" i="9"/>
  <c r="AQ283" i="9"/>
  <c r="AQ285" i="9"/>
  <c r="AQ295" i="9"/>
  <c r="AQ293" i="9"/>
  <c r="AQ281" i="9"/>
  <c r="AQ282" i="9"/>
  <c r="AQ286" i="9"/>
  <c r="AQ284" i="9"/>
  <c r="AQ303" i="9"/>
  <c r="AQ268" i="9"/>
  <c r="AQ265" i="9"/>
  <c r="AQ276" i="9"/>
  <c r="AQ272" i="9"/>
  <c r="AQ275" i="9"/>
  <c r="AQ271" i="9"/>
  <c r="AQ267" i="9"/>
  <c r="AQ273" i="9"/>
  <c r="AQ279" i="9"/>
  <c r="AQ336" i="9"/>
  <c r="AQ323" i="9"/>
  <c r="AQ322" i="9"/>
  <c r="AQ287" i="9"/>
  <c r="AQ292" i="9"/>
  <c r="AQ270" i="9"/>
  <c r="AQ290" i="9"/>
  <c r="AQ294" i="9"/>
  <c r="AQ324" i="9"/>
  <c r="AQ266" i="9"/>
  <c r="AQ327" i="9"/>
  <c r="AQ314" i="9"/>
  <c r="AQ288" i="9"/>
  <c r="AQ340" i="9"/>
  <c r="AQ280" i="9"/>
  <c r="AQ274" i="9"/>
  <c r="AQ278" i="9"/>
  <c r="AQ350" i="9"/>
  <c r="AQ291" i="9"/>
  <c r="AQ344" i="9"/>
  <c r="AQ342" i="9"/>
  <c r="AQ351" i="9"/>
  <c r="AQ352" i="9"/>
  <c r="AQ320" i="9"/>
  <c r="AQ326" i="9"/>
  <c r="AQ343" i="9"/>
  <c r="AQ332" i="9"/>
  <c r="AQ349" i="9"/>
  <c r="AR8" i="20"/>
  <c r="AQ8" i="8"/>
  <c r="F303" i="22"/>
  <c r="G303" i="22"/>
  <c r="H303" i="22"/>
  <c r="L303" i="22"/>
  <c r="J303" i="22"/>
  <c r="K303" i="22"/>
  <c r="I303" i="22"/>
  <c r="I251" i="22"/>
  <c r="K251" i="22"/>
  <c r="G251" i="22"/>
  <c r="L251" i="22"/>
  <c r="J251" i="22"/>
  <c r="H251" i="22"/>
  <c r="F251" i="22"/>
  <c r="AR6" i="20"/>
  <c r="AQ6" i="8"/>
  <c r="AR10" i="20"/>
  <c r="AQ10" i="8"/>
  <c r="G355" i="22"/>
  <c r="F355" i="22"/>
  <c r="L355" i="22"/>
  <c r="J355" i="22"/>
  <c r="K355" i="22"/>
  <c r="H355" i="22"/>
  <c r="I355" i="22"/>
  <c r="AR9" i="20"/>
  <c r="AQ9" i="8"/>
  <c r="L147" i="22"/>
  <c r="I147" i="22"/>
  <c r="H147" i="22"/>
  <c r="G147" i="22"/>
  <c r="F147" i="22"/>
  <c r="J147" i="22"/>
  <c r="K147" i="22"/>
  <c r="AS8" i="20" l="1"/>
  <c r="AR8" i="8"/>
  <c r="AS7" i="20"/>
  <c r="AR7" i="8"/>
  <c r="F252" i="22"/>
  <c r="I252" i="22"/>
  <c r="L252" i="22"/>
  <c r="K252" i="22"/>
  <c r="J252" i="22"/>
  <c r="H252" i="22"/>
  <c r="G252" i="22"/>
  <c r="D253" i="22"/>
  <c r="AR386" i="9"/>
  <c r="AR383" i="9"/>
  <c r="AR382" i="9"/>
  <c r="AR169" i="9"/>
  <c r="AR161" i="9"/>
  <c r="AR153" i="9"/>
  <c r="AR145" i="9"/>
  <c r="AR137" i="9"/>
  <c r="AR129" i="9"/>
  <c r="AR165" i="9"/>
  <c r="AR157" i="9"/>
  <c r="AR149" i="9"/>
  <c r="AR141" i="9"/>
  <c r="AR133" i="9"/>
  <c r="AR131" i="9"/>
  <c r="AR126" i="9"/>
  <c r="AR135" i="9"/>
  <c r="AR128" i="9"/>
  <c r="AR130" i="9"/>
  <c r="AR144" i="9"/>
  <c r="AR127" i="9"/>
  <c r="AR151" i="9"/>
  <c r="AR132" i="9"/>
  <c r="AR140" i="9"/>
  <c r="AR156" i="9"/>
  <c r="AR152" i="9"/>
  <c r="AR154" i="9"/>
  <c r="AR163" i="9"/>
  <c r="AR136" i="9"/>
  <c r="AR138" i="9"/>
  <c r="AR155" i="9"/>
  <c r="AR159" i="9"/>
  <c r="AR147" i="9"/>
  <c r="AR146" i="9"/>
  <c r="AR160" i="9"/>
  <c r="AR162" i="9"/>
  <c r="AR143" i="9"/>
  <c r="AR139" i="9"/>
  <c r="AR167" i="9"/>
  <c r="AR150" i="9"/>
  <c r="AR166" i="9"/>
  <c r="AR148" i="9"/>
  <c r="AR158" i="9"/>
  <c r="AR168" i="9"/>
  <c r="AR134" i="9"/>
  <c r="AR142" i="9"/>
  <c r="AR384" i="9"/>
  <c r="AR164" i="9"/>
  <c r="AR381" i="9"/>
  <c r="AR385" i="9"/>
  <c r="D305" i="22"/>
  <c r="AR374" i="9"/>
  <c r="AR373" i="9"/>
  <c r="AR354" i="9"/>
  <c r="AR358" i="9"/>
  <c r="AR361" i="9"/>
  <c r="AR360" i="9"/>
  <c r="AR372" i="9"/>
  <c r="AR359" i="9"/>
  <c r="AR353" i="9"/>
  <c r="AR355" i="9"/>
  <c r="AR357" i="9"/>
  <c r="AR356" i="9"/>
  <c r="D97" i="22"/>
  <c r="AR299" i="9"/>
  <c r="AR297" i="9"/>
  <c r="AR301" i="9"/>
  <c r="AR296" i="9"/>
  <c r="AR261" i="9"/>
  <c r="AR253" i="9"/>
  <c r="AR245" i="9"/>
  <c r="AR237" i="9"/>
  <c r="AR229" i="9"/>
  <c r="AR264" i="9"/>
  <c r="AR263" i="9"/>
  <c r="AR257" i="9"/>
  <c r="AR249" i="9"/>
  <c r="AR241" i="9"/>
  <c r="AR233" i="9"/>
  <c r="AR225" i="9"/>
  <c r="AR180" i="9"/>
  <c r="AR204" i="9"/>
  <c r="AR188" i="9"/>
  <c r="AR220" i="9"/>
  <c r="AR208" i="9"/>
  <c r="AR196" i="9"/>
  <c r="AR223" i="9"/>
  <c r="AR216" i="9"/>
  <c r="AR200" i="9"/>
  <c r="AR212" i="9"/>
  <c r="AR192" i="9"/>
  <c r="AR184" i="9"/>
  <c r="AR177" i="9"/>
  <c r="AR171" i="9"/>
  <c r="AR182" i="9"/>
  <c r="AR187" i="9"/>
  <c r="AR173" i="9"/>
  <c r="AR170" i="9"/>
  <c r="AR210" i="9"/>
  <c r="AR209" i="9"/>
  <c r="AR234" i="9"/>
  <c r="AR230" i="9"/>
  <c r="AR238" i="9"/>
  <c r="AR186" i="9"/>
  <c r="AR190" i="9"/>
  <c r="AR193" i="9"/>
  <c r="AR219" i="9"/>
  <c r="AR217" i="9"/>
  <c r="AR211" i="9"/>
  <c r="AR201" i="9"/>
  <c r="AR176" i="9"/>
  <c r="AR215" i="9"/>
  <c r="AR240" i="9"/>
  <c r="AR258" i="9"/>
  <c r="AR254" i="9"/>
  <c r="AR235" i="9"/>
  <c r="AR198" i="9"/>
  <c r="AR206" i="9"/>
  <c r="AR214" i="9"/>
  <c r="AR178" i="9"/>
  <c r="AR172" i="9"/>
  <c r="AR207" i="9"/>
  <c r="AR242" i="9"/>
  <c r="AR255" i="9"/>
  <c r="AR244" i="9"/>
  <c r="AR262" i="9"/>
  <c r="AR202" i="9"/>
  <c r="AR191" i="9"/>
  <c r="AR174" i="9"/>
  <c r="AR175" i="9"/>
  <c r="AR189" i="9"/>
  <c r="AR199" i="9"/>
  <c r="AR239" i="9"/>
  <c r="AR247" i="9"/>
  <c r="AR246" i="9"/>
  <c r="AR251" i="9"/>
  <c r="AR181" i="9"/>
  <c r="AR179" i="9"/>
  <c r="AR195" i="9"/>
  <c r="AR194" i="9"/>
  <c r="AR248" i="9"/>
  <c r="AR236" i="9"/>
  <c r="AR183" i="9"/>
  <c r="AR228" i="9"/>
  <c r="AR250" i="9"/>
  <c r="AR227" i="9"/>
  <c r="AR203" i="9"/>
  <c r="AR218" i="9"/>
  <c r="AR232" i="9"/>
  <c r="AR231" i="9"/>
  <c r="AR259" i="9"/>
  <c r="AR185" i="9"/>
  <c r="AR298" i="9"/>
  <c r="AR205" i="9"/>
  <c r="AR300" i="9"/>
  <c r="AR224" i="9"/>
  <c r="AR243" i="9"/>
  <c r="AR226" i="9"/>
  <c r="AR221" i="9"/>
  <c r="AR197" i="9"/>
  <c r="AR222" i="9"/>
  <c r="AR213" i="9"/>
  <c r="AR302" i="9"/>
  <c r="AR256" i="9"/>
  <c r="AR252" i="9"/>
  <c r="AR260" i="9"/>
  <c r="D201" i="22"/>
  <c r="AR350" i="9"/>
  <c r="AR341" i="9"/>
  <c r="AR293" i="9"/>
  <c r="AR329" i="9"/>
  <c r="AR315" i="9"/>
  <c r="AR333" i="9"/>
  <c r="AR346" i="9"/>
  <c r="AR345" i="9"/>
  <c r="AR349" i="9"/>
  <c r="AR321" i="9"/>
  <c r="AR317" i="9"/>
  <c r="AR337" i="9"/>
  <c r="AR325" i="9"/>
  <c r="AR313" i="9"/>
  <c r="AR283" i="9"/>
  <c r="AR319" i="9"/>
  <c r="AR285" i="9"/>
  <c r="AR287" i="9"/>
  <c r="AR295" i="9"/>
  <c r="AR289" i="9"/>
  <c r="AR281" i="9"/>
  <c r="AR316" i="9"/>
  <c r="AR284" i="9"/>
  <c r="AR277" i="9"/>
  <c r="AR269" i="9"/>
  <c r="AR271" i="9"/>
  <c r="AR273" i="9"/>
  <c r="AR265" i="9"/>
  <c r="AR323" i="9"/>
  <c r="AR326" i="9"/>
  <c r="AR291" i="9"/>
  <c r="AR290" i="9"/>
  <c r="AR266" i="9"/>
  <c r="AR275" i="9"/>
  <c r="AR276" i="9"/>
  <c r="AR336" i="9"/>
  <c r="AR304" i="9"/>
  <c r="AR343" i="9"/>
  <c r="AR270" i="9"/>
  <c r="AR288" i="9"/>
  <c r="AR279" i="9"/>
  <c r="AR280" i="9"/>
  <c r="AR274" i="9"/>
  <c r="AR328" i="9"/>
  <c r="AR268" i="9"/>
  <c r="AR318" i="9"/>
  <c r="AR340" i="9"/>
  <c r="AR342" i="9"/>
  <c r="AR347" i="9"/>
  <c r="AR322" i="9"/>
  <c r="AR351" i="9"/>
  <c r="AR338" i="9"/>
  <c r="AR292" i="9"/>
  <c r="AR314" i="9"/>
  <c r="AR334" i="9"/>
  <c r="AR303" i="9"/>
  <c r="AR332" i="9"/>
  <c r="AR348" i="9"/>
  <c r="AR330" i="9"/>
  <c r="AR320" i="9"/>
  <c r="AR294" i="9"/>
  <c r="AR282" i="9"/>
  <c r="AR335" i="9"/>
  <c r="AR327" i="9"/>
  <c r="AR352" i="9"/>
  <c r="AR331" i="9"/>
  <c r="AR272" i="9"/>
  <c r="AR339" i="9"/>
  <c r="AR267" i="9"/>
  <c r="AR344" i="9"/>
  <c r="AR324" i="9"/>
  <c r="AR286" i="9"/>
  <c r="AR278" i="9"/>
  <c r="L356" i="22"/>
  <c r="K356" i="22"/>
  <c r="J356" i="22"/>
  <c r="I356" i="22"/>
  <c r="G356" i="22"/>
  <c r="H356" i="22"/>
  <c r="F356" i="22"/>
  <c r="C359" i="22"/>
  <c r="C307" i="22"/>
  <c r="C255" i="22"/>
  <c r="C203" i="22"/>
  <c r="C151" i="22"/>
  <c r="C99" i="22"/>
  <c r="C47" i="22"/>
  <c r="AS2" i="20"/>
  <c r="C47" i="19"/>
  <c r="E47" i="19"/>
  <c r="B48" i="19"/>
  <c r="D47" i="19"/>
  <c r="AT3" i="20" s="1"/>
  <c r="J96" i="22"/>
  <c r="I96" i="22"/>
  <c r="H96" i="22"/>
  <c r="G96" i="22"/>
  <c r="F96" i="22"/>
  <c r="L96" i="22"/>
  <c r="K96" i="22"/>
  <c r="AS11" i="20"/>
  <c r="AR11" i="8"/>
  <c r="K44" i="22"/>
  <c r="I44" i="22"/>
  <c r="H44" i="22"/>
  <c r="G44" i="22"/>
  <c r="F44" i="22"/>
  <c r="L44" i="22"/>
  <c r="J44" i="22"/>
  <c r="I148" i="22"/>
  <c r="F148" i="22"/>
  <c r="H148" i="22"/>
  <c r="G148" i="22"/>
  <c r="L148" i="22"/>
  <c r="K148" i="22"/>
  <c r="J148" i="22"/>
  <c r="AS6" i="20"/>
  <c r="AR6" i="8"/>
  <c r="D45" i="22"/>
  <c r="AR309" i="9"/>
  <c r="AR305" i="9"/>
  <c r="AR310" i="9"/>
  <c r="AR307" i="9"/>
  <c r="AR312" i="9"/>
  <c r="AR311" i="9"/>
  <c r="AR308" i="9"/>
  <c r="AR306" i="9"/>
  <c r="H200" i="22"/>
  <c r="K200" i="22"/>
  <c r="J200" i="22"/>
  <c r="I200" i="22"/>
  <c r="G200" i="22"/>
  <c r="F200" i="22"/>
  <c r="L200" i="22"/>
  <c r="D357" i="22"/>
  <c r="AR387" i="9"/>
  <c r="AR371" i="9"/>
  <c r="AR370" i="9"/>
  <c r="AR375" i="9"/>
  <c r="AR364" i="9"/>
  <c r="AR377" i="9"/>
  <c r="AR367" i="9"/>
  <c r="AR379" i="9"/>
  <c r="AR378" i="9"/>
  <c r="AR362" i="9"/>
  <c r="AR368" i="9"/>
  <c r="AR366" i="9"/>
  <c r="AR376" i="9"/>
  <c r="AR363" i="9"/>
  <c r="AR369" i="9"/>
  <c r="AR380" i="9"/>
  <c r="AR365" i="9"/>
  <c r="AR388" i="9"/>
  <c r="AS9" i="20"/>
  <c r="AR9" i="8"/>
  <c r="AS5" i="20"/>
  <c r="AR5" i="8"/>
  <c r="D149" i="22"/>
  <c r="AR121" i="9"/>
  <c r="AR113" i="9"/>
  <c r="AR105" i="9"/>
  <c r="AR97" i="9"/>
  <c r="AR89" i="9"/>
  <c r="AR125" i="9"/>
  <c r="AR81" i="9"/>
  <c r="AR73" i="9"/>
  <c r="AR65" i="9"/>
  <c r="AR57" i="9"/>
  <c r="AR49" i="9"/>
  <c r="AR45" i="9"/>
  <c r="AR29" i="9"/>
  <c r="AR107" i="9"/>
  <c r="AR104" i="9"/>
  <c r="AR117" i="9"/>
  <c r="AR103" i="9"/>
  <c r="AR124" i="9"/>
  <c r="AR77" i="9"/>
  <c r="AR109" i="9"/>
  <c r="AR93" i="9"/>
  <c r="AR101" i="9"/>
  <c r="AR85" i="9"/>
  <c r="AR41" i="9"/>
  <c r="AR25" i="9"/>
  <c r="AR47" i="9"/>
  <c r="AR69" i="9"/>
  <c r="AR33" i="9"/>
  <c r="AR32" i="9"/>
  <c r="AR13" i="9"/>
  <c r="AR51" i="9"/>
  <c r="AR35" i="9"/>
  <c r="AR21" i="9"/>
  <c r="AR8" i="9"/>
  <c r="AR5" i="9"/>
  <c r="AR48" i="9"/>
  <c r="AR23" i="9"/>
  <c r="AR61" i="9"/>
  <c r="AR39" i="9"/>
  <c r="AR36" i="9"/>
  <c r="AR11" i="9"/>
  <c r="AR17" i="9"/>
  <c r="AR53" i="9"/>
  <c r="AR37" i="9"/>
  <c r="AR31" i="9"/>
  <c r="AR9" i="9"/>
  <c r="AR59" i="9"/>
  <c r="AR27" i="9"/>
  <c r="AR95" i="9"/>
  <c r="AR120" i="9"/>
  <c r="AR78" i="9"/>
  <c r="AR38" i="9"/>
  <c r="AR18" i="9"/>
  <c r="AR68" i="9"/>
  <c r="AR12" i="9"/>
  <c r="AR22" i="9"/>
  <c r="AR15" i="9"/>
  <c r="AR84" i="9"/>
  <c r="AR91" i="9"/>
  <c r="AR66" i="9"/>
  <c r="AR63" i="9"/>
  <c r="AR56" i="9"/>
  <c r="AR72" i="9"/>
  <c r="AR106" i="9"/>
  <c r="AR30" i="9"/>
  <c r="AR44" i="9"/>
  <c r="AR28" i="9"/>
  <c r="AR52" i="9"/>
  <c r="AR119" i="9"/>
  <c r="AR67" i="9"/>
  <c r="AR114" i="9"/>
  <c r="AR6" i="9"/>
  <c r="AR55" i="9"/>
  <c r="AR19" i="9"/>
  <c r="AR26" i="9"/>
  <c r="AR76" i="9"/>
  <c r="AR92" i="9"/>
  <c r="AR122" i="9"/>
  <c r="AR88" i="9"/>
  <c r="AR7" i="9"/>
  <c r="AR10" i="9"/>
  <c r="AR50" i="9"/>
  <c r="AR46" i="9"/>
  <c r="AR14" i="9"/>
  <c r="AR60" i="9"/>
  <c r="AR75" i="9"/>
  <c r="AR82" i="9"/>
  <c r="AR123" i="9"/>
  <c r="AR94" i="9"/>
  <c r="AR16" i="9"/>
  <c r="AR20" i="9"/>
  <c r="AR40" i="9"/>
  <c r="AR24" i="9"/>
  <c r="AR43" i="9"/>
  <c r="AR58" i="9"/>
  <c r="AR42" i="9"/>
  <c r="AR83" i="9"/>
  <c r="AR110" i="9"/>
  <c r="AR116" i="9"/>
  <c r="AR71" i="9"/>
  <c r="AR87" i="9"/>
  <c r="AR112" i="9"/>
  <c r="AR90" i="9"/>
  <c r="AR62" i="9"/>
  <c r="AR79" i="9"/>
  <c r="AR80" i="9"/>
  <c r="AR102" i="9"/>
  <c r="AR54" i="9"/>
  <c r="AR99" i="9"/>
  <c r="AR108" i="9"/>
  <c r="AR86" i="9"/>
  <c r="AR100" i="9"/>
  <c r="AR70" i="9"/>
  <c r="AR98" i="9"/>
  <c r="AR34" i="9"/>
  <c r="AR74" i="9"/>
  <c r="AR118" i="9"/>
  <c r="AR115" i="9"/>
  <c r="AR64" i="9"/>
  <c r="AR96" i="9"/>
  <c r="AR111" i="9"/>
  <c r="AS10" i="20"/>
  <c r="AR10" i="8"/>
  <c r="K304" i="22"/>
  <c r="F304" i="22"/>
  <c r="G304" i="22"/>
  <c r="J304" i="22"/>
  <c r="L304" i="22"/>
  <c r="I304" i="22"/>
  <c r="H304" i="22"/>
  <c r="D98" i="22" l="1"/>
  <c r="AS298" i="9"/>
  <c r="AS301" i="9"/>
  <c r="AS296" i="9"/>
  <c r="AS299" i="9"/>
  <c r="AS297" i="9"/>
  <c r="AS264" i="9"/>
  <c r="AS220" i="9"/>
  <c r="AS253" i="9"/>
  <c r="AS245" i="9"/>
  <c r="AS237" i="9"/>
  <c r="AS254" i="9"/>
  <c r="AS246" i="9"/>
  <c r="AS238" i="9"/>
  <c r="AS262" i="9"/>
  <c r="AS261" i="9"/>
  <c r="AS257" i="9"/>
  <c r="AS256" i="9"/>
  <c r="AS249" i="9"/>
  <c r="AS248" i="9"/>
  <c r="AS241" i="9"/>
  <c r="AS240" i="9"/>
  <c r="AS233" i="9"/>
  <c r="AS232" i="9"/>
  <c r="AS214" i="9"/>
  <c r="AS206" i="9"/>
  <c r="AS198" i="9"/>
  <c r="AS204" i="9"/>
  <c r="AS188" i="9"/>
  <c r="AS225" i="9"/>
  <c r="AS207" i="9"/>
  <c r="AS208" i="9"/>
  <c r="AS196" i="9"/>
  <c r="AS216" i="9"/>
  <c r="AS199" i="9"/>
  <c r="AS210" i="9"/>
  <c r="AS200" i="9"/>
  <c r="AS215" i="9"/>
  <c r="AS230" i="9"/>
  <c r="AS229" i="9"/>
  <c r="AS212" i="9"/>
  <c r="AS202" i="9"/>
  <c r="AS192" i="9"/>
  <c r="AS224" i="9"/>
  <c r="AS222" i="9"/>
  <c r="AS203" i="9"/>
  <c r="AS180" i="9"/>
  <c r="AS185" i="9"/>
  <c r="AS178" i="9"/>
  <c r="AS182" i="9"/>
  <c r="AS177" i="9"/>
  <c r="AS174" i="9"/>
  <c r="AS187" i="9"/>
  <c r="AS173" i="9"/>
  <c r="AS184" i="9"/>
  <c r="AS181" i="9"/>
  <c r="AS189" i="9"/>
  <c r="AS179" i="9"/>
  <c r="AS219" i="9"/>
  <c r="AS195" i="9"/>
  <c r="AS170" i="9"/>
  <c r="AS172" i="9"/>
  <c r="AS190" i="9"/>
  <c r="AS183" i="9"/>
  <c r="AS209" i="9"/>
  <c r="AS231" i="9"/>
  <c r="AS186" i="9"/>
  <c r="AS236" i="9"/>
  <c r="AS251" i="9"/>
  <c r="AS193" i="9"/>
  <c r="AS217" i="9"/>
  <c r="AS171" i="9"/>
  <c r="AS255" i="9"/>
  <c r="AS252" i="9"/>
  <c r="AS218" i="9"/>
  <c r="AS201" i="9"/>
  <c r="AS211" i="9"/>
  <c r="AS175" i="9"/>
  <c r="AS263" i="9"/>
  <c r="AS239" i="9"/>
  <c r="AS247" i="9"/>
  <c r="AS227" i="9"/>
  <c r="AS259" i="9"/>
  <c r="AS176" i="9"/>
  <c r="AS244" i="9"/>
  <c r="AS223" i="9"/>
  <c r="AS228" i="9"/>
  <c r="AS243" i="9"/>
  <c r="AS197" i="9"/>
  <c r="AS205" i="9"/>
  <c r="AS213" i="9"/>
  <c r="AS221" i="9"/>
  <c r="AS250" i="9"/>
  <c r="AS194" i="9"/>
  <c r="AS260" i="9"/>
  <c r="AS235" i="9"/>
  <c r="AS242" i="9"/>
  <c r="AS302" i="9"/>
  <c r="AS226" i="9"/>
  <c r="AS300" i="9"/>
  <c r="AS191" i="9"/>
  <c r="AS258" i="9"/>
  <c r="AS234" i="9"/>
  <c r="D358" i="22"/>
  <c r="AS387" i="9"/>
  <c r="AS371" i="9"/>
  <c r="AS370" i="9"/>
  <c r="AS388" i="9"/>
  <c r="AS375" i="9"/>
  <c r="AS377" i="9"/>
  <c r="AS376" i="9"/>
  <c r="AS367" i="9"/>
  <c r="AS364" i="9"/>
  <c r="AS379" i="9"/>
  <c r="AS378" i="9"/>
  <c r="AS380" i="9"/>
  <c r="AS362" i="9"/>
  <c r="AS369" i="9"/>
  <c r="AS368" i="9"/>
  <c r="AS365" i="9"/>
  <c r="AS363" i="9"/>
  <c r="AS366" i="9"/>
  <c r="H305" i="22"/>
  <c r="L305" i="22"/>
  <c r="G305" i="22"/>
  <c r="F305" i="22"/>
  <c r="K305" i="22"/>
  <c r="J305" i="22"/>
  <c r="I305" i="22"/>
  <c r="C48" i="19"/>
  <c r="B49" i="19"/>
  <c r="E48" i="19"/>
  <c r="D48" i="19"/>
  <c r="AU3" i="20" s="1"/>
  <c r="D254" i="22"/>
  <c r="AS386" i="9"/>
  <c r="AS383" i="9"/>
  <c r="AS385" i="9"/>
  <c r="AS381" i="9"/>
  <c r="AS166" i="9"/>
  <c r="AS158" i="9"/>
  <c r="AS150" i="9"/>
  <c r="AS142" i="9"/>
  <c r="AS134" i="9"/>
  <c r="AS126" i="9"/>
  <c r="AS161" i="9"/>
  <c r="AS153" i="9"/>
  <c r="AS145" i="9"/>
  <c r="AS137" i="9"/>
  <c r="AS169" i="9"/>
  <c r="AS162" i="9"/>
  <c r="AS154" i="9"/>
  <c r="AS146" i="9"/>
  <c r="AS165" i="9"/>
  <c r="AS164" i="9"/>
  <c r="AS157" i="9"/>
  <c r="AS156" i="9"/>
  <c r="AS149" i="9"/>
  <c r="AS148" i="9"/>
  <c r="AS141" i="9"/>
  <c r="AS140" i="9"/>
  <c r="AS133" i="9"/>
  <c r="AS132" i="9"/>
  <c r="AS138" i="9"/>
  <c r="AS129" i="9"/>
  <c r="AS130" i="9"/>
  <c r="AS135" i="9"/>
  <c r="AS139" i="9"/>
  <c r="AS155" i="9"/>
  <c r="AS127" i="9"/>
  <c r="AS128" i="9"/>
  <c r="AS163" i="9"/>
  <c r="AS160" i="9"/>
  <c r="AS159" i="9"/>
  <c r="AS144" i="9"/>
  <c r="AS147" i="9"/>
  <c r="AS167" i="9"/>
  <c r="AS152" i="9"/>
  <c r="AS151" i="9"/>
  <c r="AS168" i="9"/>
  <c r="AS143" i="9"/>
  <c r="AS131" i="9"/>
  <c r="AS136" i="9"/>
  <c r="AS384" i="9"/>
  <c r="AS382" i="9"/>
  <c r="C360" i="22"/>
  <c r="C308" i="22"/>
  <c r="C256" i="22"/>
  <c r="C204" i="22"/>
  <c r="C152" i="22"/>
  <c r="C100" i="22"/>
  <c r="C48" i="22"/>
  <c r="AT2" i="20"/>
  <c r="J97" i="22"/>
  <c r="G97" i="22"/>
  <c r="I97" i="22"/>
  <c r="H97" i="22"/>
  <c r="F97" i="22"/>
  <c r="K97" i="22"/>
  <c r="L97" i="22"/>
  <c r="K253" i="22"/>
  <c r="G253" i="22"/>
  <c r="L253" i="22"/>
  <c r="J253" i="22"/>
  <c r="I253" i="22"/>
  <c r="H253" i="22"/>
  <c r="F253" i="22"/>
  <c r="D150" i="22"/>
  <c r="AS121" i="9"/>
  <c r="AS113" i="9"/>
  <c r="AS105" i="9"/>
  <c r="AS97" i="9"/>
  <c r="AS89" i="9"/>
  <c r="AS45" i="9"/>
  <c r="AS29" i="9"/>
  <c r="AS31" i="9"/>
  <c r="AS47" i="9"/>
  <c r="AS117" i="9"/>
  <c r="AS100" i="9"/>
  <c r="AS88" i="9"/>
  <c r="AS125" i="9"/>
  <c r="AS124" i="9"/>
  <c r="AS77" i="9"/>
  <c r="AS69" i="9"/>
  <c r="AS109" i="9"/>
  <c r="AS93" i="9"/>
  <c r="AS92" i="9"/>
  <c r="AS76" i="9"/>
  <c r="AS102" i="9"/>
  <c r="AS83" i="9"/>
  <c r="AS75" i="9"/>
  <c r="AS101" i="9"/>
  <c r="AS85" i="9"/>
  <c r="AS81" i="9"/>
  <c r="AS73" i="9"/>
  <c r="AS65" i="9"/>
  <c r="AS57" i="9"/>
  <c r="AS49" i="9"/>
  <c r="AS48" i="9"/>
  <c r="AS41" i="9"/>
  <c r="AS34" i="9"/>
  <c r="AS35" i="9"/>
  <c r="AS38" i="9"/>
  <c r="AS9" i="9"/>
  <c r="AS61" i="9"/>
  <c r="AS21" i="9"/>
  <c r="AS5" i="9"/>
  <c r="AS59" i="9"/>
  <c r="AS36" i="9"/>
  <c r="AS17" i="9"/>
  <c r="AS53" i="9"/>
  <c r="AS37" i="9"/>
  <c r="AS20" i="9"/>
  <c r="AS67" i="9"/>
  <c r="AS60" i="9"/>
  <c r="AS33" i="9"/>
  <c r="AS32" i="9"/>
  <c r="AS25" i="9"/>
  <c r="AS13" i="9"/>
  <c r="AS8" i="9"/>
  <c r="AS39" i="9"/>
  <c r="AS19" i="9"/>
  <c r="AS16" i="9"/>
  <c r="AS103" i="9"/>
  <c r="AS104" i="9"/>
  <c r="AS90" i="9"/>
  <c r="AS62" i="9"/>
  <c r="AS120" i="9"/>
  <c r="AS98" i="9"/>
  <c r="AS96" i="9"/>
  <c r="AS10" i="9"/>
  <c r="AS46" i="9"/>
  <c r="AS66" i="9"/>
  <c r="AS91" i="9"/>
  <c r="AS112" i="9"/>
  <c r="AS40" i="9"/>
  <c r="AS14" i="9"/>
  <c r="AS30" i="9"/>
  <c r="AS43" i="9"/>
  <c r="AS94" i="9"/>
  <c r="AS12" i="9"/>
  <c r="AS23" i="9"/>
  <c r="AS42" i="9"/>
  <c r="AS55" i="9"/>
  <c r="AS71" i="9"/>
  <c r="AS64" i="9"/>
  <c r="AS86" i="9"/>
  <c r="AS106" i="9"/>
  <c r="AS27" i="9"/>
  <c r="AS11" i="9"/>
  <c r="AS84" i="9"/>
  <c r="AS114" i="9"/>
  <c r="AS116" i="9"/>
  <c r="AS110" i="9"/>
  <c r="AS50" i="9"/>
  <c r="AS18" i="9"/>
  <c r="AS51" i="9"/>
  <c r="AS108" i="9"/>
  <c r="AS74" i="9"/>
  <c r="AS111" i="9"/>
  <c r="AS122" i="9"/>
  <c r="AS44" i="9"/>
  <c r="AS28" i="9"/>
  <c r="AS68" i="9"/>
  <c r="AS7" i="9"/>
  <c r="AS22" i="9"/>
  <c r="AS15" i="9"/>
  <c r="AS58" i="9"/>
  <c r="AS107" i="9"/>
  <c r="AS24" i="9"/>
  <c r="AS6" i="9"/>
  <c r="AS52" i="9"/>
  <c r="AS26" i="9"/>
  <c r="AS95" i="9"/>
  <c r="AS115" i="9"/>
  <c r="AS119" i="9"/>
  <c r="AS78" i="9"/>
  <c r="AS70" i="9"/>
  <c r="AS118" i="9"/>
  <c r="AS123" i="9"/>
  <c r="AS56" i="9"/>
  <c r="AS99" i="9"/>
  <c r="AS82" i="9"/>
  <c r="AS63" i="9"/>
  <c r="AS79" i="9"/>
  <c r="AS80" i="9"/>
  <c r="AS54" i="9"/>
  <c r="AS87" i="9"/>
  <c r="AS72" i="9"/>
  <c r="D46" i="22"/>
  <c r="AS309" i="9"/>
  <c r="AS305" i="9"/>
  <c r="AS312" i="9"/>
  <c r="AS307" i="9"/>
  <c r="AS310" i="9"/>
  <c r="AS311" i="9"/>
  <c r="AS308" i="9"/>
  <c r="AS306" i="9"/>
  <c r="J201" i="22"/>
  <c r="I201" i="22"/>
  <c r="H201" i="22"/>
  <c r="G201" i="22"/>
  <c r="F201" i="22"/>
  <c r="L201" i="22"/>
  <c r="K201" i="22"/>
  <c r="AT7" i="20"/>
  <c r="AS7" i="8"/>
  <c r="F149" i="22"/>
  <c r="K149" i="22"/>
  <c r="H149" i="22"/>
  <c r="G149" i="22"/>
  <c r="J149" i="22"/>
  <c r="L149" i="22"/>
  <c r="I149" i="22"/>
  <c r="AT6" i="20"/>
  <c r="AS6" i="8"/>
  <c r="AT11" i="20"/>
  <c r="AS11" i="8"/>
  <c r="AT5" i="20"/>
  <c r="AS5" i="8"/>
  <c r="AT9" i="20"/>
  <c r="AS9" i="8"/>
  <c r="D306" i="22"/>
  <c r="AS372" i="9"/>
  <c r="AS374" i="9"/>
  <c r="AS353" i="9"/>
  <c r="AS358" i="9"/>
  <c r="AS361" i="9"/>
  <c r="AS354" i="9"/>
  <c r="AS373" i="9"/>
  <c r="AS359" i="9"/>
  <c r="AS357" i="9"/>
  <c r="AS355" i="9"/>
  <c r="AS360" i="9"/>
  <c r="AS356" i="9"/>
  <c r="D202" i="22"/>
  <c r="AS346" i="9"/>
  <c r="AS341" i="9"/>
  <c r="AS340" i="9"/>
  <c r="AS339" i="9"/>
  <c r="AS331" i="9"/>
  <c r="AS350" i="9"/>
  <c r="AS329" i="9"/>
  <c r="AS318" i="9"/>
  <c r="AS332" i="9"/>
  <c r="AS333" i="9"/>
  <c r="AS324" i="9"/>
  <c r="AS345" i="9"/>
  <c r="AS319" i="9"/>
  <c r="AS316" i="9"/>
  <c r="AS335" i="9"/>
  <c r="AS317" i="9"/>
  <c r="AS344" i="9"/>
  <c r="AS337" i="9"/>
  <c r="AS325" i="9"/>
  <c r="AS313" i="9"/>
  <c r="AS304" i="9"/>
  <c r="AS293" i="9"/>
  <c r="AS285" i="9"/>
  <c r="AS289" i="9"/>
  <c r="AS291" i="9"/>
  <c r="AS284" i="9"/>
  <c r="AS282" i="9"/>
  <c r="AS321" i="9"/>
  <c r="AS286" i="9"/>
  <c r="AS277" i="9"/>
  <c r="AS283" i="9"/>
  <c r="AS274" i="9"/>
  <c r="AS273" i="9"/>
  <c r="AS269" i="9"/>
  <c r="AS266" i="9"/>
  <c r="AS281" i="9"/>
  <c r="AS265" i="9"/>
  <c r="AS278" i="9"/>
  <c r="AS336" i="9"/>
  <c r="AS320" i="9"/>
  <c r="AS288" i="9"/>
  <c r="AS292" i="9"/>
  <c r="AS275" i="9"/>
  <c r="AS303" i="9"/>
  <c r="AS351" i="9"/>
  <c r="AS330" i="9"/>
  <c r="AS338" i="9"/>
  <c r="AS271" i="9"/>
  <c r="AS272" i="9"/>
  <c r="AS279" i="9"/>
  <c r="AS295" i="9"/>
  <c r="AS326" i="9"/>
  <c r="AS334" i="9"/>
  <c r="AS322" i="9"/>
  <c r="AS294" i="9"/>
  <c r="AS348" i="9"/>
  <c r="AS315" i="9"/>
  <c r="AS328" i="9"/>
  <c r="AS287" i="9"/>
  <c r="AS268" i="9"/>
  <c r="AS323" i="9"/>
  <c r="AS343" i="9"/>
  <c r="AS276" i="9"/>
  <c r="AS352" i="9"/>
  <c r="AS270" i="9"/>
  <c r="AS267" i="9"/>
  <c r="AS314" i="9"/>
  <c r="AS349" i="9"/>
  <c r="AS280" i="9"/>
  <c r="AS342" i="9"/>
  <c r="AS290" i="9"/>
  <c r="AS327" i="9"/>
  <c r="AS347" i="9"/>
  <c r="AT10" i="20"/>
  <c r="AS10" i="8"/>
  <c r="I357" i="22"/>
  <c r="H357" i="22"/>
  <c r="G357" i="22"/>
  <c r="F357" i="22"/>
  <c r="L357" i="22"/>
  <c r="J357" i="22"/>
  <c r="K357" i="22"/>
  <c r="H45" i="22"/>
  <c r="G45" i="22"/>
  <c r="F45" i="22"/>
  <c r="K45" i="22"/>
  <c r="L45" i="22"/>
  <c r="J45" i="22"/>
  <c r="I45" i="22"/>
  <c r="AT8" i="20"/>
  <c r="AS8" i="8"/>
  <c r="AU9" i="20" l="1"/>
  <c r="AT9" i="8"/>
  <c r="F358" i="22"/>
  <c r="L358" i="22"/>
  <c r="K358" i="22"/>
  <c r="I358" i="22"/>
  <c r="J358" i="22"/>
  <c r="H358" i="22"/>
  <c r="G358" i="22"/>
  <c r="K150" i="22"/>
  <c r="H150" i="22"/>
  <c r="G150" i="22"/>
  <c r="F150" i="22"/>
  <c r="L150" i="22"/>
  <c r="J150" i="22"/>
  <c r="I150" i="22"/>
  <c r="H254" i="22"/>
  <c r="K254" i="22"/>
  <c r="L254" i="22"/>
  <c r="J254" i="22"/>
  <c r="I254" i="22"/>
  <c r="G254" i="22"/>
  <c r="F254" i="22"/>
  <c r="AU5" i="20"/>
  <c r="AT5" i="8"/>
  <c r="D359" i="22"/>
  <c r="AT388" i="9"/>
  <c r="AT375" i="9"/>
  <c r="AT376" i="9"/>
  <c r="AT379" i="9"/>
  <c r="AT367" i="9"/>
  <c r="AT387" i="9"/>
  <c r="AT380" i="9"/>
  <c r="AT371" i="9"/>
  <c r="AT370" i="9"/>
  <c r="AT364" i="9"/>
  <c r="AT368" i="9"/>
  <c r="AT363" i="9"/>
  <c r="AT362" i="9"/>
  <c r="AT369" i="9"/>
  <c r="AT366" i="9"/>
  <c r="AT377" i="9"/>
  <c r="AT378" i="9"/>
  <c r="AT365" i="9"/>
  <c r="C361" i="22"/>
  <c r="C309" i="22"/>
  <c r="C257" i="22"/>
  <c r="C205" i="22"/>
  <c r="C101" i="22"/>
  <c r="C153" i="22"/>
  <c r="C49" i="22"/>
  <c r="AU2" i="20"/>
  <c r="D99" i="22"/>
  <c r="AT297" i="9"/>
  <c r="AT301" i="9"/>
  <c r="AT298" i="9"/>
  <c r="AT220" i="9"/>
  <c r="AT212" i="9"/>
  <c r="AT204" i="9"/>
  <c r="AT196" i="9"/>
  <c r="AT180" i="9"/>
  <c r="AT253" i="9"/>
  <c r="AT245" i="9"/>
  <c r="AT237" i="9"/>
  <c r="AT229" i="9"/>
  <c r="AT262" i="9"/>
  <c r="AT261" i="9"/>
  <c r="AT257" i="9"/>
  <c r="AT256" i="9"/>
  <c r="AT249" i="9"/>
  <c r="AT248" i="9"/>
  <c r="AT241" i="9"/>
  <c r="AT240" i="9"/>
  <c r="AT233" i="9"/>
  <c r="AT232" i="9"/>
  <c r="AT225" i="9"/>
  <c r="AT207" i="9"/>
  <c r="AT217" i="9"/>
  <c r="AT208" i="9"/>
  <c r="AT181" i="9"/>
  <c r="AT173" i="9"/>
  <c r="AT216" i="9"/>
  <c r="AT199" i="9"/>
  <c r="AT200" i="9"/>
  <c r="AT215" i="9"/>
  <c r="AT211" i="9"/>
  <c r="AT192" i="9"/>
  <c r="AT191" i="9"/>
  <c r="AT224" i="9"/>
  <c r="AT222" i="9"/>
  <c r="AT203" i="9"/>
  <c r="AT188" i="9"/>
  <c r="AT177" i="9"/>
  <c r="AT170" i="9"/>
  <c r="AT187" i="9"/>
  <c r="AT184" i="9"/>
  <c r="AT189" i="9"/>
  <c r="AT178" i="9"/>
  <c r="AT210" i="9"/>
  <c r="AT236" i="9"/>
  <c r="AT171" i="9"/>
  <c r="AT185" i="9"/>
  <c r="AT209" i="9"/>
  <c r="AT183" i="9"/>
  <c r="AT190" i="9"/>
  <c r="AT186" i="9"/>
  <c r="AT201" i="9"/>
  <c r="AT258" i="9"/>
  <c r="AT252" i="9"/>
  <c r="AT251" i="9"/>
  <c r="AT219" i="9"/>
  <c r="AT242" i="9"/>
  <c r="AT260" i="9"/>
  <c r="AT255" i="9"/>
  <c r="AT198" i="9"/>
  <c r="AT206" i="9"/>
  <c r="AT214" i="9"/>
  <c r="AT223" i="9"/>
  <c r="AT174" i="9"/>
  <c r="AT175" i="9"/>
  <c r="AT263" i="9"/>
  <c r="AT239" i="9"/>
  <c r="AT247" i="9"/>
  <c r="AT230" i="9"/>
  <c r="AT244" i="9"/>
  <c r="AT254" i="9"/>
  <c r="AT202" i="9"/>
  <c r="AT228" i="9"/>
  <c r="AT195" i="9"/>
  <c r="AT238" i="9"/>
  <c r="AT227" i="9"/>
  <c r="AT259" i="9"/>
  <c r="AT182" i="9"/>
  <c r="AT176" i="9"/>
  <c r="AT250" i="9"/>
  <c r="AT246" i="9"/>
  <c r="AT193" i="9"/>
  <c r="AT218" i="9"/>
  <c r="AT243" i="9"/>
  <c r="AT234" i="9"/>
  <c r="AT231" i="9"/>
  <c r="AT235" i="9"/>
  <c r="AT179" i="9"/>
  <c r="AT213" i="9"/>
  <c r="AT302" i="9"/>
  <c r="AT221" i="9"/>
  <c r="AT172" i="9"/>
  <c r="AT296" i="9"/>
  <c r="AT205" i="9"/>
  <c r="AT194" i="9"/>
  <c r="AT226" i="9"/>
  <c r="AT300" i="9"/>
  <c r="AT197" i="9"/>
  <c r="AT299" i="9"/>
  <c r="AT264" i="9"/>
  <c r="C49" i="19"/>
  <c r="E49" i="19"/>
  <c r="B50" i="19"/>
  <c r="D49" i="19"/>
  <c r="AV3" i="20" s="1"/>
  <c r="J202" i="22"/>
  <c r="G202" i="22"/>
  <c r="H202" i="22"/>
  <c r="F202" i="22"/>
  <c r="L202" i="22"/>
  <c r="K202" i="22"/>
  <c r="I202" i="22"/>
  <c r="D307" i="22"/>
  <c r="AT372" i="9"/>
  <c r="AT374" i="9"/>
  <c r="AT358" i="9"/>
  <c r="AT361" i="9"/>
  <c r="AT354" i="9"/>
  <c r="AT353" i="9"/>
  <c r="AT355" i="9"/>
  <c r="AT359" i="9"/>
  <c r="AT360" i="9"/>
  <c r="AT357" i="9"/>
  <c r="AT356" i="9"/>
  <c r="AT373" i="9"/>
  <c r="J306" i="22"/>
  <c r="K306" i="22"/>
  <c r="G306" i="22"/>
  <c r="F306" i="22"/>
  <c r="L306" i="22"/>
  <c r="I306" i="22"/>
  <c r="H306" i="22"/>
  <c r="D151" i="22"/>
  <c r="AT97" i="9"/>
  <c r="AT117" i="9"/>
  <c r="AT48" i="9"/>
  <c r="AT33" i="9"/>
  <c r="AT32" i="9"/>
  <c r="AT124" i="9"/>
  <c r="AT121" i="9"/>
  <c r="AT114" i="9"/>
  <c r="AT110" i="9"/>
  <c r="AT89" i="9"/>
  <c r="AT77" i="9"/>
  <c r="AT69" i="9"/>
  <c r="AT61" i="9"/>
  <c r="AT53" i="9"/>
  <c r="AT109" i="9"/>
  <c r="AT93" i="9"/>
  <c r="AT116" i="9"/>
  <c r="AT113" i="9"/>
  <c r="AT106" i="9"/>
  <c r="AT102" i="9"/>
  <c r="AT101" i="9"/>
  <c r="AT85" i="9"/>
  <c r="AT105" i="9"/>
  <c r="AT81" i="9"/>
  <c r="AT73" i="9"/>
  <c r="AT65" i="9"/>
  <c r="AT45" i="9"/>
  <c r="AT29" i="9"/>
  <c r="AT9" i="9"/>
  <c r="AT26" i="9"/>
  <c r="AT21" i="9"/>
  <c r="AT5" i="9"/>
  <c r="AT17" i="9"/>
  <c r="AT42" i="9"/>
  <c r="AT49" i="9"/>
  <c r="AT37" i="9"/>
  <c r="AT20" i="9"/>
  <c r="AT14" i="9"/>
  <c r="AT60" i="9"/>
  <c r="AT25" i="9"/>
  <c r="AT13" i="9"/>
  <c r="AT57" i="9"/>
  <c r="AT41" i="9"/>
  <c r="AT34" i="9"/>
  <c r="AT8" i="9"/>
  <c r="AT24" i="9"/>
  <c r="AT23" i="9"/>
  <c r="AT6" i="9"/>
  <c r="AT15" i="9"/>
  <c r="AT44" i="9"/>
  <c r="AT28" i="9"/>
  <c r="AT43" i="9"/>
  <c r="AT58" i="9"/>
  <c r="AT51" i="9"/>
  <c r="AT83" i="9"/>
  <c r="AT94" i="9"/>
  <c r="AT91" i="9"/>
  <c r="AT88" i="9"/>
  <c r="AT71" i="9"/>
  <c r="AT78" i="9"/>
  <c r="AT123" i="9"/>
  <c r="AT96" i="9"/>
  <c r="AT10" i="9"/>
  <c r="AT30" i="9"/>
  <c r="AT27" i="9"/>
  <c r="AT36" i="9"/>
  <c r="AT56" i="9"/>
  <c r="AT68" i="9"/>
  <c r="AT19" i="9"/>
  <c r="AT11" i="9"/>
  <c r="AT38" i="9"/>
  <c r="AT66" i="9"/>
  <c r="AT79" i="9"/>
  <c r="AT12" i="9"/>
  <c r="AT16" i="9"/>
  <c r="AT72" i="9"/>
  <c r="AT46" i="9"/>
  <c r="AT104" i="9"/>
  <c r="AT111" i="9"/>
  <c r="AT18" i="9"/>
  <c r="AT80" i="9"/>
  <c r="AT7" i="9"/>
  <c r="AT31" i="9"/>
  <c r="AT67" i="9"/>
  <c r="AT112" i="9"/>
  <c r="AT76" i="9"/>
  <c r="AT84" i="9"/>
  <c r="AT64" i="9"/>
  <c r="AT39" i="9"/>
  <c r="AT52" i="9"/>
  <c r="AT50" i="9"/>
  <c r="AT40" i="9"/>
  <c r="AT95" i="9"/>
  <c r="AT82" i="9"/>
  <c r="AT108" i="9"/>
  <c r="AT115" i="9"/>
  <c r="AT59" i="9"/>
  <c r="AT22" i="9"/>
  <c r="AT47" i="9"/>
  <c r="AT86" i="9"/>
  <c r="AT103" i="9"/>
  <c r="AT75" i="9"/>
  <c r="AT74" i="9"/>
  <c r="AT107" i="9"/>
  <c r="AT99" i="9"/>
  <c r="AT35" i="9"/>
  <c r="AT87" i="9"/>
  <c r="AT98" i="9"/>
  <c r="AT92" i="9"/>
  <c r="AT119" i="9"/>
  <c r="AT62" i="9"/>
  <c r="AT63" i="9"/>
  <c r="AT54" i="9"/>
  <c r="AT120" i="9"/>
  <c r="AT100" i="9"/>
  <c r="AT122" i="9"/>
  <c r="AT70" i="9"/>
  <c r="AT55" i="9"/>
  <c r="AT90" i="9"/>
  <c r="AT118" i="9"/>
  <c r="AT125" i="9"/>
  <c r="D47" i="22"/>
  <c r="AT309" i="9"/>
  <c r="AT305" i="9"/>
  <c r="AT312" i="9"/>
  <c r="AT308" i="9"/>
  <c r="AT310" i="9"/>
  <c r="AT306" i="9"/>
  <c r="AT307" i="9"/>
  <c r="AT311" i="9"/>
  <c r="AU11" i="20"/>
  <c r="AT11" i="8"/>
  <c r="D203" i="22"/>
  <c r="AT345" i="9"/>
  <c r="AT337" i="9"/>
  <c r="AT329" i="9"/>
  <c r="AT317" i="9"/>
  <c r="AT350" i="9"/>
  <c r="AT341" i="9"/>
  <c r="AT340" i="9"/>
  <c r="AT347" i="9"/>
  <c r="AT332" i="9"/>
  <c r="AT333" i="9"/>
  <c r="AT324" i="9"/>
  <c r="AT326" i="9"/>
  <c r="AT328" i="9"/>
  <c r="AT321" i="9"/>
  <c r="AT336" i="9"/>
  <c r="AT344" i="9"/>
  <c r="AT325" i="9"/>
  <c r="AT313" i="9"/>
  <c r="AT304" i="9"/>
  <c r="AT318" i="9"/>
  <c r="AT289" i="9"/>
  <c r="AT281" i="9"/>
  <c r="AT273" i="9"/>
  <c r="AT265" i="9"/>
  <c r="AT293" i="9"/>
  <c r="AT284" i="9"/>
  <c r="AT282" i="9"/>
  <c r="AT286" i="9"/>
  <c r="AT277" i="9"/>
  <c r="AT285" i="9"/>
  <c r="AT270" i="9"/>
  <c r="AT269" i="9"/>
  <c r="AT275" i="9"/>
  <c r="AT295" i="9"/>
  <c r="AT327" i="9"/>
  <c r="AT334" i="9"/>
  <c r="AT323" i="9"/>
  <c r="AT287" i="9"/>
  <c r="AT271" i="9"/>
  <c r="AT268" i="9"/>
  <c r="AT272" i="9"/>
  <c r="AT290" i="9"/>
  <c r="AT303" i="9"/>
  <c r="AT319" i="9"/>
  <c r="AT291" i="9"/>
  <c r="AT292" i="9"/>
  <c r="AT267" i="9"/>
  <c r="AT320" i="9"/>
  <c r="AT283" i="9"/>
  <c r="AT349" i="9"/>
  <c r="AT348" i="9"/>
  <c r="AT331" i="9"/>
  <c r="AT266" i="9"/>
  <c r="AT322" i="9"/>
  <c r="AT352" i="9"/>
  <c r="AT279" i="9"/>
  <c r="AT288" i="9"/>
  <c r="AT294" i="9"/>
  <c r="AT274" i="9"/>
  <c r="AT342" i="9"/>
  <c r="AT351" i="9"/>
  <c r="AT278" i="9"/>
  <c r="AT335" i="9"/>
  <c r="AT343" i="9"/>
  <c r="AT316" i="9"/>
  <c r="AT338" i="9"/>
  <c r="AT346" i="9"/>
  <c r="AT280" i="9"/>
  <c r="AT315" i="9"/>
  <c r="AT276" i="9"/>
  <c r="AT330" i="9"/>
  <c r="AT339" i="9"/>
  <c r="AT314" i="9"/>
  <c r="AU6" i="20"/>
  <c r="AT6" i="8"/>
  <c r="AU8" i="20"/>
  <c r="AT8" i="8"/>
  <c r="AU10" i="20"/>
  <c r="AT10" i="8"/>
  <c r="D255" i="22"/>
  <c r="AT386" i="9"/>
  <c r="AT383" i="9"/>
  <c r="AT382" i="9"/>
  <c r="AT126" i="9"/>
  <c r="AT161" i="9"/>
  <c r="AT153" i="9"/>
  <c r="AT145" i="9"/>
  <c r="AT169" i="9"/>
  <c r="AT165" i="9"/>
  <c r="AT164" i="9"/>
  <c r="AT157" i="9"/>
  <c r="AT156" i="9"/>
  <c r="AT149" i="9"/>
  <c r="AT148" i="9"/>
  <c r="AT141" i="9"/>
  <c r="AT140" i="9"/>
  <c r="AT137" i="9"/>
  <c r="AT132" i="9"/>
  <c r="AT130" i="9"/>
  <c r="AT133" i="9"/>
  <c r="AT129" i="9"/>
  <c r="AT127" i="9"/>
  <c r="AT138" i="9"/>
  <c r="AT128" i="9"/>
  <c r="AT135" i="9"/>
  <c r="AT139" i="9"/>
  <c r="AT155" i="9"/>
  <c r="AT150" i="9"/>
  <c r="AT166" i="9"/>
  <c r="AT147" i="9"/>
  <c r="AT154" i="9"/>
  <c r="AT159" i="9"/>
  <c r="AT131" i="9"/>
  <c r="AT152" i="9"/>
  <c r="AT168" i="9"/>
  <c r="AT143" i="9"/>
  <c r="AT146" i="9"/>
  <c r="AT163" i="9"/>
  <c r="AT151" i="9"/>
  <c r="AT134" i="9"/>
  <c r="AT142" i="9"/>
  <c r="AT144" i="9"/>
  <c r="AT162" i="9"/>
  <c r="AT160" i="9"/>
  <c r="AT158" i="9"/>
  <c r="AT167" i="9"/>
  <c r="AT136" i="9"/>
  <c r="AT385" i="9"/>
  <c r="AT381" i="9"/>
  <c r="AT384" i="9"/>
  <c r="AU7" i="20"/>
  <c r="AT7" i="8"/>
  <c r="F46" i="22"/>
  <c r="L46" i="22"/>
  <c r="K46" i="22"/>
  <c r="I46" i="22"/>
  <c r="J46" i="22"/>
  <c r="H46" i="22"/>
  <c r="G46" i="22"/>
  <c r="G98" i="22"/>
  <c r="L98" i="22"/>
  <c r="I98" i="22"/>
  <c r="H98" i="22"/>
  <c r="F98" i="22"/>
  <c r="K98" i="22"/>
  <c r="J98" i="22"/>
  <c r="AV7" i="20" l="1"/>
  <c r="AU7" i="8"/>
  <c r="L255" i="22"/>
  <c r="I255" i="22"/>
  <c r="K255" i="22"/>
  <c r="J255" i="22"/>
  <c r="H255" i="22"/>
  <c r="G255" i="22"/>
  <c r="F255" i="22"/>
  <c r="G203" i="22"/>
  <c r="L203" i="22"/>
  <c r="H203" i="22"/>
  <c r="F203" i="22"/>
  <c r="K203" i="22"/>
  <c r="J203" i="22"/>
  <c r="I203" i="22"/>
  <c r="AV5" i="20"/>
  <c r="AU5" i="8"/>
  <c r="J307" i="22"/>
  <c r="G307" i="22"/>
  <c r="H307" i="22"/>
  <c r="F307" i="22"/>
  <c r="L307" i="22"/>
  <c r="I307" i="22"/>
  <c r="K307" i="22"/>
  <c r="E50" i="19"/>
  <c r="D50" i="19"/>
  <c r="AW3" i="20" s="1"/>
  <c r="C50" i="19"/>
  <c r="B51" i="19"/>
  <c r="C362" i="22"/>
  <c r="C310" i="22"/>
  <c r="C258" i="22"/>
  <c r="C206" i="22"/>
  <c r="C102" i="22"/>
  <c r="C154" i="22"/>
  <c r="C50" i="22"/>
  <c r="AV2" i="20"/>
  <c r="L99" i="22"/>
  <c r="I99" i="22"/>
  <c r="H99" i="22"/>
  <c r="G99" i="22"/>
  <c r="F99" i="22"/>
  <c r="J99" i="22"/>
  <c r="K99" i="22"/>
  <c r="AV10" i="20"/>
  <c r="AU10" i="8"/>
  <c r="AV11" i="20"/>
  <c r="AU11" i="8"/>
  <c r="D204" i="22"/>
  <c r="AU350" i="9"/>
  <c r="AU341" i="9"/>
  <c r="AU340" i="9"/>
  <c r="AU347" i="9"/>
  <c r="AU345" i="9"/>
  <c r="AU338" i="9"/>
  <c r="AU337" i="9"/>
  <c r="AU330" i="9"/>
  <c r="AU329" i="9"/>
  <c r="AU317" i="9"/>
  <c r="AU333" i="9"/>
  <c r="AU326" i="9"/>
  <c r="AU334" i="9"/>
  <c r="AU328" i="9"/>
  <c r="AU321" i="9"/>
  <c r="AU319" i="9"/>
  <c r="AU325" i="9"/>
  <c r="AU323" i="9"/>
  <c r="AU304" i="9"/>
  <c r="AU332" i="9"/>
  <c r="AU313" i="9"/>
  <c r="AU289" i="9"/>
  <c r="AU281" i="9"/>
  <c r="AU273" i="9"/>
  <c r="AU265" i="9"/>
  <c r="AU293" i="9"/>
  <c r="AU291" i="9"/>
  <c r="AU284" i="9"/>
  <c r="AU286" i="9"/>
  <c r="AU277" i="9"/>
  <c r="AU285" i="9"/>
  <c r="AU283" i="9"/>
  <c r="AU270" i="9"/>
  <c r="AU269" i="9"/>
  <c r="AU272" i="9"/>
  <c r="AU279" i="9"/>
  <c r="AU287" i="9"/>
  <c r="AU315" i="9"/>
  <c r="AU327" i="9"/>
  <c r="AU294" i="9"/>
  <c r="AU274" i="9"/>
  <c r="AU292" i="9"/>
  <c r="AU290" i="9"/>
  <c r="AU275" i="9"/>
  <c r="AU324" i="9"/>
  <c r="AU349" i="9"/>
  <c r="AU352" i="9"/>
  <c r="AU335" i="9"/>
  <c r="AU280" i="9"/>
  <c r="AU318" i="9"/>
  <c r="AU344" i="9"/>
  <c r="AU343" i="9"/>
  <c r="AU271" i="9"/>
  <c r="AU288" i="9"/>
  <c r="AU266" i="9"/>
  <c r="AU351" i="9"/>
  <c r="AU346" i="9"/>
  <c r="AU295" i="9"/>
  <c r="AU339" i="9"/>
  <c r="AU336" i="9"/>
  <c r="AU314" i="9"/>
  <c r="AU303" i="9"/>
  <c r="AU331" i="9"/>
  <c r="AU278" i="9"/>
  <c r="AU316" i="9"/>
  <c r="AU342" i="9"/>
  <c r="AU348" i="9"/>
  <c r="AU320" i="9"/>
  <c r="AU276" i="9"/>
  <c r="AU282" i="9"/>
  <c r="AU268" i="9"/>
  <c r="AU267" i="9"/>
  <c r="AU322" i="9"/>
  <c r="AV8" i="20"/>
  <c r="AU8" i="8"/>
  <c r="D100" i="22"/>
  <c r="AU301" i="9"/>
  <c r="AU297" i="9"/>
  <c r="AU257" i="9"/>
  <c r="AU249" i="9"/>
  <c r="AU241" i="9"/>
  <c r="AU233" i="9"/>
  <c r="AU225" i="9"/>
  <c r="AU253" i="9"/>
  <c r="AU245" i="9"/>
  <c r="AU237" i="9"/>
  <c r="AU229" i="9"/>
  <c r="AU263" i="9"/>
  <c r="AU254" i="9"/>
  <c r="AU246" i="9"/>
  <c r="AU238" i="9"/>
  <c r="AU262" i="9"/>
  <c r="AU261" i="9"/>
  <c r="AU255" i="9"/>
  <c r="AU247" i="9"/>
  <c r="AU239" i="9"/>
  <c r="AU221" i="9"/>
  <c r="AU220" i="9"/>
  <c r="AU213" i="9"/>
  <c r="AU212" i="9"/>
  <c r="AU205" i="9"/>
  <c r="AU204" i="9"/>
  <c r="AU197" i="9"/>
  <c r="AU196" i="9"/>
  <c r="AU180" i="9"/>
  <c r="AU208" i="9"/>
  <c r="AU173" i="9"/>
  <c r="AU216" i="9"/>
  <c r="AU199" i="9"/>
  <c r="AU209" i="9"/>
  <c r="AU200" i="9"/>
  <c r="AU187" i="9"/>
  <c r="AU215" i="9"/>
  <c r="AU231" i="9"/>
  <c r="AU201" i="9"/>
  <c r="AU230" i="9"/>
  <c r="AU222" i="9"/>
  <c r="AU193" i="9"/>
  <c r="AU207" i="9"/>
  <c r="AU177" i="9"/>
  <c r="AU182" i="9"/>
  <c r="AU170" i="9"/>
  <c r="AU188" i="9"/>
  <c r="AU191" i="9"/>
  <c r="AU184" i="9"/>
  <c r="AU192" i="9"/>
  <c r="AU189" i="9"/>
  <c r="AU172" i="9"/>
  <c r="AU190" i="9"/>
  <c r="AU178" i="9"/>
  <c r="AU183" i="9"/>
  <c r="AU202" i="9"/>
  <c r="AU174" i="9"/>
  <c r="AU179" i="9"/>
  <c r="AU211" i="9"/>
  <c r="AU210" i="9"/>
  <c r="AU218" i="9"/>
  <c r="AU260" i="9"/>
  <c r="AU296" i="9"/>
  <c r="AU298" i="9"/>
  <c r="AU299" i="9"/>
  <c r="AU175" i="9"/>
  <c r="AU232" i="9"/>
  <c r="AU244" i="9"/>
  <c r="AU227" i="9"/>
  <c r="AU259" i="9"/>
  <c r="AU181" i="9"/>
  <c r="AU300" i="9"/>
  <c r="AU195" i="9"/>
  <c r="AU224" i="9"/>
  <c r="AU250" i="9"/>
  <c r="AU256" i="9"/>
  <c r="AU264" i="9"/>
  <c r="AU176" i="9"/>
  <c r="AU203" i="9"/>
  <c r="AU240" i="9"/>
  <c r="AU243" i="9"/>
  <c r="AU194" i="9"/>
  <c r="AU217" i="9"/>
  <c r="AU234" i="9"/>
  <c r="AU235" i="9"/>
  <c r="AU185" i="9"/>
  <c r="AU223" i="9"/>
  <c r="AU219" i="9"/>
  <c r="AU226" i="9"/>
  <c r="AU258" i="9"/>
  <c r="AU171" i="9"/>
  <c r="AU186" i="9"/>
  <c r="AU228" i="9"/>
  <c r="AU242" i="9"/>
  <c r="AU251" i="9"/>
  <c r="AU214" i="9"/>
  <c r="AU302" i="9"/>
  <c r="AU252" i="9"/>
  <c r="AU206" i="9"/>
  <c r="AU248" i="9"/>
  <c r="AU198" i="9"/>
  <c r="AU236" i="9"/>
  <c r="H151" i="22"/>
  <c r="G151" i="22"/>
  <c r="F151" i="22"/>
  <c r="L151" i="22"/>
  <c r="J151" i="22"/>
  <c r="K151" i="22"/>
  <c r="I151" i="22"/>
  <c r="AV6" i="20"/>
  <c r="AU6" i="8"/>
  <c r="K359" i="22"/>
  <c r="J359" i="22"/>
  <c r="I359" i="22"/>
  <c r="H359" i="22"/>
  <c r="F359" i="22"/>
  <c r="G359" i="22"/>
  <c r="L359" i="22"/>
  <c r="D256" i="22"/>
  <c r="AU382" i="9"/>
  <c r="AU383" i="9"/>
  <c r="AU381" i="9"/>
  <c r="AU165" i="9"/>
  <c r="AU157" i="9"/>
  <c r="AU149" i="9"/>
  <c r="AU141" i="9"/>
  <c r="AU133" i="9"/>
  <c r="AU161" i="9"/>
  <c r="AU153" i="9"/>
  <c r="AU145" i="9"/>
  <c r="AU137" i="9"/>
  <c r="AU129" i="9"/>
  <c r="AU169" i="9"/>
  <c r="AU155" i="9"/>
  <c r="AU147" i="9"/>
  <c r="AU139" i="9"/>
  <c r="AU144" i="9"/>
  <c r="AU154" i="9"/>
  <c r="AU127" i="9"/>
  <c r="AU160" i="9"/>
  <c r="AU146" i="9"/>
  <c r="AU132" i="9"/>
  <c r="AU134" i="9"/>
  <c r="AU140" i="9"/>
  <c r="AU142" i="9"/>
  <c r="AU156" i="9"/>
  <c r="AU158" i="9"/>
  <c r="AU168" i="9"/>
  <c r="AU162" i="9"/>
  <c r="AU143" i="9"/>
  <c r="AU130" i="9"/>
  <c r="AU167" i="9"/>
  <c r="AU135" i="9"/>
  <c r="AU128" i="9"/>
  <c r="AU136" i="9"/>
  <c r="AU163" i="9"/>
  <c r="AU164" i="9"/>
  <c r="AU138" i="9"/>
  <c r="AU166" i="9"/>
  <c r="AU159" i="9"/>
  <c r="AU151" i="9"/>
  <c r="AU148" i="9"/>
  <c r="AU150" i="9"/>
  <c r="AU126" i="9"/>
  <c r="AU152" i="9"/>
  <c r="AU385" i="9"/>
  <c r="AU131" i="9"/>
  <c r="AU384" i="9"/>
  <c r="AU386" i="9"/>
  <c r="D308" i="22"/>
  <c r="AU358" i="9"/>
  <c r="AU361" i="9"/>
  <c r="AU372" i="9"/>
  <c r="AU354" i="9"/>
  <c r="AU353" i="9"/>
  <c r="AU355" i="9"/>
  <c r="AU357" i="9"/>
  <c r="AU356" i="9"/>
  <c r="AU373" i="9"/>
  <c r="AU360" i="9"/>
  <c r="AU359" i="9"/>
  <c r="AU374" i="9"/>
  <c r="D360" i="22"/>
  <c r="AU375" i="9"/>
  <c r="AU379" i="9"/>
  <c r="AU377" i="9"/>
  <c r="AU387" i="9"/>
  <c r="AU371" i="9"/>
  <c r="AU388" i="9"/>
  <c r="AU367" i="9"/>
  <c r="AU365" i="9"/>
  <c r="AU368" i="9"/>
  <c r="AU363" i="9"/>
  <c r="AU376" i="9"/>
  <c r="AU366" i="9"/>
  <c r="AU380" i="9"/>
  <c r="AU362" i="9"/>
  <c r="AU370" i="9"/>
  <c r="AU369" i="9"/>
  <c r="AU378" i="9"/>
  <c r="AU364" i="9"/>
  <c r="J47" i="22"/>
  <c r="L47" i="22"/>
  <c r="K47" i="22"/>
  <c r="I47" i="22"/>
  <c r="H47" i="22"/>
  <c r="F47" i="22"/>
  <c r="G47" i="22"/>
  <c r="D152" i="22"/>
  <c r="AU117" i="9"/>
  <c r="AU109" i="9"/>
  <c r="AU101" i="9"/>
  <c r="AU33" i="9"/>
  <c r="AU121" i="9"/>
  <c r="AU89" i="9"/>
  <c r="AU77" i="9"/>
  <c r="AU69" i="9"/>
  <c r="AU61" i="9"/>
  <c r="AU53" i="9"/>
  <c r="AU34" i="9"/>
  <c r="AU93" i="9"/>
  <c r="AU90" i="9"/>
  <c r="AU113" i="9"/>
  <c r="AU106" i="9"/>
  <c r="AU94" i="9"/>
  <c r="AU85" i="9"/>
  <c r="AU105" i="9"/>
  <c r="AU82" i="9"/>
  <c r="AU81" i="9"/>
  <c r="AU74" i="9"/>
  <c r="AU95" i="9"/>
  <c r="AU86" i="9"/>
  <c r="AU80" i="9"/>
  <c r="AU72" i="9"/>
  <c r="AU64" i="9"/>
  <c r="AU97" i="9"/>
  <c r="AU45" i="9"/>
  <c r="AU35" i="9"/>
  <c r="AU21" i="9"/>
  <c r="AU5" i="9"/>
  <c r="AU17" i="9"/>
  <c r="AU49" i="9"/>
  <c r="AU66" i="9"/>
  <c r="AU40" i="9"/>
  <c r="AU37" i="9"/>
  <c r="AU28" i="9"/>
  <c r="AU56" i="9"/>
  <c r="AU29" i="9"/>
  <c r="AU25" i="9"/>
  <c r="AU13" i="9"/>
  <c r="AU57" i="9"/>
  <c r="AU41" i="9"/>
  <c r="AU10" i="9"/>
  <c r="AU73" i="9"/>
  <c r="AU65" i="9"/>
  <c r="AU9" i="9"/>
  <c r="AU36" i="9"/>
  <c r="AU14" i="9"/>
  <c r="AU52" i="9"/>
  <c r="AU112" i="9"/>
  <c r="AU118" i="9"/>
  <c r="AU79" i="9"/>
  <c r="AU62" i="9"/>
  <c r="AU32" i="9"/>
  <c r="AU47" i="9"/>
  <c r="AU102" i="9"/>
  <c r="AU124" i="9"/>
  <c r="AU43" i="9"/>
  <c r="AU18" i="9"/>
  <c r="AU23" i="9"/>
  <c r="AU115" i="9"/>
  <c r="AU122" i="9"/>
  <c r="AU84" i="9"/>
  <c r="AU50" i="9"/>
  <c r="AU27" i="9"/>
  <c r="AU6" i="9"/>
  <c r="AU22" i="9"/>
  <c r="AU103" i="9"/>
  <c r="AU67" i="9"/>
  <c r="AU110" i="9"/>
  <c r="AU108" i="9"/>
  <c r="AU91" i="9"/>
  <c r="AU99" i="9"/>
  <c r="AU38" i="9"/>
  <c r="AU15" i="9"/>
  <c r="AU16" i="9"/>
  <c r="AU46" i="9"/>
  <c r="AU60" i="9"/>
  <c r="AU30" i="9"/>
  <c r="AU44" i="9"/>
  <c r="AU19" i="9"/>
  <c r="AU92" i="9"/>
  <c r="AU88" i="9"/>
  <c r="AU59" i="9"/>
  <c r="AU68" i="9"/>
  <c r="AU20" i="9"/>
  <c r="AU51" i="9"/>
  <c r="AU8" i="9"/>
  <c r="AU26" i="9"/>
  <c r="AU83" i="9"/>
  <c r="AU111" i="9"/>
  <c r="AU12" i="9"/>
  <c r="AU24" i="9"/>
  <c r="AU7" i="9"/>
  <c r="AU39" i="9"/>
  <c r="AU58" i="9"/>
  <c r="AU42" i="9"/>
  <c r="AU104" i="9"/>
  <c r="AU123" i="9"/>
  <c r="AU120" i="9"/>
  <c r="AU55" i="9"/>
  <c r="AU78" i="9"/>
  <c r="AU96" i="9"/>
  <c r="AU107" i="9"/>
  <c r="AU75" i="9"/>
  <c r="AU54" i="9"/>
  <c r="AU70" i="9"/>
  <c r="AU48" i="9"/>
  <c r="AU116" i="9"/>
  <c r="AU114" i="9"/>
  <c r="AU76" i="9"/>
  <c r="AU100" i="9"/>
  <c r="AU71" i="9"/>
  <c r="AU11" i="9"/>
  <c r="AU31" i="9"/>
  <c r="AU87" i="9"/>
  <c r="AU98" i="9"/>
  <c r="AU125" i="9"/>
  <c r="AU63" i="9"/>
  <c r="AU119" i="9"/>
  <c r="D48" i="22"/>
  <c r="AU309" i="9"/>
  <c r="AU312" i="9"/>
  <c r="AU305" i="9"/>
  <c r="AU306" i="9"/>
  <c r="AU311" i="9"/>
  <c r="AU310" i="9"/>
  <c r="AU307" i="9"/>
  <c r="AU308" i="9"/>
  <c r="AV9" i="20"/>
  <c r="AU9" i="8"/>
  <c r="G48" i="22" l="1"/>
  <c r="J48" i="22"/>
  <c r="I48" i="22"/>
  <c r="H48" i="22"/>
  <c r="F48" i="22"/>
  <c r="K48" i="22"/>
  <c r="L48" i="22"/>
  <c r="D361" i="22"/>
  <c r="AV379" i="9"/>
  <c r="AV375" i="9"/>
  <c r="AV387" i="9"/>
  <c r="AV371" i="9"/>
  <c r="AV365" i="9"/>
  <c r="AV367" i="9"/>
  <c r="AV369" i="9"/>
  <c r="AV362" i="9"/>
  <c r="AV380" i="9"/>
  <c r="AV378" i="9"/>
  <c r="AV368" i="9"/>
  <c r="AV370" i="9"/>
  <c r="AV388" i="9"/>
  <c r="AV366" i="9"/>
  <c r="AV364" i="9"/>
  <c r="AV363" i="9"/>
  <c r="AV377" i="9"/>
  <c r="AV376" i="9"/>
  <c r="G308" i="22"/>
  <c r="F308" i="22"/>
  <c r="I308" i="22"/>
  <c r="H308" i="22"/>
  <c r="L308" i="22"/>
  <c r="K308" i="22"/>
  <c r="J308" i="22"/>
  <c r="AW11" i="20"/>
  <c r="AV11" i="8"/>
  <c r="D309" i="22"/>
  <c r="AV361" i="9"/>
  <c r="AV373" i="9"/>
  <c r="AV358" i="9"/>
  <c r="AV354" i="9"/>
  <c r="AV355" i="9"/>
  <c r="AV360" i="9"/>
  <c r="AV372" i="9"/>
  <c r="AV356" i="9"/>
  <c r="AV359" i="9"/>
  <c r="AV357" i="9"/>
  <c r="AV353" i="9"/>
  <c r="AV374" i="9"/>
  <c r="I100" i="22"/>
  <c r="F100" i="22"/>
  <c r="H100" i="22"/>
  <c r="G100" i="22"/>
  <c r="L100" i="22"/>
  <c r="K100" i="22"/>
  <c r="J100" i="22"/>
  <c r="AW10" i="20"/>
  <c r="AV10" i="8"/>
  <c r="C51" i="19"/>
  <c r="E51" i="19"/>
  <c r="B52" i="19"/>
  <c r="D51" i="19"/>
  <c r="AX3" i="20" s="1"/>
  <c r="D205" i="22"/>
  <c r="AV350" i="9"/>
  <c r="AV321" i="9"/>
  <c r="AV347" i="9"/>
  <c r="AV345" i="9"/>
  <c r="AV330" i="9"/>
  <c r="AV285" i="9"/>
  <c r="AV334" i="9"/>
  <c r="AV331" i="9"/>
  <c r="AV343" i="9"/>
  <c r="AV341" i="9"/>
  <c r="AV325" i="9"/>
  <c r="AV313" i="9"/>
  <c r="AV337" i="9"/>
  <c r="AV342" i="9"/>
  <c r="AV338" i="9"/>
  <c r="AV339" i="9"/>
  <c r="AV333" i="9"/>
  <c r="AV329" i="9"/>
  <c r="AV314" i="9"/>
  <c r="AV293" i="9"/>
  <c r="AV291" i="9"/>
  <c r="AV295" i="9"/>
  <c r="AV286" i="9"/>
  <c r="AV277" i="9"/>
  <c r="AV317" i="9"/>
  <c r="AV289" i="9"/>
  <c r="AV281" i="9"/>
  <c r="AV273" i="9"/>
  <c r="AV265" i="9"/>
  <c r="AV269" i="9"/>
  <c r="AV276" i="9"/>
  <c r="AV327" i="9"/>
  <c r="AV284" i="9"/>
  <c r="AV270" i="9"/>
  <c r="AV324" i="9"/>
  <c r="AV336" i="9"/>
  <c r="AV349" i="9"/>
  <c r="AV352" i="9"/>
  <c r="AV275" i="9"/>
  <c r="AV271" i="9"/>
  <c r="AV267" i="9"/>
  <c r="AV274" i="9"/>
  <c r="AV272" i="9"/>
  <c r="AV266" i="9"/>
  <c r="AV283" i="9"/>
  <c r="AV344" i="9"/>
  <c r="AV288" i="9"/>
  <c r="AV332" i="9"/>
  <c r="AV287" i="9"/>
  <c r="AV268" i="9"/>
  <c r="AV323" i="9"/>
  <c r="AV319" i="9"/>
  <c r="AV279" i="9"/>
  <c r="AV282" i="9"/>
  <c r="AV326" i="9"/>
  <c r="AV322" i="9"/>
  <c r="AV335" i="9"/>
  <c r="AV346" i="9"/>
  <c r="AV280" i="9"/>
  <c r="AV290" i="9"/>
  <c r="AV340" i="9"/>
  <c r="AV320" i="9"/>
  <c r="AV292" i="9"/>
  <c r="AV303" i="9"/>
  <c r="AV315" i="9"/>
  <c r="AV316" i="9"/>
  <c r="AV348" i="9"/>
  <c r="AV278" i="9"/>
  <c r="AV304" i="9"/>
  <c r="AV328" i="9"/>
  <c r="AV294" i="9"/>
  <c r="AV318" i="9"/>
  <c r="AV351" i="9"/>
  <c r="AW6" i="20"/>
  <c r="AV6" i="8"/>
  <c r="AW8" i="20"/>
  <c r="AV8" i="8"/>
  <c r="D101" i="22"/>
  <c r="AV301" i="9"/>
  <c r="AV299" i="9"/>
  <c r="AV297" i="9"/>
  <c r="AV257" i="9"/>
  <c r="AV249" i="9"/>
  <c r="AV241" i="9"/>
  <c r="AV233" i="9"/>
  <c r="AV225" i="9"/>
  <c r="AV184" i="9"/>
  <c r="AV263" i="9"/>
  <c r="AV254" i="9"/>
  <c r="AV246" i="9"/>
  <c r="AV222" i="9"/>
  <c r="AV262" i="9"/>
  <c r="AV261" i="9"/>
  <c r="AV247" i="9"/>
  <c r="AV253" i="9"/>
  <c r="AV245" i="9"/>
  <c r="AV237" i="9"/>
  <c r="AV229" i="9"/>
  <c r="AV216" i="9"/>
  <c r="AV214" i="9"/>
  <c r="AV205" i="9"/>
  <c r="AV209" i="9"/>
  <c r="AV206" i="9"/>
  <c r="AV200" i="9"/>
  <c r="AV196" i="9"/>
  <c r="AV223" i="9"/>
  <c r="AV220" i="9"/>
  <c r="AV197" i="9"/>
  <c r="AV189" i="9"/>
  <c r="AV198" i="9"/>
  <c r="AV192" i="9"/>
  <c r="AV212" i="9"/>
  <c r="AV202" i="9"/>
  <c r="AV193" i="9"/>
  <c r="AV213" i="9"/>
  <c r="AV221" i="9"/>
  <c r="AV208" i="9"/>
  <c r="AV204" i="9"/>
  <c r="AV173" i="9"/>
  <c r="AV188" i="9"/>
  <c r="AV180" i="9"/>
  <c r="AV177" i="9"/>
  <c r="AV171" i="9"/>
  <c r="AV186" i="9"/>
  <c r="AV194" i="9"/>
  <c r="AV185" i="9"/>
  <c r="AV183" i="9"/>
  <c r="AV179" i="9"/>
  <c r="AV174" i="9"/>
  <c r="AV201" i="9"/>
  <c r="AV178" i="9"/>
  <c r="AV176" i="9"/>
  <c r="AV234" i="9"/>
  <c r="AV256" i="9"/>
  <c r="AV238" i="9"/>
  <c r="AV243" i="9"/>
  <c r="AV211" i="9"/>
  <c r="AV203" i="9"/>
  <c r="AV226" i="9"/>
  <c r="AV240" i="9"/>
  <c r="AV230" i="9"/>
  <c r="AV235" i="9"/>
  <c r="AV259" i="9"/>
  <c r="AV172" i="9"/>
  <c r="AV228" i="9"/>
  <c r="AV219" i="9"/>
  <c r="AV258" i="9"/>
  <c r="AV217" i="9"/>
  <c r="AV218" i="9"/>
  <c r="AV215" i="9"/>
  <c r="AV242" i="9"/>
  <c r="AV251" i="9"/>
  <c r="AV191" i="9"/>
  <c r="AV181" i="9"/>
  <c r="AV207" i="9"/>
  <c r="AV248" i="9"/>
  <c r="AV236" i="9"/>
  <c r="AV170" i="9"/>
  <c r="AV199" i="9"/>
  <c r="AV252" i="9"/>
  <c r="AV182" i="9"/>
  <c r="AV210" i="9"/>
  <c r="AV187" i="9"/>
  <c r="AV232" i="9"/>
  <c r="AV250" i="9"/>
  <c r="AV231" i="9"/>
  <c r="AV239" i="9"/>
  <c r="AV255" i="9"/>
  <c r="AV227" i="9"/>
  <c r="AV302" i="9"/>
  <c r="AV260" i="9"/>
  <c r="AV296" i="9"/>
  <c r="AV224" i="9"/>
  <c r="AV190" i="9"/>
  <c r="AV300" i="9"/>
  <c r="AV175" i="9"/>
  <c r="AV264" i="9"/>
  <c r="AV195" i="9"/>
  <c r="AV244" i="9"/>
  <c r="AV298" i="9"/>
  <c r="C363" i="22"/>
  <c r="C311" i="22"/>
  <c r="C259" i="22"/>
  <c r="C207" i="22"/>
  <c r="C155" i="22"/>
  <c r="C103" i="22"/>
  <c r="C51" i="22"/>
  <c r="AW2" i="20"/>
  <c r="D49" i="22"/>
  <c r="AV305" i="9"/>
  <c r="AV309" i="9"/>
  <c r="AV308" i="9"/>
  <c r="AV311" i="9"/>
  <c r="AV306" i="9"/>
  <c r="AV312" i="9"/>
  <c r="AV310" i="9"/>
  <c r="AV307" i="9"/>
  <c r="D153" i="22"/>
  <c r="AV117" i="9"/>
  <c r="AV109" i="9"/>
  <c r="AV101" i="9"/>
  <c r="AV93" i="9"/>
  <c r="AV85" i="9"/>
  <c r="AV121" i="9"/>
  <c r="AV89" i="9"/>
  <c r="AV77" i="9"/>
  <c r="AV69" i="9"/>
  <c r="AV61" i="9"/>
  <c r="AV53" i="9"/>
  <c r="AV37" i="9"/>
  <c r="AV125" i="9"/>
  <c r="AV113" i="9"/>
  <c r="AV106" i="9"/>
  <c r="AV123" i="9"/>
  <c r="AV105" i="9"/>
  <c r="AV83" i="9"/>
  <c r="AV82" i="9"/>
  <c r="AV81" i="9"/>
  <c r="AV97" i="9"/>
  <c r="AV33" i="9"/>
  <c r="AV21" i="9"/>
  <c r="AV5" i="9"/>
  <c r="AV17" i="9"/>
  <c r="AV49" i="9"/>
  <c r="AV14" i="9"/>
  <c r="AV25" i="9"/>
  <c r="AV66" i="9"/>
  <c r="AV11" i="9"/>
  <c r="AV74" i="9"/>
  <c r="AV50" i="9"/>
  <c r="AV29" i="9"/>
  <c r="AV75" i="9"/>
  <c r="AV57" i="9"/>
  <c r="AV41" i="9"/>
  <c r="AV10" i="9"/>
  <c r="AV73" i="9"/>
  <c r="AV67" i="9"/>
  <c r="AV65" i="9"/>
  <c r="AV38" i="9"/>
  <c r="AV30" i="9"/>
  <c r="AV9" i="9"/>
  <c r="AV7" i="9"/>
  <c r="AV45" i="9"/>
  <c r="AV26" i="9"/>
  <c r="AV13" i="9"/>
  <c r="AV18" i="9"/>
  <c r="AV15" i="9"/>
  <c r="AV108" i="9"/>
  <c r="AV35" i="9"/>
  <c r="AV62" i="9"/>
  <c r="AV99" i="9"/>
  <c r="AV12" i="9"/>
  <c r="AV19" i="9"/>
  <c r="AV47" i="9"/>
  <c r="AV111" i="9"/>
  <c r="AV51" i="9"/>
  <c r="AV6" i="9"/>
  <c r="AV46" i="9"/>
  <c r="AV52" i="9"/>
  <c r="AV58" i="9"/>
  <c r="AV92" i="9"/>
  <c r="AV88" i="9"/>
  <c r="AV91" i="9"/>
  <c r="AV96" i="9"/>
  <c r="AV114" i="9"/>
  <c r="AV22" i="9"/>
  <c r="AV16" i="9"/>
  <c r="AV43" i="9"/>
  <c r="AV59" i="9"/>
  <c r="AV98" i="9"/>
  <c r="AV86" i="9"/>
  <c r="AV122" i="9"/>
  <c r="AV118" i="9"/>
  <c r="AV100" i="9"/>
  <c r="AV40" i="9"/>
  <c r="AV39" i="9"/>
  <c r="AV95" i="9"/>
  <c r="AV115" i="9"/>
  <c r="AV94" i="9"/>
  <c r="AV24" i="9"/>
  <c r="AV44" i="9"/>
  <c r="AV28" i="9"/>
  <c r="AV20" i="9"/>
  <c r="AV23" i="9"/>
  <c r="AV31" i="9"/>
  <c r="AV84" i="9"/>
  <c r="AV112" i="9"/>
  <c r="AV68" i="9"/>
  <c r="AV36" i="9"/>
  <c r="AV8" i="9"/>
  <c r="AV90" i="9"/>
  <c r="AV78" i="9"/>
  <c r="AV107" i="9"/>
  <c r="AV103" i="9"/>
  <c r="AV55" i="9"/>
  <c r="AV27" i="9"/>
  <c r="AV120" i="9"/>
  <c r="AV63" i="9"/>
  <c r="AV71" i="9"/>
  <c r="AV42" i="9"/>
  <c r="AV87" i="9"/>
  <c r="AV48" i="9"/>
  <c r="AV104" i="9"/>
  <c r="AV119" i="9"/>
  <c r="AV110" i="9"/>
  <c r="AV116" i="9"/>
  <c r="AV54" i="9"/>
  <c r="AV102" i="9"/>
  <c r="AV60" i="9"/>
  <c r="AV64" i="9"/>
  <c r="AV32" i="9"/>
  <c r="AV70" i="9"/>
  <c r="AV76" i="9"/>
  <c r="AV72" i="9"/>
  <c r="AV34" i="9"/>
  <c r="AV79" i="9"/>
  <c r="AV124" i="9"/>
  <c r="AV56" i="9"/>
  <c r="AV80" i="9"/>
  <c r="J152" i="22"/>
  <c r="F152" i="22"/>
  <c r="L152" i="22"/>
  <c r="K152" i="22"/>
  <c r="I152" i="22"/>
  <c r="H152" i="22"/>
  <c r="G152" i="22"/>
  <c r="H360" i="22"/>
  <c r="G360" i="22"/>
  <c r="F360" i="22"/>
  <c r="K360" i="22"/>
  <c r="J360" i="22"/>
  <c r="I360" i="22"/>
  <c r="L360" i="22"/>
  <c r="J256" i="22"/>
  <c r="I256" i="22"/>
  <c r="F256" i="22"/>
  <c r="L256" i="22"/>
  <c r="K256" i="22"/>
  <c r="H256" i="22"/>
  <c r="G256" i="22"/>
  <c r="D257" i="22"/>
  <c r="AV383" i="9"/>
  <c r="AV385" i="9"/>
  <c r="AV165" i="9"/>
  <c r="AV157" i="9"/>
  <c r="AV149" i="9"/>
  <c r="AV141" i="9"/>
  <c r="AV133" i="9"/>
  <c r="AV161" i="9"/>
  <c r="AV153" i="9"/>
  <c r="AV145" i="9"/>
  <c r="AV137" i="9"/>
  <c r="AV129" i="9"/>
  <c r="AV169" i="9"/>
  <c r="AV162" i="9"/>
  <c r="AV154" i="9"/>
  <c r="AV146" i="9"/>
  <c r="AV138" i="9"/>
  <c r="AV130" i="9"/>
  <c r="AV135" i="9"/>
  <c r="AV127" i="9"/>
  <c r="AV131" i="9"/>
  <c r="AV128" i="9"/>
  <c r="AV163" i="9"/>
  <c r="AV147" i="9"/>
  <c r="AV152" i="9"/>
  <c r="AV151" i="9"/>
  <c r="AV150" i="9"/>
  <c r="AV166" i="9"/>
  <c r="AV136" i="9"/>
  <c r="AV139" i="9"/>
  <c r="AV160" i="9"/>
  <c r="AV144" i="9"/>
  <c r="AV143" i="9"/>
  <c r="AV132" i="9"/>
  <c r="AV140" i="9"/>
  <c r="AV156" i="9"/>
  <c r="AV155" i="9"/>
  <c r="AV167" i="9"/>
  <c r="AV158" i="9"/>
  <c r="AV168" i="9"/>
  <c r="AV159" i="9"/>
  <c r="AV164" i="9"/>
  <c r="AV126" i="9"/>
  <c r="AV134" i="9"/>
  <c r="AV142" i="9"/>
  <c r="AV148" i="9"/>
  <c r="AV381" i="9"/>
  <c r="AV382" i="9"/>
  <c r="AV384" i="9"/>
  <c r="AV386" i="9"/>
  <c r="AW9" i="20"/>
  <c r="AV9" i="8"/>
  <c r="L204" i="22"/>
  <c r="I204" i="22"/>
  <c r="G204" i="22"/>
  <c r="F204" i="22"/>
  <c r="K204" i="22"/>
  <c r="J204" i="22"/>
  <c r="H204" i="22"/>
  <c r="AW5" i="20"/>
  <c r="AV5" i="8"/>
  <c r="AW7" i="20"/>
  <c r="AV7" i="8"/>
  <c r="G257" i="22" l="1"/>
  <c r="H257" i="22"/>
  <c r="L257" i="22"/>
  <c r="K257" i="22"/>
  <c r="J257" i="22"/>
  <c r="I257" i="22"/>
  <c r="F257" i="22"/>
  <c r="D50" i="22"/>
  <c r="AW309" i="9"/>
  <c r="AW307" i="9"/>
  <c r="AW305" i="9"/>
  <c r="AW306" i="9"/>
  <c r="AW312" i="9"/>
  <c r="AW308" i="9"/>
  <c r="AW311" i="9"/>
  <c r="AW310" i="9"/>
  <c r="AX6" i="20"/>
  <c r="AW6" i="8"/>
  <c r="AX10" i="20"/>
  <c r="AW10" i="8"/>
  <c r="L361" i="22"/>
  <c r="K361" i="22"/>
  <c r="J361" i="22"/>
  <c r="H361" i="22"/>
  <c r="F361" i="22"/>
  <c r="I361" i="22"/>
  <c r="G361" i="22"/>
  <c r="I205" i="22"/>
  <c r="F205" i="22"/>
  <c r="G205" i="22"/>
  <c r="L205" i="22"/>
  <c r="K205" i="22"/>
  <c r="J205" i="22"/>
  <c r="H205" i="22"/>
  <c r="AX9" i="20"/>
  <c r="AW9" i="8"/>
  <c r="J153" i="22"/>
  <c r="G153" i="22"/>
  <c r="L153" i="22"/>
  <c r="K153" i="22"/>
  <c r="I153" i="22"/>
  <c r="F153" i="22"/>
  <c r="H153" i="22"/>
  <c r="F101" i="22"/>
  <c r="K101" i="22"/>
  <c r="H101" i="22"/>
  <c r="G101" i="22"/>
  <c r="J101" i="22"/>
  <c r="I101" i="22"/>
  <c r="L101" i="22"/>
  <c r="B53" i="19"/>
  <c r="E52" i="19"/>
  <c r="D52" i="19"/>
  <c r="AY3" i="20" s="1"/>
  <c r="C52" i="19"/>
  <c r="L309" i="22"/>
  <c r="I309" i="22"/>
  <c r="H309" i="22"/>
  <c r="G309" i="22"/>
  <c r="F309" i="22"/>
  <c r="K309" i="22"/>
  <c r="J309" i="22"/>
  <c r="AX5" i="20"/>
  <c r="AW5" i="8"/>
  <c r="D206" i="22"/>
  <c r="AW350" i="9"/>
  <c r="AW347" i="9"/>
  <c r="AW345" i="9"/>
  <c r="AW346" i="9"/>
  <c r="AW321" i="9"/>
  <c r="AW319" i="9"/>
  <c r="AW331" i="9"/>
  <c r="AW343" i="9"/>
  <c r="AW341" i="9"/>
  <c r="AW328" i="9"/>
  <c r="AW351" i="9"/>
  <c r="AW335" i="9"/>
  <c r="AW325" i="9"/>
  <c r="AW323" i="9"/>
  <c r="AW316" i="9"/>
  <c r="AW313" i="9"/>
  <c r="AW317" i="9"/>
  <c r="AW337" i="9"/>
  <c r="AW327" i="9"/>
  <c r="AW342" i="9"/>
  <c r="AW338" i="9"/>
  <c r="AW339" i="9"/>
  <c r="AW333" i="9"/>
  <c r="AW329" i="9"/>
  <c r="AW318" i="9"/>
  <c r="AW303" i="9"/>
  <c r="AW330" i="9"/>
  <c r="AW285" i="9"/>
  <c r="AW283" i="9"/>
  <c r="AW293" i="9"/>
  <c r="AW295" i="9"/>
  <c r="AW282" i="9"/>
  <c r="AW292" i="9"/>
  <c r="AW289" i="9"/>
  <c r="AW276" i="9"/>
  <c r="AW275" i="9"/>
  <c r="AW274" i="9"/>
  <c r="AW267" i="9"/>
  <c r="AW278" i="9"/>
  <c r="AW279" i="9"/>
  <c r="AW266" i="9"/>
  <c r="AW280" i="9"/>
  <c r="AW268" i="9"/>
  <c r="AW272" i="9"/>
  <c r="AW271" i="9"/>
  <c r="AW290" i="9"/>
  <c r="AW326" i="9"/>
  <c r="AW288" i="9"/>
  <c r="AW294" i="9"/>
  <c r="AW273" i="9"/>
  <c r="AW314" i="9"/>
  <c r="AW332" i="9"/>
  <c r="AW348" i="9"/>
  <c r="AW270" i="9"/>
  <c r="AW287" i="9"/>
  <c r="AW265" i="9"/>
  <c r="AW269" i="9"/>
  <c r="AW315" i="9"/>
  <c r="AW284" i="9"/>
  <c r="AW336" i="9"/>
  <c r="AW340" i="9"/>
  <c r="AW320" i="9"/>
  <c r="AW334" i="9"/>
  <c r="AW277" i="9"/>
  <c r="AW286" i="9"/>
  <c r="AW352" i="9"/>
  <c r="AW324" i="9"/>
  <c r="AW322" i="9"/>
  <c r="AW304" i="9"/>
  <c r="AW349" i="9"/>
  <c r="AW344" i="9"/>
  <c r="AW281" i="9"/>
  <c r="AW291" i="9"/>
  <c r="C364" i="22"/>
  <c r="C312" i="22"/>
  <c r="C260" i="22"/>
  <c r="C208" i="22"/>
  <c r="C156" i="22"/>
  <c r="C104" i="22"/>
  <c r="C52" i="22"/>
  <c r="AX2" i="20"/>
  <c r="D362" i="22"/>
  <c r="AW379" i="9"/>
  <c r="AW375" i="9"/>
  <c r="AW388" i="9"/>
  <c r="AW367" i="9"/>
  <c r="AW376" i="9"/>
  <c r="AW387" i="9"/>
  <c r="AW371" i="9"/>
  <c r="AW370" i="9"/>
  <c r="AW364" i="9"/>
  <c r="AW369" i="9"/>
  <c r="AW365" i="9"/>
  <c r="AW368" i="9"/>
  <c r="AW377" i="9"/>
  <c r="AW362" i="9"/>
  <c r="AW366" i="9"/>
  <c r="AW378" i="9"/>
  <c r="AW363" i="9"/>
  <c r="AW380" i="9"/>
  <c r="D258" i="22"/>
  <c r="AW383" i="9"/>
  <c r="AW381" i="9"/>
  <c r="AW386" i="9"/>
  <c r="AW385" i="9"/>
  <c r="AW164" i="9"/>
  <c r="AW156" i="9"/>
  <c r="AW148" i="9"/>
  <c r="AW168" i="9"/>
  <c r="AW166" i="9"/>
  <c r="AW158" i="9"/>
  <c r="AW150" i="9"/>
  <c r="AW142" i="9"/>
  <c r="AW134" i="9"/>
  <c r="AW126" i="9"/>
  <c r="AW132" i="9"/>
  <c r="AW140" i="9"/>
  <c r="AW131" i="9"/>
  <c r="AW136" i="9"/>
  <c r="AW139" i="9"/>
  <c r="AW127" i="9"/>
  <c r="AW155" i="9"/>
  <c r="AW152" i="9"/>
  <c r="AW133" i="9"/>
  <c r="AW141" i="9"/>
  <c r="AW157" i="9"/>
  <c r="AW128" i="9"/>
  <c r="AW135" i="9"/>
  <c r="AW167" i="9"/>
  <c r="AW130" i="9"/>
  <c r="AW144" i="9"/>
  <c r="AW160" i="9"/>
  <c r="AW151" i="9"/>
  <c r="AW154" i="9"/>
  <c r="AW143" i="9"/>
  <c r="AW146" i="9"/>
  <c r="AW153" i="9"/>
  <c r="AW165" i="9"/>
  <c r="AW162" i="9"/>
  <c r="AW169" i="9"/>
  <c r="AW163" i="9"/>
  <c r="AW149" i="9"/>
  <c r="AW129" i="9"/>
  <c r="AW147" i="9"/>
  <c r="AW137" i="9"/>
  <c r="AW138" i="9"/>
  <c r="AW145" i="9"/>
  <c r="AW384" i="9"/>
  <c r="AW161" i="9"/>
  <c r="AW382" i="9"/>
  <c r="AW159" i="9"/>
  <c r="D154" i="22"/>
  <c r="AW37" i="9"/>
  <c r="AW17" i="9"/>
  <c r="AW13" i="9"/>
  <c r="AW5" i="9"/>
  <c r="AW124" i="9"/>
  <c r="AW106" i="9"/>
  <c r="AW81" i="9"/>
  <c r="AW73" i="9"/>
  <c r="AW65" i="9"/>
  <c r="AW84" i="9"/>
  <c r="AW98" i="9"/>
  <c r="AW77" i="9"/>
  <c r="AW69" i="9"/>
  <c r="AW61" i="9"/>
  <c r="AW53" i="9"/>
  <c r="AW21" i="9"/>
  <c r="AW9" i="9"/>
  <c r="AW49" i="9"/>
  <c r="AW14" i="9"/>
  <c r="AW7" i="9"/>
  <c r="AW11" i="9"/>
  <c r="AW59" i="9"/>
  <c r="AW47" i="9"/>
  <c r="AW29" i="9"/>
  <c r="AW25" i="9"/>
  <c r="AW57" i="9"/>
  <c r="AW44" i="9"/>
  <c r="AW41" i="9"/>
  <c r="AW30" i="9"/>
  <c r="AW51" i="9"/>
  <c r="AW45" i="9"/>
  <c r="AW33" i="9"/>
  <c r="AW31" i="9"/>
  <c r="AW26" i="9"/>
  <c r="AW22" i="9"/>
  <c r="AW6" i="9"/>
  <c r="AW10" i="9"/>
  <c r="AW58" i="9"/>
  <c r="AW52" i="9"/>
  <c r="AW20" i="9"/>
  <c r="AW107" i="9"/>
  <c r="AW8" i="9"/>
  <c r="AW86" i="9"/>
  <c r="AW87" i="9"/>
  <c r="AW109" i="9"/>
  <c r="AW62" i="9"/>
  <c r="AW95" i="9"/>
  <c r="AW94" i="9"/>
  <c r="AW82" i="9"/>
  <c r="AW70" i="9"/>
  <c r="AW115" i="9"/>
  <c r="AW32" i="9"/>
  <c r="AW71" i="9"/>
  <c r="AW99" i="9"/>
  <c r="AW74" i="9"/>
  <c r="AW19" i="9"/>
  <c r="AW108" i="9"/>
  <c r="AW12" i="9"/>
  <c r="AW48" i="9"/>
  <c r="AW36" i="9"/>
  <c r="AW43" i="9"/>
  <c r="AW24" i="9"/>
  <c r="AW34" i="9"/>
  <c r="AW60" i="9"/>
  <c r="AW79" i="9"/>
  <c r="AW76" i="9"/>
  <c r="AW111" i="9"/>
  <c r="AW50" i="9"/>
  <c r="AW54" i="9"/>
  <c r="AW123" i="9"/>
  <c r="AW85" i="9"/>
  <c r="AW67" i="9"/>
  <c r="AW15" i="9"/>
  <c r="AW38" i="9"/>
  <c r="AW116" i="9"/>
  <c r="AW16" i="9"/>
  <c r="AW68" i="9"/>
  <c r="AW114" i="9"/>
  <c r="AW28" i="9"/>
  <c r="AW27" i="9"/>
  <c r="AW39" i="9"/>
  <c r="AW78" i="9"/>
  <c r="AW112" i="9"/>
  <c r="AW23" i="9"/>
  <c r="AW42" i="9"/>
  <c r="AW46" i="9"/>
  <c r="AW40" i="9"/>
  <c r="AW122" i="9"/>
  <c r="AW63" i="9"/>
  <c r="AW55" i="9"/>
  <c r="AW103" i="9"/>
  <c r="AW110" i="9"/>
  <c r="AW66" i="9"/>
  <c r="AW75" i="9"/>
  <c r="AW56" i="9"/>
  <c r="AW72" i="9"/>
  <c r="AW18" i="9"/>
  <c r="AW118" i="9"/>
  <c r="AW92" i="9"/>
  <c r="AW64" i="9"/>
  <c r="AW80" i="9"/>
  <c r="AW91" i="9"/>
  <c r="AW90" i="9"/>
  <c r="AW88" i="9"/>
  <c r="AW119" i="9"/>
  <c r="AW96" i="9"/>
  <c r="AW117" i="9"/>
  <c r="AW104" i="9"/>
  <c r="AW83" i="9"/>
  <c r="AW101" i="9"/>
  <c r="AW113" i="9"/>
  <c r="AW121" i="9"/>
  <c r="AW93" i="9"/>
  <c r="AW120" i="9"/>
  <c r="AW35" i="9"/>
  <c r="AW100" i="9"/>
  <c r="AW89" i="9"/>
  <c r="AW125" i="9"/>
  <c r="AW97" i="9"/>
  <c r="AW102" i="9"/>
  <c r="AW105" i="9"/>
  <c r="AX8" i="20"/>
  <c r="AW8" i="8"/>
  <c r="AX11" i="20"/>
  <c r="AW11" i="8"/>
  <c r="L49" i="22"/>
  <c r="H49" i="22"/>
  <c r="G49" i="22"/>
  <c r="F49" i="22"/>
  <c r="K49" i="22"/>
  <c r="J49" i="22"/>
  <c r="I49" i="22"/>
  <c r="AX7" i="20"/>
  <c r="AW7" i="8"/>
  <c r="D102" i="22"/>
  <c r="AW302" i="9"/>
  <c r="AW298" i="9"/>
  <c r="AW301" i="9"/>
  <c r="AW296" i="9"/>
  <c r="AW299" i="9"/>
  <c r="AW297" i="9"/>
  <c r="AW262" i="9"/>
  <c r="AW260" i="9"/>
  <c r="AW216" i="9"/>
  <c r="AW255" i="9"/>
  <c r="AW252" i="9"/>
  <c r="AW247" i="9"/>
  <c r="AW244" i="9"/>
  <c r="AW239" i="9"/>
  <c r="AW236" i="9"/>
  <c r="AW256" i="9"/>
  <c r="AW248" i="9"/>
  <c r="AW240" i="9"/>
  <c r="AW258" i="9"/>
  <c r="AW250" i="9"/>
  <c r="AW242" i="9"/>
  <c r="AW234" i="9"/>
  <c r="AW184" i="9"/>
  <c r="AW182" i="9"/>
  <c r="AW206" i="9"/>
  <c r="AW200" i="9"/>
  <c r="AW196" i="9"/>
  <c r="AW181" i="9"/>
  <c r="AW223" i="9"/>
  <c r="AW220" i="9"/>
  <c r="AW197" i="9"/>
  <c r="AW189" i="9"/>
  <c r="AW187" i="9"/>
  <c r="AW232" i="9"/>
  <c r="AW210" i="9"/>
  <c r="AW198" i="9"/>
  <c r="AW192" i="9"/>
  <c r="AW231" i="9"/>
  <c r="AW226" i="9"/>
  <c r="AW191" i="9"/>
  <c r="AW212" i="9"/>
  <c r="AW202" i="9"/>
  <c r="AW224" i="9"/>
  <c r="AW213" i="9"/>
  <c r="AW221" i="9"/>
  <c r="AW208" i="9"/>
  <c r="AW204" i="9"/>
  <c r="AW194" i="9"/>
  <c r="AW214" i="9"/>
  <c r="AW205" i="9"/>
  <c r="AW188" i="9"/>
  <c r="AW174" i="9"/>
  <c r="AW176" i="9"/>
  <c r="AW180" i="9"/>
  <c r="AW193" i="9"/>
  <c r="AW175" i="9"/>
  <c r="AW172" i="9"/>
  <c r="AW178" i="9"/>
  <c r="AW170" i="9"/>
  <c r="AW190" i="9"/>
  <c r="AW217" i="9"/>
  <c r="AW219" i="9"/>
  <c r="AW225" i="9"/>
  <c r="AW186" i="9"/>
  <c r="AW179" i="9"/>
  <c r="AW177" i="9"/>
  <c r="AW228" i="9"/>
  <c r="AW171" i="9"/>
  <c r="AW183" i="9"/>
  <c r="AW218" i="9"/>
  <c r="AW215" i="9"/>
  <c r="AW257" i="9"/>
  <c r="AW227" i="9"/>
  <c r="AW207" i="9"/>
  <c r="AW241" i="9"/>
  <c r="AW235" i="9"/>
  <c r="AW238" i="9"/>
  <c r="AW229" i="9"/>
  <c r="AW261" i="9"/>
  <c r="AW209" i="9"/>
  <c r="AW199" i="9"/>
  <c r="AW173" i="9"/>
  <c r="AW185" i="9"/>
  <c r="AW264" i="9"/>
  <c r="AW211" i="9"/>
  <c r="AW195" i="9"/>
  <c r="AW249" i="9"/>
  <c r="AW201" i="9"/>
  <c r="AW203" i="9"/>
  <c r="AW222" i="9"/>
  <c r="AW243" i="9"/>
  <c r="AW246" i="9"/>
  <c r="AW230" i="9"/>
  <c r="AW253" i="9"/>
  <c r="AW233" i="9"/>
  <c r="AW259" i="9"/>
  <c r="AW251" i="9"/>
  <c r="AW263" i="9"/>
  <c r="AW300" i="9"/>
  <c r="AW237" i="9"/>
  <c r="AW254" i="9"/>
  <c r="AW245" i="9"/>
  <c r="D310" i="22"/>
  <c r="AW374" i="9"/>
  <c r="AW372" i="9"/>
  <c r="AW358" i="9"/>
  <c r="AW355" i="9"/>
  <c r="AW359" i="9"/>
  <c r="AW354" i="9"/>
  <c r="AW357" i="9"/>
  <c r="AW353" i="9"/>
  <c r="AW373" i="9"/>
  <c r="AW356" i="9"/>
  <c r="AW360" i="9"/>
  <c r="AW361" i="9"/>
  <c r="G154" i="22" l="1"/>
  <c r="L154" i="22"/>
  <c r="K154" i="22"/>
  <c r="J154" i="22"/>
  <c r="I154" i="22"/>
  <c r="H154" i="22"/>
  <c r="F154" i="22"/>
  <c r="F206" i="22"/>
  <c r="K206" i="22"/>
  <c r="G206" i="22"/>
  <c r="L206" i="22"/>
  <c r="J206" i="22"/>
  <c r="I206" i="22"/>
  <c r="H206" i="22"/>
  <c r="I50" i="22"/>
  <c r="F50" i="22"/>
  <c r="L50" i="22"/>
  <c r="J50" i="22"/>
  <c r="H50" i="22"/>
  <c r="G50" i="22"/>
  <c r="K50" i="22"/>
  <c r="D51" i="22"/>
  <c r="AX312" i="9"/>
  <c r="AX311" i="9"/>
  <c r="AX305" i="9"/>
  <c r="AX307" i="9"/>
  <c r="AX309" i="9"/>
  <c r="AX308" i="9"/>
  <c r="AX306" i="9"/>
  <c r="AX310" i="9"/>
  <c r="AY5" i="20"/>
  <c r="AX5" i="8"/>
  <c r="I310" i="22"/>
  <c r="K310" i="22"/>
  <c r="L310" i="22"/>
  <c r="H310" i="22"/>
  <c r="G310" i="22"/>
  <c r="F310" i="22"/>
  <c r="J310" i="22"/>
  <c r="AY7" i="20"/>
  <c r="AX7" i="8"/>
  <c r="D363" i="22"/>
  <c r="AX388" i="9"/>
  <c r="AX377" i="9"/>
  <c r="AX369" i="9"/>
  <c r="AX370" i="9"/>
  <c r="AX362" i="9"/>
  <c r="AX366" i="9"/>
  <c r="AX367" i="9"/>
  <c r="AX387" i="9"/>
  <c r="AX365" i="9"/>
  <c r="AX363" i="9"/>
  <c r="AX368" i="9"/>
  <c r="AX376" i="9"/>
  <c r="AX371" i="9"/>
  <c r="AX380" i="9"/>
  <c r="AX364" i="9"/>
  <c r="AX379" i="9"/>
  <c r="AX378" i="9"/>
  <c r="AX375" i="9"/>
  <c r="L258" i="22"/>
  <c r="F258" i="22"/>
  <c r="K258" i="22"/>
  <c r="J258" i="22"/>
  <c r="I258" i="22"/>
  <c r="H258" i="22"/>
  <c r="G258" i="22"/>
  <c r="C365" i="22"/>
  <c r="C261" i="22"/>
  <c r="C313" i="22"/>
  <c r="C209" i="22"/>
  <c r="C157" i="22"/>
  <c r="C105" i="22"/>
  <c r="AY2" i="20"/>
  <c r="C53" i="22"/>
  <c r="D259" i="22"/>
  <c r="AX386" i="9"/>
  <c r="AX163" i="9"/>
  <c r="AX160" i="9"/>
  <c r="AX155" i="9"/>
  <c r="AX152" i="9"/>
  <c r="AX147" i="9"/>
  <c r="AX144" i="9"/>
  <c r="AX164" i="9"/>
  <c r="AX156" i="9"/>
  <c r="AX148" i="9"/>
  <c r="AX140" i="9"/>
  <c r="AX168" i="9"/>
  <c r="AX166" i="9"/>
  <c r="AX158" i="9"/>
  <c r="AX150" i="9"/>
  <c r="AX142" i="9"/>
  <c r="AX132" i="9"/>
  <c r="AX126" i="9"/>
  <c r="AX128" i="9"/>
  <c r="AX136" i="9"/>
  <c r="AX131" i="9"/>
  <c r="AX139" i="9"/>
  <c r="AX134" i="9"/>
  <c r="AX127" i="9"/>
  <c r="AX130" i="9"/>
  <c r="AX135" i="9"/>
  <c r="AX143" i="9"/>
  <c r="AX146" i="9"/>
  <c r="AX159" i="9"/>
  <c r="AX162" i="9"/>
  <c r="AX141" i="9"/>
  <c r="AX157" i="9"/>
  <c r="AX153" i="9"/>
  <c r="AX165" i="9"/>
  <c r="AX129" i="9"/>
  <c r="AX154" i="9"/>
  <c r="AX167" i="9"/>
  <c r="AX137" i="9"/>
  <c r="AX149" i="9"/>
  <c r="AX161" i="9"/>
  <c r="AX138" i="9"/>
  <c r="AX151" i="9"/>
  <c r="AX169" i="9"/>
  <c r="AX133" i="9"/>
  <c r="AX381" i="9"/>
  <c r="AX145" i="9"/>
  <c r="AX384" i="9"/>
  <c r="AX383" i="9"/>
  <c r="AX382" i="9"/>
  <c r="AX385" i="9"/>
  <c r="D311" i="22"/>
  <c r="AX373" i="9"/>
  <c r="AX372" i="9"/>
  <c r="AX355" i="9"/>
  <c r="AX353" i="9"/>
  <c r="AX360" i="9"/>
  <c r="AX358" i="9"/>
  <c r="AX354" i="9"/>
  <c r="AX361" i="9"/>
  <c r="AX359" i="9"/>
  <c r="AX357" i="9"/>
  <c r="AX374" i="9"/>
  <c r="AX356" i="9"/>
  <c r="C53" i="19"/>
  <c r="E53" i="19"/>
  <c r="D53" i="19"/>
  <c r="AZ3" i="20" s="1"/>
  <c r="B54" i="19"/>
  <c r="AY9" i="20"/>
  <c r="AX9" i="8"/>
  <c r="AY10" i="20"/>
  <c r="AX10" i="8"/>
  <c r="D155" i="22"/>
  <c r="AX125" i="9"/>
  <c r="AX103" i="9"/>
  <c r="AX83" i="9"/>
  <c r="AX82" i="9"/>
  <c r="AX102" i="9"/>
  <c r="AX98" i="9"/>
  <c r="AX95" i="9"/>
  <c r="AX86" i="9"/>
  <c r="AX80" i="9"/>
  <c r="AX71" i="9"/>
  <c r="AX70" i="9"/>
  <c r="AX63" i="9"/>
  <c r="AX54" i="9"/>
  <c r="AX11" i="9"/>
  <c r="AX48" i="9"/>
  <c r="AX14" i="9"/>
  <c r="AX10" i="9"/>
  <c r="AX20" i="9"/>
  <c r="AX7" i="9"/>
  <c r="AX47" i="9"/>
  <c r="AX72" i="9"/>
  <c r="AX64" i="9"/>
  <c r="AX55" i="9"/>
  <c r="AX6" i="9"/>
  <c r="AX62" i="9"/>
  <c r="AX56" i="9"/>
  <c r="AX46" i="9"/>
  <c r="AX30" i="9"/>
  <c r="AX31" i="9"/>
  <c r="AX26" i="9"/>
  <c r="AX22" i="9"/>
  <c r="AX42" i="9"/>
  <c r="AX34" i="9"/>
  <c r="AX32" i="9"/>
  <c r="AX40" i="9"/>
  <c r="AX8" i="9"/>
  <c r="AX96" i="9"/>
  <c r="AX5" i="9"/>
  <c r="AX37" i="9"/>
  <c r="AX68" i="9"/>
  <c r="AX35" i="9"/>
  <c r="AX81" i="9"/>
  <c r="AX118" i="9"/>
  <c r="AX106" i="9"/>
  <c r="AX19" i="9"/>
  <c r="AX53" i="9"/>
  <c r="AX39" i="9"/>
  <c r="AX61" i="9"/>
  <c r="AX43" i="9"/>
  <c r="AX17" i="9"/>
  <c r="AX65" i="9"/>
  <c r="AX114" i="9"/>
  <c r="AX16" i="9"/>
  <c r="AX21" i="9"/>
  <c r="AX27" i="9"/>
  <c r="AX90" i="9"/>
  <c r="AX120" i="9"/>
  <c r="AX122" i="9"/>
  <c r="AX94" i="9"/>
  <c r="AX76" i="9"/>
  <c r="AX91" i="9"/>
  <c r="AX41" i="9"/>
  <c r="AX29" i="9"/>
  <c r="AX52" i="9"/>
  <c r="AX99" i="9"/>
  <c r="AX107" i="9"/>
  <c r="AX84" i="9"/>
  <c r="AX50" i="9"/>
  <c r="AX9" i="9"/>
  <c r="AX12" i="9"/>
  <c r="AX15" i="9"/>
  <c r="AX57" i="9"/>
  <c r="AX112" i="9"/>
  <c r="AX79" i="9"/>
  <c r="AX115" i="9"/>
  <c r="AX45" i="9"/>
  <c r="AX59" i="9"/>
  <c r="AX36" i="9"/>
  <c r="AX24" i="9"/>
  <c r="AX87" i="9"/>
  <c r="AX23" i="9"/>
  <c r="AX28" i="9"/>
  <c r="AX25" i="9"/>
  <c r="AX58" i="9"/>
  <c r="AX51" i="9"/>
  <c r="AX60" i="9"/>
  <c r="AX100" i="9"/>
  <c r="AX18" i="9"/>
  <c r="AX38" i="9"/>
  <c r="AX44" i="9"/>
  <c r="AX13" i="9"/>
  <c r="AX78" i="9"/>
  <c r="AX108" i="9"/>
  <c r="AX66" i="9"/>
  <c r="AX92" i="9"/>
  <c r="AX93" i="9"/>
  <c r="AX109" i="9"/>
  <c r="AX77" i="9"/>
  <c r="AX49" i="9"/>
  <c r="AX124" i="9"/>
  <c r="AX67" i="9"/>
  <c r="AX116" i="9"/>
  <c r="AX74" i="9"/>
  <c r="AX119" i="9"/>
  <c r="AX69" i="9"/>
  <c r="AX88" i="9"/>
  <c r="AX123" i="9"/>
  <c r="AX104" i="9"/>
  <c r="AX111" i="9"/>
  <c r="AX97" i="9"/>
  <c r="AX113" i="9"/>
  <c r="AX73" i="9"/>
  <c r="AX117" i="9"/>
  <c r="AX101" i="9"/>
  <c r="AX75" i="9"/>
  <c r="AX85" i="9"/>
  <c r="AX121" i="9"/>
  <c r="AX105" i="9"/>
  <c r="AX110" i="9"/>
  <c r="AX89" i="9"/>
  <c r="AX33" i="9"/>
  <c r="AY11" i="20"/>
  <c r="AX11" i="8"/>
  <c r="AY8" i="20"/>
  <c r="AX8" i="8"/>
  <c r="J362" i="22"/>
  <c r="I362" i="22"/>
  <c r="H362" i="22"/>
  <c r="G362" i="22"/>
  <c r="K362" i="22"/>
  <c r="L362" i="22"/>
  <c r="F362" i="22"/>
  <c r="D103" i="22"/>
  <c r="AX296" i="9"/>
  <c r="AX299" i="9"/>
  <c r="AX302" i="9"/>
  <c r="AX298" i="9"/>
  <c r="AX260" i="9"/>
  <c r="AX255" i="9"/>
  <c r="AX252" i="9"/>
  <c r="AX247" i="9"/>
  <c r="AX244" i="9"/>
  <c r="AX259" i="9"/>
  <c r="AX256" i="9"/>
  <c r="AX248" i="9"/>
  <c r="AX240" i="9"/>
  <c r="AX232" i="9"/>
  <c r="AX258" i="9"/>
  <c r="AX250" i="9"/>
  <c r="AX242" i="9"/>
  <c r="AX234" i="9"/>
  <c r="AX222" i="9"/>
  <c r="AX199" i="9"/>
  <c r="AX197" i="9"/>
  <c r="AX198" i="9"/>
  <c r="AX226" i="9"/>
  <c r="AX215" i="9"/>
  <c r="AX224" i="9"/>
  <c r="AX213" i="9"/>
  <c r="AX221" i="9"/>
  <c r="AX214" i="9"/>
  <c r="AX207" i="9"/>
  <c r="AX205" i="9"/>
  <c r="AX206" i="9"/>
  <c r="AX181" i="9"/>
  <c r="AX182" i="9"/>
  <c r="AX174" i="9"/>
  <c r="AX176" i="9"/>
  <c r="AX175" i="9"/>
  <c r="AX172" i="9"/>
  <c r="AX201" i="9"/>
  <c r="AX218" i="9"/>
  <c r="AX228" i="9"/>
  <c r="AX219" i="9"/>
  <c r="AX194" i="9"/>
  <c r="AX187" i="9"/>
  <c r="AX173" i="9"/>
  <c r="AX170" i="9"/>
  <c r="AX227" i="9"/>
  <c r="AX171" i="9"/>
  <c r="AX183" i="9"/>
  <c r="AX178" i="9"/>
  <c r="AX190" i="9"/>
  <c r="AX202" i="9"/>
  <c r="AX211" i="9"/>
  <c r="AX212" i="9"/>
  <c r="AX203" i="9"/>
  <c r="AX238" i="9"/>
  <c r="AX251" i="9"/>
  <c r="AX216" i="9"/>
  <c r="AX177" i="9"/>
  <c r="AX264" i="9"/>
  <c r="AX300" i="9"/>
  <c r="AX225" i="9"/>
  <c r="AX241" i="9"/>
  <c r="AX257" i="9"/>
  <c r="AX297" i="9"/>
  <c r="AX179" i="9"/>
  <c r="AX210" i="9"/>
  <c r="AX235" i="9"/>
  <c r="AX180" i="9"/>
  <c r="AX220" i="9"/>
  <c r="AX200" i="9"/>
  <c r="AX184" i="9"/>
  <c r="AX246" i="9"/>
  <c r="AX186" i="9"/>
  <c r="AX209" i="9"/>
  <c r="AX243" i="9"/>
  <c r="AX263" i="9"/>
  <c r="AX236" i="9"/>
  <c r="AX239" i="9"/>
  <c r="AX193" i="9"/>
  <c r="AX192" i="9"/>
  <c r="AX217" i="9"/>
  <c r="AX196" i="9"/>
  <c r="AX189" i="9"/>
  <c r="AX230" i="9"/>
  <c r="AX231" i="9"/>
  <c r="AX185" i="9"/>
  <c r="AX191" i="9"/>
  <c r="AX195" i="9"/>
  <c r="AX301" i="9"/>
  <c r="AX208" i="9"/>
  <c r="AX249" i="9"/>
  <c r="AX188" i="9"/>
  <c r="AX233" i="9"/>
  <c r="AX254" i="9"/>
  <c r="AX262" i="9"/>
  <c r="AX204" i="9"/>
  <c r="AX253" i="9"/>
  <c r="AX261" i="9"/>
  <c r="AX223" i="9"/>
  <c r="AX237" i="9"/>
  <c r="AX245" i="9"/>
  <c r="AX229" i="9"/>
  <c r="K102" i="22"/>
  <c r="H102" i="22"/>
  <c r="G102" i="22"/>
  <c r="F102" i="22"/>
  <c r="L102" i="22"/>
  <c r="J102" i="22"/>
  <c r="I102" i="22"/>
  <c r="D207" i="22"/>
  <c r="AX351" i="9"/>
  <c r="AX347" i="9"/>
  <c r="AX340" i="9"/>
  <c r="AX319" i="9"/>
  <c r="AX316" i="9"/>
  <c r="AX314" i="9"/>
  <c r="AX338" i="9"/>
  <c r="AX339" i="9"/>
  <c r="AX318" i="9"/>
  <c r="AX332" i="9"/>
  <c r="AX330" i="9"/>
  <c r="AX331" i="9"/>
  <c r="AX283" i="9"/>
  <c r="AX276" i="9"/>
  <c r="AX303" i="9"/>
  <c r="AX304" i="9"/>
  <c r="AX274" i="9"/>
  <c r="AX267" i="9"/>
  <c r="AX275" i="9"/>
  <c r="AX266" i="9"/>
  <c r="AX268" i="9"/>
  <c r="AX313" i="9"/>
  <c r="AX315" i="9"/>
  <c r="AX335" i="9"/>
  <c r="AX322" i="9"/>
  <c r="AX291" i="9"/>
  <c r="AX292" i="9"/>
  <c r="AX280" i="9"/>
  <c r="AX273" i="9"/>
  <c r="AX325" i="9"/>
  <c r="AX321" i="9"/>
  <c r="AX271" i="9"/>
  <c r="AX270" i="9"/>
  <c r="AX285" i="9"/>
  <c r="AX290" i="9"/>
  <c r="AX282" i="9"/>
  <c r="AX324" i="9"/>
  <c r="AX323" i="9"/>
  <c r="AX317" i="9"/>
  <c r="AX287" i="9"/>
  <c r="AX279" i="9"/>
  <c r="AX284" i="9"/>
  <c r="AX281" i="9"/>
  <c r="AX350" i="9"/>
  <c r="AX294" i="9"/>
  <c r="AX293" i="9"/>
  <c r="AX295" i="9"/>
  <c r="AX265" i="9"/>
  <c r="AX327" i="9"/>
  <c r="AX272" i="9"/>
  <c r="AX334" i="9"/>
  <c r="AX349" i="9"/>
  <c r="AX341" i="9"/>
  <c r="AX346" i="9"/>
  <c r="AX326" i="9"/>
  <c r="AX269" i="9"/>
  <c r="AX277" i="9"/>
  <c r="AX337" i="9"/>
  <c r="AX333" i="9"/>
  <c r="AX344" i="9"/>
  <c r="AX343" i="9"/>
  <c r="AX320" i="9"/>
  <c r="AX278" i="9"/>
  <c r="AX288" i="9"/>
  <c r="AX286" i="9"/>
  <c r="AX329" i="9"/>
  <c r="AX348" i="9"/>
  <c r="AX342" i="9"/>
  <c r="AX289" i="9"/>
  <c r="AX336" i="9"/>
  <c r="AX328" i="9"/>
  <c r="AX352" i="9"/>
  <c r="AX345" i="9"/>
  <c r="AY6" i="20"/>
  <c r="AX6" i="8"/>
  <c r="D104" i="22" l="1"/>
  <c r="AY301" i="9"/>
  <c r="AY296" i="9"/>
  <c r="AY297" i="9"/>
  <c r="AY302" i="9"/>
  <c r="AY298" i="9"/>
  <c r="AY220" i="9"/>
  <c r="AY216" i="9"/>
  <c r="AY212" i="9"/>
  <c r="AY208" i="9"/>
  <c r="AY204" i="9"/>
  <c r="AY200" i="9"/>
  <c r="AY196" i="9"/>
  <c r="AY192" i="9"/>
  <c r="AY188" i="9"/>
  <c r="AY261" i="9"/>
  <c r="AY257" i="9"/>
  <c r="AY249" i="9"/>
  <c r="AY241" i="9"/>
  <c r="AY233" i="9"/>
  <c r="AY253" i="9"/>
  <c r="AY245" i="9"/>
  <c r="AY237" i="9"/>
  <c r="AY235" i="9"/>
  <c r="AY229" i="9"/>
  <c r="AY260" i="9"/>
  <c r="AY198" i="9"/>
  <c r="AY215" i="9"/>
  <c r="AY182" i="9"/>
  <c r="AY213" i="9"/>
  <c r="AY221" i="9"/>
  <c r="AY219" i="9"/>
  <c r="AY214" i="9"/>
  <c r="AY207" i="9"/>
  <c r="AY205" i="9"/>
  <c r="AY203" i="9"/>
  <c r="AY227" i="9"/>
  <c r="AY206" i="9"/>
  <c r="AY225" i="9"/>
  <c r="AY199" i="9"/>
  <c r="AY197" i="9"/>
  <c r="AY190" i="9"/>
  <c r="AY184" i="9"/>
  <c r="AY176" i="9"/>
  <c r="AY173" i="9"/>
  <c r="AY181" i="9"/>
  <c r="AY180" i="9"/>
  <c r="AY175" i="9"/>
  <c r="AY177" i="9"/>
  <c r="AY195" i="9"/>
  <c r="AY170" i="9"/>
  <c r="AY171" i="9"/>
  <c r="AY186" i="9"/>
  <c r="AY183" i="9"/>
  <c r="AY193" i="9"/>
  <c r="AY223" i="9"/>
  <c r="AY189" i="9"/>
  <c r="AY234" i="9"/>
  <c r="AY243" i="9"/>
  <c r="AY230" i="9"/>
  <c r="AY238" i="9"/>
  <c r="AY210" i="9"/>
  <c r="AY211" i="9"/>
  <c r="AY178" i="9"/>
  <c r="AY179" i="9"/>
  <c r="AY226" i="9"/>
  <c r="AY263" i="9"/>
  <c r="AY239" i="9"/>
  <c r="AY254" i="9"/>
  <c r="AY259" i="9"/>
  <c r="AY222" i="9"/>
  <c r="AY248" i="9"/>
  <c r="AY258" i="9"/>
  <c r="AY262" i="9"/>
  <c r="AY185" i="9"/>
  <c r="AY218" i="9"/>
  <c r="AY242" i="9"/>
  <c r="AY246" i="9"/>
  <c r="AY172" i="9"/>
  <c r="AY174" i="9"/>
  <c r="AY187" i="9"/>
  <c r="AY232" i="9"/>
  <c r="AY201" i="9"/>
  <c r="AY217" i="9"/>
  <c r="AY224" i="9"/>
  <c r="AY231" i="9"/>
  <c r="AY191" i="9"/>
  <c r="AY256" i="9"/>
  <c r="AY264" i="9"/>
  <c r="AY202" i="9"/>
  <c r="AY209" i="9"/>
  <c r="AY228" i="9"/>
  <c r="AY194" i="9"/>
  <c r="AY240" i="9"/>
  <c r="AY250" i="9"/>
  <c r="AY251" i="9"/>
  <c r="AY300" i="9"/>
  <c r="AY255" i="9"/>
  <c r="AY236" i="9"/>
  <c r="AY247" i="9"/>
  <c r="AY252" i="9"/>
  <c r="AY299" i="9"/>
  <c r="AY244" i="9"/>
  <c r="AZ8" i="20"/>
  <c r="AY8" i="8"/>
  <c r="AZ9" i="20"/>
  <c r="AY9" i="8"/>
  <c r="AZ7" i="20"/>
  <c r="AY7" i="8"/>
  <c r="D52" i="22"/>
  <c r="AY309" i="9"/>
  <c r="AY305" i="9"/>
  <c r="AY312" i="9"/>
  <c r="AY310" i="9"/>
  <c r="AY311" i="9"/>
  <c r="AY308" i="9"/>
  <c r="AY307" i="9"/>
  <c r="AY306" i="9"/>
  <c r="D364" i="22"/>
  <c r="AY367" i="9"/>
  <c r="AY388" i="9"/>
  <c r="AY387" i="9"/>
  <c r="AY379" i="9"/>
  <c r="AY375" i="9"/>
  <c r="AY376" i="9"/>
  <c r="AY378" i="9"/>
  <c r="AY370" i="9"/>
  <c r="AY380" i="9"/>
  <c r="AY364" i="9"/>
  <c r="AY363" i="9"/>
  <c r="AY371" i="9"/>
  <c r="AY362" i="9"/>
  <c r="AY377" i="9"/>
  <c r="AY368" i="9"/>
  <c r="AY369" i="9"/>
  <c r="AY366" i="9"/>
  <c r="AY365" i="9"/>
  <c r="E54" i="19"/>
  <c r="D54" i="19"/>
  <c r="BA3" i="20" s="1"/>
  <c r="C54" i="19"/>
  <c r="F311" i="22"/>
  <c r="I311" i="22"/>
  <c r="J311" i="22"/>
  <c r="K311" i="22"/>
  <c r="H311" i="22"/>
  <c r="G311" i="22"/>
  <c r="L311" i="22"/>
  <c r="AZ5" i="20"/>
  <c r="AY5" i="8"/>
  <c r="AZ11" i="20"/>
  <c r="AY11" i="8"/>
  <c r="F51" i="22"/>
  <c r="L51" i="22"/>
  <c r="K51" i="22"/>
  <c r="J51" i="22"/>
  <c r="H51" i="22"/>
  <c r="I51" i="22"/>
  <c r="G51" i="22"/>
  <c r="C366" i="22"/>
  <c r="C314" i="22"/>
  <c r="C262" i="22"/>
  <c r="C210" i="22"/>
  <c r="C158" i="22"/>
  <c r="C106" i="22"/>
  <c r="C54" i="22"/>
  <c r="AZ2" i="20"/>
  <c r="L155" i="22"/>
  <c r="I155" i="22"/>
  <c r="K155" i="22"/>
  <c r="J155" i="22"/>
  <c r="H155" i="22"/>
  <c r="F155" i="22"/>
  <c r="G155" i="22"/>
  <c r="K259" i="22"/>
  <c r="I259" i="22"/>
  <c r="J259" i="22"/>
  <c r="F259" i="22"/>
  <c r="L259" i="22"/>
  <c r="H259" i="22"/>
  <c r="G259" i="22"/>
  <c r="D312" i="22"/>
  <c r="AY372" i="9"/>
  <c r="AY361" i="9"/>
  <c r="AY373" i="9"/>
  <c r="AY374" i="9"/>
  <c r="AY353" i="9"/>
  <c r="AY355" i="9"/>
  <c r="AY360" i="9"/>
  <c r="AY359" i="9"/>
  <c r="AY357" i="9"/>
  <c r="AY354" i="9"/>
  <c r="AY356" i="9"/>
  <c r="AY358" i="9"/>
  <c r="AZ10" i="20"/>
  <c r="AY10" i="8"/>
  <c r="G363" i="22"/>
  <c r="F363" i="22"/>
  <c r="L363" i="22"/>
  <c r="J363" i="22"/>
  <c r="K363" i="22"/>
  <c r="I363" i="22"/>
  <c r="H363" i="22"/>
  <c r="K207" i="22"/>
  <c r="H207" i="22"/>
  <c r="F207" i="22"/>
  <c r="L207" i="22"/>
  <c r="J207" i="22"/>
  <c r="I207" i="22"/>
  <c r="G207" i="22"/>
  <c r="AZ6" i="20"/>
  <c r="AY6" i="8"/>
  <c r="H103" i="22"/>
  <c r="G103" i="22"/>
  <c r="F103" i="22"/>
  <c r="L103" i="22"/>
  <c r="J103" i="22"/>
  <c r="I103" i="22"/>
  <c r="K103" i="22"/>
  <c r="D208" i="22"/>
  <c r="AY345" i="9"/>
  <c r="AY341" i="9"/>
  <c r="AY337" i="9"/>
  <c r="AY333" i="9"/>
  <c r="AY329" i="9"/>
  <c r="AY325" i="9"/>
  <c r="AY346" i="9"/>
  <c r="AY313" i="9"/>
  <c r="AY319" i="9"/>
  <c r="AY316" i="9"/>
  <c r="AY289" i="9"/>
  <c r="AY321" i="9"/>
  <c r="AY314" i="9"/>
  <c r="AY327" i="9"/>
  <c r="AY317" i="9"/>
  <c r="AY338" i="9"/>
  <c r="AY304" i="9"/>
  <c r="AY352" i="9"/>
  <c r="AY339" i="9"/>
  <c r="AY332" i="9"/>
  <c r="AY330" i="9"/>
  <c r="AY340" i="9"/>
  <c r="AY331" i="9"/>
  <c r="AY328" i="9"/>
  <c r="AY286" i="9"/>
  <c r="AY284" i="9"/>
  <c r="AY283" i="9"/>
  <c r="AY276" i="9"/>
  <c r="AY275" i="9"/>
  <c r="AY303" i="9"/>
  <c r="AY285" i="9"/>
  <c r="AY291" i="9"/>
  <c r="AY281" i="9"/>
  <c r="AY318" i="9"/>
  <c r="AY295" i="9"/>
  <c r="AY293" i="9"/>
  <c r="AY269" i="9"/>
  <c r="AY277" i="9"/>
  <c r="AY273" i="9"/>
  <c r="AY268" i="9"/>
  <c r="AY265" i="9"/>
  <c r="AY267" i="9"/>
  <c r="AY288" i="9"/>
  <c r="AY336" i="9"/>
  <c r="AY294" i="9"/>
  <c r="AY266" i="9"/>
  <c r="AY334" i="9"/>
  <c r="AY342" i="9"/>
  <c r="AY272" i="9"/>
  <c r="AY270" i="9"/>
  <c r="AY274" i="9"/>
  <c r="AY326" i="9"/>
  <c r="AY343" i="9"/>
  <c r="AY348" i="9"/>
  <c r="AY292" i="9"/>
  <c r="AY282" i="9"/>
  <c r="AY335" i="9"/>
  <c r="AY278" i="9"/>
  <c r="AY279" i="9"/>
  <c r="AY323" i="9"/>
  <c r="AY344" i="9"/>
  <c r="AY290" i="9"/>
  <c r="AY324" i="9"/>
  <c r="AY320" i="9"/>
  <c r="AY287" i="9"/>
  <c r="AY280" i="9"/>
  <c r="AY351" i="9"/>
  <c r="AY347" i="9"/>
  <c r="AY350" i="9"/>
  <c r="AY271" i="9"/>
  <c r="AY349" i="9"/>
  <c r="AY315" i="9"/>
  <c r="AY322" i="9"/>
  <c r="D260" i="22"/>
  <c r="AY383" i="9"/>
  <c r="AY386" i="9"/>
  <c r="AY169" i="9"/>
  <c r="AY168" i="9"/>
  <c r="AY165" i="9"/>
  <c r="AY157" i="9"/>
  <c r="AY149" i="9"/>
  <c r="AY161" i="9"/>
  <c r="AY153" i="9"/>
  <c r="AY145" i="9"/>
  <c r="AY137" i="9"/>
  <c r="AY129" i="9"/>
  <c r="AY141" i="9"/>
  <c r="AY133" i="9"/>
  <c r="AY127" i="9"/>
  <c r="AY128" i="9"/>
  <c r="AY135" i="9"/>
  <c r="AY130" i="9"/>
  <c r="AY131" i="9"/>
  <c r="AY151" i="9"/>
  <c r="AY159" i="9"/>
  <c r="AY160" i="9"/>
  <c r="AY148" i="9"/>
  <c r="AY164" i="9"/>
  <c r="AY152" i="9"/>
  <c r="AY163" i="9"/>
  <c r="AY154" i="9"/>
  <c r="AY144" i="9"/>
  <c r="AY138" i="9"/>
  <c r="AY136" i="9"/>
  <c r="AY143" i="9"/>
  <c r="AY167" i="9"/>
  <c r="AY147" i="9"/>
  <c r="AY146" i="9"/>
  <c r="AY162" i="9"/>
  <c r="AY150" i="9"/>
  <c r="AY166" i="9"/>
  <c r="AY126" i="9"/>
  <c r="AY132" i="9"/>
  <c r="AY134" i="9"/>
  <c r="AY140" i="9"/>
  <c r="AY142" i="9"/>
  <c r="AY155" i="9"/>
  <c r="AY156" i="9"/>
  <c r="AY158" i="9"/>
  <c r="AY139" i="9"/>
  <c r="AY385" i="9"/>
  <c r="AY384" i="9"/>
  <c r="AY382" i="9"/>
  <c r="AY381" i="9"/>
  <c r="D156" i="22"/>
  <c r="AY117" i="9"/>
  <c r="AY109" i="9"/>
  <c r="AY101" i="9"/>
  <c r="AY93" i="9"/>
  <c r="AY85" i="9"/>
  <c r="AY81" i="9"/>
  <c r="AY77" i="9"/>
  <c r="AY73" i="9"/>
  <c r="AY69" i="9"/>
  <c r="AY65" i="9"/>
  <c r="AY61" i="9"/>
  <c r="AY57" i="9"/>
  <c r="AY53" i="9"/>
  <c r="AY49" i="9"/>
  <c r="AY125" i="9"/>
  <c r="AY113" i="9"/>
  <c r="AY103" i="9"/>
  <c r="AY41" i="9"/>
  <c r="AY105" i="9"/>
  <c r="AY120" i="9"/>
  <c r="AY95" i="9"/>
  <c r="AY80" i="9"/>
  <c r="AY99" i="9"/>
  <c r="AY97" i="9"/>
  <c r="AY79" i="9"/>
  <c r="AY78" i="9"/>
  <c r="AY96" i="9"/>
  <c r="AY87" i="9"/>
  <c r="AY121" i="9"/>
  <c r="AY89" i="9"/>
  <c r="AY37" i="9"/>
  <c r="AY25" i="9"/>
  <c r="AY48" i="9"/>
  <c r="AY8" i="9"/>
  <c r="AY29" i="9"/>
  <c r="AY47" i="9"/>
  <c r="AY11" i="9"/>
  <c r="AY20" i="9"/>
  <c r="AY72" i="9"/>
  <c r="AY64" i="9"/>
  <c r="AY55" i="9"/>
  <c r="AY44" i="9"/>
  <c r="AY70" i="9"/>
  <c r="AY62" i="9"/>
  <c r="AY56" i="9"/>
  <c r="AY30" i="9"/>
  <c r="AY31" i="9"/>
  <c r="AY45" i="9"/>
  <c r="AY34" i="9"/>
  <c r="AY33" i="9"/>
  <c r="AY32" i="9"/>
  <c r="AY71" i="9"/>
  <c r="AY63" i="9"/>
  <c r="AY54" i="9"/>
  <c r="AY35" i="9"/>
  <c r="AY7" i="9"/>
  <c r="AY40" i="9"/>
  <c r="AY59" i="9"/>
  <c r="AY26" i="9"/>
  <c r="AY107" i="9"/>
  <c r="AY67" i="9"/>
  <c r="AY74" i="9"/>
  <c r="AY100" i="9"/>
  <c r="AY24" i="9"/>
  <c r="AY36" i="9"/>
  <c r="AY58" i="9"/>
  <c r="AY51" i="9"/>
  <c r="AY43" i="9"/>
  <c r="AY60" i="9"/>
  <c r="AY111" i="9"/>
  <c r="AY115" i="9"/>
  <c r="AY22" i="9"/>
  <c r="AY21" i="9"/>
  <c r="AY112" i="9"/>
  <c r="AY82" i="9"/>
  <c r="AY76" i="9"/>
  <c r="AY88" i="9"/>
  <c r="AY106" i="9"/>
  <c r="AY15" i="9"/>
  <c r="AY10" i="9"/>
  <c r="AY38" i="9"/>
  <c r="AY19" i="9"/>
  <c r="AY68" i="9"/>
  <c r="AY39" i="9"/>
  <c r="AY119" i="9"/>
  <c r="AY42" i="9"/>
  <c r="AY17" i="9"/>
  <c r="AY114" i="9"/>
  <c r="AY108" i="9"/>
  <c r="AY12" i="9"/>
  <c r="AY46" i="9"/>
  <c r="AY13" i="9"/>
  <c r="AY122" i="9"/>
  <c r="AY16" i="9"/>
  <c r="AY6" i="9"/>
  <c r="AY23" i="9"/>
  <c r="AY27" i="9"/>
  <c r="AY52" i="9"/>
  <c r="AY5" i="9"/>
  <c r="AY91" i="9"/>
  <c r="AY94" i="9"/>
  <c r="AY14" i="9"/>
  <c r="AY50" i="9"/>
  <c r="AY18" i="9"/>
  <c r="AY28" i="9"/>
  <c r="AY110" i="9"/>
  <c r="AY116" i="9"/>
  <c r="AY83" i="9"/>
  <c r="AY98" i="9"/>
  <c r="AY9" i="9"/>
  <c r="AY66" i="9"/>
  <c r="AY124" i="9"/>
  <c r="AY104" i="9"/>
  <c r="AY86" i="9"/>
  <c r="AY84" i="9"/>
  <c r="AY118" i="9"/>
  <c r="AY90" i="9"/>
  <c r="AY75" i="9"/>
  <c r="AY102" i="9"/>
  <c r="AY123" i="9"/>
  <c r="AY92" i="9"/>
  <c r="K156" i="22" l="1"/>
  <c r="I156" i="22"/>
  <c r="F156" i="22"/>
  <c r="L156" i="22"/>
  <c r="J156" i="22"/>
  <c r="H156" i="22"/>
  <c r="G156" i="22"/>
  <c r="BA8" i="20"/>
  <c r="BA8" i="8" s="1"/>
  <c r="AZ8" i="8"/>
  <c r="D365" i="22"/>
  <c r="AZ367" i="9"/>
  <c r="AZ387" i="9"/>
  <c r="AZ379" i="9"/>
  <c r="AZ365" i="9"/>
  <c r="AZ377" i="9"/>
  <c r="AZ371" i="9"/>
  <c r="AZ364" i="9"/>
  <c r="AZ375" i="9"/>
  <c r="AZ370" i="9"/>
  <c r="AZ363" i="9"/>
  <c r="AZ368" i="9"/>
  <c r="AZ376" i="9"/>
  <c r="AZ366" i="9"/>
  <c r="AZ369" i="9"/>
  <c r="AZ378" i="9"/>
  <c r="AZ388" i="9"/>
  <c r="AZ362" i="9"/>
  <c r="AZ380" i="9"/>
  <c r="L364" i="22"/>
  <c r="K364" i="22"/>
  <c r="J364" i="22"/>
  <c r="I364" i="22"/>
  <c r="G364" i="22"/>
  <c r="F364" i="22"/>
  <c r="H364" i="22"/>
  <c r="BA11" i="20"/>
  <c r="BA11" i="8" s="1"/>
  <c r="AZ11" i="8"/>
  <c r="K52" i="22"/>
  <c r="L52" i="22"/>
  <c r="J52" i="22"/>
  <c r="I52" i="22"/>
  <c r="H52" i="22"/>
  <c r="F52" i="22"/>
  <c r="G52" i="22"/>
  <c r="D157" i="22"/>
  <c r="AZ117" i="9"/>
  <c r="AZ113" i="9"/>
  <c r="AZ41" i="9"/>
  <c r="AZ25" i="9"/>
  <c r="AZ93" i="9"/>
  <c r="AZ109" i="9"/>
  <c r="AZ105" i="9"/>
  <c r="AZ81" i="9"/>
  <c r="AZ73" i="9"/>
  <c r="AZ65" i="9"/>
  <c r="AZ57" i="9"/>
  <c r="AZ49" i="9"/>
  <c r="AZ95" i="9"/>
  <c r="AZ85" i="9"/>
  <c r="AZ80" i="9"/>
  <c r="AZ72" i="9"/>
  <c r="AZ64" i="9"/>
  <c r="AZ119" i="9"/>
  <c r="AZ101" i="9"/>
  <c r="AZ97" i="9"/>
  <c r="AZ79" i="9"/>
  <c r="AZ96" i="9"/>
  <c r="AZ87" i="9"/>
  <c r="AZ121" i="9"/>
  <c r="AZ89" i="9"/>
  <c r="AZ77" i="9"/>
  <c r="AZ69" i="9"/>
  <c r="AZ125" i="9"/>
  <c r="AZ47" i="9"/>
  <c r="AZ13" i="9"/>
  <c r="AZ61" i="9"/>
  <c r="AZ55" i="9"/>
  <c r="AZ29" i="9"/>
  <c r="AZ56" i="9"/>
  <c r="AZ37" i="9"/>
  <c r="AZ31" i="9"/>
  <c r="AZ45" i="9"/>
  <c r="AZ33" i="9"/>
  <c r="AZ32" i="9"/>
  <c r="AZ53" i="9"/>
  <c r="AZ9" i="9"/>
  <c r="AZ71" i="9"/>
  <c r="AZ63" i="9"/>
  <c r="AZ35" i="9"/>
  <c r="AZ48" i="9"/>
  <c r="AZ21" i="9"/>
  <c r="AZ5" i="9"/>
  <c r="AZ17" i="9"/>
  <c r="AZ38" i="9"/>
  <c r="AZ18" i="9"/>
  <c r="AZ16" i="9"/>
  <c r="AZ22" i="9"/>
  <c r="AZ11" i="9"/>
  <c r="AZ60" i="9"/>
  <c r="AZ92" i="9"/>
  <c r="AZ62" i="9"/>
  <c r="AZ111" i="9"/>
  <c r="AZ76" i="9"/>
  <c r="AZ66" i="9"/>
  <c r="AZ100" i="9"/>
  <c r="AZ30" i="9"/>
  <c r="AZ104" i="9"/>
  <c r="AZ40" i="9"/>
  <c r="AZ36" i="9"/>
  <c r="AZ114" i="9"/>
  <c r="AZ84" i="9"/>
  <c r="AZ116" i="9"/>
  <c r="AZ34" i="9"/>
  <c r="AZ6" i="9"/>
  <c r="AZ59" i="9"/>
  <c r="AZ24" i="9"/>
  <c r="AZ19" i="9"/>
  <c r="AZ26" i="9"/>
  <c r="AZ107" i="9"/>
  <c r="AZ122" i="9"/>
  <c r="AZ10" i="9"/>
  <c r="AZ112" i="9"/>
  <c r="AZ50" i="9"/>
  <c r="AZ43" i="9"/>
  <c r="AZ68" i="9"/>
  <c r="AZ46" i="9"/>
  <c r="AZ44" i="9"/>
  <c r="AZ51" i="9"/>
  <c r="AZ8" i="9"/>
  <c r="AZ86" i="9"/>
  <c r="AZ74" i="9"/>
  <c r="AZ115" i="9"/>
  <c r="AZ118" i="9"/>
  <c r="AZ7" i="9"/>
  <c r="AZ14" i="9"/>
  <c r="AZ52" i="9"/>
  <c r="AZ27" i="9"/>
  <c r="AZ120" i="9"/>
  <c r="AZ12" i="9"/>
  <c r="AZ15" i="9"/>
  <c r="AZ58" i="9"/>
  <c r="AZ42" i="9"/>
  <c r="AZ28" i="9"/>
  <c r="AZ88" i="9"/>
  <c r="AZ110" i="9"/>
  <c r="AZ91" i="9"/>
  <c r="AZ108" i="9"/>
  <c r="AZ23" i="9"/>
  <c r="AZ39" i="9"/>
  <c r="AZ20" i="9"/>
  <c r="AZ78" i="9"/>
  <c r="AZ94" i="9"/>
  <c r="AZ106" i="9"/>
  <c r="AZ102" i="9"/>
  <c r="AZ54" i="9"/>
  <c r="AZ103" i="9"/>
  <c r="AZ67" i="9"/>
  <c r="AZ75" i="9"/>
  <c r="AZ82" i="9"/>
  <c r="AZ70" i="9"/>
  <c r="AZ99" i="9"/>
  <c r="AZ83" i="9"/>
  <c r="AZ98" i="9"/>
  <c r="AZ90" i="9"/>
  <c r="AZ123" i="9"/>
  <c r="AZ124" i="9"/>
  <c r="K312" i="22"/>
  <c r="G312" i="22"/>
  <c r="H312" i="22"/>
  <c r="L312" i="22"/>
  <c r="J312" i="22"/>
  <c r="I312" i="22"/>
  <c r="F312" i="22"/>
  <c r="D53" i="22"/>
  <c r="AZ305" i="9"/>
  <c r="AZ312" i="9"/>
  <c r="AZ309" i="9"/>
  <c r="AZ310" i="9"/>
  <c r="AZ308" i="9"/>
  <c r="AZ311" i="9"/>
  <c r="AZ307" i="9"/>
  <c r="AZ306" i="9"/>
  <c r="BA5" i="20"/>
  <c r="BA5" i="8" s="1"/>
  <c r="AZ5" i="8"/>
  <c r="BA7" i="20"/>
  <c r="BA7" i="8" s="1"/>
  <c r="AZ7" i="8"/>
  <c r="H208" i="22"/>
  <c r="F208" i="22"/>
  <c r="L208" i="22"/>
  <c r="K208" i="22"/>
  <c r="J208" i="22"/>
  <c r="I208" i="22"/>
  <c r="G208" i="22"/>
  <c r="D105" i="22"/>
  <c r="AZ299" i="9"/>
  <c r="AZ301" i="9"/>
  <c r="AZ296" i="9"/>
  <c r="AZ261" i="9"/>
  <c r="AZ297" i="9"/>
  <c r="AZ216" i="9"/>
  <c r="AZ208" i="9"/>
  <c r="AZ200" i="9"/>
  <c r="AZ192" i="9"/>
  <c r="AZ215" i="9"/>
  <c r="AZ257" i="9"/>
  <c r="AZ249" i="9"/>
  <c r="AZ241" i="9"/>
  <c r="AZ233" i="9"/>
  <c r="AZ253" i="9"/>
  <c r="AZ245" i="9"/>
  <c r="AZ237" i="9"/>
  <c r="AZ235" i="9"/>
  <c r="AZ229" i="9"/>
  <c r="AZ260" i="9"/>
  <c r="AZ188" i="9"/>
  <c r="AZ220" i="9"/>
  <c r="AZ210" i="9"/>
  <c r="AZ182" i="9"/>
  <c r="AZ177" i="9"/>
  <c r="AZ211" i="9"/>
  <c r="AZ184" i="9"/>
  <c r="AZ212" i="9"/>
  <c r="AZ202" i="9"/>
  <c r="AZ214" i="9"/>
  <c r="AZ207" i="9"/>
  <c r="AZ203" i="9"/>
  <c r="AZ227" i="9"/>
  <c r="AZ206" i="9"/>
  <c r="AZ204" i="9"/>
  <c r="AZ194" i="9"/>
  <c r="AZ225" i="9"/>
  <c r="AZ199" i="9"/>
  <c r="AZ195" i="9"/>
  <c r="AZ198" i="9"/>
  <c r="AZ196" i="9"/>
  <c r="AZ176" i="9"/>
  <c r="AZ173" i="9"/>
  <c r="AZ180" i="9"/>
  <c r="AZ175" i="9"/>
  <c r="AZ183" i="9"/>
  <c r="AZ186" i="9"/>
  <c r="AZ174" i="9"/>
  <c r="AZ181" i="9"/>
  <c r="AZ224" i="9"/>
  <c r="AZ226" i="9"/>
  <c r="AZ247" i="9"/>
  <c r="AZ170" i="9"/>
  <c r="AZ218" i="9"/>
  <c r="AZ178" i="9"/>
  <c r="AZ179" i="9"/>
  <c r="AZ171" i="9"/>
  <c r="AZ172" i="9"/>
  <c r="AZ219" i="9"/>
  <c r="AZ185" i="9"/>
  <c r="AZ190" i="9"/>
  <c r="AZ232" i="9"/>
  <c r="AZ242" i="9"/>
  <c r="AZ244" i="9"/>
  <c r="AZ263" i="9"/>
  <c r="AZ231" i="9"/>
  <c r="AZ259" i="9"/>
  <c r="AZ262" i="9"/>
  <c r="AZ187" i="9"/>
  <c r="AZ189" i="9"/>
  <c r="AZ191" i="9"/>
  <c r="AZ256" i="9"/>
  <c r="AZ246" i="9"/>
  <c r="AZ223" i="9"/>
  <c r="AZ228" i="9"/>
  <c r="AZ240" i="9"/>
  <c r="AZ230" i="9"/>
  <c r="AZ209" i="9"/>
  <c r="AZ252" i="9"/>
  <c r="AZ255" i="9"/>
  <c r="AZ238" i="9"/>
  <c r="AZ236" i="9"/>
  <c r="AZ250" i="9"/>
  <c r="AZ239" i="9"/>
  <c r="AZ193" i="9"/>
  <c r="AZ217" i="9"/>
  <c r="AZ264" i="9"/>
  <c r="AZ251" i="9"/>
  <c r="AZ234" i="9"/>
  <c r="AZ248" i="9"/>
  <c r="AZ243" i="9"/>
  <c r="AZ197" i="9"/>
  <c r="AZ205" i="9"/>
  <c r="AZ213" i="9"/>
  <c r="AZ221" i="9"/>
  <c r="AZ258" i="9"/>
  <c r="AZ254" i="9"/>
  <c r="AZ300" i="9"/>
  <c r="AZ222" i="9"/>
  <c r="AZ302" i="9"/>
  <c r="AZ201" i="9"/>
  <c r="AZ298" i="9"/>
  <c r="D313" i="22"/>
  <c r="AZ374" i="9"/>
  <c r="AZ361" i="9"/>
  <c r="AZ354" i="9"/>
  <c r="AZ353" i="9"/>
  <c r="AZ358" i="9"/>
  <c r="AZ372" i="9"/>
  <c r="AZ356" i="9"/>
  <c r="AZ359" i="9"/>
  <c r="AZ355" i="9"/>
  <c r="AZ373" i="9"/>
  <c r="AZ360" i="9"/>
  <c r="AZ357" i="9"/>
  <c r="D261" i="22"/>
  <c r="AZ383" i="9"/>
  <c r="AZ386" i="9"/>
  <c r="AZ381" i="9"/>
  <c r="AZ169" i="9"/>
  <c r="AZ168" i="9"/>
  <c r="AZ165" i="9"/>
  <c r="AZ157" i="9"/>
  <c r="AZ149" i="9"/>
  <c r="AZ141" i="9"/>
  <c r="AZ161" i="9"/>
  <c r="AZ153" i="9"/>
  <c r="AZ145" i="9"/>
  <c r="AZ137" i="9"/>
  <c r="AZ133" i="9"/>
  <c r="AZ129" i="9"/>
  <c r="AZ139" i="9"/>
  <c r="AZ155" i="9"/>
  <c r="AZ146" i="9"/>
  <c r="AZ131" i="9"/>
  <c r="AZ154" i="9"/>
  <c r="AZ136" i="9"/>
  <c r="AZ152" i="9"/>
  <c r="AZ135" i="9"/>
  <c r="AZ143" i="9"/>
  <c r="AZ147" i="9"/>
  <c r="AZ138" i="9"/>
  <c r="AZ132" i="9"/>
  <c r="AZ134" i="9"/>
  <c r="AZ140" i="9"/>
  <c r="AZ142" i="9"/>
  <c r="AZ156" i="9"/>
  <c r="AZ158" i="9"/>
  <c r="AZ128" i="9"/>
  <c r="AZ127" i="9"/>
  <c r="AZ159" i="9"/>
  <c r="AZ163" i="9"/>
  <c r="AZ150" i="9"/>
  <c r="AZ167" i="9"/>
  <c r="AZ162" i="9"/>
  <c r="AZ126" i="9"/>
  <c r="AZ160" i="9"/>
  <c r="AZ164" i="9"/>
  <c r="AZ130" i="9"/>
  <c r="AZ166" i="9"/>
  <c r="AZ151" i="9"/>
  <c r="AZ144" i="9"/>
  <c r="AZ148" i="9"/>
  <c r="AZ384" i="9"/>
  <c r="AZ382" i="9"/>
  <c r="AZ385" i="9"/>
  <c r="C367" i="22"/>
  <c r="C315" i="22"/>
  <c r="C263" i="22"/>
  <c r="C211" i="22"/>
  <c r="C107" i="22"/>
  <c r="C159" i="22"/>
  <c r="C55" i="22"/>
  <c r="BA2" i="20"/>
  <c r="BA9" i="20"/>
  <c r="BA9" i="8" s="1"/>
  <c r="AZ9" i="8"/>
  <c r="H260" i="22"/>
  <c r="F260" i="22"/>
  <c r="J260" i="22"/>
  <c r="I260" i="22"/>
  <c r="G260" i="22"/>
  <c r="L260" i="22"/>
  <c r="K260" i="22"/>
  <c r="BA6" i="20"/>
  <c r="BA6" i="8" s="1"/>
  <c r="AZ6" i="8"/>
  <c r="BA10" i="20"/>
  <c r="BA10" i="8" s="1"/>
  <c r="AZ10" i="8"/>
  <c r="D209" i="22"/>
  <c r="AZ341" i="9"/>
  <c r="AZ333" i="9"/>
  <c r="AZ352" i="9"/>
  <c r="AZ345" i="9"/>
  <c r="AZ346" i="9"/>
  <c r="AZ350" i="9"/>
  <c r="AZ325" i="9"/>
  <c r="AZ321" i="9"/>
  <c r="AZ335" i="9"/>
  <c r="AZ317" i="9"/>
  <c r="AZ313" i="9"/>
  <c r="AZ336" i="9"/>
  <c r="AZ339" i="9"/>
  <c r="AZ337" i="9"/>
  <c r="AZ303" i="9"/>
  <c r="AZ332" i="9"/>
  <c r="AZ340" i="9"/>
  <c r="AZ331" i="9"/>
  <c r="AZ329" i="9"/>
  <c r="AZ328" i="9"/>
  <c r="AZ319" i="9"/>
  <c r="AZ316" i="9"/>
  <c r="AZ289" i="9"/>
  <c r="AZ277" i="9"/>
  <c r="AZ269" i="9"/>
  <c r="AZ315" i="9"/>
  <c r="AZ292" i="9"/>
  <c r="AZ320" i="9"/>
  <c r="AZ283" i="9"/>
  <c r="AZ276" i="9"/>
  <c r="AZ275" i="9"/>
  <c r="AZ285" i="9"/>
  <c r="AZ281" i="9"/>
  <c r="AZ304" i="9"/>
  <c r="AZ295" i="9"/>
  <c r="AZ293" i="9"/>
  <c r="AZ273" i="9"/>
  <c r="AZ268" i="9"/>
  <c r="AZ265" i="9"/>
  <c r="AZ267" i="9"/>
  <c r="AZ271" i="9"/>
  <c r="AZ290" i="9"/>
  <c r="AZ266" i="9"/>
  <c r="AZ314" i="9"/>
  <c r="AZ351" i="9"/>
  <c r="AZ330" i="9"/>
  <c r="AZ338" i="9"/>
  <c r="AZ270" i="9"/>
  <c r="AZ272" i="9"/>
  <c r="AZ287" i="9"/>
  <c r="AZ288" i="9"/>
  <c r="AZ286" i="9"/>
  <c r="AZ327" i="9"/>
  <c r="AZ334" i="9"/>
  <c r="AZ322" i="9"/>
  <c r="AZ323" i="9"/>
  <c r="AZ279" i="9"/>
  <c r="AZ291" i="9"/>
  <c r="AZ294" i="9"/>
  <c r="AZ282" i="9"/>
  <c r="AZ344" i="9"/>
  <c r="AZ280" i="9"/>
  <c r="AZ326" i="9"/>
  <c r="AZ278" i="9"/>
  <c r="AZ274" i="9"/>
  <c r="AZ284" i="9"/>
  <c r="AZ343" i="9"/>
  <c r="AZ348" i="9"/>
  <c r="AZ349" i="9"/>
  <c r="AZ347" i="9"/>
  <c r="AZ318" i="9"/>
  <c r="AZ342" i="9"/>
  <c r="AZ324" i="9"/>
  <c r="J104" i="22"/>
  <c r="F104" i="22"/>
  <c r="L104" i="22"/>
  <c r="K104" i="22"/>
  <c r="I104" i="22"/>
  <c r="H104" i="22"/>
  <c r="G104" i="22"/>
  <c r="D263" i="22" l="1"/>
  <c r="BB386" i="9"/>
  <c r="BB383" i="9"/>
  <c r="BB169" i="9"/>
  <c r="BB161" i="9"/>
  <c r="BB153" i="9"/>
  <c r="BB145" i="9"/>
  <c r="BB137" i="9"/>
  <c r="BB129" i="9"/>
  <c r="BB165" i="9"/>
  <c r="BB164" i="9"/>
  <c r="BB157" i="9"/>
  <c r="BB156" i="9"/>
  <c r="BB149" i="9"/>
  <c r="BB148" i="9"/>
  <c r="BB166" i="9"/>
  <c r="BB158" i="9"/>
  <c r="BB150" i="9"/>
  <c r="BB142" i="9"/>
  <c r="BB133" i="9"/>
  <c r="BB128" i="9"/>
  <c r="BB141" i="9"/>
  <c r="BB140" i="9"/>
  <c r="BB134" i="9"/>
  <c r="BB132" i="9"/>
  <c r="BB126" i="9"/>
  <c r="BB147" i="9"/>
  <c r="BB163" i="9"/>
  <c r="BB152" i="9"/>
  <c r="BB160" i="9"/>
  <c r="BB127" i="9"/>
  <c r="BB136" i="9"/>
  <c r="BB155" i="9"/>
  <c r="BB159" i="9"/>
  <c r="BB168" i="9"/>
  <c r="BB144" i="9"/>
  <c r="BB131" i="9"/>
  <c r="BB143" i="9"/>
  <c r="BB139" i="9"/>
  <c r="BB138" i="9"/>
  <c r="BB154" i="9"/>
  <c r="BB167" i="9"/>
  <c r="BB151" i="9"/>
  <c r="BB162" i="9"/>
  <c r="BB146" i="9"/>
  <c r="BB130" i="9"/>
  <c r="BB135" i="9"/>
  <c r="BB382" i="9"/>
  <c r="BB385" i="9"/>
  <c r="BB381" i="9"/>
  <c r="BB384" i="9"/>
  <c r="L5" i="12"/>
  <c r="E6" i="12"/>
  <c r="M9" i="12"/>
  <c r="H6" i="12"/>
  <c r="B5" i="12"/>
  <c r="B7" i="12"/>
  <c r="F9" i="12"/>
  <c r="H9" i="12"/>
  <c r="E9" i="12"/>
  <c r="B9" i="12"/>
  <c r="D8" i="12"/>
  <c r="E8" i="12"/>
  <c r="L6" i="12"/>
  <c r="M6" i="12"/>
  <c r="M8" i="12"/>
  <c r="F8" i="12"/>
  <c r="C8" i="12"/>
  <c r="C4" i="12"/>
  <c r="E7" i="12"/>
  <c r="H4" i="12"/>
  <c r="B8" i="12"/>
  <c r="M7" i="12"/>
  <c r="H8" i="12"/>
  <c r="D7" i="12"/>
  <c r="F4" i="12"/>
  <c r="G8" i="12"/>
  <c r="G9" i="12"/>
  <c r="G6" i="12"/>
  <c r="C7" i="12"/>
  <c r="L9" i="12"/>
  <c r="F7" i="12"/>
  <c r="H7" i="12"/>
  <c r="G7" i="12"/>
  <c r="L7" i="12"/>
  <c r="L8" i="12"/>
  <c r="C9" i="12"/>
  <c r="D9" i="12"/>
  <c r="B4" i="12"/>
  <c r="M4" i="12"/>
  <c r="M5" i="12"/>
  <c r="L4" i="12"/>
  <c r="D6" i="12"/>
  <c r="D5" i="12"/>
  <c r="F6" i="12"/>
  <c r="E5" i="12"/>
  <c r="F5" i="12"/>
  <c r="C6" i="12"/>
  <c r="D4" i="12"/>
  <c r="H5" i="12"/>
  <c r="E4" i="12"/>
  <c r="B6" i="12"/>
  <c r="G5" i="12"/>
  <c r="C5" i="12"/>
  <c r="G4" i="12"/>
  <c r="D54" i="22"/>
  <c r="BA305" i="9"/>
  <c r="BA312" i="9"/>
  <c r="BA311" i="9"/>
  <c r="BA309" i="9"/>
  <c r="BA306" i="9"/>
  <c r="BA307" i="9"/>
  <c r="BA308" i="9"/>
  <c r="BA310" i="9"/>
  <c r="D211" i="22"/>
  <c r="BB346" i="9"/>
  <c r="BB350" i="9"/>
  <c r="BB341" i="9"/>
  <c r="BB325" i="9"/>
  <c r="BB337" i="9"/>
  <c r="BB345" i="9"/>
  <c r="BB338" i="9"/>
  <c r="BB318" i="9"/>
  <c r="BB329" i="9"/>
  <c r="BB330" i="9"/>
  <c r="BB324" i="9"/>
  <c r="BB333" i="9"/>
  <c r="BB316" i="9"/>
  <c r="BB321" i="9"/>
  <c r="BB317" i="9"/>
  <c r="BB313" i="9"/>
  <c r="BB293" i="9"/>
  <c r="BB285" i="9"/>
  <c r="BB281" i="9"/>
  <c r="BB289" i="9"/>
  <c r="BB284" i="9"/>
  <c r="BB282" i="9"/>
  <c r="BB286" i="9"/>
  <c r="BB277" i="9"/>
  <c r="BB269" i="9"/>
  <c r="BB273" i="9"/>
  <c r="BB266" i="9"/>
  <c r="BB265" i="9"/>
  <c r="BB274" i="9"/>
  <c r="BB278" i="9"/>
  <c r="BB287" i="9"/>
  <c r="BB292" i="9"/>
  <c r="BB271" i="9"/>
  <c r="BB320" i="9"/>
  <c r="BB294" i="9"/>
  <c r="BB343" i="9"/>
  <c r="BB348" i="9"/>
  <c r="BB270" i="9"/>
  <c r="BB272" i="9"/>
  <c r="BB334" i="9"/>
  <c r="BB344" i="9"/>
  <c r="BB283" i="9"/>
  <c r="BB328" i="9"/>
  <c r="BB336" i="9"/>
  <c r="BB331" i="9"/>
  <c r="BB268" i="9"/>
  <c r="BB275" i="9"/>
  <c r="BB276" i="9"/>
  <c r="BB290" i="9"/>
  <c r="BB326" i="9"/>
  <c r="BB303" i="9"/>
  <c r="BB349" i="9"/>
  <c r="BB340" i="9"/>
  <c r="BB352" i="9"/>
  <c r="BB279" i="9"/>
  <c r="BB288" i="9"/>
  <c r="BB323" i="9"/>
  <c r="BB351" i="9"/>
  <c r="BB342" i="9"/>
  <c r="BB319" i="9"/>
  <c r="BB280" i="9"/>
  <c r="BB314" i="9"/>
  <c r="BB322" i="9"/>
  <c r="BB327" i="9"/>
  <c r="BB304" i="9"/>
  <c r="BB335" i="9"/>
  <c r="BB332" i="9"/>
  <c r="BB295" i="9"/>
  <c r="BB315" i="9"/>
  <c r="BB339" i="9"/>
  <c r="BB291" i="9"/>
  <c r="BB267" i="9"/>
  <c r="BB347" i="9"/>
  <c r="D55" i="22"/>
  <c r="BB309" i="9"/>
  <c r="BB305" i="9"/>
  <c r="BB308" i="9"/>
  <c r="BB307" i="9"/>
  <c r="BB311" i="9"/>
  <c r="BB310" i="9"/>
  <c r="BB306" i="9"/>
  <c r="BB312" i="9"/>
  <c r="K261" i="22"/>
  <c r="I261" i="22"/>
  <c r="J261" i="22"/>
  <c r="H261" i="22"/>
  <c r="G261" i="22"/>
  <c r="F261" i="22"/>
  <c r="L261" i="22"/>
  <c r="H53" i="22"/>
  <c r="J53" i="22"/>
  <c r="I53" i="22"/>
  <c r="G53" i="22"/>
  <c r="F53" i="22"/>
  <c r="L53" i="22"/>
  <c r="K53" i="22"/>
  <c r="J209" i="22"/>
  <c r="L209" i="22"/>
  <c r="K209" i="22"/>
  <c r="I209" i="22"/>
  <c r="H209" i="22"/>
  <c r="G209" i="22"/>
  <c r="F209" i="22"/>
  <c r="D314" i="22"/>
  <c r="BA374" i="9"/>
  <c r="BA373" i="9"/>
  <c r="BA361" i="9"/>
  <c r="BA354" i="9"/>
  <c r="BA372" i="9"/>
  <c r="BA353" i="9"/>
  <c r="BA358" i="9"/>
  <c r="BA355" i="9"/>
  <c r="BA359" i="9"/>
  <c r="BA357" i="9"/>
  <c r="BA360" i="9"/>
  <c r="BA356" i="9"/>
  <c r="H157" i="22"/>
  <c r="F157" i="22"/>
  <c r="K157" i="22"/>
  <c r="L157" i="22"/>
  <c r="J157" i="22"/>
  <c r="G157" i="22"/>
  <c r="I157" i="22"/>
  <c r="D366" i="22"/>
  <c r="BA387" i="9"/>
  <c r="BA371" i="9"/>
  <c r="BA370" i="9"/>
  <c r="BA388" i="9"/>
  <c r="BA375" i="9"/>
  <c r="BA379" i="9"/>
  <c r="BA377" i="9"/>
  <c r="BA378" i="9"/>
  <c r="BA376" i="9"/>
  <c r="BA367" i="9"/>
  <c r="BA364" i="9"/>
  <c r="BA362" i="9"/>
  <c r="BA366" i="9"/>
  <c r="BA369" i="9"/>
  <c r="BA365" i="9"/>
  <c r="BA368" i="9"/>
  <c r="BA380" i="9"/>
  <c r="BA363" i="9"/>
  <c r="D367" i="22"/>
  <c r="BB387" i="9"/>
  <c r="BB371" i="9"/>
  <c r="BB370" i="9"/>
  <c r="BB388" i="9"/>
  <c r="BB375" i="9"/>
  <c r="BB376" i="9"/>
  <c r="BB367" i="9"/>
  <c r="BB378" i="9"/>
  <c r="BB364" i="9"/>
  <c r="BB379" i="9"/>
  <c r="BB380" i="9"/>
  <c r="BB368" i="9"/>
  <c r="BB362" i="9"/>
  <c r="BB366" i="9"/>
  <c r="BB363" i="9"/>
  <c r="BB369" i="9"/>
  <c r="BB377" i="9"/>
  <c r="BB365" i="9"/>
  <c r="D315" i="22"/>
  <c r="BB372" i="9"/>
  <c r="BB374" i="9"/>
  <c r="BB361" i="9"/>
  <c r="BB354" i="9"/>
  <c r="BB358" i="9"/>
  <c r="BB357" i="9"/>
  <c r="BB359" i="9"/>
  <c r="BB355" i="9"/>
  <c r="BB356" i="9"/>
  <c r="BB373" i="9"/>
  <c r="BB353" i="9"/>
  <c r="BB360" i="9"/>
  <c r="D106" i="22"/>
  <c r="BA301" i="9"/>
  <c r="BA296" i="9"/>
  <c r="BA261" i="9"/>
  <c r="BA253" i="9"/>
  <c r="BA245" i="9"/>
  <c r="BA237" i="9"/>
  <c r="BA229" i="9"/>
  <c r="BA297" i="9"/>
  <c r="BA299" i="9"/>
  <c r="BA298" i="9"/>
  <c r="BA214" i="9"/>
  <c r="BA257" i="9"/>
  <c r="BA256" i="9"/>
  <c r="BA249" i="9"/>
  <c r="BA248" i="9"/>
  <c r="BA241" i="9"/>
  <c r="BA240" i="9"/>
  <c r="BA258" i="9"/>
  <c r="BA250" i="9"/>
  <c r="BA242" i="9"/>
  <c r="BA234" i="9"/>
  <c r="BA260" i="9"/>
  <c r="BA216" i="9"/>
  <c r="BA208" i="9"/>
  <c r="BA200" i="9"/>
  <c r="BA192" i="9"/>
  <c r="BA233" i="9"/>
  <c r="BA182" i="9"/>
  <c r="BA177" i="9"/>
  <c r="BA232" i="9"/>
  <c r="BA226" i="9"/>
  <c r="BA211" i="9"/>
  <c r="BA184" i="9"/>
  <c r="BA212" i="9"/>
  <c r="BA202" i="9"/>
  <c r="BA224" i="9"/>
  <c r="BA203" i="9"/>
  <c r="BA206" i="9"/>
  <c r="BA204" i="9"/>
  <c r="BA225" i="9"/>
  <c r="BA195" i="9"/>
  <c r="BA198" i="9"/>
  <c r="BA196" i="9"/>
  <c r="BA220" i="9"/>
  <c r="BA187" i="9"/>
  <c r="BA194" i="9"/>
  <c r="BA176" i="9"/>
  <c r="BA173" i="9"/>
  <c r="BA181" i="9"/>
  <c r="BA180" i="9"/>
  <c r="BA188" i="9"/>
  <c r="BA174" i="9"/>
  <c r="BA170" i="9"/>
  <c r="BA179" i="9"/>
  <c r="BA186" i="9"/>
  <c r="BA228" i="9"/>
  <c r="BA264" i="9"/>
  <c r="BA183" i="9"/>
  <c r="BA178" i="9"/>
  <c r="BA201" i="9"/>
  <c r="BA218" i="9"/>
  <c r="BA171" i="9"/>
  <c r="BA172" i="9"/>
  <c r="BA209" i="9"/>
  <c r="BA230" i="9"/>
  <c r="BA246" i="9"/>
  <c r="BA251" i="9"/>
  <c r="BA190" i="9"/>
  <c r="BA193" i="9"/>
  <c r="BA217" i="9"/>
  <c r="BA191" i="9"/>
  <c r="BA252" i="9"/>
  <c r="BA238" i="9"/>
  <c r="BA255" i="9"/>
  <c r="BA175" i="9"/>
  <c r="BA263" i="9"/>
  <c r="BA236" i="9"/>
  <c r="BA239" i="9"/>
  <c r="BA247" i="9"/>
  <c r="BA227" i="9"/>
  <c r="BA259" i="9"/>
  <c r="BA185" i="9"/>
  <c r="BA219" i="9"/>
  <c r="BA223" i="9"/>
  <c r="BA189" i="9"/>
  <c r="BA243" i="9"/>
  <c r="BA197" i="9"/>
  <c r="BA199" i="9"/>
  <c r="BA205" i="9"/>
  <c r="BA207" i="9"/>
  <c r="BA213" i="9"/>
  <c r="BA215" i="9"/>
  <c r="BA221" i="9"/>
  <c r="BA210" i="9"/>
  <c r="BA244" i="9"/>
  <c r="BA254" i="9"/>
  <c r="BA235" i="9"/>
  <c r="BA262" i="9"/>
  <c r="BA302" i="9"/>
  <c r="BA300" i="9"/>
  <c r="BA231" i="9"/>
  <c r="BA222" i="9"/>
  <c r="D107" i="22"/>
  <c r="BB297" i="9"/>
  <c r="BB298" i="9"/>
  <c r="BB302" i="9"/>
  <c r="BB301" i="9"/>
  <c r="BB296" i="9"/>
  <c r="BB261" i="9"/>
  <c r="BB253" i="9"/>
  <c r="BB245" i="9"/>
  <c r="BB237" i="9"/>
  <c r="BB229" i="9"/>
  <c r="BB257" i="9"/>
  <c r="BB256" i="9"/>
  <c r="BB249" i="9"/>
  <c r="BB248" i="9"/>
  <c r="BB241" i="9"/>
  <c r="BB240" i="9"/>
  <c r="BB233" i="9"/>
  <c r="BB232" i="9"/>
  <c r="BB225" i="9"/>
  <c r="BB224" i="9"/>
  <c r="BB258" i="9"/>
  <c r="BB250" i="9"/>
  <c r="BB242" i="9"/>
  <c r="BB234" i="9"/>
  <c r="BB226" i="9"/>
  <c r="BB184" i="9"/>
  <c r="BB212" i="9"/>
  <c r="BB192" i="9"/>
  <c r="BB180" i="9"/>
  <c r="BB213" i="9"/>
  <c r="BB203" i="9"/>
  <c r="BB188" i="9"/>
  <c r="BB221" i="9"/>
  <c r="BB204" i="9"/>
  <c r="BB193" i="9"/>
  <c r="BB205" i="9"/>
  <c r="BB208" i="9"/>
  <c r="BB196" i="9"/>
  <c r="BB220" i="9"/>
  <c r="BB197" i="9"/>
  <c r="BB216" i="9"/>
  <c r="BB200" i="9"/>
  <c r="BB189" i="9"/>
  <c r="BB177" i="9"/>
  <c r="BB173" i="9"/>
  <c r="BB187" i="9"/>
  <c r="BB181" i="9"/>
  <c r="BB195" i="9"/>
  <c r="BB174" i="9"/>
  <c r="BB185" i="9"/>
  <c r="BB170" i="9"/>
  <c r="BB171" i="9"/>
  <c r="BB263" i="9"/>
  <c r="BB231" i="9"/>
  <c r="BB239" i="9"/>
  <c r="BB255" i="9"/>
  <c r="BB190" i="9"/>
  <c r="BB202" i="9"/>
  <c r="BB223" i="9"/>
  <c r="BB186" i="9"/>
  <c r="BB178" i="9"/>
  <c r="BB183" i="9"/>
  <c r="BB209" i="9"/>
  <c r="BB228" i="9"/>
  <c r="BB198" i="9"/>
  <c r="BB206" i="9"/>
  <c r="BB214" i="9"/>
  <c r="BB260" i="9"/>
  <c r="BB236" i="9"/>
  <c r="BB175" i="9"/>
  <c r="BB176" i="9"/>
  <c r="BB219" i="9"/>
  <c r="BB211" i="9"/>
  <c r="BB215" i="9"/>
  <c r="BB247" i="9"/>
  <c r="BB262" i="9"/>
  <c r="BB299" i="9"/>
  <c r="BB244" i="9"/>
  <c r="BB210" i="9"/>
  <c r="BB207" i="9"/>
  <c r="BB227" i="9"/>
  <c r="BB259" i="9"/>
  <c r="BB182" i="9"/>
  <c r="BB217" i="9"/>
  <c r="BB252" i="9"/>
  <c r="BB201" i="9"/>
  <c r="BB199" i="9"/>
  <c r="BB300" i="9"/>
  <c r="BB254" i="9"/>
  <c r="BB179" i="9"/>
  <c r="BB218" i="9"/>
  <c r="BB230" i="9"/>
  <c r="BB243" i="9"/>
  <c r="BB238" i="9"/>
  <c r="BB246" i="9"/>
  <c r="BB235" i="9"/>
  <c r="BB172" i="9"/>
  <c r="BB191" i="9"/>
  <c r="BB194" i="9"/>
  <c r="BB222" i="9"/>
  <c r="BB264" i="9"/>
  <c r="BB251" i="9"/>
  <c r="D262" i="22"/>
  <c r="BA386" i="9"/>
  <c r="BA383" i="9"/>
  <c r="BA169" i="9"/>
  <c r="BA161" i="9"/>
  <c r="BA153" i="9"/>
  <c r="BA145" i="9"/>
  <c r="BA137" i="9"/>
  <c r="BA129" i="9"/>
  <c r="BA168" i="9"/>
  <c r="BA165" i="9"/>
  <c r="BA164" i="9"/>
  <c r="BA157" i="9"/>
  <c r="BA156" i="9"/>
  <c r="BA149" i="9"/>
  <c r="BA148" i="9"/>
  <c r="BA141" i="9"/>
  <c r="BA140" i="9"/>
  <c r="BA166" i="9"/>
  <c r="BA158" i="9"/>
  <c r="BA150" i="9"/>
  <c r="BA142" i="9"/>
  <c r="BA132" i="9"/>
  <c r="BA126" i="9"/>
  <c r="BA133" i="9"/>
  <c r="BA134" i="9"/>
  <c r="BA127" i="9"/>
  <c r="BA130" i="9"/>
  <c r="BA135" i="9"/>
  <c r="BA139" i="9"/>
  <c r="BA155" i="9"/>
  <c r="BA152" i="9"/>
  <c r="BA163" i="9"/>
  <c r="BA159" i="9"/>
  <c r="BA162" i="9"/>
  <c r="BA146" i="9"/>
  <c r="BA143" i="9"/>
  <c r="BA131" i="9"/>
  <c r="BA154" i="9"/>
  <c r="BA151" i="9"/>
  <c r="BA136" i="9"/>
  <c r="BA147" i="9"/>
  <c r="BA144" i="9"/>
  <c r="BA128" i="9"/>
  <c r="BA138" i="9"/>
  <c r="BA167" i="9"/>
  <c r="BA160" i="9"/>
  <c r="BA382" i="9"/>
  <c r="BA381" i="9"/>
  <c r="BA385" i="9"/>
  <c r="BA384" i="9"/>
  <c r="J105" i="22"/>
  <c r="G105" i="22"/>
  <c r="L105" i="22"/>
  <c r="K105" i="22"/>
  <c r="I105" i="22"/>
  <c r="F105" i="22"/>
  <c r="H105" i="22"/>
  <c r="D158" i="22"/>
  <c r="BA125" i="9"/>
  <c r="BA121" i="9"/>
  <c r="BA113" i="9"/>
  <c r="BA105" i="9"/>
  <c r="BA93" i="9"/>
  <c r="BA29" i="9"/>
  <c r="BA109" i="9"/>
  <c r="BA81" i="9"/>
  <c r="BA73" i="9"/>
  <c r="BA65" i="9"/>
  <c r="BA57" i="9"/>
  <c r="BA49" i="9"/>
  <c r="BA45" i="9"/>
  <c r="BA102" i="9"/>
  <c r="BA85" i="9"/>
  <c r="BA80" i="9"/>
  <c r="BA72" i="9"/>
  <c r="BA64" i="9"/>
  <c r="BA56" i="9"/>
  <c r="BA47" i="9"/>
  <c r="BA101" i="9"/>
  <c r="BA97" i="9"/>
  <c r="BA71" i="9"/>
  <c r="BA63" i="9"/>
  <c r="BA98" i="9"/>
  <c r="BA96" i="9"/>
  <c r="BA86" i="9"/>
  <c r="BA89" i="9"/>
  <c r="BA77" i="9"/>
  <c r="BA117" i="9"/>
  <c r="BA41" i="9"/>
  <c r="BA25" i="9"/>
  <c r="BA61" i="9"/>
  <c r="BA55" i="9"/>
  <c r="BA17" i="9"/>
  <c r="BA13" i="9"/>
  <c r="BA5" i="9"/>
  <c r="BA37" i="9"/>
  <c r="BA33" i="9"/>
  <c r="BA32" i="9"/>
  <c r="BA53" i="9"/>
  <c r="BA34" i="9"/>
  <c r="BA60" i="9"/>
  <c r="BA38" i="9"/>
  <c r="BA35" i="9"/>
  <c r="BA12" i="9"/>
  <c r="BA48" i="9"/>
  <c r="BA23" i="9"/>
  <c r="BA21" i="9"/>
  <c r="BA69" i="9"/>
  <c r="BA8" i="9"/>
  <c r="BA31" i="9"/>
  <c r="BA30" i="9"/>
  <c r="BA9" i="9"/>
  <c r="BA10" i="9"/>
  <c r="BA11" i="9"/>
  <c r="BA67" i="9"/>
  <c r="BA66" i="9"/>
  <c r="BA84" i="9"/>
  <c r="BA91" i="9"/>
  <c r="BA108" i="9"/>
  <c r="BA123" i="9"/>
  <c r="BA14" i="9"/>
  <c r="BA15" i="9"/>
  <c r="BA90" i="9"/>
  <c r="BA20" i="9"/>
  <c r="BA44" i="9"/>
  <c r="BA28" i="9"/>
  <c r="BA59" i="9"/>
  <c r="BA19" i="9"/>
  <c r="BA26" i="9"/>
  <c r="BA118" i="9"/>
  <c r="BA54" i="9"/>
  <c r="BA94" i="9"/>
  <c r="BA50" i="9"/>
  <c r="BA18" i="9"/>
  <c r="BA51" i="9"/>
  <c r="BA52" i="9"/>
  <c r="BA79" i="9"/>
  <c r="BA74" i="9"/>
  <c r="BA111" i="9"/>
  <c r="BA7" i="9"/>
  <c r="BA75" i="9"/>
  <c r="BA22" i="9"/>
  <c r="BA83" i="9"/>
  <c r="BA82" i="9"/>
  <c r="BA104" i="9"/>
  <c r="BA58" i="9"/>
  <c r="BA16" i="9"/>
  <c r="BA6" i="9"/>
  <c r="BA88" i="9"/>
  <c r="BA40" i="9"/>
  <c r="BA24" i="9"/>
  <c r="BA43" i="9"/>
  <c r="BA76" i="9"/>
  <c r="BA46" i="9"/>
  <c r="BA95" i="9"/>
  <c r="BA114" i="9"/>
  <c r="BA115" i="9"/>
  <c r="BA39" i="9"/>
  <c r="BA68" i="9"/>
  <c r="BA27" i="9"/>
  <c r="BA36" i="9"/>
  <c r="BA103" i="9"/>
  <c r="BA122" i="9"/>
  <c r="BA62" i="9"/>
  <c r="BA70" i="9"/>
  <c r="BA78" i="9"/>
  <c r="BA120" i="9"/>
  <c r="BA106" i="9"/>
  <c r="BA112" i="9"/>
  <c r="BA42" i="9"/>
  <c r="BA100" i="9"/>
  <c r="BA99" i="9"/>
  <c r="BA87" i="9"/>
  <c r="BA92" i="9"/>
  <c r="BA119" i="9"/>
  <c r="BA124" i="9"/>
  <c r="BA116" i="9"/>
  <c r="BA107" i="9"/>
  <c r="BA110" i="9"/>
  <c r="I365" i="22"/>
  <c r="H365" i="22"/>
  <c r="G365" i="22"/>
  <c r="F365" i="22"/>
  <c r="L365" i="22"/>
  <c r="J365" i="22"/>
  <c r="K365" i="22"/>
  <c r="H313" i="22"/>
  <c r="F313" i="22"/>
  <c r="L313" i="22"/>
  <c r="K313" i="22"/>
  <c r="J313" i="22"/>
  <c r="I313" i="22"/>
  <c r="G313" i="22"/>
  <c r="D159" i="22"/>
  <c r="BB125" i="9"/>
  <c r="BB121" i="9"/>
  <c r="BB113" i="9"/>
  <c r="BB105" i="9"/>
  <c r="BB97" i="9"/>
  <c r="BB89" i="9"/>
  <c r="BB109" i="9"/>
  <c r="BB81" i="9"/>
  <c r="BB73" i="9"/>
  <c r="BB65" i="9"/>
  <c r="BB57" i="9"/>
  <c r="BB49" i="9"/>
  <c r="BB45" i="9"/>
  <c r="BB29" i="9"/>
  <c r="BB102" i="9"/>
  <c r="BB85" i="9"/>
  <c r="BB101" i="9"/>
  <c r="BB48" i="9"/>
  <c r="BB96" i="9"/>
  <c r="BB86" i="9"/>
  <c r="BB78" i="9"/>
  <c r="BB77" i="9"/>
  <c r="BB104" i="9"/>
  <c r="BB100" i="9"/>
  <c r="BB88" i="9"/>
  <c r="BB117" i="9"/>
  <c r="BB124" i="9"/>
  <c r="BB93" i="9"/>
  <c r="BB33" i="9"/>
  <c r="BB32" i="9"/>
  <c r="BB10" i="9"/>
  <c r="BB6" i="9"/>
  <c r="BB37" i="9"/>
  <c r="BB9" i="9"/>
  <c r="BB70" i="9"/>
  <c r="BB62" i="9"/>
  <c r="BB5" i="9"/>
  <c r="BB53" i="9"/>
  <c r="BB41" i="9"/>
  <c r="BB34" i="9"/>
  <c r="BB60" i="9"/>
  <c r="BB38" i="9"/>
  <c r="BB22" i="9"/>
  <c r="BB21" i="9"/>
  <c r="BB69" i="9"/>
  <c r="BB54" i="9"/>
  <c r="BB8" i="9"/>
  <c r="BB61" i="9"/>
  <c r="BB17" i="9"/>
  <c r="BB13" i="9"/>
  <c r="BB25" i="9"/>
  <c r="BB18" i="9"/>
  <c r="BB27" i="9"/>
  <c r="BB46" i="9"/>
  <c r="BB14" i="9"/>
  <c r="BB108" i="9"/>
  <c r="BB55" i="9"/>
  <c r="BB74" i="9"/>
  <c r="BB106" i="9"/>
  <c r="BB16" i="9"/>
  <c r="BB19" i="9"/>
  <c r="BB42" i="9"/>
  <c r="BB11" i="9"/>
  <c r="BB114" i="9"/>
  <c r="BB50" i="9"/>
  <c r="BB24" i="9"/>
  <c r="BB92" i="9"/>
  <c r="BB111" i="9"/>
  <c r="BB122" i="9"/>
  <c r="BB112" i="9"/>
  <c r="BB63" i="9"/>
  <c r="BB99" i="9"/>
  <c r="BB12" i="9"/>
  <c r="BB7" i="9"/>
  <c r="BB68" i="9"/>
  <c r="BB31" i="9"/>
  <c r="BB67" i="9"/>
  <c r="BB90" i="9"/>
  <c r="BB44" i="9"/>
  <c r="BB28" i="9"/>
  <c r="BB110" i="9"/>
  <c r="BB39" i="9"/>
  <c r="BB58" i="9"/>
  <c r="BB107" i="9"/>
  <c r="BB30" i="9"/>
  <c r="BB59" i="9"/>
  <c r="BB118" i="9"/>
  <c r="BB20" i="9"/>
  <c r="BB26" i="9"/>
  <c r="BB47" i="9"/>
  <c r="BB103" i="9"/>
  <c r="BB75" i="9"/>
  <c r="BB23" i="9"/>
  <c r="BB36" i="9"/>
  <c r="BB15" i="9"/>
  <c r="BB43" i="9"/>
  <c r="BB51" i="9"/>
  <c r="BB52" i="9"/>
  <c r="BB83" i="9"/>
  <c r="BB91" i="9"/>
  <c r="BB71" i="9"/>
  <c r="BB123" i="9"/>
  <c r="BB66" i="9"/>
  <c r="BB64" i="9"/>
  <c r="BB98" i="9"/>
  <c r="BB76" i="9"/>
  <c r="BB119" i="9"/>
  <c r="BB80" i="9"/>
  <c r="BB40" i="9"/>
  <c r="BB115" i="9"/>
  <c r="BB84" i="9"/>
  <c r="BB95" i="9"/>
  <c r="BB82" i="9"/>
  <c r="BB120" i="9"/>
  <c r="BB79" i="9"/>
  <c r="BB56" i="9"/>
  <c r="BB72" i="9"/>
  <c r="BB116" i="9"/>
  <c r="BB35" i="9"/>
  <c r="BB94" i="9"/>
  <c r="BB87" i="9"/>
  <c r="D210" i="22"/>
  <c r="BA345" i="9"/>
  <c r="BA346" i="9"/>
  <c r="BA350" i="9"/>
  <c r="BA341" i="9"/>
  <c r="BA333" i="9"/>
  <c r="BA317" i="9"/>
  <c r="BA313" i="9"/>
  <c r="BA293" i="9"/>
  <c r="BA336" i="9"/>
  <c r="BA325" i="9"/>
  <c r="BA304" i="9"/>
  <c r="BA339" i="9"/>
  <c r="BA337" i="9"/>
  <c r="BA318" i="9"/>
  <c r="BA331" i="9"/>
  <c r="BA329" i="9"/>
  <c r="BA319" i="9"/>
  <c r="BA316" i="9"/>
  <c r="BA321" i="9"/>
  <c r="BA277" i="9"/>
  <c r="BA269" i="9"/>
  <c r="BA294" i="9"/>
  <c r="BA283" i="9"/>
  <c r="BA285" i="9"/>
  <c r="BA303" i="9"/>
  <c r="BA281" i="9"/>
  <c r="BA295" i="9"/>
  <c r="BA289" i="9"/>
  <c r="BA284" i="9"/>
  <c r="BA276" i="9"/>
  <c r="BA273" i="9"/>
  <c r="BA266" i="9"/>
  <c r="BA268" i="9"/>
  <c r="BA265" i="9"/>
  <c r="BA274" i="9"/>
  <c r="BA270" i="9"/>
  <c r="BA291" i="9"/>
  <c r="BA275" i="9"/>
  <c r="BA278" i="9"/>
  <c r="BA324" i="9"/>
  <c r="BA322" i="9"/>
  <c r="BA343" i="9"/>
  <c r="BA348" i="9"/>
  <c r="BA272" i="9"/>
  <c r="BA280" i="9"/>
  <c r="BA271" i="9"/>
  <c r="BA320" i="9"/>
  <c r="BA315" i="9"/>
  <c r="BA349" i="9"/>
  <c r="BA342" i="9"/>
  <c r="BA287" i="9"/>
  <c r="BA330" i="9"/>
  <c r="BA332" i="9"/>
  <c r="BA352" i="9"/>
  <c r="BA292" i="9"/>
  <c r="BA340" i="9"/>
  <c r="BA267" i="9"/>
  <c r="BA327" i="9"/>
  <c r="BA314" i="9"/>
  <c r="BA286" i="9"/>
  <c r="BA328" i="9"/>
  <c r="BA282" i="9"/>
  <c r="BA326" i="9"/>
  <c r="BA323" i="9"/>
  <c r="BA335" i="9"/>
  <c r="BA279" i="9"/>
  <c r="BA288" i="9"/>
  <c r="BA344" i="9"/>
  <c r="BA334" i="9"/>
  <c r="BA351" i="9"/>
  <c r="BA338" i="9"/>
  <c r="BA347" i="9"/>
  <c r="BA290" i="9"/>
  <c r="J159" i="22" l="1"/>
  <c r="H159" i="22"/>
  <c r="F159" i="22"/>
  <c r="L159" i="22"/>
  <c r="I159" i="22"/>
  <c r="K159" i="22"/>
  <c r="G159" i="22"/>
  <c r="K158" i="22"/>
  <c r="H158" i="22"/>
  <c r="F158" i="22"/>
  <c r="L158" i="22"/>
  <c r="J158" i="22"/>
  <c r="I158" i="22"/>
  <c r="G158" i="22"/>
  <c r="G106" i="22"/>
  <c r="L106" i="22"/>
  <c r="K106" i="22"/>
  <c r="J106" i="22"/>
  <c r="I106" i="22"/>
  <c r="H106" i="22"/>
  <c r="F106" i="22"/>
  <c r="K367" i="22"/>
  <c r="J367" i="22"/>
  <c r="I367" i="22"/>
  <c r="H367" i="22"/>
  <c r="F367" i="22"/>
  <c r="L367" i="22"/>
  <c r="G367" i="22"/>
  <c r="D28" i="16"/>
  <c r="D20" i="16"/>
  <c r="C23" i="16"/>
  <c r="D21" i="16"/>
  <c r="D30" i="16"/>
  <c r="D24" i="16"/>
  <c r="C27" i="16"/>
  <c r="C8" i="16"/>
  <c r="C7" i="16"/>
  <c r="D31" i="16"/>
  <c r="D32" i="16"/>
  <c r="C31" i="16"/>
  <c r="C21" i="16"/>
  <c r="D15" i="16"/>
  <c r="D7" i="16"/>
  <c r="C17" i="18"/>
  <c r="D25" i="16"/>
  <c r="B19" i="18"/>
  <c r="D12" i="16"/>
  <c r="C30" i="16"/>
  <c r="C15" i="16"/>
  <c r="C24" i="16"/>
  <c r="C29" i="16"/>
  <c r="C20" i="16"/>
  <c r="B18" i="18"/>
  <c r="C32" i="16"/>
  <c r="D26" i="16"/>
  <c r="C19" i="16"/>
  <c r="D17" i="16"/>
  <c r="C26" i="16"/>
  <c r="D11" i="16"/>
  <c r="D10" i="16"/>
  <c r="D18" i="16"/>
  <c r="D19" i="16"/>
  <c r="C22" i="16"/>
  <c r="C18" i="16"/>
  <c r="C12" i="16"/>
  <c r="D27" i="16"/>
  <c r="D5" i="16"/>
  <c r="D8" i="16"/>
  <c r="C5" i="16"/>
  <c r="C28" i="16"/>
  <c r="C16" i="16"/>
  <c r="B17" i="18"/>
  <c r="C25" i="16"/>
  <c r="D16" i="16"/>
  <c r="D14" i="16"/>
  <c r="C19" i="18"/>
  <c r="D13" i="16"/>
  <c r="D29" i="16"/>
  <c r="C18" i="18"/>
  <c r="C10" i="16"/>
  <c r="C13" i="16"/>
  <c r="D6" i="16"/>
  <c r="D23" i="16"/>
  <c r="C14" i="16"/>
  <c r="D22" i="16"/>
  <c r="C6" i="16"/>
  <c r="C11" i="16"/>
  <c r="C16" i="18"/>
  <c r="B16" i="18"/>
  <c r="H54" i="22"/>
  <c r="I5" i="12" s="1"/>
  <c r="G54" i="22"/>
  <c r="I4" i="12" s="1"/>
  <c r="F54" i="22"/>
  <c r="K54" i="22"/>
  <c r="I8" i="12" s="1"/>
  <c r="L54" i="22"/>
  <c r="I9" i="12" s="1"/>
  <c r="J54" i="22"/>
  <c r="I7" i="12" s="1"/>
  <c r="I54" i="22"/>
  <c r="I6" i="12" s="1"/>
  <c r="D5" i="17"/>
  <c r="D10" i="12"/>
  <c r="D4" i="13"/>
  <c r="D14" i="14"/>
  <c r="D5" i="15"/>
  <c r="M5" i="13"/>
  <c r="M6" i="15"/>
  <c r="M15" i="15" s="1"/>
  <c r="M15" i="14"/>
  <c r="M24" i="14" s="1"/>
  <c r="M6" i="17"/>
  <c r="M15" i="17" s="1"/>
  <c r="H7" i="13"/>
  <c r="H8" i="15"/>
  <c r="H17" i="15" s="1"/>
  <c r="H8" i="17"/>
  <c r="H17" i="17" s="1"/>
  <c r="H17" i="14"/>
  <c r="H26" i="14" s="1"/>
  <c r="F5" i="17"/>
  <c r="F4" i="13"/>
  <c r="F14" i="14"/>
  <c r="F5" i="15"/>
  <c r="F10" i="12"/>
  <c r="H4" i="13"/>
  <c r="H14" i="14" s="1"/>
  <c r="H5" i="15"/>
  <c r="H10" i="12"/>
  <c r="H5" i="17"/>
  <c r="L7" i="15"/>
  <c r="L16" i="15" s="1"/>
  <c r="L7" i="17"/>
  <c r="L16" i="17" s="1"/>
  <c r="L6" i="13"/>
  <c r="L16" i="14"/>
  <c r="L25" i="14" s="1"/>
  <c r="B5" i="13"/>
  <c r="B6" i="17"/>
  <c r="B15" i="14"/>
  <c r="B6" i="15"/>
  <c r="L107" i="22"/>
  <c r="I107" i="22"/>
  <c r="K107" i="22"/>
  <c r="J107" i="22"/>
  <c r="H107" i="22"/>
  <c r="F107" i="22"/>
  <c r="G107" i="22"/>
  <c r="G4" i="13"/>
  <c r="G14" i="14" s="1"/>
  <c r="G5" i="17"/>
  <c r="G10" i="12"/>
  <c r="C7" i="17"/>
  <c r="C6" i="13"/>
  <c r="C7" i="15" s="1"/>
  <c r="C16" i="15" s="1"/>
  <c r="C16" i="14"/>
  <c r="C25" i="14" s="1"/>
  <c r="M10" i="12"/>
  <c r="M5" i="17"/>
  <c r="M4" i="13"/>
  <c r="M14" i="14"/>
  <c r="M5" i="15"/>
  <c r="F7" i="13"/>
  <c r="F8" i="17"/>
  <c r="F17" i="17" s="1"/>
  <c r="F17" i="14"/>
  <c r="F26" i="14" s="1"/>
  <c r="F8" i="15"/>
  <c r="F17" i="15" s="1"/>
  <c r="D8" i="17"/>
  <c r="D7" i="13"/>
  <c r="D8" i="15" s="1"/>
  <c r="D17" i="15" s="1"/>
  <c r="D17" i="14"/>
  <c r="D26" i="14" s="1"/>
  <c r="E8" i="17"/>
  <c r="E7" i="13"/>
  <c r="E17" i="14"/>
  <c r="E26" i="14" s="1"/>
  <c r="E8" i="15"/>
  <c r="E17" i="15" s="1"/>
  <c r="E8" i="13"/>
  <c r="E18" i="14" s="1"/>
  <c r="E27" i="14" s="1"/>
  <c r="E9" i="15"/>
  <c r="E18" i="15" s="1"/>
  <c r="E9" i="17"/>
  <c r="E18" i="17" s="1"/>
  <c r="H7" i="17"/>
  <c r="H6" i="13"/>
  <c r="H7" i="15"/>
  <c r="H16" i="15" s="1"/>
  <c r="H16" i="14"/>
  <c r="H25" i="14" s="1"/>
  <c r="C6" i="17"/>
  <c r="C5" i="13"/>
  <c r="C15" i="14" s="1"/>
  <c r="C24" i="14" s="1"/>
  <c r="C6" i="15"/>
  <c r="C15" i="15" s="1"/>
  <c r="F6" i="17"/>
  <c r="F5" i="13"/>
  <c r="F6" i="15" s="1"/>
  <c r="F15" i="15" s="1"/>
  <c r="B10" i="12"/>
  <c r="B5" i="17"/>
  <c r="B4" i="13"/>
  <c r="B14" i="14"/>
  <c r="B5" i="15"/>
  <c r="H9" i="17"/>
  <c r="H8" i="13"/>
  <c r="H18" i="14" s="1"/>
  <c r="H27" i="14" s="1"/>
  <c r="C10" i="12"/>
  <c r="C5" i="17"/>
  <c r="C4" i="13"/>
  <c r="C14" i="14"/>
  <c r="D9" i="17"/>
  <c r="D18" i="17" s="1"/>
  <c r="D8" i="13"/>
  <c r="D9" i="15" s="1"/>
  <c r="D18" i="15" s="1"/>
  <c r="D18" i="14"/>
  <c r="D27" i="14" s="1"/>
  <c r="M10" i="17"/>
  <c r="M9" i="13"/>
  <c r="M19" i="14"/>
  <c r="M28" i="14" s="1"/>
  <c r="M10" i="15"/>
  <c r="M19" i="15" s="1"/>
  <c r="F366" i="22"/>
  <c r="L366" i="22"/>
  <c r="K366" i="22"/>
  <c r="I366" i="22"/>
  <c r="J366" i="22"/>
  <c r="G366" i="22"/>
  <c r="H366" i="22"/>
  <c r="G6" i="17"/>
  <c r="G15" i="17" s="1"/>
  <c r="G6" i="15"/>
  <c r="G15" i="15" s="1"/>
  <c r="G5" i="13"/>
  <c r="G15" i="14"/>
  <c r="G24" i="14" s="1"/>
  <c r="E5" i="13"/>
  <c r="E6" i="15"/>
  <c r="E15" i="15" s="1"/>
  <c r="E15" i="14"/>
  <c r="E24" i="14" s="1"/>
  <c r="E6" i="17"/>
  <c r="E15" i="17" s="1"/>
  <c r="D9" i="13"/>
  <c r="D10" i="15" s="1"/>
  <c r="D19" i="15" s="1"/>
  <c r="D19" i="14"/>
  <c r="D28" i="14" s="1"/>
  <c r="D10" i="17"/>
  <c r="L10" i="17"/>
  <c r="L9" i="13"/>
  <c r="L19" i="14"/>
  <c r="L28" i="14" s="1"/>
  <c r="L10" i="15"/>
  <c r="L19" i="15" s="1"/>
  <c r="B10" i="15"/>
  <c r="B10" i="17"/>
  <c r="B9" i="13"/>
  <c r="B19" i="14"/>
  <c r="E6" i="13"/>
  <c r="E7" i="17"/>
  <c r="E16" i="17" s="1"/>
  <c r="E16" i="14"/>
  <c r="E25" i="14" s="1"/>
  <c r="E7" i="15"/>
  <c r="E16" i="15" s="1"/>
  <c r="B7" i="17"/>
  <c r="B6" i="13"/>
  <c r="B16" i="14" s="1"/>
  <c r="F7" i="17"/>
  <c r="F6" i="13"/>
  <c r="F16" i="14" s="1"/>
  <c r="F25" i="14" s="1"/>
  <c r="F7" i="15"/>
  <c r="F16" i="15" s="1"/>
  <c r="C10" i="17"/>
  <c r="C9" i="13"/>
  <c r="C19" i="14"/>
  <c r="C28" i="14" s="1"/>
  <c r="C10" i="15"/>
  <c r="C19" i="15" s="1"/>
  <c r="C8" i="17"/>
  <c r="C7" i="13"/>
  <c r="C8" i="15"/>
  <c r="C17" i="15" s="1"/>
  <c r="C17" i="14"/>
  <c r="C26" i="14" s="1"/>
  <c r="C8" i="13"/>
  <c r="C18" i="14"/>
  <c r="C27" i="14" s="1"/>
  <c r="C9" i="17"/>
  <c r="C18" i="17" s="1"/>
  <c r="C9" i="15"/>
  <c r="C18" i="15" s="1"/>
  <c r="E9" i="13"/>
  <c r="E19" i="14"/>
  <c r="E28" i="14" s="1"/>
  <c r="E10" i="15"/>
  <c r="E19" i="15" s="1"/>
  <c r="E10" i="17"/>
  <c r="E19" i="17" s="1"/>
  <c r="L6" i="17"/>
  <c r="L5" i="13"/>
  <c r="L15" i="14" s="1"/>
  <c r="L24" i="14" s="1"/>
  <c r="L6" i="15"/>
  <c r="L15" i="15" s="1"/>
  <c r="J315" i="22"/>
  <c r="I315" i="22"/>
  <c r="K315" i="22"/>
  <c r="L315" i="22"/>
  <c r="H315" i="22"/>
  <c r="G315" i="22"/>
  <c r="F315" i="22"/>
  <c r="J55" i="22"/>
  <c r="L55" i="22"/>
  <c r="K55" i="22"/>
  <c r="H55" i="22"/>
  <c r="I55" i="22"/>
  <c r="G55" i="22"/>
  <c r="F55" i="22"/>
  <c r="D5" i="13"/>
  <c r="D15" i="14" s="1"/>
  <c r="D24" i="14" s="1"/>
  <c r="D6" i="15"/>
  <c r="D15" i="15" s="1"/>
  <c r="D6" i="17"/>
  <c r="D15" i="17" s="1"/>
  <c r="L8" i="13"/>
  <c r="L18" i="14" s="1"/>
  <c r="L27" i="14" s="1"/>
  <c r="L9" i="17"/>
  <c r="G7" i="17"/>
  <c r="G6" i="13"/>
  <c r="G16" i="14" s="1"/>
  <c r="G25" i="14" s="1"/>
  <c r="G7" i="15"/>
  <c r="G16" i="15" s="1"/>
  <c r="M8" i="17"/>
  <c r="M7" i="13"/>
  <c r="M8" i="15" s="1"/>
  <c r="M17" i="15" s="1"/>
  <c r="F9" i="17"/>
  <c r="F8" i="13"/>
  <c r="F9" i="15"/>
  <c r="F18" i="15" s="1"/>
  <c r="F18" i="14"/>
  <c r="F27" i="14" s="1"/>
  <c r="H9" i="13"/>
  <c r="H19" i="14" s="1"/>
  <c r="H28" i="14" s="1"/>
  <c r="H10" i="17"/>
  <c r="J262" i="22"/>
  <c r="H262" i="22"/>
  <c r="L262" i="22"/>
  <c r="G262" i="22"/>
  <c r="K262" i="22"/>
  <c r="I262" i="22"/>
  <c r="F262" i="22"/>
  <c r="J210" i="22"/>
  <c r="G210" i="22"/>
  <c r="L210" i="22"/>
  <c r="K210" i="22"/>
  <c r="I210" i="22"/>
  <c r="H210" i="22"/>
  <c r="F210" i="22"/>
  <c r="E5" i="17"/>
  <c r="E4" i="13"/>
  <c r="E14" i="14"/>
  <c r="E5" i="15"/>
  <c r="E10" i="12"/>
  <c r="D7" i="17"/>
  <c r="D6" i="13"/>
  <c r="D7" i="15" s="1"/>
  <c r="D16" i="15" s="1"/>
  <c r="D16" i="14"/>
  <c r="D25" i="14" s="1"/>
  <c r="L7" i="13"/>
  <c r="L8" i="15" s="1"/>
  <c r="L17" i="15" s="1"/>
  <c r="L8" i="17"/>
  <c r="L17" i="17" s="1"/>
  <c r="L17" i="14"/>
  <c r="L26" i="14" s="1"/>
  <c r="G9" i="13"/>
  <c r="G19" i="14" s="1"/>
  <c r="G28" i="14" s="1"/>
  <c r="G10" i="15"/>
  <c r="G19" i="15" s="1"/>
  <c r="G10" i="17"/>
  <c r="B8" i="13"/>
  <c r="B18" i="14"/>
  <c r="B9" i="17"/>
  <c r="B9" i="15"/>
  <c r="M18" i="14"/>
  <c r="M27" i="14" s="1"/>
  <c r="M9" i="15"/>
  <c r="M18" i="15" s="1"/>
  <c r="M9" i="17"/>
  <c r="M8" i="13"/>
  <c r="F9" i="13"/>
  <c r="F19" i="14"/>
  <c r="F28" i="14" s="1"/>
  <c r="F10" i="15"/>
  <c r="F19" i="15" s="1"/>
  <c r="F10" i="17"/>
  <c r="F19" i="17" s="1"/>
  <c r="L314" i="22"/>
  <c r="K314" i="22"/>
  <c r="J314" i="22"/>
  <c r="I314" i="22"/>
  <c r="G314" i="22"/>
  <c r="H314" i="22"/>
  <c r="F314" i="22"/>
  <c r="G211" i="22"/>
  <c r="L211" i="22"/>
  <c r="K211" i="22"/>
  <c r="J211" i="22"/>
  <c r="I211" i="22"/>
  <c r="H211" i="22"/>
  <c r="F211" i="22"/>
  <c r="H6" i="17"/>
  <c r="H5" i="13"/>
  <c r="H15" i="14"/>
  <c r="H24" i="14" s="1"/>
  <c r="H6" i="15"/>
  <c r="H15" i="15" s="1"/>
  <c r="L5" i="17"/>
  <c r="L10" i="12"/>
  <c r="L4" i="13"/>
  <c r="L14" i="14"/>
  <c r="L5" i="15"/>
  <c r="G8" i="17"/>
  <c r="G17" i="17" s="1"/>
  <c r="G17" i="14"/>
  <c r="G26" i="14" s="1"/>
  <c r="G8" i="15"/>
  <c r="G17" i="15" s="1"/>
  <c r="G7" i="13"/>
  <c r="G8" i="13"/>
  <c r="G9" i="15" s="1"/>
  <c r="G18" i="15" s="1"/>
  <c r="G18" i="14"/>
  <c r="G27" i="14" s="1"/>
  <c r="G9" i="17"/>
  <c r="G18" i="17" s="1"/>
  <c r="M6" i="13"/>
  <c r="M7" i="15" s="1"/>
  <c r="M16" i="15" s="1"/>
  <c r="M7" i="17"/>
  <c r="M16" i="17" s="1"/>
  <c r="M16" i="14"/>
  <c r="M25" i="14" s="1"/>
  <c r="B8" i="17"/>
  <c r="B7" i="13"/>
  <c r="B17" i="14" s="1"/>
  <c r="B8" i="15"/>
  <c r="G263" i="22"/>
  <c r="K263" i="22"/>
  <c r="H263" i="22"/>
  <c r="L263" i="22"/>
  <c r="J263" i="22"/>
  <c r="I263" i="22"/>
  <c r="F263" i="22"/>
  <c r="G20" i="14" l="1"/>
  <c r="G23" i="14"/>
  <c r="G29" i="14" s="1"/>
  <c r="B26" i="14"/>
  <c r="I7" i="17"/>
  <c r="I6" i="13"/>
  <c r="I7" i="15" s="1"/>
  <c r="I16" i="15" s="1"/>
  <c r="I8" i="17"/>
  <c r="I7" i="13"/>
  <c r="I17" i="14" s="1"/>
  <c r="I10" i="17"/>
  <c r="I19" i="17" s="1"/>
  <c r="I9" i="13"/>
  <c r="I19" i="14" s="1"/>
  <c r="I8" i="13"/>
  <c r="I18" i="14" s="1"/>
  <c r="I9" i="17"/>
  <c r="I4" i="13"/>
  <c r="I5" i="15"/>
  <c r="I10" i="12"/>
  <c r="I5" i="17"/>
  <c r="I6" i="17"/>
  <c r="I15" i="17" s="1"/>
  <c r="I5" i="13"/>
  <c r="I15" i="14" s="1"/>
  <c r="I6" i="15"/>
  <c r="I15" i="15" s="1"/>
  <c r="H20" i="14"/>
  <c r="H23" i="14"/>
  <c r="H29" i="14" s="1"/>
  <c r="B25" i="14"/>
  <c r="C20" i="14"/>
  <c r="C23" i="14"/>
  <c r="C29" i="14" s="1"/>
  <c r="L14" i="15"/>
  <c r="B18" i="17"/>
  <c r="F16" i="17"/>
  <c r="B20" i="14"/>
  <c r="B23" i="14"/>
  <c r="H16" i="17"/>
  <c r="B17" i="17"/>
  <c r="E11" i="15"/>
  <c r="E14" i="15"/>
  <c r="G16" i="17"/>
  <c r="M19" i="17"/>
  <c r="B10" i="13"/>
  <c r="H14" i="15"/>
  <c r="E20" i="14"/>
  <c r="E23" i="14"/>
  <c r="E29" i="14" s="1"/>
  <c r="B28" i="14"/>
  <c r="E10" i="13"/>
  <c r="H19" i="17"/>
  <c r="L18" i="17"/>
  <c r="L15" i="17"/>
  <c r="B7" i="15"/>
  <c r="H9" i="15"/>
  <c r="H18" i="15" s="1"/>
  <c r="D17" i="17"/>
  <c r="M10" i="13"/>
  <c r="G5" i="15"/>
  <c r="D10" i="13"/>
  <c r="L11" i="17"/>
  <c r="L14" i="17"/>
  <c r="M18" i="17"/>
  <c r="G19" i="17"/>
  <c r="E14" i="17"/>
  <c r="E11" i="17"/>
  <c r="H10" i="15"/>
  <c r="H19" i="15" s="1"/>
  <c r="M17" i="14"/>
  <c r="M26" i="14" s="1"/>
  <c r="L9" i="15"/>
  <c r="L18" i="15" s="1"/>
  <c r="C19" i="17"/>
  <c r="C15" i="17"/>
  <c r="M14" i="17"/>
  <c r="M20" i="17" s="1"/>
  <c r="M11" i="17"/>
  <c r="C17" i="16"/>
  <c r="D9" i="16"/>
  <c r="B5" i="18"/>
  <c r="C9" i="16"/>
  <c r="J5" i="12"/>
  <c r="K5" i="12"/>
  <c r="J6" i="12"/>
  <c r="K6" i="12"/>
  <c r="B16" i="17"/>
  <c r="J7" i="12"/>
  <c r="N7" i="12" s="1"/>
  <c r="K7" i="12"/>
  <c r="J8" i="12"/>
  <c r="N8" i="12" s="1"/>
  <c r="K8" i="12"/>
  <c r="B19" i="17"/>
  <c r="M17" i="17"/>
  <c r="H18" i="17"/>
  <c r="G10" i="13"/>
  <c r="C10" i="13"/>
  <c r="F11" i="17"/>
  <c r="F14" i="17"/>
  <c r="G14" i="17"/>
  <c r="G20" i="17" s="1"/>
  <c r="G11" i="17"/>
  <c r="F11" i="15"/>
  <c r="F14" i="15"/>
  <c r="F15" i="17"/>
  <c r="F20" i="14"/>
  <c r="F23" i="14"/>
  <c r="F29" i="14" s="1"/>
  <c r="B17" i="15"/>
  <c r="B14" i="15"/>
  <c r="F15" i="14"/>
  <c r="F24" i="14" s="1"/>
  <c r="B24" i="14"/>
  <c r="F10" i="13"/>
  <c r="H15" i="17"/>
  <c r="B27" i="14"/>
  <c r="M11" i="15"/>
  <c r="M14" i="15"/>
  <c r="L10" i="13"/>
  <c r="F18" i="17"/>
  <c r="L19" i="17"/>
  <c r="C5" i="15"/>
  <c r="B14" i="17"/>
  <c r="B11" i="17"/>
  <c r="M20" i="14"/>
  <c r="M23" i="14"/>
  <c r="M29" i="14" s="1"/>
  <c r="H10" i="13"/>
  <c r="D20" i="14"/>
  <c r="D23" i="14"/>
  <c r="D29" i="14" s="1"/>
  <c r="C26" i="18"/>
  <c r="C25" i="18"/>
  <c r="C28" i="18"/>
  <c r="C22" i="18"/>
  <c r="K4" i="12"/>
  <c r="C24" i="18"/>
  <c r="C23" i="18"/>
  <c r="J4" i="12"/>
  <c r="N4" i="12" s="1"/>
  <c r="C27" i="18"/>
  <c r="D11" i="17"/>
  <c r="D14" i="17"/>
  <c r="D20" i="17" s="1"/>
  <c r="B19" i="15"/>
  <c r="B15" i="15"/>
  <c r="B18" i="15"/>
  <c r="D16" i="17"/>
  <c r="H14" i="17"/>
  <c r="H20" i="17" s="1"/>
  <c r="H11" i="17"/>
  <c r="C17" i="17"/>
  <c r="C14" i="17"/>
  <c r="C20" i="17" s="1"/>
  <c r="C11" i="17"/>
  <c r="E17" i="17"/>
  <c r="C16" i="17"/>
  <c r="B15" i="17"/>
  <c r="L20" i="14"/>
  <c r="L23" i="14"/>
  <c r="L29" i="14" s="1"/>
  <c r="D11" i="15"/>
  <c r="D14" i="15"/>
  <c r="D19" i="17"/>
  <c r="J9" i="12"/>
  <c r="N9" i="12" s="1"/>
  <c r="K9" i="12"/>
  <c r="I26" i="14" l="1"/>
  <c r="I27" i="14"/>
  <c r="I24" i="14"/>
  <c r="I28" i="14"/>
  <c r="B20" i="17"/>
  <c r="C11" i="15"/>
  <c r="C14" i="15"/>
  <c r="K16" i="14"/>
  <c r="K25" i="14" s="1"/>
  <c r="K7" i="15"/>
  <c r="K16" i="15" s="1"/>
  <c r="K6" i="13"/>
  <c r="K7" i="17"/>
  <c r="E20" i="17"/>
  <c r="I10" i="15"/>
  <c r="I16" i="14"/>
  <c r="J7" i="17"/>
  <c r="J6" i="13"/>
  <c r="N6" i="13" s="1"/>
  <c r="I18" i="17"/>
  <c r="K5" i="15"/>
  <c r="K10" i="12"/>
  <c r="K5" i="17"/>
  <c r="K4" i="13"/>
  <c r="F20" i="17"/>
  <c r="K8" i="13"/>
  <c r="K18" i="14"/>
  <c r="K27" i="14" s="1"/>
  <c r="K9" i="15"/>
  <c r="K18" i="15" s="1"/>
  <c r="K9" i="17"/>
  <c r="K18" i="17" s="1"/>
  <c r="K6" i="17"/>
  <c r="K15" i="17" s="1"/>
  <c r="K15" i="14"/>
  <c r="K24" i="14" s="1"/>
  <c r="K5" i="13"/>
  <c r="K6" i="15"/>
  <c r="K15" i="15" s="1"/>
  <c r="I9" i="15"/>
  <c r="I16" i="17"/>
  <c r="K10" i="17"/>
  <c r="K9" i="13"/>
  <c r="K10" i="15" s="1"/>
  <c r="K19" i="15" s="1"/>
  <c r="K19" i="14"/>
  <c r="K28" i="14" s="1"/>
  <c r="N28" i="14" s="1"/>
  <c r="J8" i="13"/>
  <c r="J18" i="14"/>
  <c r="J27" i="14" s="1"/>
  <c r="J9" i="15"/>
  <c r="J18" i="15" s="1"/>
  <c r="J9" i="17"/>
  <c r="J5" i="13"/>
  <c r="N5" i="13" s="1"/>
  <c r="J6" i="17"/>
  <c r="L20" i="17"/>
  <c r="B16" i="15"/>
  <c r="I14" i="17"/>
  <c r="I20" i="17" s="1"/>
  <c r="I11" i="17"/>
  <c r="I8" i="15"/>
  <c r="K8" i="17"/>
  <c r="K7" i="13"/>
  <c r="K8" i="15"/>
  <c r="K17" i="15" s="1"/>
  <c r="K17" i="14"/>
  <c r="K26" i="14" s="1"/>
  <c r="H11" i="15"/>
  <c r="J17" i="14"/>
  <c r="J26" i="14" s="1"/>
  <c r="N26" i="14" s="1"/>
  <c r="J8" i="17"/>
  <c r="J7" i="13"/>
  <c r="J8" i="15"/>
  <c r="J17" i="15" s="1"/>
  <c r="N5" i="12"/>
  <c r="N10" i="12" s="1"/>
  <c r="B6" i="18" s="1"/>
  <c r="I14" i="15"/>
  <c r="I11" i="15"/>
  <c r="J10" i="15"/>
  <c r="J19" i="15" s="1"/>
  <c r="J10" i="17"/>
  <c r="J9" i="13"/>
  <c r="J19" i="14"/>
  <c r="J28" i="14" s="1"/>
  <c r="N27" i="14"/>
  <c r="G14" i="15"/>
  <c r="G11" i="15"/>
  <c r="L11" i="15"/>
  <c r="I10" i="13"/>
  <c r="I17" i="17"/>
  <c r="J10" i="12"/>
  <c r="J5" i="17"/>
  <c r="J4" i="13"/>
  <c r="J14" i="14" s="1"/>
  <c r="B11" i="15"/>
  <c r="B29" i="14"/>
  <c r="I14" i="14"/>
  <c r="N6" i="12"/>
  <c r="J23" i="14" l="1"/>
  <c r="J19" i="17"/>
  <c r="N19" i="17" s="1"/>
  <c r="N10" i="17"/>
  <c r="J17" i="17"/>
  <c r="N8" i="17"/>
  <c r="I17" i="15"/>
  <c r="N8" i="15"/>
  <c r="J15" i="14"/>
  <c r="K10" i="13"/>
  <c r="J15" i="17"/>
  <c r="N15" i="17" s="1"/>
  <c r="N6" i="17"/>
  <c r="K14" i="17"/>
  <c r="K11" i="17"/>
  <c r="J16" i="17"/>
  <c r="N16" i="17" s="1"/>
  <c r="N7" i="17"/>
  <c r="K14" i="15"/>
  <c r="K11" i="15"/>
  <c r="I25" i="14"/>
  <c r="N16" i="14"/>
  <c r="N18" i="14"/>
  <c r="J11" i="17"/>
  <c r="J14" i="17"/>
  <c r="N5" i="17"/>
  <c r="K19" i="17"/>
  <c r="I19" i="15"/>
  <c r="N10" i="15"/>
  <c r="N14" i="17"/>
  <c r="J18" i="17"/>
  <c r="N18" i="17" s="1"/>
  <c r="N9" i="17"/>
  <c r="N8" i="13"/>
  <c r="J10" i="13"/>
  <c r="N4" i="13"/>
  <c r="I20" i="14"/>
  <c r="I23" i="14"/>
  <c r="N14" i="14"/>
  <c r="I18" i="15"/>
  <c r="N9" i="15"/>
  <c r="J5" i="15"/>
  <c r="J7" i="15"/>
  <c r="N17" i="14"/>
  <c r="N9" i="13"/>
  <c r="N7" i="13"/>
  <c r="K17" i="17"/>
  <c r="J6" i="15"/>
  <c r="K14" i="14"/>
  <c r="J16" i="14"/>
  <c r="J25" i="14" s="1"/>
  <c r="K16" i="17"/>
  <c r="N19" i="14"/>
  <c r="J14" i="15" l="1"/>
  <c r="J11" i="15"/>
  <c r="N5" i="15"/>
  <c r="J20" i="17"/>
  <c r="N20" i="14"/>
  <c r="B23" i="17"/>
  <c r="B13" i="18" s="1"/>
  <c r="K20" i="14"/>
  <c r="K23" i="14"/>
  <c r="K29" i="14" s="1"/>
  <c r="J15" i="15"/>
  <c r="N6" i="15"/>
  <c r="K20" i="17"/>
  <c r="N17" i="17"/>
  <c r="N20" i="17" s="1"/>
  <c r="B10" i="18" s="1"/>
  <c r="I29" i="14"/>
  <c r="N23" i="14"/>
  <c r="N29" i="14" s="1"/>
  <c r="B9" i="18" s="1"/>
  <c r="N25" i="14"/>
  <c r="N10" i="13"/>
  <c r="B7" i="18" s="1"/>
  <c r="J24" i="14"/>
  <c r="N24" i="14" s="1"/>
  <c r="N15" i="14"/>
  <c r="J29" i="14"/>
  <c r="J16" i="15"/>
  <c r="N7" i="15"/>
  <c r="N11" i="17"/>
  <c r="J20" i="14"/>
  <c r="N11" i="15" l="1"/>
</calcChain>
</file>

<file path=xl/sharedStrings.xml><?xml version="1.0" encoding="utf-8"?>
<sst xmlns="http://schemas.openxmlformats.org/spreadsheetml/2006/main" count="16333" uniqueCount="1453">
  <si>
    <t>USINA PETRIBÚ — PLANEJAMENTO INTEGRADO DE MANUTENÇÃO · AgroVector v1.1</t>
  </si>
  <si>
    <t>Clique no módulo para navegar (⌂ MENU em cada aba retorna aqui). Status: DADO REAL = fonte cliente/histórico · ESTIMATIVA = validar (células amarelas) · PENDENTE = falta dado do cliente.</t>
  </si>
  <si>
    <t>ENTRADAS</t>
  </si>
  <si>
    <t>📐 Premissas</t>
  </si>
  <si>
    <t>Índices por oficina (calibrados por 97.307 OS), disponibilidade MO, calendário, sazonalidade, gatilhos S/A/B/C e uso semanal por classe.</t>
  </si>
  <si>
    <t>REAL + ESTIMATIVA</t>
  </si>
  <si>
    <t>🚛 Frota</t>
  </si>
  <si>
    <t>384 ativos "Em Uso" no escopo garagem, com classe, setor e unidade de medição.</t>
  </si>
  <si>
    <t>DADO REAL</t>
  </si>
  <si>
    <t>👷 Pessoas</t>
  </si>
  <si>
    <t>Equipe por oficina com custo mensal e custo/hora automáticos.</t>
  </si>
  <si>
    <t>PENDENTE (Evandro)</t>
  </si>
  <si>
    <t>✅ Checklist</t>
  </si>
  <si>
    <t>HH incremental por classe × tipo, derivado dos gatilhos do cliente.</t>
  </si>
  <si>
    <t>MOTOR / PROGRAMAÇÃO</t>
  </si>
  <si>
    <t>📅 Cronograma por Classe</t>
  </si>
  <si>
    <t>Padrão de disparo S/A/B/C por classe × 52 semanas.</t>
  </si>
  <si>
    <t>CALCULADO</t>
  </si>
  <si>
    <t>🗓 Cronograma por Ativo</t>
  </si>
  <si>
    <t>Grade completa: 384 ativos × 52 semanas, com filtro por classe.</t>
  </si>
  <si>
    <t>📆 Agenda</t>
  </si>
  <si>
    <t>2.101 preventivas em datas reais por ativo, com responsável automático. Veja também Mapa_Preventivas (classe × mês). Todos os 384 ativos têm agenda — pico dez–mar (1.026 eventos, igual ao app).</t>
  </si>
  <si>
    <t>RESULTADOS</t>
  </si>
  <si>
    <t>📊 Plano de Preventivas</t>
  </si>
  <si>
    <t>HH preventiva por oficina × mês.</t>
  </si>
  <si>
    <t>🔧 Plano de Corretivas</t>
  </si>
  <si>
    <t>HH corretiva esperada (mix real × deflator × sazonalidade calibrada).</t>
  </si>
  <si>
    <t>⚖️ Disponibilidade</t>
  </si>
  <si>
    <t>Capacidade vs. demanda e saldo com semáforo.</t>
  </si>
  <si>
    <t>ZERADO até Pessoas</t>
  </si>
  <si>
    <t>👥 Recursos</t>
  </si>
  <si>
    <t>Headcount necessário vs. atual (gap) por oficina × mês.</t>
  </si>
  <si>
    <t>🛢 Insumos &amp; Peças</t>
  </si>
  <si>
    <t>Execuções/ano por classe × tipo — base para vincular os 5.171 itens.</t>
  </si>
  <si>
    <t>PENDENTE vínculo</t>
  </si>
  <si>
    <t>💰 Saving</t>
  </si>
  <si>
    <t>Corretiva evitada (Δ HH) e R$ quando houver custo/hora.</t>
  </si>
  <si>
    <t>PARCIAL</t>
  </si>
  <si>
    <t>📋 Resumo</t>
  </si>
  <si>
    <t>KPIs executivos: preventivas por tipo, HH por classe, custo MO, saving.</t>
  </si>
  <si>
    <t>APOIO</t>
  </si>
  <si>
    <t>📈 Calibração OS</t>
  </si>
  <si>
    <t>Mix prev/corr por oficina e sazonalidade extraídos do histórico.</t>
  </si>
  <si>
    <t>ℹ️ Leia-me</t>
  </si>
  <si>
    <t>Instruções, modelagem por classe, o que validar e pendências.</t>
  </si>
  <si>
    <t>—</t>
  </si>
  <si>
    <t>PLANEJAMENTO DE MANUTENÇÃO — USINA PETRIBÚ v1.0 · VALIDAÇÃO DOS CONSULTORES</t>
  </si>
  <si>
    <t>⌂ MENU</t>
  </si>
  <si>
    <t>1</t>
  </si>
  <si>
    <t>Objetivo</t>
  </si>
  <si>
    <t>Versão Petribú da planilha funcional (mesmo motor do app agrovector_manutencao_Petribu_v1.0). Consultores devem VALIDAR premissas, gatilhos, HH e uso semanal por classe — os resultados recalculam em tempo real.</t>
  </si>
  <si>
    <t>2</t>
  </si>
  <si>
    <t>O que já é dado real</t>
  </si>
  <si>
    <t>Frota: 384 ativos "Em Uso" no escopo garagem (aba Frota, fonte template_frota_Dados) · Sazonalidade e mix prev/corr por oficina: calibrados com 97.307 OS de ago/23 a mai/26 (aba Calibração_OS) · Gatilhos S/A/B/C: template preenchido pelo cliente · Safra: set–mar (calendário PE).</t>
  </si>
  <si>
    <t>3</t>
  </si>
  <si>
    <t>Modelagem por classe</t>
  </si>
  <si>
    <t>Como os horímetros atuais não foram informados (3 de 625) e o uso semanal é estimado por classe, o cronograma é calculado POR CLASSE e multiplicado pela quantidade de ativos — matematicamente idêntico ao cálculo ativo a ativo nessas condições. Quando os horímetros chegarem, migra-se para o modelo por ativo.</t>
  </si>
  <si>
    <t>4</t>
  </si>
  <si>
    <t>O que validar (células amarelas = estimativa)</t>
  </si>
  <si>
    <t>Uso semanal safra/entressafra por classe · HH incremental dos checklists (Carregadeira e Veículo Leve foram assumidos) · Deflator e % terceiros por oficina · Disponibilidade de MO · Distribuição das preventivas entre oficinas (hoje 100% em Central-Taisa).</t>
  </si>
  <si>
    <t>5</t>
  </si>
  <si>
    <t>Pendências que zeram resultados</t>
  </si>
  <si>
    <t>PESSOAS: não recebido — Disponibilidade, Recursos, custo/HH e Saving ficam zerados/vermelhos até preencher a aba Pessoas. Insumos: 5.171 itens sem vínculo com atividades — aba não incluída nesta versão.</t>
  </si>
  <si>
    <t>6</t>
  </si>
  <si>
    <t>Referência de conferência</t>
  </si>
  <si>
    <t>O app Petribú v1.0 com os mesmos dados calcula: 2.102 preventivas/ano · 7.988 HH preventiva/ano · 22.783 HH corretiva/ano. O Resumo desta planilha deve bater com esses números.</t>
  </si>
  <si>
    <t>7</t>
  </si>
  <si>
    <t>Cores Fabio</t>
  </si>
  <si>
    <t>VERDE OK · AMARELO atenção/estimativa · VERMELHO crítico (fonte branca). Cronograma: S verde · A amarelo · B/C vermelho.</t>
  </si>
  <si>
    <t>CALIBRAÇÃO PELO HISTÓRICO DE OS — 97.307 OS · ago/2023 a mai/2026 (template_OS_Dados.xlsx)</t>
  </si>
  <si>
    <t>MIX PREVENTIVA × CORRETIVA POR OFICINA (por contagem de OS)</t>
  </si>
  <si>
    <t>Oficina</t>
  </si>
  <si>
    <t>% Prev</t>
  </si>
  <si>
    <t>% Corr</t>
  </si>
  <si>
    <t>Nº OS</t>
  </si>
  <si>
    <t>Oficina Volante-Socorro</t>
  </si>
  <si>
    <t>Oficina Mecânica Central-Taisa</t>
  </si>
  <si>
    <t>Oficina Implementos Rodoviários</t>
  </si>
  <si>
    <t>Oficina Mecânica Externa</t>
  </si>
  <si>
    <t>Oficina Mecânica Central - Pátio Externo</t>
  </si>
  <si>
    <t>PitStop</t>
  </si>
  <si>
    <t>SAZONALIDADE DE CORRETIVAS (fator normalizado, média = 1,0)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</si>
  <si>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</si>
  <si>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</si>
  <si>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</si>
  <si>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</si>
  <si>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</si>
  <si>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</si>
  <si>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</si>
  <si>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</si>
  <si>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</si>
  <si>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</si>
  <si>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</si>
  <si>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</si>
  <si>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</si>
  <si>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Fator</t>
  </si>
  <si>
    <t>Leitura: setembro–março (safra) concentra corretivas (pico 1,42 em outubro); abril–julho é a janela de folga (vale 0,36 em junho) — ideal para preventivas pesadas e reformas. Campo hh_executadas está 0% preenchido nas OS: HH corretiva será calibrada por custo ÷ custo/HH quando Pessoas chegar.</t>
  </si>
  <si>
    <t>PREMISSAS — USINA PETRIBÚ (índices calibrados pelo histórico; amarelo = estimativa a validar)</t>
  </si>
  <si>
    <t>ÍNDICES POR OFICINA</t>
  </si>
  <si>
    <t>% Preventiva</t>
  </si>
  <si>
    <t>% Corretiva</t>
  </si>
  <si>
    <t>Check %</t>
  </si>
  <si>
    <t>Deflator (% a.a.)</t>
  </si>
  <si>
    <t>% Terceiros</t>
  </si>
  <si>
    <t>Oficina Implementos Agrícolas</t>
  </si>
  <si>
    <t>DISPONIBILIDADE DE MÃO DE OBRA (default Vector — validar com turnos reais)</t>
  </si>
  <si>
    <t>H.Brutas/dia</t>
  </si>
  <si>
    <t>Almoço (h)</t>
  </si>
  <si>
    <t>Café (h)</t>
  </si>
  <si>
    <t>Abertura OS (h)</t>
  </si>
  <si>
    <t>Produtividade %</t>
  </si>
  <si>
    <t>Absenteísmo %</t>
  </si>
  <si>
    <t>Férias %</t>
  </si>
  <si>
    <t>Trein. (h/ano)</t>
  </si>
  <si>
    <t>H.Efetivas/dia</t>
  </si>
  <si>
    <t>H.Líquidas/dia</t>
  </si>
  <si>
    <t>CALENDÁRIO E SAZONALIDADE (sazonal = calibrada pelo histórico)</t>
  </si>
  <si>
    <t>Início da safra</t>
  </si>
  <si>
    <t>2026-09-01</t>
  </si>
  <si>
    <t>Dias úteis</t>
  </si>
  <si>
    <t>Fator sazonal corretivas</t>
  </si>
  <si>
    <t>Safra (informativo)</t>
  </si>
  <si>
    <t>Fim da safra</t>
  </si>
  <si>
    <t>2027-03-31</t>
  </si>
  <si>
    <t>Sim</t>
  </si>
  <si>
    <t>Não</t>
  </si>
  <si>
    <t>TOTAL/MÉDIA</t>
  </si>
  <si>
    <t>CLASSES — GATILHOS (do template do cliente) · USO SEMANAL ESTIMADO (amarelo = validar) · QTD DA FROTA</t>
  </si>
  <si>
    <t>Classe</t>
  </si>
  <si>
    <t>Unidade</t>
  </si>
  <si>
    <t>Int. S</t>
  </si>
  <si>
    <t>Int. A</t>
  </si>
  <si>
    <t>Int. B</t>
  </si>
  <si>
    <t>Int. C</t>
  </si>
  <si>
    <t>Uso sem. SAFRA</t>
  </si>
  <si>
    <t>Uso sem. ENTRESSAFRA</t>
  </si>
  <si>
    <t>Qtd ativos</t>
  </si>
  <si>
    <t>Uso inicial</t>
  </si>
  <si>
    <t>Colhedora</t>
  </si>
  <si>
    <t>Horas</t>
  </si>
  <si>
    <t>Trator</t>
  </si>
  <si>
    <t>Caminhão</t>
  </si>
  <si>
    <t>KM</t>
  </si>
  <si>
    <t>Carregadeira/Pesada</t>
  </si>
  <si>
    <t>Veículo Leve</t>
  </si>
  <si>
    <t>Pulverizador</t>
  </si>
  <si>
    <t>Implemento</t>
  </si>
  <si>
    <t>FROTA PETRIBÚ — 384 ativos "Em Uso" no escopo garagem (fonte: template_frota_Dados.xlsx · 240 ativos fora do escopo: irrigação, motos, motores)</t>
  </si>
  <si>
    <t>id_ativo</t>
  </si>
  <si>
    <t>Descrição</t>
  </si>
  <si>
    <t>Classe (app)</t>
  </si>
  <si>
    <t>Classe Operacional</t>
  </si>
  <si>
    <t>Setor</t>
  </si>
  <si>
    <t>Ano</t>
  </si>
  <si>
    <t>Placa/Série</t>
  </si>
  <si>
    <t>101005</t>
  </si>
  <si>
    <t>MB 1725 Atego</t>
  </si>
  <si>
    <t>Cam. Comboio Abs.</t>
  </si>
  <si>
    <t>Transporte</t>
  </si>
  <si>
    <t>km</t>
  </si>
  <si>
    <t>KKA-8897</t>
  </si>
  <si>
    <t>101006</t>
  </si>
  <si>
    <t>MB 710 4X2</t>
  </si>
  <si>
    <t>Cam. Oficina</t>
  </si>
  <si>
    <t>KKM-6051</t>
  </si>
  <si>
    <t>101011</t>
  </si>
  <si>
    <t>MB 1720 6x6</t>
  </si>
  <si>
    <t>KKU-6541</t>
  </si>
  <si>
    <t>101014</t>
  </si>
  <si>
    <t>MB 1113 4x2</t>
  </si>
  <si>
    <t>Carga Seca</t>
  </si>
  <si>
    <t>KJE-0688</t>
  </si>
  <si>
    <t>101016</t>
  </si>
  <si>
    <t>MB 2423 6x4</t>
  </si>
  <si>
    <t>KJM-0447</t>
  </si>
  <si>
    <t>101028</t>
  </si>
  <si>
    <t>KKN-9637</t>
  </si>
  <si>
    <t>101047</t>
  </si>
  <si>
    <t>VW 31-320</t>
  </si>
  <si>
    <t>Cam. Basculante</t>
  </si>
  <si>
    <t>PFL-3208</t>
  </si>
  <si>
    <t>101048</t>
  </si>
  <si>
    <t>MB 3344 6x4</t>
  </si>
  <si>
    <t>Cam. Canavieiro</t>
  </si>
  <si>
    <t>Colheita</t>
  </si>
  <si>
    <t>PFL-3638</t>
  </si>
  <si>
    <t>101050</t>
  </si>
  <si>
    <t>MB 2729 6x4</t>
  </si>
  <si>
    <t>Cam. Prancha</t>
  </si>
  <si>
    <t>OYZ-1570</t>
  </si>
  <si>
    <t>101051</t>
  </si>
  <si>
    <t>Cam. Pipa</t>
  </si>
  <si>
    <t>OYZ-4380</t>
  </si>
  <si>
    <t>101052</t>
  </si>
  <si>
    <t>OYZ-4F10</t>
  </si>
  <si>
    <t>101053</t>
  </si>
  <si>
    <t>OYZ-4420</t>
  </si>
  <si>
    <t>101054</t>
  </si>
  <si>
    <t>OYZ-4470</t>
  </si>
  <si>
    <t>101082</t>
  </si>
  <si>
    <t>MB 2540 6x2</t>
  </si>
  <si>
    <t>Cav. Mecânico</t>
  </si>
  <si>
    <t>KJL-4686</t>
  </si>
  <si>
    <t>101083</t>
  </si>
  <si>
    <t>KJX-6316</t>
  </si>
  <si>
    <t>101084</t>
  </si>
  <si>
    <t>KJX-6196</t>
  </si>
  <si>
    <t>101086</t>
  </si>
  <si>
    <t>KKM-7816</t>
  </si>
  <si>
    <t>101105</t>
  </si>
  <si>
    <t>MB 2638 6x4</t>
  </si>
  <si>
    <t>KJO-7819</t>
  </si>
  <si>
    <t>101110</t>
  </si>
  <si>
    <t>OYT-9360</t>
  </si>
  <si>
    <t>101111</t>
  </si>
  <si>
    <t>OYW-0601</t>
  </si>
  <si>
    <t>101112</t>
  </si>
  <si>
    <t>OYT-9200</t>
  </si>
  <si>
    <t>101113</t>
  </si>
  <si>
    <t>OYT-9510</t>
  </si>
  <si>
    <t>101114</t>
  </si>
  <si>
    <t>OYR-3730</t>
  </si>
  <si>
    <t>101115</t>
  </si>
  <si>
    <t>OYR3I80</t>
  </si>
  <si>
    <t>101116</t>
  </si>
  <si>
    <t>OYR-3840</t>
  </si>
  <si>
    <t>101117</t>
  </si>
  <si>
    <t>OYS6D70</t>
  </si>
  <si>
    <t>101118</t>
  </si>
  <si>
    <t>OYR-3820</t>
  </si>
  <si>
    <t>101120</t>
  </si>
  <si>
    <t>OYW-6671</t>
  </si>
  <si>
    <t>101121</t>
  </si>
  <si>
    <t>OYW-6611</t>
  </si>
  <si>
    <t>101122</t>
  </si>
  <si>
    <t>OYW-6791</t>
  </si>
  <si>
    <t>101123</t>
  </si>
  <si>
    <t>OYW-6711</t>
  </si>
  <si>
    <t>101124</t>
  </si>
  <si>
    <t>OYW-6751</t>
  </si>
  <si>
    <t>101125</t>
  </si>
  <si>
    <t>MB 1719-Atego</t>
  </si>
  <si>
    <t>PCW-9405</t>
  </si>
  <si>
    <t>101126</t>
  </si>
  <si>
    <t>PCW-9325</t>
  </si>
  <si>
    <t>101127</t>
  </si>
  <si>
    <t>PCW-9295</t>
  </si>
  <si>
    <t>101128</t>
  </si>
  <si>
    <t>PCW-9C05</t>
  </si>
  <si>
    <t>101129</t>
  </si>
  <si>
    <t>PCW-9145</t>
  </si>
  <si>
    <t>101130</t>
  </si>
  <si>
    <t>PCW-8225</t>
  </si>
  <si>
    <t>101131</t>
  </si>
  <si>
    <t>PCW-8A25</t>
  </si>
  <si>
    <t>101132</t>
  </si>
  <si>
    <t>PCW-8475</t>
  </si>
  <si>
    <t>101133</t>
  </si>
  <si>
    <t>PDA-6795</t>
  </si>
  <si>
    <t>101134</t>
  </si>
  <si>
    <t>PDA-6875</t>
  </si>
  <si>
    <t>101135</t>
  </si>
  <si>
    <t>PCW-7995</t>
  </si>
  <si>
    <t>101136</t>
  </si>
  <si>
    <t>Cam. Herbicida</t>
  </si>
  <si>
    <t>PCW-8535</t>
  </si>
  <si>
    <t>101137</t>
  </si>
  <si>
    <t>PCW-8785</t>
  </si>
  <si>
    <t>101138</t>
  </si>
  <si>
    <t>PCW-8655</t>
  </si>
  <si>
    <t>101139</t>
  </si>
  <si>
    <t>PDA-8465</t>
  </si>
  <si>
    <t>101140</t>
  </si>
  <si>
    <t>PDA-8665</t>
  </si>
  <si>
    <t>101141</t>
  </si>
  <si>
    <t>PDA-9455</t>
  </si>
  <si>
    <t>101142</t>
  </si>
  <si>
    <t>MB 2730 6X4</t>
  </si>
  <si>
    <t>Cam. Munck</t>
  </si>
  <si>
    <t>PDA-9565</t>
  </si>
  <si>
    <t>101143</t>
  </si>
  <si>
    <t>PDA-9645</t>
  </si>
  <si>
    <t>101144</t>
  </si>
  <si>
    <t>PCX-9359</t>
  </si>
  <si>
    <t>101145</t>
  </si>
  <si>
    <t>PCW-9015</t>
  </si>
  <si>
    <t>101146</t>
  </si>
  <si>
    <t>PCW-8945</t>
  </si>
  <si>
    <t>101147</t>
  </si>
  <si>
    <t>PEB-8G36</t>
  </si>
  <si>
    <t>101148</t>
  </si>
  <si>
    <t>PEB-9106</t>
  </si>
  <si>
    <t>101149</t>
  </si>
  <si>
    <t>PEB-8E36</t>
  </si>
  <si>
    <t>101150</t>
  </si>
  <si>
    <t>PDA-7J65</t>
  </si>
  <si>
    <t>101151</t>
  </si>
  <si>
    <t>PDA-9725</t>
  </si>
  <si>
    <t>101152</t>
  </si>
  <si>
    <t>PDA-8225</t>
  </si>
  <si>
    <t>101153</t>
  </si>
  <si>
    <t>PDA-8D55</t>
  </si>
  <si>
    <t>101154</t>
  </si>
  <si>
    <t>PDA-8065</t>
  </si>
  <si>
    <t>101155</t>
  </si>
  <si>
    <t>PCW-0399</t>
  </si>
  <si>
    <t>101156</t>
  </si>
  <si>
    <t>PEB-8506</t>
  </si>
  <si>
    <t>101157</t>
  </si>
  <si>
    <t>PEB-8566</t>
  </si>
  <si>
    <t>101158</t>
  </si>
  <si>
    <t>Volvo FM 480</t>
  </si>
  <si>
    <t>CUC-2264</t>
  </si>
  <si>
    <t>101159</t>
  </si>
  <si>
    <t>CUC-2265</t>
  </si>
  <si>
    <t>101160</t>
  </si>
  <si>
    <t>MB 2318 6x2</t>
  </si>
  <si>
    <t>KFM-6404</t>
  </si>
  <si>
    <t>101162</t>
  </si>
  <si>
    <t>QYK 9G23</t>
  </si>
  <si>
    <t>101163</t>
  </si>
  <si>
    <t>QYK7F43</t>
  </si>
  <si>
    <t>101164</t>
  </si>
  <si>
    <t>QYK 9F43</t>
  </si>
  <si>
    <t>101165</t>
  </si>
  <si>
    <t>QYK 9H03</t>
  </si>
  <si>
    <t>101166</t>
  </si>
  <si>
    <t>QYK 9J93</t>
  </si>
  <si>
    <t>101167</t>
  </si>
  <si>
    <t>QYK-5D75</t>
  </si>
  <si>
    <t>101168</t>
  </si>
  <si>
    <t>QYK 9I83</t>
  </si>
  <si>
    <t>101169</t>
  </si>
  <si>
    <t>QYK 9I13</t>
  </si>
  <si>
    <t>101170</t>
  </si>
  <si>
    <t>QYK0A24</t>
  </si>
  <si>
    <t>101171</t>
  </si>
  <si>
    <t>QYK-4G39</t>
  </si>
  <si>
    <t>101172</t>
  </si>
  <si>
    <t>QYK-5B29</t>
  </si>
  <si>
    <t>101173</t>
  </si>
  <si>
    <t>QYK-4J29</t>
  </si>
  <si>
    <t>101174</t>
  </si>
  <si>
    <t>QYO5A07</t>
  </si>
  <si>
    <t>101175</t>
  </si>
  <si>
    <t>QYO4F45</t>
  </si>
  <si>
    <t>101176</t>
  </si>
  <si>
    <t>QYO4J39</t>
  </si>
  <si>
    <t>101179</t>
  </si>
  <si>
    <t>RZE6I98</t>
  </si>
  <si>
    <t>101180</t>
  </si>
  <si>
    <t>RZE6J58</t>
  </si>
  <si>
    <t>101182</t>
  </si>
  <si>
    <t>ACCELO 815/46</t>
  </si>
  <si>
    <t>RZU-0I09</t>
  </si>
  <si>
    <t>101183</t>
  </si>
  <si>
    <t>RZV-4H47</t>
  </si>
  <si>
    <t>101184</t>
  </si>
  <si>
    <t>RZV-4H87</t>
  </si>
  <si>
    <t>101185</t>
  </si>
  <si>
    <t>SNS-3E88</t>
  </si>
  <si>
    <t>101186</t>
  </si>
  <si>
    <t>SNS-3G98</t>
  </si>
  <si>
    <t>101187</t>
  </si>
  <si>
    <t>SNS-3H58</t>
  </si>
  <si>
    <t>101188</t>
  </si>
  <si>
    <t>VW 17.210</t>
  </si>
  <si>
    <t>SOY-0C63</t>
  </si>
  <si>
    <t>101189</t>
  </si>
  <si>
    <t>VW 27.260</t>
  </si>
  <si>
    <t>SOY-0D93</t>
  </si>
  <si>
    <t>101190</t>
  </si>
  <si>
    <t>VW 33-480</t>
  </si>
  <si>
    <t>SOY-5C34</t>
  </si>
  <si>
    <t>101200</t>
  </si>
  <si>
    <t>MB 3351 Arocs 6x4</t>
  </si>
  <si>
    <t>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</si>
  <si>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</si>
  <si>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</si>
  <si>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</si>
  <si>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</si>
  <si>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</si>
  <si>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</si>
  <si>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</si>
  <si>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</si>
  <si>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</si>
  <si>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</si>
  <si>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</si>
  <si>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</si>
  <si>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</si>
  <si>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</si>
  <si>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</si>
  <si>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102006</t>
  </si>
  <si>
    <t>MB 1722 - Onibus</t>
  </si>
  <si>
    <t>Onibus</t>
  </si>
  <si>
    <t>KKX-0988</t>
  </si>
  <si>
    <t>102007</t>
  </si>
  <si>
    <t>KKX-0778</t>
  </si>
  <si>
    <t>102008</t>
  </si>
  <si>
    <t>KKS-9798</t>
  </si>
  <si>
    <t>102009</t>
  </si>
  <si>
    <t>KKX-0558</t>
  </si>
  <si>
    <t>102010</t>
  </si>
  <si>
    <t>KKW-9758</t>
  </si>
  <si>
    <t>102011</t>
  </si>
  <si>
    <t>KKX-0078</t>
  </si>
  <si>
    <t>102012</t>
  </si>
  <si>
    <t>KKX-0198</t>
  </si>
  <si>
    <t>102013</t>
  </si>
  <si>
    <t>KKX-0358</t>
  </si>
  <si>
    <t>102014</t>
  </si>
  <si>
    <t>KKX-0468</t>
  </si>
  <si>
    <t>102015</t>
  </si>
  <si>
    <t>KKX-0508</t>
  </si>
  <si>
    <t>102016</t>
  </si>
  <si>
    <t>KKX-1088</t>
  </si>
  <si>
    <t>103074</t>
  </si>
  <si>
    <t>Fiat Strada 1.4</t>
  </si>
  <si>
    <t>Utilitario</t>
  </si>
  <si>
    <t>PCF-7708</t>
  </si>
  <si>
    <t>103075</t>
  </si>
  <si>
    <t>PCF-7478</t>
  </si>
  <si>
    <t>103076</t>
  </si>
  <si>
    <t>PCF-7798</t>
  </si>
  <si>
    <t>103077</t>
  </si>
  <si>
    <t>PCF-7658</t>
  </si>
  <si>
    <t>103078</t>
  </si>
  <si>
    <t>PCF-8438</t>
  </si>
  <si>
    <t>103081</t>
  </si>
  <si>
    <t>PCF-8288</t>
  </si>
  <si>
    <t>103083</t>
  </si>
  <si>
    <t>PGX-6651</t>
  </si>
  <si>
    <t>103084</t>
  </si>
  <si>
    <t>Chevrolet S10 LS</t>
  </si>
  <si>
    <t>QYE-5016</t>
  </si>
  <si>
    <t>103085</t>
  </si>
  <si>
    <t>QYE-4886</t>
  </si>
  <si>
    <t>103086</t>
  </si>
  <si>
    <t>QYE-7329</t>
  </si>
  <si>
    <t>103087</t>
  </si>
  <si>
    <t>QYE-7569</t>
  </si>
  <si>
    <t>103088</t>
  </si>
  <si>
    <t>QYE-7709</t>
  </si>
  <si>
    <t>103089</t>
  </si>
  <si>
    <t>QYE-7449</t>
  </si>
  <si>
    <t>103092</t>
  </si>
  <si>
    <t>Passat CC 3.6</t>
  </si>
  <si>
    <t>Automovel</t>
  </si>
  <si>
    <t>Diretoria</t>
  </si>
  <si>
    <t>PEE-1C60</t>
  </si>
  <si>
    <t>103093</t>
  </si>
  <si>
    <t>Ford/Jeep</t>
  </si>
  <si>
    <t>KFI-7165</t>
  </si>
  <si>
    <t>103094</t>
  </si>
  <si>
    <t>Ambulância</t>
  </si>
  <si>
    <t>QYO1F90</t>
  </si>
  <si>
    <t>103095</t>
  </si>
  <si>
    <t>Land Rover</t>
  </si>
  <si>
    <t>PGO-4787</t>
  </si>
  <si>
    <t>103096</t>
  </si>
  <si>
    <t>Renegade Moab 2.0</t>
  </si>
  <si>
    <t>QYS-6E95</t>
  </si>
  <si>
    <t>103097</t>
  </si>
  <si>
    <t>TIGGO 8</t>
  </si>
  <si>
    <t>QYW-0C77</t>
  </si>
  <si>
    <t>103098</t>
  </si>
  <si>
    <t>TIGGO 5</t>
  </si>
  <si>
    <t>RZM 8B71</t>
  </si>
  <si>
    <t>103099</t>
  </si>
  <si>
    <t>Fiat Strada Endu.1.4</t>
  </si>
  <si>
    <t>RZV-2I40</t>
  </si>
  <si>
    <t>103100</t>
  </si>
  <si>
    <t>RZV-2G30</t>
  </si>
  <si>
    <t>103101</t>
  </si>
  <si>
    <t>RZV-2H50</t>
  </si>
  <si>
    <t>103102</t>
  </si>
  <si>
    <t>RZV-2D80</t>
  </si>
  <si>
    <t>103103</t>
  </si>
  <si>
    <t>Toyota Hilux CD</t>
  </si>
  <si>
    <t>RZV-1E21</t>
  </si>
  <si>
    <t>103104</t>
  </si>
  <si>
    <t>RZV-1D51</t>
  </si>
  <si>
    <t>103105</t>
  </si>
  <si>
    <t>Toyota Hilux CS</t>
  </si>
  <si>
    <t>RZV-0C92</t>
  </si>
  <si>
    <t>103106</t>
  </si>
  <si>
    <t>RZV-0D72</t>
  </si>
  <si>
    <t>103107</t>
  </si>
  <si>
    <t>RZV-0F52</t>
  </si>
  <si>
    <t>103108</t>
  </si>
  <si>
    <t>RZV-0B52</t>
  </si>
  <si>
    <t>103109</t>
  </si>
  <si>
    <t>RZV-6E63</t>
  </si>
  <si>
    <t>103110</t>
  </si>
  <si>
    <t>RZV-6F83</t>
  </si>
  <si>
    <t>103111</t>
  </si>
  <si>
    <t>RZV-6A43</t>
  </si>
  <si>
    <t>103112</t>
  </si>
  <si>
    <t>RZV-6I13</t>
  </si>
  <si>
    <t>103113</t>
  </si>
  <si>
    <t>RZV-6B43</t>
  </si>
  <si>
    <t>103114</t>
  </si>
  <si>
    <t>RZV-6G73</t>
  </si>
  <si>
    <t>103115</t>
  </si>
  <si>
    <t>RZV-5J33</t>
  </si>
  <si>
    <t>103116</t>
  </si>
  <si>
    <t>RZV-6J03</t>
  </si>
  <si>
    <t>103117</t>
  </si>
  <si>
    <t>Fiorino Endu. 1.4</t>
  </si>
  <si>
    <t>RZY-0J25</t>
  </si>
  <si>
    <t>103118</t>
  </si>
  <si>
    <t>Jeep Comander T270</t>
  </si>
  <si>
    <t>RZZ-5F80</t>
  </si>
  <si>
    <t>103119</t>
  </si>
  <si>
    <t>Jeep Com.Sport T270</t>
  </si>
  <si>
    <t>SNN-8I03</t>
  </si>
  <si>
    <t>103120</t>
  </si>
  <si>
    <t>RMK-3C34</t>
  </si>
  <si>
    <t>103121</t>
  </si>
  <si>
    <t>SOL-7B95</t>
  </si>
  <si>
    <t>103122</t>
  </si>
  <si>
    <t>Rampage</t>
  </si>
  <si>
    <t>SON-5J17</t>
  </si>
  <si>
    <t>105033</t>
  </si>
  <si>
    <t>NH TL-75 4x4</t>
  </si>
  <si>
    <t>Trator Pneu Leve</t>
  </si>
  <si>
    <t>Motomecanização</t>
  </si>
  <si>
    <t>h</t>
  </si>
  <si>
    <t>105075</t>
  </si>
  <si>
    <t>105076</t>
  </si>
  <si>
    <t>105082</t>
  </si>
  <si>
    <t>NH TL-85 4x4</t>
  </si>
  <si>
    <t>105091</t>
  </si>
  <si>
    <t>105092</t>
  </si>
  <si>
    <t>105095</t>
  </si>
  <si>
    <t>John Deere- 5090E</t>
  </si>
  <si>
    <t>105096</t>
  </si>
  <si>
    <t>105097</t>
  </si>
  <si>
    <t>105098</t>
  </si>
  <si>
    <t>105099</t>
  </si>
  <si>
    <t>105100</t>
  </si>
  <si>
    <t>105101</t>
  </si>
  <si>
    <t>105102</t>
  </si>
  <si>
    <t>105103</t>
  </si>
  <si>
    <t>105104</t>
  </si>
  <si>
    <t>John Deere 6135J</t>
  </si>
  <si>
    <t>Trator Pneu Médio</t>
  </si>
  <si>
    <t>105105</t>
  </si>
  <si>
    <t>105106</t>
  </si>
  <si>
    <t>105107</t>
  </si>
  <si>
    <t>105108</t>
  </si>
  <si>
    <t>John Deere 6190J</t>
  </si>
  <si>
    <t>Trator Pneu Pesado</t>
  </si>
  <si>
    <t>105109</t>
  </si>
  <si>
    <t>105110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</si>
  <si>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</si>
  <si>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</si>
  <si>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</si>
  <si>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</si>
  <si>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</si>
  <si>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</si>
  <si>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</si>
  <si>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</si>
  <si>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</si>
  <si>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</si>
  <si>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</si>
  <si>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</si>
  <si>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</si>
  <si>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</si>
  <si>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</si>
  <si>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</si>
  <si>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</si>
  <si>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</si>
  <si>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</si>
  <si>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</si>
  <si>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</si>
  <si>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</si>
  <si>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</si>
  <si>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</si>
  <si>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</si>
  <si>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</si>
  <si>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</si>
  <si>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</si>
  <si>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</si>
  <si>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</si>
  <si>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</si>
  <si>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</si>
  <si>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</si>
  <si>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John Deere 7200</t>
  </si>
  <si>
    <t>105157</t>
  </si>
  <si>
    <t>105158</t>
  </si>
  <si>
    <t>105159</t>
  </si>
  <si>
    <t>105160</t>
  </si>
  <si>
    <t>105161</t>
  </si>
  <si>
    <t>105162</t>
  </si>
  <si>
    <t>105163</t>
  </si>
  <si>
    <t>NH TL-95E 4x4</t>
  </si>
  <si>
    <t>105164</t>
  </si>
  <si>
    <t>Valtra BH-194 4x4</t>
  </si>
  <si>
    <t>VBH-5164</t>
  </si>
  <si>
    <t>105165</t>
  </si>
  <si>
    <t>VBH-5165</t>
  </si>
  <si>
    <t>105166</t>
  </si>
  <si>
    <t>VBH-5166</t>
  </si>
  <si>
    <t>105167</t>
  </si>
  <si>
    <t>105168</t>
  </si>
  <si>
    <t>105169</t>
  </si>
  <si>
    <t>105170</t>
  </si>
  <si>
    <t>VBH-5170</t>
  </si>
  <si>
    <t>105171</t>
  </si>
  <si>
    <t>105172</t>
  </si>
  <si>
    <t>105173</t>
  </si>
  <si>
    <t>VBH-5173</t>
  </si>
  <si>
    <t>105174</t>
  </si>
  <si>
    <t>VBH-5174</t>
  </si>
  <si>
    <t>105175</t>
  </si>
  <si>
    <t>Valtra BM-135 4x4</t>
  </si>
  <si>
    <t>VBM-5175</t>
  </si>
  <si>
    <t>105176</t>
  </si>
  <si>
    <t>VBM-5176</t>
  </si>
  <si>
    <t>105177</t>
  </si>
  <si>
    <t>VBM-5177</t>
  </si>
  <si>
    <t>105178</t>
  </si>
  <si>
    <t>VBM-5178</t>
  </si>
  <si>
    <t>105179</t>
  </si>
  <si>
    <t>VBM-5179</t>
  </si>
  <si>
    <t>105180</t>
  </si>
  <si>
    <t>VBM-5180</t>
  </si>
  <si>
    <t>105181</t>
  </si>
  <si>
    <t>VBM-5181</t>
  </si>
  <si>
    <t>105182</t>
  </si>
  <si>
    <t>VBM-5182</t>
  </si>
  <si>
    <t>105183</t>
  </si>
  <si>
    <t>VBM-5183</t>
  </si>
  <si>
    <t>105184</t>
  </si>
  <si>
    <t>VBM-5184</t>
  </si>
  <si>
    <t>105185</t>
  </si>
  <si>
    <t>VBM-5185</t>
  </si>
  <si>
    <t>105186</t>
  </si>
  <si>
    <t>105187</t>
  </si>
  <si>
    <t>VBM-5187</t>
  </si>
  <si>
    <t>105188</t>
  </si>
  <si>
    <t>VBM-5188</t>
  </si>
  <si>
    <t>105189</t>
  </si>
  <si>
    <t>John Deere 6190M</t>
  </si>
  <si>
    <t>105190</t>
  </si>
  <si>
    <t>105191</t>
  </si>
  <si>
    <t>105192</t>
  </si>
  <si>
    <t>105193</t>
  </si>
  <si>
    <t>105194</t>
  </si>
  <si>
    <t>105195</t>
  </si>
  <si>
    <t>105196</t>
  </si>
  <si>
    <t>106025</t>
  </si>
  <si>
    <t>Valtra 885</t>
  </si>
  <si>
    <t>Carreg. Conv.</t>
  </si>
  <si>
    <t>106048</t>
  </si>
  <si>
    <t>Valtra BM-100</t>
  </si>
  <si>
    <t>106049</t>
  </si>
  <si>
    <t>106050</t>
  </si>
  <si>
    <t>106051</t>
  </si>
  <si>
    <t>106054</t>
  </si>
  <si>
    <t>NH TS-90</t>
  </si>
  <si>
    <t>106055</t>
  </si>
  <si>
    <t>106057</t>
  </si>
  <si>
    <t>106058</t>
  </si>
  <si>
    <t>106060</t>
  </si>
  <si>
    <t>106061</t>
  </si>
  <si>
    <t>106064</t>
  </si>
  <si>
    <t>106065</t>
  </si>
  <si>
    <t>106067</t>
  </si>
  <si>
    <t>106068</t>
  </si>
  <si>
    <t>106069</t>
  </si>
  <si>
    <t>109006</t>
  </si>
  <si>
    <t>John Deere-524K</t>
  </si>
  <si>
    <t>Pá Mecanica</t>
  </si>
  <si>
    <t>109007</t>
  </si>
  <si>
    <t>109008</t>
  </si>
  <si>
    <t>109009</t>
  </si>
  <si>
    <t>110108</t>
  </si>
  <si>
    <t>John Deere- 670 G</t>
  </si>
  <si>
    <t>Motoniveladora</t>
  </si>
  <si>
    <t>110109</t>
  </si>
  <si>
    <t>110110</t>
  </si>
  <si>
    <t>John Deere- 620 G</t>
  </si>
  <si>
    <t>JDE-0110</t>
  </si>
  <si>
    <t>111108</t>
  </si>
  <si>
    <t>Jonh  Deere750 J II</t>
  </si>
  <si>
    <t>Trator Esteira</t>
  </si>
  <si>
    <t>Agrícola</t>
  </si>
  <si>
    <t>111109</t>
  </si>
  <si>
    <t>JDE-1109</t>
  </si>
  <si>
    <t>111110</t>
  </si>
  <si>
    <t>112005</t>
  </si>
  <si>
    <t>Komatsu 78US</t>
  </si>
  <si>
    <t>Esc. Hidraulica</t>
  </si>
  <si>
    <t>112006</t>
  </si>
  <si>
    <t>Jonh  Deere 210 GLC</t>
  </si>
  <si>
    <t>112007</t>
  </si>
  <si>
    <t>ESC-2007</t>
  </si>
  <si>
    <t>112008</t>
  </si>
  <si>
    <t>116104</t>
  </si>
  <si>
    <t>310 L</t>
  </si>
  <si>
    <t>Retro Escavadeira</t>
  </si>
  <si>
    <t>119001</t>
  </si>
  <si>
    <t>NH TK-4060</t>
  </si>
  <si>
    <t>Trator Agricola Esteira-TK</t>
  </si>
  <si>
    <t>119002</t>
  </si>
  <si>
    <t>119003</t>
  </si>
  <si>
    <t>119004</t>
  </si>
  <si>
    <t>NH TK-4.100</t>
  </si>
  <si>
    <t>119005</t>
  </si>
  <si>
    <t>119006</t>
  </si>
  <si>
    <t>NH TK-90A</t>
  </si>
  <si>
    <t>140008</t>
  </si>
  <si>
    <t>Super Cargo</t>
  </si>
  <si>
    <t>Trator Empilhadeira</t>
  </si>
  <si>
    <t>JJJ-5555</t>
  </si>
  <si>
    <t>140010</t>
  </si>
  <si>
    <t>Manipulador JCB</t>
  </si>
  <si>
    <t>Manipulador Telescopico</t>
  </si>
  <si>
    <t>140011</t>
  </si>
  <si>
    <t>140012</t>
  </si>
  <si>
    <t>JD-CH-570</t>
  </si>
  <si>
    <t>Colhedora Cana</t>
  </si>
  <si>
    <t>140013</t>
  </si>
  <si>
    <t>JDE-0013</t>
  </si>
  <si>
    <t>140014</t>
  </si>
  <si>
    <t>Case IH A9900</t>
  </si>
  <si>
    <t>CAS-0014</t>
  </si>
  <si>
    <t>140015</t>
  </si>
  <si>
    <t>140016</t>
  </si>
  <si>
    <t>140017</t>
  </si>
  <si>
    <t>140018</t>
  </si>
  <si>
    <t>140019</t>
  </si>
  <si>
    <t>144101</t>
  </si>
  <si>
    <t>Compac CA-15</t>
  </si>
  <si>
    <t>Compactador</t>
  </si>
  <si>
    <t>164001</t>
  </si>
  <si>
    <t>Bell SC-800</t>
  </si>
  <si>
    <t>Carreg. Bell</t>
  </si>
  <si>
    <t>164002</t>
  </si>
  <si>
    <t>164003</t>
  </si>
  <si>
    <t>164005</t>
  </si>
  <si>
    <t>164006</t>
  </si>
  <si>
    <t>164007</t>
  </si>
  <si>
    <t>164008</t>
  </si>
  <si>
    <t>164026</t>
  </si>
  <si>
    <t>164027</t>
  </si>
  <si>
    <t>164032</t>
  </si>
  <si>
    <t>164033</t>
  </si>
  <si>
    <t>164034</t>
  </si>
  <si>
    <t>164041</t>
  </si>
  <si>
    <t>164042</t>
  </si>
  <si>
    <t>164043</t>
  </si>
  <si>
    <t>164048</t>
  </si>
  <si>
    <t>164049</t>
  </si>
  <si>
    <t>164050</t>
  </si>
  <si>
    <t>164051</t>
  </si>
  <si>
    <t>164052</t>
  </si>
  <si>
    <t>164054</t>
  </si>
  <si>
    <t>164055</t>
  </si>
  <si>
    <t>164056</t>
  </si>
  <si>
    <t>164057</t>
  </si>
  <si>
    <t>164058</t>
  </si>
  <si>
    <t>164059</t>
  </si>
  <si>
    <t>164060</t>
  </si>
  <si>
    <t>164061</t>
  </si>
  <si>
    <t>164062</t>
  </si>
  <si>
    <t>164063</t>
  </si>
  <si>
    <t>BEL-4063</t>
  </si>
  <si>
    <t>164064</t>
  </si>
  <si>
    <t>BEL-4064</t>
  </si>
  <si>
    <t>164065</t>
  </si>
  <si>
    <t>164066</t>
  </si>
  <si>
    <t>164067</t>
  </si>
  <si>
    <t>BEL-4067</t>
  </si>
  <si>
    <t>164068</t>
  </si>
  <si>
    <t>BEL-4068</t>
  </si>
  <si>
    <t>164069</t>
  </si>
  <si>
    <t>BEL-4069</t>
  </si>
  <si>
    <t>164070</t>
  </si>
  <si>
    <t>164071</t>
  </si>
  <si>
    <t>BEL-4071</t>
  </si>
  <si>
    <t>164072</t>
  </si>
  <si>
    <t>BEL-4072</t>
  </si>
  <si>
    <t>171001</t>
  </si>
  <si>
    <t>Pulverizador Manual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</si>
  <si>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</si>
  <si>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</si>
  <si>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</si>
  <si>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</si>
  <si>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</si>
  <si>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</si>
  <si>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</si>
  <si>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</si>
  <si>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172001</t>
  </si>
  <si>
    <t>Roçadeira Manual</t>
  </si>
  <si>
    <t>Roçadeira</t>
  </si>
  <si>
    <t>172003</t>
  </si>
  <si>
    <t>172004</t>
  </si>
  <si>
    <t>172006</t>
  </si>
  <si>
    <t>172007</t>
  </si>
  <si>
    <t>172008</t>
  </si>
  <si>
    <t>172009</t>
  </si>
  <si>
    <t>172010</t>
  </si>
  <si>
    <t>172011</t>
  </si>
  <si>
    <t>172012</t>
  </si>
  <si>
    <t>173005</t>
  </si>
  <si>
    <t>173006</t>
  </si>
  <si>
    <t>173007</t>
  </si>
  <si>
    <t>178027</t>
  </si>
  <si>
    <t>Bomba Branco</t>
  </si>
  <si>
    <t>Bombas</t>
  </si>
  <si>
    <t>178030</t>
  </si>
  <si>
    <t>178040</t>
  </si>
  <si>
    <t>Termonebulizador</t>
  </si>
  <si>
    <t>178041</t>
  </si>
  <si>
    <t>178042</t>
  </si>
  <si>
    <t>178043</t>
  </si>
  <si>
    <t>303100</t>
  </si>
  <si>
    <t>Mobi Way</t>
  </si>
  <si>
    <t>RZM-7G21</t>
  </si>
  <si>
    <t>303117</t>
  </si>
  <si>
    <t>QYY-9G83</t>
  </si>
  <si>
    <t>303119</t>
  </si>
  <si>
    <t>RZP-5B63</t>
  </si>
  <si>
    <t>303122</t>
  </si>
  <si>
    <t>TEJ-4J34</t>
  </si>
  <si>
    <t>303123</t>
  </si>
  <si>
    <t>TDT-0E13</t>
  </si>
  <si>
    <t>303128</t>
  </si>
  <si>
    <t>TEQ-0H20</t>
  </si>
  <si>
    <t>580001</t>
  </si>
  <si>
    <t>Chinesa</t>
  </si>
  <si>
    <t>Cortadeira Cana</t>
  </si>
  <si>
    <t>580002</t>
  </si>
  <si>
    <t>PESSOAS — PENDENTE: solicitar ao cliente (Evandro). Sem esta aba, Disponibilidade, Recursos e Saving ficam zerados.</t>
  </si>
  <si>
    <t>Nome</t>
  </si>
  <si>
    <t>Cargo</t>
  </si>
  <si>
    <t>Turno</t>
  </si>
  <si>
    <t>Salário</t>
  </si>
  <si>
    <t>Encargos %</t>
  </si>
  <si>
    <t>Status</t>
  </si>
  <si>
    <t>Custo Mensal (R$)</t>
  </si>
  <si>
    <t>Custo/Hora (R$)</t>
  </si>
  <si>
    <t>CHECKLIST — HH INCREMENTAL por classe × tipo (dos gatilhos do cliente; herança reconstrói o total). Amarelo = HH assumido, validar.</t>
  </si>
  <si>
    <t>Checklist</t>
  </si>
  <si>
    <t>Tipo Prev</t>
  </si>
  <si>
    <t>Atividade</t>
  </si>
  <si>
    <t>Tipo Ativ</t>
  </si>
  <si>
    <t>HH</t>
  </si>
  <si>
    <t>Insumo</t>
  </si>
  <si>
    <t>Qtd</t>
  </si>
  <si>
    <t>Un</t>
  </si>
  <si>
    <t>Peça</t>
  </si>
  <si>
    <t>Rev. S — Trator</t>
  </si>
  <si>
    <t>S</t>
  </si>
  <si>
    <t>Revisão S — itens incrementais (Trator)</t>
  </si>
  <si>
    <t>Mecânico</t>
  </si>
  <si>
    <t>Troca</t>
  </si>
  <si>
    <t>Rev. A — Trator</t>
  </si>
  <si>
    <t>A</t>
  </si>
  <si>
    <t>Revisão A — itens incrementais (Trator)</t>
  </si>
  <si>
    <t>Rev. B — Trator</t>
  </si>
  <si>
    <t>B</t>
  </si>
  <si>
    <t>Revisão B — itens incrementais (Trator)</t>
  </si>
  <si>
    <t>Rev. C — Trator</t>
  </si>
  <si>
    <t>C</t>
  </si>
  <si>
    <t>Revisão C — itens incrementais (Trator)</t>
  </si>
  <si>
    <t>Rev. S — Colhedora</t>
  </si>
  <si>
    <t>Revisão S — itens incrementais (Colhedora)</t>
  </si>
  <si>
    <t>Rev. A — Colhedora</t>
  </si>
  <si>
    <t>Revisão A — itens incrementais (Colhedora)</t>
  </si>
  <si>
    <t>Rev. B — Colhedora</t>
  </si>
  <si>
    <t>Revisão B — itens incrementais (Colhedora)</t>
  </si>
  <si>
    <t>Rev. C — Colhedora</t>
  </si>
  <si>
    <t>Revisão C — itens incrementais (Colhedora)</t>
  </si>
  <si>
    <t>Rev. S — Caminhão</t>
  </si>
  <si>
    <t>Revisão S — itens incrementais (Caminhão)</t>
  </si>
  <si>
    <t>Rev. A — Caminhão</t>
  </si>
  <si>
    <t>Revisão A — itens incrementais (Caminhão)</t>
  </si>
  <si>
    <t>Rev. B — Caminhão</t>
  </si>
  <si>
    <t>Revisão B — itens incrementais (Caminhão)</t>
  </si>
  <si>
    <t>Rev. C — Caminhão</t>
  </si>
  <si>
    <t>Revisão C — itens incrementais (Caminhão)</t>
  </si>
  <si>
    <t>Rev. S — Carregadeira/Pesada</t>
  </si>
  <si>
    <t>Revisão S — itens incrementais (Carregadeira/Pesada)</t>
  </si>
  <si>
    <t>Rev. A — Carregadeira/Pesada</t>
  </si>
  <si>
    <t>Revisão A — itens incrementais (Carregadeira/Pesada)</t>
  </si>
  <si>
    <t>Rev. B — Carregadeira/Pesada</t>
  </si>
  <si>
    <t>Revisão B — itens incrementais (Carregadeira/Pesada)</t>
  </si>
  <si>
    <t>Rev. C — Carregadeira/Pesada</t>
  </si>
  <si>
    <t>Revisão C — itens incrementais (Carregadeira/Pesada)</t>
  </si>
  <si>
    <t>Rev. S — Veículo Leve</t>
  </si>
  <si>
    <t>Revisão S — itens incrementais (Veículo Leve)</t>
  </si>
  <si>
    <t>Rev. A — Veículo Leve</t>
  </si>
  <si>
    <t>Revisão A — itens incrementais (Veículo Leve)</t>
  </si>
  <si>
    <t>Rev. B — Veículo Leve</t>
  </si>
  <si>
    <t>Revisão B — itens incrementais (Veículo Leve)</t>
  </si>
  <si>
    <t>Rev. S — Pulverizador</t>
  </si>
  <si>
    <t>Revisão S — itens incrementais (Pulverizador)</t>
  </si>
  <si>
    <t>Rev. A — Pulverizador</t>
  </si>
  <si>
    <t>Revisão A — itens incrementais (Pulverizador)</t>
  </si>
  <si>
    <t>Rev. S — Implemento</t>
  </si>
  <si>
    <t>Revisão S — itens incrementais (Implemento)</t>
  </si>
  <si>
    <t>Rev. A — Implemento</t>
  </si>
  <si>
    <t>Revisão A — itens incrementais (Implemento)</t>
  </si>
  <si>
    <t>CRONOGRAMA — CLASSE × 52 semanas (todos os ativos da classe seguem este padrão; × Qtd no plano)</t>
  </si>
  <si>
    <t>S verde · A amarelo · B/C vermelho (cores Fabio). Uso inicial = 0 até receber horímetros do cliente.</t>
  </si>
  <si>
    <t>Classe (× qtd ativos)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</si>
  <si>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</si>
  <si>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</si>
  <si>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</si>
  <si>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</si>
  <si>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</si>
  <si>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</si>
  <si>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</si>
  <si>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</si>
  <si>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</si>
  <si>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</si>
  <si>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</si>
  <si>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</si>
  <si>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</si>
  <si>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</si>
  <si>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</si>
  <si>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</si>
  <si>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</si>
  <si>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</si>
  <si>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</si>
  <si>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</si>
  <si>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</si>
  <si>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</si>
  <si>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</si>
  <si>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</si>
  <si>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</si>
  <si>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</si>
  <si>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</si>
  <si>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</si>
  <si>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</si>
  <si>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</si>
  <si>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</si>
  <si>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</si>
  <si>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</si>
  <si>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</si>
  <si>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</si>
  <si>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</si>
  <si>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</si>
  <si>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</si>
  <si>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</si>
  <si>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</si>
  <si>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</si>
  <si>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</si>
  <si>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</si>
  <si>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</si>
  <si>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</si>
  <si>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</si>
  <si>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</si>
  <si>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</si>
  <si>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</si>
  <si>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</si>
  <si>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</si>
  <si>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</si>
  <si>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CRONOGRAMA POR ATIVO — 384 ativos × 52 semanas (cada ativo segue o padrão da sua classe; individualiza ao receber horímetros)</t>
  </si>
  <si>
    <t>S verde · A amarelo · B/C vermelho. Filtre pela coluna Classe ou Setor. Duplo clique nos títulos congela a navegação.</t>
  </si>
  <si>
    <t>Ativo</t>
  </si>
  <si>
    <t>AGENDA DE PREVENTIVAS — por ativo, em datas reais (como no app: dias úteis, oficina principal e responsável)</t>
  </si>
  <si>
    <t>Gerada do motor com as premissas de 06/07/2026 (datas e ativos = valores; HH e responsável = fórmulas vivas). Use os filtros (Trimestre, Mês, Classe, Setor, Tipo, Oficina). Responsável: "Equipe..." até a aba Pessoas ser preenchida — depois atribui automaticamente por rodízio. Se alterar gatilhos/uso semanal nas Premissas, pedir ao Claude para regenerar a Agenda.</t>
  </si>
  <si>
    <t>KPIs POR TRIMESTRE</t>
  </si>
  <si>
    <t>Trimestre</t>
  </si>
  <si>
    <t>Preventivas</t>
  </si>
  <si>
    <t>HH total</t>
  </si>
  <si>
    <t>Ativos distintos</t>
  </si>
  <si>
    <t>Data</t>
  </si>
  <si>
    <t>Semana</t>
  </si>
  <si>
    <t>Trim.</t>
  </si>
  <si>
    <t>Safra</t>
  </si>
  <si>
    <t>Tipo</t>
  </si>
  <si>
    <t>Oficina executora</t>
  </si>
  <si>
    <t>Responsável</t>
  </si>
  <si>
    <t>T1</t>
  </si>
  <si>
    <t>🌾 Safra</t>
  </si>
  <si>
    <t>JD-CH-570 — 140012</t>
  </si>
  <si>
    <t>T2</t>
  </si>
  <si>
    <t>JD-CH-570 — 140017</t>
  </si>
  <si>
    <t>T3</t>
  </si>
  <si>
    <t>JD-CH-570 — 140013</t>
  </si>
  <si>
    <t>T4</t>
  </si>
  <si>
    <t>JD-CH-570 — 140018</t>
  </si>
  <si>
    <t>Case IH A9900 — 140014</t>
  </si>
  <si>
    <t>DENSIDADE MENSAL (o app abre no trimestre mais cheio — aqui veja o ano inteiro)</t>
  </si>
  <si>
    <t>JD-CH-570 — 140019</t>
  </si>
  <si>
    <t>Ativos únicos</t>
  </si>
  <si>
    <t>Case IH A9900 — 140015</t>
  </si>
  <si>
    <t>JD-CH-570 — 140016</t>
  </si>
  <si>
    <t>Pulverizador Manual — 171003</t>
  </si>
  <si>
    <t>Pulverizador Manual — 171008</t>
  </si>
  <si>
    <t>Pulverizador Manual — 171004</t>
  </si>
  <si>
    <t>Pulverizador Manual — 171009</t>
  </si>
  <si>
    <t>Pulverizador Manual — 171005</t>
  </si>
  <si>
    <t>ANO</t>
  </si>
  <si>
    <t>Pulverizador Manual — 173005</t>
  </si>
  <si>
    <t>Pulverizador Manual — 171001</t>
  </si>
  <si>
    <t>Pulverizador Manual — 171006</t>
  </si>
  <si>
    <t>Pulverizador Manual — 173006</t>
  </si>
  <si>
    <t>Pulverizador Manual — 171002</t>
  </si>
  <si>
    <t>Pulverizador Manual — 171007</t>
  </si>
  <si>
    <t>Pulverizador Manual — 173007</t>
  </si>
  <si>
    <t>310 L — 116104</t>
  </si>
  <si>
    <t>Bell SC-800 — 164002</t>
  </si>
  <si>
    <t>Bell SC-800 — 164008</t>
  </si>
  <si>
    <t>Bell SC-800 — 164034</t>
  </si>
  <si>
    <t>Bell SC-800 — 164049</t>
  </si>
  <si>
    <t>Bell SC-800 — 164055</t>
  </si>
  <si>
    <t>Bell SC-800 — 164060</t>
  </si>
  <si>
    <t>Bell SC-800 — 164065</t>
  </si>
  <si>
    <t>Bell SC-800 — 164070</t>
  </si>
  <si>
    <t>John Deere- 670 G — 110108</t>
  </si>
  <si>
    <t>Jonh  Deere750 J II — 111110</t>
  </si>
  <si>
    <t>NH TS-90 — 106054</t>
  </si>
  <si>
    <t>NH TS-90 — 106061</t>
  </si>
  <si>
    <t>Valtra 885 — 106025</t>
  </si>
  <si>
    <t>Valtra BM-100 — 106069</t>
  </si>
  <si>
    <t>Bell SC-800 — 164003</t>
  </si>
  <si>
    <t>Bell SC-800 — 164026</t>
  </si>
  <si>
    <t>Bell SC-800 — 164041</t>
  </si>
  <si>
    <t>Bell SC-800 — 164050</t>
  </si>
  <si>
    <t>Bell SC-800 — 164056</t>
  </si>
  <si>
    <t>Bell SC-800 — 164061</t>
  </si>
  <si>
    <t>Bell SC-800 — 164066</t>
  </si>
  <si>
    <t>Bell SC-800 — 164071</t>
  </si>
  <si>
    <t>John Deere- 670 G — 110109</t>
  </si>
  <si>
    <t>John Deere-524K — 109006</t>
  </si>
  <si>
    <t>Komatsu 78US — 112005</t>
  </si>
  <si>
    <t>Manipulador JCB — 140010</t>
  </si>
  <si>
    <t>NH TS-90 — 106055</t>
  </si>
  <si>
    <t>NH TS-90 — 106064</t>
  </si>
  <si>
    <t>Valtra BM-100 — 106048</t>
  </si>
  <si>
    <t>Bell SC-800 — 164005</t>
  </si>
  <si>
    <t>Bell SC-800 — 164027</t>
  </si>
  <si>
    <t>Bell SC-800 — 164042</t>
  </si>
  <si>
    <t>Bell SC-800 — 164051</t>
  </si>
  <si>
    <t>Bell SC-800 — 164057</t>
  </si>
  <si>
    <t>Bell SC-800 — 164062</t>
  </si>
  <si>
    <t>Bell SC-800 — 164067</t>
  </si>
  <si>
    <t>Bell SC-800 — 164072</t>
  </si>
  <si>
    <t>John Deere- 620 G — 110110</t>
  </si>
  <si>
    <t>John Deere-524K — 109007</t>
  </si>
  <si>
    <t>Jonh  Deere 210 GLC — 112006</t>
  </si>
  <si>
    <t>Manipulador JCB — 140011</t>
  </si>
  <si>
    <t>NH TS-90 — 106057</t>
  </si>
  <si>
    <t>Valtra BM-100 — 106049</t>
  </si>
  <si>
    <t>Valtra BM-100 — 106065</t>
  </si>
  <si>
    <t>Bell SC-800 — 164006</t>
  </si>
  <si>
    <t>Bell SC-800 — 164032</t>
  </si>
  <si>
    <t>Bell SC-800 — 164043</t>
  </si>
  <si>
    <t>Bell SC-800 — 164052</t>
  </si>
  <si>
    <t>Bell SC-800 — 164058</t>
  </si>
  <si>
    <t>Bell SC-800 — 164063</t>
  </si>
  <si>
    <t>Bell SC-800 — 164068</t>
  </si>
  <si>
    <t>Compac CA-15 — 144101</t>
  </si>
  <si>
    <t>John Deere-524K — 109008</t>
  </si>
  <si>
    <t>Jonh  Deere 210 GLC — 112007</t>
  </si>
  <si>
    <t>Jonh  Deere750 J II — 111108</t>
  </si>
  <si>
    <t>NH TS-90 — 106058</t>
  </si>
  <si>
    <t>NH TS-90 — 106067</t>
  </si>
  <si>
    <t>Valtra BM-100 — 106050</t>
  </si>
  <si>
    <t>Bell SC-800 — 164001</t>
  </si>
  <si>
    <t>Bell SC-800 — 164007</t>
  </si>
  <si>
    <t>Bell SC-800 — 164033</t>
  </si>
  <si>
    <t>Bell SC-800 — 164048</t>
  </si>
  <si>
    <t>Bell SC-800 — 164054</t>
  </si>
  <si>
    <t>Bell SC-800 — 164059</t>
  </si>
  <si>
    <t>Bell SC-800 — 164064</t>
  </si>
  <si>
    <t>Bell SC-800 — 164069</t>
  </si>
  <si>
    <t>John Deere-524K — 109009</t>
  </si>
  <si>
    <t>Jonh  Deere 210 GLC — 112008</t>
  </si>
  <si>
    <t>Jonh  Deere750 J II — 111109</t>
  </si>
  <si>
    <t>NH TS-90 — 106060</t>
  </si>
  <si>
    <t>Valtra BM-100 — 106051</t>
  </si>
  <si>
    <t>Valtra BM-100 — 106068</t>
  </si>
  <si>
    <t>ACCELO 815/46 — 101182</t>
  </si>
  <si>
    <t>John Deere 6135J — 105136</t>
  </si>
  <si>
    <t>John Deere 6190J — 105108</t>
  </si>
  <si>
    <t>John Deere 6190J — 105141</t>
  </si>
  <si>
    <t>John Deere 6190J — 105146</t>
  </si>
  <si>
    <t>John Deere 6190J — 105151</t>
  </si>
  <si>
    <t>John Deere 6190M — 105191</t>
  </si>
  <si>
    <t>John Deere 6190M — 105196</t>
  </si>
  <si>
    <t>John Deere 7200 — 105156</t>
  </si>
  <si>
    <t>John Deere 7200 — 105161</t>
  </si>
  <si>
    <t>John Deere- 5090E — 105098</t>
  </si>
  <si>
    <t>John Deere- 5090E — 105103</t>
  </si>
  <si>
    <t>John Deere- 5090E — 105113</t>
  </si>
  <si>
    <t>John Deere- 5090E — 105118</t>
  </si>
  <si>
    <t>MB 1719-Atego — 101128</t>
  </si>
  <si>
    <t>MB 1719-Atego — 101133</t>
  </si>
  <si>
    <t>MB 1719-Atego — 101138</t>
  </si>
  <si>
    <t>MB 1719-Atego — 101143</t>
  </si>
  <si>
    <t>MB 1722 - Onibus — 102006</t>
  </si>
  <si>
    <t>MB 1722 - Onibus — 102011</t>
  </si>
  <si>
    <t>MB 1722 - Onibus — 102016</t>
  </si>
  <si>
    <t>MB 1725 Atego — 101005</t>
  </si>
  <si>
    <t>MB 2423 6x4 — 101028</t>
  </si>
  <si>
    <t>MB 2540 6x2 — 101084</t>
  </si>
  <si>
    <t>MB 2729 6x4 — 101052</t>
  </si>
  <si>
    <t>MB 2730 6X4 — 101153</t>
  </si>
  <si>
    <t>MB 2730 6X4 — 101187</t>
  </si>
  <si>
    <t>MB 3344 6x4 — 101112</t>
  </si>
  <si>
    <t>MB 3344 6x4 — 101117</t>
  </si>
  <si>
    <t>MB 3344 6x4 — 101123</t>
  </si>
  <si>
    <t>MB 3344 6x4 — 101148</t>
  </si>
  <si>
    <t>MB 3344 6x4 — 101164</t>
  </si>
  <si>
    <t>MB 3344 6x4 — 101169</t>
  </si>
  <si>
    <t>MB 3344 6x4 — 101174</t>
  </si>
  <si>
    <t>MB 3351 Arocs 6x4 — 101201</t>
  </si>
  <si>
    <t>MB 3351 Arocs 6x4 — 101206</t>
  </si>
  <si>
    <t>MB 3351 Arocs 6x4 — 101211</t>
  </si>
  <si>
    <t>NH TK-4.100 — 119005</t>
  </si>
  <si>
    <t>NH TL-75 4x4 — 105091</t>
  </si>
  <si>
    <t>Valtra BH-194 4x4 — 105166</t>
  </si>
  <si>
    <t>Valtra BH-194 4x4 — 105171</t>
  </si>
  <si>
    <t>Valtra BM-135 4x4 — 105176</t>
  </si>
  <si>
    <t>Valtra BM-135 4x4 — 105181</t>
  </si>
  <si>
    <t>Valtra BM-135 4x4 — 105186</t>
  </si>
  <si>
    <t>Volvo FM 480 — 101158</t>
  </si>
  <si>
    <t>John Deere 6135J — 105104</t>
  </si>
  <si>
    <t>John Deere 6135J — 105137</t>
  </si>
  <si>
    <t>John Deere 6190J — 105142</t>
  </si>
  <si>
    <t>John Deere 6190J — 105147</t>
  </si>
  <si>
    <t>John Deere 6190J — 105152</t>
  </si>
  <si>
    <t>John Deere 6190M — 105192</t>
  </si>
  <si>
    <t>John Deere 7200 — 105157</t>
  </si>
  <si>
    <t>John Deere 7200 — 105162</t>
  </si>
  <si>
    <t>John Deere- 5090E — 105099</t>
  </si>
  <si>
    <t>John Deere- 5090E — 105109</t>
  </si>
  <si>
    <t>John Deere- 5090E — 105114</t>
  </si>
  <si>
    <t>John Deere- 5090E — 105119</t>
  </si>
  <si>
    <t>MB 1719-Atego — 101129</t>
  </si>
  <si>
    <t>MB 1719-Atego — 101134</t>
  </si>
  <si>
    <t>MB 1719-Atego — 101139</t>
  </si>
  <si>
    <t>MB 1719-Atego — 101144</t>
  </si>
  <si>
    <t>MB 1722 - Onibus — 102007</t>
  </si>
  <si>
    <t>MB 1722 - Onibus — 102012</t>
  </si>
  <si>
    <t>MB 2540 6x2 — 101086</t>
  </si>
  <si>
    <t>MB 2729 6x4 — 101053</t>
  </si>
  <si>
    <t>MB 2730 6X4 — 101149</t>
  </si>
  <si>
    <t>MB 2730 6X4 — 101154</t>
  </si>
  <si>
    <t>MB 3344 6x4 — 101113</t>
  </si>
  <si>
    <t>MB 3344 6x4 — 101118</t>
  </si>
  <si>
    <t>MB 3344 6x4 — 101124</t>
  </si>
  <si>
    <t>MB 3344 6x4 — 101165</t>
  </si>
  <si>
    <t>MB 3344 6x4 — 101170</t>
  </si>
  <si>
    <t>MB 3344 6x4 — 101175</t>
  </si>
  <si>
    <t>MB 3344 6x4 — 101183</t>
  </si>
  <si>
    <t>MB 3351 Arocs 6x4 — 101202</t>
  </si>
  <si>
    <t>MB 3351 Arocs 6x4 — 101207</t>
  </si>
  <si>
    <t>MB 3351 Arocs 6x4 — 101212</t>
  </si>
  <si>
    <t>MB 710 4X2 — 101006</t>
  </si>
  <si>
    <t>NH TK-4060 — 119001</t>
  </si>
  <si>
    <t>NH TK-90A — 119006</t>
  </si>
  <si>
    <t>NH TL-75 4x4 — 105033</t>
  </si>
  <si>
    <t>NH TL-75 4x4 — 105092</t>
  </si>
  <si>
    <t>VW 17.210 — 101188</t>
  </si>
  <si>
    <t>VW 31-320 — 101047</t>
  </si>
  <si>
    <t>Valtra BH-194 4x4 — 105167</t>
  </si>
  <si>
    <t>Valtra BH-194 4x4 — 105172</t>
  </si>
  <si>
    <t>Valtra BM-135 4x4 — 105177</t>
  </si>
  <si>
    <t>Valtra BM-135 4x4 — 105182</t>
  </si>
  <si>
    <t>Valtra BM-135 4x4 — 105187</t>
  </si>
  <si>
    <t>Volvo FM 480 — 101159</t>
  </si>
  <si>
    <t>John Deere 6135J — 105105</t>
  </si>
  <si>
    <t>John Deere 6135J — 105133</t>
  </si>
  <si>
    <t>John Deere 6135J — 105138</t>
  </si>
  <si>
    <t>John Deere 6190J — 105143</t>
  </si>
  <si>
    <t>John Deere 6190J — 105148</t>
  </si>
  <si>
    <t>John Deere 6190J — 105153</t>
  </si>
  <si>
    <t>John Deere 6190M — 105193</t>
  </si>
  <si>
    <t>John Deere 7200 — 105158</t>
  </si>
  <si>
    <t>John Deere- 5090E — 105095</t>
  </si>
  <si>
    <t>John Deere- 5090E — 105100</t>
  </si>
  <si>
    <t>John Deere- 5090E — 105110</t>
  </si>
  <si>
    <t>John Deere- 5090E — 105115</t>
  </si>
  <si>
    <t>MB 1719-Atego — 101125</t>
  </si>
  <si>
    <t>MB 1719-Atego — 101130</t>
  </si>
  <si>
    <t>MB 1719-Atego — 101135</t>
  </si>
  <si>
    <t>MB 1719-Atego — 101140</t>
  </si>
  <si>
    <t>MB 1719-Atego — 101155</t>
  </si>
  <si>
    <t>MB 1720 6x6 — 101011</t>
  </si>
  <si>
    <t>MB 1722 - Onibus — 102008</t>
  </si>
  <si>
    <t>MB 1722 - Onibus — 102013</t>
  </si>
  <si>
    <t>MB 2318 6x2 — 101160</t>
  </si>
  <si>
    <t>MB 2638 6x4 — 101105</t>
  </si>
  <si>
    <t>MB 2729 6x4 — 101054</t>
  </si>
  <si>
    <t>MB 2730 6X4 — 101150</t>
  </si>
  <si>
    <t>MB 3344 6x4 — 101048</t>
  </si>
  <si>
    <t>MB 3344 6x4 — 101114</t>
  </si>
  <si>
    <t>MB 3344 6x4 — 101120</t>
  </si>
  <si>
    <t>MB 3344 6x4 — 101145</t>
  </si>
  <si>
    <t>MB 3344 6x4 — 101166</t>
  </si>
  <si>
    <t>MB 3344 6x4 — 101171</t>
  </si>
  <si>
    <t>MB 3344 6x4 — 101176</t>
  </si>
  <si>
    <t>MB 3344 6x4 — 101184</t>
  </si>
  <si>
    <t>MB 3351 Arocs 6x4 — 101203</t>
  </si>
  <si>
    <t>MB 3351 Arocs 6x4 — 101208</t>
  </si>
  <si>
    <t>MB 3351 Arocs 6x4 — 101213</t>
  </si>
  <si>
    <t>NH TK-4060 — 119002</t>
  </si>
  <si>
    <t>NH TL-75 4x4 — 105075</t>
  </si>
  <si>
    <t>NH TL-95E 4x4 — 105163</t>
  </si>
  <si>
    <t>Super Cargo — 140008</t>
  </si>
  <si>
    <t>VW 27.260 — 101189</t>
  </si>
  <si>
    <t>Valtra BH-194 4x4 — 105168</t>
  </si>
  <si>
    <t>Valtra BH-194 4x4 — 105173</t>
  </si>
  <si>
    <t>Valtra BM-135 4x4 — 105178</t>
  </si>
  <si>
    <t>Valtra BM-135 4x4 — 105183</t>
  </si>
  <si>
    <t>Valtra BM-135 4x4 — 105188</t>
  </si>
  <si>
    <t>John Deere 6135J — 105106</t>
  </si>
  <si>
    <t>John Deere 6135J — 105134</t>
  </si>
  <si>
    <t>John Deere 6135J — 105139</t>
  </si>
  <si>
    <t>John Deere 6190J — 105144</t>
  </si>
  <si>
    <t>John Deere 6190J — 105149</t>
  </si>
  <si>
    <t>John Deere 6190J — 105154</t>
  </si>
  <si>
    <t>John Deere 6190M — 105189</t>
  </si>
  <si>
    <t>John Deere 6190M — 105194</t>
  </si>
  <si>
    <t>John Deere 7200 — 105159</t>
  </si>
  <si>
    <t>John Deere- 5090E — 105096</t>
  </si>
  <si>
    <t>John Deere- 5090E — 105101</t>
  </si>
  <si>
    <t>John Deere- 5090E — 105111</t>
  </si>
  <si>
    <t>John Deere- 5090E — 105116</t>
  </si>
  <si>
    <t>MB 1113 4x2 — 101014</t>
  </si>
  <si>
    <t>MB 1719-Atego — 101126</t>
  </si>
  <si>
    <t>MB 1719-Atego — 101131</t>
  </si>
  <si>
    <t>MB 1719-Atego — 101136</t>
  </si>
  <si>
    <t>MB 1719-Atego — 101141</t>
  </si>
  <si>
    <t>MB 1722 - Onibus — 102009</t>
  </si>
  <si>
    <t>MB 1722 - Onibus — 102014</t>
  </si>
  <si>
    <t>MB 2540 6x2 — 101082</t>
  </si>
  <si>
    <t>MB 2729 6x4 — 101050</t>
  </si>
  <si>
    <t>MB 2730 6X4 — 101151</t>
  </si>
  <si>
    <t>MB 2730 6X4 — 101156</t>
  </si>
  <si>
    <t>MB 2730 6X4 — 101185</t>
  </si>
  <si>
    <t>MB 3344 6x4 — 101110</t>
  </si>
  <si>
    <t>MB 3344 6x4 — 101115</t>
  </si>
  <si>
    <t>MB 3344 6x4 — 101121</t>
  </si>
  <si>
    <t>MB 3344 6x4 — 101146</t>
  </si>
  <si>
    <t>MB 3344 6x4 — 101162</t>
  </si>
  <si>
    <t>MB 3344 6x4 — 101167</t>
  </si>
  <si>
    <t>MB 3344 6x4 — 101172</t>
  </si>
  <si>
    <t>MB 3344 6x4 — 101179</t>
  </si>
  <si>
    <t>MB 3351 Arocs 6x4 — 101204</t>
  </si>
  <si>
    <t>MB 3351 Arocs 6x4 — 101209</t>
  </si>
  <si>
    <t>MB 3351 Arocs 6x4 — 101214</t>
  </si>
  <si>
    <t>NH TK-4060 — 119003</t>
  </si>
  <si>
    <t>NH TL-75 4x4 — 105076</t>
  </si>
  <si>
    <t>VW 33-480 — 101190</t>
  </si>
  <si>
    <t>Valtra BH-194 4x4 — 105164</t>
  </si>
  <si>
    <t>Valtra BH-194 4x4 — 105169</t>
  </si>
  <si>
    <t>Valtra BH-194 4x4 — 105174</t>
  </si>
  <si>
    <t>Valtra BM-135 4x4 — 105179</t>
  </si>
  <si>
    <t>Valtra BM-135 4x4 — 105184</t>
  </si>
  <si>
    <t>John Deere 6135J — 105107</t>
  </si>
  <si>
    <t>John Deere 6135J — 105135</t>
  </si>
  <si>
    <t>John Deere 6190J — 105140</t>
  </si>
  <si>
    <t>John Deere 6190J — 105145</t>
  </si>
  <si>
    <t>John Deere 6190J — 105150</t>
  </si>
  <si>
    <t>John Deere 6190J — 105155</t>
  </si>
  <si>
    <t>John Deere 6190M — 105190</t>
  </si>
  <si>
    <t>John Deere 6190M — 105195</t>
  </si>
  <si>
    <t>John Deere 7200 — 105160</t>
  </si>
  <si>
    <t>John Deere- 5090E — 105097</t>
  </si>
  <si>
    <t>John Deere- 5090E — 105102</t>
  </si>
  <si>
    <t>John Deere- 5090E — 105112</t>
  </si>
  <si>
    <t>John Deere- 5090E — 105117</t>
  </si>
  <si>
    <t>MB 1719-Atego — 101127</t>
  </si>
  <si>
    <t>MB 1719-Atego — 101132</t>
  </si>
  <si>
    <t>MB 1719-Atego — 101137</t>
  </si>
  <si>
    <t>MB 1722 - Onibus — 102010</t>
  </si>
  <si>
    <t>MB 1722 - Onibus — 102015</t>
  </si>
  <si>
    <t>MB 2423 6x4 — 101016</t>
  </si>
  <si>
    <t>MB 2540 6x2 — 101083</t>
  </si>
  <si>
    <t>MB 2729 6x4 — 101051</t>
  </si>
  <si>
    <t>MB 2730 6X4 — 101142</t>
  </si>
  <si>
    <t>MB 2730 6X4 — 101152</t>
  </si>
  <si>
    <t>MB 2730 6X4 — 101157</t>
  </si>
  <si>
    <t>MB 2730 6X4 — 101186</t>
  </si>
  <si>
    <t>MB 3344 6x4 — 101111</t>
  </si>
  <si>
    <t>MB 3344 6x4 — 101116</t>
  </si>
  <si>
    <t>MB 3344 6x4 — 101122</t>
  </si>
  <si>
    <t>MB 3344 6x4 — 101147</t>
  </si>
  <si>
    <t>MB 3344 6x4 — 101163</t>
  </si>
  <si>
    <t>MB 3344 6x4 — 101168</t>
  </si>
  <si>
    <t>MB 3344 6x4 — 101173</t>
  </si>
  <si>
    <t>MB 3344 6x4 — 101180</t>
  </si>
  <si>
    <t>MB 3351 Arocs 6x4 — 101200</t>
  </si>
  <si>
    <t>MB 3351 Arocs 6x4 — 101205</t>
  </si>
  <si>
    <t>MB 3351 Arocs 6x4 — 101210</t>
  </si>
  <si>
    <t>MB 3351 Arocs 6x4 — 101215</t>
  </si>
  <si>
    <t>NH TK-4.100 — 119004</t>
  </si>
  <si>
    <t>NH TL-85 4x4 — 105082</t>
  </si>
  <si>
    <t>Valtra BH-194 4x4 — 105165</t>
  </si>
  <si>
    <t>Valtra BH-194 4x4 — 105170</t>
  </si>
  <si>
    <t>Valtra BM-135 4x4 — 105175</t>
  </si>
  <si>
    <t>Valtra BM-135 4x4 — 105180</t>
  </si>
  <si>
    <t>Valtra BM-135 4x4 — 105185</t>
  </si>
  <si>
    <t>Chinesa — 580002</t>
  </si>
  <si>
    <t>Roçadeira Manual — 172004</t>
  </si>
  <si>
    <t>Roçadeira Manual — 172010</t>
  </si>
  <si>
    <t>Termonebulizador — 178040</t>
  </si>
  <si>
    <t>Roçadeira Manual — 172006</t>
  </si>
  <si>
    <t>Roçadeira Manual — 172011</t>
  </si>
  <si>
    <t>Termonebulizador — 178041</t>
  </si>
  <si>
    <t>Roçadeira Manual — 172007</t>
  </si>
  <si>
    <t>Roçadeira Manual — 172012</t>
  </si>
  <si>
    <t>Termonebulizador — 178042</t>
  </si>
  <si>
    <t>Bomba Branco — 178027</t>
  </si>
  <si>
    <t>Roçadeira Manual — 172001</t>
  </si>
  <si>
    <t>Roçadeira Manual — 172008</t>
  </si>
  <si>
    <t>Termonebulizador — 178043</t>
  </si>
  <si>
    <t>Bomba Branco — 178030</t>
  </si>
  <si>
    <t>Chinesa — 580001</t>
  </si>
  <si>
    <t>Roçadeira Manual — 172003</t>
  </si>
  <si>
    <t>Roçadeira Manual — 172009</t>
  </si>
  <si>
    <t>Fiat Strada 1.4 — 103074</t>
  </si>
  <si>
    <t>Fiat Strada 1.4 — 103081</t>
  </si>
  <si>
    <t>Fiat Strada 1.4 — 103087</t>
  </si>
  <si>
    <t>Fiat Strada 1.4 — 103094</t>
  </si>
  <si>
    <t>Fiat Strada Endu.1.4 — 103099</t>
  </si>
  <si>
    <t>Jeep Com.Sport T270 — 103119</t>
  </si>
  <si>
    <t>Mobi Way — 303117</t>
  </si>
  <si>
    <t>Toyota Hilux CD — 103104</t>
  </si>
  <si>
    <t>Toyota Hilux CS — 103109</t>
  </si>
  <si>
    <t>Toyota Hilux CS — 103114</t>
  </si>
  <si>
    <t>Fiat Strada 1.4 — 103075</t>
  </si>
  <si>
    <t>Fiat Strada 1.4 — 103083</t>
  </si>
  <si>
    <t>Fiat Strada 1.4 — 103088</t>
  </si>
  <si>
    <t>Fiat Strada Endu.1.4 — 103100</t>
  </si>
  <si>
    <t>Land Rover — 103095</t>
  </si>
  <si>
    <t>Mobi Way — 303119</t>
  </si>
  <si>
    <t>Renegade Moab 2.0 — 103120</t>
  </si>
  <si>
    <t>Toyota Hilux CS — 103105</t>
  </si>
  <si>
    <t>Toyota Hilux CS — 103110</t>
  </si>
  <si>
    <t>Toyota Hilux CS — 103115</t>
  </si>
  <si>
    <t>Chevrolet S10 LS — 103084</t>
  </si>
  <si>
    <t>Fiat Strada 1.4 — 103076</t>
  </si>
  <si>
    <t>Fiat Strada 1.4 — 103089</t>
  </si>
  <si>
    <t>Fiat Strada Endu.1.4 — 103101</t>
  </si>
  <si>
    <t>Fiorino Endu. 1.4 — 103121</t>
  </si>
  <si>
    <t>Mobi Way — 303122</t>
  </si>
  <si>
    <t>Renegade Moab 2.0 — 103096</t>
  </si>
  <si>
    <t>Toyota Hilux CS — 103106</t>
  </si>
  <si>
    <t>Toyota Hilux CS — 103111</t>
  </si>
  <si>
    <t>Toyota Hilux CS — 103116</t>
  </si>
  <si>
    <t>Chevrolet S10 LS — 103085</t>
  </si>
  <si>
    <t>Fiat Strada 1.4 — 103077</t>
  </si>
  <si>
    <t>Fiat Strada Endu.1.4 — 103102</t>
  </si>
  <si>
    <t>Fiorino Endu. 1.4 — 103117</t>
  </si>
  <si>
    <t>Mobi Way — 303123</t>
  </si>
  <si>
    <t>Passat CC 3.6 — 103092</t>
  </si>
  <si>
    <t>Rampage — 103122</t>
  </si>
  <si>
    <t>TIGGO 8 — 103097</t>
  </si>
  <si>
    <t>Toyota Hilux CS — 103107</t>
  </si>
  <si>
    <t>Toyota Hilux CS — 103112</t>
  </si>
  <si>
    <t>Fiat Strada 1.4 — 103078</t>
  </si>
  <si>
    <t>Fiat Strada 1.4 — 103086</t>
  </si>
  <si>
    <t>Ford/Jeep — 103093</t>
  </si>
  <si>
    <t>Jeep Comander T270 — 103118</t>
  </si>
  <si>
    <t>Mobi Way — 303100</t>
  </si>
  <si>
    <t>Mobi Way — 303128</t>
  </si>
  <si>
    <t>TIGGO 5 — 103098</t>
  </si>
  <si>
    <t>Toyota Hilux CD — 103103</t>
  </si>
  <si>
    <t>Toyota Hilux CS — 103108</t>
  </si>
  <si>
    <t>Toyota Hilux CS — 103113</t>
  </si>
  <si>
    <t>Entressafra</t>
  </si>
  <si>
    <t>MAPA DE PREVENTIVAS — CLASSE × MÊS (contagem de eventos; verde=vazio → vermelho=pico, atenção à capacidade)</t>
  </si>
  <si>
    <t>TOTAL</t>
  </si>
  <si>
    <t>HH por mês</t>
  </si>
  <si>
    <t>PLANO DE PREVENTIVAS — HH por oficina × mês (hoje 100% em Central-Taisa — validar distribuição)</t>
  </si>
  <si>
    <t>TOTAL ANO</t>
  </si>
  <si>
    <t>PLANO DE CORRETIVAS — Prev × (corr/prev) × deflator progressivo × sazonalidade calibrada</t>
  </si>
  <si>
    <t>DISPONIBILIDADE — capacidade vs. demanda (ZERADA até preencher a aba Pessoas — pendência Evandro)</t>
  </si>
  <si>
    <t>Saldo VERMELHO = déficit · AMARELO = margem &lt; 10% · VERDE = ok.</t>
  </si>
  <si>
    <t>HH DISPONÍVEL</t>
  </si>
  <si>
    <t>HH NECESSÁRIA</t>
  </si>
  <si>
    <t>SALDO (disp − nec)</t>
  </si>
  <si>
    <t>RECURSOS — headcount necessário por oficina × mês (comparar com quadro atual quando Pessoas chegar)</t>
  </si>
  <si>
    <t>HC NECESSÁRIO</t>
  </si>
  <si>
    <t>HC ATUAL − NECESSÁRIO (gap)</t>
  </si>
  <si>
    <t>Gap fica vermelho (falta gente) ou verde (adequado) assim que a aba Pessoas for preenchida. Hoje HC atual = 0 (pendência).</t>
  </si>
  <si>
    <t>INSUMOS &amp; PEÇAS — execuções/ano por classe × tipo (base p/ vincular os 5.171 itens de materiais — pendência)</t>
  </si>
  <si>
    <t>O histórico de materiais (MATERIAIS AGO24–JUL25, 5.171 itens) está sem vínculo com as atividades. Preencha as colunas F–H para estimar demanda: Demanda/ano = Qtd por execução × Execuções/ano (herança: item de S conta em S, A, B e C).</t>
  </si>
  <si>
    <t>Execuções/ano (do plano)</t>
  </si>
  <si>
    <t>Execuções herdadas/ano</t>
  </si>
  <si>
    <t>Item (preencher)</t>
  </si>
  <si>
    <t>Qtd por execução</t>
  </si>
  <si>
    <t>Demanda/ano</t>
  </si>
  <si>
    <t>SAVING — baseline (sem deflator) vs. plano · valorizado em R$ quando Pessoas/custo-hora chegar</t>
  </si>
  <si>
    <t>HH CORR BASELINE</t>
  </si>
  <si>
    <t>Δ HH (baseline − plano)</t>
  </si>
  <si>
    <t>Δ HH TOTAL</t>
  </si>
  <si>
    <t>Saving em R$ = Δ HH × custo médio/HH da oficina (calculado automaticamente quando a aba Pessoas for preenchida).</t>
  </si>
  <si>
    <t>SAVING (R$) TOTAL/ANO</t>
  </si>
  <si>
    <t>RESUMO EXECUTIVO — USINA PETRIBÚ (validar contra o app: 2.102 prev · 7.988 HH prev · 22.783 HH corr)</t>
  </si>
  <si>
    <t>KPI</t>
  </si>
  <si>
    <t>Valor</t>
  </si>
  <si>
    <t>Fonte / status</t>
  </si>
  <si>
    <t>Ativos no escopo garagem</t>
  </si>
  <si>
    <t>ativos</t>
  </si>
  <si>
    <t>Frota real (template_frota_Dados)</t>
  </si>
  <si>
    <t>Preventivas programadas / 12 meses</t>
  </si>
  <si>
    <t>preventivas</t>
  </si>
  <si>
    <t>Cronograma × qtd por classe</t>
  </si>
  <si>
    <t>HH Preventiva / ano</t>
  </si>
  <si>
    <t>Plan_Prev</t>
  </si>
  <si>
    <t>HH Corretiva esperada / ano</t>
  </si>
  <si>
    <t>Plan_Corr (calibrada pelo histórico)</t>
  </si>
  <si>
    <t>HH Disponível / ano</t>
  </si>
  <si>
    <t>ZERADO — pendente aba Pessoas</t>
  </si>
  <si>
    <t>Saldo HH anual (disp − nec)</t>
  </si>
  <si>
    <t>Δ HH corretiva evitada / ano</t>
  </si>
  <si>
    <t>Saving (efeito do deflator)</t>
  </si>
  <si>
    <t>Equipe cadastrada</t>
  </si>
  <si>
    <t>pessoas</t>
  </si>
  <si>
    <t>PENDENTE — Evandro</t>
  </si>
  <si>
    <t>Custo de MO mensal</t>
  </si>
  <si>
    <t>R$/mês</t>
  </si>
  <si>
    <t>Saving projetado / ano</t>
  </si>
  <si>
    <t>R$</t>
  </si>
  <si>
    <t>ZERADO — pendente custo/HH (Pessoas)</t>
  </si>
  <si>
    <t>PREVENTIVAS POR TIPO / ANO</t>
  </si>
  <si>
    <t>HH/ano</t>
  </si>
  <si>
    <t>Revisão S</t>
  </si>
  <si>
    <t>Revisão A</t>
  </si>
  <si>
    <t>Revisão B</t>
  </si>
  <si>
    <t>Revisão C</t>
  </si>
  <si>
    <t>HH PREVENTIVA POR CLASSE / ANO</t>
  </si>
  <si>
    <t>AUXILIAR — 52 semanas a partir do início da safra</t>
  </si>
  <si>
    <t>Data início</t>
  </si>
  <si>
    <t>Data fim</t>
  </si>
  <si>
    <t>Safra (1/0)</t>
  </si>
  <si>
    <t>Mês (1-12)</t>
  </si>
  <si>
    <t>AUXILIAR — uso acumulado por CLASSE × semana</t>
  </si>
  <si>
    <t>Mês →</t>
  </si>
  <si>
    <t>Safra →</t>
  </si>
  <si>
    <t>AUXILIAR — HH cumulativa (herança S⊂A⊂B⊂C) por classe × tipo × oficina</t>
  </si>
  <si>
    <t>Chave</t>
  </si>
  <si>
    <t>HH Total</t>
  </si>
  <si>
    <t>AUXILIAR — 1 linha por classe × semana; HH já multiplicada pela quantidade de ativos da classe</t>
  </si>
  <si>
    <t>Prevs (qtd)</t>
  </si>
  <si>
    <t>HH Oficina Mecânica Central-Taisa</t>
  </si>
  <si>
    <t>HH Oficina Volante-Socorro</t>
  </si>
  <si>
    <t>HH Oficina Implementos Rodoviários</t>
  </si>
  <si>
    <t>HH Oficina Mecânica Externa</t>
  </si>
  <si>
    <t>HH Oficina Implementos Agrícolas</t>
  </si>
  <si>
    <t>HH PitStop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</si>
</sst>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sz val="10"/>
      <color rgb="FF5070A0"/>
      <name val="Calibri"/>
      <charset val="1"/>
    </font>
    <font>
      <b/>
      <sz val="11"/>
      <color rgb="FFFFFFFF"/>
      <name val="Calibri"/>
      <charset val="1"/>
    </font>
    <font>
      <b/>
      <u/>
      <sz val="11"/>
      <color rgb="FF1F3060"/>
      <name val="Calibri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1F306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060"/>
        <bgColor rgb="FF333333"/>
      </patternFill>
    </fill>
    <fill>
      <patternFill patternType="solid">
        <fgColor rgb="FFE8EC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3300"/>
        <bgColor rgb="FFFF6600"/>
      </patternFill>
    </fill>
  </fills>
  <borders count="2">
    <border>
      <left/>
      <right/>
      <top/>
      <bottom/>
      <diagonal/>
    </border>
    <border>
      <left style="thin">
        <color rgb="FFB2B5B7"/>
      </left>
      <right style="thin">
        <color rgb="FFB2B5B7"/>
      </right>
      <top style="thin">
        <color rgb="FFB2B5B7"/>
      </top>
      <bottom style="thin">
        <color rgb="FFB2B5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/>
    <xf numFmtId="0" fontId="2" fillId="3" borderId="0" xfId="0" applyFont="1" applyFill="1" applyAlignment="1">
      <alignment vertical="center" wrapText="1"/>
    </xf>
    <xf numFmtId="0" fontId="1" fillId="2" borderId="0" xfId="0" applyFont="1" applyFill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0" xfId="0" applyFont="1"/>
    <xf numFmtId="0" fontId="7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5" fillId="4" borderId="1" xfId="0" applyFont="1" applyFill="1" applyBorder="1"/>
    <xf numFmtId="0" fontId="6" fillId="0" borderId="1" xfId="0" applyFont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1" fontId="0" fillId="0" borderId="1" xfId="0" applyNumberFormat="1" applyBorder="1"/>
    <xf numFmtId="14" fontId="0" fillId="0" borderId="1" xfId="0" applyNumberFormat="1" applyBorder="1"/>
    <xf numFmtId="0" fontId="3" fillId="2" borderId="0" xfId="0" applyFont="1" applyFill="1"/>
    <xf numFmtId="3" fontId="6" fillId="0" borderId="1" xfId="0" applyNumberFormat="1" applyFont="1" applyBorder="1"/>
  </cellXfs>
  <cellStyles count="1">
    <cellStyle name="Normal" xfId="0" builtinId="0"/>
  </cellStyles>
  <dxfs count="20"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000000"/>
        <name val="Calibri"/>
        <charset val="1"/>
      </font>
      <fill>
        <patternFill>
          <bgColor rgb="FF00FF00"/>
        </patternFill>
      </fill>
    </dxf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000000"/>
        <name val="Calibri"/>
        <charset val="1"/>
      </font>
      <fill>
        <patternFill>
          <bgColor rgb="FF00FF00"/>
        </patternFill>
      </fill>
    </dxf>
    <dxf>
      <font>
        <b/>
        <color rgb="FF000000"/>
        <name val="Calibri"/>
        <charset val="1"/>
      </font>
      <fill>
        <patternFill>
          <bgColor rgb="FFFFFF00"/>
        </patternFill>
      </fill>
    </dxf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000000"/>
        <name val="Calibri"/>
        <charset val="1"/>
      </font>
      <fill>
        <patternFill>
          <bgColor rgb="FF00FF00"/>
        </patternFill>
      </fill>
    </dxf>
    <dxf>
      <font>
        <b/>
        <color rgb="FF000000"/>
        <name val="Calibri"/>
        <charset val="1"/>
      </font>
      <fill>
        <patternFill>
          <bgColor rgb="FFFFFF00"/>
        </patternFill>
      </fill>
    </dxf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000000"/>
        <name val="Calibri"/>
        <charset val="1"/>
      </font>
      <fill>
        <patternFill>
          <bgColor rgb="FF00FF00"/>
        </patternFill>
      </fill>
    </dxf>
    <dxf>
      <font>
        <b/>
        <color rgb="FF000000"/>
        <name val="Calibri"/>
        <charset val="1"/>
      </font>
      <fill>
        <patternFill>
          <bgColor rgb="FFFFFF00"/>
        </patternFill>
      </fill>
    </dxf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000000"/>
        <name val="Calibri"/>
        <charset val="1"/>
      </font>
      <fill>
        <patternFill>
          <bgColor rgb="FF00FF00"/>
        </patternFill>
      </fill>
    </dxf>
    <dxf>
      <font>
        <b/>
        <color rgb="FF000000"/>
        <name val="Calibri"/>
        <charset val="1"/>
      </font>
      <fill>
        <patternFill>
          <bgColor rgb="FFFFFF00"/>
        </patternFill>
      </fill>
    </dxf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000000"/>
        <name val="Calibri"/>
        <charset val="1"/>
      </font>
      <fill>
        <patternFill>
          <bgColor rgb="FF00FF00"/>
        </patternFill>
      </fill>
    </dxf>
    <dxf>
      <font>
        <b/>
        <color rgb="FF000000"/>
        <name val="Calibri"/>
        <charset val="1"/>
      </font>
      <fill>
        <patternFill>
          <bgColor rgb="FFFFFF00"/>
        </patternFill>
      </fill>
    </dxf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FFFFFF"/>
        <name val="Calibri"/>
        <charset val="1"/>
      </font>
      <fill>
        <patternFill>
          <bgColor rgb="FFFF3300"/>
        </patternFill>
      </fill>
    </dxf>
    <dxf>
      <font>
        <b/>
        <color rgb="FF000000"/>
        <name val="Calibri"/>
        <charset val="1"/>
      </font>
      <fill>
        <patternFill>
          <bgColor rgb="FF00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5B7"/>
      <rgbColor rgb="FF808080"/>
      <rgbColor rgb="FF9999FF"/>
      <rgbColor rgb="FF993366"/>
      <rgbColor rgb="FFFFFFCC"/>
      <rgbColor rgb="FFE8EC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70A0"/>
      <rgbColor rgb="FF969696"/>
      <rgbColor rgb="FF1F3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lanejamento_Manutencao_Petribu_v1.1.xlsx" TargetMode="External"/><Relationship Id="rId13" Type="http://schemas.openxmlformats.org/officeDocument/2006/relationships/hyperlink" Target="Planejamento_Manutencao_Petribu_v1.1.xlsx" TargetMode="External"/><Relationship Id="rId3" Type="http://schemas.openxmlformats.org/officeDocument/2006/relationships/hyperlink" Target="Planejamento_Manutencao_Petribu_v1.1.xlsx" TargetMode="External"/><Relationship Id="rId7" Type="http://schemas.openxmlformats.org/officeDocument/2006/relationships/hyperlink" Target="Planejamento_Manutencao_Petribu_v1.1.xlsx" TargetMode="External"/><Relationship Id="rId12" Type="http://schemas.openxmlformats.org/officeDocument/2006/relationships/hyperlink" Target="Planejamento_Manutencao_Petribu_v1.1.xlsx" TargetMode="External"/><Relationship Id="rId2" Type="http://schemas.openxmlformats.org/officeDocument/2006/relationships/hyperlink" Target="Planejamento_Manutencao_Petribu_v1.1.xlsx" TargetMode="External"/><Relationship Id="rId16" Type="http://schemas.openxmlformats.org/officeDocument/2006/relationships/hyperlink" Target="Planejamento_Manutencao_Petribu_v1.1.xlsx" TargetMode="External"/><Relationship Id="rId1" Type="http://schemas.openxmlformats.org/officeDocument/2006/relationships/hyperlink" Target="Planejamento_Manutencao_Petribu_v1.1.xlsx" TargetMode="External"/><Relationship Id="rId6" Type="http://schemas.openxmlformats.org/officeDocument/2006/relationships/hyperlink" Target="Planejamento_Manutencao_Petribu_v1.1.xlsx" TargetMode="External"/><Relationship Id="rId11" Type="http://schemas.openxmlformats.org/officeDocument/2006/relationships/hyperlink" Target="Planejamento_Manutencao_Petribu_v1.1.xlsx" TargetMode="External"/><Relationship Id="rId5" Type="http://schemas.openxmlformats.org/officeDocument/2006/relationships/hyperlink" Target="Planejamento_Manutencao_Petribu_v1.1.xlsx" TargetMode="External"/><Relationship Id="rId15" Type="http://schemas.openxmlformats.org/officeDocument/2006/relationships/hyperlink" Target="Planejamento_Manutencao_Petribu_v1.1.xlsx" TargetMode="External"/><Relationship Id="rId10" Type="http://schemas.openxmlformats.org/officeDocument/2006/relationships/hyperlink" Target="Planejamento_Manutencao_Petribu_v1.1.xlsx" TargetMode="External"/><Relationship Id="rId4" Type="http://schemas.openxmlformats.org/officeDocument/2006/relationships/hyperlink" Target="Planejamento_Manutencao_Petribu_v1.1.xlsx" TargetMode="External"/><Relationship Id="rId9" Type="http://schemas.openxmlformats.org/officeDocument/2006/relationships/hyperlink" Target="Planejamento_Manutencao_Petribu_v1.1.xlsx" TargetMode="External"/><Relationship Id="rId14" Type="http://schemas.openxmlformats.org/officeDocument/2006/relationships/hyperlink" Target="Planejamento_Manutencao_Petribu_v1.1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2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3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Planejamento_Manutencao_Petribu_v1.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zoomScaleNormal="100" workbookViewId="0"/>
  </sheetViews>
  <sheetFormatPr defaultColWidth="8.69140625" defaultRowHeight="14.6" x14ac:dyDescent="0.4"/>
  <cols>
    <col min="1" max="1" width="4" customWidth="1"/>
    <col min="2" max="2" width="30" customWidth="1"/>
    <col min="3" max="3" width="72" customWidth="1"/>
    <col min="4" max="4" width="22" customWidth="1"/>
  </cols>
  <sheetData>
    <row r="1" spans="1:4" ht="15.75" customHeight="1" x14ac:dyDescent="0.45">
      <c r="A1" s="3" t="s">
        <v>0</v>
      </c>
      <c r="B1" s="3"/>
      <c r="C1" s="3"/>
      <c r="D1" s="3"/>
    </row>
    <row r="2" spans="1:4" ht="20.25" customHeight="1" x14ac:dyDescent="0.4">
      <c r="A2" s="2" t="s">
        <v>1</v>
      </c>
      <c r="B2" s="2"/>
      <c r="C2" s="2"/>
      <c r="D2" s="2"/>
    </row>
    <row r="4" spans="1:4" ht="15" customHeight="1" x14ac:dyDescent="0.4">
      <c r="B4" s="1" t="s">
        <v>2</v>
      </c>
      <c r="C4" s="1"/>
      <c r="D4" s="1"/>
    </row>
    <row r="5" spans="1:4" ht="27.75" customHeight="1" x14ac:dyDescent="0.4">
      <c r="B5" s="5" t="s">
        <v>3</v>
      </c>
      <c r="C5" s="6" t="s">
        <v>4</v>
      </c>
      <c r="D5" s="7" t="s">
        <v>5</v>
      </c>
    </row>
    <row r="6" spans="1:4" ht="27.75" customHeight="1" x14ac:dyDescent="0.4">
      <c r="B6" s="5" t="s">
        <v>6</v>
      </c>
      <c r="C6" s="6" t="s">
        <v>7</v>
      </c>
      <c r="D6" s="8" t="s">
        <v>8</v>
      </c>
    </row>
    <row r="7" spans="1:4" ht="27.75" customHeight="1" x14ac:dyDescent="0.4">
      <c r="B7" s="5" t="s">
        <v>9</v>
      </c>
      <c r="C7" s="6" t="s">
        <v>10</v>
      </c>
      <c r="D7" s="9" t="s">
        <v>11</v>
      </c>
    </row>
    <row r="8" spans="1:4" ht="27.75" customHeight="1" x14ac:dyDescent="0.4">
      <c r="B8" s="5" t="s">
        <v>12</v>
      </c>
      <c r="C8" s="6" t="s">
        <v>13</v>
      </c>
      <c r="D8" s="7" t="s">
        <v>5</v>
      </c>
    </row>
    <row r="9" spans="1:4" ht="15" customHeight="1" x14ac:dyDescent="0.4">
      <c r="B9" s="1" t="s">
        <v>14</v>
      </c>
      <c r="C9" s="1"/>
      <c r="D9" s="1"/>
    </row>
    <row r="10" spans="1:4" ht="27.75" customHeight="1" x14ac:dyDescent="0.4">
      <c r="B10" s="5" t="s">
        <v>15</v>
      </c>
      <c r="C10" s="6" t="s">
        <v>16</v>
      </c>
      <c r="D10" s="8" t="s">
        <v>17</v>
      </c>
    </row>
    <row r="11" spans="1:4" ht="27.75" customHeight="1" x14ac:dyDescent="0.4">
      <c r="B11" s="5" t="s">
        <v>18</v>
      </c>
      <c r="C11" s="6" t="s">
        <v>19</v>
      </c>
      <c r="D11" s="8" t="s">
        <v>17</v>
      </c>
    </row>
    <row r="12" spans="1:4" ht="27.75" customHeight="1" x14ac:dyDescent="0.4">
      <c r="B12" s="5" t="s">
        <v>20</v>
      </c>
      <c r="C12" s="6" t="s">
        <v>21</v>
      </c>
      <c r="D12" s="8" t="s">
        <v>17</v>
      </c>
    </row>
    <row r="13" spans="1:4" ht="15" customHeight="1" x14ac:dyDescent="0.4">
      <c r="B13" s="1" t="s">
        <v>22</v>
      </c>
      <c r="C13" s="1"/>
      <c r="D13" s="1"/>
    </row>
    <row r="14" spans="1:4" ht="27.75" customHeight="1" x14ac:dyDescent="0.4">
      <c r="B14" s="5" t="s">
        <v>23</v>
      </c>
      <c r="C14" s="6" t="s">
        <v>24</v>
      </c>
      <c r="D14" s="8" t="s">
        <v>17</v>
      </c>
    </row>
    <row r="15" spans="1:4" ht="27.75" customHeight="1" x14ac:dyDescent="0.4">
      <c r="B15" s="5" t="s">
        <v>25</v>
      </c>
      <c r="C15" s="6" t="s">
        <v>26</v>
      </c>
      <c r="D15" s="8" t="s">
        <v>17</v>
      </c>
    </row>
    <row r="16" spans="1:4" ht="27.75" customHeight="1" x14ac:dyDescent="0.4">
      <c r="B16" s="5" t="s">
        <v>27</v>
      </c>
      <c r="C16" s="6" t="s">
        <v>28</v>
      </c>
      <c r="D16" s="7" t="s">
        <v>29</v>
      </c>
    </row>
    <row r="17" spans="2:4" ht="27.75" customHeight="1" x14ac:dyDescent="0.4">
      <c r="B17" s="5" t="s">
        <v>30</v>
      </c>
      <c r="C17" s="6" t="s">
        <v>31</v>
      </c>
      <c r="D17" s="7" t="s">
        <v>29</v>
      </c>
    </row>
    <row r="18" spans="2:4" ht="27.75" customHeight="1" x14ac:dyDescent="0.4">
      <c r="B18" s="5" t="s">
        <v>32</v>
      </c>
      <c r="C18" s="6" t="s">
        <v>33</v>
      </c>
      <c r="D18" s="9" t="s">
        <v>34</v>
      </c>
    </row>
    <row r="19" spans="2:4" ht="27.75" customHeight="1" x14ac:dyDescent="0.4">
      <c r="B19" s="5" t="s">
        <v>35</v>
      </c>
      <c r="C19" s="6" t="s">
        <v>36</v>
      </c>
      <c r="D19" s="7" t="s">
        <v>37</v>
      </c>
    </row>
    <row r="20" spans="2:4" ht="27.75" customHeight="1" x14ac:dyDescent="0.4">
      <c r="B20" s="5" t="s">
        <v>38</v>
      </c>
      <c r="C20" s="6" t="s">
        <v>39</v>
      </c>
      <c r="D20" s="8" t="s">
        <v>17</v>
      </c>
    </row>
    <row r="21" spans="2:4" ht="15" customHeight="1" x14ac:dyDescent="0.4">
      <c r="B21" s="1" t="s">
        <v>40</v>
      </c>
      <c r="C21" s="1"/>
      <c r="D21" s="1"/>
    </row>
    <row r="22" spans="2:4" ht="27.75" customHeight="1" x14ac:dyDescent="0.4">
      <c r="B22" s="5" t="s">
        <v>41</v>
      </c>
      <c r="C22" s="6" t="s">
        <v>42</v>
      </c>
      <c r="D22" s="8" t="s">
        <v>8</v>
      </c>
    </row>
    <row r="23" spans="2:4" ht="27.75" customHeight="1" x14ac:dyDescent="0.4">
      <c r="B23" s="5" t="s">
        <v>43</v>
      </c>
      <c r="C23" s="6" t="s">
        <v>44</v>
      </c>
      <c r="D23" s="10" t="s">
        <v>45</v>
      </c>
    </row>
  </sheetData>
  <mergeCells count="6">
    <mergeCell ref="B21:D21"/>
    <mergeCell ref="A1:D1"/>
    <mergeCell ref="A2:D2"/>
    <mergeCell ref="B4:D4"/>
    <mergeCell ref="B9:D9"/>
    <mergeCell ref="B13:D13"/>
  </mergeCells>
  <hyperlinks>
    <hyperlink ref="B5" r:id="rId1" location="Premissas!A1" xr:uid="{00000000-0004-0000-0000-000000000000}"/>
    <hyperlink ref="B6" r:id="rId2" location="Frota!A1" xr:uid="{00000000-0004-0000-0000-000001000000}"/>
    <hyperlink ref="B7" r:id="rId3" location="Pessoas!A1" xr:uid="{00000000-0004-0000-0000-000002000000}"/>
    <hyperlink ref="B8" r:id="rId4" location="Checklist!A1" xr:uid="{00000000-0004-0000-0000-000003000000}"/>
    <hyperlink ref="B10" r:id="rId5" location="Cronograma!A1" xr:uid="{00000000-0004-0000-0000-000004000000}"/>
    <hyperlink ref="B11" r:id="rId6" location="Cronograma_Ativos!A1" xr:uid="{00000000-0004-0000-0000-000005000000}"/>
    <hyperlink ref="B12" r:id="rId7" location="Agenda!A1" xr:uid="{00000000-0004-0000-0000-000006000000}"/>
    <hyperlink ref="B14" r:id="rId8" location="Plan_Prev!A1" xr:uid="{00000000-0004-0000-0000-000007000000}"/>
    <hyperlink ref="B15" r:id="rId9" location="Plan_Corr!A1" xr:uid="{00000000-0004-0000-0000-000008000000}"/>
    <hyperlink ref="B16" r:id="rId10" location="Disponibilidade!A1" xr:uid="{00000000-0004-0000-0000-000009000000}"/>
    <hyperlink ref="B17" r:id="rId11" location="Recursos!A1" xr:uid="{00000000-0004-0000-0000-00000A000000}"/>
    <hyperlink ref="B18" r:id="rId12" location="Insumos!A1" xr:uid="{00000000-0004-0000-0000-00000B000000}"/>
    <hyperlink ref="B19" r:id="rId13" location="Saving!A1" xr:uid="{00000000-0004-0000-0000-00000C000000}"/>
    <hyperlink ref="B20" r:id="rId14" location="Resumo!A1" xr:uid="{00000000-0004-0000-0000-00000D000000}"/>
    <hyperlink ref="B22" r:id="rId15" location="Calibração_OS!A1" xr:uid="{00000000-0004-0000-0000-00000E000000}"/>
    <hyperlink ref="B23" r:id="rId16" location="Leia-me!A1" xr:uid="{00000000-0004-0000-0000-00000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/>
  </sheetViews>
  <sheetFormatPr defaultColWidth="8.69140625" defaultRowHeight="14.6" x14ac:dyDescent="0.4"/>
  <cols>
    <col min="1" max="1" width="4" customWidth="1"/>
    <col min="2" max="2" width="30" customWidth="1"/>
    <col min="3" max="3" width="98" customWidth="1"/>
  </cols>
  <sheetData>
    <row r="1" spans="1:5" ht="15.75" customHeight="1" x14ac:dyDescent="0.45">
      <c r="A1" s="3" t="s">
        <v>46</v>
      </c>
      <c r="B1" s="3"/>
      <c r="C1" s="3"/>
      <c r="E1" s="11" t="s">
        <v>47</v>
      </c>
    </row>
    <row r="3" spans="1:5" ht="54" customHeight="1" x14ac:dyDescent="0.4">
      <c r="A3" s="12" t="s">
        <v>48</v>
      </c>
      <c r="B3" s="13" t="s">
        <v>49</v>
      </c>
      <c r="C3" s="6" t="s">
        <v>50</v>
      </c>
    </row>
    <row r="4" spans="1:5" ht="54" customHeight="1" x14ac:dyDescent="0.4">
      <c r="A4" s="12" t="s">
        <v>51</v>
      </c>
      <c r="B4" s="13" t="s">
        <v>52</v>
      </c>
      <c r="C4" s="6" t="s">
        <v>53</v>
      </c>
    </row>
    <row r="5" spans="1:5" ht="54" customHeight="1" x14ac:dyDescent="0.4">
      <c r="A5" s="12" t="s">
        <v>54</v>
      </c>
      <c r="B5" s="13" t="s">
        <v>55</v>
      </c>
      <c r="C5" s="6" t="s">
        <v>56</v>
      </c>
    </row>
    <row r="6" spans="1:5" ht="54" customHeight="1" x14ac:dyDescent="0.4">
      <c r="A6" s="12" t="s">
        <v>57</v>
      </c>
      <c r="B6" s="13" t="s">
        <v>58</v>
      </c>
      <c r="C6" s="6" t="s">
        <v>59</v>
      </c>
    </row>
    <row r="7" spans="1:5" ht="54" customHeight="1" x14ac:dyDescent="0.4">
      <c r="A7" s="12" t="s">
        <v>60</v>
      </c>
      <c r="B7" s="13" t="s">
        <v>61</v>
      </c>
      <c r="C7" s="6" t="s">
        <v>62</v>
      </c>
    </row>
    <row r="8" spans="1:5" ht="54" customHeight="1" x14ac:dyDescent="0.4">
      <c r="A8" s="12" t="s">
        <v>63</v>
      </c>
      <c r="B8" s="13" t="s">
        <v>64</v>
      </c>
      <c r="C8" s="6" t="s">
        <v>65</v>
      </c>
    </row>
    <row r="9" spans="1:5" ht="54" customHeight="1" x14ac:dyDescent="0.4">
      <c r="A9" s="12" t="s">
        <v>66</v>
      </c>
      <c r="B9" s="13" t="s">
        <v>67</v>
      </c>
      <c r="C9" s="6" t="s">
        <v>68</v>
      </c>
    </row>
  </sheetData>
  <mergeCells count="1">
    <mergeCell ref="A1:C1"/>
  </mergeCells>
  <hyperlinks>
    <hyperlink ref="E1" r:id="rId1" location="Menu!A1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workbookViewId="0"/>
  </sheetViews>
  <sheetFormatPr defaultColWidth="8.69140625" defaultRowHeight="14.6" x14ac:dyDescent="0.4"/>
  <cols>
    <col min="1" max="1" width="30" customWidth="1"/>
    <col min="2" max="13" width="7" customWidth="1"/>
  </cols>
  <sheetData>
    <row r="1" spans="1:13" ht="15.75" customHeight="1" x14ac:dyDescent="0.45">
      <c r="A1" s="3" t="s">
        <v>69</v>
      </c>
      <c r="B1" s="3"/>
      <c r="C1" s="3"/>
      <c r="D1" s="3"/>
      <c r="E1" s="3"/>
      <c r="F1" s="3"/>
      <c r="H1" s="11" t="s">
        <v>47</v>
      </c>
    </row>
    <row r="3" spans="1:13" ht="15" customHeight="1" x14ac:dyDescent="0.4">
      <c r="A3" s="12" t="s">
        <v>70</v>
      </c>
    </row>
    <row r="4" spans="1:13" ht="15" customHeight="1" x14ac:dyDescent="0.4">
      <c r="A4" s="14" t="s">
        <v>71</v>
      </c>
      <c r="B4" s="14" t="s">
        <v>72</v>
      </c>
      <c r="C4" s="14" t="s">
        <v>73</v>
      </c>
      <c r="D4" s="14" t="s">
        <v>74</v>
      </c>
      <c r="E4" s="14"/>
      <c r="F4" s="14"/>
    </row>
    <row r="5" spans="1:13" ht="15" customHeight="1" x14ac:dyDescent="0.4">
      <c r="A5" s="15" t="s">
        <v>75</v>
      </c>
      <c r="B5" s="16">
        <v>9</v>
      </c>
      <c r="C5" s="16">
        <v>91</v>
      </c>
      <c r="D5" s="16">
        <v>56813</v>
      </c>
    </row>
    <row r="6" spans="1:13" ht="15" customHeight="1" x14ac:dyDescent="0.4">
      <c r="A6" s="15" t="s">
        <v>76</v>
      </c>
      <c r="B6" s="16">
        <v>28</v>
      </c>
      <c r="C6" s="16">
        <v>72</v>
      </c>
      <c r="D6" s="16">
        <v>26024</v>
      </c>
    </row>
    <row r="7" spans="1:13" ht="15" customHeight="1" x14ac:dyDescent="0.4">
      <c r="A7" s="15" t="s">
        <v>77</v>
      </c>
      <c r="B7" s="16">
        <v>67</v>
      </c>
      <c r="C7" s="16">
        <v>33</v>
      </c>
      <c r="D7" s="16">
        <v>8682</v>
      </c>
    </row>
    <row r="8" spans="1:13" ht="15" customHeight="1" x14ac:dyDescent="0.4">
      <c r="A8" s="15" t="s">
        <v>78</v>
      </c>
      <c r="B8" s="16">
        <v>5</v>
      </c>
      <c r="C8" s="16">
        <v>95</v>
      </c>
      <c r="D8" s="16">
        <v>3128</v>
      </c>
    </row>
    <row r="9" spans="1:13" ht="15" customHeight="1" x14ac:dyDescent="0.4">
      <c r="A9" s="15" t="s">
        <v>79</v>
      </c>
      <c r="B9" s="16">
        <v>37</v>
      </c>
      <c r="C9" s="16">
        <v>63</v>
      </c>
      <c r="D9" s="16">
        <v>1311</v>
      </c>
    </row>
    <row r="10" spans="1:13" ht="15" customHeight="1" x14ac:dyDescent="0.4">
      <c r="A10" s="15" t="s">
        <v>80</v>
      </c>
      <c r="B10" s="16">
        <v>14</v>
      </c>
      <c r="C10" s="16">
        <v>86</v>
      </c>
      <c r="D10" s="16">
        <v>759</v>
      </c>
    </row>
    <row r="12" spans="1:13" ht="15" customHeight="1" x14ac:dyDescent="0.4">
      <c r="A12" s="12" t="s">
        <v>81</v>
      </c>
    </row>
    <row r="13" spans="1:13" ht="15" customHeight="1" x14ac:dyDescent="0.4">
      <c r="A13" s="14" t="s">
        <v>82</v>
      </c>
      <c r="B13" s="14" t="s">
        <v>83</v>
      </c>
      <c r="C13" s="14" t="s">
        <v>84</v>
      </c>
      <c r="D13" s="14" t="s">
        <v>85</v>
      </c>
      <c r="E13" s="14" t="s">
        <v>86</v>
      </c>
      <c r="F13" s="14" t="s">
        <v>87</v>
      </c>
      <c r="G13" s="14" t="s">
        <v>88</v>
      </c>
      <c r="H13" s="14" t="s">
        <v>89</v>
      </c>
      <c r="I13" s="14" t="s">
        <v>90</v>
      </c>
      <c r="J13" s="14" t="s">
        <v>91</v>
      </c>
      <c r="K13" s="14" t="s">
        <v>92</v>
      </c>
      <c r="L13" s="14" t="s">
        <v>93</v>
      </c>
      <c r="M13" s="14" t="s">
        <v>94</v>
      </c>
    </row>
    <row r="14" spans="1:13" ht="15" customHeight="1" x14ac:dyDescent="0.4">
      <c r="A14" s="15" t="s">
        <v>95</v>
      </c>
      <c r="B14" s="16">
        <v>1.24</v>
      </c>
      <c r="C14" s="16">
        <v>1.2</v>
      </c>
      <c r="D14" s="16">
        <v>1.0900000000000001</v>
      </c>
      <c r="E14" s="16">
        <v>0.69</v>
      </c>
      <c r="F14" s="16">
        <v>0.5</v>
      </c>
      <c r="G14" s="16">
        <v>0.36</v>
      </c>
      <c r="H14" s="16">
        <v>0.46</v>
      </c>
      <c r="I14" s="16">
        <v>1.06</v>
      </c>
      <c r="J14" s="16">
        <v>1.25</v>
      </c>
      <c r="K14" s="16">
        <v>1.42</v>
      </c>
      <c r="L14" s="16">
        <v>1.4</v>
      </c>
      <c r="M14" s="16">
        <v>1.33</v>
      </c>
    </row>
    <row r="16" spans="1:13" ht="30" customHeight="1" x14ac:dyDescent="0.4">
      <c r="A16" s="2" t="s">
        <v>96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</sheetData>
  <mergeCells count="2">
    <mergeCell ref="A1:F1"/>
    <mergeCell ref="A16:M16"/>
  </mergeCells>
  <hyperlinks>
    <hyperlink ref="H1" r:id="rId1" location="Menu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zoomScaleNormal="100" workbookViewId="0"/>
  </sheetViews>
  <sheetFormatPr defaultColWidth="8.69140625" defaultRowHeight="14.6" x14ac:dyDescent="0.4"/>
  <cols>
    <col min="1" max="1" width="20" customWidth="1"/>
    <col min="2" max="2" width="9" customWidth="1"/>
    <col min="3" max="6" width="8" customWidth="1"/>
    <col min="7" max="7" width="13" customWidth="1"/>
    <col min="8" max="8" width="17" customWidth="1"/>
    <col min="9" max="10" width="10" customWidth="1"/>
  </cols>
  <sheetData>
    <row r="1" spans="1:13" ht="15.75" customHeight="1" x14ac:dyDescent="0.45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M1" s="11" t="s">
        <v>47</v>
      </c>
    </row>
    <row r="3" spans="1:13" ht="15" customHeight="1" x14ac:dyDescent="0.4">
      <c r="A3" s="12" t="s">
        <v>98</v>
      </c>
    </row>
    <row r="4" spans="1:13" ht="34.5" customHeight="1" x14ac:dyDescent="0.4">
      <c r="A4" s="14" t="s">
        <v>71</v>
      </c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</row>
    <row r="5" spans="1:13" ht="15" customHeight="1" x14ac:dyDescent="0.4">
      <c r="A5" s="15" t="s">
        <v>76</v>
      </c>
      <c r="B5" s="17">
        <v>28</v>
      </c>
      <c r="C5" s="17">
        <v>72</v>
      </c>
      <c r="D5" s="17" t="str">
        <f t="shared" ref="D5:D10" si="0">IF(B5+C5=100,"OK","≠100")</f>
        <v>OK</v>
      </c>
      <c r="E5" s="18">
        <v>5</v>
      </c>
      <c r="F5" s="18">
        <v>10</v>
      </c>
    </row>
    <row r="6" spans="1:13" ht="15" customHeight="1" x14ac:dyDescent="0.4">
      <c r="A6" s="15" t="s">
        <v>75</v>
      </c>
      <c r="B6" s="17">
        <v>9</v>
      </c>
      <c r="C6" s="17">
        <v>91</v>
      </c>
      <c r="D6" s="17" t="str">
        <f t="shared" si="0"/>
        <v>OK</v>
      </c>
      <c r="E6" s="18">
        <v>8</v>
      </c>
      <c r="F6" s="18">
        <v>5</v>
      </c>
    </row>
    <row r="7" spans="1:13" ht="15" customHeight="1" x14ac:dyDescent="0.4">
      <c r="A7" s="15" t="s">
        <v>77</v>
      </c>
      <c r="B7" s="17">
        <v>67</v>
      </c>
      <c r="C7" s="17">
        <v>33</v>
      </c>
      <c r="D7" s="17" t="str">
        <f t="shared" si="0"/>
        <v>OK</v>
      </c>
      <c r="E7" s="18">
        <v>3</v>
      </c>
      <c r="F7" s="18">
        <v>10</v>
      </c>
    </row>
    <row r="8" spans="1:13" ht="15" customHeight="1" x14ac:dyDescent="0.4">
      <c r="A8" s="15" t="s">
        <v>78</v>
      </c>
      <c r="B8" s="17">
        <v>5</v>
      </c>
      <c r="C8" s="17">
        <v>95</v>
      </c>
      <c r="D8" s="17" t="str">
        <f t="shared" si="0"/>
        <v>OK</v>
      </c>
      <c r="E8" s="18">
        <v>8</v>
      </c>
      <c r="F8" s="18">
        <v>20</v>
      </c>
    </row>
    <row r="9" spans="1:13" ht="15" customHeight="1" x14ac:dyDescent="0.4">
      <c r="A9" s="15" t="s">
        <v>104</v>
      </c>
      <c r="B9" s="17">
        <v>50</v>
      </c>
      <c r="C9" s="17">
        <v>50</v>
      </c>
      <c r="D9" s="17" t="str">
        <f t="shared" si="0"/>
        <v>OK</v>
      </c>
      <c r="E9" s="18">
        <v>5</v>
      </c>
      <c r="F9" s="18">
        <v>10</v>
      </c>
    </row>
    <row r="10" spans="1:13" ht="15" customHeight="1" x14ac:dyDescent="0.4">
      <c r="A10" s="15" t="s">
        <v>80</v>
      </c>
      <c r="B10" s="17">
        <v>14</v>
      </c>
      <c r="C10" s="17">
        <v>86</v>
      </c>
      <c r="D10" s="17" t="str">
        <f t="shared" si="0"/>
        <v>OK</v>
      </c>
      <c r="E10" s="18">
        <v>5</v>
      </c>
      <c r="F10" s="18">
        <v>0</v>
      </c>
    </row>
    <row r="12" spans="1:13" ht="15" customHeight="1" x14ac:dyDescent="0.4">
      <c r="A12" s="12" t="s">
        <v>105</v>
      </c>
    </row>
    <row r="13" spans="1:13" ht="23.25" customHeight="1" x14ac:dyDescent="0.4">
      <c r="A13" s="14" t="s">
        <v>71</v>
      </c>
      <c r="B13" s="14" t="s">
        <v>106</v>
      </c>
      <c r="C13" s="14" t="s">
        <v>107</v>
      </c>
      <c r="D13" s="14" t="s">
        <v>108</v>
      </c>
      <c r="E13" s="14" t="s">
        <v>109</v>
      </c>
      <c r="F13" s="14" t="s">
        <v>110</v>
      </c>
      <c r="G13" s="14" t="s">
        <v>111</v>
      </c>
      <c r="H13" s="14" t="s">
        <v>112</v>
      </c>
      <c r="I13" s="14" t="s">
        <v>113</v>
      </c>
      <c r="J13" s="14" t="s">
        <v>114</v>
      </c>
      <c r="K13" s="14" t="s">
        <v>115</v>
      </c>
    </row>
    <row r="14" spans="1:13" ht="15" customHeight="1" x14ac:dyDescent="0.4">
      <c r="A14" s="15" t="s">
        <v>76</v>
      </c>
      <c r="B14" s="18">
        <v>8.8000000000000007</v>
      </c>
      <c r="C14" s="18">
        <v>1.2</v>
      </c>
      <c r="D14" s="18">
        <v>0.17</v>
      </c>
      <c r="E14" s="18">
        <v>0.25</v>
      </c>
      <c r="F14" s="18">
        <v>80</v>
      </c>
      <c r="G14" s="18">
        <v>5</v>
      </c>
      <c r="H14" s="18">
        <v>8.33</v>
      </c>
      <c r="I14" s="18">
        <v>16</v>
      </c>
      <c r="J14" s="19">
        <f t="shared" ref="J14:J19" si="1">MAX(0,B14-C14-D14-E14)</f>
        <v>7.1800000000000006</v>
      </c>
      <c r="K14" s="19">
        <f t="shared" ref="K14:K19" si="2">ROUND(J14*(1-MIN(G14/100+H14/100/12+I14/MAX(1,252*J14),0.99))*(F14/100),2)</f>
        <v>5.37</v>
      </c>
    </row>
    <row r="15" spans="1:13" ht="15" customHeight="1" x14ac:dyDescent="0.4">
      <c r="A15" s="15" t="s">
        <v>75</v>
      </c>
      <c r="B15" s="18">
        <v>8.8000000000000007</v>
      </c>
      <c r="C15" s="18">
        <v>1.2</v>
      </c>
      <c r="D15" s="18">
        <v>0.17</v>
      </c>
      <c r="E15" s="18">
        <v>0.25</v>
      </c>
      <c r="F15" s="18">
        <v>80</v>
      </c>
      <c r="G15" s="18">
        <v>5</v>
      </c>
      <c r="H15" s="18">
        <v>8.33</v>
      </c>
      <c r="I15" s="18">
        <v>16</v>
      </c>
      <c r="J15" s="19">
        <f t="shared" si="1"/>
        <v>7.1800000000000006</v>
      </c>
      <c r="K15" s="19">
        <f t="shared" si="2"/>
        <v>5.37</v>
      </c>
    </row>
    <row r="16" spans="1:13" ht="15" customHeight="1" x14ac:dyDescent="0.4">
      <c r="A16" s="15" t="s">
        <v>77</v>
      </c>
      <c r="B16" s="18">
        <v>8.8000000000000007</v>
      </c>
      <c r="C16" s="18">
        <v>1.2</v>
      </c>
      <c r="D16" s="18">
        <v>0.17</v>
      </c>
      <c r="E16" s="18">
        <v>0.25</v>
      </c>
      <c r="F16" s="18">
        <v>80</v>
      </c>
      <c r="G16" s="18">
        <v>5</v>
      </c>
      <c r="H16" s="18">
        <v>8.33</v>
      </c>
      <c r="I16" s="18">
        <v>16</v>
      </c>
      <c r="J16" s="19">
        <f t="shared" si="1"/>
        <v>7.1800000000000006</v>
      </c>
      <c r="K16" s="19">
        <f t="shared" si="2"/>
        <v>5.37</v>
      </c>
    </row>
    <row r="17" spans="1:11" ht="15" customHeight="1" x14ac:dyDescent="0.4">
      <c r="A17" s="15" t="s">
        <v>78</v>
      </c>
      <c r="B17" s="18">
        <v>8.8000000000000007</v>
      </c>
      <c r="C17" s="18">
        <v>1.2</v>
      </c>
      <c r="D17" s="18">
        <v>0.17</v>
      </c>
      <c r="E17" s="18">
        <v>0.25</v>
      </c>
      <c r="F17" s="18">
        <v>80</v>
      </c>
      <c r="G17" s="18">
        <v>5</v>
      </c>
      <c r="H17" s="18">
        <v>8.33</v>
      </c>
      <c r="I17" s="18">
        <v>16</v>
      </c>
      <c r="J17" s="19">
        <f t="shared" si="1"/>
        <v>7.1800000000000006</v>
      </c>
      <c r="K17" s="19">
        <f t="shared" si="2"/>
        <v>5.37</v>
      </c>
    </row>
    <row r="18" spans="1:11" ht="15" customHeight="1" x14ac:dyDescent="0.4">
      <c r="A18" s="15" t="s">
        <v>104</v>
      </c>
      <c r="B18" s="18">
        <v>8.8000000000000007</v>
      </c>
      <c r="C18" s="18">
        <v>1.2</v>
      </c>
      <c r="D18" s="18">
        <v>0.17</v>
      </c>
      <c r="E18" s="18">
        <v>0.25</v>
      </c>
      <c r="F18" s="18">
        <v>80</v>
      </c>
      <c r="G18" s="18">
        <v>5</v>
      </c>
      <c r="H18" s="18">
        <v>8.33</v>
      </c>
      <c r="I18" s="18">
        <v>16</v>
      </c>
      <c r="J18" s="19">
        <f t="shared" si="1"/>
        <v>7.1800000000000006</v>
      </c>
      <c r="K18" s="19">
        <f t="shared" si="2"/>
        <v>5.37</v>
      </c>
    </row>
    <row r="19" spans="1:11" ht="15" customHeight="1" x14ac:dyDescent="0.4">
      <c r="A19" s="15" t="s">
        <v>80</v>
      </c>
      <c r="B19" s="18">
        <v>8.8000000000000007</v>
      </c>
      <c r="C19" s="18">
        <v>1.2</v>
      </c>
      <c r="D19" s="18">
        <v>0.17</v>
      </c>
      <c r="E19" s="18">
        <v>0.25</v>
      </c>
      <c r="F19" s="18">
        <v>80</v>
      </c>
      <c r="G19" s="18">
        <v>5</v>
      </c>
      <c r="H19" s="18">
        <v>8.33</v>
      </c>
      <c r="I19" s="18">
        <v>16</v>
      </c>
      <c r="J19" s="19">
        <f t="shared" si="1"/>
        <v>7.1800000000000006</v>
      </c>
      <c r="K19" s="19">
        <f t="shared" si="2"/>
        <v>5.37</v>
      </c>
    </row>
    <row r="21" spans="1:11" ht="15" customHeight="1" x14ac:dyDescent="0.4">
      <c r="A21" s="12" t="s">
        <v>116</v>
      </c>
      <c r="F21" s="15" t="s">
        <v>117</v>
      </c>
      <c r="G21" s="16" t="s">
        <v>118</v>
      </c>
    </row>
    <row r="22" spans="1:11" ht="45.75" customHeight="1" x14ac:dyDescent="0.4">
      <c r="A22" s="14" t="s">
        <v>82</v>
      </c>
      <c r="B22" s="14" t="s">
        <v>119</v>
      </c>
      <c r="C22" s="14" t="s">
        <v>120</v>
      </c>
      <c r="D22" s="14" t="s">
        <v>121</v>
      </c>
      <c r="F22" s="15" t="s">
        <v>122</v>
      </c>
      <c r="G22" s="16" t="s">
        <v>123</v>
      </c>
    </row>
    <row r="23" spans="1:11" ht="15" customHeight="1" x14ac:dyDescent="0.4">
      <c r="A23" s="15" t="s">
        <v>83</v>
      </c>
      <c r="B23" s="20">
        <v>22</v>
      </c>
      <c r="C23" s="16">
        <v>1.24</v>
      </c>
      <c r="D23" s="16" t="s">
        <v>124</v>
      </c>
    </row>
    <row r="24" spans="1:11" ht="15" customHeight="1" x14ac:dyDescent="0.4">
      <c r="A24" s="15" t="s">
        <v>84</v>
      </c>
      <c r="B24" s="20">
        <v>20</v>
      </c>
      <c r="C24" s="16">
        <v>1.2</v>
      </c>
      <c r="D24" s="16" t="s">
        <v>124</v>
      </c>
    </row>
    <row r="25" spans="1:11" ht="15" customHeight="1" x14ac:dyDescent="0.4">
      <c r="A25" s="15" t="s">
        <v>85</v>
      </c>
      <c r="B25" s="20">
        <v>22</v>
      </c>
      <c r="C25" s="16">
        <v>1.0900000000000001</v>
      </c>
      <c r="D25" s="16" t="s">
        <v>124</v>
      </c>
    </row>
    <row r="26" spans="1:11" ht="15" customHeight="1" x14ac:dyDescent="0.4">
      <c r="A26" s="15" t="s">
        <v>86</v>
      </c>
      <c r="B26" s="20">
        <v>20</v>
      </c>
      <c r="C26" s="16">
        <v>0.69</v>
      </c>
      <c r="D26" s="16" t="s">
        <v>125</v>
      </c>
    </row>
    <row r="27" spans="1:11" ht="15" customHeight="1" x14ac:dyDescent="0.4">
      <c r="A27" s="15" t="s">
        <v>87</v>
      </c>
      <c r="B27" s="20">
        <v>20</v>
      </c>
      <c r="C27" s="16">
        <v>0.5</v>
      </c>
      <c r="D27" s="16" t="s">
        <v>125</v>
      </c>
    </row>
    <row r="28" spans="1:11" ht="15" customHeight="1" x14ac:dyDescent="0.4">
      <c r="A28" s="15" t="s">
        <v>88</v>
      </c>
      <c r="B28" s="20">
        <v>22</v>
      </c>
      <c r="C28" s="16">
        <v>0.36</v>
      </c>
      <c r="D28" s="16" t="s">
        <v>125</v>
      </c>
    </row>
    <row r="29" spans="1:11" ht="15" customHeight="1" x14ac:dyDescent="0.4">
      <c r="A29" s="15" t="s">
        <v>89</v>
      </c>
      <c r="B29" s="20">
        <v>21</v>
      </c>
      <c r="C29" s="16">
        <v>0.46</v>
      </c>
      <c r="D29" s="16" t="s">
        <v>125</v>
      </c>
    </row>
    <row r="30" spans="1:11" ht="15" customHeight="1" x14ac:dyDescent="0.4">
      <c r="A30" s="15" t="s">
        <v>90</v>
      </c>
      <c r="B30" s="20">
        <v>20</v>
      </c>
      <c r="C30" s="16">
        <v>1.06</v>
      </c>
      <c r="D30" s="16" t="s">
        <v>125</v>
      </c>
    </row>
    <row r="31" spans="1:11" ht="15" customHeight="1" x14ac:dyDescent="0.4">
      <c r="A31" s="15" t="s">
        <v>91</v>
      </c>
      <c r="B31" s="20">
        <v>23</v>
      </c>
      <c r="C31" s="16">
        <v>1.25</v>
      </c>
      <c r="D31" s="16" t="s">
        <v>124</v>
      </c>
    </row>
    <row r="32" spans="1:11" ht="15" customHeight="1" x14ac:dyDescent="0.4">
      <c r="A32" s="15" t="s">
        <v>92</v>
      </c>
      <c r="B32" s="20">
        <v>22</v>
      </c>
      <c r="C32" s="16">
        <v>1.42</v>
      </c>
      <c r="D32" s="16" t="s">
        <v>124</v>
      </c>
    </row>
    <row r="33" spans="1:10" ht="15" customHeight="1" x14ac:dyDescent="0.4">
      <c r="A33" s="15" t="s">
        <v>93</v>
      </c>
      <c r="B33" s="20">
        <v>21</v>
      </c>
      <c r="C33" s="16">
        <v>1.4</v>
      </c>
      <c r="D33" s="16" t="s">
        <v>124</v>
      </c>
    </row>
    <row r="34" spans="1:10" ht="15" customHeight="1" x14ac:dyDescent="0.4">
      <c r="A34" s="15" t="s">
        <v>94</v>
      </c>
      <c r="B34" s="20">
        <v>23</v>
      </c>
      <c r="C34" s="16">
        <v>1.33</v>
      </c>
      <c r="D34" s="16" t="s">
        <v>124</v>
      </c>
    </row>
    <row r="35" spans="1:10" ht="15" customHeight="1" x14ac:dyDescent="0.4">
      <c r="A35" s="4" t="s">
        <v>126</v>
      </c>
      <c r="B35" s="4">
        <f>SUM(B23:B34)</f>
        <v>256</v>
      </c>
      <c r="C35" s="4">
        <f>ROUND(AVERAGE(C23:C34),2)</f>
        <v>1</v>
      </c>
      <c r="D35" s="16"/>
    </row>
    <row r="37" spans="1:10" ht="15" customHeight="1" x14ac:dyDescent="0.4">
      <c r="A37" s="12" t="s">
        <v>127</v>
      </c>
    </row>
    <row r="38" spans="1:10" ht="23.25" customHeight="1" x14ac:dyDescent="0.4">
      <c r="A38" s="14" t="s">
        <v>128</v>
      </c>
      <c r="B38" s="14" t="s">
        <v>129</v>
      </c>
      <c r="C38" s="14" t="s">
        <v>130</v>
      </c>
      <c r="D38" s="14" t="s">
        <v>131</v>
      </c>
      <c r="E38" s="14" t="s">
        <v>132</v>
      </c>
      <c r="F38" s="14" t="s">
        <v>133</v>
      </c>
      <c r="G38" s="14" t="s">
        <v>134</v>
      </c>
      <c r="H38" s="14" t="s">
        <v>135</v>
      </c>
      <c r="I38" s="14" t="s">
        <v>136</v>
      </c>
      <c r="J38" s="14" t="s">
        <v>137</v>
      </c>
    </row>
    <row r="39" spans="1:10" ht="15" customHeight="1" x14ac:dyDescent="0.4">
      <c r="A39" s="15" t="s">
        <v>138</v>
      </c>
      <c r="B39" s="17" t="s">
        <v>139</v>
      </c>
      <c r="C39" s="17">
        <v>150</v>
      </c>
      <c r="D39" s="17">
        <v>300</v>
      </c>
      <c r="E39" s="17">
        <v>600</v>
      </c>
      <c r="F39" s="17">
        <v>1200</v>
      </c>
      <c r="G39" s="18">
        <v>60</v>
      </c>
      <c r="H39" s="18">
        <v>5</v>
      </c>
      <c r="I39" s="19">
        <f>COUNTIF(Frota!$C$5:$C$388,$A39)</f>
        <v>8</v>
      </c>
      <c r="J39" s="20">
        <v>0</v>
      </c>
    </row>
    <row r="40" spans="1:10" ht="15" customHeight="1" x14ac:dyDescent="0.4">
      <c r="A40" s="15" t="s">
        <v>140</v>
      </c>
      <c r="B40" s="17" t="s">
        <v>139</v>
      </c>
      <c r="C40" s="17">
        <v>250</v>
      </c>
      <c r="D40" s="17">
        <v>500</v>
      </c>
      <c r="E40" s="17">
        <v>1000</v>
      </c>
      <c r="F40" s="17">
        <v>2000</v>
      </c>
      <c r="G40" s="18">
        <v>40</v>
      </c>
      <c r="H40" s="18">
        <v>15</v>
      </c>
      <c r="I40" s="19">
        <f>COUNTIF(Frota!$C$5:$C$388,$A40)</f>
        <v>102</v>
      </c>
      <c r="J40" s="20">
        <v>0</v>
      </c>
    </row>
    <row r="41" spans="1:10" ht="15" customHeight="1" x14ac:dyDescent="0.4">
      <c r="A41" s="15" t="s">
        <v>141</v>
      </c>
      <c r="B41" s="17" t="s">
        <v>142</v>
      </c>
      <c r="C41" s="17">
        <v>10000</v>
      </c>
      <c r="D41" s="17">
        <v>20000</v>
      </c>
      <c r="E41" s="17">
        <v>40000</v>
      </c>
      <c r="F41" s="17">
        <v>80000</v>
      </c>
      <c r="G41" s="18">
        <v>1500</v>
      </c>
      <c r="H41" s="18">
        <v>400</v>
      </c>
      <c r="I41" s="19">
        <f>COUNTIF(Frota!$C$5:$C$388,$A41)</f>
        <v>121</v>
      </c>
      <c r="J41" s="20">
        <v>0</v>
      </c>
    </row>
    <row r="42" spans="1:10" ht="15" customHeight="1" x14ac:dyDescent="0.4">
      <c r="A42" s="15" t="s">
        <v>143</v>
      </c>
      <c r="B42" s="17" t="s">
        <v>139</v>
      </c>
      <c r="C42" s="17">
        <v>250</v>
      </c>
      <c r="D42" s="17">
        <v>500</v>
      </c>
      <c r="E42" s="17">
        <v>1000</v>
      </c>
      <c r="F42" s="17">
        <v>2000</v>
      </c>
      <c r="G42" s="18">
        <v>45</v>
      </c>
      <c r="H42" s="18">
        <v>10</v>
      </c>
      <c r="I42" s="19">
        <f>COUNTIF(Frota!$C$5:$C$388,$A42)</f>
        <v>73</v>
      </c>
      <c r="J42" s="20">
        <v>0</v>
      </c>
    </row>
    <row r="43" spans="1:10" ht="15" customHeight="1" x14ac:dyDescent="0.4">
      <c r="A43" s="15" t="s">
        <v>144</v>
      </c>
      <c r="B43" s="17" t="s">
        <v>142</v>
      </c>
      <c r="C43" s="17">
        <v>10000</v>
      </c>
      <c r="D43" s="17">
        <v>20000</v>
      </c>
      <c r="E43" s="17">
        <v>40000</v>
      </c>
      <c r="F43" s="17"/>
      <c r="G43" s="18">
        <v>700</v>
      </c>
      <c r="H43" s="18">
        <v>500</v>
      </c>
      <c r="I43" s="19">
        <f>COUNTIF(Frota!$C$5:$C$388,$A43)</f>
        <v>50</v>
      </c>
      <c r="J43" s="20">
        <v>0</v>
      </c>
    </row>
    <row r="44" spans="1:10" ht="15" customHeight="1" x14ac:dyDescent="0.4">
      <c r="A44" s="15" t="s">
        <v>145</v>
      </c>
      <c r="B44" s="17" t="s">
        <v>139</v>
      </c>
      <c r="C44" s="17">
        <v>100</v>
      </c>
      <c r="D44" s="17">
        <v>200</v>
      </c>
      <c r="E44" s="17"/>
      <c r="F44" s="17"/>
      <c r="G44" s="18">
        <v>20</v>
      </c>
      <c r="H44" s="18">
        <v>20</v>
      </c>
      <c r="I44" s="19">
        <f>COUNTIF(Frota!$C$5:$C$388,$A44)</f>
        <v>12</v>
      </c>
      <c r="J44" s="20">
        <v>0</v>
      </c>
    </row>
    <row r="45" spans="1:10" ht="15" customHeight="1" x14ac:dyDescent="0.4">
      <c r="A45" s="15" t="s">
        <v>146</v>
      </c>
      <c r="B45" s="17" t="s">
        <v>139</v>
      </c>
      <c r="C45" s="17">
        <v>200</v>
      </c>
      <c r="D45" s="17">
        <v>400</v>
      </c>
      <c r="E45" s="17"/>
      <c r="F45" s="17"/>
      <c r="G45" s="18">
        <v>25</v>
      </c>
      <c r="H45" s="18">
        <v>5</v>
      </c>
      <c r="I45" s="19">
        <f>COUNTIF(Frota!$C$5:$C$388,$A45)</f>
        <v>18</v>
      </c>
      <c r="J45" s="20">
        <v>0</v>
      </c>
    </row>
  </sheetData>
  <mergeCells count="1">
    <mergeCell ref="A1:K1"/>
  </mergeCells>
  <conditionalFormatting sqref="D5:D10">
    <cfRule type="expression" dxfId="19" priority="2">
      <formula>EXACT(D5,"OK")</formula>
    </cfRule>
    <cfRule type="expression" dxfId="18" priority="3">
      <formula>NOT(EXACT(D5,"OK"))</formula>
    </cfRule>
  </conditionalFormatting>
  <hyperlinks>
    <hyperlink ref="M1" r:id="rId1" location="Menu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8"/>
  <sheetViews>
    <sheetView zoomScaleNormal="100" workbookViewId="0">
      <pane ySplit="4" topLeftCell="A5" activePane="bottomLeft" state="frozen"/>
      <selection pane="bottomLeft"/>
    </sheetView>
  </sheetViews>
  <sheetFormatPr defaultColWidth="8.69140625" defaultRowHeight="14.6" x14ac:dyDescent="0.4"/>
  <cols>
    <col min="1" max="1" width="10" customWidth="1"/>
    <col min="2" max="2" width="30" customWidth="1"/>
    <col min="3" max="3" width="17" customWidth="1"/>
    <col min="4" max="4" width="20" customWidth="1"/>
    <col min="5" max="5" width="14" customWidth="1"/>
    <col min="6" max="6" width="9" customWidth="1"/>
    <col min="7" max="7" width="7" customWidth="1"/>
    <col min="8" max="8" width="13" customWidth="1"/>
  </cols>
  <sheetData>
    <row r="1" spans="1:10" ht="15.75" customHeight="1" x14ac:dyDescent="0.45">
      <c r="A1" s="3" t="s">
        <v>147</v>
      </c>
      <c r="B1" s="3"/>
      <c r="C1" s="3"/>
      <c r="D1" s="3"/>
      <c r="E1" s="3"/>
      <c r="F1" s="3"/>
      <c r="G1" s="3"/>
      <c r="H1" s="3"/>
      <c r="J1" s="11" t="s">
        <v>47</v>
      </c>
    </row>
    <row r="4" spans="1:10" ht="15" customHeight="1" x14ac:dyDescent="0.4">
      <c r="A4" s="14" t="s">
        <v>148</v>
      </c>
      <c r="B4" s="14" t="s">
        <v>149</v>
      </c>
      <c r="C4" s="14" t="s">
        <v>150</v>
      </c>
      <c r="D4" s="14" t="s">
        <v>151</v>
      </c>
      <c r="E4" s="14" t="s">
        <v>152</v>
      </c>
      <c r="F4" s="14" t="s">
        <v>129</v>
      </c>
      <c r="G4" s="14" t="s">
        <v>153</v>
      </c>
      <c r="H4" s="14" t="s">
        <v>154</v>
      </c>
    </row>
    <row r="5" spans="1:10" ht="15" customHeight="1" x14ac:dyDescent="0.4">
      <c r="A5" s="16" t="s">
        <v>155</v>
      </c>
      <c r="B5" s="16" t="s">
        <v>156</v>
      </c>
      <c r="C5" s="16" t="s">
        <v>141</v>
      </c>
      <c r="D5" s="16" t="s">
        <v>157</v>
      </c>
      <c r="E5" s="16" t="s">
        <v>158</v>
      </c>
      <c r="F5" s="16" t="s">
        <v>159</v>
      </c>
      <c r="G5" s="16">
        <v>2007</v>
      </c>
      <c r="H5" s="16" t="s">
        <v>160</v>
      </c>
    </row>
    <row r="6" spans="1:10" ht="15" customHeight="1" x14ac:dyDescent="0.4">
      <c r="A6" s="16" t="s">
        <v>161</v>
      </c>
      <c r="B6" s="16" t="s">
        <v>162</v>
      </c>
      <c r="C6" s="16" t="s">
        <v>141</v>
      </c>
      <c r="D6" s="16" t="s">
        <v>163</v>
      </c>
      <c r="E6" s="16" t="s">
        <v>158</v>
      </c>
      <c r="F6" s="16" t="s">
        <v>159</v>
      </c>
      <c r="G6" s="16">
        <v>2001</v>
      </c>
      <c r="H6" s="16" t="s">
        <v>164</v>
      </c>
    </row>
    <row r="7" spans="1:10" ht="15" customHeight="1" x14ac:dyDescent="0.4">
      <c r="A7" s="16" t="s">
        <v>165</v>
      </c>
      <c r="B7" s="16" t="s">
        <v>166</v>
      </c>
      <c r="C7" s="16" t="s">
        <v>141</v>
      </c>
      <c r="D7" s="16" t="s">
        <v>163</v>
      </c>
      <c r="E7" s="16" t="s">
        <v>158</v>
      </c>
      <c r="F7" s="16" t="s">
        <v>159</v>
      </c>
      <c r="G7" s="16">
        <v>2002</v>
      </c>
      <c r="H7" s="16" t="s">
        <v>167</v>
      </c>
    </row>
    <row r="8" spans="1:10" ht="15" customHeight="1" x14ac:dyDescent="0.4">
      <c r="A8" s="16" t="s">
        <v>168</v>
      </c>
      <c r="B8" s="16" t="s">
        <v>169</v>
      </c>
      <c r="C8" s="16" t="s">
        <v>141</v>
      </c>
      <c r="D8" s="16" t="s">
        <v>170</v>
      </c>
      <c r="E8" s="16" t="s">
        <v>158</v>
      </c>
      <c r="F8" s="16" t="s">
        <v>159</v>
      </c>
      <c r="G8" s="16">
        <v>1977</v>
      </c>
      <c r="H8" s="16" t="s">
        <v>171</v>
      </c>
    </row>
    <row r="9" spans="1:10" ht="15" customHeight="1" x14ac:dyDescent="0.4">
      <c r="A9" s="16" t="s">
        <v>172</v>
      </c>
      <c r="B9" s="16" t="s">
        <v>173</v>
      </c>
      <c r="C9" s="16" t="s">
        <v>141</v>
      </c>
      <c r="D9" s="16" t="s">
        <v>163</v>
      </c>
      <c r="E9" s="16" t="s">
        <v>158</v>
      </c>
      <c r="F9" s="16" t="s">
        <v>159</v>
      </c>
      <c r="G9" s="16">
        <v>2005</v>
      </c>
      <c r="H9" s="16" t="s">
        <v>174</v>
      </c>
    </row>
    <row r="10" spans="1:10" ht="15" customHeight="1" x14ac:dyDescent="0.4">
      <c r="A10" s="16" t="s">
        <v>175</v>
      </c>
      <c r="B10" s="16" t="s">
        <v>173</v>
      </c>
      <c r="C10" s="16" t="s">
        <v>141</v>
      </c>
      <c r="D10" s="16" t="s">
        <v>163</v>
      </c>
      <c r="E10" s="16" t="s">
        <v>158</v>
      </c>
      <c r="F10" s="16" t="s">
        <v>159</v>
      </c>
      <c r="G10" s="16">
        <v>2007</v>
      </c>
      <c r="H10" s="16" t="s">
        <v>176</v>
      </c>
    </row>
    <row r="11" spans="1:10" ht="15" customHeight="1" x14ac:dyDescent="0.4">
      <c r="A11" s="16" t="s">
        <v>177</v>
      </c>
      <c r="B11" s="16" t="s">
        <v>178</v>
      </c>
      <c r="C11" s="16" t="s">
        <v>141</v>
      </c>
      <c r="D11" s="16" t="s">
        <v>179</v>
      </c>
      <c r="E11" s="16" t="s">
        <v>158</v>
      </c>
      <c r="F11" s="16" t="s">
        <v>159</v>
      </c>
      <c r="G11" s="16">
        <v>2011</v>
      </c>
      <c r="H11" s="16" t="s">
        <v>180</v>
      </c>
    </row>
    <row r="12" spans="1:10" ht="15" customHeight="1" x14ac:dyDescent="0.4">
      <c r="A12" s="16" t="s">
        <v>181</v>
      </c>
      <c r="B12" s="16" t="s">
        <v>182</v>
      </c>
      <c r="C12" s="16" t="s">
        <v>141</v>
      </c>
      <c r="D12" s="16" t="s">
        <v>183</v>
      </c>
      <c r="E12" s="16" t="s">
        <v>184</v>
      </c>
      <c r="F12" s="16" t="s">
        <v>159</v>
      </c>
      <c r="G12" s="16">
        <v>2011</v>
      </c>
      <c r="H12" s="16" t="s">
        <v>185</v>
      </c>
    </row>
    <row r="13" spans="1:10" ht="15" customHeight="1" x14ac:dyDescent="0.4">
      <c r="A13" s="16" t="s">
        <v>186</v>
      </c>
      <c r="B13" s="16" t="s">
        <v>187</v>
      </c>
      <c r="C13" s="16" t="s">
        <v>141</v>
      </c>
      <c r="D13" s="16" t="s">
        <v>188</v>
      </c>
      <c r="E13" s="16" t="s">
        <v>158</v>
      </c>
      <c r="F13" s="16" t="s">
        <v>159</v>
      </c>
      <c r="G13" s="16">
        <v>2014</v>
      </c>
      <c r="H13" s="16" t="s">
        <v>189</v>
      </c>
    </row>
    <row r="14" spans="1:10" ht="15" customHeight="1" x14ac:dyDescent="0.4">
      <c r="A14" s="16" t="s">
        <v>190</v>
      </c>
      <c r="B14" s="16" t="s">
        <v>187</v>
      </c>
      <c r="C14" s="16" t="s">
        <v>141</v>
      </c>
      <c r="D14" s="16" t="s">
        <v>191</v>
      </c>
      <c r="E14" s="16" t="s">
        <v>158</v>
      </c>
      <c r="F14" s="16" t="s">
        <v>159</v>
      </c>
      <c r="G14" s="16">
        <v>2014</v>
      </c>
      <c r="H14" s="16" t="s">
        <v>192</v>
      </c>
    </row>
    <row r="15" spans="1:10" ht="15" customHeight="1" x14ac:dyDescent="0.4">
      <c r="A15" s="16" t="s">
        <v>193</v>
      </c>
      <c r="B15" s="16" t="s">
        <v>187</v>
      </c>
      <c r="C15" s="16" t="s">
        <v>141</v>
      </c>
      <c r="D15" s="16" t="s">
        <v>191</v>
      </c>
      <c r="E15" s="16" t="s">
        <v>158</v>
      </c>
      <c r="F15" s="16" t="s">
        <v>159</v>
      </c>
      <c r="G15" s="16">
        <v>2014</v>
      </c>
      <c r="H15" s="16" t="s">
        <v>194</v>
      </c>
    </row>
    <row r="16" spans="1:10" ht="15" customHeight="1" x14ac:dyDescent="0.4">
      <c r="A16" s="16" t="s">
        <v>195</v>
      </c>
      <c r="B16" s="16" t="s">
        <v>187</v>
      </c>
      <c r="C16" s="16" t="s">
        <v>141</v>
      </c>
      <c r="D16" s="16" t="s">
        <v>191</v>
      </c>
      <c r="E16" s="16" t="s">
        <v>158</v>
      </c>
      <c r="F16" s="16" t="s">
        <v>159</v>
      </c>
      <c r="G16" s="16">
        <v>2014</v>
      </c>
      <c r="H16" s="16" t="s">
        <v>196</v>
      </c>
    </row>
    <row r="17" spans="1:8" ht="15" customHeight="1" x14ac:dyDescent="0.4">
      <c r="A17" s="16" t="s">
        <v>197</v>
      </c>
      <c r="B17" s="16" t="s">
        <v>187</v>
      </c>
      <c r="C17" s="16" t="s">
        <v>141</v>
      </c>
      <c r="D17" s="16" t="s">
        <v>191</v>
      </c>
      <c r="E17" s="16" t="s">
        <v>158</v>
      </c>
      <c r="F17" s="16" t="s">
        <v>159</v>
      </c>
      <c r="G17" s="16">
        <v>2014</v>
      </c>
      <c r="H17" s="16" t="s">
        <v>198</v>
      </c>
    </row>
    <row r="18" spans="1:8" ht="15" customHeight="1" x14ac:dyDescent="0.4">
      <c r="A18" s="16" t="s">
        <v>199</v>
      </c>
      <c r="B18" s="16" t="s">
        <v>200</v>
      </c>
      <c r="C18" s="16" t="s">
        <v>141</v>
      </c>
      <c r="D18" s="16" t="s">
        <v>201</v>
      </c>
      <c r="E18" s="16" t="s">
        <v>158</v>
      </c>
      <c r="F18" s="16" t="s">
        <v>159</v>
      </c>
      <c r="G18" s="16">
        <v>2008</v>
      </c>
      <c r="H18" s="16" t="s">
        <v>202</v>
      </c>
    </row>
    <row r="19" spans="1:8" ht="15" customHeight="1" x14ac:dyDescent="0.4">
      <c r="A19" s="16" t="s">
        <v>203</v>
      </c>
      <c r="B19" s="16" t="s">
        <v>200</v>
      </c>
      <c r="C19" s="16" t="s">
        <v>141</v>
      </c>
      <c r="D19" s="16" t="s">
        <v>201</v>
      </c>
      <c r="E19" s="16" t="s">
        <v>158</v>
      </c>
      <c r="F19" s="16" t="s">
        <v>159</v>
      </c>
      <c r="G19" s="16">
        <v>2008</v>
      </c>
      <c r="H19" s="16" t="s">
        <v>204</v>
      </c>
    </row>
    <row r="20" spans="1:8" ht="15" customHeight="1" x14ac:dyDescent="0.4">
      <c r="A20" s="16" t="s">
        <v>205</v>
      </c>
      <c r="B20" s="16" t="s">
        <v>200</v>
      </c>
      <c r="C20" s="16" t="s">
        <v>141</v>
      </c>
      <c r="D20" s="16" t="s">
        <v>201</v>
      </c>
      <c r="E20" s="16" t="s">
        <v>158</v>
      </c>
      <c r="F20" s="16" t="s">
        <v>159</v>
      </c>
      <c r="G20" s="16">
        <v>2008</v>
      </c>
      <c r="H20" s="16" t="s">
        <v>206</v>
      </c>
    </row>
    <row r="21" spans="1:8" ht="15" customHeight="1" x14ac:dyDescent="0.4">
      <c r="A21" s="16" t="s">
        <v>207</v>
      </c>
      <c r="B21" s="16" t="s">
        <v>200</v>
      </c>
      <c r="C21" s="16" t="s">
        <v>141</v>
      </c>
      <c r="D21" s="16" t="s">
        <v>201</v>
      </c>
      <c r="E21" s="16" t="s">
        <v>158</v>
      </c>
      <c r="F21" s="16" t="s">
        <v>159</v>
      </c>
      <c r="G21" s="16">
        <v>2008</v>
      </c>
      <c r="H21" s="16" t="s">
        <v>208</v>
      </c>
    </row>
    <row r="22" spans="1:8" ht="15" customHeight="1" x14ac:dyDescent="0.4">
      <c r="A22" s="16" t="s">
        <v>209</v>
      </c>
      <c r="B22" s="16" t="s">
        <v>210</v>
      </c>
      <c r="C22" s="16" t="s">
        <v>141</v>
      </c>
      <c r="D22" s="16" t="s">
        <v>188</v>
      </c>
      <c r="E22" s="16" t="s">
        <v>158</v>
      </c>
      <c r="F22" s="16" t="s">
        <v>159</v>
      </c>
      <c r="G22" s="16">
        <v>2003</v>
      </c>
      <c r="H22" s="16" t="s">
        <v>211</v>
      </c>
    </row>
    <row r="23" spans="1:8" ht="15" customHeight="1" x14ac:dyDescent="0.4">
      <c r="A23" s="16" t="s">
        <v>212</v>
      </c>
      <c r="B23" s="16" t="s">
        <v>182</v>
      </c>
      <c r="C23" s="16" t="s">
        <v>141</v>
      </c>
      <c r="D23" s="16" t="s">
        <v>183</v>
      </c>
      <c r="E23" s="16" t="s">
        <v>184</v>
      </c>
      <c r="F23" s="16" t="s">
        <v>159</v>
      </c>
      <c r="G23" s="16">
        <v>2014</v>
      </c>
      <c r="H23" s="16" t="s">
        <v>213</v>
      </c>
    </row>
    <row r="24" spans="1:8" ht="15" customHeight="1" x14ac:dyDescent="0.4">
      <c r="A24" s="16" t="s">
        <v>214</v>
      </c>
      <c r="B24" s="16" t="s">
        <v>182</v>
      </c>
      <c r="C24" s="16" t="s">
        <v>141</v>
      </c>
      <c r="D24" s="16" t="s">
        <v>183</v>
      </c>
      <c r="E24" s="16" t="s">
        <v>184</v>
      </c>
      <c r="F24" s="16" t="s">
        <v>159</v>
      </c>
      <c r="G24" s="16">
        <v>2014</v>
      </c>
      <c r="H24" s="16" t="s">
        <v>215</v>
      </c>
    </row>
    <row r="25" spans="1:8" ht="15" customHeight="1" x14ac:dyDescent="0.4">
      <c r="A25" s="16" t="s">
        <v>216</v>
      </c>
      <c r="B25" s="16" t="s">
        <v>182</v>
      </c>
      <c r="C25" s="16" t="s">
        <v>141</v>
      </c>
      <c r="D25" s="16" t="s">
        <v>183</v>
      </c>
      <c r="E25" s="16" t="s">
        <v>184</v>
      </c>
      <c r="F25" s="16" t="s">
        <v>159</v>
      </c>
      <c r="G25" s="16">
        <v>2014</v>
      </c>
      <c r="H25" s="16" t="s">
        <v>217</v>
      </c>
    </row>
    <row r="26" spans="1:8" ht="15" customHeight="1" x14ac:dyDescent="0.4">
      <c r="A26" s="16" t="s">
        <v>218</v>
      </c>
      <c r="B26" s="16" t="s">
        <v>182</v>
      </c>
      <c r="C26" s="16" t="s">
        <v>141</v>
      </c>
      <c r="D26" s="16" t="s">
        <v>183</v>
      </c>
      <c r="E26" s="16" t="s">
        <v>184</v>
      </c>
      <c r="F26" s="16" t="s">
        <v>159</v>
      </c>
      <c r="G26" s="16">
        <v>2014</v>
      </c>
      <c r="H26" s="16" t="s">
        <v>219</v>
      </c>
    </row>
    <row r="27" spans="1:8" ht="15" customHeight="1" x14ac:dyDescent="0.4">
      <c r="A27" s="16" t="s">
        <v>220</v>
      </c>
      <c r="B27" s="16" t="s">
        <v>182</v>
      </c>
      <c r="C27" s="16" t="s">
        <v>141</v>
      </c>
      <c r="D27" s="16" t="s">
        <v>183</v>
      </c>
      <c r="E27" s="16" t="s">
        <v>184</v>
      </c>
      <c r="F27" s="16" t="s">
        <v>159</v>
      </c>
      <c r="G27" s="16">
        <v>2014</v>
      </c>
      <c r="H27" s="16" t="s">
        <v>221</v>
      </c>
    </row>
    <row r="28" spans="1:8" ht="15" customHeight="1" x14ac:dyDescent="0.4">
      <c r="A28" s="16" t="s">
        <v>222</v>
      </c>
      <c r="B28" s="16" t="s">
        <v>182</v>
      </c>
      <c r="C28" s="16" t="s">
        <v>141</v>
      </c>
      <c r="D28" s="16" t="s">
        <v>183</v>
      </c>
      <c r="E28" s="16" t="s">
        <v>184</v>
      </c>
      <c r="F28" s="16" t="s">
        <v>159</v>
      </c>
      <c r="G28" s="16">
        <v>2014</v>
      </c>
      <c r="H28" s="16" t="s">
        <v>223</v>
      </c>
    </row>
    <row r="29" spans="1:8" ht="15" customHeight="1" x14ac:dyDescent="0.4">
      <c r="A29" s="16" t="s">
        <v>224</v>
      </c>
      <c r="B29" s="16" t="s">
        <v>182</v>
      </c>
      <c r="C29" s="16" t="s">
        <v>141</v>
      </c>
      <c r="D29" s="16" t="s">
        <v>183</v>
      </c>
      <c r="E29" s="16" t="s">
        <v>184</v>
      </c>
      <c r="F29" s="16" t="s">
        <v>159</v>
      </c>
      <c r="G29" s="16">
        <v>2014</v>
      </c>
      <c r="H29" s="16" t="s">
        <v>225</v>
      </c>
    </row>
    <row r="30" spans="1:8" ht="15" customHeight="1" x14ac:dyDescent="0.4">
      <c r="A30" s="16" t="s">
        <v>226</v>
      </c>
      <c r="B30" s="16" t="s">
        <v>182</v>
      </c>
      <c r="C30" s="16" t="s">
        <v>141</v>
      </c>
      <c r="D30" s="16" t="s">
        <v>183</v>
      </c>
      <c r="E30" s="16" t="s">
        <v>184</v>
      </c>
      <c r="F30" s="16" t="s">
        <v>159</v>
      </c>
      <c r="G30" s="16">
        <v>2014</v>
      </c>
      <c r="H30" s="16" t="s">
        <v>227</v>
      </c>
    </row>
    <row r="31" spans="1:8" ht="15" customHeight="1" x14ac:dyDescent="0.4">
      <c r="A31" s="16" t="s">
        <v>228</v>
      </c>
      <c r="B31" s="16" t="s">
        <v>182</v>
      </c>
      <c r="C31" s="16" t="s">
        <v>141</v>
      </c>
      <c r="D31" s="16" t="s">
        <v>183</v>
      </c>
      <c r="E31" s="16" t="s">
        <v>184</v>
      </c>
      <c r="F31" s="16" t="s">
        <v>159</v>
      </c>
      <c r="G31" s="16">
        <v>2014</v>
      </c>
      <c r="H31" s="16" t="s">
        <v>229</v>
      </c>
    </row>
    <row r="32" spans="1:8" ht="15" customHeight="1" x14ac:dyDescent="0.4">
      <c r="A32" s="16" t="s">
        <v>230</v>
      </c>
      <c r="B32" s="16" t="s">
        <v>182</v>
      </c>
      <c r="C32" s="16" t="s">
        <v>141</v>
      </c>
      <c r="D32" s="16" t="s">
        <v>183</v>
      </c>
      <c r="E32" s="16" t="s">
        <v>184</v>
      </c>
      <c r="F32" s="16" t="s">
        <v>159</v>
      </c>
      <c r="G32" s="16">
        <v>2014</v>
      </c>
      <c r="H32" s="16" t="s">
        <v>231</v>
      </c>
    </row>
    <row r="33" spans="1:8" ht="15" customHeight="1" x14ac:dyDescent="0.4">
      <c r="A33" s="16" t="s">
        <v>232</v>
      </c>
      <c r="B33" s="16" t="s">
        <v>182</v>
      </c>
      <c r="C33" s="16" t="s">
        <v>141</v>
      </c>
      <c r="D33" s="16" t="s">
        <v>183</v>
      </c>
      <c r="E33" s="16" t="s">
        <v>184</v>
      </c>
      <c r="F33" s="16" t="s">
        <v>159</v>
      </c>
      <c r="G33" s="16">
        <v>2014</v>
      </c>
      <c r="H33" s="16" t="s">
        <v>233</v>
      </c>
    </row>
    <row r="34" spans="1:8" ht="15" customHeight="1" x14ac:dyDescent="0.4">
      <c r="A34" s="16" t="s">
        <v>234</v>
      </c>
      <c r="B34" s="16" t="s">
        <v>182</v>
      </c>
      <c r="C34" s="16" t="s">
        <v>141</v>
      </c>
      <c r="D34" s="16" t="s">
        <v>183</v>
      </c>
      <c r="E34" s="16" t="s">
        <v>184</v>
      </c>
      <c r="F34" s="16" t="s">
        <v>159</v>
      </c>
      <c r="G34" s="16">
        <v>2014</v>
      </c>
      <c r="H34" s="16" t="s">
        <v>235</v>
      </c>
    </row>
    <row r="35" spans="1:8" ht="15" customHeight="1" x14ac:dyDescent="0.4">
      <c r="A35" s="16" t="s">
        <v>236</v>
      </c>
      <c r="B35" s="16" t="s">
        <v>182</v>
      </c>
      <c r="C35" s="16" t="s">
        <v>141</v>
      </c>
      <c r="D35" s="16" t="s">
        <v>183</v>
      </c>
      <c r="E35" s="16" t="s">
        <v>184</v>
      </c>
      <c r="F35" s="16" t="s">
        <v>159</v>
      </c>
      <c r="G35" s="16">
        <v>2014</v>
      </c>
      <c r="H35" s="16" t="s">
        <v>237</v>
      </c>
    </row>
    <row r="36" spans="1:8" ht="15" customHeight="1" x14ac:dyDescent="0.4">
      <c r="A36" s="16" t="s">
        <v>238</v>
      </c>
      <c r="B36" s="16" t="s">
        <v>182</v>
      </c>
      <c r="C36" s="16" t="s">
        <v>141</v>
      </c>
      <c r="D36" s="16" t="s">
        <v>183</v>
      </c>
      <c r="E36" s="16" t="s">
        <v>184</v>
      </c>
      <c r="F36" s="16" t="s">
        <v>159</v>
      </c>
      <c r="G36" s="16">
        <v>2014</v>
      </c>
      <c r="H36" s="16" t="s">
        <v>239</v>
      </c>
    </row>
    <row r="37" spans="1:8" ht="15" customHeight="1" x14ac:dyDescent="0.4">
      <c r="A37" s="16" t="s">
        <v>240</v>
      </c>
      <c r="B37" s="16" t="s">
        <v>241</v>
      </c>
      <c r="C37" s="16" t="s">
        <v>141</v>
      </c>
      <c r="D37" s="16" t="s">
        <v>170</v>
      </c>
      <c r="E37" s="16" t="s">
        <v>158</v>
      </c>
      <c r="F37" s="16" t="s">
        <v>159</v>
      </c>
      <c r="G37" s="16">
        <v>2018</v>
      </c>
      <c r="H37" s="16" t="s">
        <v>242</v>
      </c>
    </row>
    <row r="38" spans="1:8" ht="15" customHeight="1" x14ac:dyDescent="0.4">
      <c r="A38" s="16" t="s">
        <v>243</v>
      </c>
      <c r="B38" s="16" t="s">
        <v>241</v>
      </c>
      <c r="C38" s="16" t="s">
        <v>141</v>
      </c>
      <c r="D38" s="16" t="s">
        <v>170</v>
      </c>
      <c r="E38" s="16" t="s">
        <v>158</v>
      </c>
      <c r="F38" s="16" t="s">
        <v>159</v>
      </c>
      <c r="G38" s="16">
        <v>2018</v>
      </c>
      <c r="H38" s="16" t="s">
        <v>244</v>
      </c>
    </row>
    <row r="39" spans="1:8" ht="15" customHeight="1" x14ac:dyDescent="0.4">
      <c r="A39" s="16" t="s">
        <v>245</v>
      </c>
      <c r="B39" s="16" t="s">
        <v>241</v>
      </c>
      <c r="C39" s="16" t="s">
        <v>141</v>
      </c>
      <c r="D39" s="16" t="s">
        <v>170</v>
      </c>
      <c r="E39" s="16" t="s">
        <v>158</v>
      </c>
      <c r="F39" s="16" t="s">
        <v>159</v>
      </c>
      <c r="G39" s="16">
        <v>2018</v>
      </c>
      <c r="H39" s="16" t="s">
        <v>246</v>
      </c>
    </row>
    <row r="40" spans="1:8" ht="15" customHeight="1" x14ac:dyDescent="0.4">
      <c r="A40" s="16" t="s">
        <v>247</v>
      </c>
      <c r="B40" s="16" t="s">
        <v>241</v>
      </c>
      <c r="C40" s="16" t="s">
        <v>141</v>
      </c>
      <c r="D40" s="16" t="s">
        <v>170</v>
      </c>
      <c r="E40" s="16" t="s">
        <v>158</v>
      </c>
      <c r="F40" s="16" t="s">
        <v>159</v>
      </c>
      <c r="G40" s="16">
        <v>2018</v>
      </c>
      <c r="H40" s="16" t="s">
        <v>248</v>
      </c>
    </row>
    <row r="41" spans="1:8" ht="15" customHeight="1" x14ac:dyDescent="0.4">
      <c r="A41" s="16" t="s">
        <v>249</v>
      </c>
      <c r="B41" s="16" t="s">
        <v>241</v>
      </c>
      <c r="C41" s="16" t="s">
        <v>141</v>
      </c>
      <c r="D41" s="16" t="s">
        <v>170</v>
      </c>
      <c r="E41" s="16" t="s">
        <v>158</v>
      </c>
      <c r="F41" s="16" t="s">
        <v>159</v>
      </c>
      <c r="G41" s="16">
        <v>2018</v>
      </c>
      <c r="H41" s="16" t="s">
        <v>250</v>
      </c>
    </row>
    <row r="42" spans="1:8" ht="15" customHeight="1" x14ac:dyDescent="0.4">
      <c r="A42" s="16" t="s">
        <v>251</v>
      </c>
      <c r="B42" s="16" t="s">
        <v>241</v>
      </c>
      <c r="C42" s="16" t="s">
        <v>141</v>
      </c>
      <c r="D42" s="16" t="s">
        <v>157</v>
      </c>
      <c r="E42" s="16" t="s">
        <v>158</v>
      </c>
      <c r="F42" s="16" t="s">
        <v>159</v>
      </c>
      <c r="G42" s="16">
        <v>2018</v>
      </c>
      <c r="H42" s="16" t="s">
        <v>252</v>
      </c>
    </row>
    <row r="43" spans="1:8" ht="15" customHeight="1" x14ac:dyDescent="0.4">
      <c r="A43" s="16" t="s">
        <v>253</v>
      </c>
      <c r="B43" s="16" t="s">
        <v>241</v>
      </c>
      <c r="C43" s="16" t="s">
        <v>141</v>
      </c>
      <c r="D43" s="16" t="s">
        <v>157</v>
      </c>
      <c r="E43" s="16" t="s">
        <v>158</v>
      </c>
      <c r="F43" s="16" t="s">
        <v>159</v>
      </c>
      <c r="G43" s="16">
        <v>2018</v>
      </c>
      <c r="H43" s="16" t="s">
        <v>254</v>
      </c>
    </row>
    <row r="44" spans="1:8" ht="15" customHeight="1" x14ac:dyDescent="0.4">
      <c r="A44" s="16" t="s">
        <v>255</v>
      </c>
      <c r="B44" s="16" t="s">
        <v>241</v>
      </c>
      <c r="C44" s="16" t="s">
        <v>141</v>
      </c>
      <c r="D44" s="16" t="s">
        <v>157</v>
      </c>
      <c r="E44" s="16" t="s">
        <v>158</v>
      </c>
      <c r="F44" s="16" t="s">
        <v>159</v>
      </c>
      <c r="G44" s="16">
        <v>2018</v>
      </c>
      <c r="H44" s="16" t="s">
        <v>256</v>
      </c>
    </row>
    <row r="45" spans="1:8" ht="15" customHeight="1" x14ac:dyDescent="0.4">
      <c r="A45" s="16" t="s">
        <v>257</v>
      </c>
      <c r="B45" s="16" t="s">
        <v>241</v>
      </c>
      <c r="C45" s="16" t="s">
        <v>141</v>
      </c>
      <c r="D45" s="16" t="s">
        <v>163</v>
      </c>
      <c r="E45" s="16" t="s">
        <v>158</v>
      </c>
      <c r="F45" s="16" t="s">
        <v>159</v>
      </c>
      <c r="G45" s="16">
        <v>2018</v>
      </c>
      <c r="H45" s="16" t="s">
        <v>258</v>
      </c>
    </row>
    <row r="46" spans="1:8" ht="15" customHeight="1" x14ac:dyDescent="0.4">
      <c r="A46" s="16" t="s">
        <v>259</v>
      </c>
      <c r="B46" s="16" t="s">
        <v>241</v>
      </c>
      <c r="C46" s="16" t="s">
        <v>141</v>
      </c>
      <c r="D46" s="16" t="s">
        <v>163</v>
      </c>
      <c r="E46" s="16" t="s">
        <v>158</v>
      </c>
      <c r="F46" s="16" t="s">
        <v>159</v>
      </c>
      <c r="G46" s="16">
        <v>2018</v>
      </c>
      <c r="H46" s="16" t="s">
        <v>260</v>
      </c>
    </row>
    <row r="47" spans="1:8" ht="15" customHeight="1" x14ac:dyDescent="0.4">
      <c r="A47" s="16" t="s">
        <v>261</v>
      </c>
      <c r="B47" s="16" t="s">
        <v>241</v>
      </c>
      <c r="C47" s="16" t="s">
        <v>141</v>
      </c>
      <c r="D47" s="16" t="s">
        <v>163</v>
      </c>
      <c r="E47" s="16" t="s">
        <v>158</v>
      </c>
      <c r="F47" s="16" t="s">
        <v>159</v>
      </c>
      <c r="G47" s="16">
        <v>2018</v>
      </c>
      <c r="H47" s="16" t="s">
        <v>262</v>
      </c>
    </row>
    <row r="48" spans="1:8" ht="15" customHeight="1" x14ac:dyDescent="0.4">
      <c r="A48" s="16" t="s">
        <v>263</v>
      </c>
      <c r="B48" s="16" t="s">
        <v>241</v>
      </c>
      <c r="C48" s="16" t="s">
        <v>141</v>
      </c>
      <c r="D48" s="16" t="s">
        <v>264</v>
      </c>
      <c r="E48" s="16" t="s">
        <v>158</v>
      </c>
      <c r="F48" s="16" t="s">
        <v>159</v>
      </c>
      <c r="G48" s="16">
        <v>2018</v>
      </c>
      <c r="H48" s="16" t="s">
        <v>265</v>
      </c>
    </row>
    <row r="49" spans="1:8" ht="15" customHeight="1" x14ac:dyDescent="0.4">
      <c r="A49" s="16" t="s">
        <v>266</v>
      </c>
      <c r="B49" s="16" t="s">
        <v>241</v>
      </c>
      <c r="C49" s="16" t="s">
        <v>141</v>
      </c>
      <c r="D49" s="16" t="s">
        <v>264</v>
      </c>
      <c r="E49" s="16" t="s">
        <v>158</v>
      </c>
      <c r="F49" s="16" t="s">
        <v>159</v>
      </c>
      <c r="G49" s="16">
        <v>2018</v>
      </c>
      <c r="H49" s="16" t="s">
        <v>267</v>
      </c>
    </row>
    <row r="50" spans="1:8" ht="15" customHeight="1" x14ac:dyDescent="0.4">
      <c r="A50" s="16" t="s">
        <v>268</v>
      </c>
      <c r="B50" s="16" t="s">
        <v>241</v>
      </c>
      <c r="C50" s="16" t="s">
        <v>141</v>
      </c>
      <c r="D50" s="16" t="s">
        <v>264</v>
      </c>
      <c r="E50" s="16" t="s">
        <v>158</v>
      </c>
      <c r="F50" s="16" t="s">
        <v>159</v>
      </c>
      <c r="G50" s="16">
        <v>2018</v>
      </c>
      <c r="H50" s="16" t="s">
        <v>269</v>
      </c>
    </row>
    <row r="51" spans="1:8" ht="15" customHeight="1" x14ac:dyDescent="0.4">
      <c r="A51" s="16" t="s">
        <v>270</v>
      </c>
      <c r="B51" s="16" t="s">
        <v>241</v>
      </c>
      <c r="C51" s="16" t="s">
        <v>141</v>
      </c>
      <c r="D51" s="16" t="s">
        <v>264</v>
      </c>
      <c r="E51" s="16" t="s">
        <v>158</v>
      </c>
      <c r="F51" s="16" t="s">
        <v>159</v>
      </c>
      <c r="G51" s="16">
        <v>2018</v>
      </c>
      <c r="H51" s="16" t="s">
        <v>271</v>
      </c>
    </row>
    <row r="52" spans="1:8" ht="15" customHeight="1" x14ac:dyDescent="0.4">
      <c r="A52" s="16" t="s">
        <v>272</v>
      </c>
      <c r="B52" s="16" t="s">
        <v>241</v>
      </c>
      <c r="C52" s="16" t="s">
        <v>141</v>
      </c>
      <c r="D52" s="16" t="s">
        <v>264</v>
      </c>
      <c r="E52" s="16" t="s">
        <v>158</v>
      </c>
      <c r="F52" s="16" t="s">
        <v>159</v>
      </c>
      <c r="G52" s="16">
        <v>2018</v>
      </c>
      <c r="H52" s="16" t="s">
        <v>273</v>
      </c>
    </row>
    <row r="53" spans="1:8" ht="15" customHeight="1" x14ac:dyDescent="0.4">
      <c r="A53" s="16" t="s">
        <v>274</v>
      </c>
      <c r="B53" s="16" t="s">
        <v>241</v>
      </c>
      <c r="C53" s="16" t="s">
        <v>141</v>
      </c>
      <c r="D53" s="16" t="s">
        <v>264</v>
      </c>
      <c r="E53" s="16" t="s">
        <v>158</v>
      </c>
      <c r="F53" s="16" t="s">
        <v>159</v>
      </c>
      <c r="G53" s="16">
        <v>2018</v>
      </c>
      <c r="H53" s="16" t="s">
        <v>275</v>
      </c>
    </row>
    <row r="54" spans="1:8" ht="15" customHeight="1" x14ac:dyDescent="0.4">
      <c r="A54" s="16" t="s">
        <v>276</v>
      </c>
      <c r="B54" s="16" t="s">
        <v>277</v>
      </c>
      <c r="C54" s="16" t="s">
        <v>141</v>
      </c>
      <c r="D54" s="16" t="s">
        <v>278</v>
      </c>
      <c r="E54" s="16" t="s">
        <v>158</v>
      </c>
      <c r="F54" s="16" t="s">
        <v>159</v>
      </c>
      <c r="G54" s="16">
        <v>2018</v>
      </c>
      <c r="H54" s="16" t="s">
        <v>279</v>
      </c>
    </row>
    <row r="55" spans="1:8" ht="15" customHeight="1" x14ac:dyDescent="0.4">
      <c r="A55" s="16" t="s">
        <v>280</v>
      </c>
      <c r="B55" s="16" t="s">
        <v>241</v>
      </c>
      <c r="C55" s="16" t="s">
        <v>141</v>
      </c>
      <c r="D55" s="16" t="s">
        <v>278</v>
      </c>
      <c r="E55" s="16" t="s">
        <v>158</v>
      </c>
      <c r="F55" s="16" t="s">
        <v>159</v>
      </c>
      <c r="G55" s="16">
        <v>2018</v>
      </c>
      <c r="H55" s="16" t="s">
        <v>281</v>
      </c>
    </row>
    <row r="56" spans="1:8" ht="15" customHeight="1" x14ac:dyDescent="0.4">
      <c r="A56" s="16" t="s">
        <v>282</v>
      </c>
      <c r="B56" s="16" t="s">
        <v>241</v>
      </c>
      <c r="C56" s="16" t="s">
        <v>141</v>
      </c>
      <c r="D56" s="16" t="s">
        <v>278</v>
      </c>
      <c r="E56" s="16" t="s">
        <v>158</v>
      </c>
      <c r="F56" s="16" t="s">
        <v>159</v>
      </c>
      <c r="G56" s="16">
        <v>2018</v>
      </c>
      <c r="H56" s="16" t="s">
        <v>283</v>
      </c>
    </row>
    <row r="57" spans="1:8" ht="15" customHeight="1" x14ac:dyDescent="0.4">
      <c r="A57" s="16" t="s">
        <v>284</v>
      </c>
      <c r="B57" s="16" t="s">
        <v>182</v>
      </c>
      <c r="C57" s="16" t="s">
        <v>141</v>
      </c>
      <c r="D57" s="16" t="s">
        <v>183</v>
      </c>
      <c r="E57" s="16" t="s">
        <v>184</v>
      </c>
      <c r="F57" s="16" t="s">
        <v>159</v>
      </c>
      <c r="G57" s="16">
        <v>2018</v>
      </c>
      <c r="H57" s="16" t="s">
        <v>285</v>
      </c>
    </row>
    <row r="58" spans="1:8" ht="15" customHeight="1" x14ac:dyDescent="0.4">
      <c r="A58" s="16" t="s">
        <v>286</v>
      </c>
      <c r="B58" s="16" t="s">
        <v>182</v>
      </c>
      <c r="C58" s="16" t="s">
        <v>141</v>
      </c>
      <c r="D58" s="16" t="s">
        <v>183</v>
      </c>
      <c r="E58" s="16" t="s">
        <v>184</v>
      </c>
      <c r="F58" s="16" t="s">
        <v>159</v>
      </c>
      <c r="G58" s="16">
        <v>2018</v>
      </c>
      <c r="H58" s="16" t="s">
        <v>287</v>
      </c>
    </row>
    <row r="59" spans="1:8" ht="15" customHeight="1" x14ac:dyDescent="0.4">
      <c r="A59" s="16" t="s">
        <v>288</v>
      </c>
      <c r="B59" s="16" t="s">
        <v>182</v>
      </c>
      <c r="C59" s="16" t="s">
        <v>141</v>
      </c>
      <c r="D59" s="16" t="s">
        <v>183</v>
      </c>
      <c r="E59" s="16" t="s">
        <v>184</v>
      </c>
      <c r="F59" s="16" t="s">
        <v>159</v>
      </c>
      <c r="G59" s="16">
        <v>2018</v>
      </c>
      <c r="H59" s="16" t="s">
        <v>289</v>
      </c>
    </row>
    <row r="60" spans="1:8" ht="15" customHeight="1" x14ac:dyDescent="0.4">
      <c r="A60" s="16" t="s">
        <v>290</v>
      </c>
      <c r="B60" s="16" t="s">
        <v>182</v>
      </c>
      <c r="C60" s="16" t="s">
        <v>141</v>
      </c>
      <c r="D60" s="16" t="s">
        <v>183</v>
      </c>
      <c r="E60" s="16" t="s">
        <v>184</v>
      </c>
      <c r="F60" s="16" t="s">
        <v>159</v>
      </c>
      <c r="G60" s="16">
        <v>2018</v>
      </c>
      <c r="H60" s="16" t="s">
        <v>291</v>
      </c>
    </row>
    <row r="61" spans="1:8" ht="15" customHeight="1" x14ac:dyDescent="0.4">
      <c r="A61" s="16" t="s">
        <v>292</v>
      </c>
      <c r="B61" s="16" t="s">
        <v>277</v>
      </c>
      <c r="C61" s="16" t="s">
        <v>141</v>
      </c>
      <c r="D61" s="16" t="s">
        <v>191</v>
      </c>
      <c r="E61" s="16" t="s">
        <v>158</v>
      </c>
      <c r="F61" s="16" t="s">
        <v>159</v>
      </c>
      <c r="G61" s="16">
        <v>2018</v>
      </c>
      <c r="H61" s="16" t="s">
        <v>293</v>
      </c>
    </row>
    <row r="62" spans="1:8" ht="15" customHeight="1" x14ac:dyDescent="0.4">
      <c r="A62" s="16" t="s">
        <v>294</v>
      </c>
      <c r="B62" s="16" t="s">
        <v>277</v>
      </c>
      <c r="C62" s="16" t="s">
        <v>141</v>
      </c>
      <c r="D62" s="16" t="s">
        <v>179</v>
      </c>
      <c r="E62" s="16" t="s">
        <v>158</v>
      </c>
      <c r="F62" s="16" t="s">
        <v>159</v>
      </c>
      <c r="G62" s="16">
        <v>2018</v>
      </c>
      <c r="H62" s="16" t="s">
        <v>295</v>
      </c>
    </row>
    <row r="63" spans="1:8" ht="15" customHeight="1" x14ac:dyDescent="0.4">
      <c r="A63" s="16" t="s">
        <v>296</v>
      </c>
      <c r="B63" s="16" t="s">
        <v>277</v>
      </c>
      <c r="C63" s="16" t="s">
        <v>141</v>
      </c>
      <c r="D63" s="16" t="s">
        <v>179</v>
      </c>
      <c r="E63" s="16" t="s">
        <v>158</v>
      </c>
      <c r="F63" s="16" t="s">
        <v>159</v>
      </c>
      <c r="G63" s="16">
        <v>2018</v>
      </c>
      <c r="H63" s="16" t="s">
        <v>297</v>
      </c>
    </row>
    <row r="64" spans="1:8" ht="15" customHeight="1" x14ac:dyDescent="0.4">
      <c r="A64" s="16" t="s">
        <v>298</v>
      </c>
      <c r="B64" s="16" t="s">
        <v>277</v>
      </c>
      <c r="C64" s="16" t="s">
        <v>141</v>
      </c>
      <c r="D64" s="16" t="s">
        <v>179</v>
      </c>
      <c r="E64" s="16" t="s">
        <v>158</v>
      </c>
      <c r="F64" s="16" t="s">
        <v>159</v>
      </c>
      <c r="G64" s="16">
        <v>2018</v>
      </c>
      <c r="H64" s="16" t="s">
        <v>299</v>
      </c>
    </row>
    <row r="65" spans="1:8" ht="15" customHeight="1" x14ac:dyDescent="0.4">
      <c r="A65" s="16" t="s">
        <v>300</v>
      </c>
      <c r="B65" s="16" t="s">
        <v>277</v>
      </c>
      <c r="C65" s="16" t="s">
        <v>141</v>
      </c>
      <c r="D65" s="16" t="s">
        <v>179</v>
      </c>
      <c r="E65" s="16" t="s">
        <v>158</v>
      </c>
      <c r="F65" s="16" t="s">
        <v>159</v>
      </c>
      <c r="G65" s="16">
        <v>2018</v>
      </c>
      <c r="H65" s="16" t="s">
        <v>301</v>
      </c>
    </row>
    <row r="66" spans="1:8" ht="15" customHeight="1" x14ac:dyDescent="0.4">
      <c r="A66" s="16" t="s">
        <v>302</v>
      </c>
      <c r="B66" s="16" t="s">
        <v>277</v>
      </c>
      <c r="C66" s="16" t="s">
        <v>141</v>
      </c>
      <c r="D66" s="16" t="s">
        <v>179</v>
      </c>
      <c r="E66" s="16" t="s">
        <v>158</v>
      </c>
      <c r="F66" s="16" t="s">
        <v>159</v>
      </c>
      <c r="G66" s="16">
        <v>2018</v>
      </c>
      <c r="H66" s="16" t="s">
        <v>303</v>
      </c>
    </row>
    <row r="67" spans="1:8" ht="15" customHeight="1" x14ac:dyDescent="0.4">
      <c r="A67" s="16" t="s">
        <v>304</v>
      </c>
      <c r="B67" s="16" t="s">
        <v>241</v>
      </c>
      <c r="C67" s="16" t="s">
        <v>141</v>
      </c>
      <c r="D67" s="16" t="s">
        <v>163</v>
      </c>
      <c r="E67" s="16" t="s">
        <v>158</v>
      </c>
      <c r="F67" s="16" t="s">
        <v>159</v>
      </c>
      <c r="G67" s="16">
        <v>2018</v>
      </c>
      <c r="H67" s="16" t="s">
        <v>305</v>
      </c>
    </row>
    <row r="68" spans="1:8" ht="15" customHeight="1" x14ac:dyDescent="0.4">
      <c r="A68" s="16" t="s">
        <v>306</v>
      </c>
      <c r="B68" s="16" t="s">
        <v>277</v>
      </c>
      <c r="C68" s="16" t="s">
        <v>141</v>
      </c>
      <c r="D68" s="16" t="s">
        <v>191</v>
      </c>
      <c r="E68" s="16" t="s">
        <v>158</v>
      </c>
      <c r="F68" s="16" t="s">
        <v>159</v>
      </c>
      <c r="G68" s="16">
        <v>2018</v>
      </c>
      <c r="H68" s="16" t="s">
        <v>307</v>
      </c>
    </row>
    <row r="69" spans="1:8" ht="15" customHeight="1" x14ac:dyDescent="0.4">
      <c r="A69" s="16" t="s">
        <v>308</v>
      </c>
      <c r="B69" s="16" t="s">
        <v>277</v>
      </c>
      <c r="C69" s="16" t="s">
        <v>141</v>
      </c>
      <c r="D69" s="16" t="s">
        <v>188</v>
      </c>
      <c r="E69" s="16" t="s">
        <v>158</v>
      </c>
      <c r="F69" s="16" t="s">
        <v>159</v>
      </c>
      <c r="G69" s="16">
        <v>2018</v>
      </c>
      <c r="H69" s="16" t="s">
        <v>309</v>
      </c>
    </row>
    <row r="70" spans="1:8" ht="15" customHeight="1" x14ac:dyDescent="0.4">
      <c r="A70" s="16" t="s">
        <v>310</v>
      </c>
      <c r="B70" s="16" t="s">
        <v>311</v>
      </c>
      <c r="C70" s="16" t="s">
        <v>141</v>
      </c>
      <c r="D70" s="16" t="s">
        <v>183</v>
      </c>
      <c r="E70" s="16" t="s">
        <v>184</v>
      </c>
      <c r="F70" s="16" t="s">
        <v>159</v>
      </c>
      <c r="G70" s="16">
        <v>2010</v>
      </c>
      <c r="H70" s="16" t="s">
        <v>312</v>
      </c>
    </row>
    <row r="71" spans="1:8" ht="15" customHeight="1" x14ac:dyDescent="0.4">
      <c r="A71" s="16" t="s">
        <v>313</v>
      </c>
      <c r="B71" s="16" t="s">
        <v>311</v>
      </c>
      <c r="C71" s="16" t="s">
        <v>141</v>
      </c>
      <c r="D71" s="16" t="s">
        <v>183</v>
      </c>
      <c r="E71" s="16" t="s">
        <v>184</v>
      </c>
      <c r="F71" s="16" t="s">
        <v>159</v>
      </c>
      <c r="G71" s="16">
        <v>2010</v>
      </c>
      <c r="H71" s="16" t="s">
        <v>314</v>
      </c>
    </row>
    <row r="72" spans="1:8" ht="15" customHeight="1" x14ac:dyDescent="0.4">
      <c r="A72" s="16" t="s">
        <v>315</v>
      </c>
      <c r="B72" s="16" t="s">
        <v>316</v>
      </c>
      <c r="C72" s="16" t="s">
        <v>141</v>
      </c>
      <c r="D72" s="16" t="s">
        <v>163</v>
      </c>
      <c r="E72" s="16" t="s">
        <v>158</v>
      </c>
      <c r="F72" s="16" t="s">
        <v>159</v>
      </c>
      <c r="G72" s="16">
        <v>1991</v>
      </c>
      <c r="H72" s="16" t="s">
        <v>317</v>
      </c>
    </row>
    <row r="73" spans="1:8" ht="15" customHeight="1" x14ac:dyDescent="0.4">
      <c r="A73" s="16" t="s">
        <v>318</v>
      </c>
      <c r="B73" s="16" t="s">
        <v>182</v>
      </c>
      <c r="C73" s="16" t="s">
        <v>141</v>
      </c>
      <c r="D73" s="16" t="s">
        <v>183</v>
      </c>
      <c r="E73" s="16" t="s">
        <v>184</v>
      </c>
      <c r="F73" s="16" t="s">
        <v>159</v>
      </c>
      <c r="G73" s="16">
        <v>2020</v>
      </c>
      <c r="H73" s="16" t="s">
        <v>319</v>
      </c>
    </row>
    <row r="74" spans="1:8" ht="15" customHeight="1" x14ac:dyDescent="0.4">
      <c r="A74" s="16" t="s">
        <v>320</v>
      </c>
      <c r="B74" s="16" t="s">
        <v>182</v>
      </c>
      <c r="C74" s="16" t="s">
        <v>141</v>
      </c>
      <c r="D74" s="16" t="s">
        <v>183</v>
      </c>
      <c r="E74" s="16" t="s">
        <v>184</v>
      </c>
      <c r="F74" s="16" t="s">
        <v>159</v>
      </c>
      <c r="G74" s="16">
        <v>2020</v>
      </c>
      <c r="H74" s="16" t="s">
        <v>321</v>
      </c>
    </row>
    <row r="75" spans="1:8" ht="15" customHeight="1" x14ac:dyDescent="0.4">
      <c r="A75" s="16" t="s">
        <v>322</v>
      </c>
      <c r="B75" s="16" t="s">
        <v>182</v>
      </c>
      <c r="C75" s="16" t="s">
        <v>141</v>
      </c>
      <c r="D75" s="16" t="s">
        <v>183</v>
      </c>
      <c r="E75" s="16" t="s">
        <v>184</v>
      </c>
      <c r="F75" s="16" t="s">
        <v>159</v>
      </c>
      <c r="G75" s="16">
        <v>2020</v>
      </c>
      <c r="H75" s="16" t="s">
        <v>323</v>
      </c>
    </row>
    <row r="76" spans="1:8" ht="15" customHeight="1" x14ac:dyDescent="0.4">
      <c r="A76" s="16" t="s">
        <v>324</v>
      </c>
      <c r="B76" s="16" t="s">
        <v>182</v>
      </c>
      <c r="C76" s="16" t="s">
        <v>141</v>
      </c>
      <c r="D76" s="16" t="s">
        <v>183</v>
      </c>
      <c r="E76" s="16" t="s">
        <v>184</v>
      </c>
      <c r="F76" s="16" t="s">
        <v>159</v>
      </c>
      <c r="G76" s="16">
        <v>2020</v>
      </c>
      <c r="H76" s="16" t="s">
        <v>325</v>
      </c>
    </row>
    <row r="77" spans="1:8" ht="15" customHeight="1" x14ac:dyDescent="0.4">
      <c r="A77" s="16" t="s">
        <v>326</v>
      </c>
      <c r="B77" s="16" t="s">
        <v>182</v>
      </c>
      <c r="C77" s="16" t="s">
        <v>141</v>
      </c>
      <c r="D77" s="16" t="s">
        <v>183</v>
      </c>
      <c r="E77" s="16" t="s">
        <v>184</v>
      </c>
      <c r="F77" s="16" t="s">
        <v>159</v>
      </c>
      <c r="G77" s="16">
        <v>2020</v>
      </c>
      <c r="H77" s="16" t="s">
        <v>327</v>
      </c>
    </row>
    <row r="78" spans="1:8" ht="15" customHeight="1" x14ac:dyDescent="0.4">
      <c r="A78" s="16" t="s">
        <v>328</v>
      </c>
      <c r="B78" s="16" t="s">
        <v>182</v>
      </c>
      <c r="C78" s="16" t="s">
        <v>141</v>
      </c>
      <c r="D78" s="16" t="s">
        <v>183</v>
      </c>
      <c r="E78" s="16" t="s">
        <v>184</v>
      </c>
      <c r="F78" s="16" t="s">
        <v>159</v>
      </c>
      <c r="G78" s="16">
        <v>2020</v>
      </c>
      <c r="H78" s="16" t="s">
        <v>329</v>
      </c>
    </row>
    <row r="79" spans="1:8" ht="15" customHeight="1" x14ac:dyDescent="0.4">
      <c r="A79" s="16" t="s">
        <v>330</v>
      </c>
      <c r="B79" s="16" t="s">
        <v>182</v>
      </c>
      <c r="C79" s="16" t="s">
        <v>141</v>
      </c>
      <c r="D79" s="16" t="s">
        <v>183</v>
      </c>
      <c r="E79" s="16" t="s">
        <v>184</v>
      </c>
      <c r="F79" s="16" t="s">
        <v>159</v>
      </c>
      <c r="G79" s="16">
        <v>2020</v>
      </c>
      <c r="H79" s="16" t="s">
        <v>331</v>
      </c>
    </row>
    <row r="80" spans="1:8" ht="15" customHeight="1" x14ac:dyDescent="0.4">
      <c r="A80" s="16" t="s">
        <v>332</v>
      </c>
      <c r="B80" s="16" t="s">
        <v>182</v>
      </c>
      <c r="C80" s="16" t="s">
        <v>141</v>
      </c>
      <c r="D80" s="16" t="s">
        <v>183</v>
      </c>
      <c r="E80" s="16" t="s">
        <v>184</v>
      </c>
      <c r="F80" s="16" t="s">
        <v>159</v>
      </c>
      <c r="G80" s="16">
        <v>2020</v>
      </c>
      <c r="H80" s="16" t="s">
        <v>333</v>
      </c>
    </row>
    <row r="81" spans="1:8" ht="15" customHeight="1" x14ac:dyDescent="0.4">
      <c r="A81" s="16" t="s">
        <v>334</v>
      </c>
      <c r="B81" s="16" t="s">
        <v>182</v>
      </c>
      <c r="C81" s="16" t="s">
        <v>141</v>
      </c>
      <c r="D81" s="16" t="s">
        <v>183</v>
      </c>
      <c r="E81" s="16" t="s">
        <v>184</v>
      </c>
      <c r="F81" s="16" t="s">
        <v>159</v>
      </c>
      <c r="G81" s="16">
        <v>2020</v>
      </c>
      <c r="H81" s="16" t="s">
        <v>335</v>
      </c>
    </row>
    <row r="82" spans="1:8" ht="15" customHeight="1" x14ac:dyDescent="0.4">
      <c r="A82" s="16" t="s">
        <v>336</v>
      </c>
      <c r="B82" s="16" t="s">
        <v>182</v>
      </c>
      <c r="C82" s="16" t="s">
        <v>141</v>
      </c>
      <c r="D82" s="16" t="s">
        <v>183</v>
      </c>
      <c r="E82" s="16" t="s">
        <v>184</v>
      </c>
      <c r="F82" s="16" t="s">
        <v>159</v>
      </c>
      <c r="G82" s="16">
        <v>2020</v>
      </c>
      <c r="H82" s="16" t="s">
        <v>337</v>
      </c>
    </row>
    <row r="83" spans="1:8" ht="15" customHeight="1" x14ac:dyDescent="0.4">
      <c r="A83" s="16" t="s">
        <v>338</v>
      </c>
      <c r="B83" s="16" t="s">
        <v>182</v>
      </c>
      <c r="C83" s="16" t="s">
        <v>141</v>
      </c>
      <c r="D83" s="16" t="s">
        <v>183</v>
      </c>
      <c r="E83" s="16" t="s">
        <v>184</v>
      </c>
      <c r="F83" s="16" t="s">
        <v>159</v>
      </c>
      <c r="G83" s="16">
        <v>2020</v>
      </c>
      <c r="H83" s="16" t="s">
        <v>339</v>
      </c>
    </row>
    <row r="84" spans="1:8" ht="15" customHeight="1" x14ac:dyDescent="0.4">
      <c r="A84" s="16" t="s">
        <v>340</v>
      </c>
      <c r="B84" s="16" t="s">
        <v>182</v>
      </c>
      <c r="C84" s="16" t="s">
        <v>141</v>
      </c>
      <c r="D84" s="16" t="s">
        <v>183</v>
      </c>
      <c r="E84" s="16" t="s">
        <v>184</v>
      </c>
      <c r="F84" s="16" t="s">
        <v>159</v>
      </c>
      <c r="G84" s="16">
        <v>2020</v>
      </c>
      <c r="H84" s="16" t="s">
        <v>341</v>
      </c>
    </row>
    <row r="85" spans="1:8" ht="15" customHeight="1" x14ac:dyDescent="0.4">
      <c r="A85" s="16" t="s">
        <v>342</v>
      </c>
      <c r="B85" s="16" t="s">
        <v>182</v>
      </c>
      <c r="C85" s="16" t="s">
        <v>141</v>
      </c>
      <c r="D85" s="16" t="s">
        <v>183</v>
      </c>
      <c r="E85" s="16" t="s">
        <v>184</v>
      </c>
      <c r="F85" s="16" t="s">
        <v>159</v>
      </c>
      <c r="G85" s="16">
        <v>2020</v>
      </c>
      <c r="H85" s="16" t="s">
        <v>343</v>
      </c>
    </row>
    <row r="86" spans="1:8" ht="15" customHeight="1" x14ac:dyDescent="0.4">
      <c r="A86" s="16" t="s">
        <v>344</v>
      </c>
      <c r="B86" s="16" t="s">
        <v>182</v>
      </c>
      <c r="C86" s="16" t="s">
        <v>141</v>
      </c>
      <c r="D86" s="16" t="s">
        <v>183</v>
      </c>
      <c r="E86" s="16" t="s">
        <v>184</v>
      </c>
      <c r="F86" s="16" t="s">
        <v>159</v>
      </c>
      <c r="G86" s="16">
        <v>2020</v>
      </c>
      <c r="H86" s="16" t="s">
        <v>345</v>
      </c>
    </row>
    <row r="87" spans="1:8" ht="15" customHeight="1" x14ac:dyDescent="0.4">
      <c r="A87" s="16" t="s">
        <v>346</v>
      </c>
      <c r="B87" s="16" t="s">
        <v>182</v>
      </c>
      <c r="C87" s="16" t="s">
        <v>141</v>
      </c>
      <c r="D87" s="16" t="s">
        <v>183</v>
      </c>
      <c r="E87" s="16" t="s">
        <v>184</v>
      </c>
      <c r="F87" s="16" t="s">
        <v>159</v>
      </c>
      <c r="G87" s="16">
        <v>2020</v>
      </c>
      <c r="H87" s="16" t="s">
        <v>347</v>
      </c>
    </row>
    <row r="88" spans="1:8" ht="15" customHeight="1" x14ac:dyDescent="0.4">
      <c r="A88" s="16" t="s">
        <v>348</v>
      </c>
      <c r="B88" s="16" t="s">
        <v>182</v>
      </c>
      <c r="C88" s="16" t="s">
        <v>141</v>
      </c>
      <c r="D88" s="16" t="s">
        <v>183</v>
      </c>
      <c r="E88" s="16" t="s">
        <v>184</v>
      </c>
      <c r="F88" s="16" t="s">
        <v>159</v>
      </c>
      <c r="G88" s="16">
        <v>2022</v>
      </c>
      <c r="H88" s="16" t="s">
        <v>349</v>
      </c>
    </row>
    <row r="89" spans="1:8" ht="15" customHeight="1" x14ac:dyDescent="0.4">
      <c r="A89" s="16" t="s">
        <v>350</v>
      </c>
      <c r="B89" s="16" t="s">
        <v>182</v>
      </c>
      <c r="C89" s="16" t="s">
        <v>141</v>
      </c>
      <c r="D89" s="16" t="s">
        <v>183</v>
      </c>
      <c r="E89" s="16" t="s">
        <v>184</v>
      </c>
      <c r="F89" s="16" t="s">
        <v>159</v>
      </c>
      <c r="G89" s="16">
        <v>2022</v>
      </c>
      <c r="H89" s="16" t="s">
        <v>351</v>
      </c>
    </row>
    <row r="90" spans="1:8" ht="15" customHeight="1" x14ac:dyDescent="0.4">
      <c r="A90" s="16" t="s">
        <v>352</v>
      </c>
      <c r="B90" s="16" t="s">
        <v>353</v>
      </c>
      <c r="C90" s="16" t="s">
        <v>141</v>
      </c>
      <c r="D90" s="16" t="s">
        <v>170</v>
      </c>
      <c r="E90" s="16" t="s">
        <v>158</v>
      </c>
      <c r="F90" s="16" t="s">
        <v>159</v>
      </c>
      <c r="G90" s="16">
        <v>2023</v>
      </c>
      <c r="H90" s="16" t="s">
        <v>354</v>
      </c>
    </row>
    <row r="91" spans="1:8" ht="15" customHeight="1" x14ac:dyDescent="0.4">
      <c r="A91" s="16" t="s">
        <v>355</v>
      </c>
      <c r="B91" s="16" t="s">
        <v>182</v>
      </c>
      <c r="C91" s="16" t="s">
        <v>141</v>
      </c>
      <c r="D91" s="16" t="s">
        <v>183</v>
      </c>
      <c r="E91" s="16" t="s">
        <v>184</v>
      </c>
      <c r="F91" s="16" t="s">
        <v>159</v>
      </c>
      <c r="G91" s="16">
        <v>2022</v>
      </c>
      <c r="H91" s="16" t="s">
        <v>356</v>
      </c>
    </row>
    <row r="92" spans="1:8" ht="15" customHeight="1" x14ac:dyDescent="0.4">
      <c r="A92" s="16" t="s">
        <v>357</v>
      </c>
      <c r="B92" s="16" t="s">
        <v>182</v>
      </c>
      <c r="C92" s="16" t="s">
        <v>141</v>
      </c>
      <c r="D92" s="16" t="s">
        <v>183</v>
      </c>
      <c r="E92" s="16" t="s">
        <v>184</v>
      </c>
      <c r="F92" s="16" t="s">
        <v>159</v>
      </c>
      <c r="G92" s="16">
        <v>2022</v>
      </c>
      <c r="H92" s="16" t="s">
        <v>358</v>
      </c>
    </row>
    <row r="93" spans="1:8" ht="15" customHeight="1" x14ac:dyDescent="0.4">
      <c r="A93" s="16" t="s">
        <v>359</v>
      </c>
      <c r="B93" s="16" t="s">
        <v>277</v>
      </c>
      <c r="C93" s="16" t="s">
        <v>141</v>
      </c>
      <c r="D93" s="16" t="s">
        <v>179</v>
      </c>
      <c r="E93" s="16" t="s">
        <v>158</v>
      </c>
      <c r="F93" s="16" t="s">
        <v>159</v>
      </c>
      <c r="G93" s="16">
        <v>2024</v>
      </c>
      <c r="H93" s="16" t="s">
        <v>360</v>
      </c>
    </row>
    <row r="94" spans="1:8" ht="15" customHeight="1" x14ac:dyDescent="0.4">
      <c r="A94" s="16" t="s">
        <v>361</v>
      </c>
      <c r="B94" s="16" t="s">
        <v>277</v>
      </c>
      <c r="C94" s="16" t="s">
        <v>141</v>
      </c>
      <c r="D94" s="16" t="s">
        <v>179</v>
      </c>
      <c r="E94" s="16" t="s">
        <v>158</v>
      </c>
      <c r="F94" s="16" t="s">
        <v>159</v>
      </c>
      <c r="G94" s="16">
        <v>2024</v>
      </c>
      <c r="H94" s="16" t="s">
        <v>362</v>
      </c>
    </row>
    <row r="95" spans="1:8" ht="15" customHeight="1" x14ac:dyDescent="0.4">
      <c r="A95" s="16" t="s">
        <v>363</v>
      </c>
      <c r="B95" s="16" t="s">
        <v>277</v>
      </c>
      <c r="C95" s="16" t="s">
        <v>141</v>
      </c>
      <c r="D95" s="16" t="s">
        <v>179</v>
      </c>
      <c r="E95" s="16" t="s">
        <v>158</v>
      </c>
      <c r="F95" s="16" t="s">
        <v>159</v>
      </c>
      <c r="G95" s="16">
        <v>2024</v>
      </c>
      <c r="H95" s="16" t="s">
        <v>364</v>
      </c>
    </row>
    <row r="96" spans="1:8" ht="15" customHeight="1" x14ac:dyDescent="0.4">
      <c r="A96" s="16" t="s">
        <v>365</v>
      </c>
      <c r="B96" s="16" t="s">
        <v>366</v>
      </c>
      <c r="C96" s="16" t="s">
        <v>141</v>
      </c>
      <c r="D96" s="16" t="s">
        <v>163</v>
      </c>
      <c r="E96" s="16" t="s">
        <v>158</v>
      </c>
      <c r="F96" s="16" t="s">
        <v>159</v>
      </c>
      <c r="G96" s="16">
        <v>2026</v>
      </c>
      <c r="H96" s="16" t="s">
        <v>367</v>
      </c>
    </row>
    <row r="97" spans="1:8" ht="15" customHeight="1" x14ac:dyDescent="0.4">
      <c r="A97" s="16" t="s">
        <v>368</v>
      </c>
      <c r="B97" s="16" t="s">
        <v>369</v>
      </c>
      <c r="C97" s="16" t="s">
        <v>141</v>
      </c>
      <c r="D97" s="16" t="s">
        <v>191</v>
      </c>
      <c r="E97" s="16" t="s">
        <v>158</v>
      </c>
      <c r="F97" s="16" t="s">
        <v>159</v>
      </c>
      <c r="G97" s="16">
        <v>2026</v>
      </c>
      <c r="H97" s="16" t="s">
        <v>370</v>
      </c>
    </row>
    <row r="98" spans="1:8" ht="15" customHeight="1" x14ac:dyDescent="0.4">
      <c r="A98" s="16" t="s">
        <v>371</v>
      </c>
      <c r="B98" s="16" t="s">
        <v>372</v>
      </c>
      <c r="C98" s="16" t="s">
        <v>141</v>
      </c>
      <c r="D98" s="16" t="s">
        <v>201</v>
      </c>
      <c r="E98" s="16" t="s">
        <v>158</v>
      </c>
      <c r="F98" s="16" t="s">
        <v>159</v>
      </c>
      <c r="G98" s="16">
        <v>2026</v>
      </c>
      <c r="H98" s="16" t="s">
        <v>373</v>
      </c>
    </row>
    <row r="99" spans="1:8" ht="15" customHeight="1" x14ac:dyDescent="0.4">
      <c r="A99" s="16" t="s">
        <v>374</v>
      </c>
      <c r="B99" s="16" t="s">
        <v>375</v>
      </c>
      <c r="C99" s="16" t="s">
        <v>141</v>
      </c>
      <c r="D99" s="16" t="s">
        <v>183</v>
      </c>
      <c r="E99" s="16" t="s">
        <v>184</v>
      </c>
      <c r="F99" s="16" t="s">
        <v>159</v>
      </c>
      <c r="G99" s="16">
        <v>2025</v>
      </c>
      <c r="H99" s="16" t="s">
        <v>376</v>
      </c>
    </row>
    <row r="100" spans="1:8" ht="15" customHeight="1" x14ac:dyDescent="0.4">
      <c r="A100" s="16" t="s">
        <v>377</v>
      </c>
      <c r="B100" s="16" t="s">
        <v>375</v>
      </c>
      <c r="C100" s="16" t="s">
        <v>141</v>
      </c>
      <c r="D100" s="16" t="s">
        <v>183</v>
      </c>
      <c r="E100" s="16" t="s">
        <v>184</v>
      </c>
      <c r="F100" s="16" t="s">
        <v>159</v>
      </c>
      <c r="G100" s="16">
        <v>2025</v>
      </c>
      <c r="H100" s="16" t="s">
        <v>376</v>
      </c>
    </row>
    <row r="101" spans="1:8" ht="15" customHeight="1" x14ac:dyDescent="0.4">
      <c r="A101" s="16" t="s">
        <v>378</v>
      </c>
      <c r="B101" s="16" t="s">
        <v>375</v>
      </c>
      <c r="C101" s="16" t="s">
        <v>141</v>
      </c>
      <c r="D101" s="16" t="s">
        <v>183</v>
      </c>
      <c r="E101" s="16" t="s">
        <v>184</v>
      </c>
      <c r="F101" s="16" t="s">
        <v>159</v>
      </c>
      <c r="G101" s="16">
        <v>2025</v>
      </c>
      <c r="H101" s="16" t="s">
        <v>376</v>
      </c>
    </row>
    <row r="102" spans="1:8" ht="15" customHeight="1" x14ac:dyDescent="0.4">
      <c r="A102" s="16" t="s">
        <v>379</v>
      </c>
      <c r="B102" s="16" t="s">
        <v>375</v>
      </c>
      <c r="C102" s="16" t="s">
        <v>141</v>
      </c>
      <c r="D102" s="16" t="s">
        <v>183</v>
      </c>
      <c r="E102" s="16" t="s">
        <v>184</v>
      </c>
      <c r="F102" s="16" t="s">
        <v>159</v>
      </c>
      <c r="G102" s="16">
        <v>2025</v>
      </c>
      <c r="H102" s="16" t="s">
        <v>376</v>
      </c>
    </row>
    <row r="103" spans="1:8" ht="15" customHeight="1" x14ac:dyDescent="0.4">
      <c r="A103" s="16" t="s">
        <v>380</v>
      </c>
      <c r="B103" s="16" t="s">
        <v>375</v>
      </c>
      <c r="C103" s="16" t="s">
        <v>141</v>
      </c>
      <c r="D103" s="16" t="s">
        <v>183</v>
      </c>
      <c r="E103" s="16" t="s">
        <v>184</v>
      </c>
      <c r="F103" s="16" t="s">
        <v>159</v>
      </c>
      <c r="G103" s="16">
        <v>2025</v>
      </c>
      <c r="H103" s="16" t="s">
        <v>376</v>
      </c>
    </row>
    <row r="104" spans="1:8" ht="15" customHeight="1" x14ac:dyDescent="0.4">
      <c r="A104" s="16" t="s">
        <v>381</v>
      </c>
      <c r="B104" s="16" t="s">
        <v>375</v>
      </c>
      <c r="C104" s="16" t="s">
        <v>141</v>
      </c>
      <c r="D104" s="16" t="s">
        <v>183</v>
      </c>
      <c r="E104" s="16" t="s">
        <v>184</v>
      </c>
      <c r="F104" s="16" t="s">
        <v>159</v>
      </c>
      <c r="G104" s="16">
        <v>2025</v>
      </c>
      <c r="H104" s="16" t="s">
        <v>376</v>
      </c>
    </row>
    <row r="105" spans="1:8" ht="15" customHeight="1" x14ac:dyDescent="0.4">
      <c r="A105" s="16" t="s">
        <v>382</v>
      </c>
      <c r="B105" s="16" t="s">
        <v>375</v>
      </c>
      <c r="C105" s="16" t="s">
        <v>141</v>
      </c>
      <c r="D105" s="16" t="s">
        <v>183</v>
      </c>
      <c r="E105" s="16" t="s">
        <v>184</v>
      </c>
      <c r="F105" s="16" t="s">
        <v>159</v>
      </c>
      <c r="G105" s="16">
        <v>2025</v>
      </c>
      <c r="H105" s="16" t="s">
        <v>376</v>
      </c>
    </row>
    <row r="106" spans="1:8" ht="15" customHeight="1" x14ac:dyDescent="0.4">
      <c r="A106" s="16" t="s">
        <v>383</v>
      </c>
      <c r="B106" s="16" t="s">
        <v>375</v>
      </c>
      <c r="C106" s="16" t="s">
        <v>141</v>
      </c>
      <c r="D106" s="16" t="s">
        <v>183</v>
      </c>
      <c r="E106" s="16" t="s">
        <v>184</v>
      </c>
      <c r="F106" s="16" t="s">
        <v>159</v>
      </c>
      <c r="G106" s="16">
        <v>2025</v>
      </c>
      <c r="H106" s="16" t="s">
        <v>376</v>
      </c>
    </row>
    <row r="107" spans="1:8" ht="15" customHeight="1" x14ac:dyDescent="0.4">
      <c r="A107" s="16" t="s">
        <v>384</v>
      </c>
      <c r="B107" s="16" t="s">
        <v>375</v>
      </c>
      <c r="C107" s="16" t="s">
        <v>141</v>
      </c>
      <c r="D107" s="16" t="s">
        <v>183</v>
      </c>
      <c r="E107" s="16" t="s">
        <v>184</v>
      </c>
      <c r="F107" s="16" t="s">
        <v>159</v>
      </c>
      <c r="G107" s="16">
        <v>2025</v>
      </c>
      <c r="H107" s="16" t="s">
        <v>376</v>
      </c>
    </row>
    <row r="108" spans="1:8" ht="15" customHeight="1" x14ac:dyDescent="0.4">
      <c r="A108" s="16" t="s">
        <v>385</v>
      </c>
      <c r="B108" s="16" t="s">
        <v>375</v>
      </c>
      <c r="C108" s="16" t="s">
        <v>141</v>
      </c>
      <c r="D108" s="16" t="s">
        <v>183</v>
      </c>
      <c r="E108" s="16" t="s">
        <v>184</v>
      </c>
      <c r="F108" s="16" t="s">
        <v>159</v>
      </c>
      <c r="G108" s="16">
        <v>2025</v>
      </c>
      <c r="H108" s="16" t="s">
        <v>376</v>
      </c>
    </row>
    <row r="109" spans="1:8" ht="15" customHeight="1" x14ac:dyDescent="0.4">
      <c r="A109" s="16" t="s">
        <v>386</v>
      </c>
      <c r="B109" s="16" t="s">
        <v>375</v>
      </c>
      <c r="C109" s="16" t="s">
        <v>141</v>
      </c>
      <c r="D109" s="16" t="s">
        <v>183</v>
      </c>
      <c r="E109" s="16" t="s">
        <v>184</v>
      </c>
      <c r="F109" s="16" t="s">
        <v>159</v>
      </c>
      <c r="G109" s="16">
        <v>2025</v>
      </c>
      <c r="H109" s="16" t="s">
        <v>376</v>
      </c>
    </row>
    <row r="110" spans="1:8" ht="15" customHeight="1" x14ac:dyDescent="0.4">
      <c r="A110" s="16" t="s">
        <v>387</v>
      </c>
      <c r="B110" s="16" t="s">
        <v>375</v>
      </c>
      <c r="C110" s="16" t="s">
        <v>141</v>
      </c>
      <c r="D110" s="16" t="s">
        <v>183</v>
      </c>
      <c r="E110" s="16" t="s">
        <v>184</v>
      </c>
      <c r="F110" s="16" t="s">
        <v>159</v>
      </c>
      <c r="G110" s="16">
        <v>2025</v>
      </c>
      <c r="H110" s="16" t="s">
        <v>376</v>
      </c>
    </row>
    <row r="111" spans="1:8" ht="15" customHeight="1" x14ac:dyDescent="0.4">
      <c r="A111" s="16" t="s">
        <v>388</v>
      </c>
      <c r="B111" s="16" t="s">
        <v>375</v>
      </c>
      <c r="C111" s="16" t="s">
        <v>141</v>
      </c>
      <c r="D111" s="16" t="s">
        <v>183</v>
      </c>
      <c r="E111" s="16" t="s">
        <v>184</v>
      </c>
      <c r="F111" s="16" t="s">
        <v>159</v>
      </c>
      <c r="G111" s="16">
        <v>2025</v>
      </c>
      <c r="H111" s="16" t="s">
        <v>376</v>
      </c>
    </row>
    <row r="112" spans="1:8" ht="15" customHeight="1" x14ac:dyDescent="0.4">
      <c r="A112" s="16" t="s">
        <v>389</v>
      </c>
      <c r="B112" s="16" t="s">
        <v>375</v>
      </c>
      <c r="C112" s="16" t="s">
        <v>141</v>
      </c>
      <c r="D112" s="16" t="s">
        <v>183</v>
      </c>
      <c r="E112" s="16" t="s">
        <v>184</v>
      </c>
      <c r="F112" s="16" t="s">
        <v>159</v>
      </c>
      <c r="G112" s="16">
        <v>2025</v>
      </c>
      <c r="H112" s="16" t="s">
        <v>376</v>
      </c>
    </row>
    <row r="113" spans="1:8" ht="15" customHeight="1" x14ac:dyDescent="0.4">
      <c r="A113" s="16" t="s">
        <v>390</v>
      </c>
      <c r="B113" s="16" t="s">
        <v>375</v>
      </c>
      <c r="C113" s="16" t="s">
        <v>141</v>
      </c>
      <c r="D113" s="16" t="s">
        <v>183</v>
      </c>
      <c r="E113" s="16" t="s">
        <v>184</v>
      </c>
      <c r="F113" s="16" t="s">
        <v>159</v>
      </c>
      <c r="G113" s="16">
        <v>2025</v>
      </c>
      <c r="H113" s="16" t="s">
        <v>376</v>
      </c>
    </row>
    <row r="114" spans="1:8" ht="15" customHeight="1" x14ac:dyDescent="0.4">
      <c r="A114" s="16" t="s">
        <v>391</v>
      </c>
      <c r="B114" s="16" t="s">
        <v>375</v>
      </c>
      <c r="C114" s="16" t="s">
        <v>141</v>
      </c>
      <c r="D114" s="16" t="s">
        <v>183</v>
      </c>
      <c r="E114" s="16" t="s">
        <v>184</v>
      </c>
      <c r="F114" s="16" t="s">
        <v>159</v>
      </c>
      <c r="G114" s="16">
        <v>2025</v>
      </c>
      <c r="H114" s="16" t="s">
        <v>376</v>
      </c>
    </row>
    <row r="115" spans="1:8" ht="15" customHeight="1" x14ac:dyDescent="0.4">
      <c r="A115" s="16" t="s">
        <v>392</v>
      </c>
      <c r="B115" s="16" t="s">
        <v>393</v>
      </c>
      <c r="C115" s="16" t="s">
        <v>141</v>
      </c>
      <c r="D115" s="16" t="s">
        <v>394</v>
      </c>
      <c r="E115" s="16" t="s">
        <v>158</v>
      </c>
      <c r="F115" s="16" t="s">
        <v>159</v>
      </c>
      <c r="G115" s="16">
        <v>2007</v>
      </c>
      <c r="H115" s="16" t="s">
        <v>395</v>
      </c>
    </row>
    <row r="116" spans="1:8" ht="15" customHeight="1" x14ac:dyDescent="0.4">
      <c r="A116" s="16" t="s">
        <v>396</v>
      </c>
      <c r="B116" s="16" t="s">
        <v>393</v>
      </c>
      <c r="C116" s="16" t="s">
        <v>141</v>
      </c>
      <c r="D116" s="16" t="s">
        <v>394</v>
      </c>
      <c r="E116" s="16" t="s">
        <v>158</v>
      </c>
      <c r="F116" s="16" t="s">
        <v>159</v>
      </c>
      <c r="G116" s="16">
        <v>2007</v>
      </c>
      <c r="H116" s="16" t="s">
        <v>397</v>
      </c>
    </row>
    <row r="117" spans="1:8" ht="15" customHeight="1" x14ac:dyDescent="0.4">
      <c r="A117" s="16" t="s">
        <v>398</v>
      </c>
      <c r="B117" s="16" t="s">
        <v>393</v>
      </c>
      <c r="C117" s="16" t="s">
        <v>141</v>
      </c>
      <c r="D117" s="16" t="s">
        <v>394</v>
      </c>
      <c r="E117" s="16" t="s">
        <v>158</v>
      </c>
      <c r="F117" s="16" t="s">
        <v>159</v>
      </c>
      <c r="G117" s="16">
        <v>2006</v>
      </c>
      <c r="H117" s="16" t="s">
        <v>399</v>
      </c>
    </row>
    <row r="118" spans="1:8" ht="15" customHeight="1" x14ac:dyDescent="0.4">
      <c r="A118" s="16" t="s">
        <v>400</v>
      </c>
      <c r="B118" s="16" t="s">
        <v>393</v>
      </c>
      <c r="C118" s="16" t="s">
        <v>141</v>
      </c>
      <c r="D118" s="16" t="s">
        <v>394</v>
      </c>
      <c r="E118" s="16" t="s">
        <v>158</v>
      </c>
      <c r="F118" s="16" t="s">
        <v>159</v>
      </c>
      <c r="G118" s="16">
        <v>2007</v>
      </c>
      <c r="H118" s="16" t="s">
        <v>401</v>
      </c>
    </row>
    <row r="119" spans="1:8" ht="15" customHeight="1" x14ac:dyDescent="0.4">
      <c r="A119" s="16" t="s">
        <v>402</v>
      </c>
      <c r="B119" s="16" t="s">
        <v>393</v>
      </c>
      <c r="C119" s="16" t="s">
        <v>141</v>
      </c>
      <c r="D119" s="16" t="s">
        <v>394</v>
      </c>
      <c r="E119" s="16" t="s">
        <v>158</v>
      </c>
      <c r="F119" s="16" t="s">
        <v>159</v>
      </c>
      <c r="G119" s="16">
        <v>2007</v>
      </c>
      <c r="H119" s="16" t="s">
        <v>403</v>
      </c>
    </row>
    <row r="120" spans="1:8" ht="15" customHeight="1" x14ac:dyDescent="0.4">
      <c r="A120" s="16" t="s">
        <v>404</v>
      </c>
      <c r="B120" s="16" t="s">
        <v>393</v>
      </c>
      <c r="C120" s="16" t="s">
        <v>141</v>
      </c>
      <c r="D120" s="16" t="s">
        <v>394</v>
      </c>
      <c r="E120" s="16" t="s">
        <v>158</v>
      </c>
      <c r="F120" s="16" t="s">
        <v>159</v>
      </c>
      <c r="G120" s="16">
        <v>2007</v>
      </c>
      <c r="H120" s="16" t="s">
        <v>405</v>
      </c>
    </row>
    <row r="121" spans="1:8" ht="15" customHeight="1" x14ac:dyDescent="0.4">
      <c r="A121" s="16" t="s">
        <v>406</v>
      </c>
      <c r="B121" s="16" t="s">
        <v>393</v>
      </c>
      <c r="C121" s="16" t="s">
        <v>141</v>
      </c>
      <c r="D121" s="16" t="s">
        <v>394</v>
      </c>
      <c r="E121" s="16" t="s">
        <v>158</v>
      </c>
      <c r="F121" s="16" t="s">
        <v>159</v>
      </c>
      <c r="G121" s="16">
        <v>2007</v>
      </c>
      <c r="H121" s="16" t="s">
        <v>407</v>
      </c>
    </row>
    <row r="122" spans="1:8" ht="15" customHeight="1" x14ac:dyDescent="0.4">
      <c r="A122" s="16" t="s">
        <v>408</v>
      </c>
      <c r="B122" s="16" t="s">
        <v>393</v>
      </c>
      <c r="C122" s="16" t="s">
        <v>141</v>
      </c>
      <c r="D122" s="16" t="s">
        <v>394</v>
      </c>
      <c r="E122" s="16" t="s">
        <v>158</v>
      </c>
      <c r="F122" s="16" t="s">
        <v>159</v>
      </c>
      <c r="G122" s="16">
        <v>2007</v>
      </c>
      <c r="H122" s="16" t="s">
        <v>409</v>
      </c>
    </row>
    <row r="123" spans="1:8" ht="15" customHeight="1" x14ac:dyDescent="0.4">
      <c r="A123" s="16" t="s">
        <v>410</v>
      </c>
      <c r="B123" s="16" t="s">
        <v>393</v>
      </c>
      <c r="C123" s="16" t="s">
        <v>141</v>
      </c>
      <c r="D123" s="16" t="s">
        <v>394</v>
      </c>
      <c r="E123" s="16" t="s">
        <v>158</v>
      </c>
      <c r="F123" s="16" t="s">
        <v>159</v>
      </c>
      <c r="G123" s="16">
        <v>2007</v>
      </c>
      <c r="H123" s="16" t="s">
        <v>411</v>
      </c>
    </row>
    <row r="124" spans="1:8" ht="15" customHeight="1" x14ac:dyDescent="0.4">
      <c r="A124" s="16" t="s">
        <v>412</v>
      </c>
      <c r="B124" s="16" t="s">
        <v>393</v>
      </c>
      <c r="C124" s="16" t="s">
        <v>141</v>
      </c>
      <c r="D124" s="16" t="s">
        <v>394</v>
      </c>
      <c r="E124" s="16" t="s">
        <v>158</v>
      </c>
      <c r="F124" s="16" t="s">
        <v>159</v>
      </c>
      <c r="G124" s="16">
        <v>2007</v>
      </c>
      <c r="H124" s="16" t="s">
        <v>413</v>
      </c>
    </row>
    <row r="125" spans="1:8" ht="15" customHeight="1" x14ac:dyDescent="0.4">
      <c r="A125" s="16" t="s">
        <v>414</v>
      </c>
      <c r="B125" s="16" t="s">
        <v>393</v>
      </c>
      <c r="C125" s="16" t="s">
        <v>141</v>
      </c>
      <c r="D125" s="16" t="s">
        <v>394</v>
      </c>
      <c r="E125" s="16" t="s">
        <v>158</v>
      </c>
      <c r="F125" s="16" t="s">
        <v>159</v>
      </c>
      <c r="G125" s="16">
        <v>2007</v>
      </c>
      <c r="H125" s="16" t="s">
        <v>415</v>
      </c>
    </row>
    <row r="126" spans="1:8" ht="15" customHeight="1" x14ac:dyDescent="0.4">
      <c r="A126" s="16" t="s">
        <v>416</v>
      </c>
      <c r="B126" s="16" t="s">
        <v>417</v>
      </c>
      <c r="C126" s="16" t="s">
        <v>144</v>
      </c>
      <c r="D126" s="16" t="s">
        <v>418</v>
      </c>
      <c r="E126" s="16" t="s">
        <v>158</v>
      </c>
      <c r="F126" s="16" t="s">
        <v>159</v>
      </c>
      <c r="G126" s="16">
        <v>2020</v>
      </c>
      <c r="H126" s="16" t="s">
        <v>419</v>
      </c>
    </row>
    <row r="127" spans="1:8" ht="15" customHeight="1" x14ac:dyDescent="0.4">
      <c r="A127" s="16" t="s">
        <v>420</v>
      </c>
      <c r="B127" s="16" t="s">
        <v>417</v>
      </c>
      <c r="C127" s="16" t="s">
        <v>144</v>
      </c>
      <c r="D127" s="16" t="s">
        <v>418</v>
      </c>
      <c r="E127" s="16" t="s">
        <v>158</v>
      </c>
      <c r="F127" s="16" t="s">
        <v>159</v>
      </c>
      <c r="G127" s="16">
        <v>2020</v>
      </c>
      <c r="H127" s="16" t="s">
        <v>421</v>
      </c>
    </row>
    <row r="128" spans="1:8" ht="15" customHeight="1" x14ac:dyDescent="0.4">
      <c r="A128" s="16" t="s">
        <v>422</v>
      </c>
      <c r="B128" s="16" t="s">
        <v>417</v>
      </c>
      <c r="C128" s="16" t="s">
        <v>144</v>
      </c>
      <c r="D128" s="16" t="s">
        <v>418</v>
      </c>
      <c r="E128" s="16" t="s">
        <v>158</v>
      </c>
      <c r="F128" s="16" t="s">
        <v>159</v>
      </c>
      <c r="G128" s="16">
        <v>2020</v>
      </c>
      <c r="H128" s="16" t="s">
        <v>423</v>
      </c>
    </row>
    <row r="129" spans="1:8" ht="15" customHeight="1" x14ac:dyDescent="0.4">
      <c r="A129" s="16" t="s">
        <v>424</v>
      </c>
      <c r="B129" s="16" t="s">
        <v>417</v>
      </c>
      <c r="C129" s="16" t="s">
        <v>144</v>
      </c>
      <c r="D129" s="16" t="s">
        <v>418</v>
      </c>
      <c r="E129" s="16" t="s">
        <v>158</v>
      </c>
      <c r="F129" s="16" t="s">
        <v>159</v>
      </c>
      <c r="G129" s="16">
        <v>2020</v>
      </c>
      <c r="H129" s="16" t="s">
        <v>425</v>
      </c>
    </row>
    <row r="130" spans="1:8" ht="15" customHeight="1" x14ac:dyDescent="0.4">
      <c r="A130" s="16" t="s">
        <v>426</v>
      </c>
      <c r="B130" s="16" t="s">
        <v>417</v>
      </c>
      <c r="C130" s="16" t="s">
        <v>144</v>
      </c>
      <c r="D130" s="16" t="s">
        <v>418</v>
      </c>
      <c r="E130" s="16" t="s">
        <v>158</v>
      </c>
      <c r="F130" s="16" t="s">
        <v>159</v>
      </c>
      <c r="G130" s="16">
        <v>2020</v>
      </c>
      <c r="H130" s="16" t="s">
        <v>427</v>
      </c>
    </row>
    <row r="131" spans="1:8" ht="15" customHeight="1" x14ac:dyDescent="0.4">
      <c r="A131" s="16" t="s">
        <v>428</v>
      </c>
      <c r="B131" s="16" t="s">
        <v>417</v>
      </c>
      <c r="C131" s="16" t="s">
        <v>144</v>
      </c>
      <c r="D131" s="16" t="s">
        <v>418</v>
      </c>
      <c r="E131" s="16" t="s">
        <v>158</v>
      </c>
      <c r="F131" s="16" t="s">
        <v>159</v>
      </c>
      <c r="G131" s="16">
        <v>2020</v>
      </c>
      <c r="H131" s="16" t="s">
        <v>429</v>
      </c>
    </row>
    <row r="132" spans="1:8" ht="15" customHeight="1" x14ac:dyDescent="0.4">
      <c r="A132" s="16" t="s">
        <v>430</v>
      </c>
      <c r="B132" s="16" t="s">
        <v>417</v>
      </c>
      <c r="C132" s="16" t="s">
        <v>144</v>
      </c>
      <c r="D132" s="16" t="s">
        <v>418</v>
      </c>
      <c r="E132" s="16" t="s">
        <v>158</v>
      </c>
      <c r="F132" s="16" t="s">
        <v>159</v>
      </c>
      <c r="G132" s="16">
        <v>2020</v>
      </c>
      <c r="H132" s="16" t="s">
        <v>431</v>
      </c>
    </row>
    <row r="133" spans="1:8" ht="15" customHeight="1" x14ac:dyDescent="0.4">
      <c r="A133" s="16" t="s">
        <v>432</v>
      </c>
      <c r="B133" s="16" t="s">
        <v>433</v>
      </c>
      <c r="C133" s="16" t="s">
        <v>144</v>
      </c>
      <c r="D133" s="16" t="s">
        <v>418</v>
      </c>
      <c r="E133" s="16" t="s">
        <v>158</v>
      </c>
      <c r="F133" s="16" t="s">
        <v>159</v>
      </c>
      <c r="G133" s="16">
        <v>2020</v>
      </c>
      <c r="H133" s="16" t="s">
        <v>434</v>
      </c>
    </row>
    <row r="134" spans="1:8" ht="15" customHeight="1" x14ac:dyDescent="0.4">
      <c r="A134" s="16" t="s">
        <v>435</v>
      </c>
      <c r="B134" s="16" t="s">
        <v>433</v>
      </c>
      <c r="C134" s="16" t="s">
        <v>144</v>
      </c>
      <c r="D134" s="16" t="s">
        <v>418</v>
      </c>
      <c r="E134" s="16" t="s">
        <v>158</v>
      </c>
      <c r="F134" s="16" t="s">
        <v>159</v>
      </c>
      <c r="G134" s="16">
        <v>2020</v>
      </c>
      <c r="H134" s="16" t="s">
        <v>436</v>
      </c>
    </row>
    <row r="135" spans="1:8" ht="15" customHeight="1" x14ac:dyDescent="0.4">
      <c r="A135" s="16" t="s">
        <v>437</v>
      </c>
      <c r="B135" s="16" t="s">
        <v>417</v>
      </c>
      <c r="C135" s="16" t="s">
        <v>144</v>
      </c>
      <c r="D135" s="16" t="s">
        <v>418</v>
      </c>
      <c r="E135" s="16" t="s">
        <v>158</v>
      </c>
      <c r="F135" s="16" t="s">
        <v>159</v>
      </c>
      <c r="G135" s="16">
        <v>2020</v>
      </c>
      <c r="H135" s="16" t="s">
        <v>438</v>
      </c>
    </row>
    <row r="136" spans="1:8" ht="15" customHeight="1" x14ac:dyDescent="0.4">
      <c r="A136" s="16" t="s">
        <v>439</v>
      </c>
      <c r="B136" s="16" t="s">
        <v>417</v>
      </c>
      <c r="C136" s="16" t="s">
        <v>144</v>
      </c>
      <c r="D136" s="16" t="s">
        <v>418</v>
      </c>
      <c r="E136" s="16" t="s">
        <v>158</v>
      </c>
      <c r="F136" s="16" t="s">
        <v>159</v>
      </c>
      <c r="G136" s="16">
        <v>2020</v>
      </c>
      <c r="H136" s="16" t="s">
        <v>440</v>
      </c>
    </row>
    <row r="137" spans="1:8" ht="15" customHeight="1" x14ac:dyDescent="0.4">
      <c r="A137" s="16" t="s">
        <v>441</v>
      </c>
      <c r="B137" s="16" t="s">
        <v>417</v>
      </c>
      <c r="C137" s="16" t="s">
        <v>144</v>
      </c>
      <c r="D137" s="16" t="s">
        <v>418</v>
      </c>
      <c r="E137" s="16" t="s">
        <v>158</v>
      </c>
      <c r="F137" s="16" t="s">
        <v>159</v>
      </c>
      <c r="G137" s="16">
        <v>2020</v>
      </c>
      <c r="H137" s="16" t="s">
        <v>442</v>
      </c>
    </row>
    <row r="138" spans="1:8" ht="15" customHeight="1" x14ac:dyDescent="0.4">
      <c r="A138" s="16" t="s">
        <v>443</v>
      </c>
      <c r="B138" s="16" t="s">
        <v>417</v>
      </c>
      <c r="C138" s="16" t="s">
        <v>144</v>
      </c>
      <c r="D138" s="16" t="s">
        <v>418</v>
      </c>
      <c r="E138" s="16" t="s">
        <v>158</v>
      </c>
      <c r="F138" s="16" t="s">
        <v>159</v>
      </c>
      <c r="G138" s="16">
        <v>2020</v>
      </c>
      <c r="H138" s="16" t="s">
        <v>444</v>
      </c>
    </row>
    <row r="139" spans="1:8" ht="15" customHeight="1" x14ac:dyDescent="0.4">
      <c r="A139" s="16" t="s">
        <v>445</v>
      </c>
      <c r="B139" s="16" t="s">
        <v>446</v>
      </c>
      <c r="C139" s="16" t="s">
        <v>144</v>
      </c>
      <c r="D139" s="16" t="s">
        <v>447</v>
      </c>
      <c r="E139" s="16" t="s">
        <v>448</v>
      </c>
      <c r="F139" s="16" t="s">
        <v>159</v>
      </c>
      <c r="G139" s="16">
        <v>2012</v>
      </c>
      <c r="H139" s="16" t="s">
        <v>449</v>
      </c>
    </row>
    <row r="140" spans="1:8" ht="15" customHeight="1" x14ac:dyDescent="0.4">
      <c r="A140" s="16" t="s">
        <v>450</v>
      </c>
      <c r="B140" s="16" t="s">
        <v>451</v>
      </c>
      <c r="C140" s="16" t="s">
        <v>144</v>
      </c>
      <c r="D140" s="16" t="s">
        <v>447</v>
      </c>
      <c r="E140" s="16" t="s">
        <v>448</v>
      </c>
      <c r="F140" s="16" t="s">
        <v>159</v>
      </c>
      <c r="G140" s="16">
        <v>1979</v>
      </c>
      <c r="H140" s="16" t="s">
        <v>452</v>
      </c>
    </row>
    <row r="141" spans="1:8" ht="15" customHeight="1" x14ac:dyDescent="0.4">
      <c r="A141" s="16" t="s">
        <v>453</v>
      </c>
      <c r="B141" s="16" t="s">
        <v>417</v>
      </c>
      <c r="C141" s="16" t="s">
        <v>144</v>
      </c>
      <c r="D141" s="16" t="s">
        <v>454</v>
      </c>
      <c r="E141" s="16" t="s">
        <v>158</v>
      </c>
      <c r="F141" s="16" t="s">
        <v>159</v>
      </c>
      <c r="G141" s="16">
        <v>2021</v>
      </c>
      <c r="H141" s="16" t="s">
        <v>455</v>
      </c>
    </row>
    <row r="142" spans="1:8" ht="15" customHeight="1" x14ac:dyDescent="0.4">
      <c r="A142" s="16" t="s">
        <v>456</v>
      </c>
      <c r="B142" s="16" t="s">
        <v>457</v>
      </c>
      <c r="C142" s="16" t="s">
        <v>144</v>
      </c>
      <c r="D142" s="16" t="s">
        <v>447</v>
      </c>
      <c r="E142" s="16" t="s">
        <v>448</v>
      </c>
      <c r="F142" s="16" t="s">
        <v>159</v>
      </c>
      <c r="G142" s="16">
        <v>2013</v>
      </c>
      <c r="H142" s="16" t="s">
        <v>458</v>
      </c>
    </row>
    <row r="143" spans="1:8" ht="15" customHeight="1" x14ac:dyDescent="0.4">
      <c r="A143" s="16" t="s">
        <v>459</v>
      </c>
      <c r="B143" s="16" t="s">
        <v>460</v>
      </c>
      <c r="C143" s="16" t="s">
        <v>144</v>
      </c>
      <c r="D143" s="16" t="s">
        <v>447</v>
      </c>
      <c r="E143" s="16" t="s">
        <v>158</v>
      </c>
      <c r="F143" s="16" t="s">
        <v>159</v>
      </c>
      <c r="G143" s="16">
        <v>2021</v>
      </c>
      <c r="H143" s="16" t="s">
        <v>461</v>
      </c>
    </row>
    <row r="144" spans="1:8" ht="15" customHeight="1" x14ac:dyDescent="0.4">
      <c r="A144" s="16" t="s">
        <v>462</v>
      </c>
      <c r="B144" s="16" t="s">
        <v>463</v>
      </c>
      <c r="C144" s="16" t="s">
        <v>144</v>
      </c>
      <c r="D144" s="16" t="s">
        <v>447</v>
      </c>
      <c r="E144" s="16" t="s">
        <v>158</v>
      </c>
      <c r="F144" s="16" t="s">
        <v>159</v>
      </c>
      <c r="G144" s="16">
        <v>2021</v>
      </c>
      <c r="H144" s="16" t="s">
        <v>464</v>
      </c>
    </row>
    <row r="145" spans="1:8" ht="15" customHeight="1" x14ac:dyDescent="0.4">
      <c r="A145" s="16" t="s">
        <v>465</v>
      </c>
      <c r="B145" s="16" t="s">
        <v>466</v>
      </c>
      <c r="C145" s="16" t="s">
        <v>144</v>
      </c>
      <c r="D145" s="16" t="s">
        <v>447</v>
      </c>
      <c r="E145" s="16" t="s">
        <v>158</v>
      </c>
      <c r="F145" s="16" t="s">
        <v>159</v>
      </c>
      <c r="G145" s="16">
        <v>2022</v>
      </c>
      <c r="H145" s="16" t="s">
        <v>467</v>
      </c>
    </row>
    <row r="146" spans="1:8" ht="15" customHeight="1" x14ac:dyDescent="0.4">
      <c r="A146" s="16" t="s">
        <v>468</v>
      </c>
      <c r="B146" s="16" t="s">
        <v>469</v>
      </c>
      <c r="C146" s="16" t="s">
        <v>144</v>
      </c>
      <c r="D146" s="16" t="s">
        <v>418</v>
      </c>
      <c r="E146" s="16" t="s">
        <v>158</v>
      </c>
      <c r="F146" s="16" t="s">
        <v>159</v>
      </c>
      <c r="G146" s="16">
        <v>2023</v>
      </c>
      <c r="H146" s="16" t="s">
        <v>470</v>
      </c>
    </row>
    <row r="147" spans="1:8" ht="15" customHeight="1" x14ac:dyDescent="0.4">
      <c r="A147" s="16" t="s">
        <v>471</v>
      </c>
      <c r="B147" s="16" t="s">
        <v>469</v>
      </c>
      <c r="C147" s="16" t="s">
        <v>144</v>
      </c>
      <c r="D147" s="16" t="s">
        <v>418</v>
      </c>
      <c r="E147" s="16" t="s">
        <v>158</v>
      </c>
      <c r="F147" s="16" t="s">
        <v>159</v>
      </c>
      <c r="G147" s="16">
        <v>2023</v>
      </c>
      <c r="H147" s="16" t="s">
        <v>472</v>
      </c>
    </row>
    <row r="148" spans="1:8" ht="15" customHeight="1" x14ac:dyDescent="0.4">
      <c r="A148" s="16" t="s">
        <v>473</v>
      </c>
      <c r="B148" s="16" t="s">
        <v>469</v>
      </c>
      <c r="C148" s="16" t="s">
        <v>144</v>
      </c>
      <c r="D148" s="16" t="s">
        <v>418</v>
      </c>
      <c r="E148" s="16" t="s">
        <v>158</v>
      </c>
      <c r="F148" s="16" t="s">
        <v>159</v>
      </c>
      <c r="G148" s="16">
        <v>2023</v>
      </c>
      <c r="H148" s="16" t="s">
        <v>474</v>
      </c>
    </row>
    <row r="149" spans="1:8" ht="15" customHeight="1" x14ac:dyDescent="0.4">
      <c r="A149" s="16" t="s">
        <v>475</v>
      </c>
      <c r="B149" s="16" t="s">
        <v>469</v>
      </c>
      <c r="C149" s="16" t="s">
        <v>144</v>
      </c>
      <c r="D149" s="16" t="s">
        <v>418</v>
      </c>
      <c r="E149" s="16" t="s">
        <v>158</v>
      </c>
      <c r="F149" s="16" t="s">
        <v>159</v>
      </c>
      <c r="G149" s="16">
        <v>2023</v>
      </c>
      <c r="H149" s="16" t="s">
        <v>476</v>
      </c>
    </row>
    <row r="150" spans="1:8" ht="15" customHeight="1" x14ac:dyDescent="0.4">
      <c r="A150" s="16" t="s">
        <v>477</v>
      </c>
      <c r="B150" s="16" t="s">
        <v>478</v>
      </c>
      <c r="C150" s="16" t="s">
        <v>144</v>
      </c>
      <c r="D150" s="16" t="s">
        <v>418</v>
      </c>
      <c r="E150" s="16" t="s">
        <v>158</v>
      </c>
      <c r="F150" s="16" t="s">
        <v>159</v>
      </c>
      <c r="G150" s="16">
        <v>2023</v>
      </c>
      <c r="H150" s="16" t="s">
        <v>479</v>
      </c>
    </row>
    <row r="151" spans="1:8" ht="15" customHeight="1" x14ac:dyDescent="0.4">
      <c r="A151" s="16" t="s">
        <v>480</v>
      </c>
      <c r="B151" s="16" t="s">
        <v>478</v>
      </c>
      <c r="C151" s="16" t="s">
        <v>144</v>
      </c>
      <c r="D151" s="16" t="s">
        <v>418</v>
      </c>
      <c r="E151" s="16" t="s">
        <v>158</v>
      </c>
      <c r="F151" s="16" t="s">
        <v>159</v>
      </c>
      <c r="G151" s="16">
        <v>2023</v>
      </c>
      <c r="H151" s="16" t="s">
        <v>481</v>
      </c>
    </row>
    <row r="152" spans="1:8" ht="15" customHeight="1" x14ac:dyDescent="0.4">
      <c r="A152" s="16" t="s">
        <v>482</v>
      </c>
      <c r="B152" s="16" t="s">
        <v>483</v>
      </c>
      <c r="C152" s="16" t="s">
        <v>144</v>
      </c>
      <c r="D152" s="16" t="s">
        <v>418</v>
      </c>
      <c r="E152" s="16" t="s">
        <v>158</v>
      </c>
      <c r="F152" s="16" t="s">
        <v>159</v>
      </c>
      <c r="G152" s="16">
        <v>2023</v>
      </c>
      <c r="H152" s="16" t="s">
        <v>484</v>
      </c>
    </row>
    <row r="153" spans="1:8" ht="15" customHeight="1" x14ac:dyDescent="0.4">
      <c r="A153" s="16" t="s">
        <v>485</v>
      </c>
      <c r="B153" s="16" t="s">
        <v>483</v>
      </c>
      <c r="C153" s="16" t="s">
        <v>144</v>
      </c>
      <c r="D153" s="16" t="s">
        <v>418</v>
      </c>
      <c r="E153" s="16" t="s">
        <v>158</v>
      </c>
      <c r="F153" s="16" t="s">
        <v>159</v>
      </c>
      <c r="G153" s="16">
        <v>2023</v>
      </c>
      <c r="H153" s="16" t="s">
        <v>486</v>
      </c>
    </row>
    <row r="154" spans="1:8" ht="15" customHeight="1" x14ac:dyDescent="0.4">
      <c r="A154" s="16" t="s">
        <v>487</v>
      </c>
      <c r="B154" s="16" t="s">
        <v>483</v>
      </c>
      <c r="C154" s="16" t="s">
        <v>144</v>
      </c>
      <c r="D154" s="16" t="s">
        <v>418</v>
      </c>
      <c r="E154" s="16" t="s">
        <v>158</v>
      </c>
      <c r="F154" s="16" t="s">
        <v>159</v>
      </c>
      <c r="G154" s="16">
        <v>2023</v>
      </c>
      <c r="H154" s="16" t="s">
        <v>488</v>
      </c>
    </row>
    <row r="155" spans="1:8" ht="15" customHeight="1" x14ac:dyDescent="0.4">
      <c r="A155" s="16" t="s">
        <v>489</v>
      </c>
      <c r="B155" s="16" t="s">
        <v>483</v>
      </c>
      <c r="C155" s="16" t="s">
        <v>144</v>
      </c>
      <c r="D155" s="16" t="s">
        <v>418</v>
      </c>
      <c r="E155" s="16" t="s">
        <v>158</v>
      </c>
      <c r="F155" s="16" t="s">
        <v>159</v>
      </c>
      <c r="G155" s="16">
        <v>2023</v>
      </c>
      <c r="H155" s="16" t="s">
        <v>490</v>
      </c>
    </row>
    <row r="156" spans="1:8" ht="15" customHeight="1" x14ac:dyDescent="0.4">
      <c r="A156" s="16" t="s">
        <v>491</v>
      </c>
      <c r="B156" s="16" t="s">
        <v>483</v>
      </c>
      <c r="C156" s="16" t="s">
        <v>144</v>
      </c>
      <c r="D156" s="16" t="s">
        <v>418</v>
      </c>
      <c r="E156" s="16" t="s">
        <v>158</v>
      </c>
      <c r="F156" s="16" t="s">
        <v>159</v>
      </c>
      <c r="G156" s="16">
        <v>2023</v>
      </c>
      <c r="H156" s="16" t="s">
        <v>492</v>
      </c>
    </row>
    <row r="157" spans="1:8" ht="15" customHeight="1" x14ac:dyDescent="0.4">
      <c r="A157" s="16" t="s">
        <v>493</v>
      </c>
      <c r="B157" s="16" t="s">
        <v>483</v>
      </c>
      <c r="C157" s="16" t="s">
        <v>144</v>
      </c>
      <c r="D157" s="16" t="s">
        <v>418</v>
      </c>
      <c r="E157" s="16" t="s">
        <v>158</v>
      </c>
      <c r="F157" s="16" t="s">
        <v>159</v>
      </c>
      <c r="G157" s="16">
        <v>2023</v>
      </c>
      <c r="H157" s="16" t="s">
        <v>494</v>
      </c>
    </row>
    <row r="158" spans="1:8" ht="15" customHeight="1" x14ac:dyDescent="0.4">
      <c r="A158" s="16" t="s">
        <v>495</v>
      </c>
      <c r="B158" s="16" t="s">
        <v>483</v>
      </c>
      <c r="C158" s="16" t="s">
        <v>144</v>
      </c>
      <c r="D158" s="16" t="s">
        <v>418</v>
      </c>
      <c r="E158" s="16" t="s">
        <v>158</v>
      </c>
      <c r="F158" s="16" t="s">
        <v>159</v>
      </c>
      <c r="G158" s="16">
        <v>2023</v>
      </c>
      <c r="H158" s="16" t="s">
        <v>496</v>
      </c>
    </row>
    <row r="159" spans="1:8" ht="15" customHeight="1" x14ac:dyDescent="0.4">
      <c r="A159" s="16" t="s">
        <v>497</v>
      </c>
      <c r="B159" s="16" t="s">
        <v>483</v>
      </c>
      <c r="C159" s="16" t="s">
        <v>144</v>
      </c>
      <c r="D159" s="16" t="s">
        <v>418</v>
      </c>
      <c r="E159" s="16" t="s">
        <v>158</v>
      </c>
      <c r="F159" s="16" t="s">
        <v>159</v>
      </c>
      <c r="G159" s="16">
        <v>2023</v>
      </c>
      <c r="H159" s="16" t="s">
        <v>498</v>
      </c>
    </row>
    <row r="160" spans="1:8" ht="15" customHeight="1" x14ac:dyDescent="0.4">
      <c r="A160" s="16" t="s">
        <v>499</v>
      </c>
      <c r="B160" s="16" t="s">
        <v>483</v>
      </c>
      <c r="C160" s="16" t="s">
        <v>144</v>
      </c>
      <c r="D160" s="16" t="s">
        <v>418</v>
      </c>
      <c r="E160" s="16" t="s">
        <v>158</v>
      </c>
      <c r="F160" s="16" t="s">
        <v>159</v>
      </c>
      <c r="G160" s="16">
        <v>2023</v>
      </c>
      <c r="H160" s="16" t="s">
        <v>500</v>
      </c>
    </row>
    <row r="161" spans="1:8" ht="15" customHeight="1" x14ac:dyDescent="0.4">
      <c r="A161" s="16" t="s">
        <v>501</v>
      </c>
      <c r="B161" s="16" t="s">
        <v>483</v>
      </c>
      <c r="C161" s="16" t="s">
        <v>144</v>
      </c>
      <c r="D161" s="16" t="s">
        <v>418</v>
      </c>
      <c r="E161" s="16" t="s">
        <v>158</v>
      </c>
      <c r="F161" s="16" t="s">
        <v>159</v>
      </c>
      <c r="G161" s="16">
        <v>2023</v>
      </c>
      <c r="H161" s="16" t="s">
        <v>502</v>
      </c>
    </row>
    <row r="162" spans="1:8" ht="15" customHeight="1" x14ac:dyDescent="0.4">
      <c r="A162" s="16" t="s">
        <v>503</v>
      </c>
      <c r="B162" s="16" t="s">
        <v>483</v>
      </c>
      <c r="C162" s="16" t="s">
        <v>144</v>
      </c>
      <c r="D162" s="16" t="s">
        <v>418</v>
      </c>
      <c r="E162" s="16" t="s">
        <v>158</v>
      </c>
      <c r="F162" s="16" t="s">
        <v>159</v>
      </c>
      <c r="G162" s="16">
        <v>2023</v>
      </c>
      <c r="H162" s="16" t="s">
        <v>504</v>
      </c>
    </row>
    <row r="163" spans="1:8" ht="15" customHeight="1" x14ac:dyDescent="0.4">
      <c r="A163" s="16" t="s">
        <v>505</v>
      </c>
      <c r="B163" s="16" t="s">
        <v>483</v>
      </c>
      <c r="C163" s="16" t="s">
        <v>144</v>
      </c>
      <c r="D163" s="16" t="s">
        <v>418</v>
      </c>
      <c r="E163" s="16" t="s">
        <v>158</v>
      </c>
      <c r="F163" s="16" t="s">
        <v>159</v>
      </c>
      <c r="G163" s="16">
        <v>2023</v>
      </c>
      <c r="H163" s="16" t="s">
        <v>506</v>
      </c>
    </row>
    <row r="164" spans="1:8" ht="15" customHeight="1" x14ac:dyDescent="0.4">
      <c r="A164" s="16" t="s">
        <v>507</v>
      </c>
      <c r="B164" s="16" t="s">
        <v>508</v>
      </c>
      <c r="C164" s="16" t="s">
        <v>144</v>
      </c>
      <c r="D164" s="16" t="s">
        <v>418</v>
      </c>
      <c r="E164" s="16" t="s">
        <v>158</v>
      </c>
      <c r="F164" s="16" t="s">
        <v>159</v>
      </c>
      <c r="G164" s="16">
        <v>2023</v>
      </c>
      <c r="H164" s="16" t="s">
        <v>509</v>
      </c>
    </row>
    <row r="165" spans="1:8" ht="15" customHeight="1" x14ac:dyDescent="0.4">
      <c r="A165" s="16" t="s">
        <v>510</v>
      </c>
      <c r="B165" s="16" t="s">
        <v>511</v>
      </c>
      <c r="C165" s="16" t="s">
        <v>144</v>
      </c>
      <c r="D165" s="16" t="s">
        <v>447</v>
      </c>
      <c r="E165" s="16" t="s">
        <v>158</v>
      </c>
      <c r="F165" s="16" t="s">
        <v>159</v>
      </c>
      <c r="G165" s="16">
        <v>2023</v>
      </c>
      <c r="H165" s="16" t="s">
        <v>512</v>
      </c>
    </row>
    <row r="166" spans="1:8" ht="15" customHeight="1" x14ac:dyDescent="0.4">
      <c r="A166" s="16" t="s">
        <v>513</v>
      </c>
      <c r="B166" s="16" t="s">
        <v>514</v>
      </c>
      <c r="C166" s="16" t="s">
        <v>144</v>
      </c>
      <c r="D166" s="16" t="s">
        <v>447</v>
      </c>
      <c r="E166" s="16" t="s">
        <v>158</v>
      </c>
      <c r="F166" s="16" t="s">
        <v>159</v>
      </c>
      <c r="G166" s="16">
        <v>2023</v>
      </c>
      <c r="H166" s="16" t="s">
        <v>515</v>
      </c>
    </row>
    <row r="167" spans="1:8" ht="15" customHeight="1" x14ac:dyDescent="0.4">
      <c r="A167" s="16" t="s">
        <v>516</v>
      </c>
      <c r="B167" s="16" t="s">
        <v>460</v>
      </c>
      <c r="C167" s="16" t="s">
        <v>144</v>
      </c>
      <c r="D167" s="16" t="s">
        <v>448</v>
      </c>
      <c r="E167" s="16" t="s">
        <v>158</v>
      </c>
      <c r="F167" s="16" t="s">
        <v>159</v>
      </c>
      <c r="G167" s="16">
        <v>2021</v>
      </c>
      <c r="H167" s="16" t="s">
        <v>517</v>
      </c>
    </row>
    <row r="168" spans="1:8" ht="15" customHeight="1" x14ac:dyDescent="0.4">
      <c r="A168" s="16" t="s">
        <v>518</v>
      </c>
      <c r="B168" s="16" t="s">
        <v>508</v>
      </c>
      <c r="C168" s="16" t="s">
        <v>144</v>
      </c>
      <c r="D168" s="16" t="s">
        <v>418</v>
      </c>
      <c r="E168" s="16" t="s">
        <v>158</v>
      </c>
      <c r="F168" s="16" t="s">
        <v>159</v>
      </c>
      <c r="G168" s="16">
        <v>2025</v>
      </c>
      <c r="H168" s="16" t="s">
        <v>519</v>
      </c>
    </row>
    <row r="169" spans="1:8" ht="15" customHeight="1" x14ac:dyDescent="0.4">
      <c r="A169" s="16" t="s">
        <v>520</v>
      </c>
      <c r="B169" s="16" t="s">
        <v>521</v>
      </c>
      <c r="C169" s="16" t="s">
        <v>144</v>
      </c>
      <c r="D169" s="16" t="s">
        <v>447</v>
      </c>
      <c r="E169" s="16" t="s">
        <v>158</v>
      </c>
      <c r="F169" s="16" t="s">
        <v>159</v>
      </c>
      <c r="G169" s="16">
        <v>2026</v>
      </c>
      <c r="H169" s="16" t="s">
        <v>522</v>
      </c>
    </row>
    <row r="170" spans="1:8" ht="15" customHeight="1" x14ac:dyDescent="0.4">
      <c r="A170" s="16" t="s">
        <v>523</v>
      </c>
      <c r="B170" s="16" t="s">
        <v>524</v>
      </c>
      <c r="C170" s="16" t="s">
        <v>140</v>
      </c>
      <c r="D170" s="16" t="s">
        <v>525</v>
      </c>
      <c r="E170" s="16" t="s">
        <v>526</v>
      </c>
      <c r="F170" s="16" t="s">
        <v>527</v>
      </c>
      <c r="G170" s="16">
        <v>2005</v>
      </c>
      <c r="H170" s="16" t="s">
        <v>376</v>
      </c>
    </row>
    <row r="171" spans="1:8" ht="15" customHeight="1" x14ac:dyDescent="0.4">
      <c r="A171" s="16" t="s">
        <v>528</v>
      </c>
      <c r="B171" s="16" t="s">
        <v>524</v>
      </c>
      <c r="C171" s="16" t="s">
        <v>140</v>
      </c>
      <c r="D171" s="16" t="s">
        <v>525</v>
      </c>
      <c r="E171" s="16" t="s">
        <v>526</v>
      </c>
      <c r="F171" s="16" t="s">
        <v>527</v>
      </c>
      <c r="G171" s="16">
        <v>2007</v>
      </c>
      <c r="H171" s="16" t="s">
        <v>376</v>
      </c>
    </row>
    <row r="172" spans="1:8" ht="15" customHeight="1" x14ac:dyDescent="0.4">
      <c r="A172" s="16" t="s">
        <v>529</v>
      </c>
      <c r="B172" s="16" t="s">
        <v>524</v>
      </c>
      <c r="C172" s="16" t="s">
        <v>140</v>
      </c>
      <c r="D172" s="16" t="s">
        <v>525</v>
      </c>
      <c r="E172" s="16" t="s">
        <v>526</v>
      </c>
      <c r="F172" s="16" t="s">
        <v>527</v>
      </c>
      <c r="G172" s="16">
        <v>2007</v>
      </c>
      <c r="H172" s="16" t="s">
        <v>376</v>
      </c>
    </row>
    <row r="173" spans="1:8" ht="15" customHeight="1" x14ac:dyDescent="0.4">
      <c r="A173" s="16" t="s">
        <v>530</v>
      </c>
      <c r="B173" s="16" t="s">
        <v>531</v>
      </c>
      <c r="C173" s="16" t="s">
        <v>140</v>
      </c>
      <c r="D173" s="16" t="s">
        <v>525</v>
      </c>
      <c r="E173" s="16" t="s">
        <v>526</v>
      </c>
      <c r="F173" s="16" t="s">
        <v>527</v>
      </c>
      <c r="G173" s="16">
        <v>2002</v>
      </c>
      <c r="H173" s="16" t="s">
        <v>376</v>
      </c>
    </row>
    <row r="174" spans="1:8" ht="15" customHeight="1" x14ac:dyDescent="0.4">
      <c r="A174" s="16" t="s">
        <v>532</v>
      </c>
      <c r="B174" s="16" t="s">
        <v>524</v>
      </c>
      <c r="C174" s="16" t="s">
        <v>140</v>
      </c>
      <c r="D174" s="16" t="s">
        <v>525</v>
      </c>
      <c r="E174" s="16" t="s">
        <v>526</v>
      </c>
      <c r="F174" s="16" t="s">
        <v>527</v>
      </c>
      <c r="G174" s="16">
        <v>2011</v>
      </c>
      <c r="H174" s="16" t="s">
        <v>376</v>
      </c>
    </row>
    <row r="175" spans="1:8" ht="15" customHeight="1" x14ac:dyDescent="0.4">
      <c r="A175" s="16" t="s">
        <v>533</v>
      </c>
      <c r="B175" s="16" t="s">
        <v>524</v>
      </c>
      <c r="C175" s="16" t="s">
        <v>140</v>
      </c>
      <c r="D175" s="16" t="s">
        <v>525</v>
      </c>
      <c r="E175" s="16" t="s">
        <v>526</v>
      </c>
      <c r="F175" s="16" t="s">
        <v>527</v>
      </c>
      <c r="G175" s="16">
        <v>2011</v>
      </c>
      <c r="H175" s="16" t="s">
        <v>376</v>
      </c>
    </row>
    <row r="176" spans="1:8" ht="15" customHeight="1" x14ac:dyDescent="0.4">
      <c r="A176" s="16" t="s">
        <v>534</v>
      </c>
      <c r="B176" s="16" t="s">
        <v>535</v>
      </c>
      <c r="C176" s="16" t="s">
        <v>140</v>
      </c>
      <c r="D176" s="16" t="s">
        <v>525</v>
      </c>
      <c r="E176" s="16" t="s">
        <v>526</v>
      </c>
      <c r="F176" s="16" t="s">
        <v>527</v>
      </c>
      <c r="G176" s="16">
        <v>2017</v>
      </c>
      <c r="H176" s="16" t="s">
        <v>376</v>
      </c>
    </row>
    <row r="177" spans="1:8" ht="15" customHeight="1" x14ac:dyDescent="0.4">
      <c r="A177" s="16" t="s">
        <v>536</v>
      </c>
      <c r="B177" s="16" t="s">
        <v>535</v>
      </c>
      <c r="C177" s="16" t="s">
        <v>140</v>
      </c>
      <c r="D177" s="16" t="s">
        <v>525</v>
      </c>
      <c r="E177" s="16" t="s">
        <v>526</v>
      </c>
      <c r="F177" s="16" t="s">
        <v>527</v>
      </c>
      <c r="G177" s="16">
        <v>2017</v>
      </c>
      <c r="H177" s="16" t="s">
        <v>376</v>
      </c>
    </row>
    <row r="178" spans="1:8" ht="15" customHeight="1" x14ac:dyDescent="0.4">
      <c r="A178" s="16" t="s">
        <v>537</v>
      </c>
      <c r="B178" s="16" t="s">
        <v>535</v>
      </c>
      <c r="C178" s="16" t="s">
        <v>140</v>
      </c>
      <c r="D178" s="16" t="s">
        <v>525</v>
      </c>
      <c r="E178" s="16" t="s">
        <v>526</v>
      </c>
      <c r="F178" s="16" t="s">
        <v>527</v>
      </c>
      <c r="G178" s="16">
        <v>2017</v>
      </c>
      <c r="H178" s="16" t="s">
        <v>376</v>
      </c>
    </row>
    <row r="179" spans="1:8" ht="15" customHeight="1" x14ac:dyDescent="0.4">
      <c r="A179" s="16" t="s">
        <v>538</v>
      </c>
      <c r="B179" s="16" t="s">
        <v>535</v>
      </c>
      <c r="C179" s="16" t="s">
        <v>140</v>
      </c>
      <c r="D179" s="16" t="s">
        <v>525</v>
      </c>
      <c r="E179" s="16" t="s">
        <v>526</v>
      </c>
      <c r="F179" s="16" t="s">
        <v>527</v>
      </c>
      <c r="G179" s="16">
        <v>2017</v>
      </c>
      <c r="H179" s="16" t="s">
        <v>376</v>
      </c>
    </row>
    <row r="180" spans="1:8" ht="15" customHeight="1" x14ac:dyDescent="0.4">
      <c r="A180" s="16" t="s">
        <v>539</v>
      </c>
      <c r="B180" s="16" t="s">
        <v>535</v>
      </c>
      <c r="C180" s="16" t="s">
        <v>140</v>
      </c>
      <c r="D180" s="16" t="s">
        <v>525</v>
      </c>
      <c r="E180" s="16" t="s">
        <v>526</v>
      </c>
      <c r="F180" s="16" t="s">
        <v>527</v>
      </c>
      <c r="G180" s="16">
        <v>2017</v>
      </c>
      <c r="H180" s="16" t="s">
        <v>376</v>
      </c>
    </row>
    <row r="181" spans="1:8" ht="15" customHeight="1" x14ac:dyDescent="0.4">
      <c r="A181" s="16" t="s">
        <v>540</v>
      </c>
      <c r="B181" s="16" t="s">
        <v>535</v>
      </c>
      <c r="C181" s="16" t="s">
        <v>140</v>
      </c>
      <c r="D181" s="16" t="s">
        <v>525</v>
      </c>
      <c r="E181" s="16" t="s">
        <v>526</v>
      </c>
      <c r="F181" s="16" t="s">
        <v>527</v>
      </c>
      <c r="G181" s="16">
        <v>2017</v>
      </c>
      <c r="H181" s="16" t="s">
        <v>376</v>
      </c>
    </row>
    <row r="182" spans="1:8" ht="15" customHeight="1" x14ac:dyDescent="0.4">
      <c r="A182" s="16" t="s">
        <v>541</v>
      </c>
      <c r="B182" s="16" t="s">
        <v>535</v>
      </c>
      <c r="C182" s="16" t="s">
        <v>140</v>
      </c>
      <c r="D182" s="16" t="s">
        <v>525</v>
      </c>
      <c r="E182" s="16" t="s">
        <v>526</v>
      </c>
      <c r="F182" s="16" t="s">
        <v>527</v>
      </c>
      <c r="G182" s="16">
        <v>2017</v>
      </c>
      <c r="H182" s="16" t="s">
        <v>376</v>
      </c>
    </row>
    <row r="183" spans="1:8" ht="15" customHeight="1" x14ac:dyDescent="0.4">
      <c r="A183" s="16" t="s">
        <v>542</v>
      </c>
      <c r="B183" s="16" t="s">
        <v>535</v>
      </c>
      <c r="C183" s="16" t="s">
        <v>140</v>
      </c>
      <c r="D183" s="16" t="s">
        <v>525</v>
      </c>
      <c r="E183" s="16" t="s">
        <v>526</v>
      </c>
      <c r="F183" s="16" t="s">
        <v>527</v>
      </c>
      <c r="G183" s="16">
        <v>2017</v>
      </c>
      <c r="H183" s="16" t="s">
        <v>376</v>
      </c>
    </row>
    <row r="184" spans="1:8" ht="15" customHeight="1" x14ac:dyDescent="0.4">
      <c r="A184" s="16" t="s">
        <v>543</v>
      </c>
      <c r="B184" s="16" t="s">
        <v>535</v>
      </c>
      <c r="C184" s="16" t="s">
        <v>140</v>
      </c>
      <c r="D184" s="16" t="s">
        <v>525</v>
      </c>
      <c r="E184" s="16" t="s">
        <v>526</v>
      </c>
      <c r="F184" s="16" t="s">
        <v>527</v>
      </c>
      <c r="G184" s="16">
        <v>2017</v>
      </c>
      <c r="H184" s="16" t="s">
        <v>376</v>
      </c>
    </row>
    <row r="185" spans="1:8" ht="15" customHeight="1" x14ac:dyDescent="0.4">
      <c r="A185" s="16" t="s">
        <v>544</v>
      </c>
      <c r="B185" s="16" t="s">
        <v>545</v>
      </c>
      <c r="C185" s="16" t="s">
        <v>140</v>
      </c>
      <c r="D185" s="16" t="s">
        <v>546</v>
      </c>
      <c r="E185" s="16" t="s">
        <v>526</v>
      </c>
      <c r="F185" s="16" t="s">
        <v>527</v>
      </c>
      <c r="G185" s="16">
        <v>2017</v>
      </c>
      <c r="H185" s="16" t="s">
        <v>376</v>
      </c>
    </row>
    <row r="186" spans="1:8" ht="15" customHeight="1" x14ac:dyDescent="0.4">
      <c r="A186" s="16" t="s">
        <v>547</v>
      </c>
      <c r="B186" s="16" t="s">
        <v>545</v>
      </c>
      <c r="C186" s="16" t="s">
        <v>140</v>
      </c>
      <c r="D186" s="16" t="s">
        <v>546</v>
      </c>
      <c r="E186" s="16" t="s">
        <v>526</v>
      </c>
      <c r="F186" s="16" t="s">
        <v>527</v>
      </c>
      <c r="G186" s="16">
        <v>2017</v>
      </c>
      <c r="H186" s="16" t="s">
        <v>376</v>
      </c>
    </row>
    <row r="187" spans="1:8" ht="15" customHeight="1" x14ac:dyDescent="0.4">
      <c r="A187" s="16" t="s">
        <v>548</v>
      </c>
      <c r="B187" s="16" t="s">
        <v>545</v>
      </c>
      <c r="C187" s="16" t="s">
        <v>140</v>
      </c>
      <c r="D187" s="16" t="s">
        <v>546</v>
      </c>
      <c r="E187" s="16" t="s">
        <v>526</v>
      </c>
      <c r="F187" s="16" t="s">
        <v>527</v>
      </c>
      <c r="G187" s="16">
        <v>2017</v>
      </c>
      <c r="H187" s="16" t="s">
        <v>376</v>
      </c>
    </row>
    <row r="188" spans="1:8" ht="15" customHeight="1" x14ac:dyDescent="0.4">
      <c r="A188" s="16" t="s">
        <v>549</v>
      </c>
      <c r="B188" s="16" t="s">
        <v>545</v>
      </c>
      <c r="C188" s="16" t="s">
        <v>140</v>
      </c>
      <c r="D188" s="16" t="s">
        <v>546</v>
      </c>
      <c r="E188" s="16" t="s">
        <v>526</v>
      </c>
      <c r="F188" s="16" t="s">
        <v>527</v>
      </c>
      <c r="G188" s="16">
        <v>2017</v>
      </c>
      <c r="H188" s="16" t="s">
        <v>376</v>
      </c>
    </row>
    <row r="189" spans="1:8" ht="15" customHeight="1" x14ac:dyDescent="0.4">
      <c r="A189" s="16" t="s">
        <v>550</v>
      </c>
      <c r="B189" s="16" t="s">
        <v>551</v>
      </c>
      <c r="C189" s="16" t="s">
        <v>140</v>
      </c>
      <c r="D189" s="16" t="s">
        <v>552</v>
      </c>
      <c r="E189" s="16" t="s">
        <v>184</v>
      </c>
      <c r="F189" s="16" t="s">
        <v>527</v>
      </c>
      <c r="G189" s="16">
        <v>2017</v>
      </c>
      <c r="H189" s="16" t="s">
        <v>376</v>
      </c>
    </row>
    <row r="190" spans="1:8" ht="15" customHeight="1" x14ac:dyDescent="0.4">
      <c r="A190" s="16" t="s">
        <v>553</v>
      </c>
      <c r="B190" s="16" t="s">
        <v>535</v>
      </c>
      <c r="C190" s="16" t="s">
        <v>140</v>
      </c>
      <c r="D190" s="16" t="s">
        <v>525</v>
      </c>
      <c r="E190" s="16" t="s">
        <v>526</v>
      </c>
      <c r="F190" s="16" t="s">
        <v>527</v>
      </c>
      <c r="G190" s="16">
        <v>2017</v>
      </c>
      <c r="H190" s="16" t="s">
        <v>376</v>
      </c>
    </row>
    <row r="191" spans="1:8" ht="15" customHeight="1" x14ac:dyDescent="0.4">
      <c r="A191" s="16" t="s">
        <v>554</v>
      </c>
      <c r="B191" s="16" t="s">
        <v>535</v>
      </c>
      <c r="C191" s="16" t="s">
        <v>140</v>
      </c>
      <c r="D191" s="16" t="s">
        <v>525</v>
      </c>
      <c r="E191" s="16" t="s">
        <v>526</v>
      </c>
      <c r="F191" s="16" t="s">
        <v>527</v>
      </c>
      <c r="G191" s="16">
        <v>2017</v>
      </c>
      <c r="H191" s="16" t="s">
        <v>376</v>
      </c>
    </row>
    <row r="192" spans="1:8" ht="15" customHeight="1" x14ac:dyDescent="0.4">
      <c r="A192" s="16" t="s">
        <v>555</v>
      </c>
      <c r="B192" s="16" t="s">
        <v>535</v>
      </c>
      <c r="C192" s="16" t="s">
        <v>140</v>
      </c>
      <c r="D192" s="16" t="s">
        <v>525</v>
      </c>
      <c r="E192" s="16" t="s">
        <v>526</v>
      </c>
      <c r="F192" s="16" t="s">
        <v>527</v>
      </c>
      <c r="G192" s="16">
        <v>2017</v>
      </c>
      <c r="H192" s="16" t="s">
        <v>376</v>
      </c>
    </row>
    <row r="193" spans="1:8" ht="15" customHeight="1" x14ac:dyDescent="0.4">
      <c r="A193" s="16" t="s">
        <v>556</v>
      </c>
      <c r="B193" s="16" t="s">
        <v>535</v>
      </c>
      <c r="C193" s="16" t="s">
        <v>140</v>
      </c>
      <c r="D193" s="16" t="s">
        <v>525</v>
      </c>
      <c r="E193" s="16" t="s">
        <v>526</v>
      </c>
      <c r="F193" s="16" t="s">
        <v>527</v>
      </c>
      <c r="G193" s="16">
        <v>2017</v>
      </c>
      <c r="H193" s="16" t="s">
        <v>376</v>
      </c>
    </row>
    <row r="194" spans="1:8" ht="15" customHeight="1" x14ac:dyDescent="0.4">
      <c r="A194" s="16" t="s">
        <v>557</v>
      </c>
      <c r="B194" s="16" t="s">
        <v>535</v>
      </c>
      <c r="C194" s="16" t="s">
        <v>140</v>
      </c>
      <c r="D194" s="16" t="s">
        <v>525</v>
      </c>
      <c r="E194" s="16" t="s">
        <v>526</v>
      </c>
      <c r="F194" s="16" t="s">
        <v>527</v>
      </c>
      <c r="G194" s="16">
        <v>2017</v>
      </c>
      <c r="H194" s="16" t="s">
        <v>376</v>
      </c>
    </row>
    <row r="195" spans="1:8" ht="15" customHeight="1" x14ac:dyDescent="0.4">
      <c r="A195" s="16" t="s">
        <v>558</v>
      </c>
      <c r="B195" s="16" t="s">
        <v>535</v>
      </c>
      <c r="C195" s="16" t="s">
        <v>140</v>
      </c>
      <c r="D195" s="16" t="s">
        <v>525</v>
      </c>
      <c r="E195" s="16" t="s">
        <v>526</v>
      </c>
      <c r="F195" s="16" t="s">
        <v>527</v>
      </c>
      <c r="G195" s="16">
        <v>2017</v>
      </c>
      <c r="H195" s="16" t="s">
        <v>376</v>
      </c>
    </row>
    <row r="196" spans="1:8" ht="15" customHeight="1" x14ac:dyDescent="0.4">
      <c r="A196" s="16" t="s">
        <v>559</v>
      </c>
      <c r="B196" s="16" t="s">
        <v>535</v>
      </c>
      <c r="C196" s="16" t="s">
        <v>140</v>
      </c>
      <c r="D196" s="16" t="s">
        <v>525</v>
      </c>
      <c r="E196" s="16" t="s">
        <v>526</v>
      </c>
      <c r="F196" s="16" t="s">
        <v>527</v>
      </c>
      <c r="G196" s="16">
        <v>2017</v>
      </c>
      <c r="H196" s="16" t="s">
        <v>376</v>
      </c>
    </row>
    <row r="197" spans="1:8" ht="15" customHeight="1" x14ac:dyDescent="0.4">
      <c r="A197" s="16" t="s">
        <v>560</v>
      </c>
      <c r="B197" s="16" t="s">
        <v>535</v>
      </c>
      <c r="C197" s="16" t="s">
        <v>140</v>
      </c>
      <c r="D197" s="16" t="s">
        <v>525</v>
      </c>
      <c r="E197" s="16" t="s">
        <v>526</v>
      </c>
      <c r="F197" s="16" t="s">
        <v>527</v>
      </c>
      <c r="G197" s="16">
        <v>2017</v>
      </c>
      <c r="H197" s="16" t="s">
        <v>376</v>
      </c>
    </row>
    <row r="198" spans="1:8" ht="15" customHeight="1" x14ac:dyDescent="0.4">
      <c r="A198" s="16" t="s">
        <v>561</v>
      </c>
      <c r="B198" s="16" t="s">
        <v>535</v>
      </c>
      <c r="C198" s="16" t="s">
        <v>140</v>
      </c>
      <c r="D198" s="16" t="s">
        <v>525</v>
      </c>
      <c r="E198" s="16" t="s">
        <v>526</v>
      </c>
      <c r="F198" s="16" t="s">
        <v>527</v>
      </c>
      <c r="G198" s="16">
        <v>2017</v>
      </c>
      <c r="H198" s="16" t="s">
        <v>376</v>
      </c>
    </row>
    <row r="199" spans="1:8" ht="15" customHeight="1" x14ac:dyDescent="0.4">
      <c r="A199" s="16" t="s">
        <v>562</v>
      </c>
      <c r="B199" s="16" t="s">
        <v>535</v>
      </c>
      <c r="C199" s="16" t="s">
        <v>140</v>
      </c>
      <c r="D199" s="16" t="s">
        <v>525</v>
      </c>
      <c r="E199" s="16" t="s">
        <v>526</v>
      </c>
      <c r="F199" s="16" t="s">
        <v>527</v>
      </c>
      <c r="G199" s="16">
        <v>2017</v>
      </c>
      <c r="H199" s="16" t="s">
        <v>376</v>
      </c>
    </row>
    <row r="200" spans="1:8" ht="15" customHeight="1" x14ac:dyDescent="0.4">
      <c r="A200" s="16" t="s">
        <v>563</v>
      </c>
      <c r="B200" s="16" t="s">
        <v>535</v>
      </c>
      <c r="C200" s="16" t="s">
        <v>140</v>
      </c>
      <c r="D200" s="16" t="s">
        <v>525</v>
      </c>
      <c r="E200" s="16" t="s">
        <v>526</v>
      </c>
      <c r="F200" s="16" t="s">
        <v>527</v>
      </c>
      <c r="G200" s="16">
        <v>2017</v>
      </c>
      <c r="H200" s="16" t="s">
        <v>376</v>
      </c>
    </row>
    <row r="201" spans="1:8" ht="15" customHeight="1" x14ac:dyDescent="0.4">
      <c r="A201" s="16" t="s">
        <v>564</v>
      </c>
      <c r="B201" s="16" t="s">
        <v>545</v>
      </c>
      <c r="C201" s="16" t="s">
        <v>140</v>
      </c>
      <c r="D201" s="16" t="s">
        <v>546</v>
      </c>
      <c r="E201" s="16" t="s">
        <v>526</v>
      </c>
      <c r="F201" s="16" t="s">
        <v>527</v>
      </c>
      <c r="G201" s="16">
        <v>2021</v>
      </c>
      <c r="H201" s="16" t="s">
        <v>376</v>
      </c>
    </row>
    <row r="202" spans="1:8" ht="15" customHeight="1" x14ac:dyDescent="0.4">
      <c r="A202" s="16" t="s">
        <v>565</v>
      </c>
      <c r="B202" s="16" t="s">
        <v>545</v>
      </c>
      <c r="C202" s="16" t="s">
        <v>140</v>
      </c>
      <c r="D202" s="16" t="s">
        <v>546</v>
      </c>
      <c r="E202" s="16" t="s">
        <v>526</v>
      </c>
      <c r="F202" s="16" t="s">
        <v>527</v>
      </c>
      <c r="G202" s="16">
        <v>2021</v>
      </c>
      <c r="H202" s="16" t="s">
        <v>376</v>
      </c>
    </row>
    <row r="203" spans="1:8" ht="15" customHeight="1" x14ac:dyDescent="0.4">
      <c r="A203" s="16" t="s">
        <v>566</v>
      </c>
      <c r="B203" s="16" t="s">
        <v>545</v>
      </c>
      <c r="C203" s="16" t="s">
        <v>140</v>
      </c>
      <c r="D203" s="16" t="s">
        <v>546</v>
      </c>
      <c r="E203" s="16" t="s">
        <v>526</v>
      </c>
      <c r="F203" s="16" t="s">
        <v>527</v>
      </c>
      <c r="G203" s="16">
        <v>2021</v>
      </c>
      <c r="H203" s="16" t="s">
        <v>376</v>
      </c>
    </row>
    <row r="204" spans="1:8" ht="15" customHeight="1" x14ac:dyDescent="0.4">
      <c r="A204" s="16" t="s">
        <v>567</v>
      </c>
      <c r="B204" s="16" t="s">
        <v>545</v>
      </c>
      <c r="C204" s="16" t="s">
        <v>140</v>
      </c>
      <c r="D204" s="16" t="s">
        <v>546</v>
      </c>
      <c r="E204" s="16" t="s">
        <v>526</v>
      </c>
      <c r="F204" s="16" t="s">
        <v>527</v>
      </c>
      <c r="G204" s="16">
        <v>2021</v>
      </c>
      <c r="H204" s="16" t="s">
        <v>376</v>
      </c>
    </row>
    <row r="205" spans="1:8" ht="15" customHeight="1" x14ac:dyDescent="0.4">
      <c r="A205" s="16" t="s">
        <v>568</v>
      </c>
      <c r="B205" s="16" t="s">
        <v>545</v>
      </c>
      <c r="C205" s="16" t="s">
        <v>140</v>
      </c>
      <c r="D205" s="16" t="s">
        <v>546</v>
      </c>
      <c r="E205" s="16" t="s">
        <v>526</v>
      </c>
      <c r="F205" s="16" t="s">
        <v>527</v>
      </c>
      <c r="G205" s="16">
        <v>2021</v>
      </c>
      <c r="H205" s="16" t="s">
        <v>376</v>
      </c>
    </row>
    <row r="206" spans="1:8" ht="15" customHeight="1" x14ac:dyDescent="0.4">
      <c r="A206" s="16" t="s">
        <v>569</v>
      </c>
      <c r="B206" s="16" t="s">
        <v>545</v>
      </c>
      <c r="C206" s="16" t="s">
        <v>140</v>
      </c>
      <c r="D206" s="16" t="s">
        <v>546</v>
      </c>
      <c r="E206" s="16" t="s">
        <v>526</v>
      </c>
      <c r="F206" s="16" t="s">
        <v>527</v>
      </c>
      <c r="G206" s="16">
        <v>2021</v>
      </c>
      <c r="H206" s="16" t="s">
        <v>376</v>
      </c>
    </row>
    <row r="207" spans="1:8" ht="15" customHeight="1" x14ac:dyDescent="0.4">
      <c r="A207" s="16" t="s">
        <v>570</v>
      </c>
      <c r="B207" s="16" t="s">
        <v>545</v>
      </c>
      <c r="C207" s="16" t="s">
        <v>140</v>
      </c>
      <c r="D207" s="16" t="s">
        <v>546</v>
      </c>
      <c r="E207" s="16" t="s">
        <v>526</v>
      </c>
      <c r="F207" s="16" t="s">
        <v>527</v>
      </c>
      <c r="G207" s="16">
        <v>2021</v>
      </c>
      <c r="H207" s="16" t="s">
        <v>376</v>
      </c>
    </row>
    <row r="208" spans="1:8" ht="15" customHeight="1" x14ac:dyDescent="0.4">
      <c r="A208" s="16" t="s">
        <v>571</v>
      </c>
      <c r="B208" s="16" t="s">
        <v>551</v>
      </c>
      <c r="C208" s="16" t="s">
        <v>140</v>
      </c>
      <c r="D208" s="16" t="s">
        <v>552</v>
      </c>
      <c r="E208" s="16" t="s">
        <v>526</v>
      </c>
      <c r="F208" s="16" t="s">
        <v>527</v>
      </c>
      <c r="G208" s="16">
        <v>2021</v>
      </c>
      <c r="H208" s="16" t="s">
        <v>376</v>
      </c>
    </row>
    <row r="209" spans="1:8" ht="15" customHeight="1" x14ac:dyDescent="0.4">
      <c r="A209" s="16" t="s">
        <v>572</v>
      </c>
      <c r="B209" s="16" t="s">
        <v>551</v>
      </c>
      <c r="C209" s="16" t="s">
        <v>140</v>
      </c>
      <c r="D209" s="16" t="s">
        <v>552</v>
      </c>
      <c r="E209" s="16" t="s">
        <v>184</v>
      </c>
      <c r="F209" s="16" t="s">
        <v>527</v>
      </c>
      <c r="G209" s="16">
        <v>2021</v>
      </c>
      <c r="H209" s="16" t="s">
        <v>376</v>
      </c>
    </row>
    <row r="210" spans="1:8" ht="15" customHeight="1" x14ac:dyDescent="0.4">
      <c r="A210" s="16" t="s">
        <v>573</v>
      </c>
      <c r="B210" s="16" t="s">
        <v>551</v>
      </c>
      <c r="C210" s="16" t="s">
        <v>140</v>
      </c>
      <c r="D210" s="16" t="s">
        <v>552</v>
      </c>
      <c r="E210" s="16" t="s">
        <v>184</v>
      </c>
      <c r="F210" s="16" t="s">
        <v>527</v>
      </c>
      <c r="G210" s="16">
        <v>2021</v>
      </c>
      <c r="H210" s="16" t="s">
        <v>376</v>
      </c>
    </row>
    <row r="211" spans="1:8" ht="15" customHeight="1" x14ac:dyDescent="0.4">
      <c r="A211" s="16" t="s">
        <v>574</v>
      </c>
      <c r="B211" s="16" t="s">
        <v>551</v>
      </c>
      <c r="C211" s="16" t="s">
        <v>140</v>
      </c>
      <c r="D211" s="16" t="s">
        <v>552</v>
      </c>
      <c r="E211" s="16" t="s">
        <v>184</v>
      </c>
      <c r="F211" s="16" t="s">
        <v>527</v>
      </c>
      <c r="G211" s="16">
        <v>2021</v>
      </c>
      <c r="H211" s="16" t="s">
        <v>376</v>
      </c>
    </row>
    <row r="212" spans="1:8" ht="15" customHeight="1" x14ac:dyDescent="0.4">
      <c r="A212" s="16" t="s">
        <v>575</v>
      </c>
      <c r="B212" s="16" t="s">
        <v>551</v>
      </c>
      <c r="C212" s="16" t="s">
        <v>140</v>
      </c>
      <c r="D212" s="16" t="s">
        <v>552</v>
      </c>
      <c r="E212" s="16" t="s">
        <v>184</v>
      </c>
      <c r="F212" s="16" t="s">
        <v>527</v>
      </c>
      <c r="G212" s="16">
        <v>2021</v>
      </c>
      <c r="H212" s="16" t="s">
        <v>376</v>
      </c>
    </row>
    <row r="213" spans="1:8" ht="15" customHeight="1" x14ac:dyDescent="0.4">
      <c r="A213" s="16" t="s">
        <v>576</v>
      </c>
      <c r="B213" s="16" t="s">
        <v>551</v>
      </c>
      <c r="C213" s="16" t="s">
        <v>140</v>
      </c>
      <c r="D213" s="16" t="s">
        <v>552</v>
      </c>
      <c r="E213" s="16" t="s">
        <v>184</v>
      </c>
      <c r="F213" s="16" t="s">
        <v>527</v>
      </c>
      <c r="G213" s="16">
        <v>2021</v>
      </c>
      <c r="H213" s="16" t="s">
        <v>376</v>
      </c>
    </row>
    <row r="214" spans="1:8" ht="15" customHeight="1" x14ac:dyDescent="0.4">
      <c r="A214" s="16" t="s">
        <v>577</v>
      </c>
      <c r="B214" s="16" t="s">
        <v>551</v>
      </c>
      <c r="C214" s="16" t="s">
        <v>140</v>
      </c>
      <c r="D214" s="16" t="s">
        <v>552</v>
      </c>
      <c r="E214" s="16" t="s">
        <v>184</v>
      </c>
      <c r="F214" s="16" t="s">
        <v>527</v>
      </c>
      <c r="G214" s="16">
        <v>2021</v>
      </c>
      <c r="H214" s="16" t="s">
        <v>376</v>
      </c>
    </row>
    <row r="215" spans="1:8" ht="15" customHeight="1" x14ac:dyDescent="0.4">
      <c r="A215" s="16" t="s">
        <v>578</v>
      </c>
      <c r="B215" s="16" t="s">
        <v>551</v>
      </c>
      <c r="C215" s="16" t="s">
        <v>140</v>
      </c>
      <c r="D215" s="16" t="s">
        <v>552</v>
      </c>
      <c r="E215" s="16" t="s">
        <v>184</v>
      </c>
      <c r="F215" s="16" t="s">
        <v>527</v>
      </c>
      <c r="G215" s="16">
        <v>2021</v>
      </c>
      <c r="H215" s="16" t="s">
        <v>376</v>
      </c>
    </row>
    <row r="216" spans="1:8" ht="15" customHeight="1" x14ac:dyDescent="0.4">
      <c r="A216" s="16" t="s">
        <v>579</v>
      </c>
      <c r="B216" s="16" t="s">
        <v>551</v>
      </c>
      <c r="C216" s="16" t="s">
        <v>140</v>
      </c>
      <c r="D216" s="16" t="s">
        <v>552</v>
      </c>
      <c r="E216" s="16" t="s">
        <v>526</v>
      </c>
      <c r="F216" s="16" t="s">
        <v>527</v>
      </c>
      <c r="G216" s="16">
        <v>2021</v>
      </c>
      <c r="H216" s="16" t="s">
        <v>376</v>
      </c>
    </row>
    <row r="217" spans="1:8" ht="15" customHeight="1" x14ac:dyDescent="0.4">
      <c r="A217" s="16" t="s">
        <v>580</v>
      </c>
      <c r="B217" s="16" t="s">
        <v>551</v>
      </c>
      <c r="C217" s="16" t="s">
        <v>140</v>
      </c>
      <c r="D217" s="16" t="s">
        <v>552</v>
      </c>
      <c r="E217" s="16" t="s">
        <v>184</v>
      </c>
      <c r="F217" s="16" t="s">
        <v>527</v>
      </c>
      <c r="G217" s="16">
        <v>2021</v>
      </c>
      <c r="H217" s="16" t="s">
        <v>376</v>
      </c>
    </row>
    <row r="218" spans="1:8" ht="15" customHeight="1" x14ac:dyDescent="0.4">
      <c r="A218" s="16" t="s">
        <v>581</v>
      </c>
      <c r="B218" s="16" t="s">
        <v>551</v>
      </c>
      <c r="C218" s="16" t="s">
        <v>140</v>
      </c>
      <c r="D218" s="16" t="s">
        <v>552</v>
      </c>
      <c r="E218" s="16" t="s">
        <v>184</v>
      </c>
      <c r="F218" s="16" t="s">
        <v>527</v>
      </c>
      <c r="G218" s="16">
        <v>2021</v>
      </c>
      <c r="H218" s="16" t="s">
        <v>376</v>
      </c>
    </row>
    <row r="219" spans="1:8" ht="15" customHeight="1" x14ac:dyDescent="0.4">
      <c r="A219" s="16" t="s">
        <v>582</v>
      </c>
      <c r="B219" s="16" t="s">
        <v>551</v>
      </c>
      <c r="C219" s="16" t="s">
        <v>140</v>
      </c>
      <c r="D219" s="16" t="s">
        <v>552</v>
      </c>
      <c r="E219" s="16" t="s">
        <v>184</v>
      </c>
      <c r="F219" s="16" t="s">
        <v>527</v>
      </c>
      <c r="G219" s="16">
        <v>2021</v>
      </c>
      <c r="H219" s="16" t="s">
        <v>376</v>
      </c>
    </row>
    <row r="220" spans="1:8" ht="15" customHeight="1" x14ac:dyDescent="0.4">
      <c r="A220" s="16" t="s">
        <v>583</v>
      </c>
      <c r="B220" s="16" t="s">
        <v>551</v>
      </c>
      <c r="C220" s="16" t="s">
        <v>140</v>
      </c>
      <c r="D220" s="16" t="s">
        <v>552</v>
      </c>
      <c r="E220" s="16" t="s">
        <v>184</v>
      </c>
      <c r="F220" s="16" t="s">
        <v>527</v>
      </c>
      <c r="G220" s="16">
        <v>2021</v>
      </c>
      <c r="H220" s="16" t="s">
        <v>376</v>
      </c>
    </row>
    <row r="221" spans="1:8" ht="15" customHeight="1" x14ac:dyDescent="0.4">
      <c r="A221" s="16" t="s">
        <v>584</v>
      </c>
      <c r="B221" s="16" t="s">
        <v>551</v>
      </c>
      <c r="C221" s="16" t="s">
        <v>140</v>
      </c>
      <c r="D221" s="16" t="s">
        <v>552</v>
      </c>
      <c r="E221" s="16" t="s">
        <v>184</v>
      </c>
      <c r="F221" s="16" t="s">
        <v>527</v>
      </c>
      <c r="G221" s="16">
        <v>2021</v>
      </c>
      <c r="H221" s="16" t="s">
        <v>376</v>
      </c>
    </row>
    <row r="222" spans="1:8" ht="15" customHeight="1" x14ac:dyDescent="0.4">
      <c r="A222" s="16" t="s">
        <v>585</v>
      </c>
      <c r="B222" s="16" t="s">
        <v>551</v>
      </c>
      <c r="C222" s="16" t="s">
        <v>140</v>
      </c>
      <c r="D222" s="16" t="s">
        <v>552</v>
      </c>
      <c r="E222" s="16" t="s">
        <v>184</v>
      </c>
      <c r="F222" s="16" t="s">
        <v>527</v>
      </c>
      <c r="G222" s="16">
        <v>2021</v>
      </c>
      <c r="H222" s="16" t="s">
        <v>376</v>
      </c>
    </row>
    <row r="223" spans="1:8" ht="15" customHeight="1" x14ac:dyDescent="0.4">
      <c r="A223" s="16" t="s">
        <v>586</v>
      </c>
      <c r="B223" s="16" t="s">
        <v>551</v>
      </c>
      <c r="C223" s="16" t="s">
        <v>140</v>
      </c>
      <c r="D223" s="16" t="s">
        <v>552</v>
      </c>
      <c r="E223" s="16" t="s">
        <v>184</v>
      </c>
      <c r="F223" s="16" t="s">
        <v>527</v>
      </c>
      <c r="G223" s="16">
        <v>2021</v>
      </c>
      <c r="H223" s="16" t="s">
        <v>376</v>
      </c>
    </row>
    <row r="224" spans="1:8" ht="15" customHeight="1" x14ac:dyDescent="0.4">
      <c r="A224" s="16" t="s">
        <v>587</v>
      </c>
      <c r="B224" s="16" t="s">
        <v>588</v>
      </c>
      <c r="C224" s="16" t="s">
        <v>140</v>
      </c>
      <c r="D224" s="16" t="s">
        <v>552</v>
      </c>
      <c r="E224" s="16" t="s">
        <v>526</v>
      </c>
      <c r="F224" s="16" t="s">
        <v>527</v>
      </c>
      <c r="G224" s="16">
        <v>2021</v>
      </c>
      <c r="H224" s="16" t="s">
        <v>376</v>
      </c>
    </row>
    <row r="225" spans="1:8" ht="15" customHeight="1" x14ac:dyDescent="0.4">
      <c r="A225" s="16" t="s">
        <v>589</v>
      </c>
      <c r="B225" s="16" t="s">
        <v>588</v>
      </c>
      <c r="C225" s="16" t="s">
        <v>140</v>
      </c>
      <c r="D225" s="16" t="s">
        <v>552</v>
      </c>
      <c r="E225" s="16" t="s">
        <v>526</v>
      </c>
      <c r="F225" s="16" t="s">
        <v>527</v>
      </c>
      <c r="G225" s="16">
        <v>2021</v>
      </c>
      <c r="H225" s="16" t="s">
        <v>376</v>
      </c>
    </row>
    <row r="226" spans="1:8" ht="15" customHeight="1" x14ac:dyDescent="0.4">
      <c r="A226" s="16" t="s">
        <v>590</v>
      </c>
      <c r="B226" s="16" t="s">
        <v>588</v>
      </c>
      <c r="C226" s="16" t="s">
        <v>140</v>
      </c>
      <c r="D226" s="16" t="s">
        <v>552</v>
      </c>
      <c r="E226" s="16" t="s">
        <v>526</v>
      </c>
      <c r="F226" s="16" t="s">
        <v>527</v>
      </c>
      <c r="G226" s="16">
        <v>2021</v>
      </c>
      <c r="H226" s="16" t="s">
        <v>376</v>
      </c>
    </row>
    <row r="227" spans="1:8" ht="15" customHeight="1" x14ac:dyDescent="0.4">
      <c r="A227" s="16" t="s">
        <v>591</v>
      </c>
      <c r="B227" s="16" t="s">
        <v>588</v>
      </c>
      <c r="C227" s="16" t="s">
        <v>140</v>
      </c>
      <c r="D227" s="16" t="s">
        <v>552</v>
      </c>
      <c r="E227" s="16" t="s">
        <v>526</v>
      </c>
      <c r="F227" s="16" t="s">
        <v>527</v>
      </c>
      <c r="G227" s="16">
        <v>2021</v>
      </c>
      <c r="H227" s="16" t="s">
        <v>376</v>
      </c>
    </row>
    <row r="228" spans="1:8" ht="15" customHeight="1" x14ac:dyDescent="0.4">
      <c r="A228" s="16" t="s">
        <v>592</v>
      </c>
      <c r="B228" s="16" t="s">
        <v>588</v>
      </c>
      <c r="C228" s="16" t="s">
        <v>140</v>
      </c>
      <c r="D228" s="16" t="s">
        <v>552</v>
      </c>
      <c r="E228" s="16" t="s">
        <v>526</v>
      </c>
      <c r="F228" s="16" t="s">
        <v>527</v>
      </c>
      <c r="G228" s="16">
        <v>2021</v>
      </c>
      <c r="H228" s="16" t="s">
        <v>376</v>
      </c>
    </row>
    <row r="229" spans="1:8" ht="15" customHeight="1" x14ac:dyDescent="0.4">
      <c r="A229" s="16" t="s">
        <v>593</v>
      </c>
      <c r="B229" s="16" t="s">
        <v>588</v>
      </c>
      <c r="C229" s="16" t="s">
        <v>140</v>
      </c>
      <c r="D229" s="16" t="s">
        <v>552</v>
      </c>
      <c r="E229" s="16" t="s">
        <v>184</v>
      </c>
      <c r="F229" s="16" t="s">
        <v>527</v>
      </c>
      <c r="G229" s="16">
        <v>2021</v>
      </c>
      <c r="H229" s="16" t="s">
        <v>376</v>
      </c>
    </row>
    <row r="230" spans="1:8" ht="15" customHeight="1" x14ac:dyDescent="0.4">
      <c r="A230" s="16" t="s">
        <v>594</v>
      </c>
      <c r="B230" s="16" t="s">
        <v>588</v>
      </c>
      <c r="C230" s="16" t="s">
        <v>140</v>
      </c>
      <c r="D230" s="16" t="s">
        <v>552</v>
      </c>
      <c r="E230" s="16" t="s">
        <v>184</v>
      </c>
      <c r="F230" s="16" t="s">
        <v>527</v>
      </c>
      <c r="G230" s="16">
        <v>2021</v>
      </c>
      <c r="H230" s="16" t="s">
        <v>376</v>
      </c>
    </row>
    <row r="231" spans="1:8" ht="15" customHeight="1" x14ac:dyDescent="0.4">
      <c r="A231" s="16" t="s">
        <v>595</v>
      </c>
      <c r="B231" s="16" t="s">
        <v>596</v>
      </c>
      <c r="C231" s="16" t="s">
        <v>140</v>
      </c>
      <c r="D231" s="16" t="s">
        <v>525</v>
      </c>
      <c r="E231" s="16" t="s">
        <v>526</v>
      </c>
      <c r="F231" s="16" t="s">
        <v>527</v>
      </c>
      <c r="G231" s="16">
        <v>2002</v>
      </c>
      <c r="H231" s="16" t="s">
        <v>376</v>
      </c>
    </row>
    <row r="232" spans="1:8" ht="15" customHeight="1" x14ac:dyDescent="0.4">
      <c r="A232" s="16" t="s">
        <v>597</v>
      </c>
      <c r="B232" s="16" t="s">
        <v>598</v>
      </c>
      <c r="C232" s="16" t="s">
        <v>140</v>
      </c>
      <c r="D232" s="16" t="s">
        <v>552</v>
      </c>
      <c r="E232" s="16" t="s">
        <v>184</v>
      </c>
      <c r="F232" s="16" t="s">
        <v>527</v>
      </c>
      <c r="G232" s="16">
        <v>2023</v>
      </c>
      <c r="H232" s="16" t="s">
        <v>599</v>
      </c>
    </row>
    <row r="233" spans="1:8" ht="15" customHeight="1" x14ac:dyDescent="0.4">
      <c r="A233" s="16" t="s">
        <v>600</v>
      </c>
      <c r="B233" s="16" t="s">
        <v>598</v>
      </c>
      <c r="C233" s="16" t="s">
        <v>140</v>
      </c>
      <c r="D233" s="16" t="s">
        <v>552</v>
      </c>
      <c r="E233" s="16" t="s">
        <v>184</v>
      </c>
      <c r="F233" s="16" t="s">
        <v>527</v>
      </c>
      <c r="G233" s="16">
        <v>2023</v>
      </c>
      <c r="H233" s="16" t="s">
        <v>601</v>
      </c>
    </row>
    <row r="234" spans="1:8" ht="15" customHeight="1" x14ac:dyDescent="0.4">
      <c r="A234" s="16" t="s">
        <v>602</v>
      </c>
      <c r="B234" s="16" t="s">
        <v>598</v>
      </c>
      <c r="C234" s="16" t="s">
        <v>140</v>
      </c>
      <c r="D234" s="16" t="s">
        <v>552</v>
      </c>
      <c r="E234" s="16" t="s">
        <v>184</v>
      </c>
      <c r="F234" s="16" t="s">
        <v>527</v>
      </c>
      <c r="G234" s="16">
        <v>2023</v>
      </c>
      <c r="H234" s="16" t="s">
        <v>603</v>
      </c>
    </row>
    <row r="235" spans="1:8" ht="15" customHeight="1" x14ac:dyDescent="0.4">
      <c r="A235" s="16" t="s">
        <v>604</v>
      </c>
      <c r="B235" s="16" t="s">
        <v>598</v>
      </c>
      <c r="C235" s="16" t="s">
        <v>140</v>
      </c>
      <c r="D235" s="16" t="s">
        <v>552</v>
      </c>
      <c r="E235" s="16" t="s">
        <v>184</v>
      </c>
      <c r="F235" s="16" t="s">
        <v>527</v>
      </c>
      <c r="G235" s="16">
        <v>2023</v>
      </c>
      <c r="H235" s="16" t="s">
        <v>376</v>
      </c>
    </row>
    <row r="236" spans="1:8" ht="15" customHeight="1" x14ac:dyDescent="0.4">
      <c r="A236" s="16" t="s">
        <v>605</v>
      </c>
      <c r="B236" s="16" t="s">
        <v>598</v>
      </c>
      <c r="C236" s="16" t="s">
        <v>140</v>
      </c>
      <c r="D236" s="16" t="s">
        <v>552</v>
      </c>
      <c r="E236" s="16" t="s">
        <v>184</v>
      </c>
      <c r="F236" s="16" t="s">
        <v>527</v>
      </c>
      <c r="G236" s="16">
        <v>2023</v>
      </c>
      <c r="H236" s="16" t="s">
        <v>376</v>
      </c>
    </row>
    <row r="237" spans="1:8" ht="15" customHeight="1" x14ac:dyDescent="0.4">
      <c r="A237" s="16" t="s">
        <v>606</v>
      </c>
      <c r="B237" s="16" t="s">
        <v>598</v>
      </c>
      <c r="C237" s="16" t="s">
        <v>140</v>
      </c>
      <c r="D237" s="16" t="s">
        <v>552</v>
      </c>
      <c r="E237" s="16" t="s">
        <v>184</v>
      </c>
      <c r="F237" s="16" t="s">
        <v>527</v>
      </c>
      <c r="G237" s="16">
        <v>2023</v>
      </c>
      <c r="H237" s="16" t="s">
        <v>376</v>
      </c>
    </row>
    <row r="238" spans="1:8" ht="15" customHeight="1" x14ac:dyDescent="0.4">
      <c r="A238" s="16" t="s">
        <v>607</v>
      </c>
      <c r="B238" s="16" t="s">
        <v>598</v>
      </c>
      <c r="C238" s="16" t="s">
        <v>140</v>
      </c>
      <c r="D238" s="16" t="s">
        <v>552</v>
      </c>
      <c r="E238" s="16" t="s">
        <v>184</v>
      </c>
      <c r="F238" s="16" t="s">
        <v>527</v>
      </c>
      <c r="G238" s="16">
        <v>2023</v>
      </c>
      <c r="H238" s="16" t="s">
        <v>608</v>
      </c>
    </row>
    <row r="239" spans="1:8" ht="15" customHeight="1" x14ac:dyDescent="0.4">
      <c r="A239" s="16" t="s">
        <v>609</v>
      </c>
      <c r="B239" s="16" t="s">
        <v>598</v>
      </c>
      <c r="C239" s="16" t="s">
        <v>140</v>
      </c>
      <c r="D239" s="16" t="s">
        <v>552</v>
      </c>
      <c r="E239" s="16" t="s">
        <v>184</v>
      </c>
      <c r="F239" s="16" t="s">
        <v>527</v>
      </c>
      <c r="G239" s="16">
        <v>2023</v>
      </c>
      <c r="H239" s="16" t="s">
        <v>376</v>
      </c>
    </row>
    <row r="240" spans="1:8" ht="15" customHeight="1" x14ac:dyDescent="0.4">
      <c r="A240" s="16" t="s">
        <v>610</v>
      </c>
      <c r="B240" s="16" t="s">
        <v>598</v>
      </c>
      <c r="C240" s="16" t="s">
        <v>140</v>
      </c>
      <c r="D240" s="16" t="s">
        <v>552</v>
      </c>
      <c r="E240" s="16" t="s">
        <v>184</v>
      </c>
      <c r="F240" s="16" t="s">
        <v>527</v>
      </c>
      <c r="G240" s="16">
        <v>2023</v>
      </c>
      <c r="H240" s="16" t="s">
        <v>376</v>
      </c>
    </row>
    <row r="241" spans="1:8" ht="15" customHeight="1" x14ac:dyDescent="0.4">
      <c r="A241" s="16" t="s">
        <v>611</v>
      </c>
      <c r="B241" s="16" t="s">
        <v>598</v>
      </c>
      <c r="C241" s="16" t="s">
        <v>140</v>
      </c>
      <c r="D241" s="16" t="s">
        <v>552</v>
      </c>
      <c r="E241" s="16" t="s">
        <v>184</v>
      </c>
      <c r="F241" s="16" t="s">
        <v>527</v>
      </c>
      <c r="G241" s="16">
        <v>2023</v>
      </c>
      <c r="H241" s="16" t="s">
        <v>612</v>
      </c>
    </row>
    <row r="242" spans="1:8" ht="15" customHeight="1" x14ac:dyDescent="0.4">
      <c r="A242" s="16" t="s">
        <v>613</v>
      </c>
      <c r="B242" s="16" t="s">
        <v>598</v>
      </c>
      <c r="C242" s="16" t="s">
        <v>140</v>
      </c>
      <c r="D242" s="16" t="s">
        <v>552</v>
      </c>
      <c r="E242" s="16" t="s">
        <v>184</v>
      </c>
      <c r="F242" s="16" t="s">
        <v>527</v>
      </c>
      <c r="G242" s="16">
        <v>2023</v>
      </c>
      <c r="H242" s="16" t="s">
        <v>614</v>
      </c>
    </row>
    <row r="243" spans="1:8" ht="15" customHeight="1" x14ac:dyDescent="0.4">
      <c r="A243" s="16" t="s">
        <v>615</v>
      </c>
      <c r="B243" s="16" t="s">
        <v>616</v>
      </c>
      <c r="C243" s="16" t="s">
        <v>140</v>
      </c>
      <c r="D243" s="16" t="s">
        <v>546</v>
      </c>
      <c r="E243" s="16" t="s">
        <v>526</v>
      </c>
      <c r="F243" s="16" t="s">
        <v>527</v>
      </c>
      <c r="G243" s="16">
        <v>2023</v>
      </c>
      <c r="H243" s="16" t="s">
        <v>617</v>
      </c>
    </row>
    <row r="244" spans="1:8" ht="15" customHeight="1" x14ac:dyDescent="0.4">
      <c r="A244" s="16" t="s">
        <v>618</v>
      </c>
      <c r="B244" s="16" t="s">
        <v>616</v>
      </c>
      <c r="C244" s="16" t="s">
        <v>140</v>
      </c>
      <c r="D244" s="16" t="s">
        <v>546</v>
      </c>
      <c r="E244" s="16" t="s">
        <v>526</v>
      </c>
      <c r="F244" s="16" t="s">
        <v>527</v>
      </c>
      <c r="G244" s="16">
        <v>2023</v>
      </c>
      <c r="H244" s="16" t="s">
        <v>619</v>
      </c>
    </row>
    <row r="245" spans="1:8" ht="15" customHeight="1" x14ac:dyDescent="0.4">
      <c r="A245" s="16" t="s">
        <v>620</v>
      </c>
      <c r="B245" s="16" t="s">
        <v>616</v>
      </c>
      <c r="C245" s="16" t="s">
        <v>140</v>
      </c>
      <c r="D245" s="16" t="s">
        <v>546</v>
      </c>
      <c r="E245" s="16" t="s">
        <v>526</v>
      </c>
      <c r="F245" s="16" t="s">
        <v>527</v>
      </c>
      <c r="G245" s="16">
        <v>2023</v>
      </c>
      <c r="H245" s="16" t="s">
        <v>621</v>
      </c>
    </row>
    <row r="246" spans="1:8" ht="15" customHeight="1" x14ac:dyDescent="0.4">
      <c r="A246" s="16" t="s">
        <v>622</v>
      </c>
      <c r="B246" s="16" t="s">
        <v>616</v>
      </c>
      <c r="C246" s="16" t="s">
        <v>140</v>
      </c>
      <c r="D246" s="16" t="s">
        <v>546</v>
      </c>
      <c r="E246" s="16" t="s">
        <v>526</v>
      </c>
      <c r="F246" s="16" t="s">
        <v>527</v>
      </c>
      <c r="G246" s="16">
        <v>2023</v>
      </c>
      <c r="H246" s="16" t="s">
        <v>623</v>
      </c>
    </row>
    <row r="247" spans="1:8" ht="15" customHeight="1" x14ac:dyDescent="0.4">
      <c r="A247" s="16" t="s">
        <v>624</v>
      </c>
      <c r="B247" s="16" t="s">
        <v>616</v>
      </c>
      <c r="C247" s="16" t="s">
        <v>140</v>
      </c>
      <c r="D247" s="16" t="s">
        <v>546</v>
      </c>
      <c r="E247" s="16" t="s">
        <v>526</v>
      </c>
      <c r="F247" s="16" t="s">
        <v>527</v>
      </c>
      <c r="G247" s="16">
        <v>2023</v>
      </c>
      <c r="H247" s="16" t="s">
        <v>625</v>
      </c>
    </row>
    <row r="248" spans="1:8" ht="15" customHeight="1" x14ac:dyDescent="0.4">
      <c r="A248" s="16" t="s">
        <v>626</v>
      </c>
      <c r="B248" s="16" t="s">
        <v>616</v>
      </c>
      <c r="C248" s="16" t="s">
        <v>140</v>
      </c>
      <c r="D248" s="16" t="s">
        <v>546</v>
      </c>
      <c r="E248" s="16" t="s">
        <v>526</v>
      </c>
      <c r="F248" s="16" t="s">
        <v>527</v>
      </c>
      <c r="G248" s="16">
        <v>2023</v>
      </c>
      <c r="H248" s="16" t="s">
        <v>627</v>
      </c>
    </row>
    <row r="249" spans="1:8" ht="15" customHeight="1" x14ac:dyDescent="0.4">
      <c r="A249" s="16" t="s">
        <v>628</v>
      </c>
      <c r="B249" s="16" t="s">
        <v>616</v>
      </c>
      <c r="C249" s="16" t="s">
        <v>140</v>
      </c>
      <c r="D249" s="16" t="s">
        <v>546</v>
      </c>
      <c r="E249" s="16" t="s">
        <v>526</v>
      </c>
      <c r="F249" s="16" t="s">
        <v>527</v>
      </c>
      <c r="G249" s="16">
        <v>2023</v>
      </c>
      <c r="H249" s="16" t="s">
        <v>629</v>
      </c>
    </row>
    <row r="250" spans="1:8" ht="15" customHeight="1" x14ac:dyDescent="0.4">
      <c r="A250" s="16" t="s">
        <v>630</v>
      </c>
      <c r="B250" s="16" t="s">
        <v>616</v>
      </c>
      <c r="C250" s="16" t="s">
        <v>140</v>
      </c>
      <c r="D250" s="16" t="s">
        <v>546</v>
      </c>
      <c r="E250" s="16" t="s">
        <v>526</v>
      </c>
      <c r="F250" s="16" t="s">
        <v>527</v>
      </c>
      <c r="G250" s="16">
        <v>2023</v>
      </c>
      <c r="H250" s="16" t="s">
        <v>631</v>
      </c>
    </row>
    <row r="251" spans="1:8" ht="15" customHeight="1" x14ac:dyDescent="0.4">
      <c r="A251" s="16" t="s">
        <v>632</v>
      </c>
      <c r="B251" s="16" t="s">
        <v>616</v>
      </c>
      <c r="C251" s="16" t="s">
        <v>140</v>
      </c>
      <c r="D251" s="16" t="s">
        <v>546</v>
      </c>
      <c r="E251" s="16" t="s">
        <v>526</v>
      </c>
      <c r="F251" s="16" t="s">
        <v>527</v>
      </c>
      <c r="G251" s="16">
        <v>2023</v>
      </c>
      <c r="H251" s="16" t="s">
        <v>633</v>
      </c>
    </row>
    <row r="252" spans="1:8" ht="15" customHeight="1" x14ac:dyDescent="0.4">
      <c r="A252" s="16" t="s">
        <v>634</v>
      </c>
      <c r="B252" s="16" t="s">
        <v>616</v>
      </c>
      <c r="C252" s="16" t="s">
        <v>140</v>
      </c>
      <c r="D252" s="16" t="s">
        <v>546</v>
      </c>
      <c r="E252" s="16" t="s">
        <v>526</v>
      </c>
      <c r="F252" s="16" t="s">
        <v>527</v>
      </c>
      <c r="G252" s="16">
        <v>2023</v>
      </c>
      <c r="H252" s="16" t="s">
        <v>635</v>
      </c>
    </row>
    <row r="253" spans="1:8" ht="15" customHeight="1" x14ac:dyDescent="0.4">
      <c r="A253" s="16" t="s">
        <v>636</v>
      </c>
      <c r="B253" s="16" t="s">
        <v>616</v>
      </c>
      <c r="C253" s="16" t="s">
        <v>140</v>
      </c>
      <c r="D253" s="16" t="s">
        <v>546</v>
      </c>
      <c r="E253" s="16" t="s">
        <v>526</v>
      </c>
      <c r="F253" s="16" t="s">
        <v>527</v>
      </c>
      <c r="G253" s="16">
        <v>2023</v>
      </c>
      <c r="H253" s="16" t="s">
        <v>637</v>
      </c>
    </row>
    <row r="254" spans="1:8" ht="15" customHeight="1" x14ac:dyDescent="0.4">
      <c r="A254" s="16" t="s">
        <v>638</v>
      </c>
      <c r="B254" s="16" t="s">
        <v>616</v>
      </c>
      <c r="C254" s="16" t="s">
        <v>140</v>
      </c>
      <c r="D254" s="16" t="s">
        <v>546</v>
      </c>
      <c r="E254" s="16" t="s">
        <v>526</v>
      </c>
      <c r="F254" s="16" t="s">
        <v>527</v>
      </c>
      <c r="G254" s="16">
        <v>2023</v>
      </c>
      <c r="H254" s="16" t="s">
        <v>376</v>
      </c>
    </row>
    <row r="255" spans="1:8" ht="15" customHeight="1" x14ac:dyDescent="0.4">
      <c r="A255" s="16" t="s">
        <v>639</v>
      </c>
      <c r="B255" s="16" t="s">
        <v>616</v>
      </c>
      <c r="C255" s="16" t="s">
        <v>140</v>
      </c>
      <c r="D255" s="16" t="s">
        <v>546</v>
      </c>
      <c r="E255" s="16" t="s">
        <v>526</v>
      </c>
      <c r="F255" s="16" t="s">
        <v>527</v>
      </c>
      <c r="G255" s="16">
        <v>2023</v>
      </c>
      <c r="H255" s="16" t="s">
        <v>640</v>
      </c>
    </row>
    <row r="256" spans="1:8" ht="15" customHeight="1" x14ac:dyDescent="0.4">
      <c r="A256" s="16" t="s">
        <v>641</v>
      </c>
      <c r="B256" s="16" t="s">
        <v>616</v>
      </c>
      <c r="C256" s="16" t="s">
        <v>140</v>
      </c>
      <c r="D256" s="16" t="s">
        <v>546</v>
      </c>
      <c r="E256" s="16" t="s">
        <v>526</v>
      </c>
      <c r="F256" s="16" t="s">
        <v>527</v>
      </c>
      <c r="G256" s="16">
        <v>2023</v>
      </c>
      <c r="H256" s="16" t="s">
        <v>642</v>
      </c>
    </row>
    <row r="257" spans="1:8" ht="15" customHeight="1" x14ac:dyDescent="0.4">
      <c r="A257" s="16" t="s">
        <v>643</v>
      </c>
      <c r="B257" s="16" t="s">
        <v>644</v>
      </c>
      <c r="C257" s="16" t="s">
        <v>140</v>
      </c>
      <c r="D257" s="16" t="s">
        <v>552</v>
      </c>
      <c r="E257" s="16" t="s">
        <v>184</v>
      </c>
      <c r="F257" s="16" t="s">
        <v>527</v>
      </c>
      <c r="G257" s="16">
        <v>2025</v>
      </c>
      <c r="H257" s="16" t="s">
        <v>376</v>
      </c>
    </row>
    <row r="258" spans="1:8" ht="15" customHeight="1" x14ac:dyDescent="0.4">
      <c r="A258" s="16" t="s">
        <v>645</v>
      </c>
      <c r="B258" s="16" t="s">
        <v>644</v>
      </c>
      <c r="C258" s="16" t="s">
        <v>140</v>
      </c>
      <c r="D258" s="16" t="s">
        <v>552</v>
      </c>
      <c r="E258" s="16" t="s">
        <v>184</v>
      </c>
      <c r="F258" s="16" t="s">
        <v>527</v>
      </c>
      <c r="G258" s="16">
        <v>2025</v>
      </c>
      <c r="H258" s="16" t="s">
        <v>376</v>
      </c>
    </row>
    <row r="259" spans="1:8" ht="15" customHeight="1" x14ac:dyDescent="0.4">
      <c r="A259" s="16" t="s">
        <v>646</v>
      </c>
      <c r="B259" s="16" t="s">
        <v>644</v>
      </c>
      <c r="C259" s="16" t="s">
        <v>140</v>
      </c>
      <c r="D259" s="16" t="s">
        <v>552</v>
      </c>
      <c r="E259" s="16" t="s">
        <v>184</v>
      </c>
      <c r="F259" s="16" t="s">
        <v>527</v>
      </c>
      <c r="G259" s="16">
        <v>2025</v>
      </c>
      <c r="H259" s="16" t="s">
        <v>376</v>
      </c>
    </row>
    <row r="260" spans="1:8" ht="15" customHeight="1" x14ac:dyDescent="0.4">
      <c r="A260" s="16" t="s">
        <v>647</v>
      </c>
      <c r="B260" s="16" t="s">
        <v>644</v>
      </c>
      <c r="C260" s="16" t="s">
        <v>140</v>
      </c>
      <c r="D260" s="16" t="s">
        <v>552</v>
      </c>
      <c r="E260" s="16" t="s">
        <v>184</v>
      </c>
      <c r="F260" s="16" t="s">
        <v>527</v>
      </c>
      <c r="G260" s="16">
        <v>2025</v>
      </c>
      <c r="H260" s="16" t="s">
        <v>376</v>
      </c>
    </row>
    <row r="261" spans="1:8" ht="15" customHeight="1" x14ac:dyDescent="0.4">
      <c r="A261" s="16" t="s">
        <v>648</v>
      </c>
      <c r="B261" s="16" t="s">
        <v>644</v>
      </c>
      <c r="C261" s="16" t="s">
        <v>140</v>
      </c>
      <c r="D261" s="16" t="s">
        <v>552</v>
      </c>
      <c r="E261" s="16" t="s">
        <v>526</v>
      </c>
      <c r="F261" s="16" t="s">
        <v>527</v>
      </c>
      <c r="G261" s="16">
        <v>2025</v>
      </c>
      <c r="H261" s="16" t="s">
        <v>376</v>
      </c>
    </row>
    <row r="262" spans="1:8" ht="15" customHeight="1" x14ac:dyDescent="0.4">
      <c r="A262" s="16" t="s">
        <v>649</v>
      </c>
      <c r="B262" s="16" t="s">
        <v>644</v>
      </c>
      <c r="C262" s="16" t="s">
        <v>140</v>
      </c>
      <c r="D262" s="16" t="s">
        <v>552</v>
      </c>
      <c r="E262" s="16" t="s">
        <v>526</v>
      </c>
      <c r="F262" s="16" t="s">
        <v>527</v>
      </c>
      <c r="G262" s="16">
        <v>2026</v>
      </c>
      <c r="H262" s="16" t="s">
        <v>376</v>
      </c>
    </row>
    <row r="263" spans="1:8" ht="15" customHeight="1" x14ac:dyDescent="0.4">
      <c r="A263" s="16" t="s">
        <v>650</v>
      </c>
      <c r="B263" s="16" t="s">
        <v>644</v>
      </c>
      <c r="C263" s="16" t="s">
        <v>140</v>
      </c>
      <c r="D263" s="16" t="s">
        <v>552</v>
      </c>
      <c r="E263" s="16" t="s">
        <v>526</v>
      </c>
      <c r="F263" s="16" t="s">
        <v>527</v>
      </c>
      <c r="G263" s="16">
        <v>2026</v>
      </c>
      <c r="H263" s="16" t="s">
        <v>376</v>
      </c>
    </row>
    <row r="264" spans="1:8" ht="15" customHeight="1" x14ac:dyDescent="0.4">
      <c r="A264" s="16" t="s">
        <v>651</v>
      </c>
      <c r="B264" s="16" t="s">
        <v>644</v>
      </c>
      <c r="C264" s="16" t="s">
        <v>140</v>
      </c>
      <c r="D264" s="16" t="s">
        <v>552</v>
      </c>
      <c r="E264" s="16" t="s">
        <v>526</v>
      </c>
      <c r="F264" s="16" t="s">
        <v>527</v>
      </c>
      <c r="G264" s="16">
        <v>2026</v>
      </c>
      <c r="H264" s="16" t="s">
        <v>376</v>
      </c>
    </row>
    <row r="265" spans="1:8" ht="15" customHeight="1" x14ac:dyDescent="0.4">
      <c r="A265" s="16" t="s">
        <v>652</v>
      </c>
      <c r="B265" s="16" t="s">
        <v>653</v>
      </c>
      <c r="C265" s="16" t="s">
        <v>143</v>
      </c>
      <c r="D265" s="16" t="s">
        <v>654</v>
      </c>
      <c r="E265" s="16" t="s">
        <v>526</v>
      </c>
      <c r="F265" s="16" t="s">
        <v>527</v>
      </c>
      <c r="G265" s="16">
        <v>1991</v>
      </c>
      <c r="H265" s="16" t="s">
        <v>376</v>
      </c>
    </row>
    <row r="266" spans="1:8" ht="15" customHeight="1" x14ac:dyDescent="0.4">
      <c r="A266" s="16" t="s">
        <v>655</v>
      </c>
      <c r="B266" s="16" t="s">
        <v>656</v>
      </c>
      <c r="C266" s="16" t="s">
        <v>143</v>
      </c>
      <c r="D266" s="16" t="s">
        <v>654</v>
      </c>
      <c r="E266" s="16" t="s">
        <v>184</v>
      </c>
      <c r="F266" s="16" t="s">
        <v>527</v>
      </c>
      <c r="G266" s="16">
        <v>2008</v>
      </c>
      <c r="H266" s="16" t="s">
        <v>376</v>
      </c>
    </row>
    <row r="267" spans="1:8" ht="15" customHeight="1" x14ac:dyDescent="0.4">
      <c r="A267" s="16" t="s">
        <v>657</v>
      </c>
      <c r="B267" s="16" t="s">
        <v>656</v>
      </c>
      <c r="C267" s="16" t="s">
        <v>143</v>
      </c>
      <c r="D267" s="16" t="s">
        <v>654</v>
      </c>
      <c r="E267" s="16" t="s">
        <v>526</v>
      </c>
      <c r="F267" s="16" t="s">
        <v>527</v>
      </c>
      <c r="G267" s="16">
        <v>2008</v>
      </c>
      <c r="H267" s="16" t="s">
        <v>376</v>
      </c>
    </row>
    <row r="268" spans="1:8" ht="15" customHeight="1" x14ac:dyDescent="0.4">
      <c r="A268" s="16" t="s">
        <v>658</v>
      </c>
      <c r="B268" s="16" t="s">
        <v>656</v>
      </c>
      <c r="C268" s="16" t="s">
        <v>143</v>
      </c>
      <c r="D268" s="16" t="s">
        <v>654</v>
      </c>
      <c r="E268" s="16" t="s">
        <v>526</v>
      </c>
      <c r="F268" s="16" t="s">
        <v>527</v>
      </c>
      <c r="G268" s="16">
        <v>2008</v>
      </c>
      <c r="H268" s="16" t="s">
        <v>376</v>
      </c>
    </row>
    <row r="269" spans="1:8" ht="15" customHeight="1" x14ac:dyDescent="0.4">
      <c r="A269" s="16" t="s">
        <v>659</v>
      </c>
      <c r="B269" s="16" t="s">
        <v>656</v>
      </c>
      <c r="C269" s="16" t="s">
        <v>143</v>
      </c>
      <c r="D269" s="16" t="s">
        <v>654</v>
      </c>
      <c r="E269" s="16" t="s">
        <v>526</v>
      </c>
      <c r="F269" s="16" t="s">
        <v>527</v>
      </c>
      <c r="G269" s="16">
        <v>2008</v>
      </c>
      <c r="H269" s="16" t="s">
        <v>376</v>
      </c>
    </row>
    <row r="270" spans="1:8" ht="15" customHeight="1" x14ac:dyDescent="0.4">
      <c r="A270" s="16" t="s">
        <v>660</v>
      </c>
      <c r="B270" s="16" t="s">
        <v>661</v>
      </c>
      <c r="C270" s="16" t="s">
        <v>143</v>
      </c>
      <c r="D270" s="16" t="s">
        <v>654</v>
      </c>
      <c r="E270" s="16" t="s">
        <v>526</v>
      </c>
      <c r="F270" s="16" t="s">
        <v>527</v>
      </c>
      <c r="G270" s="16">
        <v>2006</v>
      </c>
      <c r="H270" s="16" t="s">
        <v>376</v>
      </c>
    </row>
    <row r="271" spans="1:8" ht="15" customHeight="1" x14ac:dyDescent="0.4">
      <c r="A271" s="16" t="s">
        <v>662</v>
      </c>
      <c r="B271" s="16" t="s">
        <v>661</v>
      </c>
      <c r="C271" s="16" t="s">
        <v>143</v>
      </c>
      <c r="D271" s="16" t="s">
        <v>654</v>
      </c>
      <c r="E271" s="16" t="s">
        <v>526</v>
      </c>
      <c r="F271" s="16" t="s">
        <v>527</v>
      </c>
      <c r="G271" s="16">
        <v>2006</v>
      </c>
      <c r="H271" s="16" t="s">
        <v>376</v>
      </c>
    </row>
    <row r="272" spans="1:8" ht="15" customHeight="1" x14ac:dyDescent="0.4">
      <c r="A272" s="16" t="s">
        <v>663</v>
      </c>
      <c r="B272" s="16" t="s">
        <v>661</v>
      </c>
      <c r="C272" s="16" t="s">
        <v>143</v>
      </c>
      <c r="D272" s="16" t="s">
        <v>654</v>
      </c>
      <c r="E272" s="16" t="s">
        <v>526</v>
      </c>
      <c r="F272" s="16" t="s">
        <v>527</v>
      </c>
      <c r="G272" s="16">
        <v>2006</v>
      </c>
      <c r="H272" s="16" t="s">
        <v>376</v>
      </c>
    </row>
    <row r="273" spans="1:8" ht="15" customHeight="1" x14ac:dyDescent="0.4">
      <c r="A273" s="16" t="s">
        <v>664</v>
      </c>
      <c r="B273" s="16" t="s">
        <v>661</v>
      </c>
      <c r="C273" s="16" t="s">
        <v>143</v>
      </c>
      <c r="D273" s="16" t="s">
        <v>654</v>
      </c>
      <c r="E273" s="16" t="s">
        <v>526</v>
      </c>
      <c r="F273" s="16" t="s">
        <v>527</v>
      </c>
      <c r="G273" s="16">
        <v>2008</v>
      </c>
      <c r="H273" s="16" t="s">
        <v>376</v>
      </c>
    </row>
    <row r="274" spans="1:8" ht="15" customHeight="1" x14ac:dyDescent="0.4">
      <c r="A274" s="16" t="s">
        <v>665</v>
      </c>
      <c r="B274" s="16" t="s">
        <v>661</v>
      </c>
      <c r="C274" s="16" t="s">
        <v>143</v>
      </c>
      <c r="D274" s="16" t="s">
        <v>654</v>
      </c>
      <c r="E274" s="16" t="s">
        <v>184</v>
      </c>
      <c r="F274" s="16" t="s">
        <v>527</v>
      </c>
      <c r="G274" s="16">
        <v>2008</v>
      </c>
      <c r="H274" s="16" t="s">
        <v>376</v>
      </c>
    </row>
    <row r="275" spans="1:8" ht="15" customHeight="1" x14ac:dyDescent="0.4">
      <c r="A275" s="16" t="s">
        <v>666</v>
      </c>
      <c r="B275" s="16" t="s">
        <v>661</v>
      </c>
      <c r="C275" s="16" t="s">
        <v>143</v>
      </c>
      <c r="D275" s="16" t="s">
        <v>654</v>
      </c>
      <c r="E275" s="16" t="s">
        <v>526</v>
      </c>
      <c r="F275" s="16" t="s">
        <v>527</v>
      </c>
      <c r="G275" s="16">
        <v>2008</v>
      </c>
      <c r="H275" s="16" t="s">
        <v>376</v>
      </c>
    </row>
    <row r="276" spans="1:8" ht="15" customHeight="1" x14ac:dyDescent="0.4">
      <c r="A276" s="16" t="s">
        <v>667</v>
      </c>
      <c r="B276" s="16" t="s">
        <v>661</v>
      </c>
      <c r="C276" s="16" t="s">
        <v>143</v>
      </c>
      <c r="D276" s="16" t="s">
        <v>654</v>
      </c>
      <c r="E276" s="16" t="s">
        <v>184</v>
      </c>
      <c r="F276" s="16" t="s">
        <v>527</v>
      </c>
      <c r="G276" s="16">
        <v>2008</v>
      </c>
      <c r="H276" s="16" t="s">
        <v>376</v>
      </c>
    </row>
    <row r="277" spans="1:8" ht="15" customHeight="1" x14ac:dyDescent="0.4">
      <c r="A277" s="16" t="s">
        <v>668</v>
      </c>
      <c r="B277" s="16" t="s">
        <v>656</v>
      </c>
      <c r="C277" s="16" t="s">
        <v>143</v>
      </c>
      <c r="D277" s="16" t="s">
        <v>654</v>
      </c>
      <c r="E277" s="16" t="s">
        <v>184</v>
      </c>
      <c r="F277" s="16" t="s">
        <v>527</v>
      </c>
      <c r="G277" s="16">
        <v>2007</v>
      </c>
      <c r="H277" s="16" t="s">
        <v>376</v>
      </c>
    </row>
    <row r="278" spans="1:8" ht="15" customHeight="1" x14ac:dyDescent="0.4">
      <c r="A278" s="16" t="s">
        <v>669</v>
      </c>
      <c r="B278" s="16" t="s">
        <v>661</v>
      </c>
      <c r="C278" s="16" t="s">
        <v>143</v>
      </c>
      <c r="D278" s="16" t="s">
        <v>654</v>
      </c>
      <c r="E278" s="16" t="s">
        <v>526</v>
      </c>
      <c r="F278" s="16" t="s">
        <v>527</v>
      </c>
      <c r="G278" s="16">
        <v>2008</v>
      </c>
      <c r="H278" s="16" t="s">
        <v>376</v>
      </c>
    </row>
    <row r="279" spans="1:8" ht="15" customHeight="1" x14ac:dyDescent="0.4">
      <c r="A279" s="16" t="s">
        <v>670</v>
      </c>
      <c r="B279" s="16" t="s">
        <v>656</v>
      </c>
      <c r="C279" s="16" t="s">
        <v>143</v>
      </c>
      <c r="D279" s="16" t="s">
        <v>654</v>
      </c>
      <c r="E279" s="16" t="s">
        <v>526</v>
      </c>
      <c r="F279" s="16" t="s">
        <v>527</v>
      </c>
      <c r="G279" s="16">
        <v>2009</v>
      </c>
      <c r="H279" s="16" t="s">
        <v>376</v>
      </c>
    </row>
    <row r="280" spans="1:8" ht="15" customHeight="1" x14ac:dyDescent="0.4">
      <c r="A280" s="16" t="s">
        <v>671</v>
      </c>
      <c r="B280" s="16" t="s">
        <v>656</v>
      </c>
      <c r="C280" s="16" t="s">
        <v>143</v>
      </c>
      <c r="D280" s="16" t="s">
        <v>654</v>
      </c>
      <c r="E280" s="16" t="s">
        <v>184</v>
      </c>
      <c r="F280" s="16" t="s">
        <v>527</v>
      </c>
      <c r="G280" s="16">
        <v>2015</v>
      </c>
      <c r="H280" s="16" t="s">
        <v>376</v>
      </c>
    </row>
    <row r="281" spans="1:8" ht="15" customHeight="1" x14ac:dyDescent="0.4">
      <c r="A281" s="16" t="s">
        <v>672</v>
      </c>
      <c r="B281" s="16" t="s">
        <v>673</v>
      </c>
      <c r="C281" s="16" t="s">
        <v>143</v>
      </c>
      <c r="D281" s="16" t="s">
        <v>674</v>
      </c>
      <c r="E281" s="16" t="s">
        <v>526</v>
      </c>
      <c r="F281" s="16" t="s">
        <v>527</v>
      </c>
      <c r="G281" s="16">
        <v>2015</v>
      </c>
      <c r="H281" s="16" t="s">
        <v>376</v>
      </c>
    </row>
    <row r="282" spans="1:8" ht="15" customHeight="1" x14ac:dyDescent="0.4">
      <c r="A282" s="16" t="s">
        <v>675</v>
      </c>
      <c r="B282" s="16" t="s">
        <v>673</v>
      </c>
      <c r="C282" s="16" t="s">
        <v>143</v>
      </c>
      <c r="D282" s="16" t="s">
        <v>674</v>
      </c>
      <c r="E282" s="16" t="s">
        <v>526</v>
      </c>
      <c r="F282" s="16" t="s">
        <v>527</v>
      </c>
      <c r="G282" s="16">
        <v>2015</v>
      </c>
      <c r="H282" s="16" t="s">
        <v>376</v>
      </c>
    </row>
    <row r="283" spans="1:8" ht="15" customHeight="1" x14ac:dyDescent="0.4">
      <c r="A283" s="16" t="s">
        <v>676</v>
      </c>
      <c r="B283" s="16" t="s">
        <v>673</v>
      </c>
      <c r="C283" s="16" t="s">
        <v>143</v>
      </c>
      <c r="D283" s="16" t="s">
        <v>674</v>
      </c>
      <c r="E283" s="16" t="s">
        <v>526</v>
      </c>
      <c r="F283" s="16" t="s">
        <v>527</v>
      </c>
      <c r="G283" s="16">
        <v>2015</v>
      </c>
      <c r="H283" s="16" t="s">
        <v>376</v>
      </c>
    </row>
    <row r="284" spans="1:8" ht="15" customHeight="1" x14ac:dyDescent="0.4">
      <c r="A284" s="16" t="s">
        <v>677</v>
      </c>
      <c r="B284" s="16" t="s">
        <v>673</v>
      </c>
      <c r="C284" s="16" t="s">
        <v>143</v>
      </c>
      <c r="D284" s="16" t="s">
        <v>674</v>
      </c>
      <c r="E284" s="16" t="s">
        <v>526</v>
      </c>
      <c r="F284" s="16" t="s">
        <v>527</v>
      </c>
      <c r="G284" s="16">
        <v>2020</v>
      </c>
      <c r="H284" s="16" t="s">
        <v>376</v>
      </c>
    </row>
    <row r="285" spans="1:8" ht="15" customHeight="1" x14ac:dyDescent="0.4">
      <c r="A285" s="16" t="s">
        <v>678</v>
      </c>
      <c r="B285" s="16" t="s">
        <v>679</v>
      </c>
      <c r="C285" s="16" t="s">
        <v>143</v>
      </c>
      <c r="D285" s="16" t="s">
        <v>680</v>
      </c>
      <c r="E285" s="16" t="s">
        <v>526</v>
      </c>
      <c r="F285" s="16" t="s">
        <v>527</v>
      </c>
      <c r="G285" s="16">
        <v>2016</v>
      </c>
      <c r="H285" s="16" t="s">
        <v>376</v>
      </c>
    </row>
    <row r="286" spans="1:8" ht="15" customHeight="1" x14ac:dyDescent="0.4">
      <c r="A286" s="16" t="s">
        <v>681</v>
      </c>
      <c r="B286" s="16" t="s">
        <v>679</v>
      </c>
      <c r="C286" s="16" t="s">
        <v>143</v>
      </c>
      <c r="D286" s="16" t="s">
        <v>680</v>
      </c>
      <c r="E286" s="16" t="s">
        <v>526</v>
      </c>
      <c r="F286" s="16" t="s">
        <v>527</v>
      </c>
      <c r="G286" s="16">
        <v>2016</v>
      </c>
      <c r="H286" s="16" t="s">
        <v>376</v>
      </c>
    </row>
    <row r="287" spans="1:8" ht="15" customHeight="1" x14ac:dyDescent="0.4">
      <c r="A287" s="16" t="s">
        <v>682</v>
      </c>
      <c r="B287" s="16" t="s">
        <v>683</v>
      </c>
      <c r="C287" s="16" t="s">
        <v>143</v>
      </c>
      <c r="D287" s="16" t="s">
        <v>680</v>
      </c>
      <c r="E287" s="16" t="s">
        <v>526</v>
      </c>
      <c r="F287" s="16" t="s">
        <v>527</v>
      </c>
      <c r="G287" s="16">
        <v>2023</v>
      </c>
      <c r="H287" s="16" t="s">
        <v>684</v>
      </c>
    </row>
    <row r="288" spans="1:8" ht="15" customHeight="1" x14ac:dyDescent="0.4">
      <c r="A288" s="16" t="s">
        <v>685</v>
      </c>
      <c r="B288" s="16" t="s">
        <v>686</v>
      </c>
      <c r="C288" s="16" t="s">
        <v>143</v>
      </c>
      <c r="D288" s="16" t="s">
        <v>687</v>
      </c>
      <c r="E288" s="16" t="s">
        <v>688</v>
      </c>
      <c r="F288" s="16" t="s">
        <v>527</v>
      </c>
      <c r="G288" s="16">
        <v>2020</v>
      </c>
      <c r="H288" s="16" t="s">
        <v>376</v>
      </c>
    </row>
    <row r="289" spans="1:8" ht="15" customHeight="1" x14ac:dyDescent="0.4">
      <c r="A289" s="16" t="s">
        <v>689</v>
      </c>
      <c r="B289" s="16" t="s">
        <v>686</v>
      </c>
      <c r="C289" s="16" t="s">
        <v>143</v>
      </c>
      <c r="D289" s="16" t="s">
        <v>687</v>
      </c>
      <c r="E289" s="16" t="s">
        <v>688</v>
      </c>
      <c r="F289" s="16" t="s">
        <v>527</v>
      </c>
      <c r="G289" s="16">
        <v>2023</v>
      </c>
      <c r="H289" s="16" t="s">
        <v>690</v>
      </c>
    </row>
    <row r="290" spans="1:8" ht="15" customHeight="1" x14ac:dyDescent="0.4">
      <c r="A290" s="16" t="s">
        <v>691</v>
      </c>
      <c r="B290" s="16" t="s">
        <v>686</v>
      </c>
      <c r="C290" s="16" t="s">
        <v>143</v>
      </c>
      <c r="D290" s="16" t="s">
        <v>687</v>
      </c>
      <c r="E290" s="16" t="s">
        <v>688</v>
      </c>
      <c r="F290" s="16" t="s">
        <v>527</v>
      </c>
      <c r="G290" s="16">
        <v>2025</v>
      </c>
      <c r="H290" s="16" t="s">
        <v>376</v>
      </c>
    </row>
    <row r="291" spans="1:8" ht="15" customHeight="1" x14ac:dyDescent="0.4">
      <c r="A291" s="16" t="s">
        <v>692</v>
      </c>
      <c r="B291" s="16" t="s">
        <v>693</v>
      </c>
      <c r="C291" s="16" t="s">
        <v>143</v>
      </c>
      <c r="D291" s="16" t="s">
        <v>694</v>
      </c>
      <c r="E291" s="16" t="s">
        <v>526</v>
      </c>
      <c r="F291" s="16" t="s">
        <v>527</v>
      </c>
      <c r="G291" s="16">
        <v>2011</v>
      </c>
      <c r="H291" s="16" t="s">
        <v>376</v>
      </c>
    </row>
    <row r="292" spans="1:8" ht="15" customHeight="1" x14ac:dyDescent="0.4">
      <c r="A292" s="16" t="s">
        <v>695</v>
      </c>
      <c r="B292" s="16" t="s">
        <v>696</v>
      </c>
      <c r="C292" s="16" t="s">
        <v>143</v>
      </c>
      <c r="D292" s="16" t="s">
        <v>694</v>
      </c>
      <c r="E292" s="16" t="s">
        <v>526</v>
      </c>
      <c r="F292" s="16" t="s">
        <v>527</v>
      </c>
      <c r="G292" s="16">
        <v>2021</v>
      </c>
      <c r="H292" s="16" t="s">
        <v>376</v>
      </c>
    </row>
    <row r="293" spans="1:8" ht="15" customHeight="1" x14ac:dyDescent="0.4">
      <c r="A293" s="16" t="s">
        <v>697</v>
      </c>
      <c r="B293" s="16" t="s">
        <v>696</v>
      </c>
      <c r="C293" s="16" t="s">
        <v>143</v>
      </c>
      <c r="D293" s="16" t="s">
        <v>694</v>
      </c>
      <c r="E293" s="16" t="s">
        <v>526</v>
      </c>
      <c r="F293" s="16" t="s">
        <v>527</v>
      </c>
      <c r="G293" s="16">
        <v>2023</v>
      </c>
      <c r="H293" s="16" t="s">
        <v>698</v>
      </c>
    </row>
    <row r="294" spans="1:8" ht="15" customHeight="1" x14ac:dyDescent="0.4">
      <c r="A294" s="16" t="s">
        <v>699</v>
      </c>
      <c r="B294" s="16" t="s">
        <v>696</v>
      </c>
      <c r="C294" s="16" t="s">
        <v>143</v>
      </c>
      <c r="D294" s="16" t="s">
        <v>694</v>
      </c>
      <c r="E294" s="16" t="s">
        <v>526</v>
      </c>
      <c r="F294" s="16" t="s">
        <v>527</v>
      </c>
      <c r="G294" s="16">
        <v>2025</v>
      </c>
      <c r="H294" s="16" t="s">
        <v>376</v>
      </c>
    </row>
    <row r="295" spans="1:8" ht="15" customHeight="1" x14ac:dyDescent="0.4">
      <c r="A295" s="16" t="s">
        <v>700</v>
      </c>
      <c r="B295" s="16" t="s">
        <v>701</v>
      </c>
      <c r="C295" s="16" t="s">
        <v>143</v>
      </c>
      <c r="D295" s="16" t="s">
        <v>702</v>
      </c>
      <c r="E295" s="16" t="s">
        <v>526</v>
      </c>
      <c r="F295" s="16" t="s">
        <v>527</v>
      </c>
      <c r="G295" s="16">
        <v>2021</v>
      </c>
      <c r="H295" s="16" t="s">
        <v>376</v>
      </c>
    </row>
    <row r="296" spans="1:8" ht="15" customHeight="1" x14ac:dyDescent="0.4">
      <c r="A296" s="16" t="s">
        <v>703</v>
      </c>
      <c r="B296" s="16" t="s">
        <v>704</v>
      </c>
      <c r="C296" s="16" t="s">
        <v>140</v>
      </c>
      <c r="D296" s="16" t="s">
        <v>705</v>
      </c>
      <c r="E296" s="16" t="s">
        <v>526</v>
      </c>
      <c r="F296" s="16" t="s">
        <v>527</v>
      </c>
      <c r="G296" s="16">
        <v>2011</v>
      </c>
      <c r="H296" s="16" t="s">
        <v>376</v>
      </c>
    </row>
    <row r="297" spans="1:8" ht="15" customHeight="1" x14ac:dyDescent="0.4">
      <c r="A297" s="16" t="s">
        <v>706</v>
      </c>
      <c r="B297" s="16" t="s">
        <v>704</v>
      </c>
      <c r="C297" s="16" t="s">
        <v>140</v>
      </c>
      <c r="D297" s="16" t="s">
        <v>705</v>
      </c>
      <c r="E297" s="16" t="s">
        <v>526</v>
      </c>
      <c r="F297" s="16" t="s">
        <v>527</v>
      </c>
      <c r="G297" s="16">
        <v>2011</v>
      </c>
      <c r="H297" s="16" t="s">
        <v>376</v>
      </c>
    </row>
    <row r="298" spans="1:8" ht="15" customHeight="1" x14ac:dyDescent="0.4">
      <c r="A298" s="16" t="s">
        <v>707</v>
      </c>
      <c r="B298" s="16" t="s">
        <v>704</v>
      </c>
      <c r="C298" s="16" t="s">
        <v>140</v>
      </c>
      <c r="D298" s="16" t="s">
        <v>705</v>
      </c>
      <c r="E298" s="16" t="s">
        <v>526</v>
      </c>
      <c r="F298" s="16" t="s">
        <v>527</v>
      </c>
      <c r="G298" s="16">
        <v>2011</v>
      </c>
      <c r="H298" s="16" t="s">
        <v>376</v>
      </c>
    </row>
    <row r="299" spans="1:8" ht="15" customHeight="1" x14ac:dyDescent="0.4">
      <c r="A299" s="16" t="s">
        <v>708</v>
      </c>
      <c r="B299" s="16" t="s">
        <v>709</v>
      </c>
      <c r="C299" s="16" t="s">
        <v>140</v>
      </c>
      <c r="D299" s="16" t="s">
        <v>705</v>
      </c>
      <c r="E299" s="16" t="s">
        <v>526</v>
      </c>
      <c r="F299" s="16" t="s">
        <v>527</v>
      </c>
      <c r="G299" s="16">
        <v>2020</v>
      </c>
      <c r="H299" s="16" t="s">
        <v>376</v>
      </c>
    </row>
    <row r="300" spans="1:8" ht="15" customHeight="1" x14ac:dyDescent="0.4">
      <c r="A300" s="16" t="s">
        <v>710</v>
      </c>
      <c r="B300" s="16" t="s">
        <v>709</v>
      </c>
      <c r="C300" s="16" t="s">
        <v>140</v>
      </c>
      <c r="D300" s="16" t="s">
        <v>705</v>
      </c>
      <c r="E300" s="16" t="s">
        <v>526</v>
      </c>
      <c r="F300" s="16" t="s">
        <v>527</v>
      </c>
      <c r="G300" s="16">
        <v>2020</v>
      </c>
      <c r="H300" s="16" t="s">
        <v>376</v>
      </c>
    </row>
    <row r="301" spans="1:8" ht="15" customHeight="1" x14ac:dyDescent="0.4">
      <c r="A301" s="16" t="s">
        <v>711</v>
      </c>
      <c r="B301" s="16" t="s">
        <v>712</v>
      </c>
      <c r="C301" s="16" t="s">
        <v>140</v>
      </c>
      <c r="D301" s="16" t="s">
        <v>705</v>
      </c>
      <c r="E301" s="16" t="s">
        <v>526</v>
      </c>
      <c r="F301" s="16" t="s">
        <v>527</v>
      </c>
      <c r="G301" s="16">
        <v>2011</v>
      </c>
      <c r="H301" s="16" t="s">
        <v>376</v>
      </c>
    </row>
    <row r="302" spans="1:8" ht="15" customHeight="1" x14ac:dyDescent="0.4">
      <c r="A302" s="16" t="s">
        <v>713</v>
      </c>
      <c r="B302" s="16" t="s">
        <v>714</v>
      </c>
      <c r="C302" s="16" t="s">
        <v>140</v>
      </c>
      <c r="D302" s="16" t="s">
        <v>715</v>
      </c>
      <c r="E302" s="16" t="s">
        <v>526</v>
      </c>
      <c r="F302" s="16" t="s">
        <v>527</v>
      </c>
      <c r="G302" s="16">
        <v>2012</v>
      </c>
      <c r="H302" s="16" t="s">
        <v>716</v>
      </c>
    </row>
    <row r="303" spans="1:8" ht="15" customHeight="1" x14ac:dyDescent="0.4">
      <c r="A303" s="16" t="s">
        <v>717</v>
      </c>
      <c r="B303" s="16" t="s">
        <v>718</v>
      </c>
      <c r="C303" s="16" t="s">
        <v>143</v>
      </c>
      <c r="D303" s="16" t="s">
        <v>719</v>
      </c>
      <c r="E303" s="16" t="s">
        <v>526</v>
      </c>
      <c r="F303" s="16" t="s">
        <v>527</v>
      </c>
      <c r="G303" s="16">
        <v>2021</v>
      </c>
      <c r="H303" s="16" t="s">
        <v>376</v>
      </c>
    </row>
    <row r="304" spans="1:8" ht="15" customHeight="1" x14ac:dyDescent="0.4">
      <c r="A304" s="16" t="s">
        <v>720</v>
      </c>
      <c r="B304" s="16" t="s">
        <v>718</v>
      </c>
      <c r="C304" s="16" t="s">
        <v>143</v>
      </c>
      <c r="D304" s="16" t="s">
        <v>719</v>
      </c>
      <c r="E304" s="16" t="s">
        <v>526</v>
      </c>
      <c r="F304" s="16" t="s">
        <v>527</v>
      </c>
      <c r="G304" s="16">
        <v>2021</v>
      </c>
      <c r="H304" s="16" t="s">
        <v>376</v>
      </c>
    </row>
    <row r="305" spans="1:8" ht="15" customHeight="1" x14ac:dyDescent="0.4">
      <c r="A305" s="16" t="s">
        <v>721</v>
      </c>
      <c r="B305" s="16" t="s">
        <v>722</v>
      </c>
      <c r="C305" s="16" t="s">
        <v>138</v>
      </c>
      <c r="D305" s="16" t="s">
        <v>723</v>
      </c>
      <c r="E305" s="16" t="s">
        <v>184</v>
      </c>
      <c r="F305" s="16" t="s">
        <v>527</v>
      </c>
      <c r="G305" s="16">
        <v>2021</v>
      </c>
      <c r="H305" s="16" t="s">
        <v>376</v>
      </c>
    </row>
    <row r="306" spans="1:8" ht="15" customHeight="1" x14ac:dyDescent="0.4">
      <c r="A306" s="16" t="s">
        <v>724</v>
      </c>
      <c r="B306" s="16" t="s">
        <v>722</v>
      </c>
      <c r="C306" s="16" t="s">
        <v>138</v>
      </c>
      <c r="D306" s="16" t="s">
        <v>723</v>
      </c>
      <c r="E306" s="16" t="s">
        <v>184</v>
      </c>
      <c r="F306" s="16" t="s">
        <v>527</v>
      </c>
      <c r="G306" s="16">
        <v>2023</v>
      </c>
      <c r="H306" s="16" t="s">
        <v>725</v>
      </c>
    </row>
    <row r="307" spans="1:8" ht="15" customHeight="1" x14ac:dyDescent="0.4">
      <c r="A307" s="16" t="s">
        <v>726</v>
      </c>
      <c r="B307" s="16" t="s">
        <v>727</v>
      </c>
      <c r="C307" s="16" t="s">
        <v>138</v>
      </c>
      <c r="D307" s="16" t="s">
        <v>723</v>
      </c>
      <c r="E307" s="16" t="s">
        <v>184</v>
      </c>
      <c r="F307" s="16" t="s">
        <v>527</v>
      </c>
      <c r="G307" s="16">
        <v>2024</v>
      </c>
      <c r="H307" s="16" t="s">
        <v>728</v>
      </c>
    </row>
    <row r="308" spans="1:8" ht="15" customHeight="1" x14ac:dyDescent="0.4">
      <c r="A308" s="16" t="s">
        <v>729</v>
      </c>
      <c r="B308" s="16" t="s">
        <v>727</v>
      </c>
      <c r="C308" s="16" t="s">
        <v>138</v>
      </c>
      <c r="D308" s="16" t="s">
        <v>723</v>
      </c>
      <c r="E308" s="16" t="s">
        <v>184</v>
      </c>
      <c r="F308" s="16" t="s">
        <v>527</v>
      </c>
      <c r="G308" s="16">
        <v>2024</v>
      </c>
      <c r="H308" s="16" t="s">
        <v>376</v>
      </c>
    </row>
    <row r="309" spans="1:8" ht="15" customHeight="1" x14ac:dyDescent="0.4">
      <c r="A309" s="16" t="s">
        <v>730</v>
      </c>
      <c r="B309" s="16" t="s">
        <v>722</v>
      </c>
      <c r="C309" s="16" t="s">
        <v>138</v>
      </c>
      <c r="D309" s="16" t="s">
        <v>723</v>
      </c>
      <c r="E309" s="16" t="s">
        <v>184</v>
      </c>
      <c r="F309" s="16" t="s">
        <v>527</v>
      </c>
      <c r="G309" s="16">
        <v>2023</v>
      </c>
      <c r="H309" s="16" t="s">
        <v>376</v>
      </c>
    </row>
    <row r="310" spans="1:8" ht="15" customHeight="1" x14ac:dyDescent="0.4">
      <c r="A310" s="16" t="s">
        <v>731</v>
      </c>
      <c r="B310" s="16" t="s">
        <v>722</v>
      </c>
      <c r="C310" s="16" t="s">
        <v>138</v>
      </c>
      <c r="D310" s="16" t="s">
        <v>723</v>
      </c>
      <c r="E310" s="16" t="s">
        <v>184</v>
      </c>
      <c r="F310" s="16" t="s">
        <v>527</v>
      </c>
      <c r="G310" s="16">
        <v>2025</v>
      </c>
      <c r="H310" s="16" t="s">
        <v>376</v>
      </c>
    </row>
    <row r="311" spans="1:8" ht="15" customHeight="1" x14ac:dyDescent="0.4">
      <c r="A311" s="16" t="s">
        <v>732</v>
      </c>
      <c r="B311" s="16" t="s">
        <v>722</v>
      </c>
      <c r="C311" s="16" t="s">
        <v>138</v>
      </c>
      <c r="D311" s="16" t="s">
        <v>723</v>
      </c>
      <c r="E311" s="16" t="s">
        <v>526</v>
      </c>
      <c r="F311" s="16" t="s">
        <v>527</v>
      </c>
      <c r="G311" s="16">
        <v>2025</v>
      </c>
      <c r="H311" s="16" t="s">
        <v>376</v>
      </c>
    </row>
    <row r="312" spans="1:8" ht="15" customHeight="1" x14ac:dyDescent="0.4">
      <c r="A312" s="16" t="s">
        <v>733</v>
      </c>
      <c r="B312" s="16" t="s">
        <v>722</v>
      </c>
      <c r="C312" s="16" t="s">
        <v>138</v>
      </c>
      <c r="D312" s="16" t="s">
        <v>723</v>
      </c>
      <c r="E312" s="16" t="s">
        <v>526</v>
      </c>
      <c r="F312" s="16" t="s">
        <v>527</v>
      </c>
      <c r="G312" s="16">
        <v>2025</v>
      </c>
      <c r="H312" s="16" t="s">
        <v>376</v>
      </c>
    </row>
    <row r="313" spans="1:8" ht="15" customHeight="1" x14ac:dyDescent="0.4">
      <c r="A313" s="16" t="s">
        <v>734</v>
      </c>
      <c r="B313" s="16" t="s">
        <v>735</v>
      </c>
      <c r="C313" s="16" t="s">
        <v>143</v>
      </c>
      <c r="D313" s="16" t="s">
        <v>736</v>
      </c>
      <c r="E313" s="16" t="s">
        <v>688</v>
      </c>
      <c r="F313" s="16" t="s">
        <v>527</v>
      </c>
      <c r="G313" s="16">
        <v>2000</v>
      </c>
      <c r="H313" s="16" t="s">
        <v>376</v>
      </c>
    </row>
    <row r="314" spans="1:8" ht="15" customHeight="1" x14ac:dyDescent="0.4">
      <c r="A314" s="16" t="s">
        <v>737</v>
      </c>
      <c r="B314" s="16" t="s">
        <v>738</v>
      </c>
      <c r="C314" s="16" t="s">
        <v>143</v>
      </c>
      <c r="D314" s="16" t="s">
        <v>739</v>
      </c>
      <c r="E314" s="16" t="s">
        <v>184</v>
      </c>
      <c r="F314" s="16" t="s">
        <v>527</v>
      </c>
      <c r="G314" s="16">
        <v>1990</v>
      </c>
      <c r="H314" s="16" t="s">
        <v>376</v>
      </c>
    </row>
    <row r="315" spans="1:8" ht="15" customHeight="1" x14ac:dyDescent="0.4">
      <c r="A315" s="16" t="s">
        <v>740</v>
      </c>
      <c r="B315" s="16" t="s">
        <v>738</v>
      </c>
      <c r="C315" s="16" t="s">
        <v>143</v>
      </c>
      <c r="D315" s="16" t="s">
        <v>739</v>
      </c>
      <c r="E315" s="16" t="s">
        <v>184</v>
      </c>
      <c r="F315" s="16" t="s">
        <v>527</v>
      </c>
      <c r="G315" s="16">
        <v>1990</v>
      </c>
      <c r="H315" s="16" t="s">
        <v>376</v>
      </c>
    </row>
    <row r="316" spans="1:8" ht="15" customHeight="1" x14ac:dyDescent="0.4">
      <c r="A316" s="16" t="s">
        <v>741</v>
      </c>
      <c r="B316" s="16" t="s">
        <v>738</v>
      </c>
      <c r="C316" s="16" t="s">
        <v>143</v>
      </c>
      <c r="D316" s="16" t="s">
        <v>739</v>
      </c>
      <c r="E316" s="16" t="s">
        <v>184</v>
      </c>
      <c r="F316" s="16" t="s">
        <v>527</v>
      </c>
      <c r="G316" s="16">
        <v>1990</v>
      </c>
      <c r="H316" s="16" t="s">
        <v>376</v>
      </c>
    </row>
    <row r="317" spans="1:8" ht="15" customHeight="1" x14ac:dyDescent="0.4">
      <c r="A317" s="16" t="s">
        <v>742</v>
      </c>
      <c r="B317" s="16" t="s">
        <v>738</v>
      </c>
      <c r="C317" s="16" t="s">
        <v>143</v>
      </c>
      <c r="D317" s="16" t="s">
        <v>739</v>
      </c>
      <c r="E317" s="16" t="s">
        <v>184</v>
      </c>
      <c r="F317" s="16" t="s">
        <v>527</v>
      </c>
      <c r="G317" s="16">
        <v>1990</v>
      </c>
      <c r="H317" s="16" t="s">
        <v>376</v>
      </c>
    </row>
    <row r="318" spans="1:8" ht="15" customHeight="1" x14ac:dyDescent="0.4">
      <c r="A318" s="16" t="s">
        <v>743</v>
      </c>
      <c r="B318" s="16" t="s">
        <v>738</v>
      </c>
      <c r="C318" s="16" t="s">
        <v>143</v>
      </c>
      <c r="D318" s="16" t="s">
        <v>739</v>
      </c>
      <c r="E318" s="16" t="s">
        <v>184</v>
      </c>
      <c r="F318" s="16" t="s">
        <v>527</v>
      </c>
      <c r="G318" s="16">
        <v>1986</v>
      </c>
      <c r="H318" s="16" t="s">
        <v>376</v>
      </c>
    </row>
    <row r="319" spans="1:8" ht="15" customHeight="1" x14ac:dyDescent="0.4">
      <c r="A319" s="16" t="s">
        <v>744</v>
      </c>
      <c r="B319" s="16" t="s">
        <v>738</v>
      </c>
      <c r="C319" s="16" t="s">
        <v>143</v>
      </c>
      <c r="D319" s="16" t="s">
        <v>739</v>
      </c>
      <c r="E319" s="16" t="s">
        <v>184</v>
      </c>
      <c r="F319" s="16" t="s">
        <v>527</v>
      </c>
      <c r="G319" s="16">
        <v>1987</v>
      </c>
      <c r="H319" s="16" t="s">
        <v>376</v>
      </c>
    </row>
    <row r="320" spans="1:8" ht="15" customHeight="1" x14ac:dyDescent="0.4">
      <c r="A320" s="16" t="s">
        <v>745</v>
      </c>
      <c r="B320" s="16" t="s">
        <v>738</v>
      </c>
      <c r="C320" s="16" t="s">
        <v>143</v>
      </c>
      <c r="D320" s="16" t="s">
        <v>739</v>
      </c>
      <c r="E320" s="16" t="s">
        <v>184</v>
      </c>
      <c r="F320" s="16" t="s">
        <v>527</v>
      </c>
      <c r="G320" s="16">
        <v>1987</v>
      </c>
      <c r="H320" s="16" t="s">
        <v>376</v>
      </c>
    </row>
    <row r="321" spans="1:8" ht="15" customHeight="1" x14ac:dyDescent="0.4">
      <c r="A321" s="16" t="s">
        <v>746</v>
      </c>
      <c r="B321" s="16" t="s">
        <v>738</v>
      </c>
      <c r="C321" s="16" t="s">
        <v>143</v>
      </c>
      <c r="D321" s="16" t="s">
        <v>739</v>
      </c>
      <c r="E321" s="16" t="s">
        <v>184</v>
      </c>
      <c r="F321" s="16" t="s">
        <v>527</v>
      </c>
      <c r="G321" s="16">
        <v>1993</v>
      </c>
      <c r="H321" s="16" t="s">
        <v>376</v>
      </c>
    </row>
    <row r="322" spans="1:8" ht="15" customHeight="1" x14ac:dyDescent="0.4">
      <c r="A322" s="16" t="s">
        <v>747</v>
      </c>
      <c r="B322" s="16" t="s">
        <v>738</v>
      </c>
      <c r="C322" s="16" t="s">
        <v>143</v>
      </c>
      <c r="D322" s="16" t="s">
        <v>739</v>
      </c>
      <c r="E322" s="16" t="s">
        <v>184</v>
      </c>
      <c r="F322" s="16" t="s">
        <v>527</v>
      </c>
      <c r="G322" s="16">
        <v>1993</v>
      </c>
      <c r="H322" s="16" t="s">
        <v>376</v>
      </c>
    </row>
    <row r="323" spans="1:8" ht="15" customHeight="1" x14ac:dyDescent="0.4">
      <c r="A323" s="16" t="s">
        <v>748</v>
      </c>
      <c r="B323" s="16" t="s">
        <v>738</v>
      </c>
      <c r="C323" s="16" t="s">
        <v>143</v>
      </c>
      <c r="D323" s="16" t="s">
        <v>739</v>
      </c>
      <c r="E323" s="16" t="s">
        <v>184</v>
      </c>
      <c r="F323" s="16" t="s">
        <v>527</v>
      </c>
      <c r="G323" s="16">
        <v>2001</v>
      </c>
      <c r="H323" s="16" t="s">
        <v>376</v>
      </c>
    </row>
    <row r="324" spans="1:8" ht="15" customHeight="1" x14ac:dyDescent="0.4">
      <c r="A324" s="16" t="s">
        <v>749</v>
      </c>
      <c r="B324" s="16" t="s">
        <v>738</v>
      </c>
      <c r="C324" s="16" t="s">
        <v>143</v>
      </c>
      <c r="D324" s="16" t="s">
        <v>739</v>
      </c>
      <c r="E324" s="16" t="s">
        <v>184</v>
      </c>
      <c r="F324" s="16" t="s">
        <v>527</v>
      </c>
      <c r="G324" s="16">
        <v>2001</v>
      </c>
      <c r="H324" s="16" t="s">
        <v>376</v>
      </c>
    </row>
    <row r="325" spans="1:8" ht="15" customHeight="1" x14ac:dyDescent="0.4">
      <c r="A325" s="16" t="s">
        <v>750</v>
      </c>
      <c r="B325" s="16" t="s">
        <v>738</v>
      </c>
      <c r="C325" s="16" t="s">
        <v>143</v>
      </c>
      <c r="D325" s="16" t="s">
        <v>739</v>
      </c>
      <c r="E325" s="16" t="s">
        <v>184</v>
      </c>
      <c r="F325" s="16" t="s">
        <v>527</v>
      </c>
      <c r="G325" s="16">
        <v>2001</v>
      </c>
      <c r="H325" s="16" t="s">
        <v>376</v>
      </c>
    </row>
    <row r="326" spans="1:8" ht="15" customHeight="1" x14ac:dyDescent="0.4">
      <c r="A326" s="16" t="s">
        <v>751</v>
      </c>
      <c r="B326" s="16" t="s">
        <v>738</v>
      </c>
      <c r="C326" s="16" t="s">
        <v>143</v>
      </c>
      <c r="D326" s="16" t="s">
        <v>739</v>
      </c>
      <c r="E326" s="16" t="s">
        <v>184</v>
      </c>
      <c r="F326" s="16" t="s">
        <v>527</v>
      </c>
      <c r="G326" s="16">
        <v>2002</v>
      </c>
      <c r="H326" s="16" t="s">
        <v>376</v>
      </c>
    </row>
    <row r="327" spans="1:8" ht="15" customHeight="1" x14ac:dyDescent="0.4">
      <c r="A327" s="16" t="s">
        <v>752</v>
      </c>
      <c r="B327" s="16" t="s">
        <v>738</v>
      </c>
      <c r="C327" s="16" t="s">
        <v>143</v>
      </c>
      <c r="D327" s="16" t="s">
        <v>739</v>
      </c>
      <c r="E327" s="16" t="s">
        <v>184</v>
      </c>
      <c r="F327" s="16" t="s">
        <v>527</v>
      </c>
      <c r="G327" s="16">
        <v>2002</v>
      </c>
      <c r="H327" s="16" t="s">
        <v>376</v>
      </c>
    </row>
    <row r="328" spans="1:8" ht="15" customHeight="1" x14ac:dyDescent="0.4">
      <c r="A328" s="16" t="s">
        <v>753</v>
      </c>
      <c r="B328" s="16" t="s">
        <v>738</v>
      </c>
      <c r="C328" s="16" t="s">
        <v>143</v>
      </c>
      <c r="D328" s="16" t="s">
        <v>739</v>
      </c>
      <c r="E328" s="16" t="s">
        <v>184</v>
      </c>
      <c r="F328" s="16" t="s">
        <v>527</v>
      </c>
      <c r="G328" s="16">
        <v>2002</v>
      </c>
      <c r="H328" s="16" t="s">
        <v>376</v>
      </c>
    </row>
    <row r="329" spans="1:8" ht="15" customHeight="1" x14ac:dyDescent="0.4">
      <c r="A329" s="16" t="s">
        <v>754</v>
      </c>
      <c r="B329" s="16" t="s">
        <v>738</v>
      </c>
      <c r="C329" s="16" t="s">
        <v>143</v>
      </c>
      <c r="D329" s="16" t="s">
        <v>739</v>
      </c>
      <c r="E329" s="16" t="s">
        <v>184</v>
      </c>
      <c r="F329" s="16" t="s">
        <v>527</v>
      </c>
      <c r="G329" s="16">
        <v>2002</v>
      </c>
      <c r="H329" s="16" t="s">
        <v>376</v>
      </c>
    </row>
    <row r="330" spans="1:8" ht="15" customHeight="1" x14ac:dyDescent="0.4">
      <c r="A330" s="16" t="s">
        <v>755</v>
      </c>
      <c r="B330" s="16" t="s">
        <v>738</v>
      </c>
      <c r="C330" s="16" t="s">
        <v>143</v>
      </c>
      <c r="D330" s="16" t="s">
        <v>739</v>
      </c>
      <c r="E330" s="16" t="s">
        <v>184</v>
      </c>
      <c r="F330" s="16" t="s">
        <v>527</v>
      </c>
      <c r="G330" s="16">
        <v>2002</v>
      </c>
      <c r="H330" s="16" t="s">
        <v>376</v>
      </c>
    </row>
    <row r="331" spans="1:8" ht="15" customHeight="1" x14ac:dyDescent="0.4">
      <c r="A331" s="16" t="s">
        <v>756</v>
      </c>
      <c r="B331" s="16" t="s">
        <v>738</v>
      </c>
      <c r="C331" s="16" t="s">
        <v>143</v>
      </c>
      <c r="D331" s="16" t="s">
        <v>739</v>
      </c>
      <c r="E331" s="16" t="s">
        <v>184</v>
      </c>
      <c r="F331" s="16" t="s">
        <v>527</v>
      </c>
      <c r="G331" s="16">
        <v>1994</v>
      </c>
      <c r="H331" s="16" t="s">
        <v>376</v>
      </c>
    </row>
    <row r="332" spans="1:8" ht="15" customHeight="1" x14ac:dyDescent="0.4">
      <c r="A332" s="16" t="s">
        <v>757</v>
      </c>
      <c r="B332" s="16" t="s">
        <v>738</v>
      </c>
      <c r="C332" s="16" t="s">
        <v>143</v>
      </c>
      <c r="D332" s="16" t="s">
        <v>739</v>
      </c>
      <c r="E332" s="16" t="s">
        <v>184</v>
      </c>
      <c r="F332" s="16" t="s">
        <v>527</v>
      </c>
      <c r="G332" s="16">
        <v>2003</v>
      </c>
      <c r="H332" s="16" t="s">
        <v>376</v>
      </c>
    </row>
    <row r="333" spans="1:8" ht="15" customHeight="1" x14ac:dyDescent="0.4">
      <c r="A333" s="16" t="s">
        <v>758</v>
      </c>
      <c r="B333" s="16" t="s">
        <v>738</v>
      </c>
      <c r="C333" s="16" t="s">
        <v>143</v>
      </c>
      <c r="D333" s="16" t="s">
        <v>739</v>
      </c>
      <c r="E333" s="16" t="s">
        <v>184</v>
      </c>
      <c r="F333" s="16" t="s">
        <v>527</v>
      </c>
      <c r="G333" s="16">
        <v>2000</v>
      </c>
      <c r="H333" s="16" t="s">
        <v>376</v>
      </c>
    </row>
    <row r="334" spans="1:8" ht="15" customHeight="1" x14ac:dyDescent="0.4">
      <c r="A334" s="16" t="s">
        <v>759</v>
      </c>
      <c r="B334" s="16" t="s">
        <v>738</v>
      </c>
      <c r="C334" s="16" t="s">
        <v>143</v>
      </c>
      <c r="D334" s="16" t="s">
        <v>739</v>
      </c>
      <c r="E334" s="16" t="s">
        <v>184</v>
      </c>
      <c r="F334" s="16" t="s">
        <v>527</v>
      </c>
      <c r="G334" s="16">
        <v>2011</v>
      </c>
      <c r="H334" s="16" t="s">
        <v>376</v>
      </c>
    </row>
    <row r="335" spans="1:8" ht="15" customHeight="1" x14ac:dyDescent="0.4">
      <c r="A335" s="16" t="s">
        <v>760</v>
      </c>
      <c r="B335" s="16" t="s">
        <v>738</v>
      </c>
      <c r="C335" s="16" t="s">
        <v>143</v>
      </c>
      <c r="D335" s="16" t="s">
        <v>739</v>
      </c>
      <c r="E335" s="16" t="s">
        <v>184</v>
      </c>
      <c r="F335" s="16" t="s">
        <v>527</v>
      </c>
      <c r="G335" s="16">
        <v>2011</v>
      </c>
      <c r="H335" s="16" t="s">
        <v>376</v>
      </c>
    </row>
    <row r="336" spans="1:8" ht="15" customHeight="1" x14ac:dyDescent="0.4">
      <c r="A336" s="16" t="s">
        <v>761</v>
      </c>
      <c r="B336" s="16" t="s">
        <v>738</v>
      </c>
      <c r="C336" s="16" t="s">
        <v>143</v>
      </c>
      <c r="D336" s="16" t="s">
        <v>739</v>
      </c>
      <c r="E336" s="16" t="s">
        <v>184</v>
      </c>
      <c r="F336" s="16" t="s">
        <v>527</v>
      </c>
      <c r="G336" s="16">
        <v>2016</v>
      </c>
      <c r="H336" s="16" t="s">
        <v>376</v>
      </c>
    </row>
    <row r="337" spans="1:8" ht="15" customHeight="1" x14ac:dyDescent="0.4">
      <c r="A337" s="16" t="s">
        <v>762</v>
      </c>
      <c r="B337" s="16" t="s">
        <v>738</v>
      </c>
      <c r="C337" s="16" t="s">
        <v>143</v>
      </c>
      <c r="D337" s="16" t="s">
        <v>739</v>
      </c>
      <c r="E337" s="16" t="s">
        <v>184</v>
      </c>
      <c r="F337" s="16" t="s">
        <v>527</v>
      </c>
      <c r="G337" s="16">
        <v>2016</v>
      </c>
      <c r="H337" s="16" t="s">
        <v>376</v>
      </c>
    </row>
    <row r="338" spans="1:8" ht="15" customHeight="1" x14ac:dyDescent="0.4">
      <c r="A338" s="16" t="s">
        <v>763</v>
      </c>
      <c r="B338" s="16" t="s">
        <v>738</v>
      </c>
      <c r="C338" s="16" t="s">
        <v>143</v>
      </c>
      <c r="D338" s="16" t="s">
        <v>739</v>
      </c>
      <c r="E338" s="16" t="s">
        <v>184</v>
      </c>
      <c r="F338" s="16" t="s">
        <v>527</v>
      </c>
      <c r="G338" s="16">
        <v>2016</v>
      </c>
      <c r="H338" s="16" t="s">
        <v>376</v>
      </c>
    </row>
    <row r="339" spans="1:8" ht="15" customHeight="1" x14ac:dyDescent="0.4">
      <c r="A339" s="16" t="s">
        <v>764</v>
      </c>
      <c r="B339" s="16" t="s">
        <v>738</v>
      </c>
      <c r="C339" s="16" t="s">
        <v>143</v>
      </c>
      <c r="D339" s="16" t="s">
        <v>739</v>
      </c>
      <c r="E339" s="16" t="s">
        <v>184</v>
      </c>
      <c r="F339" s="16" t="s">
        <v>527</v>
      </c>
      <c r="G339" s="16">
        <v>2018</v>
      </c>
      <c r="H339" s="16" t="s">
        <v>376</v>
      </c>
    </row>
    <row r="340" spans="1:8" ht="15" customHeight="1" x14ac:dyDescent="0.4">
      <c r="A340" s="16" t="s">
        <v>765</v>
      </c>
      <c r="B340" s="16" t="s">
        <v>738</v>
      </c>
      <c r="C340" s="16" t="s">
        <v>143</v>
      </c>
      <c r="D340" s="16" t="s">
        <v>739</v>
      </c>
      <c r="E340" s="16" t="s">
        <v>184</v>
      </c>
      <c r="F340" s="16" t="s">
        <v>527</v>
      </c>
      <c r="G340" s="16">
        <v>2018</v>
      </c>
      <c r="H340" s="16" t="s">
        <v>376</v>
      </c>
    </row>
    <row r="341" spans="1:8" ht="15" customHeight="1" x14ac:dyDescent="0.4">
      <c r="A341" s="16" t="s">
        <v>766</v>
      </c>
      <c r="B341" s="16" t="s">
        <v>738</v>
      </c>
      <c r="C341" s="16" t="s">
        <v>143</v>
      </c>
      <c r="D341" s="16" t="s">
        <v>739</v>
      </c>
      <c r="E341" s="16" t="s">
        <v>184</v>
      </c>
      <c r="F341" s="16" t="s">
        <v>527</v>
      </c>
      <c r="G341" s="16">
        <v>2018</v>
      </c>
      <c r="H341" s="16" t="s">
        <v>376</v>
      </c>
    </row>
    <row r="342" spans="1:8" ht="15" customHeight="1" x14ac:dyDescent="0.4">
      <c r="A342" s="16" t="s">
        <v>767</v>
      </c>
      <c r="B342" s="16" t="s">
        <v>738</v>
      </c>
      <c r="C342" s="16" t="s">
        <v>143</v>
      </c>
      <c r="D342" s="16" t="s">
        <v>739</v>
      </c>
      <c r="E342" s="16" t="s">
        <v>184</v>
      </c>
      <c r="F342" s="16" t="s">
        <v>527</v>
      </c>
      <c r="G342" s="16">
        <v>2018</v>
      </c>
      <c r="H342" s="16" t="s">
        <v>376</v>
      </c>
    </row>
    <row r="343" spans="1:8" ht="15" customHeight="1" x14ac:dyDescent="0.4">
      <c r="A343" s="16" t="s">
        <v>768</v>
      </c>
      <c r="B343" s="16" t="s">
        <v>738</v>
      </c>
      <c r="C343" s="16" t="s">
        <v>143</v>
      </c>
      <c r="D343" s="16" t="s">
        <v>739</v>
      </c>
      <c r="E343" s="16" t="s">
        <v>184</v>
      </c>
      <c r="F343" s="16" t="s">
        <v>527</v>
      </c>
      <c r="G343" s="16">
        <v>2023</v>
      </c>
      <c r="H343" s="16" t="s">
        <v>769</v>
      </c>
    </row>
    <row r="344" spans="1:8" ht="15" customHeight="1" x14ac:dyDescent="0.4">
      <c r="A344" s="16" t="s">
        <v>770</v>
      </c>
      <c r="B344" s="16" t="s">
        <v>738</v>
      </c>
      <c r="C344" s="16" t="s">
        <v>143</v>
      </c>
      <c r="D344" s="16" t="s">
        <v>739</v>
      </c>
      <c r="E344" s="16" t="s">
        <v>184</v>
      </c>
      <c r="F344" s="16" t="s">
        <v>527</v>
      </c>
      <c r="G344" s="16">
        <v>2023</v>
      </c>
      <c r="H344" s="16" t="s">
        <v>771</v>
      </c>
    </row>
    <row r="345" spans="1:8" ht="15" customHeight="1" x14ac:dyDescent="0.4">
      <c r="A345" s="16" t="s">
        <v>772</v>
      </c>
      <c r="B345" s="16" t="s">
        <v>738</v>
      </c>
      <c r="C345" s="16" t="s">
        <v>143</v>
      </c>
      <c r="D345" s="16" t="s">
        <v>739</v>
      </c>
      <c r="E345" s="16" t="s">
        <v>184</v>
      </c>
      <c r="F345" s="16" t="s">
        <v>527</v>
      </c>
      <c r="G345" s="16">
        <v>2023</v>
      </c>
      <c r="H345" s="16" t="s">
        <v>376</v>
      </c>
    </row>
    <row r="346" spans="1:8" ht="15" customHeight="1" x14ac:dyDescent="0.4">
      <c r="A346" s="16" t="s">
        <v>773</v>
      </c>
      <c r="B346" s="16" t="s">
        <v>738</v>
      </c>
      <c r="C346" s="16" t="s">
        <v>143</v>
      </c>
      <c r="D346" s="16" t="s">
        <v>739</v>
      </c>
      <c r="E346" s="16" t="s">
        <v>184</v>
      </c>
      <c r="F346" s="16" t="s">
        <v>527</v>
      </c>
      <c r="G346" s="16">
        <v>2023</v>
      </c>
      <c r="H346" s="16" t="s">
        <v>376</v>
      </c>
    </row>
    <row r="347" spans="1:8" ht="15" customHeight="1" x14ac:dyDescent="0.4">
      <c r="A347" s="16" t="s">
        <v>774</v>
      </c>
      <c r="B347" s="16" t="s">
        <v>738</v>
      </c>
      <c r="C347" s="16" t="s">
        <v>143</v>
      </c>
      <c r="D347" s="16" t="s">
        <v>739</v>
      </c>
      <c r="E347" s="16" t="s">
        <v>184</v>
      </c>
      <c r="F347" s="16" t="s">
        <v>527</v>
      </c>
      <c r="G347" s="16">
        <v>2023</v>
      </c>
      <c r="H347" s="16" t="s">
        <v>775</v>
      </c>
    </row>
    <row r="348" spans="1:8" ht="15" customHeight="1" x14ac:dyDescent="0.4">
      <c r="A348" s="16" t="s">
        <v>776</v>
      </c>
      <c r="B348" s="16" t="s">
        <v>738</v>
      </c>
      <c r="C348" s="16" t="s">
        <v>143</v>
      </c>
      <c r="D348" s="16" t="s">
        <v>739</v>
      </c>
      <c r="E348" s="16" t="s">
        <v>184</v>
      </c>
      <c r="F348" s="16" t="s">
        <v>527</v>
      </c>
      <c r="G348" s="16">
        <v>2023</v>
      </c>
      <c r="H348" s="16" t="s">
        <v>777</v>
      </c>
    </row>
    <row r="349" spans="1:8" ht="15" customHeight="1" x14ac:dyDescent="0.4">
      <c r="A349" s="16" t="s">
        <v>778</v>
      </c>
      <c r="B349" s="16" t="s">
        <v>738</v>
      </c>
      <c r="C349" s="16" t="s">
        <v>143</v>
      </c>
      <c r="D349" s="16" t="s">
        <v>739</v>
      </c>
      <c r="E349" s="16" t="s">
        <v>184</v>
      </c>
      <c r="F349" s="16" t="s">
        <v>527</v>
      </c>
      <c r="G349" s="16">
        <v>2023</v>
      </c>
      <c r="H349" s="16" t="s">
        <v>779</v>
      </c>
    </row>
    <row r="350" spans="1:8" ht="15" customHeight="1" x14ac:dyDescent="0.4">
      <c r="A350" s="16" t="s">
        <v>780</v>
      </c>
      <c r="B350" s="16" t="s">
        <v>738</v>
      </c>
      <c r="C350" s="16" t="s">
        <v>143</v>
      </c>
      <c r="D350" s="16" t="s">
        <v>739</v>
      </c>
      <c r="E350" s="16" t="s">
        <v>184</v>
      </c>
      <c r="F350" s="16" t="s">
        <v>527</v>
      </c>
      <c r="G350" s="16">
        <v>2023</v>
      </c>
      <c r="H350" s="16" t="s">
        <v>376</v>
      </c>
    </row>
    <row r="351" spans="1:8" ht="15" customHeight="1" x14ac:dyDescent="0.4">
      <c r="A351" s="16" t="s">
        <v>781</v>
      </c>
      <c r="B351" s="16" t="s">
        <v>738</v>
      </c>
      <c r="C351" s="16" t="s">
        <v>143</v>
      </c>
      <c r="D351" s="16" t="s">
        <v>739</v>
      </c>
      <c r="E351" s="16" t="s">
        <v>184</v>
      </c>
      <c r="F351" s="16" t="s">
        <v>527</v>
      </c>
      <c r="G351" s="16">
        <v>2023</v>
      </c>
      <c r="H351" s="16" t="s">
        <v>782</v>
      </c>
    </row>
    <row r="352" spans="1:8" ht="15" customHeight="1" x14ac:dyDescent="0.4">
      <c r="A352" s="16" t="s">
        <v>783</v>
      </c>
      <c r="B352" s="16" t="s">
        <v>738</v>
      </c>
      <c r="C352" s="16" t="s">
        <v>143</v>
      </c>
      <c r="D352" s="16" t="s">
        <v>739</v>
      </c>
      <c r="E352" s="16" t="s">
        <v>184</v>
      </c>
      <c r="F352" s="16" t="s">
        <v>527</v>
      </c>
      <c r="G352" s="16">
        <v>2023</v>
      </c>
      <c r="H352" s="16" t="s">
        <v>784</v>
      </c>
    </row>
    <row r="353" spans="1:8" ht="15" customHeight="1" x14ac:dyDescent="0.4">
      <c r="A353" s="16" t="s">
        <v>785</v>
      </c>
      <c r="B353" s="16" t="s">
        <v>786</v>
      </c>
      <c r="C353" s="16" t="s">
        <v>145</v>
      </c>
      <c r="D353" s="16" t="s">
        <v>145</v>
      </c>
      <c r="E353" s="16" t="s">
        <v>688</v>
      </c>
      <c r="F353" s="16" t="s">
        <v>527</v>
      </c>
      <c r="G353" s="16">
        <v>2020</v>
      </c>
      <c r="H353" s="16" t="s">
        <v>376</v>
      </c>
    </row>
    <row r="354" spans="1:8" ht="15" customHeight="1" x14ac:dyDescent="0.4">
      <c r="A354" s="16" t="s">
        <v>787</v>
      </c>
      <c r="B354" s="16" t="s">
        <v>786</v>
      </c>
      <c r="C354" s="16" t="s">
        <v>145</v>
      </c>
      <c r="D354" s="16" t="s">
        <v>145</v>
      </c>
      <c r="E354" s="16" t="s">
        <v>688</v>
      </c>
      <c r="F354" s="16" t="s">
        <v>527</v>
      </c>
      <c r="G354" s="16">
        <v>2020</v>
      </c>
      <c r="H354" s="16" t="s">
        <v>376</v>
      </c>
    </row>
    <row r="355" spans="1:8" ht="15" customHeight="1" x14ac:dyDescent="0.4">
      <c r="A355" s="16" t="s">
        <v>788</v>
      </c>
      <c r="B355" s="16" t="s">
        <v>786</v>
      </c>
      <c r="C355" s="16" t="s">
        <v>145</v>
      </c>
      <c r="D355" s="16" t="s">
        <v>145</v>
      </c>
      <c r="E355" s="16" t="s">
        <v>688</v>
      </c>
      <c r="F355" s="16" t="s">
        <v>527</v>
      </c>
      <c r="G355" s="16">
        <v>2020</v>
      </c>
      <c r="H355" s="16" t="s">
        <v>376</v>
      </c>
    </row>
    <row r="356" spans="1:8" ht="15" customHeight="1" x14ac:dyDescent="0.4">
      <c r="A356" s="16" t="s">
        <v>789</v>
      </c>
      <c r="B356" s="16" t="s">
        <v>786</v>
      </c>
      <c r="C356" s="16" t="s">
        <v>145</v>
      </c>
      <c r="D356" s="16" t="s">
        <v>145</v>
      </c>
      <c r="E356" s="16" t="s">
        <v>688</v>
      </c>
      <c r="F356" s="16" t="s">
        <v>527</v>
      </c>
      <c r="G356" s="16">
        <v>2020</v>
      </c>
      <c r="H356" s="16" t="s">
        <v>376</v>
      </c>
    </row>
    <row r="357" spans="1:8" ht="15" customHeight="1" x14ac:dyDescent="0.4">
      <c r="A357" s="16" t="s">
        <v>790</v>
      </c>
      <c r="B357" s="16" t="s">
        <v>786</v>
      </c>
      <c r="C357" s="16" t="s">
        <v>145</v>
      </c>
      <c r="D357" s="16" t="s">
        <v>145</v>
      </c>
      <c r="E357" s="16" t="s">
        <v>688</v>
      </c>
      <c r="F357" s="16" t="s">
        <v>527</v>
      </c>
      <c r="G357" s="16">
        <v>2020</v>
      </c>
      <c r="H357" s="16" t="s">
        <v>376</v>
      </c>
    </row>
    <row r="358" spans="1:8" ht="15" customHeight="1" x14ac:dyDescent="0.4">
      <c r="A358" s="16" t="s">
        <v>791</v>
      </c>
      <c r="B358" s="16" t="s">
        <v>786</v>
      </c>
      <c r="C358" s="16" t="s">
        <v>145</v>
      </c>
      <c r="D358" s="16" t="s">
        <v>145</v>
      </c>
      <c r="E358" s="16" t="s">
        <v>688</v>
      </c>
      <c r="F358" s="16" t="s">
        <v>527</v>
      </c>
      <c r="G358" s="16">
        <v>2020</v>
      </c>
      <c r="H358" s="16" t="s">
        <v>376</v>
      </c>
    </row>
    <row r="359" spans="1:8" ht="15" customHeight="1" x14ac:dyDescent="0.4">
      <c r="A359" s="16" t="s">
        <v>792</v>
      </c>
      <c r="B359" s="16" t="s">
        <v>786</v>
      </c>
      <c r="C359" s="16" t="s">
        <v>145</v>
      </c>
      <c r="D359" s="16" t="s">
        <v>145</v>
      </c>
      <c r="E359" s="16" t="s">
        <v>688</v>
      </c>
      <c r="F359" s="16" t="s">
        <v>527</v>
      </c>
      <c r="G359" s="16">
        <v>2020</v>
      </c>
      <c r="H359" s="16" t="s">
        <v>376</v>
      </c>
    </row>
    <row r="360" spans="1:8" ht="15" customHeight="1" x14ac:dyDescent="0.4">
      <c r="A360" s="16" t="s">
        <v>793</v>
      </c>
      <c r="B360" s="16" t="s">
        <v>786</v>
      </c>
      <c r="C360" s="16" t="s">
        <v>145</v>
      </c>
      <c r="D360" s="16" t="s">
        <v>145</v>
      </c>
      <c r="E360" s="16" t="s">
        <v>688</v>
      </c>
      <c r="F360" s="16" t="s">
        <v>527</v>
      </c>
      <c r="G360" s="16">
        <v>2020</v>
      </c>
      <c r="H360" s="16" t="s">
        <v>376</v>
      </c>
    </row>
    <row r="361" spans="1:8" ht="15" customHeight="1" x14ac:dyDescent="0.4">
      <c r="A361" s="16" t="s">
        <v>794</v>
      </c>
      <c r="B361" s="16" t="s">
        <v>786</v>
      </c>
      <c r="C361" s="16" t="s">
        <v>145</v>
      </c>
      <c r="D361" s="16" t="s">
        <v>145</v>
      </c>
      <c r="E361" s="16" t="s">
        <v>688</v>
      </c>
      <c r="F361" s="16" t="s">
        <v>527</v>
      </c>
      <c r="G361" s="16">
        <v>2020</v>
      </c>
      <c r="H361" s="16" t="s">
        <v>376</v>
      </c>
    </row>
    <row r="362" spans="1:8" ht="15" customHeight="1" x14ac:dyDescent="0.4">
      <c r="A362" s="16" t="s">
        <v>795</v>
      </c>
      <c r="B362" s="16" t="s">
        <v>796</v>
      </c>
      <c r="C362" s="16" t="s">
        <v>146</v>
      </c>
      <c r="D362" s="16" t="s">
        <v>797</v>
      </c>
      <c r="E362" s="16" t="s">
        <v>688</v>
      </c>
      <c r="F362" s="16" t="s">
        <v>527</v>
      </c>
      <c r="G362" s="16">
        <v>2007</v>
      </c>
      <c r="H362" s="16" t="s">
        <v>376</v>
      </c>
    </row>
    <row r="363" spans="1:8" ht="15" customHeight="1" x14ac:dyDescent="0.4">
      <c r="A363" s="16" t="s">
        <v>798</v>
      </c>
      <c r="B363" s="16" t="s">
        <v>796</v>
      </c>
      <c r="C363" s="16" t="s">
        <v>146</v>
      </c>
      <c r="D363" s="16" t="s">
        <v>797</v>
      </c>
      <c r="E363" s="16" t="s">
        <v>688</v>
      </c>
      <c r="F363" s="16" t="s">
        <v>527</v>
      </c>
      <c r="G363" s="16">
        <v>2011</v>
      </c>
      <c r="H363" s="16" t="s">
        <v>376</v>
      </c>
    </row>
    <row r="364" spans="1:8" ht="15" customHeight="1" x14ac:dyDescent="0.4">
      <c r="A364" s="16" t="s">
        <v>799</v>
      </c>
      <c r="B364" s="16" t="s">
        <v>796</v>
      </c>
      <c r="C364" s="16" t="s">
        <v>146</v>
      </c>
      <c r="D364" s="16" t="s">
        <v>797</v>
      </c>
      <c r="E364" s="16" t="s">
        <v>688</v>
      </c>
      <c r="F364" s="16" t="s">
        <v>527</v>
      </c>
      <c r="G364" s="16">
        <v>2011</v>
      </c>
      <c r="H364" s="16" t="s">
        <v>376</v>
      </c>
    </row>
    <row r="365" spans="1:8" ht="15" customHeight="1" x14ac:dyDescent="0.4">
      <c r="A365" s="16" t="s">
        <v>800</v>
      </c>
      <c r="B365" s="16" t="s">
        <v>796</v>
      </c>
      <c r="C365" s="16" t="s">
        <v>146</v>
      </c>
      <c r="D365" s="16" t="s">
        <v>797</v>
      </c>
      <c r="E365" s="16" t="s">
        <v>688</v>
      </c>
      <c r="F365" s="16" t="s">
        <v>527</v>
      </c>
      <c r="G365" s="16">
        <v>2021</v>
      </c>
      <c r="H365" s="16" t="s">
        <v>376</v>
      </c>
    </row>
    <row r="366" spans="1:8" ht="15" customHeight="1" x14ac:dyDescent="0.4">
      <c r="A366" s="16" t="s">
        <v>801</v>
      </c>
      <c r="B366" s="16" t="s">
        <v>796</v>
      </c>
      <c r="C366" s="16" t="s">
        <v>146</v>
      </c>
      <c r="D366" s="16" t="s">
        <v>797</v>
      </c>
      <c r="E366" s="16" t="s">
        <v>688</v>
      </c>
      <c r="F366" s="16" t="s">
        <v>527</v>
      </c>
      <c r="G366" s="16">
        <v>2021</v>
      </c>
      <c r="H366" s="16" t="s">
        <v>376</v>
      </c>
    </row>
    <row r="367" spans="1:8" ht="15" customHeight="1" x14ac:dyDescent="0.4">
      <c r="A367" s="16" t="s">
        <v>802</v>
      </c>
      <c r="B367" s="16" t="s">
        <v>796</v>
      </c>
      <c r="C367" s="16" t="s">
        <v>146</v>
      </c>
      <c r="D367" s="16" t="s">
        <v>797</v>
      </c>
      <c r="E367" s="16" t="s">
        <v>688</v>
      </c>
      <c r="F367" s="16" t="s">
        <v>527</v>
      </c>
      <c r="G367" s="16">
        <v>2021</v>
      </c>
      <c r="H367" s="16" t="s">
        <v>376</v>
      </c>
    </row>
    <row r="368" spans="1:8" ht="15" customHeight="1" x14ac:dyDescent="0.4">
      <c r="A368" s="16" t="s">
        <v>803</v>
      </c>
      <c r="B368" s="16" t="s">
        <v>796</v>
      </c>
      <c r="C368" s="16" t="s">
        <v>146</v>
      </c>
      <c r="D368" s="16" t="s">
        <v>797</v>
      </c>
      <c r="E368" s="16" t="s">
        <v>688</v>
      </c>
      <c r="F368" s="16" t="s">
        <v>527</v>
      </c>
      <c r="G368" s="16">
        <v>2021</v>
      </c>
      <c r="H368" s="16" t="s">
        <v>376</v>
      </c>
    </row>
    <row r="369" spans="1:8" ht="15" customHeight="1" x14ac:dyDescent="0.4">
      <c r="A369" s="16" t="s">
        <v>804</v>
      </c>
      <c r="B369" s="16" t="s">
        <v>796</v>
      </c>
      <c r="C369" s="16" t="s">
        <v>146</v>
      </c>
      <c r="D369" s="16" t="s">
        <v>797</v>
      </c>
      <c r="E369" s="16" t="s">
        <v>688</v>
      </c>
      <c r="F369" s="16" t="s">
        <v>527</v>
      </c>
      <c r="G369" s="16">
        <v>2021</v>
      </c>
      <c r="H369" s="16" t="s">
        <v>376</v>
      </c>
    </row>
    <row r="370" spans="1:8" ht="15" customHeight="1" x14ac:dyDescent="0.4">
      <c r="A370" s="16" t="s">
        <v>805</v>
      </c>
      <c r="B370" s="16" t="s">
        <v>796</v>
      </c>
      <c r="C370" s="16" t="s">
        <v>146</v>
      </c>
      <c r="D370" s="16" t="s">
        <v>797</v>
      </c>
      <c r="E370" s="16" t="s">
        <v>688</v>
      </c>
      <c r="F370" s="16" t="s">
        <v>527</v>
      </c>
      <c r="G370" s="16">
        <v>2021</v>
      </c>
      <c r="H370" s="16" t="s">
        <v>376</v>
      </c>
    </row>
    <row r="371" spans="1:8" ht="15" customHeight="1" x14ac:dyDescent="0.4">
      <c r="A371" s="16" t="s">
        <v>806</v>
      </c>
      <c r="B371" s="16" t="s">
        <v>796</v>
      </c>
      <c r="C371" s="16" t="s">
        <v>146</v>
      </c>
      <c r="D371" s="16" t="s">
        <v>797</v>
      </c>
      <c r="E371" s="16" t="s">
        <v>688</v>
      </c>
      <c r="F371" s="16" t="s">
        <v>527</v>
      </c>
      <c r="G371" s="16">
        <v>2021</v>
      </c>
      <c r="H371" s="16" t="s">
        <v>376</v>
      </c>
    </row>
    <row r="372" spans="1:8" ht="15" customHeight="1" x14ac:dyDescent="0.4">
      <c r="A372" s="16" t="s">
        <v>807</v>
      </c>
      <c r="B372" s="16" t="s">
        <v>786</v>
      </c>
      <c r="C372" s="16" t="s">
        <v>145</v>
      </c>
      <c r="D372" s="16" t="s">
        <v>145</v>
      </c>
      <c r="E372" s="16" t="s">
        <v>688</v>
      </c>
      <c r="F372" s="16" t="s">
        <v>527</v>
      </c>
      <c r="G372" s="16">
        <v>2008</v>
      </c>
      <c r="H372" s="16" t="s">
        <v>376</v>
      </c>
    </row>
    <row r="373" spans="1:8" ht="15" customHeight="1" x14ac:dyDescent="0.4">
      <c r="A373" s="16" t="s">
        <v>808</v>
      </c>
      <c r="B373" s="16" t="s">
        <v>786</v>
      </c>
      <c r="C373" s="16" t="s">
        <v>145</v>
      </c>
      <c r="D373" s="16" t="s">
        <v>145</v>
      </c>
      <c r="E373" s="16" t="s">
        <v>688</v>
      </c>
      <c r="F373" s="16" t="s">
        <v>527</v>
      </c>
      <c r="G373" s="16">
        <v>2008</v>
      </c>
      <c r="H373" s="16" t="s">
        <v>376</v>
      </c>
    </row>
    <row r="374" spans="1:8" ht="15" customHeight="1" x14ac:dyDescent="0.4">
      <c r="A374" s="16" t="s">
        <v>809</v>
      </c>
      <c r="B374" s="16" t="s">
        <v>786</v>
      </c>
      <c r="C374" s="16" t="s">
        <v>145</v>
      </c>
      <c r="D374" s="16" t="s">
        <v>145</v>
      </c>
      <c r="E374" s="16" t="s">
        <v>688</v>
      </c>
      <c r="F374" s="16" t="s">
        <v>527</v>
      </c>
      <c r="G374" s="16">
        <v>2008</v>
      </c>
      <c r="H374" s="16" t="s">
        <v>376</v>
      </c>
    </row>
    <row r="375" spans="1:8" ht="15" customHeight="1" x14ac:dyDescent="0.4">
      <c r="A375" s="16" t="s">
        <v>810</v>
      </c>
      <c r="B375" s="16" t="s">
        <v>811</v>
      </c>
      <c r="C375" s="16" t="s">
        <v>146</v>
      </c>
      <c r="D375" s="16" t="s">
        <v>812</v>
      </c>
      <c r="E375" s="16" t="s">
        <v>688</v>
      </c>
      <c r="F375" s="16" t="s">
        <v>527</v>
      </c>
      <c r="G375" s="16">
        <v>2011</v>
      </c>
      <c r="H375" s="16" t="s">
        <v>376</v>
      </c>
    </row>
    <row r="376" spans="1:8" ht="15" customHeight="1" x14ac:dyDescent="0.4">
      <c r="A376" s="16" t="s">
        <v>813</v>
      </c>
      <c r="B376" s="16" t="s">
        <v>811</v>
      </c>
      <c r="C376" s="16" t="s">
        <v>146</v>
      </c>
      <c r="D376" s="16" t="s">
        <v>812</v>
      </c>
      <c r="E376" s="16" t="s">
        <v>688</v>
      </c>
      <c r="F376" s="16" t="s">
        <v>527</v>
      </c>
      <c r="G376" s="16">
        <v>2011</v>
      </c>
      <c r="H376" s="16" t="s">
        <v>376</v>
      </c>
    </row>
    <row r="377" spans="1:8" ht="15" customHeight="1" x14ac:dyDescent="0.4">
      <c r="A377" s="16" t="s">
        <v>814</v>
      </c>
      <c r="B377" s="16" t="s">
        <v>815</v>
      </c>
      <c r="C377" s="16" t="s">
        <v>146</v>
      </c>
      <c r="D377" s="16" t="s">
        <v>815</v>
      </c>
      <c r="E377" s="16" t="s">
        <v>688</v>
      </c>
      <c r="F377" s="16" t="s">
        <v>527</v>
      </c>
      <c r="G377" s="16">
        <v>2015</v>
      </c>
      <c r="H377" s="16" t="s">
        <v>376</v>
      </c>
    </row>
    <row r="378" spans="1:8" ht="15" customHeight="1" x14ac:dyDescent="0.4">
      <c r="A378" s="16" t="s">
        <v>816</v>
      </c>
      <c r="B378" s="16" t="s">
        <v>815</v>
      </c>
      <c r="C378" s="16" t="s">
        <v>146</v>
      </c>
      <c r="D378" s="16" t="s">
        <v>815</v>
      </c>
      <c r="E378" s="16" t="s">
        <v>688</v>
      </c>
      <c r="F378" s="16" t="s">
        <v>527</v>
      </c>
      <c r="G378" s="16">
        <v>2015</v>
      </c>
      <c r="H378" s="16" t="s">
        <v>376</v>
      </c>
    </row>
    <row r="379" spans="1:8" ht="15" customHeight="1" x14ac:dyDescent="0.4">
      <c r="A379" s="16" t="s">
        <v>817</v>
      </c>
      <c r="B379" s="16" t="s">
        <v>815</v>
      </c>
      <c r="C379" s="16" t="s">
        <v>146</v>
      </c>
      <c r="D379" s="16" t="s">
        <v>815</v>
      </c>
      <c r="E379" s="16" t="s">
        <v>688</v>
      </c>
      <c r="F379" s="16" t="s">
        <v>527</v>
      </c>
      <c r="G379" s="16">
        <v>2015</v>
      </c>
      <c r="H379" s="16" t="s">
        <v>376</v>
      </c>
    </row>
    <row r="380" spans="1:8" ht="15" customHeight="1" x14ac:dyDescent="0.4">
      <c r="A380" s="16" t="s">
        <v>818</v>
      </c>
      <c r="B380" s="16" t="s">
        <v>815</v>
      </c>
      <c r="C380" s="16" t="s">
        <v>146</v>
      </c>
      <c r="D380" s="16" t="s">
        <v>815</v>
      </c>
      <c r="E380" s="16" t="s">
        <v>688</v>
      </c>
      <c r="F380" s="16" t="s">
        <v>527</v>
      </c>
      <c r="G380" s="16">
        <v>2015</v>
      </c>
      <c r="H380" s="16" t="s">
        <v>376</v>
      </c>
    </row>
    <row r="381" spans="1:8" ht="15" customHeight="1" x14ac:dyDescent="0.4">
      <c r="A381" s="16" t="s">
        <v>819</v>
      </c>
      <c r="B381" s="16" t="s">
        <v>820</v>
      </c>
      <c r="C381" s="16" t="s">
        <v>144</v>
      </c>
      <c r="D381" s="16" t="s">
        <v>418</v>
      </c>
      <c r="E381" s="16" t="s">
        <v>158</v>
      </c>
      <c r="F381" s="16" t="s">
        <v>159</v>
      </c>
      <c r="G381" s="16">
        <v>2024</v>
      </c>
      <c r="H381" s="16" t="s">
        <v>821</v>
      </c>
    </row>
    <row r="382" spans="1:8" ht="15" customHeight="1" x14ac:dyDescent="0.4">
      <c r="A382" s="16" t="s">
        <v>822</v>
      </c>
      <c r="B382" s="16" t="s">
        <v>820</v>
      </c>
      <c r="C382" s="16" t="s">
        <v>144</v>
      </c>
      <c r="D382" s="16" t="s">
        <v>418</v>
      </c>
      <c r="E382" s="16" t="s">
        <v>158</v>
      </c>
      <c r="F382" s="16" t="s">
        <v>159</v>
      </c>
      <c r="G382" s="16">
        <v>2024</v>
      </c>
      <c r="H382" s="16" t="s">
        <v>823</v>
      </c>
    </row>
    <row r="383" spans="1:8" ht="15" customHeight="1" x14ac:dyDescent="0.4">
      <c r="A383" s="16" t="s">
        <v>824</v>
      </c>
      <c r="B383" s="16" t="s">
        <v>820</v>
      </c>
      <c r="C383" s="16" t="s">
        <v>144</v>
      </c>
      <c r="D383" s="16" t="s">
        <v>418</v>
      </c>
      <c r="E383" s="16" t="s">
        <v>158</v>
      </c>
      <c r="F383" s="16" t="s">
        <v>159</v>
      </c>
      <c r="G383" s="16">
        <v>2024</v>
      </c>
      <c r="H383" s="16" t="s">
        <v>825</v>
      </c>
    </row>
    <row r="384" spans="1:8" ht="15" customHeight="1" x14ac:dyDescent="0.4">
      <c r="A384" s="16" t="s">
        <v>826</v>
      </c>
      <c r="B384" s="16" t="s">
        <v>820</v>
      </c>
      <c r="C384" s="16" t="s">
        <v>144</v>
      </c>
      <c r="D384" s="16" t="s">
        <v>418</v>
      </c>
      <c r="E384" s="16" t="s">
        <v>158</v>
      </c>
      <c r="F384" s="16" t="s">
        <v>159</v>
      </c>
      <c r="G384" s="16">
        <v>2024</v>
      </c>
      <c r="H384" s="16" t="s">
        <v>827</v>
      </c>
    </row>
    <row r="385" spans="1:8" ht="15" customHeight="1" x14ac:dyDescent="0.4">
      <c r="A385" s="16" t="s">
        <v>828</v>
      </c>
      <c r="B385" s="16" t="s">
        <v>820</v>
      </c>
      <c r="C385" s="16" t="s">
        <v>144</v>
      </c>
      <c r="D385" s="16" t="s">
        <v>418</v>
      </c>
      <c r="E385" s="16" t="s">
        <v>158</v>
      </c>
      <c r="F385" s="16" t="s">
        <v>159</v>
      </c>
      <c r="G385" s="16">
        <v>2024</v>
      </c>
      <c r="H385" s="16" t="s">
        <v>829</v>
      </c>
    </row>
    <row r="386" spans="1:8" ht="15" customHeight="1" x14ac:dyDescent="0.4">
      <c r="A386" s="16" t="s">
        <v>830</v>
      </c>
      <c r="B386" s="16" t="s">
        <v>820</v>
      </c>
      <c r="C386" s="16" t="s">
        <v>144</v>
      </c>
      <c r="D386" s="16" t="s">
        <v>418</v>
      </c>
      <c r="E386" s="16" t="s">
        <v>158</v>
      </c>
      <c r="F386" s="16" t="s">
        <v>159</v>
      </c>
      <c r="G386" s="16">
        <v>2024</v>
      </c>
      <c r="H386" s="16" t="s">
        <v>831</v>
      </c>
    </row>
    <row r="387" spans="1:8" ht="15" customHeight="1" x14ac:dyDescent="0.4">
      <c r="A387" s="16" t="s">
        <v>832</v>
      </c>
      <c r="B387" s="16" t="s">
        <v>833</v>
      </c>
      <c r="C387" s="16" t="s">
        <v>146</v>
      </c>
      <c r="D387" s="16" t="s">
        <v>834</v>
      </c>
      <c r="E387" s="16" t="s">
        <v>688</v>
      </c>
      <c r="F387" s="16" t="s">
        <v>527</v>
      </c>
      <c r="G387" s="16">
        <v>2025</v>
      </c>
      <c r="H387" s="16" t="s">
        <v>376</v>
      </c>
    </row>
    <row r="388" spans="1:8" ht="15" customHeight="1" x14ac:dyDescent="0.4">
      <c r="A388" s="16" t="s">
        <v>835</v>
      </c>
      <c r="B388" s="16" t="s">
        <v>833</v>
      </c>
      <c r="C388" s="16" t="s">
        <v>146</v>
      </c>
      <c r="D388" s="16" t="s">
        <v>834</v>
      </c>
      <c r="E388" s="16" t="s">
        <v>688</v>
      </c>
      <c r="F388" s="16" t="s">
        <v>527</v>
      </c>
      <c r="G388" s="16">
        <v>2026</v>
      </c>
      <c r="H388" s="16" t="s">
        <v>376</v>
      </c>
    </row>
  </sheetData>
  <mergeCells count="1">
    <mergeCell ref="A1:H1"/>
  </mergeCells>
  <hyperlinks>
    <hyperlink ref="J1" r:id="rId1" location="Menu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zoomScaleNormal="100" workbookViewId="0">
      <pane ySplit="4" topLeftCell="A5" activePane="bottomLeft" state="frozen"/>
      <selection pane="bottomLeft"/>
    </sheetView>
  </sheetViews>
  <sheetFormatPr defaultColWidth="8.69140625" defaultRowHeight="14.6" x14ac:dyDescent="0.4"/>
  <cols>
    <col min="1" max="1" width="24" customWidth="1"/>
    <col min="2" max="2" width="22" customWidth="1"/>
    <col min="3" max="3" width="30" customWidth="1"/>
    <col min="4" max="4" width="11" customWidth="1"/>
    <col min="5" max="5" width="10" customWidth="1"/>
    <col min="6" max="6" width="11" customWidth="1"/>
    <col min="7" max="7" width="10" customWidth="1"/>
    <col min="8" max="8" width="15" customWidth="1"/>
    <col min="9" max="9" width="13" customWidth="1"/>
  </cols>
  <sheetData>
    <row r="1" spans="1:11" ht="15.75" customHeight="1" x14ac:dyDescent="0.45">
      <c r="A1" s="3" t="s">
        <v>836</v>
      </c>
      <c r="B1" s="3"/>
      <c r="C1" s="3"/>
      <c r="D1" s="3"/>
      <c r="E1" s="3"/>
      <c r="F1" s="3"/>
      <c r="G1" s="3"/>
      <c r="H1" s="3"/>
      <c r="I1" s="3"/>
      <c r="K1" s="11" t="s">
        <v>47</v>
      </c>
    </row>
    <row r="4" spans="1:11" ht="23.25" customHeight="1" x14ac:dyDescent="0.4">
      <c r="A4" s="14" t="s">
        <v>837</v>
      </c>
      <c r="B4" s="14" t="s">
        <v>838</v>
      </c>
      <c r="C4" s="14" t="s">
        <v>71</v>
      </c>
      <c r="D4" s="14" t="s">
        <v>839</v>
      </c>
      <c r="E4" s="14" t="s">
        <v>840</v>
      </c>
      <c r="F4" s="14" t="s">
        <v>841</v>
      </c>
      <c r="G4" s="14" t="s">
        <v>842</v>
      </c>
      <c r="H4" s="14" t="s">
        <v>843</v>
      </c>
      <c r="I4" s="14" t="s">
        <v>844</v>
      </c>
    </row>
    <row r="5" spans="1:11" ht="15" customHeight="1" x14ac:dyDescent="0.4">
      <c r="A5" s="16"/>
      <c r="B5" s="16"/>
      <c r="C5" s="16"/>
      <c r="D5" s="16"/>
      <c r="E5" s="16"/>
      <c r="F5" s="16"/>
      <c r="G5" s="16"/>
      <c r="H5" s="16" t="str">
        <f t="shared" ref="H5:H44" si="0">IF($A5="","",ROUND(E5*(1+F5/100),2))</f>
        <v/>
      </c>
      <c r="I5" s="16" t="str">
        <f>IF($A5="","",ROUND(H5/MAX(1,(Premissas!$B$35/12)*VLOOKUP(C5,Premissas!$A$14:$K$19,11,0)),2))</f>
        <v/>
      </c>
    </row>
    <row r="6" spans="1:11" ht="15" customHeight="1" x14ac:dyDescent="0.4">
      <c r="A6" s="16"/>
      <c r="B6" s="16"/>
      <c r="C6" s="16"/>
      <c r="D6" s="16"/>
      <c r="E6" s="16"/>
      <c r="F6" s="16"/>
      <c r="G6" s="16"/>
      <c r="H6" s="16" t="str">
        <f t="shared" si="0"/>
        <v/>
      </c>
      <c r="I6" s="16" t="str">
        <f>IF($A6="","",ROUND(H6/MAX(1,(Premissas!$B$35/12)*VLOOKUP(C6,Premissas!$A$14:$K$19,11,0)),2))</f>
        <v/>
      </c>
    </row>
    <row r="7" spans="1:11" ht="15" customHeight="1" x14ac:dyDescent="0.4">
      <c r="A7" s="16"/>
      <c r="B7" s="16"/>
      <c r="C7" s="16"/>
      <c r="D7" s="16"/>
      <c r="E7" s="16"/>
      <c r="F7" s="16"/>
      <c r="G7" s="16"/>
      <c r="H7" s="16" t="str">
        <f t="shared" si="0"/>
        <v/>
      </c>
      <c r="I7" s="16" t="str">
        <f>IF($A7="","",ROUND(H7/MAX(1,(Premissas!$B$35/12)*VLOOKUP(C7,Premissas!$A$14:$K$19,11,0)),2))</f>
        <v/>
      </c>
    </row>
    <row r="8" spans="1:11" ht="15" customHeight="1" x14ac:dyDescent="0.4">
      <c r="A8" s="16"/>
      <c r="B8" s="16"/>
      <c r="C8" s="16"/>
      <c r="D8" s="16"/>
      <c r="E8" s="16"/>
      <c r="F8" s="16"/>
      <c r="G8" s="16"/>
      <c r="H8" s="16" t="str">
        <f t="shared" si="0"/>
        <v/>
      </c>
      <c r="I8" s="16" t="str">
        <f>IF($A8="","",ROUND(H8/MAX(1,(Premissas!$B$35/12)*VLOOKUP(C8,Premissas!$A$14:$K$19,11,0)),2))</f>
        <v/>
      </c>
    </row>
    <row r="9" spans="1:11" ht="15" customHeight="1" x14ac:dyDescent="0.4">
      <c r="A9" s="16"/>
      <c r="B9" s="16"/>
      <c r="C9" s="16"/>
      <c r="D9" s="16"/>
      <c r="E9" s="16"/>
      <c r="F9" s="16"/>
      <c r="G9" s="16"/>
      <c r="H9" s="16" t="str">
        <f t="shared" si="0"/>
        <v/>
      </c>
      <c r="I9" s="16" t="str">
        <f>IF($A9="","",ROUND(H9/MAX(1,(Premissas!$B$35/12)*VLOOKUP(C9,Premissas!$A$14:$K$19,11,0)),2))</f>
        <v/>
      </c>
    </row>
    <row r="10" spans="1:11" ht="15" customHeight="1" x14ac:dyDescent="0.4">
      <c r="A10" s="16"/>
      <c r="B10" s="16"/>
      <c r="C10" s="16"/>
      <c r="D10" s="16"/>
      <c r="E10" s="16"/>
      <c r="F10" s="16"/>
      <c r="G10" s="16"/>
      <c r="H10" s="16" t="str">
        <f t="shared" si="0"/>
        <v/>
      </c>
      <c r="I10" s="16" t="str">
        <f>IF($A10="","",ROUND(H10/MAX(1,(Premissas!$B$35/12)*VLOOKUP(C10,Premissas!$A$14:$K$19,11,0)),2))</f>
        <v/>
      </c>
    </row>
    <row r="11" spans="1:11" ht="15" customHeight="1" x14ac:dyDescent="0.4">
      <c r="A11" s="16"/>
      <c r="B11" s="16"/>
      <c r="C11" s="16"/>
      <c r="D11" s="16"/>
      <c r="E11" s="16"/>
      <c r="F11" s="16"/>
      <c r="G11" s="16"/>
      <c r="H11" s="16" t="str">
        <f t="shared" si="0"/>
        <v/>
      </c>
      <c r="I11" s="16" t="str">
        <f>IF($A11="","",ROUND(H11/MAX(1,(Premissas!$B$35/12)*VLOOKUP(C11,Premissas!$A$14:$K$19,11,0)),2))</f>
        <v/>
      </c>
    </row>
    <row r="12" spans="1:11" ht="15" customHeight="1" x14ac:dyDescent="0.4">
      <c r="A12" s="16"/>
      <c r="B12" s="16"/>
      <c r="C12" s="16"/>
      <c r="D12" s="16"/>
      <c r="E12" s="16"/>
      <c r="F12" s="16"/>
      <c r="G12" s="16"/>
      <c r="H12" s="16" t="str">
        <f t="shared" si="0"/>
        <v/>
      </c>
      <c r="I12" s="16" t="str">
        <f>IF($A12="","",ROUND(H12/MAX(1,(Premissas!$B$35/12)*VLOOKUP(C12,Premissas!$A$14:$K$19,11,0)),2))</f>
        <v/>
      </c>
    </row>
    <row r="13" spans="1:11" ht="15" customHeight="1" x14ac:dyDescent="0.4">
      <c r="A13" s="16"/>
      <c r="B13" s="16"/>
      <c r="C13" s="16"/>
      <c r="D13" s="16"/>
      <c r="E13" s="16"/>
      <c r="F13" s="16"/>
      <c r="G13" s="16"/>
      <c r="H13" s="16" t="str">
        <f t="shared" si="0"/>
        <v/>
      </c>
      <c r="I13" s="16" t="str">
        <f>IF($A13="","",ROUND(H13/MAX(1,(Premissas!$B$35/12)*VLOOKUP(C13,Premissas!$A$14:$K$19,11,0)),2))</f>
        <v/>
      </c>
    </row>
    <row r="14" spans="1:11" ht="15" customHeight="1" x14ac:dyDescent="0.4">
      <c r="A14" s="16"/>
      <c r="B14" s="16"/>
      <c r="C14" s="16"/>
      <c r="D14" s="16"/>
      <c r="E14" s="16"/>
      <c r="F14" s="16"/>
      <c r="G14" s="16"/>
      <c r="H14" s="16" t="str">
        <f t="shared" si="0"/>
        <v/>
      </c>
      <c r="I14" s="16" t="str">
        <f>IF($A14="","",ROUND(H14/MAX(1,(Premissas!$B$35/12)*VLOOKUP(C14,Premissas!$A$14:$K$19,11,0)),2))</f>
        <v/>
      </c>
    </row>
    <row r="15" spans="1:11" ht="15" customHeight="1" x14ac:dyDescent="0.4">
      <c r="A15" s="16"/>
      <c r="B15" s="16"/>
      <c r="C15" s="16"/>
      <c r="D15" s="16"/>
      <c r="E15" s="16"/>
      <c r="F15" s="16"/>
      <c r="G15" s="16"/>
      <c r="H15" s="16" t="str">
        <f t="shared" si="0"/>
        <v/>
      </c>
      <c r="I15" s="16" t="str">
        <f>IF($A15="","",ROUND(H15/MAX(1,(Premissas!$B$35/12)*VLOOKUP(C15,Premissas!$A$14:$K$19,11,0)),2))</f>
        <v/>
      </c>
    </row>
    <row r="16" spans="1:11" ht="15" customHeight="1" x14ac:dyDescent="0.4">
      <c r="A16" s="16"/>
      <c r="B16" s="16"/>
      <c r="C16" s="16"/>
      <c r="D16" s="16"/>
      <c r="E16" s="16"/>
      <c r="F16" s="16"/>
      <c r="G16" s="16"/>
      <c r="H16" s="16" t="str">
        <f t="shared" si="0"/>
        <v/>
      </c>
      <c r="I16" s="16" t="str">
        <f>IF($A16="","",ROUND(H16/MAX(1,(Premissas!$B$35/12)*VLOOKUP(C16,Premissas!$A$14:$K$19,11,0)),2))</f>
        <v/>
      </c>
    </row>
    <row r="17" spans="1:9" ht="15" customHeight="1" x14ac:dyDescent="0.4">
      <c r="A17" s="16"/>
      <c r="B17" s="16"/>
      <c r="C17" s="16"/>
      <c r="D17" s="16"/>
      <c r="E17" s="16"/>
      <c r="F17" s="16"/>
      <c r="G17" s="16"/>
      <c r="H17" s="16" t="str">
        <f t="shared" si="0"/>
        <v/>
      </c>
      <c r="I17" s="16" t="str">
        <f>IF($A17="","",ROUND(H17/MAX(1,(Premissas!$B$35/12)*VLOOKUP(C17,Premissas!$A$14:$K$19,11,0)),2))</f>
        <v/>
      </c>
    </row>
    <row r="18" spans="1:9" ht="15" customHeight="1" x14ac:dyDescent="0.4">
      <c r="A18" s="16"/>
      <c r="B18" s="16"/>
      <c r="C18" s="16"/>
      <c r="D18" s="16"/>
      <c r="E18" s="16"/>
      <c r="F18" s="16"/>
      <c r="G18" s="16"/>
      <c r="H18" s="16" t="str">
        <f t="shared" si="0"/>
        <v/>
      </c>
      <c r="I18" s="16" t="str">
        <f>IF($A18="","",ROUND(H18/MAX(1,(Premissas!$B$35/12)*VLOOKUP(C18,Premissas!$A$14:$K$19,11,0)),2))</f>
        <v/>
      </c>
    </row>
    <row r="19" spans="1:9" ht="15" customHeight="1" x14ac:dyDescent="0.4">
      <c r="A19" s="16"/>
      <c r="B19" s="16"/>
      <c r="C19" s="16"/>
      <c r="D19" s="16"/>
      <c r="E19" s="16"/>
      <c r="F19" s="16"/>
      <c r="G19" s="16"/>
      <c r="H19" s="16" t="str">
        <f t="shared" si="0"/>
        <v/>
      </c>
      <c r="I19" s="16" t="str">
        <f>IF($A19="","",ROUND(H19/MAX(1,(Premissas!$B$35/12)*VLOOKUP(C19,Premissas!$A$14:$K$19,11,0)),2))</f>
        <v/>
      </c>
    </row>
    <row r="20" spans="1:9" ht="15" customHeight="1" x14ac:dyDescent="0.4">
      <c r="A20" s="16"/>
      <c r="B20" s="16"/>
      <c r="C20" s="16"/>
      <c r="D20" s="16"/>
      <c r="E20" s="16"/>
      <c r="F20" s="16"/>
      <c r="G20" s="16"/>
      <c r="H20" s="16" t="str">
        <f t="shared" si="0"/>
        <v/>
      </c>
      <c r="I20" s="16" t="str">
        <f>IF($A20="","",ROUND(H20/MAX(1,(Premissas!$B$35/12)*VLOOKUP(C20,Premissas!$A$14:$K$19,11,0)),2))</f>
        <v/>
      </c>
    </row>
    <row r="21" spans="1:9" ht="15" customHeight="1" x14ac:dyDescent="0.4">
      <c r="A21" s="16"/>
      <c r="B21" s="16"/>
      <c r="C21" s="16"/>
      <c r="D21" s="16"/>
      <c r="E21" s="16"/>
      <c r="F21" s="16"/>
      <c r="G21" s="16"/>
      <c r="H21" s="16" t="str">
        <f t="shared" si="0"/>
        <v/>
      </c>
      <c r="I21" s="16" t="str">
        <f>IF($A21="","",ROUND(H21/MAX(1,(Premissas!$B$35/12)*VLOOKUP(C21,Premissas!$A$14:$K$19,11,0)),2))</f>
        <v/>
      </c>
    </row>
    <row r="22" spans="1:9" ht="15" customHeight="1" x14ac:dyDescent="0.4">
      <c r="A22" s="16"/>
      <c r="B22" s="16"/>
      <c r="C22" s="16"/>
      <c r="D22" s="16"/>
      <c r="E22" s="16"/>
      <c r="F22" s="16"/>
      <c r="G22" s="16"/>
      <c r="H22" s="16" t="str">
        <f t="shared" si="0"/>
        <v/>
      </c>
      <c r="I22" s="16" t="str">
        <f>IF($A22="","",ROUND(H22/MAX(1,(Premissas!$B$35/12)*VLOOKUP(C22,Premissas!$A$14:$K$19,11,0)),2))</f>
        <v/>
      </c>
    </row>
    <row r="23" spans="1:9" ht="15" customHeight="1" x14ac:dyDescent="0.4">
      <c r="A23" s="16"/>
      <c r="B23" s="16"/>
      <c r="C23" s="16"/>
      <c r="D23" s="16"/>
      <c r="E23" s="16"/>
      <c r="F23" s="16"/>
      <c r="G23" s="16"/>
      <c r="H23" s="16" t="str">
        <f t="shared" si="0"/>
        <v/>
      </c>
      <c r="I23" s="16" t="str">
        <f>IF($A23="","",ROUND(H23/MAX(1,(Premissas!$B$35/12)*VLOOKUP(C23,Premissas!$A$14:$K$19,11,0)),2))</f>
        <v/>
      </c>
    </row>
    <row r="24" spans="1:9" ht="15" customHeight="1" x14ac:dyDescent="0.4">
      <c r="A24" s="16"/>
      <c r="B24" s="16"/>
      <c r="C24" s="16"/>
      <c r="D24" s="16"/>
      <c r="E24" s="16"/>
      <c r="F24" s="16"/>
      <c r="G24" s="16"/>
      <c r="H24" s="16" t="str">
        <f t="shared" si="0"/>
        <v/>
      </c>
      <c r="I24" s="16" t="str">
        <f>IF($A24="","",ROUND(H24/MAX(1,(Premissas!$B$35/12)*VLOOKUP(C24,Premissas!$A$14:$K$19,11,0)),2))</f>
        <v/>
      </c>
    </row>
    <row r="25" spans="1:9" ht="15" customHeight="1" x14ac:dyDescent="0.4">
      <c r="A25" s="16"/>
      <c r="B25" s="16"/>
      <c r="C25" s="16"/>
      <c r="D25" s="16"/>
      <c r="E25" s="16"/>
      <c r="F25" s="16"/>
      <c r="G25" s="16"/>
      <c r="H25" s="16" t="str">
        <f t="shared" si="0"/>
        <v/>
      </c>
      <c r="I25" s="16" t="str">
        <f>IF($A25="","",ROUND(H25/MAX(1,(Premissas!$B$35/12)*VLOOKUP(C25,Premissas!$A$14:$K$19,11,0)),2))</f>
        <v/>
      </c>
    </row>
    <row r="26" spans="1:9" ht="15" customHeight="1" x14ac:dyDescent="0.4">
      <c r="A26" s="16"/>
      <c r="B26" s="16"/>
      <c r="C26" s="16"/>
      <c r="D26" s="16"/>
      <c r="E26" s="16"/>
      <c r="F26" s="16"/>
      <c r="G26" s="16"/>
      <c r="H26" s="16" t="str">
        <f t="shared" si="0"/>
        <v/>
      </c>
      <c r="I26" s="16" t="str">
        <f>IF($A26="","",ROUND(H26/MAX(1,(Premissas!$B$35/12)*VLOOKUP(C26,Premissas!$A$14:$K$19,11,0)),2))</f>
        <v/>
      </c>
    </row>
    <row r="27" spans="1:9" ht="15" customHeight="1" x14ac:dyDescent="0.4">
      <c r="A27" s="16"/>
      <c r="B27" s="16"/>
      <c r="C27" s="16"/>
      <c r="D27" s="16"/>
      <c r="E27" s="16"/>
      <c r="F27" s="16"/>
      <c r="G27" s="16"/>
      <c r="H27" s="16" t="str">
        <f t="shared" si="0"/>
        <v/>
      </c>
      <c r="I27" s="16" t="str">
        <f>IF($A27="","",ROUND(H27/MAX(1,(Premissas!$B$35/12)*VLOOKUP(C27,Premissas!$A$14:$K$19,11,0)),2))</f>
        <v/>
      </c>
    </row>
    <row r="28" spans="1:9" ht="15" customHeight="1" x14ac:dyDescent="0.4">
      <c r="A28" s="16"/>
      <c r="B28" s="16"/>
      <c r="C28" s="16"/>
      <c r="D28" s="16"/>
      <c r="E28" s="16"/>
      <c r="F28" s="16"/>
      <c r="G28" s="16"/>
      <c r="H28" s="16" t="str">
        <f t="shared" si="0"/>
        <v/>
      </c>
      <c r="I28" s="16" t="str">
        <f>IF($A28="","",ROUND(H28/MAX(1,(Premissas!$B$35/12)*VLOOKUP(C28,Premissas!$A$14:$K$19,11,0)),2))</f>
        <v/>
      </c>
    </row>
    <row r="29" spans="1:9" ht="15" customHeight="1" x14ac:dyDescent="0.4">
      <c r="A29" s="16"/>
      <c r="B29" s="16"/>
      <c r="C29" s="16"/>
      <c r="D29" s="16"/>
      <c r="E29" s="16"/>
      <c r="F29" s="16"/>
      <c r="G29" s="16"/>
      <c r="H29" s="16" t="str">
        <f t="shared" si="0"/>
        <v/>
      </c>
      <c r="I29" s="16" t="str">
        <f>IF($A29="","",ROUND(H29/MAX(1,(Premissas!$B$35/12)*VLOOKUP(C29,Premissas!$A$14:$K$19,11,0)),2))</f>
        <v/>
      </c>
    </row>
    <row r="30" spans="1:9" ht="15" customHeight="1" x14ac:dyDescent="0.4">
      <c r="A30" s="16"/>
      <c r="B30" s="16"/>
      <c r="C30" s="16"/>
      <c r="D30" s="16"/>
      <c r="E30" s="16"/>
      <c r="F30" s="16"/>
      <c r="G30" s="16"/>
      <c r="H30" s="16" t="str">
        <f t="shared" si="0"/>
        <v/>
      </c>
      <c r="I30" s="16" t="str">
        <f>IF($A30="","",ROUND(H30/MAX(1,(Premissas!$B$35/12)*VLOOKUP(C30,Premissas!$A$14:$K$19,11,0)),2))</f>
        <v/>
      </c>
    </row>
    <row r="31" spans="1:9" ht="15" customHeight="1" x14ac:dyDescent="0.4">
      <c r="A31" s="16"/>
      <c r="B31" s="16"/>
      <c r="C31" s="16"/>
      <c r="D31" s="16"/>
      <c r="E31" s="16"/>
      <c r="F31" s="16"/>
      <c r="G31" s="16"/>
      <c r="H31" s="16" t="str">
        <f t="shared" si="0"/>
        <v/>
      </c>
      <c r="I31" s="16" t="str">
        <f>IF($A31="","",ROUND(H31/MAX(1,(Premissas!$B$35/12)*VLOOKUP(C31,Premissas!$A$14:$K$19,11,0)),2))</f>
        <v/>
      </c>
    </row>
    <row r="32" spans="1:9" ht="15" customHeight="1" x14ac:dyDescent="0.4">
      <c r="A32" s="16"/>
      <c r="B32" s="16"/>
      <c r="C32" s="16"/>
      <c r="D32" s="16"/>
      <c r="E32" s="16"/>
      <c r="F32" s="16"/>
      <c r="G32" s="16"/>
      <c r="H32" s="16" t="str">
        <f t="shared" si="0"/>
        <v/>
      </c>
      <c r="I32" s="16" t="str">
        <f>IF($A32="","",ROUND(H32/MAX(1,(Premissas!$B$35/12)*VLOOKUP(C32,Premissas!$A$14:$K$19,11,0)),2))</f>
        <v/>
      </c>
    </row>
    <row r="33" spans="1:9" ht="15" customHeight="1" x14ac:dyDescent="0.4">
      <c r="A33" s="16"/>
      <c r="B33" s="16"/>
      <c r="C33" s="16"/>
      <c r="D33" s="16"/>
      <c r="E33" s="16"/>
      <c r="F33" s="16"/>
      <c r="G33" s="16"/>
      <c r="H33" s="16" t="str">
        <f t="shared" si="0"/>
        <v/>
      </c>
      <c r="I33" s="16" t="str">
        <f>IF($A33="","",ROUND(H33/MAX(1,(Premissas!$B$35/12)*VLOOKUP(C33,Premissas!$A$14:$K$19,11,0)),2))</f>
        <v/>
      </c>
    </row>
    <row r="34" spans="1:9" ht="15" customHeight="1" x14ac:dyDescent="0.4">
      <c r="A34" s="16"/>
      <c r="B34" s="16"/>
      <c r="C34" s="16"/>
      <c r="D34" s="16"/>
      <c r="E34" s="16"/>
      <c r="F34" s="16"/>
      <c r="G34" s="16"/>
      <c r="H34" s="16" t="str">
        <f t="shared" si="0"/>
        <v/>
      </c>
      <c r="I34" s="16" t="str">
        <f>IF($A34="","",ROUND(H34/MAX(1,(Premissas!$B$35/12)*VLOOKUP(C34,Premissas!$A$14:$K$19,11,0)),2))</f>
        <v/>
      </c>
    </row>
    <row r="35" spans="1:9" ht="15" customHeight="1" x14ac:dyDescent="0.4">
      <c r="A35" s="16"/>
      <c r="B35" s="16"/>
      <c r="C35" s="16"/>
      <c r="D35" s="16"/>
      <c r="E35" s="16"/>
      <c r="F35" s="16"/>
      <c r="G35" s="16"/>
      <c r="H35" s="16" t="str">
        <f t="shared" si="0"/>
        <v/>
      </c>
      <c r="I35" s="16" t="str">
        <f>IF($A35="","",ROUND(H35/MAX(1,(Premissas!$B$35/12)*VLOOKUP(C35,Premissas!$A$14:$K$19,11,0)),2))</f>
        <v/>
      </c>
    </row>
    <row r="36" spans="1:9" ht="15" customHeight="1" x14ac:dyDescent="0.4">
      <c r="A36" s="16"/>
      <c r="B36" s="16"/>
      <c r="C36" s="16"/>
      <c r="D36" s="16"/>
      <c r="E36" s="16"/>
      <c r="F36" s="16"/>
      <c r="G36" s="16"/>
      <c r="H36" s="16" t="str">
        <f t="shared" si="0"/>
        <v/>
      </c>
      <c r="I36" s="16" t="str">
        <f>IF($A36="","",ROUND(H36/MAX(1,(Premissas!$B$35/12)*VLOOKUP(C36,Premissas!$A$14:$K$19,11,0)),2))</f>
        <v/>
      </c>
    </row>
    <row r="37" spans="1:9" ht="15" customHeight="1" x14ac:dyDescent="0.4">
      <c r="A37" s="16"/>
      <c r="B37" s="16"/>
      <c r="C37" s="16"/>
      <c r="D37" s="16"/>
      <c r="E37" s="16"/>
      <c r="F37" s="16"/>
      <c r="G37" s="16"/>
      <c r="H37" s="16" t="str">
        <f t="shared" si="0"/>
        <v/>
      </c>
      <c r="I37" s="16" t="str">
        <f>IF($A37="","",ROUND(H37/MAX(1,(Premissas!$B$35/12)*VLOOKUP(C37,Premissas!$A$14:$K$19,11,0)),2))</f>
        <v/>
      </c>
    </row>
    <row r="38" spans="1:9" ht="15" customHeight="1" x14ac:dyDescent="0.4">
      <c r="A38" s="16"/>
      <c r="B38" s="16"/>
      <c r="C38" s="16"/>
      <c r="D38" s="16"/>
      <c r="E38" s="16"/>
      <c r="F38" s="16"/>
      <c r="G38" s="16"/>
      <c r="H38" s="16" t="str">
        <f t="shared" si="0"/>
        <v/>
      </c>
      <c r="I38" s="16" t="str">
        <f>IF($A38="","",ROUND(H38/MAX(1,(Premissas!$B$35/12)*VLOOKUP(C38,Premissas!$A$14:$K$19,11,0)),2))</f>
        <v/>
      </c>
    </row>
    <row r="39" spans="1:9" ht="15" customHeight="1" x14ac:dyDescent="0.4">
      <c r="A39" s="16"/>
      <c r="B39" s="16"/>
      <c r="C39" s="16"/>
      <c r="D39" s="16"/>
      <c r="E39" s="16"/>
      <c r="F39" s="16"/>
      <c r="G39" s="16"/>
      <c r="H39" s="16" t="str">
        <f t="shared" si="0"/>
        <v/>
      </c>
      <c r="I39" s="16" t="str">
        <f>IF($A39="","",ROUND(H39/MAX(1,(Premissas!$B$35/12)*VLOOKUP(C39,Premissas!$A$14:$K$19,11,0)),2))</f>
        <v/>
      </c>
    </row>
    <row r="40" spans="1:9" ht="15" customHeight="1" x14ac:dyDescent="0.4">
      <c r="A40" s="16"/>
      <c r="B40" s="16"/>
      <c r="C40" s="16"/>
      <c r="D40" s="16"/>
      <c r="E40" s="16"/>
      <c r="F40" s="16"/>
      <c r="G40" s="16"/>
      <c r="H40" s="16" t="str">
        <f t="shared" si="0"/>
        <v/>
      </c>
      <c r="I40" s="16" t="str">
        <f>IF($A40="","",ROUND(H40/MAX(1,(Premissas!$B$35/12)*VLOOKUP(C40,Premissas!$A$14:$K$19,11,0)),2))</f>
        <v/>
      </c>
    </row>
    <row r="41" spans="1:9" ht="15" customHeight="1" x14ac:dyDescent="0.4">
      <c r="A41" s="16"/>
      <c r="B41" s="16"/>
      <c r="C41" s="16"/>
      <c r="D41" s="16"/>
      <c r="E41" s="16"/>
      <c r="F41" s="16"/>
      <c r="G41" s="16"/>
      <c r="H41" s="16" t="str">
        <f t="shared" si="0"/>
        <v/>
      </c>
      <c r="I41" s="16" t="str">
        <f>IF($A41="","",ROUND(H41/MAX(1,(Premissas!$B$35/12)*VLOOKUP(C41,Premissas!$A$14:$K$19,11,0)),2))</f>
        <v/>
      </c>
    </row>
    <row r="42" spans="1:9" ht="15" customHeight="1" x14ac:dyDescent="0.4">
      <c r="A42" s="16"/>
      <c r="B42" s="16"/>
      <c r="C42" s="16"/>
      <c r="D42" s="16"/>
      <c r="E42" s="16"/>
      <c r="F42" s="16"/>
      <c r="G42" s="16"/>
      <c r="H42" s="16" t="str">
        <f t="shared" si="0"/>
        <v/>
      </c>
      <c r="I42" s="16" t="str">
        <f>IF($A42="","",ROUND(H42/MAX(1,(Premissas!$B$35/12)*VLOOKUP(C42,Premissas!$A$14:$K$19,11,0)),2))</f>
        <v/>
      </c>
    </row>
    <row r="43" spans="1:9" ht="15" customHeight="1" x14ac:dyDescent="0.4">
      <c r="A43" s="16"/>
      <c r="B43" s="16"/>
      <c r="C43" s="16"/>
      <c r="D43" s="16"/>
      <c r="E43" s="16"/>
      <c r="F43" s="16"/>
      <c r="G43" s="16"/>
      <c r="H43" s="16" t="str">
        <f t="shared" si="0"/>
        <v/>
      </c>
      <c r="I43" s="16" t="str">
        <f>IF($A43="","",ROUND(H43/MAX(1,(Premissas!$B$35/12)*VLOOKUP(C43,Premissas!$A$14:$K$19,11,0)),2))</f>
        <v/>
      </c>
    </row>
    <row r="44" spans="1:9" ht="15" customHeight="1" x14ac:dyDescent="0.4">
      <c r="A44" s="16"/>
      <c r="B44" s="16"/>
      <c r="C44" s="16"/>
      <c r="D44" s="16"/>
      <c r="E44" s="16"/>
      <c r="F44" s="16"/>
      <c r="G44" s="16"/>
      <c r="H44" s="16" t="str">
        <f t="shared" si="0"/>
        <v/>
      </c>
      <c r="I44" s="16" t="str">
        <f>IF($A44="","",ROUND(H44/MAX(1,(Premissas!$B$35/12)*VLOOKUP(C44,Premissas!$A$14:$K$19,11,0)),2))</f>
        <v/>
      </c>
    </row>
  </sheetData>
  <mergeCells count="1">
    <mergeCell ref="A1:I1"/>
  </mergeCells>
  <dataValidations count="3">
    <dataValidation type="list" allowBlank="1" sqref="C5:C44" xr:uid="{00000000-0002-0000-0500-000000000000}">
      <formula1>"Oficina Mecânica Central-Taisa,Oficina Volante-Socorro,Oficina Implementos Rodoviários,Oficina Mecânica Externa,Oficina Implementos Agrícolas,PitStop"</formula1>
      <formula2>0</formula2>
    </dataValidation>
    <dataValidation type="list" allowBlank="1" sqref="D5:D44" xr:uid="{00000000-0002-0000-0500-000001000000}">
      <formula1>"Diurno,Noturno,Safra,Turno 5x1"</formula1>
      <formula2>0</formula2>
    </dataValidation>
    <dataValidation type="list" allowBlank="1" sqref="G5:G44" xr:uid="{00000000-0002-0000-0500-000002000000}">
      <formula1>"Ativo,Inativo,Férias,Afastado"</formula1>
      <formula2>0</formula2>
    </dataValidation>
  </dataValidations>
  <hyperlinks>
    <hyperlink ref="K1" r:id="rId1" location="Menu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zoomScaleNormal="100" workbookViewId="0">
      <pane ySplit="4" topLeftCell="A5" activePane="bottomLeft" state="frozen"/>
      <selection pane="bottomLeft" sqref="A1:M1"/>
    </sheetView>
  </sheetViews>
  <sheetFormatPr defaultColWidth="8.69140625" defaultRowHeight="14.6" x14ac:dyDescent="0.4"/>
  <cols>
    <col min="1" max="1" width="26" customWidth="1"/>
    <col min="2" max="2" width="9" customWidth="1"/>
    <col min="3" max="3" width="17" customWidth="1"/>
    <col min="4" max="4" width="28" customWidth="1"/>
    <col min="5" max="5" width="34" customWidth="1"/>
    <col min="6" max="6" width="12" customWidth="1"/>
    <col min="7" max="7" width="11" customWidth="1"/>
    <col min="8" max="8" width="7" customWidth="1"/>
    <col min="9" max="9" width="14" customWidth="1"/>
    <col min="10" max="10" width="7" customWidth="1"/>
    <col min="11" max="11" width="6" customWidth="1"/>
    <col min="12" max="12" width="14" customWidth="1"/>
    <col min="13" max="13" width="7" customWidth="1"/>
  </cols>
  <sheetData>
    <row r="1" spans="1:15" ht="15.75" customHeight="1" x14ac:dyDescent="0.45">
      <c r="A1" s="3" t="s">
        <v>845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11" t="s">
        <v>47</v>
      </c>
    </row>
    <row r="4" spans="1:15" ht="15" customHeight="1" x14ac:dyDescent="0.4">
      <c r="A4" s="14" t="s">
        <v>846</v>
      </c>
      <c r="B4" s="14" t="s">
        <v>847</v>
      </c>
      <c r="C4" s="14" t="s">
        <v>128</v>
      </c>
      <c r="D4" s="14" t="s">
        <v>71</v>
      </c>
      <c r="E4" s="14" t="s">
        <v>848</v>
      </c>
      <c r="F4" s="14" t="s">
        <v>838</v>
      </c>
      <c r="G4" s="14" t="s">
        <v>849</v>
      </c>
      <c r="H4" s="14" t="s">
        <v>850</v>
      </c>
      <c r="I4" s="14" t="s">
        <v>851</v>
      </c>
      <c r="J4" s="14" t="s">
        <v>852</v>
      </c>
      <c r="K4" s="14" t="s">
        <v>853</v>
      </c>
      <c r="L4" s="14" t="s">
        <v>854</v>
      </c>
      <c r="M4" s="14" t="s">
        <v>852</v>
      </c>
    </row>
    <row r="5" spans="1:15" ht="15" customHeight="1" x14ac:dyDescent="0.4">
      <c r="A5" s="16" t="s">
        <v>855</v>
      </c>
      <c r="B5" s="16" t="s">
        <v>856</v>
      </c>
      <c r="C5" s="16" t="s">
        <v>140</v>
      </c>
      <c r="D5" s="16" t="s">
        <v>76</v>
      </c>
      <c r="E5" s="16" t="s">
        <v>857</v>
      </c>
      <c r="F5" s="16" t="s">
        <v>858</v>
      </c>
      <c r="G5" s="16" t="s">
        <v>859</v>
      </c>
      <c r="H5" s="16">
        <v>2.5</v>
      </c>
      <c r="I5" s="16"/>
      <c r="J5" s="16">
        <v>0</v>
      </c>
      <c r="K5" s="16"/>
      <c r="L5" s="16"/>
      <c r="M5" s="16">
        <v>0</v>
      </c>
    </row>
    <row r="6" spans="1:15" ht="15" customHeight="1" x14ac:dyDescent="0.4">
      <c r="A6" s="16" t="s">
        <v>860</v>
      </c>
      <c r="B6" s="16" t="s">
        <v>861</v>
      </c>
      <c r="C6" s="16" t="s">
        <v>140</v>
      </c>
      <c r="D6" s="16" t="s">
        <v>76</v>
      </c>
      <c r="E6" s="16" t="s">
        <v>862</v>
      </c>
      <c r="F6" s="16" t="s">
        <v>858</v>
      </c>
      <c r="G6" s="16" t="s">
        <v>859</v>
      </c>
      <c r="H6" s="16">
        <v>2</v>
      </c>
      <c r="I6" s="16"/>
      <c r="J6" s="16">
        <v>0</v>
      </c>
      <c r="K6" s="16"/>
      <c r="L6" s="16"/>
      <c r="M6" s="16">
        <v>0</v>
      </c>
    </row>
    <row r="7" spans="1:15" ht="15" customHeight="1" x14ac:dyDescent="0.4">
      <c r="A7" s="16" t="s">
        <v>863</v>
      </c>
      <c r="B7" s="16" t="s">
        <v>864</v>
      </c>
      <c r="C7" s="16" t="s">
        <v>140</v>
      </c>
      <c r="D7" s="16" t="s">
        <v>76</v>
      </c>
      <c r="E7" s="16" t="s">
        <v>865</v>
      </c>
      <c r="F7" s="16" t="s">
        <v>858</v>
      </c>
      <c r="G7" s="16" t="s">
        <v>859</v>
      </c>
      <c r="H7" s="16">
        <v>3.5</v>
      </c>
      <c r="I7" s="16"/>
      <c r="J7" s="16">
        <v>0</v>
      </c>
      <c r="K7" s="16"/>
      <c r="L7" s="16"/>
      <c r="M7" s="16">
        <v>0</v>
      </c>
    </row>
    <row r="8" spans="1:15" ht="15" customHeight="1" x14ac:dyDescent="0.4">
      <c r="A8" s="16" t="s">
        <v>866</v>
      </c>
      <c r="B8" s="16" t="s">
        <v>867</v>
      </c>
      <c r="C8" s="16" t="s">
        <v>140</v>
      </c>
      <c r="D8" s="16" t="s">
        <v>76</v>
      </c>
      <c r="E8" s="16" t="s">
        <v>868</v>
      </c>
      <c r="F8" s="16" t="s">
        <v>858</v>
      </c>
      <c r="G8" s="16" t="s">
        <v>859</v>
      </c>
      <c r="H8" s="16">
        <v>8</v>
      </c>
      <c r="I8" s="16"/>
      <c r="J8" s="16">
        <v>0</v>
      </c>
      <c r="K8" s="16"/>
      <c r="L8" s="16"/>
      <c r="M8" s="16">
        <v>0</v>
      </c>
    </row>
    <row r="9" spans="1:15" ht="15" customHeight="1" x14ac:dyDescent="0.4">
      <c r="A9" s="16" t="s">
        <v>869</v>
      </c>
      <c r="B9" s="16" t="s">
        <v>856</v>
      </c>
      <c r="C9" s="16" t="s">
        <v>138</v>
      </c>
      <c r="D9" s="16" t="s">
        <v>76</v>
      </c>
      <c r="E9" s="16" t="s">
        <v>870</v>
      </c>
      <c r="F9" s="16" t="s">
        <v>858</v>
      </c>
      <c r="G9" s="16" t="s">
        <v>859</v>
      </c>
      <c r="H9" s="16">
        <v>3</v>
      </c>
      <c r="I9" s="16"/>
      <c r="J9" s="16">
        <v>0</v>
      </c>
      <c r="K9" s="16"/>
      <c r="L9" s="16"/>
      <c r="M9" s="16">
        <v>0</v>
      </c>
    </row>
    <row r="10" spans="1:15" ht="15" customHeight="1" x14ac:dyDescent="0.4">
      <c r="A10" s="16" t="s">
        <v>871</v>
      </c>
      <c r="B10" s="16" t="s">
        <v>861</v>
      </c>
      <c r="C10" s="16" t="s">
        <v>138</v>
      </c>
      <c r="D10" s="16" t="s">
        <v>76</v>
      </c>
      <c r="E10" s="16" t="s">
        <v>872</v>
      </c>
      <c r="F10" s="16" t="s">
        <v>858</v>
      </c>
      <c r="G10" s="16" t="s">
        <v>859</v>
      </c>
      <c r="H10" s="16">
        <v>3</v>
      </c>
      <c r="I10" s="16"/>
      <c r="J10" s="16">
        <v>0</v>
      </c>
      <c r="K10" s="16"/>
      <c r="L10" s="16"/>
      <c r="M10" s="16">
        <v>0</v>
      </c>
    </row>
    <row r="11" spans="1:15" ht="15" customHeight="1" x14ac:dyDescent="0.4">
      <c r="A11" s="16" t="s">
        <v>873</v>
      </c>
      <c r="B11" s="16" t="s">
        <v>864</v>
      </c>
      <c r="C11" s="16" t="s">
        <v>138</v>
      </c>
      <c r="D11" s="16" t="s">
        <v>76</v>
      </c>
      <c r="E11" s="16" t="s">
        <v>874</v>
      </c>
      <c r="F11" s="16" t="s">
        <v>858</v>
      </c>
      <c r="G11" s="16" t="s">
        <v>859</v>
      </c>
      <c r="H11" s="16">
        <v>6</v>
      </c>
      <c r="I11" s="16"/>
      <c r="J11" s="16">
        <v>0</v>
      </c>
      <c r="K11" s="16"/>
      <c r="L11" s="16"/>
      <c r="M11" s="16">
        <v>0</v>
      </c>
    </row>
    <row r="12" spans="1:15" ht="15" customHeight="1" x14ac:dyDescent="0.4">
      <c r="A12" s="16" t="s">
        <v>875</v>
      </c>
      <c r="B12" s="16" t="s">
        <v>867</v>
      </c>
      <c r="C12" s="16" t="s">
        <v>138</v>
      </c>
      <c r="D12" s="16" t="s">
        <v>76</v>
      </c>
      <c r="E12" s="16" t="s">
        <v>876</v>
      </c>
      <c r="F12" s="16" t="s">
        <v>858</v>
      </c>
      <c r="G12" s="16" t="s">
        <v>859</v>
      </c>
      <c r="H12" s="16">
        <v>12</v>
      </c>
      <c r="I12" s="16"/>
      <c r="J12" s="16">
        <v>0</v>
      </c>
      <c r="K12" s="16"/>
      <c r="L12" s="16"/>
      <c r="M12" s="16">
        <v>0</v>
      </c>
    </row>
    <row r="13" spans="1:15" ht="15" customHeight="1" x14ac:dyDescent="0.4">
      <c r="A13" s="16" t="s">
        <v>877</v>
      </c>
      <c r="B13" s="16" t="s">
        <v>856</v>
      </c>
      <c r="C13" s="16" t="s">
        <v>141</v>
      </c>
      <c r="D13" s="16" t="s">
        <v>76</v>
      </c>
      <c r="E13" s="16" t="s">
        <v>878</v>
      </c>
      <c r="F13" s="16" t="s">
        <v>858</v>
      </c>
      <c r="G13" s="16" t="s">
        <v>859</v>
      </c>
      <c r="H13" s="16">
        <v>2</v>
      </c>
      <c r="I13" s="16"/>
      <c r="J13" s="16">
        <v>0</v>
      </c>
      <c r="K13" s="16"/>
      <c r="L13" s="16"/>
      <c r="M13" s="16">
        <v>0</v>
      </c>
    </row>
    <row r="14" spans="1:15" ht="15" customHeight="1" x14ac:dyDescent="0.4">
      <c r="A14" s="16" t="s">
        <v>879</v>
      </c>
      <c r="B14" s="16" t="s">
        <v>861</v>
      </c>
      <c r="C14" s="16" t="s">
        <v>141</v>
      </c>
      <c r="D14" s="16" t="s">
        <v>76</v>
      </c>
      <c r="E14" s="16" t="s">
        <v>880</v>
      </c>
      <c r="F14" s="16" t="s">
        <v>858</v>
      </c>
      <c r="G14" s="16" t="s">
        <v>859</v>
      </c>
      <c r="H14" s="16">
        <v>2</v>
      </c>
      <c r="I14" s="16"/>
      <c r="J14" s="16">
        <v>0</v>
      </c>
      <c r="K14" s="16"/>
      <c r="L14" s="16"/>
      <c r="M14" s="16">
        <v>0</v>
      </c>
    </row>
    <row r="15" spans="1:15" ht="15" customHeight="1" x14ac:dyDescent="0.4">
      <c r="A15" s="16" t="s">
        <v>881</v>
      </c>
      <c r="B15" s="16" t="s">
        <v>864</v>
      </c>
      <c r="C15" s="16" t="s">
        <v>141</v>
      </c>
      <c r="D15" s="16" t="s">
        <v>76</v>
      </c>
      <c r="E15" s="16" t="s">
        <v>882</v>
      </c>
      <c r="F15" s="16" t="s">
        <v>858</v>
      </c>
      <c r="G15" s="16" t="s">
        <v>859</v>
      </c>
      <c r="H15" s="16">
        <v>4</v>
      </c>
      <c r="I15" s="16"/>
      <c r="J15" s="16">
        <v>0</v>
      </c>
      <c r="K15" s="16"/>
      <c r="L15" s="16"/>
      <c r="M15" s="16">
        <v>0</v>
      </c>
    </row>
    <row r="16" spans="1:15" ht="15" customHeight="1" x14ac:dyDescent="0.4">
      <c r="A16" s="16" t="s">
        <v>883</v>
      </c>
      <c r="B16" s="16" t="s">
        <v>867</v>
      </c>
      <c r="C16" s="16" t="s">
        <v>141</v>
      </c>
      <c r="D16" s="16" t="s">
        <v>76</v>
      </c>
      <c r="E16" s="16" t="s">
        <v>884</v>
      </c>
      <c r="F16" s="16" t="s">
        <v>858</v>
      </c>
      <c r="G16" s="16" t="s">
        <v>859</v>
      </c>
      <c r="H16" s="16">
        <v>8</v>
      </c>
      <c r="I16" s="16"/>
      <c r="J16" s="16">
        <v>0</v>
      </c>
      <c r="K16" s="16"/>
      <c r="L16" s="16"/>
      <c r="M16" s="16">
        <v>0</v>
      </c>
    </row>
    <row r="17" spans="1:13" ht="15" customHeight="1" x14ac:dyDescent="0.4">
      <c r="A17" s="16" t="s">
        <v>885</v>
      </c>
      <c r="B17" s="16" t="s">
        <v>856</v>
      </c>
      <c r="C17" s="16" t="s">
        <v>143</v>
      </c>
      <c r="D17" s="16" t="s">
        <v>76</v>
      </c>
      <c r="E17" s="16" t="s">
        <v>886</v>
      </c>
      <c r="F17" s="16" t="s">
        <v>858</v>
      </c>
      <c r="G17" s="16" t="s">
        <v>859</v>
      </c>
      <c r="H17" s="20">
        <v>2.5</v>
      </c>
      <c r="I17" s="16"/>
      <c r="J17" s="16">
        <v>0</v>
      </c>
      <c r="K17" s="16"/>
      <c r="L17" s="16"/>
      <c r="M17" s="16">
        <v>0</v>
      </c>
    </row>
    <row r="18" spans="1:13" ht="15" customHeight="1" x14ac:dyDescent="0.4">
      <c r="A18" s="16" t="s">
        <v>887</v>
      </c>
      <c r="B18" s="16" t="s">
        <v>861</v>
      </c>
      <c r="C18" s="16" t="s">
        <v>143</v>
      </c>
      <c r="D18" s="16" t="s">
        <v>76</v>
      </c>
      <c r="E18" s="16" t="s">
        <v>888</v>
      </c>
      <c r="F18" s="16" t="s">
        <v>858</v>
      </c>
      <c r="G18" s="16" t="s">
        <v>859</v>
      </c>
      <c r="H18" s="20">
        <v>2</v>
      </c>
      <c r="I18" s="16"/>
      <c r="J18" s="16">
        <v>0</v>
      </c>
      <c r="K18" s="16"/>
      <c r="L18" s="16"/>
      <c r="M18" s="16">
        <v>0</v>
      </c>
    </row>
    <row r="19" spans="1:13" ht="15" customHeight="1" x14ac:dyDescent="0.4">
      <c r="A19" s="16" t="s">
        <v>889</v>
      </c>
      <c r="B19" s="16" t="s">
        <v>864</v>
      </c>
      <c r="C19" s="16" t="s">
        <v>143</v>
      </c>
      <c r="D19" s="16" t="s">
        <v>76</v>
      </c>
      <c r="E19" s="16" t="s">
        <v>890</v>
      </c>
      <c r="F19" s="16" t="s">
        <v>858</v>
      </c>
      <c r="G19" s="16" t="s">
        <v>859</v>
      </c>
      <c r="H19" s="20">
        <v>3.5</v>
      </c>
      <c r="I19" s="16"/>
      <c r="J19" s="16">
        <v>0</v>
      </c>
      <c r="K19" s="16"/>
      <c r="L19" s="16"/>
      <c r="M19" s="16">
        <v>0</v>
      </c>
    </row>
    <row r="20" spans="1:13" ht="15" customHeight="1" x14ac:dyDescent="0.4">
      <c r="A20" s="16" t="s">
        <v>891</v>
      </c>
      <c r="B20" s="16" t="s">
        <v>867</v>
      </c>
      <c r="C20" s="16" t="s">
        <v>143</v>
      </c>
      <c r="D20" s="16" t="s">
        <v>76</v>
      </c>
      <c r="E20" s="16" t="s">
        <v>892</v>
      </c>
      <c r="F20" s="16" t="s">
        <v>858</v>
      </c>
      <c r="G20" s="16" t="s">
        <v>859</v>
      </c>
      <c r="H20" s="20">
        <v>8</v>
      </c>
      <c r="I20" s="16"/>
      <c r="J20" s="16">
        <v>0</v>
      </c>
      <c r="K20" s="16"/>
      <c r="L20" s="16"/>
      <c r="M20" s="16">
        <v>0</v>
      </c>
    </row>
    <row r="21" spans="1:13" ht="15" customHeight="1" x14ac:dyDescent="0.4">
      <c r="A21" s="16" t="s">
        <v>893</v>
      </c>
      <c r="B21" s="16" t="s">
        <v>856</v>
      </c>
      <c r="C21" s="16" t="s">
        <v>144</v>
      </c>
      <c r="D21" s="16" t="s">
        <v>76</v>
      </c>
      <c r="E21" s="16" t="s">
        <v>894</v>
      </c>
      <c r="F21" s="16" t="s">
        <v>858</v>
      </c>
      <c r="G21" s="16" t="s">
        <v>859</v>
      </c>
      <c r="H21" s="20">
        <v>1.5</v>
      </c>
      <c r="I21" s="16"/>
      <c r="J21" s="16">
        <v>0</v>
      </c>
      <c r="K21" s="16"/>
      <c r="L21" s="16"/>
      <c r="M21" s="16">
        <v>0</v>
      </c>
    </row>
    <row r="22" spans="1:13" ht="15" customHeight="1" x14ac:dyDescent="0.4">
      <c r="A22" s="16" t="s">
        <v>895</v>
      </c>
      <c r="B22" s="16" t="s">
        <v>861</v>
      </c>
      <c r="C22" s="16" t="s">
        <v>144</v>
      </c>
      <c r="D22" s="16" t="s">
        <v>76</v>
      </c>
      <c r="E22" s="16" t="s">
        <v>896</v>
      </c>
      <c r="F22" s="16" t="s">
        <v>858</v>
      </c>
      <c r="G22" s="16" t="s">
        <v>859</v>
      </c>
      <c r="H22" s="20">
        <v>1.5</v>
      </c>
      <c r="I22" s="16"/>
      <c r="J22" s="16">
        <v>0</v>
      </c>
      <c r="K22" s="16"/>
      <c r="L22" s="16"/>
      <c r="M22" s="16">
        <v>0</v>
      </c>
    </row>
    <row r="23" spans="1:13" ht="15" customHeight="1" x14ac:dyDescent="0.4">
      <c r="A23" s="16" t="s">
        <v>897</v>
      </c>
      <c r="B23" s="16" t="s">
        <v>864</v>
      </c>
      <c r="C23" s="16" t="s">
        <v>144</v>
      </c>
      <c r="D23" s="16" t="s">
        <v>76</v>
      </c>
      <c r="E23" s="16" t="s">
        <v>898</v>
      </c>
      <c r="F23" s="16" t="s">
        <v>858</v>
      </c>
      <c r="G23" s="16" t="s">
        <v>859</v>
      </c>
      <c r="H23" s="20">
        <v>3</v>
      </c>
      <c r="I23" s="16"/>
      <c r="J23" s="16">
        <v>0</v>
      </c>
      <c r="K23" s="16"/>
      <c r="L23" s="16"/>
      <c r="M23" s="16">
        <v>0</v>
      </c>
    </row>
    <row r="24" spans="1:13" ht="15" customHeight="1" x14ac:dyDescent="0.4">
      <c r="A24" s="16" t="s">
        <v>899</v>
      </c>
      <c r="B24" s="16" t="s">
        <v>856</v>
      </c>
      <c r="C24" s="16" t="s">
        <v>145</v>
      </c>
      <c r="D24" s="16" t="s">
        <v>76</v>
      </c>
      <c r="E24" s="16" t="s">
        <v>900</v>
      </c>
      <c r="F24" s="16" t="s">
        <v>858</v>
      </c>
      <c r="G24" s="16" t="s">
        <v>859</v>
      </c>
      <c r="H24" s="16">
        <v>2</v>
      </c>
      <c r="I24" s="16"/>
      <c r="J24" s="16">
        <v>0</v>
      </c>
      <c r="K24" s="16"/>
      <c r="L24" s="16"/>
      <c r="M24" s="16">
        <v>0</v>
      </c>
    </row>
    <row r="25" spans="1:13" ht="15" customHeight="1" x14ac:dyDescent="0.4">
      <c r="A25" s="16" t="s">
        <v>901</v>
      </c>
      <c r="B25" s="16" t="s">
        <v>861</v>
      </c>
      <c r="C25" s="16" t="s">
        <v>145</v>
      </c>
      <c r="D25" s="16" t="s">
        <v>76</v>
      </c>
      <c r="E25" s="16" t="s">
        <v>902</v>
      </c>
      <c r="F25" s="16" t="s">
        <v>858</v>
      </c>
      <c r="G25" s="16" t="s">
        <v>859</v>
      </c>
      <c r="H25" s="16">
        <v>2</v>
      </c>
      <c r="I25" s="16"/>
      <c r="J25" s="16">
        <v>0</v>
      </c>
      <c r="K25" s="16"/>
      <c r="L25" s="16"/>
      <c r="M25" s="16">
        <v>0</v>
      </c>
    </row>
    <row r="26" spans="1:13" ht="15" customHeight="1" x14ac:dyDescent="0.4">
      <c r="A26" s="16" t="s">
        <v>903</v>
      </c>
      <c r="B26" s="16" t="s">
        <v>856</v>
      </c>
      <c r="C26" s="16" t="s">
        <v>146</v>
      </c>
      <c r="D26" s="16" t="s">
        <v>76</v>
      </c>
      <c r="E26" s="16" t="s">
        <v>904</v>
      </c>
      <c r="F26" s="16" t="s">
        <v>858</v>
      </c>
      <c r="G26" s="16" t="s">
        <v>859</v>
      </c>
      <c r="H26" s="16">
        <v>1.5</v>
      </c>
      <c r="I26" s="16"/>
      <c r="J26" s="16">
        <v>0</v>
      </c>
      <c r="K26" s="16"/>
      <c r="L26" s="16"/>
      <c r="M26" s="16">
        <v>0</v>
      </c>
    </row>
    <row r="27" spans="1:13" ht="15" customHeight="1" x14ac:dyDescent="0.4">
      <c r="A27" s="16" t="s">
        <v>905</v>
      </c>
      <c r="B27" s="16" t="s">
        <v>861</v>
      </c>
      <c r="C27" s="16" t="s">
        <v>146</v>
      </c>
      <c r="D27" s="16" t="s">
        <v>76</v>
      </c>
      <c r="E27" s="16" t="s">
        <v>906</v>
      </c>
      <c r="F27" s="16" t="s">
        <v>858</v>
      </c>
      <c r="G27" s="16" t="s">
        <v>859</v>
      </c>
      <c r="H27" s="16">
        <v>1.5</v>
      </c>
      <c r="I27" s="16"/>
      <c r="J27" s="16">
        <v>0</v>
      </c>
      <c r="K27" s="16"/>
      <c r="L27" s="16"/>
      <c r="M27" s="16">
        <v>0</v>
      </c>
    </row>
    <row r="28" spans="1:13" ht="15" customHeight="1" x14ac:dyDescent="0.4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15" customHeight="1" x14ac:dyDescent="0.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ht="15" customHeight="1" x14ac:dyDescent="0.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ht="15" customHeight="1" x14ac:dyDescent="0.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ht="15" customHeight="1" x14ac:dyDescent="0.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ht="15" customHeight="1" x14ac:dyDescent="0.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ht="15" customHeight="1" x14ac:dyDescent="0.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ht="15" customHeight="1" x14ac:dyDescent="0.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ht="15" customHeight="1" x14ac:dyDescent="0.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3" ht="15" customHeight="1" x14ac:dyDescent="0.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ht="15" customHeight="1" x14ac:dyDescent="0.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ht="15" customHeight="1" x14ac:dyDescent="0.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ht="15" customHeight="1" x14ac:dyDescent="0.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ht="15" customHeight="1" x14ac:dyDescent="0.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spans="1:13" ht="15" customHeight="1" x14ac:dyDescent="0.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ht="15" customHeight="1" x14ac:dyDescent="0.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ht="15" customHeight="1" x14ac:dyDescent="0.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spans="1:13" ht="15" customHeight="1" x14ac:dyDescent="0.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spans="1:13" ht="15" customHeight="1" x14ac:dyDescent="0.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ht="15" customHeight="1" x14ac:dyDescent="0.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3" ht="15" customHeight="1" x14ac:dyDescent="0.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" customHeight="1" x14ac:dyDescent="0.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1:13" ht="15" customHeight="1" x14ac:dyDescent="0.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spans="1:13" ht="15" customHeight="1" x14ac:dyDescent="0.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3" ht="15" customHeight="1" x14ac:dyDescent="0.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15" customHeight="1" x14ac:dyDescent="0.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spans="1:13" ht="15" customHeight="1" x14ac:dyDescent="0.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ht="15" customHeight="1" x14ac:dyDescent="0.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spans="1:13" ht="15" customHeight="1" x14ac:dyDescent="0.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ht="15" customHeight="1" x14ac:dyDescent="0.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ht="15" customHeight="1" x14ac:dyDescent="0.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15" customHeight="1" x14ac:dyDescent="0.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3" ht="15" customHeight="1" x14ac:dyDescent="0.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3" ht="15" customHeight="1" x14ac:dyDescent="0.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spans="1:13" ht="15" customHeight="1" x14ac:dyDescent="0.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ht="15" customHeight="1" x14ac:dyDescent="0.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spans="1:13" ht="15" customHeight="1" x14ac:dyDescent="0.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</sheetData>
  <mergeCells count="1">
    <mergeCell ref="A1:M1"/>
  </mergeCells>
  <dataValidations count="4">
    <dataValidation type="list" allowBlank="1" sqref="B5:B64" xr:uid="{00000000-0002-0000-0600-000000000000}">
      <formula1>"S,A,B,C,D"</formula1>
      <formula2>0</formula2>
    </dataValidation>
    <dataValidation type="list" allowBlank="1" sqref="C5:C64" xr:uid="{00000000-0002-0000-0600-000001000000}">
      <formula1>"Colhedora,Trator,Caminhão,Carregadeira/Pesada,Veículo Leve,Pulverizador,Implemento"</formula1>
      <formula2>0</formula2>
    </dataValidation>
    <dataValidation type="list" allowBlank="1" sqref="D5:D64" xr:uid="{00000000-0002-0000-0600-000002000000}">
      <formula1>"Oficina Mecânica Central-Taisa,Oficina Volante-Socorro,Oficina Implementos Rodoviários,Oficina Mecânica Externa,Oficina Implementos Agrícolas,PitStop"</formula1>
      <formula2>0</formula2>
    </dataValidation>
    <dataValidation type="list" allowBlank="1" sqref="G5:G64" xr:uid="{00000000-0002-0000-0600-000003000000}">
      <formula1>"Troca,Verificação,Inspeção,Lubrificação,Calibragem,Limpeza,Ajuste,Regulagem"</formula1>
      <formula2>0</formula2>
    </dataValidation>
  </dataValidations>
  <hyperlinks>
    <hyperlink ref="O1" r:id="rId1" location="Menu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BB1"/>
    </sheetView>
  </sheetViews>
  <sheetFormatPr defaultColWidth="8.69140625" defaultRowHeight="14.6" x14ac:dyDescent="0.4"/>
  <cols>
    <col min="1" max="1" width="24" customWidth="1"/>
    <col min="2" max="53" width="5" customWidth="1"/>
  </cols>
  <sheetData>
    <row r="1" spans="1:56" ht="15.75" customHeight="1" x14ac:dyDescent="0.45">
      <c r="A1" s="3" t="s">
        <v>907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D1" s="11" t="s">
        <v>47</v>
      </c>
    </row>
    <row r="2" spans="1:56" ht="15" customHeight="1" x14ac:dyDescent="0.4">
      <c r="A2" s="2" t="s">
        <v>908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4" spans="1:56" ht="15" customHeight="1" x14ac:dyDescent="0.4">
      <c r="A4" s="4" t="s">
        <v>909</v>
      </c>
      <c r="B4" s="21" t="s">
        <v>910</v>
      </c>
      <c r="C4" s="21" t="s">
        <v>911</v>
      </c>
      <c r="D4" s="21" t="s">
        <v>912</v>
      </c>
      <c r="E4" s="21" t="s">
        <v>913</v>
      </c>
      <c r="F4" s="21" t="s">
        <v>914</v>
      </c>
      <c r="G4" s="21" t="s">
        <v>915</v>
      </c>
      <c r="H4" s="21" t="s">
        <v>916</v>
      </c>
      <c r="I4" s="21" t="s">
        <v>917</v>
      </c>
      <c r="J4" s="21" t="s">
        <v>918</v>
      </c>
      <c r="K4" s="21" t="s">
        <v>919</v>
      </c>
      <c r="L4" s="21" t="s">
        <v>920</v>
      </c>
      <c r="M4" s="21" t="s">
        <v>921</v>
      </c>
      <c r="N4" s="21" t="s">
        <v>922</v>
      </c>
      <c r="O4" s="21" t="s">
        <v>923</v>
      </c>
      <c r="P4" s="21" t="s">
        <v>924</v>
      </c>
      <c r="Q4" s="21" t="s">
        <v>925</v>
      </c>
      <c r="R4" s="21" t="s">
        <v>926</v>
      </c>
      <c r="S4" s="21" t="s">
        <v>927</v>
      </c>
      <c r="T4" s="21" t="s">
        <v>928</v>
      </c>
      <c r="U4" s="21" t="s">
        <v>929</v>
      </c>
      <c r="V4" s="21" t="s">
        <v>930</v>
      </c>
      <c r="W4" s="21" t="s">
        <v>931</v>
      </c>
      <c r="X4" s="21" t="s">
        <v>932</v>
      </c>
      <c r="Y4" s="21" t="s">
        <v>933</v>
      </c>
      <c r="Z4" s="21" t="s">
        <v>934</v>
      </c>
      <c r="AA4" s="21" t="s">
        <v>935</v>
      </c>
      <c r="AB4" s="21" t="s">
        <v>936</v>
      </c>
      <c r="AC4" s="21" t="s">
        <v>937</v>
      </c>
      <c r="AD4" s="21" t="s">
        <v>938</v>
      </c>
      <c r="AE4" s="21" t="s">
        <v>939</v>
      </c>
      <c r="AF4" s="21" t="s">
        <v>940</v>
      </c>
      <c r="AG4" s="21" t="s">
        <v>941</v>
      </c>
      <c r="AH4" s="21" t="s">
        <v>942</v>
      </c>
      <c r="AI4" s="21" t="s">
        <v>943</v>
      </c>
      <c r="AJ4" s="21" t="s">
        <v>944</v>
      </c>
      <c r="AK4" s="21" t="s">
        <v>945</v>
      </c>
      <c r="AL4" s="21" t="s">
        <v>946</v>
      </c>
      <c r="AM4" s="21" t="s">
        <v>947</v>
      </c>
      <c r="AN4" s="21" t="s">
        <v>948</v>
      </c>
      <c r="AO4" s="21" t="s">
        <v>949</v>
      </c>
      <c r="AP4" s="21" t="s">
        <v>950</v>
      </c>
      <c r="AQ4" s="21" t="s">
        <v>951</v>
      </c>
      <c r="AR4" s="21" t="s">
        <v>952</v>
      </c>
      <c r="AS4" s="21" t="s">
        <v>953</v>
      </c>
      <c r="AT4" s="21" t="s">
        <v>954</v>
      </c>
      <c r="AU4" s="21" t="s">
        <v>955</v>
      </c>
      <c r="AV4" s="21" t="s">
        <v>956</v>
      </c>
      <c r="AW4" s="21" t="s">
        <v>957</v>
      </c>
      <c r="AX4" s="21" t="s">
        <v>958</v>
      </c>
      <c r="AY4" s="21" t="s">
        <v>959</v>
      </c>
      <c r="AZ4" s="21" t="s">
        <v>960</v>
      </c>
      <c r="BA4" s="21" t="s">
        <v>961</v>
      </c>
    </row>
    <row r="5" spans="1:56" ht="15" customHeight="1" x14ac:dyDescent="0.4">
      <c r="A5" s="15" t="str">
        <f>Premissas!$A$39&amp;" (×"&amp;Premissas!$I$39&amp;")"</f>
        <v>Colhedora (×8)</v>
      </c>
      <c r="B5" s="22" t="str">
        <f>IF(INT(Cron_Uso!B5/Premissas!$C$39)&gt;INT(Premissas!$J$39/Premissas!$C$39),IF(N(Premissas!$F$39)&gt;0,IF(MOD(INT(Cron_Uso!B5/Premissas!$C$39)*Premissas!$C$39,N(Premissas!$F$39))=0,"C",IF(N(Premissas!$E$39)&gt;0,IF(MOD(INT(Cron_Uso!B5/Premissas!$C$39)*Premissas!$C$39,N(Premissas!$E$39))=0,"B",IF(N(Premissas!$D$39)&gt;0,IF(MOD(INT(Cron_Uso!B5/Premissas!$C$39)*Premissas!$C$39,N(Premissas!$D$39))=0,"A","S"),"S")),IF(N(Premissas!$D$39)&gt;0,IF(MOD(INT(Cron_Uso!B5/Premissas!$C$39)*Premissas!$C$39,N(Premissas!$D$39))=0,"A","S"),"S"))),IF(N(Premissas!$E$39)&gt;0,IF(MOD(INT(Cron_Uso!B5/Premissas!$C$39)*Premissas!$C$39,N(Premissas!$E$39))=0,"B",IF(N(Premissas!$D$39)&gt;0,IF(MOD(INT(Cron_Uso!B5/Premissas!$C$39)*Premissas!$C$39,N(Premissas!$D$39))=0,"A","S"),"S")),IF(N(Premissas!$D$39)&gt;0,IF(MOD(INT(Cron_Uso!B5/Premissas!$C$39)*Premissas!$C$39,N(Premissas!$D$39))=0,"A","S"),"S"))),"")</f>
        <v/>
      </c>
      <c r="C5" s="22" t="str">
        <f>IF(INT(Cron_Uso!C5/Premissas!$C$39)&gt;INT(Cron_Uso!B5/Premissas!$C$39),IF(N(Premissas!$F$39)&gt;0,IF(MOD(INT(Cron_Uso!C5/Premissas!$C$39)*Premissas!$C$39,N(Premissas!$F$39))=0,"C",IF(N(Premissas!$E$39)&gt;0,IF(MOD(INT(Cron_Uso!C5/Premissas!$C$39)*Premissas!$C$39,N(Premissas!$E$39))=0,"B",IF(N(Premissas!$D$39)&gt;0,IF(MOD(INT(Cron_Uso!C5/Premissas!$C$39)*Premissas!$C$39,N(Premissas!$D$39))=0,"A","S"),"S")),IF(N(Premissas!$D$39)&gt;0,IF(MOD(INT(Cron_Uso!C5/Premissas!$C$39)*Premissas!$C$39,N(Premissas!$D$39))=0,"A","S"),"S"))),IF(N(Premissas!$E$39)&gt;0,IF(MOD(INT(Cron_Uso!C5/Premissas!$C$39)*Premissas!$C$39,N(Premissas!$E$39))=0,"B",IF(N(Premissas!$D$39)&gt;0,IF(MOD(INT(Cron_Uso!C5/Premissas!$C$39)*Premissas!$C$39,N(Premissas!$D$39))=0,"A","S"),"S")),IF(N(Premissas!$D$39)&gt;0,IF(MOD(INT(Cron_Uso!C5/Premissas!$C$39)*Premissas!$C$39,N(Premissas!$D$39))=0,"A","S"),"S"))),"")</f>
        <v/>
      </c>
      <c r="D5" s="22" t="str">
        <f>IF(INT(Cron_Uso!D5/Premissas!$C$39)&gt;INT(Cron_Uso!C5/Premissas!$C$39),IF(N(Premissas!$F$39)&gt;0,IF(MOD(INT(Cron_Uso!D5/Premissas!$C$39)*Premissas!$C$39,N(Premissas!$F$39))=0,"C",IF(N(Premissas!$E$39)&gt;0,IF(MOD(INT(Cron_Uso!D5/Premissas!$C$39)*Premissas!$C$39,N(Premissas!$E$39))=0,"B",IF(N(Premissas!$D$39)&gt;0,IF(MOD(INT(Cron_Uso!D5/Premissas!$C$39)*Premissas!$C$39,N(Premissas!$D$39))=0,"A","S"),"S")),IF(N(Premissas!$D$39)&gt;0,IF(MOD(INT(Cron_Uso!D5/Premissas!$C$39)*Premissas!$C$39,N(Premissas!$D$39))=0,"A","S"),"S"))),IF(N(Premissas!$E$39)&gt;0,IF(MOD(INT(Cron_Uso!D5/Premissas!$C$39)*Premissas!$C$39,N(Premissas!$E$39))=0,"B",IF(N(Premissas!$D$39)&gt;0,IF(MOD(INT(Cron_Uso!D5/Premissas!$C$39)*Premissas!$C$39,N(Premissas!$D$39))=0,"A","S"),"S")),IF(N(Premissas!$D$39)&gt;0,IF(MOD(INT(Cron_Uso!D5/Premissas!$C$39)*Premissas!$C$39,N(Premissas!$D$39))=0,"A","S"),"S"))),"")</f>
        <v>S</v>
      </c>
      <c r="E5" s="22" t="str">
        <f>IF(INT(Cron_Uso!E5/Premissas!$C$39)&gt;INT(Cron_Uso!D5/Premissas!$C$39),IF(N(Premissas!$F$39)&gt;0,IF(MOD(INT(Cron_Uso!E5/Premissas!$C$39)*Premissas!$C$39,N(Premissas!$F$39))=0,"C",IF(N(Premissas!$E$39)&gt;0,IF(MOD(INT(Cron_Uso!E5/Premissas!$C$39)*Premissas!$C$39,N(Premissas!$E$39))=0,"B",IF(N(Premissas!$D$39)&gt;0,IF(MOD(INT(Cron_Uso!E5/Premissas!$C$39)*Premissas!$C$39,N(Premissas!$D$39))=0,"A","S"),"S")),IF(N(Premissas!$D$39)&gt;0,IF(MOD(INT(Cron_Uso!E5/Premissas!$C$39)*Premissas!$C$39,N(Premissas!$D$39))=0,"A","S"),"S"))),IF(N(Premissas!$E$39)&gt;0,IF(MOD(INT(Cron_Uso!E5/Premissas!$C$39)*Premissas!$C$39,N(Premissas!$E$39))=0,"B",IF(N(Premissas!$D$39)&gt;0,IF(MOD(INT(Cron_Uso!E5/Premissas!$C$39)*Premissas!$C$39,N(Premissas!$D$39))=0,"A","S"),"S")),IF(N(Premissas!$D$39)&gt;0,IF(MOD(INT(Cron_Uso!E5/Premissas!$C$39)*Premissas!$C$39,N(Premissas!$D$39))=0,"A","S"),"S"))),"")</f>
        <v/>
      </c>
      <c r="F5" s="22" t="str">
        <f>IF(INT(Cron_Uso!F5/Premissas!$C$39)&gt;INT(Cron_Uso!E5/Premissas!$C$39),IF(N(Premissas!$F$39)&gt;0,IF(MOD(INT(Cron_Uso!F5/Premissas!$C$39)*Premissas!$C$39,N(Premissas!$F$39))=0,"C",IF(N(Premissas!$E$39)&gt;0,IF(MOD(INT(Cron_Uso!F5/Premissas!$C$39)*Premissas!$C$39,N(Premissas!$E$39))=0,"B",IF(N(Premissas!$D$39)&gt;0,IF(MOD(INT(Cron_Uso!F5/Premissas!$C$39)*Premissas!$C$39,N(Premissas!$D$39))=0,"A","S"),"S")),IF(N(Premissas!$D$39)&gt;0,IF(MOD(INT(Cron_Uso!F5/Premissas!$C$39)*Premissas!$C$39,N(Premissas!$D$39))=0,"A","S"),"S"))),IF(N(Premissas!$E$39)&gt;0,IF(MOD(INT(Cron_Uso!F5/Premissas!$C$39)*Premissas!$C$39,N(Premissas!$E$39))=0,"B",IF(N(Premissas!$D$39)&gt;0,IF(MOD(INT(Cron_Uso!F5/Premissas!$C$39)*Premissas!$C$39,N(Premissas!$D$39))=0,"A","S"),"S")),IF(N(Premissas!$D$39)&gt;0,IF(MOD(INT(Cron_Uso!F5/Premissas!$C$39)*Premissas!$C$39,N(Premissas!$D$39))=0,"A","S"),"S"))),"")</f>
        <v>A</v>
      </c>
      <c r="G5" s="22" t="str">
        <f>IF(INT(Cron_Uso!G5/Premissas!$C$39)&gt;INT(Cron_Uso!F5/Premissas!$C$39),IF(N(Premissas!$F$39)&gt;0,IF(MOD(INT(Cron_Uso!G5/Premissas!$C$39)*Premissas!$C$39,N(Premissas!$F$39))=0,"C",IF(N(Premissas!$E$39)&gt;0,IF(MOD(INT(Cron_Uso!G5/Premissas!$C$39)*Premissas!$C$39,N(Premissas!$E$39))=0,"B",IF(N(Premissas!$D$39)&gt;0,IF(MOD(INT(Cron_Uso!G5/Premissas!$C$39)*Premissas!$C$39,N(Premissas!$D$39))=0,"A","S"),"S")),IF(N(Premissas!$D$39)&gt;0,IF(MOD(INT(Cron_Uso!G5/Premissas!$C$39)*Premissas!$C$39,N(Premissas!$D$39))=0,"A","S"),"S"))),IF(N(Premissas!$E$39)&gt;0,IF(MOD(INT(Cron_Uso!G5/Premissas!$C$39)*Premissas!$C$39,N(Premissas!$E$39))=0,"B",IF(N(Premissas!$D$39)&gt;0,IF(MOD(INT(Cron_Uso!G5/Premissas!$C$39)*Premissas!$C$39,N(Premissas!$D$39))=0,"A","S"),"S")),IF(N(Premissas!$D$39)&gt;0,IF(MOD(INT(Cron_Uso!G5/Premissas!$C$39)*Premissas!$C$39,N(Premissas!$D$39))=0,"A","S"),"S"))),"")</f>
        <v/>
      </c>
      <c r="H5" s="22" t="str">
        <f>IF(INT(Cron_Uso!H5/Premissas!$C$39)&gt;INT(Cron_Uso!G5/Premissas!$C$39),IF(N(Premissas!$F$39)&gt;0,IF(MOD(INT(Cron_Uso!H5/Premissas!$C$39)*Premissas!$C$39,N(Premissas!$F$39))=0,"C",IF(N(Premissas!$E$39)&gt;0,IF(MOD(INT(Cron_Uso!H5/Premissas!$C$39)*Premissas!$C$39,N(Premissas!$E$39))=0,"B",IF(N(Premissas!$D$39)&gt;0,IF(MOD(INT(Cron_Uso!H5/Premissas!$C$39)*Premissas!$C$39,N(Premissas!$D$39))=0,"A","S"),"S")),IF(N(Premissas!$D$39)&gt;0,IF(MOD(INT(Cron_Uso!H5/Premissas!$C$39)*Premissas!$C$39,N(Premissas!$D$39))=0,"A","S"),"S"))),IF(N(Premissas!$E$39)&gt;0,IF(MOD(INT(Cron_Uso!H5/Premissas!$C$39)*Premissas!$C$39,N(Premissas!$E$39))=0,"B",IF(N(Premissas!$D$39)&gt;0,IF(MOD(INT(Cron_Uso!H5/Premissas!$C$39)*Premissas!$C$39,N(Premissas!$D$39))=0,"A","S"),"S")),IF(N(Premissas!$D$39)&gt;0,IF(MOD(INT(Cron_Uso!H5/Premissas!$C$39)*Premissas!$C$39,N(Premissas!$D$39))=0,"A","S"),"S"))),"")</f>
        <v/>
      </c>
      <c r="I5" s="22" t="str">
        <f>IF(INT(Cron_Uso!I5/Premissas!$C$39)&gt;INT(Cron_Uso!H5/Premissas!$C$39),IF(N(Premissas!$F$39)&gt;0,IF(MOD(INT(Cron_Uso!I5/Premissas!$C$39)*Premissas!$C$39,N(Premissas!$F$39))=0,"C",IF(N(Premissas!$E$39)&gt;0,IF(MOD(INT(Cron_Uso!I5/Premissas!$C$39)*Premissas!$C$39,N(Premissas!$E$39))=0,"B",IF(N(Premissas!$D$39)&gt;0,IF(MOD(INT(Cron_Uso!I5/Premissas!$C$39)*Premissas!$C$39,N(Premissas!$D$39))=0,"A","S"),"S")),IF(N(Premissas!$D$39)&gt;0,IF(MOD(INT(Cron_Uso!I5/Premissas!$C$39)*Premissas!$C$39,N(Premissas!$D$39))=0,"A","S"),"S"))),IF(N(Premissas!$E$39)&gt;0,IF(MOD(INT(Cron_Uso!I5/Premissas!$C$39)*Premissas!$C$39,N(Premissas!$E$39))=0,"B",IF(N(Premissas!$D$39)&gt;0,IF(MOD(INT(Cron_Uso!I5/Premissas!$C$39)*Premissas!$C$39,N(Premissas!$D$39))=0,"A","S"),"S")),IF(N(Premissas!$D$39)&gt;0,IF(MOD(INT(Cron_Uso!I5/Premissas!$C$39)*Premissas!$C$39,N(Premissas!$D$39))=0,"A","S"),"S"))),"")</f>
        <v>S</v>
      </c>
      <c r="J5" s="22" t="str">
        <f>IF(INT(Cron_Uso!J5/Premissas!$C$39)&gt;INT(Cron_Uso!I5/Premissas!$C$39),IF(N(Premissas!$F$39)&gt;0,IF(MOD(INT(Cron_Uso!J5/Premissas!$C$39)*Premissas!$C$39,N(Premissas!$F$39))=0,"C",IF(N(Premissas!$E$39)&gt;0,IF(MOD(INT(Cron_Uso!J5/Premissas!$C$39)*Premissas!$C$39,N(Premissas!$E$39))=0,"B",IF(N(Premissas!$D$39)&gt;0,IF(MOD(INT(Cron_Uso!J5/Premissas!$C$39)*Premissas!$C$39,N(Premissas!$D$39))=0,"A","S"),"S")),IF(N(Premissas!$D$39)&gt;0,IF(MOD(INT(Cron_Uso!J5/Premissas!$C$39)*Premissas!$C$39,N(Premissas!$D$39))=0,"A","S"),"S"))),IF(N(Premissas!$E$39)&gt;0,IF(MOD(INT(Cron_Uso!J5/Premissas!$C$39)*Premissas!$C$39,N(Premissas!$E$39))=0,"B",IF(N(Premissas!$D$39)&gt;0,IF(MOD(INT(Cron_Uso!J5/Premissas!$C$39)*Premissas!$C$39,N(Premissas!$D$39))=0,"A","S"),"S")),IF(N(Premissas!$D$39)&gt;0,IF(MOD(INT(Cron_Uso!J5/Premissas!$C$39)*Premissas!$C$39,N(Premissas!$D$39))=0,"A","S"),"S"))),"")</f>
        <v/>
      </c>
      <c r="K5" s="22" t="str">
        <f>IF(INT(Cron_Uso!K5/Premissas!$C$39)&gt;INT(Cron_Uso!J5/Premissas!$C$39),IF(N(Premissas!$F$39)&gt;0,IF(MOD(INT(Cron_Uso!K5/Premissas!$C$39)*Premissas!$C$39,N(Premissas!$F$39))=0,"C",IF(N(Premissas!$E$39)&gt;0,IF(MOD(INT(Cron_Uso!K5/Premissas!$C$39)*Premissas!$C$39,N(Premissas!$E$39))=0,"B",IF(N(Premissas!$D$39)&gt;0,IF(MOD(INT(Cron_Uso!K5/Premissas!$C$39)*Premissas!$C$39,N(Premissas!$D$39))=0,"A","S"),"S")),IF(N(Premissas!$D$39)&gt;0,IF(MOD(INT(Cron_Uso!K5/Premissas!$C$39)*Premissas!$C$39,N(Premissas!$D$39))=0,"A","S"),"S"))),IF(N(Premissas!$E$39)&gt;0,IF(MOD(INT(Cron_Uso!K5/Premissas!$C$39)*Premissas!$C$39,N(Premissas!$E$39))=0,"B",IF(N(Premissas!$D$39)&gt;0,IF(MOD(INT(Cron_Uso!K5/Premissas!$C$39)*Premissas!$C$39,N(Premissas!$D$39))=0,"A","S"),"S")),IF(N(Premissas!$D$39)&gt;0,IF(MOD(INT(Cron_Uso!K5/Premissas!$C$39)*Premissas!$C$39,N(Premissas!$D$39))=0,"A","S"),"S"))),"")</f>
        <v>B</v>
      </c>
      <c r="L5" s="22" t="str">
        <f>IF(INT(Cron_Uso!L5/Premissas!$C$39)&gt;INT(Cron_Uso!K5/Premissas!$C$39),IF(N(Premissas!$F$39)&gt;0,IF(MOD(INT(Cron_Uso!L5/Premissas!$C$39)*Premissas!$C$39,N(Premissas!$F$39))=0,"C",IF(N(Premissas!$E$39)&gt;0,IF(MOD(INT(Cron_Uso!L5/Premissas!$C$39)*Premissas!$C$39,N(Premissas!$E$39))=0,"B",IF(N(Premissas!$D$39)&gt;0,IF(MOD(INT(Cron_Uso!L5/Premissas!$C$39)*Premissas!$C$39,N(Premissas!$D$39))=0,"A","S"),"S")),IF(N(Premissas!$D$39)&gt;0,IF(MOD(INT(Cron_Uso!L5/Premissas!$C$39)*Premissas!$C$39,N(Premissas!$D$39))=0,"A","S"),"S"))),IF(N(Premissas!$E$39)&gt;0,IF(MOD(INT(Cron_Uso!L5/Premissas!$C$39)*Premissas!$C$39,N(Premissas!$E$39))=0,"B",IF(N(Premissas!$D$39)&gt;0,IF(MOD(INT(Cron_Uso!L5/Premissas!$C$39)*Premissas!$C$39,N(Premissas!$D$39))=0,"A","S"),"S")),IF(N(Premissas!$D$39)&gt;0,IF(MOD(INT(Cron_Uso!L5/Premissas!$C$39)*Premissas!$C$39,N(Premissas!$D$39))=0,"A","S"),"S"))),"")</f>
        <v/>
      </c>
      <c r="M5" s="22" t="str">
        <f>IF(INT(Cron_Uso!M5/Premissas!$C$39)&gt;INT(Cron_Uso!L5/Premissas!$C$39),IF(N(Premissas!$F$39)&gt;0,IF(MOD(INT(Cron_Uso!M5/Premissas!$C$39)*Premissas!$C$39,N(Premissas!$F$39))=0,"C",IF(N(Premissas!$E$39)&gt;0,IF(MOD(INT(Cron_Uso!M5/Premissas!$C$39)*Premissas!$C$39,N(Premissas!$E$39))=0,"B",IF(N(Premissas!$D$39)&gt;0,IF(MOD(INT(Cron_Uso!M5/Premissas!$C$39)*Premissas!$C$39,N(Premissas!$D$39))=0,"A","S"),"S")),IF(N(Premissas!$D$39)&gt;0,IF(MOD(INT(Cron_Uso!M5/Premissas!$C$39)*Premissas!$C$39,N(Premissas!$D$39))=0,"A","S"),"S"))),IF(N(Premissas!$E$39)&gt;0,IF(MOD(INT(Cron_Uso!M5/Premissas!$C$39)*Premissas!$C$39,N(Premissas!$E$39))=0,"B",IF(N(Premissas!$D$39)&gt;0,IF(MOD(INT(Cron_Uso!M5/Premissas!$C$39)*Premissas!$C$39,N(Premissas!$D$39))=0,"A","S"),"S")),IF(N(Premissas!$D$39)&gt;0,IF(MOD(INT(Cron_Uso!M5/Premissas!$C$39)*Premissas!$C$39,N(Premissas!$D$39))=0,"A","S"),"S"))),"")</f>
        <v/>
      </c>
      <c r="N5" s="22" t="str">
        <f>IF(INT(Cron_Uso!N5/Premissas!$C$39)&gt;INT(Cron_Uso!M5/Premissas!$C$39),IF(N(Premissas!$F$39)&gt;0,IF(MOD(INT(Cron_Uso!N5/Premissas!$C$39)*Premissas!$C$39,N(Premissas!$F$39))=0,"C",IF(N(Premissas!$E$39)&gt;0,IF(MOD(INT(Cron_Uso!N5/Premissas!$C$39)*Premissas!$C$39,N(Premissas!$E$39))=0,"B",IF(N(Premissas!$D$39)&gt;0,IF(MOD(INT(Cron_Uso!N5/Premissas!$C$39)*Premissas!$C$39,N(Premissas!$D$39))=0,"A","S"),"S")),IF(N(Premissas!$D$39)&gt;0,IF(MOD(INT(Cron_Uso!N5/Premissas!$C$39)*Premissas!$C$39,N(Premissas!$D$39))=0,"A","S"),"S"))),IF(N(Premissas!$E$39)&gt;0,IF(MOD(INT(Cron_Uso!N5/Premissas!$C$39)*Premissas!$C$39,N(Premissas!$E$39))=0,"B",IF(N(Premissas!$D$39)&gt;0,IF(MOD(INT(Cron_Uso!N5/Premissas!$C$39)*Premissas!$C$39,N(Premissas!$D$39))=0,"A","S"),"S")),IF(N(Premissas!$D$39)&gt;0,IF(MOD(INT(Cron_Uso!N5/Premissas!$C$39)*Premissas!$C$39,N(Premissas!$D$39))=0,"A","S"),"S"))),"")</f>
        <v>S</v>
      </c>
      <c r="O5" s="22" t="str">
        <f>IF(INT(Cron_Uso!O5/Premissas!$C$39)&gt;INT(Cron_Uso!N5/Premissas!$C$39),IF(N(Premissas!$F$39)&gt;0,IF(MOD(INT(Cron_Uso!O5/Premissas!$C$39)*Premissas!$C$39,N(Premissas!$F$39))=0,"C",IF(N(Premissas!$E$39)&gt;0,IF(MOD(INT(Cron_Uso!O5/Premissas!$C$39)*Premissas!$C$39,N(Premissas!$E$39))=0,"B",IF(N(Premissas!$D$39)&gt;0,IF(MOD(INT(Cron_Uso!O5/Premissas!$C$39)*Premissas!$C$39,N(Premissas!$D$39))=0,"A","S"),"S")),IF(N(Premissas!$D$39)&gt;0,IF(MOD(INT(Cron_Uso!O5/Premissas!$C$39)*Premissas!$C$39,N(Premissas!$D$39))=0,"A","S"),"S"))),IF(N(Premissas!$E$39)&gt;0,IF(MOD(INT(Cron_Uso!O5/Premissas!$C$39)*Premissas!$C$39,N(Premissas!$E$39))=0,"B",IF(N(Premissas!$D$39)&gt;0,IF(MOD(INT(Cron_Uso!O5/Premissas!$C$39)*Premissas!$C$39,N(Premissas!$D$39))=0,"A","S"),"S")),IF(N(Premissas!$D$39)&gt;0,IF(MOD(INT(Cron_Uso!O5/Premissas!$C$39)*Premissas!$C$39,N(Premissas!$D$39))=0,"A","S"),"S"))),"")</f>
        <v/>
      </c>
      <c r="P5" s="22" t="str">
        <f>IF(INT(Cron_Uso!P5/Premissas!$C$39)&gt;INT(Cron_Uso!O5/Premissas!$C$39),IF(N(Premissas!$F$39)&gt;0,IF(MOD(INT(Cron_Uso!P5/Premissas!$C$39)*Premissas!$C$39,N(Premissas!$F$39))=0,"C",IF(N(Premissas!$E$39)&gt;0,IF(MOD(INT(Cron_Uso!P5/Premissas!$C$39)*Premissas!$C$39,N(Premissas!$E$39))=0,"B",IF(N(Premissas!$D$39)&gt;0,IF(MOD(INT(Cron_Uso!P5/Premissas!$C$39)*Premissas!$C$39,N(Premissas!$D$39))=0,"A","S"),"S")),IF(N(Premissas!$D$39)&gt;0,IF(MOD(INT(Cron_Uso!P5/Premissas!$C$39)*Premissas!$C$39,N(Premissas!$D$39))=0,"A","S"),"S"))),IF(N(Premissas!$E$39)&gt;0,IF(MOD(INT(Cron_Uso!P5/Premissas!$C$39)*Premissas!$C$39,N(Premissas!$E$39))=0,"B",IF(N(Premissas!$D$39)&gt;0,IF(MOD(INT(Cron_Uso!P5/Premissas!$C$39)*Premissas!$C$39,N(Premissas!$D$39))=0,"A","S"),"S")),IF(N(Premissas!$D$39)&gt;0,IF(MOD(INT(Cron_Uso!P5/Premissas!$C$39)*Premissas!$C$39,N(Premissas!$D$39))=0,"A","S"),"S"))),"")</f>
        <v>A</v>
      </c>
      <c r="Q5" s="22" t="str">
        <f>IF(INT(Cron_Uso!Q5/Premissas!$C$39)&gt;INT(Cron_Uso!P5/Premissas!$C$39),IF(N(Premissas!$F$39)&gt;0,IF(MOD(INT(Cron_Uso!Q5/Premissas!$C$39)*Premissas!$C$39,N(Premissas!$F$39))=0,"C",IF(N(Premissas!$E$39)&gt;0,IF(MOD(INT(Cron_Uso!Q5/Premissas!$C$39)*Premissas!$C$39,N(Premissas!$E$39))=0,"B",IF(N(Premissas!$D$39)&gt;0,IF(MOD(INT(Cron_Uso!Q5/Premissas!$C$39)*Premissas!$C$39,N(Premissas!$D$39))=0,"A","S"),"S")),IF(N(Premissas!$D$39)&gt;0,IF(MOD(INT(Cron_Uso!Q5/Premissas!$C$39)*Premissas!$C$39,N(Premissas!$D$39))=0,"A","S"),"S"))),IF(N(Premissas!$E$39)&gt;0,IF(MOD(INT(Cron_Uso!Q5/Premissas!$C$39)*Premissas!$C$39,N(Premissas!$E$39))=0,"B",IF(N(Premissas!$D$39)&gt;0,IF(MOD(INT(Cron_Uso!Q5/Premissas!$C$39)*Premissas!$C$39,N(Premissas!$D$39))=0,"A","S"),"S")),IF(N(Premissas!$D$39)&gt;0,IF(MOD(INT(Cron_Uso!Q5/Premissas!$C$39)*Premissas!$C$39,N(Premissas!$D$39))=0,"A","S"),"S"))),"")</f>
        <v/>
      </c>
      <c r="R5" s="22" t="str">
        <f>IF(INT(Cron_Uso!R5/Premissas!$C$39)&gt;INT(Cron_Uso!Q5/Premissas!$C$39),IF(N(Premissas!$F$39)&gt;0,IF(MOD(INT(Cron_Uso!R5/Premissas!$C$39)*Premissas!$C$39,N(Premissas!$F$39))=0,"C",IF(N(Premissas!$E$39)&gt;0,IF(MOD(INT(Cron_Uso!R5/Premissas!$C$39)*Premissas!$C$39,N(Premissas!$E$39))=0,"B",IF(N(Premissas!$D$39)&gt;0,IF(MOD(INT(Cron_Uso!R5/Premissas!$C$39)*Premissas!$C$39,N(Premissas!$D$39))=0,"A","S"),"S")),IF(N(Premissas!$D$39)&gt;0,IF(MOD(INT(Cron_Uso!R5/Premissas!$C$39)*Premissas!$C$39,N(Premissas!$D$39))=0,"A","S"),"S"))),IF(N(Premissas!$E$39)&gt;0,IF(MOD(INT(Cron_Uso!R5/Premissas!$C$39)*Premissas!$C$39,N(Premissas!$E$39))=0,"B",IF(N(Premissas!$D$39)&gt;0,IF(MOD(INT(Cron_Uso!R5/Premissas!$C$39)*Premissas!$C$39,N(Premissas!$D$39))=0,"A","S"),"S")),IF(N(Premissas!$D$39)&gt;0,IF(MOD(INT(Cron_Uso!R5/Premissas!$C$39)*Premissas!$C$39,N(Premissas!$D$39))=0,"A","S"),"S"))),"")</f>
        <v/>
      </c>
      <c r="S5" s="22" t="str">
        <f>IF(INT(Cron_Uso!S5/Premissas!$C$39)&gt;INT(Cron_Uso!R5/Premissas!$C$39),IF(N(Premissas!$F$39)&gt;0,IF(MOD(INT(Cron_Uso!S5/Premissas!$C$39)*Premissas!$C$39,N(Premissas!$F$39))=0,"C",IF(N(Premissas!$E$39)&gt;0,IF(MOD(INT(Cron_Uso!S5/Premissas!$C$39)*Premissas!$C$39,N(Premissas!$E$39))=0,"B",IF(N(Premissas!$D$39)&gt;0,IF(MOD(INT(Cron_Uso!S5/Premissas!$C$39)*Premissas!$C$39,N(Premissas!$D$39))=0,"A","S"),"S")),IF(N(Premissas!$D$39)&gt;0,IF(MOD(INT(Cron_Uso!S5/Premissas!$C$39)*Premissas!$C$39,N(Premissas!$D$39))=0,"A","S"),"S"))),IF(N(Premissas!$E$39)&gt;0,IF(MOD(INT(Cron_Uso!S5/Premissas!$C$39)*Premissas!$C$39,N(Premissas!$E$39))=0,"B",IF(N(Premissas!$D$39)&gt;0,IF(MOD(INT(Cron_Uso!S5/Premissas!$C$39)*Premissas!$C$39,N(Premissas!$D$39))=0,"A","S"),"S")),IF(N(Premissas!$D$39)&gt;0,IF(MOD(INT(Cron_Uso!S5/Premissas!$C$39)*Premissas!$C$39,N(Premissas!$D$39))=0,"A","S"),"S"))),"")</f>
        <v>S</v>
      </c>
      <c r="T5" s="22" t="str">
        <f>IF(INT(Cron_Uso!T5/Premissas!$C$39)&gt;INT(Cron_Uso!S5/Premissas!$C$39),IF(N(Premissas!$F$39)&gt;0,IF(MOD(INT(Cron_Uso!T5/Premissas!$C$39)*Premissas!$C$39,N(Premissas!$F$39))=0,"C",IF(N(Premissas!$E$39)&gt;0,IF(MOD(INT(Cron_Uso!T5/Premissas!$C$39)*Premissas!$C$39,N(Premissas!$E$39))=0,"B",IF(N(Premissas!$D$39)&gt;0,IF(MOD(INT(Cron_Uso!T5/Premissas!$C$39)*Premissas!$C$39,N(Premissas!$D$39))=0,"A","S"),"S")),IF(N(Premissas!$D$39)&gt;0,IF(MOD(INT(Cron_Uso!T5/Premissas!$C$39)*Premissas!$C$39,N(Premissas!$D$39))=0,"A","S"),"S"))),IF(N(Premissas!$E$39)&gt;0,IF(MOD(INT(Cron_Uso!T5/Premissas!$C$39)*Premissas!$C$39,N(Premissas!$E$39))=0,"B",IF(N(Premissas!$D$39)&gt;0,IF(MOD(INT(Cron_Uso!T5/Premissas!$C$39)*Premissas!$C$39,N(Premissas!$D$39))=0,"A","S"),"S")),IF(N(Premissas!$D$39)&gt;0,IF(MOD(INT(Cron_Uso!T5/Premissas!$C$39)*Premissas!$C$39,N(Premissas!$D$39))=0,"A","S"),"S"))),"")</f>
        <v/>
      </c>
      <c r="U5" s="22" t="str">
        <f>IF(INT(Cron_Uso!U5/Premissas!$C$39)&gt;INT(Cron_Uso!T5/Premissas!$C$39),IF(N(Premissas!$F$39)&gt;0,IF(MOD(INT(Cron_Uso!U5/Premissas!$C$39)*Premissas!$C$39,N(Premissas!$F$39))=0,"C",IF(N(Premissas!$E$39)&gt;0,IF(MOD(INT(Cron_Uso!U5/Premissas!$C$39)*Premissas!$C$39,N(Premissas!$E$39))=0,"B",IF(N(Premissas!$D$39)&gt;0,IF(MOD(INT(Cron_Uso!U5/Premissas!$C$39)*Premissas!$C$39,N(Premissas!$D$39))=0,"A","S"),"S")),IF(N(Premissas!$D$39)&gt;0,IF(MOD(INT(Cron_Uso!U5/Premissas!$C$39)*Premissas!$C$39,N(Premissas!$D$39))=0,"A","S"),"S"))),IF(N(Premissas!$E$39)&gt;0,IF(MOD(INT(Cron_Uso!U5/Premissas!$C$39)*Premissas!$C$39,N(Premissas!$E$39))=0,"B",IF(N(Premissas!$D$39)&gt;0,IF(MOD(INT(Cron_Uso!U5/Premissas!$C$39)*Premissas!$C$39,N(Premissas!$D$39))=0,"A","S"),"S")),IF(N(Premissas!$D$39)&gt;0,IF(MOD(INT(Cron_Uso!U5/Premissas!$C$39)*Premissas!$C$39,N(Premissas!$D$39))=0,"A","S"),"S"))),"")</f>
        <v>C</v>
      </c>
      <c r="V5" s="22" t="str">
        <f>IF(INT(Cron_Uso!V5/Premissas!$C$39)&gt;INT(Cron_Uso!U5/Premissas!$C$39),IF(N(Premissas!$F$39)&gt;0,IF(MOD(INT(Cron_Uso!V5/Premissas!$C$39)*Premissas!$C$39,N(Premissas!$F$39))=0,"C",IF(N(Premissas!$E$39)&gt;0,IF(MOD(INT(Cron_Uso!V5/Premissas!$C$39)*Premissas!$C$39,N(Premissas!$E$39))=0,"B",IF(N(Premissas!$D$39)&gt;0,IF(MOD(INT(Cron_Uso!V5/Premissas!$C$39)*Premissas!$C$39,N(Premissas!$D$39))=0,"A","S"),"S")),IF(N(Premissas!$D$39)&gt;0,IF(MOD(INT(Cron_Uso!V5/Premissas!$C$39)*Premissas!$C$39,N(Premissas!$D$39))=0,"A","S"),"S"))),IF(N(Premissas!$E$39)&gt;0,IF(MOD(INT(Cron_Uso!V5/Premissas!$C$39)*Premissas!$C$39,N(Premissas!$E$39))=0,"B",IF(N(Premissas!$D$39)&gt;0,IF(MOD(INT(Cron_Uso!V5/Premissas!$C$39)*Premissas!$C$39,N(Premissas!$D$39))=0,"A","S"),"S")),IF(N(Premissas!$D$39)&gt;0,IF(MOD(INT(Cron_Uso!V5/Premissas!$C$39)*Premissas!$C$39,N(Premissas!$D$39))=0,"A","S"),"S"))),"")</f>
        <v/>
      </c>
      <c r="W5" s="22" t="str">
        <f>IF(INT(Cron_Uso!W5/Premissas!$C$39)&gt;INT(Cron_Uso!V5/Premissas!$C$39),IF(N(Premissas!$F$39)&gt;0,IF(MOD(INT(Cron_Uso!W5/Premissas!$C$39)*Premissas!$C$39,N(Premissas!$F$39))=0,"C",IF(N(Premissas!$E$39)&gt;0,IF(MOD(INT(Cron_Uso!W5/Premissas!$C$39)*Premissas!$C$39,N(Premissas!$E$39))=0,"B",IF(N(Premissas!$D$39)&gt;0,IF(MOD(INT(Cron_Uso!W5/Premissas!$C$39)*Premissas!$C$39,N(Premissas!$D$39))=0,"A","S"),"S")),IF(N(Premissas!$D$39)&gt;0,IF(MOD(INT(Cron_Uso!W5/Premissas!$C$39)*Premissas!$C$39,N(Premissas!$D$39))=0,"A","S"),"S"))),IF(N(Premissas!$E$39)&gt;0,IF(MOD(INT(Cron_Uso!W5/Premissas!$C$39)*Premissas!$C$39,N(Premissas!$E$39))=0,"B",IF(N(Premissas!$D$39)&gt;0,IF(MOD(INT(Cron_Uso!W5/Premissas!$C$39)*Premissas!$C$39,N(Premissas!$D$39))=0,"A","S"),"S")),IF(N(Premissas!$D$39)&gt;0,IF(MOD(INT(Cron_Uso!W5/Premissas!$C$39)*Premissas!$C$39,N(Premissas!$D$39))=0,"A","S"),"S"))),"")</f>
        <v/>
      </c>
      <c r="X5" s="22" t="str">
        <f>IF(INT(Cron_Uso!X5/Premissas!$C$39)&gt;INT(Cron_Uso!W5/Premissas!$C$39),IF(N(Premissas!$F$39)&gt;0,IF(MOD(INT(Cron_Uso!X5/Premissas!$C$39)*Premissas!$C$39,N(Premissas!$F$39))=0,"C",IF(N(Premissas!$E$39)&gt;0,IF(MOD(INT(Cron_Uso!X5/Premissas!$C$39)*Premissas!$C$39,N(Premissas!$E$39))=0,"B",IF(N(Premissas!$D$39)&gt;0,IF(MOD(INT(Cron_Uso!X5/Premissas!$C$39)*Premissas!$C$39,N(Premissas!$D$39))=0,"A","S"),"S")),IF(N(Premissas!$D$39)&gt;0,IF(MOD(INT(Cron_Uso!X5/Premissas!$C$39)*Premissas!$C$39,N(Premissas!$D$39))=0,"A","S"),"S"))),IF(N(Premissas!$E$39)&gt;0,IF(MOD(INT(Cron_Uso!X5/Premissas!$C$39)*Premissas!$C$39,N(Premissas!$E$39))=0,"B",IF(N(Premissas!$D$39)&gt;0,IF(MOD(INT(Cron_Uso!X5/Premissas!$C$39)*Premissas!$C$39,N(Premissas!$D$39))=0,"A","S"),"S")),IF(N(Premissas!$D$39)&gt;0,IF(MOD(INT(Cron_Uso!X5/Premissas!$C$39)*Premissas!$C$39,N(Premissas!$D$39))=0,"A","S"),"S"))),"")</f>
        <v>S</v>
      </c>
      <c r="Y5" s="22" t="str">
        <f>IF(INT(Cron_Uso!Y5/Premissas!$C$39)&gt;INT(Cron_Uso!X5/Premissas!$C$39),IF(N(Premissas!$F$39)&gt;0,IF(MOD(INT(Cron_Uso!Y5/Premissas!$C$39)*Premissas!$C$39,N(Premissas!$F$39))=0,"C",IF(N(Premissas!$E$39)&gt;0,IF(MOD(INT(Cron_Uso!Y5/Premissas!$C$39)*Premissas!$C$39,N(Premissas!$E$39))=0,"B",IF(N(Premissas!$D$39)&gt;0,IF(MOD(INT(Cron_Uso!Y5/Premissas!$C$39)*Premissas!$C$39,N(Premissas!$D$39))=0,"A","S"),"S")),IF(N(Premissas!$D$39)&gt;0,IF(MOD(INT(Cron_Uso!Y5/Premissas!$C$39)*Premissas!$C$39,N(Premissas!$D$39))=0,"A","S"),"S"))),IF(N(Premissas!$E$39)&gt;0,IF(MOD(INT(Cron_Uso!Y5/Premissas!$C$39)*Premissas!$C$39,N(Premissas!$E$39))=0,"B",IF(N(Premissas!$D$39)&gt;0,IF(MOD(INT(Cron_Uso!Y5/Premissas!$C$39)*Premissas!$C$39,N(Premissas!$D$39))=0,"A","S"),"S")),IF(N(Premissas!$D$39)&gt;0,IF(MOD(INT(Cron_Uso!Y5/Premissas!$C$39)*Premissas!$C$39,N(Premissas!$D$39))=0,"A","S"),"S"))),"")</f>
        <v/>
      </c>
      <c r="Z5" s="22" t="str">
        <f>IF(INT(Cron_Uso!Z5/Premissas!$C$39)&gt;INT(Cron_Uso!Y5/Premissas!$C$39),IF(N(Premissas!$F$39)&gt;0,IF(MOD(INT(Cron_Uso!Z5/Premissas!$C$39)*Premissas!$C$39,N(Premissas!$F$39))=0,"C",IF(N(Premissas!$E$39)&gt;0,IF(MOD(INT(Cron_Uso!Z5/Premissas!$C$39)*Premissas!$C$39,N(Premissas!$E$39))=0,"B",IF(N(Premissas!$D$39)&gt;0,IF(MOD(INT(Cron_Uso!Z5/Premissas!$C$39)*Premissas!$C$39,N(Premissas!$D$39))=0,"A","S"),"S")),IF(N(Premissas!$D$39)&gt;0,IF(MOD(INT(Cron_Uso!Z5/Premissas!$C$39)*Premissas!$C$39,N(Premissas!$D$39))=0,"A","S"),"S"))),IF(N(Premissas!$E$39)&gt;0,IF(MOD(INT(Cron_Uso!Z5/Premissas!$C$39)*Premissas!$C$39,N(Premissas!$E$39))=0,"B",IF(N(Premissas!$D$39)&gt;0,IF(MOD(INT(Cron_Uso!Z5/Premissas!$C$39)*Premissas!$C$39,N(Premissas!$D$39))=0,"A","S"),"S")),IF(N(Premissas!$D$39)&gt;0,IF(MOD(INT(Cron_Uso!Z5/Premissas!$C$39)*Premissas!$C$39,N(Premissas!$D$39))=0,"A","S"),"S"))),"")</f>
        <v>A</v>
      </c>
      <c r="AA5" s="22" t="str">
        <f>IF(INT(Cron_Uso!AA5/Premissas!$C$39)&gt;INT(Cron_Uso!Z5/Premissas!$C$39),IF(N(Premissas!$F$39)&gt;0,IF(MOD(INT(Cron_Uso!AA5/Premissas!$C$39)*Premissas!$C$39,N(Premissas!$F$39))=0,"C",IF(N(Premissas!$E$39)&gt;0,IF(MOD(INT(Cron_Uso!AA5/Premissas!$C$39)*Premissas!$C$39,N(Premissas!$E$39))=0,"B",IF(N(Premissas!$D$39)&gt;0,IF(MOD(INT(Cron_Uso!AA5/Premissas!$C$39)*Premissas!$C$39,N(Premissas!$D$39))=0,"A","S"),"S")),IF(N(Premissas!$D$39)&gt;0,IF(MOD(INT(Cron_Uso!AA5/Premissas!$C$39)*Premissas!$C$39,N(Premissas!$D$39))=0,"A","S"),"S"))),IF(N(Premissas!$E$39)&gt;0,IF(MOD(INT(Cron_Uso!AA5/Premissas!$C$39)*Premissas!$C$39,N(Premissas!$E$39))=0,"B",IF(N(Premissas!$D$39)&gt;0,IF(MOD(INT(Cron_Uso!AA5/Premissas!$C$39)*Premissas!$C$39,N(Premissas!$D$39))=0,"A","S"),"S")),IF(N(Premissas!$D$39)&gt;0,IF(MOD(INT(Cron_Uso!AA5/Premissas!$C$39)*Premissas!$C$39,N(Premissas!$D$39))=0,"A","S"),"S"))),"")</f>
        <v/>
      </c>
      <c r="AB5" s="22" t="str">
        <f>IF(INT(Cron_Uso!AB5/Premissas!$C$39)&gt;INT(Cron_Uso!AA5/Premissas!$C$39),IF(N(Premissas!$F$39)&gt;0,IF(MOD(INT(Cron_Uso!AB5/Premissas!$C$39)*Premissas!$C$39,N(Premissas!$F$39))=0,"C",IF(N(Premissas!$E$39)&gt;0,IF(MOD(INT(Cron_Uso!AB5/Premissas!$C$39)*Premissas!$C$39,N(Premissas!$E$39))=0,"B",IF(N(Premissas!$D$39)&gt;0,IF(MOD(INT(Cron_Uso!AB5/Premissas!$C$39)*Premissas!$C$39,N(Premissas!$D$39))=0,"A","S"),"S")),IF(N(Premissas!$D$39)&gt;0,IF(MOD(INT(Cron_Uso!AB5/Premissas!$C$39)*Premissas!$C$39,N(Premissas!$D$39))=0,"A","S"),"S"))),IF(N(Premissas!$E$39)&gt;0,IF(MOD(INT(Cron_Uso!AB5/Premissas!$C$39)*Premissas!$C$39,N(Premissas!$E$39))=0,"B",IF(N(Premissas!$D$39)&gt;0,IF(MOD(INT(Cron_Uso!AB5/Premissas!$C$39)*Premissas!$C$39,N(Premissas!$D$39))=0,"A","S"),"S")),IF(N(Premissas!$D$39)&gt;0,IF(MOD(INT(Cron_Uso!AB5/Premissas!$C$39)*Premissas!$C$39,N(Premissas!$D$39))=0,"A","S"),"S"))),"")</f>
        <v/>
      </c>
      <c r="AC5" s="22" t="str">
        <f>IF(INT(Cron_Uso!AC5/Premissas!$C$39)&gt;INT(Cron_Uso!AB5/Premissas!$C$39),IF(N(Premissas!$F$39)&gt;0,IF(MOD(INT(Cron_Uso!AC5/Premissas!$C$39)*Premissas!$C$39,N(Premissas!$F$39))=0,"C",IF(N(Premissas!$E$39)&gt;0,IF(MOD(INT(Cron_Uso!AC5/Premissas!$C$39)*Premissas!$C$39,N(Premissas!$E$39))=0,"B",IF(N(Premissas!$D$39)&gt;0,IF(MOD(INT(Cron_Uso!AC5/Premissas!$C$39)*Premissas!$C$39,N(Premissas!$D$39))=0,"A","S"),"S")),IF(N(Premissas!$D$39)&gt;0,IF(MOD(INT(Cron_Uso!AC5/Premissas!$C$39)*Premissas!$C$39,N(Premissas!$D$39))=0,"A","S"),"S"))),IF(N(Premissas!$E$39)&gt;0,IF(MOD(INT(Cron_Uso!AC5/Premissas!$C$39)*Premissas!$C$39,N(Premissas!$E$39))=0,"B",IF(N(Premissas!$D$39)&gt;0,IF(MOD(INT(Cron_Uso!AC5/Premissas!$C$39)*Premissas!$C$39,N(Premissas!$D$39))=0,"A","S"),"S")),IF(N(Premissas!$D$39)&gt;0,IF(MOD(INT(Cron_Uso!AC5/Premissas!$C$39)*Premissas!$C$39,N(Premissas!$D$39))=0,"A","S"),"S"))),"")</f>
        <v>S</v>
      </c>
      <c r="AD5" s="22" t="str">
        <f>IF(INT(Cron_Uso!AD5/Premissas!$C$39)&gt;INT(Cron_Uso!AC5/Premissas!$C$39),IF(N(Premissas!$F$39)&gt;0,IF(MOD(INT(Cron_Uso!AD5/Premissas!$C$39)*Premissas!$C$39,N(Premissas!$F$39))=0,"C",IF(N(Premissas!$E$39)&gt;0,IF(MOD(INT(Cron_Uso!AD5/Premissas!$C$39)*Premissas!$C$39,N(Premissas!$E$39))=0,"B",IF(N(Premissas!$D$39)&gt;0,IF(MOD(INT(Cron_Uso!AD5/Premissas!$C$39)*Premissas!$C$39,N(Premissas!$D$39))=0,"A","S"),"S")),IF(N(Premissas!$D$39)&gt;0,IF(MOD(INT(Cron_Uso!AD5/Premissas!$C$39)*Premissas!$C$39,N(Premissas!$D$39))=0,"A","S"),"S"))),IF(N(Premissas!$E$39)&gt;0,IF(MOD(INT(Cron_Uso!AD5/Premissas!$C$39)*Premissas!$C$39,N(Premissas!$E$39))=0,"B",IF(N(Premissas!$D$39)&gt;0,IF(MOD(INT(Cron_Uso!AD5/Premissas!$C$39)*Premissas!$C$39,N(Premissas!$D$39))=0,"A","S"),"S")),IF(N(Premissas!$D$39)&gt;0,IF(MOD(INT(Cron_Uso!AD5/Premissas!$C$39)*Premissas!$C$39,N(Premissas!$D$39))=0,"A","S"),"S"))),"")</f>
        <v/>
      </c>
      <c r="AE5" s="22" t="str">
        <f>IF(INT(Cron_Uso!AE5/Premissas!$C$39)&gt;INT(Cron_Uso!AD5/Premissas!$C$39),IF(N(Premissas!$F$39)&gt;0,IF(MOD(INT(Cron_Uso!AE5/Premissas!$C$39)*Premissas!$C$39,N(Premissas!$F$39))=0,"C",IF(N(Premissas!$E$39)&gt;0,IF(MOD(INT(Cron_Uso!AE5/Premissas!$C$39)*Premissas!$C$39,N(Premissas!$E$39))=0,"B",IF(N(Premissas!$D$39)&gt;0,IF(MOD(INT(Cron_Uso!AE5/Premissas!$C$39)*Premissas!$C$39,N(Premissas!$D$39))=0,"A","S"),"S")),IF(N(Premissas!$D$39)&gt;0,IF(MOD(INT(Cron_Uso!AE5/Premissas!$C$39)*Premissas!$C$39,N(Premissas!$D$39))=0,"A","S"),"S"))),IF(N(Premissas!$E$39)&gt;0,IF(MOD(INT(Cron_Uso!AE5/Premissas!$C$39)*Premissas!$C$39,N(Premissas!$E$39))=0,"B",IF(N(Premissas!$D$39)&gt;0,IF(MOD(INT(Cron_Uso!AE5/Premissas!$C$39)*Premissas!$C$39,N(Premissas!$D$39))=0,"A","S"),"S")),IF(N(Premissas!$D$39)&gt;0,IF(MOD(INT(Cron_Uso!AE5/Premissas!$C$39)*Premissas!$C$39,N(Premissas!$D$39))=0,"A","S"),"S"))),"")</f>
        <v>B</v>
      </c>
      <c r="AF5" s="22" t="str">
        <f>IF(INT(Cron_Uso!AF5/Premissas!$C$39)&gt;INT(Cron_Uso!AE5/Premissas!$C$39),IF(N(Premissas!$F$39)&gt;0,IF(MOD(INT(Cron_Uso!AF5/Premissas!$C$39)*Premissas!$C$39,N(Premissas!$F$39))=0,"C",IF(N(Premissas!$E$39)&gt;0,IF(MOD(INT(Cron_Uso!AF5/Premissas!$C$39)*Premissas!$C$39,N(Premissas!$E$39))=0,"B",IF(N(Premissas!$D$39)&gt;0,IF(MOD(INT(Cron_Uso!AF5/Premissas!$C$39)*Premissas!$C$39,N(Premissas!$D$39))=0,"A","S"),"S")),IF(N(Premissas!$D$39)&gt;0,IF(MOD(INT(Cron_Uso!AF5/Premissas!$C$39)*Premissas!$C$39,N(Premissas!$D$39))=0,"A","S"),"S"))),IF(N(Premissas!$E$39)&gt;0,IF(MOD(INT(Cron_Uso!AF5/Premissas!$C$39)*Premissas!$C$39,N(Premissas!$E$39))=0,"B",IF(N(Premissas!$D$39)&gt;0,IF(MOD(INT(Cron_Uso!AF5/Premissas!$C$39)*Premissas!$C$39,N(Premissas!$D$39))=0,"A","S"),"S")),IF(N(Premissas!$D$39)&gt;0,IF(MOD(INT(Cron_Uso!AF5/Premissas!$C$39)*Premissas!$C$39,N(Premissas!$D$39))=0,"A","S"),"S"))),"")</f>
        <v/>
      </c>
      <c r="AG5" s="22" t="str">
        <f>IF(INT(Cron_Uso!AG5/Premissas!$C$39)&gt;INT(Cron_Uso!AF5/Premissas!$C$39),IF(N(Premissas!$F$39)&gt;0,IF(MOD(INT(Cron_Uso!AG5/Premissas!$C$39)*Premissas!$C$39,N(Premissas!$F$39))=0,"C",IF(N(Premissas!$E$39)&gt;0,IF(MOD(INT(Cron_Uso!AG5/Premissas!$C$39)*Premissas!$C$39,N(Premissas!$E$39))=0,"B",IF(N(Premissas!$D$39)&gt;0,IF(MOD(INT(Cron_Uso!AG5/Premissas!$C$39)*Premissas!$C$39,N(Premissas!$D$39))=0,"A","S"),"S")),IF(N(Premissas!$D$39)&gt;0,IF(MOD(INT(Cron_Uso!AG5/Premissas!$C$39)*Premissas!$C$39,N(Premissas!$D$39))=0,"A","S"),"S"))),IF(N(Premissas!$E$39)&gt;0,IF(MOD(INT(Cron_Uso!AG5/Premissas!$C$39)*Premissas!$C$39,N(Premissas!$E$39))=0,"B",IF(N(Premissas!$D$39)&gt;0,IF(MOD(INT(Cron_Uso!AG5/Premissas!$C$39)*Premissas!$C$39,N(Premissas!$D$39))=0,"A","S"),"S")),IF(N(Premissas!$D$39)&gt;0,IF(MOD(INT(Cron_Uso!AG5/Premissas!$C$39)*Premissas!$C$39,N(Premissas!$D$39))=0,"A","S"),"S"))),"")</f>
        <v/>
      </c>
      <c r="AH5" s="22" t="str">
        <f>IF(INT(Cron_Uso!AH5/Premissas!$C$39)&gt;INT(Cron_Uso!AG5/Premissas!$C$39),IF(N(Premissas!$F$39)&gt;0,IF(MOD(INT(Cron_Uso!AH5/Premissas!$C$39)*Premissas!$C$39,N(Premissas!$F$39))=0,"C",IF(N(Premissas!$E$39)&gt;0,IF(MOD(INT(Cron_Uso!AH5/Premissas!$C$39)*Premissas!$C$39,N(Premissas!$E$39))=0,"B",IF(N(Premissas!$D$39)&gt;0,IF(MOD(INT(Cron_Uso!AH5/Premissas!$C$39)*Premissas!$C$39,N(Premissas!$D$39))=0,"A","S"),"S")),IF(N(Premissas!$D$39)&gt;0,IF(MOD(INT(Cron_Uso!AH5/Premissas!$C$39)*Premissas!$C$39,N(Premissas!$D$39))=0,"A","S"),"S"))),IF(N(Premissas!$E$39)&gt;0,IF(MOD(INT(Cron_Uso!AH5/Premissas!$C$39)*Premissas!$C$39,N(Premissas!$E$39))=0,"B",IF(N(Premissas!$D$39)&gt;0,IF(MOD(INT(Cron_Uso!AH5/Premissas!$C$39)*Premissas!$C$39,N(Premissas!$D$39))=0,"A","S"),"S")),IF(N(Premissas!$D$39)&gt;0,IF(MOD(INT(Cron_Uso!AH5/Premissas!$C$39)*Premissas!$C$39,N(Premissas!$D$39))=0,"A","S"),"S"))),"")</f>
        <v/>
      </c>
      <c r="AI5" s="22" t="str">
        <f>IF(INT(Cron_Uso!AI5/Premissas!$C$39)&gt;INT(Cron_Uso!AH5/Premissas!$C$39),IF(N(Premissas!$F$39)&gt;0,IF(MOD(INT(Cron_Uso!AI5/Premissas!$C$39)*Premissas!$C$39,N(Premissas!$F$39))=0,"C",IF(N(Premissas!$E$39)&gt;0,IF(MOD(INT(Cron_Uso!AI5/Premissas!$C$39)*Premissas!$C$39,N(Premissas!$E$39))=0,"B",IF(N(Premissas!$D$39)&gt;0,IF(MOD(INT(Cron_Uso!AI5/Premissas!$C$39)*Premissas!$C$39,N(Premissas!$D$39))=0,"A","S"),"S")),IF(N(Premissas!$D$39)&gt;0,IF(MOD(INT(Cron_Uso!AI5/Premissas!$C$39)*Premissas!$C$39,N(Premissas!$D$39))=0,"A","S"),"S"))),IF(N(Premissas!$E$39)&gt;0,IF(MOD(INT(Cron_Uso!AI5/Premissas!$C$39)*Premissas!$C$39,N(Premissas!$E$39))=0,"B",IF(N(Premissas!$D$39)&gt;0,IF(MOD(INT(Cron_Uso!AI5/Premissas!$C$39)*Premissas!$C$39,N(Premissas!$D$39))=0,"A","S"),"S")),IF(N(Premissas!$D$39)&gt;0,IF(MOD(INT(Cron_Uso!AI5/Premissas!$C$39)*Premissas!$C$39,N(Premissas!$D$39))=0,"A","S"),"S"))),"")</f>
        <v/>
      </c>
      <c r="AJ5" s="22" t="str">
        <f>IF(INT(Cron_Uso!AJ5/Premissas!$C$39)&gt;INT(Cron_Uso!AI5/Premissas!$C$39),IF(N(Premissas!$F$39)&gt;0,IF(MOD(INT(Cron_Uso!AJ5/Premissas!$C$39)*Premissas!$C$39,N(Premissas!$F$39))=0,"C",IF(N(Premissas!$E$39)&gt;0,IF(MOD(INT(Cron_Uso!AJ5/Premissas!$C$39)*Premissas!$C$39,N(Premissas!$E$39))=0,"B",IF(N(Premissas!$D$39)&gt;0,IF(MOD(INT(Cron_Uso!AJ5/Premissas!$C$39)*Premissas!$C$39,N(Premissas!$D$39))=0,"A","S"),"S")),IF(N(Premissas!$D$39)&gt;0,IF(MOD(INT(Cron_Uso!AJ5/Premissas!$C$39)*Premissas!$C$39,N(Premissas!$D$39))=0,"A","S"),"S"))),IF(N(Premissas!$E$39)&gt;0,IF(MOD(INT(Cron_Uso!AJ5/Premissas!$C$39)*Premissas!$C$39,N(Premissas!$E$39))=0,"B",IF(N(Premissas!$D$39)&gt;0,IF(MOD(INT(Cron_Uso!AJ5/Premissas!$C$39)*Premissas!$C$39,N(Premissas!$D$39))=0,"A","S"),"S")),IF(N(Premissas!$D$39)&gt;0,IF(MOD(INT(Cron_Uso!AJ5/Premissas!$C$39)*Premissas!$C$39,N(Premissas!$D$39))=0,"A","S"),"S"))),"")</f>
        <v/>
      </c>
      <c r="AK5" s="22" t="str">
        <f>IF(INT(Cron_Uso!AK5/Premissas!$C$39)&gt;INT(Cron_Uso!AJ5/Premissas!$C$39),IF(N(Premissas!$F$39)&gt;0,IF(MOD(INT(Cron_Uso!AK5/Premissas!$C$39)*Premissas!$C$39,N(Premissas!$F$39))=0,"C",IF(N(Premissas!$E$39)&gt;0,IF(MOD(INT(Cron_Uso!AK5/Premissas!$C$39)*Premissas!$C$39,N(Premissas!$E$39))=0,"B",IF(N(Premissas!$D$39)&gt;0,IF(MOD(INT(Cron_Uso!AK5/Premissas!$C$39)*Premissas!$C$39,N(Premissas!$D$39))=0,"A","S"),"S")),IF(N(Premissas!$D$39)&gt;0,IF(MOD(INT(Cron_Uso!AK5/Premissas!$C$39)*Premissas!$C$39,N(Premissas!$D$39))=0,"A","S"),"S"))),IF(N(Premissas!$E$39)&gt;0,IF(MOD(INT(Cron_Uso!AK5/Premissas!$C$39)*Premissas!$C$39,N(Premissas!$E$39))=0,"B",IF(N(Premissas!$D$39)&gt;0,IF(MOD(INT(Cron_Uso!AK5/Premissas!$C$39)*Premissas!$C$39,N(Premissas!$D$39))=0,"A","S"),"S")),IF(N(Premissas!$D$39)&gt;0,IF(MOD(INT(Cron_Uso!AK5/Premissas!$C$39)*Premissas!$C$39,N(Premissas!$D$39))=0,"A","S"),"S"))),"")</f>
        <v/>
      </c>
      <c r="AL5" s="22" t="str">
        <f>IF(INT(Cron_Uso!AL5/Premissas!$C$39)&gt;INT(Cron_Uso!AK5/Premissas!$C$39),IF(N(Premissas!$F$39)&gt;0,IF(MOD(INT(Cron_Uso!AL5/Premissas!$C$39)*Premissas!$C$39,N(Premissas!$F$39))=0,"C",IF(N(Premissas!$E$39)&gt;0,IF(MOD(INT(Cron_Uso!AL5/Premissas!$C$39)*Premissas!$C$39,N(Premissas!$E$39))=0,"B",IF(N(Premissas!$D$39)&gt;0,IF(MOD(INT(Cron_Uso!AL5/Premissas!$C$39)*Premissas!$C$39,N(Premissas!$D$39))=0,"A","S"),"S")),IF(N(Premissas!$D$39)&gt;0,IF(MOD(INT(Cron_Uso!AL5/Premissas!$C$39)*Premissas!$C$39,N(Premissas!$D$39))=0,"A","S"),"S"))),IF(N(Premissas!$E$39)&gt;0,IF(MOD(INT(Cron_Uso!AL5/Premissas!$C$39)*Premissas!$C$39,N(Premissas!$E$39))=0,"B",IF(N(Premissas!$D$39)&gt;0,IF(MOD(INT(Cron_Uso!AL5/Premissas!$C$39)*Premissas!$C$39,N(Premissas!$D$39))=0,"A","S"),"S")),IF(N(Premissas!$D$39)&gt;0,IF(MOD(INT(Cron_Uso!AL5/Premissas!$C$39)*Premissas!$C$39,N(Premissas!$D$39))=0,"A","S"),"S"))),"")</f>
        <v/>
      </c>
      <c r="AM5" s="22" t="str">
        <f>IF(INT(Cron_Uso!AM5/Premissas!$C$39)&gt;INT(Cron_Uso!AL5/Premissas!$C$39),IF(N(Premissas!$F$39)&gt;0,IF(MOD(INT(Cron_Uso!AM5/Premissas!$C$39)*Premissas!$C$39,N(Premissas!$F$39))=0,"C",IF(N(Premissas!$E$39)&gt;0,IF(MOD(INT(Cron_Uso!AM5/Premissas!$C$39)*Premissas!$C$39,N(Premissas!$E$39))=0,"B",IF(N(Premissas!$D$39)&gt;0,IF(MOD(INT(Cron_Uso!AM5/Premissas!$C$39)*Premissas!$C$39,N(Premissas!$D$39))=0,"A","S"),"S")),IF(N(Premissas!$D$39)&gt;0,IF(MOD(INT(Cron_Uso!AM5/Premissas!$C$39)*Premissas!$C$39,N(Premissas!$D$39))=0,"A","S"),"S"))),IF(N(Premissas!$E$39)&gt;0,IF(MOD(INT(Cron_Uso!AM5/Premissas!$C$39)*Premissas!$C$39,N(Premissas!$E$39))=0,"B",IF(N(Premissas!$D$39)&gt;0,IF(MOD(INT(Cron_Uso!AM5/Premissas!$C$39)*Premissas!$C$39,N(Premissas!$D$39))=0,"A","S"),"S")),IF(N(Premissas!$D$39)&gt;0,IF(MOD(INT(Cron_Uso!AM5/Premissas!$C$39)*Premissas!$C$39,N(Premissas!$D$39))=0,"A","S"),"S"))),"")</f>
        <v/>
      </c>
      <c r="AN5" s="22" t="str">
        <f>IF(INT(Cron_Uso!AN5/Premissas!$C$39)&gt;INT(Cron_Uso!AM5/Premissas!$C$39),IF(N(Premissas!$F$39)&gt;0,IF(MOD(INT(Cron_Uso!AN5/Premissas!$C$39)*Premissas!$C$39,N(Premissas!$F$39))=0,"C",IF(N(Premissas!$E$39)&gt;0,IF(MOD(INT(Cron_Uso!AN5/Premissas!$C$39)*Premissas!$C$39,N(Premissas!$E$39))=0,"B",IF(N(Premissas!$D$39)&gt;0,IF(MOD(INT(Cron_Uso!AN5/Premissas!$C$39)*Premissas!$C$39,N(Premissas!$D$39))=0,"A","S"),"S")),IF(N(Premissas!$D$39)&gt;0,IF(MOD(INT(Cron_Uso!AN5/Premissas!$C$39)*Premissas!$C$39,N(Premissas!$D$39))=0,"A","S"),"S"))),IF(N(Premissas!$E$39)&gt;0,IF(MOD(INT(Cron_Uso!AN5/Premissas!$C$39)*Premissas!$C$39,N(Premissas!$E$39))=0,"B",IF(N(Premissas!$D$39)&gt;0,IF(MOD(INT(Cron_Uso!AN5/Premissas!$C$39)*Premissas!$C$39,N(Premissas!$D$39))=0,"A","S"),"S")),IF(N(Premissas!$D$39)&gt;0,IF(MOD(INT(Cron_Uso!AN5/Premissas!$C$39)*Premissas!$C$39,N(Premissas!$D$39))=0,"A","S"),"S"))),"")</f>
        <v/>
      </c>
      <c r="AO5" s="22" t="str">
        <f>IF(INT(Cron_Uso!AO5/Premissas!$C$39)&gt;INT(Cron_Uso!AN5/Premissas!$C$39),IF(N(Premissas!$F$39)&gt;0,IF(MOD(INT(Cron_Uso!AO5/Premissas!$C$39)*Premissas!$C$39,N(Premissas!$F$39))=0,"C",IF(N(Premissas!$E$39)&gt;0,IF(MOD(INT(Cron_Uso!AO5/Premissas!$C$39)*Premissas!$C$39,N(Premissas!$E$39))=0,"B",IF(N(Premissas!$D$39)&gt;0,IF(MOD(INT(Cron_Uso!AO5/Premissas!$C$39)*Premissas!$C$39,N(Premissas!$D$39))=0,"A","S"),"S")),IF(N(Premissas!$D$39)&gt;0,IF(MOD(INT(Cron_Uso!AO5/Premissas!$C$39)*Premissas!$C$39,N(Premissas!$D$39))=0,"A","S"),"S"))),IF(N(Premissas!$E$39)&gt;0,IF(MOD(INT(Cron_Uso!AO5/Premissas!$C$39)*Premissas!$C$39,N(Premissas!$E$39))=0,"B",IF(N(Premissas!$D$39)&gt;0,IF(MOD(INT(Cron_Uso!AO5/Premissas!$C$39)*Premissas!$C$39,N(Premissas!$D$39))=0,"A","S"),"S")),IF(N(Premissas!$D$39)&gt;0,IF(MOD(INT(Cron_Uso!AO5/Premissas!$C$39)*Premissas!$C$39,N(Premissas!$D$39))=0,"A","S"),"S"))),"")</f>
        <v/>
      </c>
      <c r="AP5" s="22" t="str">
        <f>IF(INT(Cron_Uso!AP5/Premissas!$C$39)&gt;INT(Cron_Uso!AO5/Premissas!$C$39),IF(N(Premissas!$F$39)&gt;0,IF(MOD(INT(Cron_Uso!AP5/Premissas!$C$39)*Premissas!$C$39,N(Premissas!$F$39))=0,"C",IF(N(Premissas!$E$39)&gt;0,IF(MOD(INT(Cron_Uso!AP5/Premissas!$C$39)*Premissas!$C$39,N(Premissas!$E$39))=0,"B",IF(N(Premissas!$D$39)&gt;0,IF(MOD(INT(Cron_Uso!AP5/Premissas!$C$39)*Premissas!$C$39,N(Premissas!$D$39))=0,"A","S"),"S")),IF(N(Premissas!$D$39)&gt;0,IF(MOD(INT(Cron_Uso!AP5/Premissas!$C$39)*Premissas!$C$39,N(Premissas!$D$39))=0,"A","S"),"S"))),IF(N(Premissas!$E$39)&gt;0,IF(MOD(INT(Cron_Uso!AP5/Premissas!$C$39)*Premissas!$C$39,N(Premissas!$E$39))=0,"B",IF(N(Premissas!$D$39)&gt;0,IF(MOD(INT(Cron_Uso!AP5/Premissas!$C$39)*Premissas!$C$39,N(Premissas!$D$39))=0,"A","S"),"S")),IF(N(Premissas!$D$39)&gt;0,IF(MOD(INT(Cron_Uso!AP5/Premissas!$C$39)*Premissas!$C$39,N(Premissas!$D$39))=0,"A","S"),"S"))),"")</f>
        <v/>
      </c>
      <c r="AQ5" s="22" t="str">
        <f>IF(INT(Cron_Uso!AQ5/Premissas!$C$39)&gt;INT(Cron_Uso!AP5/Premissas!$C$39),IF(N(Premissas!$F$39)&gt;0,IF(MOD(INT(Cron_Uso!AQ5/Premissas!$C$39)*Premissas!$C$39,N(Premissas!$F$39))=0,"C",IF(N(Premissas!$E$39)&gt;0,IF(MOD(INT(Cron_Uso!AQ5/Premissas!$C$39)*Premissas!$C$39,N(Premissas!$E$39))=0,"B",IF(N(Premissas!$D$39)&gt;0,IF(MOD(INT(Cron_Uso!AQ5/Premissas!$C$39)*Premissas!$C$39,N(Premissas!$D$39))=0,"A","S"),"S")),IF(N(Premissas!$D$39)&gt;0,IF(MOD(INT(Cron_Uso!AQ5/Premissas!$C$39)*Premissas!$C$39,N(Premissas!$D$39))=0,"A","S"),"S"))),IF(N(Premissas!$E$39)&gt;0,IF(MOD(INT(Cron_Uso!AQ5/Premissas!$C$39)*Premissas!$C$39,N(Premissas!$E$39))=0,"B",IF(N(Premissas!$D$39)&gt;0,IF(MOD(INT(Cron_Uso!AQ5/Premissas!$C$39)*Premissas!$C$39,N(Premissas!$D$39))=0,"A","S"),"S")),IF(N(Premissas!$D$39)&gt;0,IF(MOD(INT(Cron_Uso!AQ5/Premissas!$C$39)*Premissas!$C$39,N(Premissas!$D$39))=0,"A","S"),"S"))),"")</f>
        <v/>
      </c>
      <c r="AR5" s="22" t="str">
        <f>IF(INT(Cron_Uso!AR5/Premissas!$C$39)&gt;INT(Cron_Uso!AQ5/Premissas!$C$39),IF(N(Premissas!$F$39)&gt;0,IF(MOD(INT(Cron_Uso!AR5/Premissas!$C$39)*Premissas!$C$39,N(Premissas!$F$39))=0,"C",IF(N(Premissas!$E$39)&gt;0,IF(MOD(INT(Cron_Uso!AR5/Premissas!$C$39)*Premissas!$C$39,N(Premissas!$E$39))=0,"B",IF(N(Premissas!$D$39)&gt;0,IF(MOD(INT(Cron_Uso!AR5/Premissas!$C$39)*Premissas!$C$39,N(Premissas!$D$39))=0,"A","S"),"S")),IF(N(Premissas!$D$39)&gt;0,IF(MOD(INT(Cron_Uso!AR5/Premissas!$C$39)*Premissas!$C$39,N(Premissas!$D$39))=0,"A","S"),"S"))),IF(N(Premissas!$E$39)&gt;0,IF(MOD(INT(Cron_Uso!AR5/Premissas!$C$39)*Premissas!$C$39,N(Premissas!$E$39))=0,"B",IF(N(Premissas!$D$39)&gt;0,IF(MOD(INT(Cron_Uso!AR5/Premissas!$C$39)*Premissas!$C$39,N(Premissas!$D$39))=0,"A","S"),"S")),IF(N(Premissas!$D$39)&gt;0,IF(MOD(INT(Cron_Uso!AR5/Premissas!$C$39)*Premissas!$C$39,N(Premissas!$D$39))=0,"A","S"),"S"))),"")</f>
        <v/>
      </c>
      <c r="AS5" s="22" t="str">
        <f>IF(INT(Cron_Uso!AS5/Premissas!$C$39)&gt;INT(Cron_Uso!AR5/Premissas!$C$39),IF(N(Premissas!$F$39)&gt;0,IF(MOD(INT(Cron_Uso!AS5/Premissas!$C$39)*Premissas!$C$39,N(Premissas!$F$39))=0,"C",IF(N(Premissas!$E$39)&gt;0,IF(MOD(INT(Cron_Uso!AS5/Premissas!$C$39)*Premissas!$C$39,N(Premissas!$E$39))=0,"B",IF(N(Premissas!$D$39)&gt;0,IF(MOD(INT(Cron_Uso!AS5/Premissas!$C$39)*Premissas!$C$39,N(Premissas!$D$39))=0,"A","S"),"S")),IF(N(Premissas!$D$39)&gt;0,IF(MOD(INT(Cron_Uso!AS5/Premissas!$C$39)*Premissas!$C$39,N(Premissas!$D$39))=0,"A","S"),"S"))),IF(N(Premissas!$E$39)&gt;0,IF(MOD(INT(Cron_Uso!AS5/Premissas!$C$39)*Premissas!$C$39,N(Premissas!$E$39))=0,"B",IF(N(Premissas!$D$39)&gt;0,IF(MOD(INT(Cron_Uso!AS5/Premissas!$C$39)*Premissas!$C$39,N(Premissas!$D$39))=0,"A","S"),"S")),IF(N(Premissas!$D$39)&gt;0,IF(MOD(INT(Cron_Uso!AS5/Premissas!$C$39)*Premissas!$C$39,N(Premissas!$D$39))=0,"A","S"),"S"))),"")</f>
        <v/>
      </c>
      <c r="AT5" s="22" t="str">
        <f>IF(INT(Cron_Uso!AT5/Premissas!$C$39)&gt;INT(Cron_Uso!AS5/Premissas!$C$39),IF(N(Premissas!$F$39)&gt;0,IF(MOD(INT(Cron_Uso!AT5/Premissas!$C$39)*Premissas!$C$39,N(Premissas!$F$39))=0,"C",IF(N(Premissas!$E$39)&gt;0,IF(MOD(INT(Cron_Uso!AT5/Premissas!$C$39)*Premissas!$C$39,N(Premissas!$E$39))=0,"B",IF(N(Premissas!$D$39)&gt;0,IF(MOD(INT(Cron_Uso!AT5/Premissas!$C$39)*Premissas!$C$39,N(Premissas!$D$39))=0,"A","S"),"S")),IF(N(Premissas!$D$39)&gt;0,IF(MOD(INT(Cron_Uso!AT5/Premissas!$C$39)*Premissas!$C$39,N(Premissas!$D$39))=0,"A","S"),"S"))),IF(N(Premissas!$E$39)&gt;0,IF(MOD(INT(Cron_Uso!AT5/Premissas!$C$39)*Premissas!$C$39,N(Premissas!$E$39))=0,"B",IF(N(Premissas!$D$39)&gt;0,IF(MOD(INT(Cron_Uso!AT5/Premissas!$C$39)*Premissas!$C$39,N(Premissas!$D$39))=0,"A","S"),"S")),IF(N(Premissas!$D$39)&gt;0,IF(MOD(INT(Cron_Uso!AT5/Premissas!$C$39)*Premissas!$C$39,N(Premissas!$D$39))=0,"A","S"),"S"))),"")</f>
        <v/>
      </c>
      <c r="AU5" s="22" t="str">
        <f>IF(INT(Cron_Uso!AU5/Premissas!$C$39)&gt;INT(Cron_Uso!AT5/Premissas!$C$39),IF(N(Premissas!$F$39)&gt;0,IF(MOD(INT(Cron_Uso!AU5/Premissas!$C$39)*Premissas!$C$39,N(Premissas!$F$39))=0,"C",IF(N(Premissas!$E$39)&gt;0,IF(MOD(INT(Cron_Uso!AU5/Premissas!$C$39)*Premissas!$C$39,N(Premissas!$E$39))=0,"B",IF(N(Premissas!$D$39)&gt;0,IF(MOD(INT(Cron_Uso!AU5/Premissas!$C$39)*Premissas!$C$39,N(Premissas!$D$39))=0,"A","S"),"S")),IF(N(Premissas!$D$39)&gt;0,IF(MOD(INT(Cron_Uso!AU5/Premissas!$C$39)*Premissas!$C$39,N(Premissas!$D$39))=0,"A","S"),"S"))),IF(N(Premissas!$E$39)&gt;0,IF(MOD(INT(Cron_Uso!AU5/Premissas!$C$39)*Premissas!$C$39,N(Premissas!$E$39))=0,"B",IF(N(Premissas!$D$39)&gt;0,IF(MOD(INT(Cron_Uso!AU5/Premissas!$C$39)*Premissas!$C$39,N(Premissas!$D$39))=0,"A","S"),"S")),IF(N(Premissas!$D$39)&gt;0,IF(MOD(INT(Cron_Uso!AU5/Premissas!$C$39)*Premissas!$C$39,N(Premissas!$D$39))=0,"A","S"),"S"))),"")</f>
        <v/>
      </c>
      <c r="AV5" s="22" t="str">
        <f>IF(INT(Cron_Uso!AV5/Premissas!$C$39)&gt;INT(Cron_Uso!AU5/Premissas!$C$39),IF(N(Premissas!$F$39)&gt;0,IF(MOD(INT(Cron_Uso!AV5/Premissas!$C$39)*Premissas!$C$39,N(Premissas!$F$39))=0,"C",IF(N(Premissas!$E$39)&gt;0,IF(MOD(INT(Cron_Uso!AV5/Premissas!$C$39)*Premissas!$C$39,N(Premissas!$E$39))=0,"B",IF(N(Premissas!$D$39)&gt;0,IF(MOD(INT(Cron_Uso!AV5/Premissas!$C$39)*Premissas!$C$39,N(Premissas!$D$39))=0,"A","S"),"S")),IF(N(Premissas!$D$39)&gt;0,IF(MOD(INT(Cron_Uso!AV5/Premissas!$C$39)*Premissas!$C$39,N(Premissas!$D$39))=0,"A","S"),"S"))),IF(N(Premissas!$E$39)&gt;0,IF(MOD(INT(Cron_Uso!AV5/Premissas!$C$39)*Premissas!$C$39,N(Premissas!$E$39))=0,"B",IF(N(Premissas!$D$39)&gt;0,IF(MOD(INT(Cron_Uso!AV5/Premissas!$C$39)*Premissas!$C$39,N(Premissas!$D$39))=0,"A","S"),"S")),IF(N(Premissas!$D$39)&gt;0,IF(MOD(INT(Cron_Uso!AV5/Premissas!$C$39)*Premissas!$C$39,N(Premissas!$D$39))=0,"A","S"),"S"))),"")</f>
        <v/>
      </c>
      <c r="AW5" s="22" t="str">
        <f>IF(INT(Cron_Uso!AW5/Premissas!$C$39)&gt;INT(Cron_Uso!AV5/Premissas!$C$39),IF(N(Premissas!$F$39)&gt;0,IF(MOD(INT(Cron_Uso!AW5/Premissas!$C$39)*Premissas!$C$39,N(Premissas!$F$39))=0,"C",IF(N(Premissas!$E$39)&gt;0,IF(MOD(INT(Cron_Uso!AW5/Premissas!$C$39)*Premissas!$C$39,N(Premissas!$E$39))=0,"B",IF(N(Premissas!$D$39)&gt;0,IF(MOD(INT(Cron_Uso!AW5/Premissas!$C$39)*Premissas!$C$39,N(Premissas!$D$39))=0,"A","S"),"S")),IF(N(Premissas!$D$39)&gt;0,IF(MOD(INT(Cron_Uso!AW5/Premissas!$C$39)*Premissas!$C$39,N(Premissas!$D$39))=0,"A","S"),"S"))),IF(N(Premissas!$E$39)&gt;0,IF(MOD(INT(Cron_Uso!AW5/Premissas!$C$39)*Premissas!$C$39,N(Premissas!$E$39))=0,"B",IF(N(Premissas!$D$39)&gt;0,IF(MOD(INT(Cron_Uso!AW5/Premissas!$C$39)*Premissas!$C$39,N(Premissas!$D$39))=0,"A","S"),"S")),IF(N(Premissas!$D$39)&gt;0,IF(MOD(INT(Cron_Uso!AW5/Premissas!$C$39)*Premissas!$C$39,N(Premissas!$D$39))=0,"A","S"),"S"))),"")</f>
        <v/>
      </c>
      <c r="AX5" s="22" t="str">
        <f>IF(INT(Cron_Uso!AX5/Premissas!$C$39)&gt;INT(Cron_Uso!AW5/Premissas!$C$39),IF(N(Premissas!$F$39)&gt;0,IF(MOD(INT(Cron_Uso!AX5/Premissas!$C$39)*Premissas!$C$39,N(Premissas!$F$39))=0,"C",IF(N(Premissas!$E$39)&gt;0,IF(MOD(INT(Cron_Uso!AX5/Premissas!$C$39)*Premissas!$C$39,N(Premissas!$E$39))=0,"B",IF(N(Premissas!$D$39)&gt;0,IF(MOD(INT(Cron_Uso!AX5/Premissas!$C$39)*Premissas!$C$39,N(Premissas!$D$39))=0,"A","S"),"S")),IF(N(Premissas!$D$39)&gt;0,IF(MOD(INT(Cron_Uso!AX5/Premissas!$C$39)*Premissas!$C$39,N(Premissas!$D$39))=0,"A","S"),"S"))),IF(N(Premissas!$E$39)&gt;0,IF(MOD(INT(Cron_Uso!AX5/Premissas!$C$39)*Premissas!$C$39,N(Premissas!$E$39))=0,"B",IF(N(Premissas!$D$39)&gt;0,IF(MOD(INT(Cron_Uso!AX5/Premissas!$C$39)*Premissas!$C$39,N(Premissas!$D$39))=0,"A","S"),"S")),IF(N(Premissas!$D$39)&gt;0,IF(MOD(INT(Cron_Uso!AX5/Premissas!$C$39)*Premissas!$C$39,N(Premissas!$D$39))=0,"A","S"),"S"))),"")</f>
        <v>S</v>
      </c>
      <c r="AY5" s="22" t="str">
        <f>IF(INT(Cron_Uso!AY5/Premissas!$C$39)&gt;INT(Cron_Uso!AX5/Premissas!$C$39),IF(N(Premissas!$F$39)&gt;0,IF(MOD(INT(Cron_Uso!AY5/Premissas!$C$39)*Premissas!$C$39,N(Premissas!$F$39))=0,"C",IF(N(Premissas!$E$39)&gt;0,IF(MOD(INT(Cron_Uso!AY5/Premissas!$C$39)*Premissas!$C$39,N(Premissas!$E$39))=0,"B",IF(N(Premissas!$D$39)&gt;0,IF(MOD(INT(Cron_Uso!AY5/Premissas!$C$39)*Premissas!$C$39,N(Premissas!$D$39))=0,"A","S"),"S")),IF(N(Premissas!$D$39)&gt;0,IF(MOD(INT(Cron_Uso!AY5/Premissas!$C$39)*Premissas!$C$39,N(Premissas!$D$39))=0,"A","S"),"S"))),IF(N(Premissas!$E$39)&gt;0,IF(MOD(INT(Cron_Uso!AY5/Premissas!$C$39)*Premissas!$C$39,N(Premissas!$E$39))=0,"B",IF(N(Premissas!$D$39)&gt;0,IF(MOD(INT(Cron_Uso!AY5/Premissas!$C$39)*Premissas!$C$39,N(Premissas!$D$39))=0,"A","S"),"S")),IF(N(Premissas!$D$39)&gt;0,IF(MOD(INT(Cron_Uso!AY5/Premissas!$C$39)*Premissas!$C$39,N(Premissas!$D$39))=0,"A","S"),"S"))),"")</f>
        <v/>
      </c>
      <c r="AZ5" s="22" t="str">
        <f>IF(INT(Cron_Uso!AZ5/Premissas!$C$39)&gt;INT(Cron_Uso!AY5/Premissas!$C$39),IF(N(Premissas!$F$39)&gt;0,IF(MOD(INT(Cron_Uso!AZ5/Premissas!$C$39)*Premissas!$C$39,N(Premissas!$F$39))=0,"C",IF(N(Premissas!$E$39)&gt;0,IF(MOD(INT(Cron_Uso!AZ5/Premissas!$C$39)*Premissas!$C$39,N(Premissas!$E$39))=0,"B",IF(N(Premissas!$D$39)&gt;0,IF(MOD(INT(Cron_Uso!AZ5/Premissas!$C$39)*Premissas!$C$39,N(Premissas!$D$39))=0,"A","S"),"S")),IF(N(Premissas!$D$39)&gt;0,IF(MOD(INT(Cron_Uso!AZ5/Premissas!$C$39)*Premissas!$C$39,N(Premissas!$D$39))=0,"A","S"),"S"))),IF(N(Premissas!$E$39)&gt;0,IF(MOD(INT(Cron_Uso!AZ5/Premissas!$C$39)*Premissas!$C$39,N(Premissas!$E$39))=0,"B",IF(N(Premissas!$D$39)&gt;0,IF(MOD(INT(Cron_Uso!AZ5/Premissas!$C$39)*Premissas!$C$39,N(Premissas!$D$39))=0,"A","S"),"S")),IF(N(Premissas!$D$39)&gt;0,IF(MOD(INT(Cron_Uso!AZ5/Premissas!$C$39)*Premissas!$C$39,N(Premissas!$D$39))=0,"A","S"),"S"))),"")</f>
        <v/>
      </c>
      <c r="BA5" s="22" t="str">
        <f>IF(INT(Cron_Uso!BA5/Premissas!$C$39)&gt;INT(Cron_Uso!AZ5/Premissas!$C$39),IF(N(Premissas!$F$39)&gt;0,IF(MOD(INT(Cron_Uso!BA5/Premissas!$C$39)*Premissas!$C$39,N(Premissas!$F$39))=0,"C",IF(N(Premissas!$E$39)&gt;0,IF(MOD(INT(Cron_Uso!BA5/Premissas!$C$39)*Premissas!$C$39,N(Premissas!$E$39))=0,"B",IF(N(Premissas!$D$39)&gt;0,IF(MOD(INT(Cron_Uso!BA5/Premissas!$C$39)*Premissas!$C$39,N(Premissas!$D$39))=0,"A","S"),"S")),IF(N(Premissas!$D$39)&gt;0,IF(MOD(INT(Cron_Uso!BA5/Premissas!$C$39)*Premissas!$C$39,N(Premissas!$D$39))=0,"A","S"),"S"))),IF(N(Premissas!$E$39)&gt;0,IF(MOD(INT(Cron_Uso!BA5/Premissas!$C$39)*Premissas!$C$39,N(Premissas!$E$39))=0,"B",IF(N(Premissas!$D$39)&gt;0,IF(MOD(INT(Cron_Uso!BA5/Premissas!$C$39)*Premissas!$C$39,N(Premissas!$D$39))=0,"A","S"),"S")),IF(N(Premissas!$D$39)&gt;0,IF(MOD(INT(Cron_Uso!BA5/Premissas!$C$39)*Premissas!$C$39,N(Premissas!$D$39))=0,"A","S"),"S"))),"")</f>
        <v/>
      </c>
    </row>
    <row r="6" spans="1:56" ht="15" customHeight="1" x14ac:dyDescent="0.4">
      <c r="A6" s="15" t="str">
        <f>Premissas!$A$40&amp;" (×"&amp;Premissas!$I$40&amp;")"</f>
        <v>Trator (×102)</v>
      </c>
      <c r="B6" s="22" t="str">
        <f>IF(INT(Cron_Uso!B6/Premissas!$C$40)&gt;INT(Premissas!$J$40/Premissas!$C$40),IF(N(Premissas!$F$40)&gt;0,IF(MOD(INT(Cron_Uso!B6/Premissas!$C$40)*Premissas!$C$40,N(Premissas!$F$40))=0,"C",IF(N(Premissas!$E$40)&gt;0,IF(MOD(INT(Cron_Uso!B6/Premissas!$C$40)*Premissas!$C$40,N(Premissas!$E$40))=0,"B",IF(N(Premissas!$D$40)&gt;0,IF(MOD(INT(Cron_Uso!B6/Premissas!$C$40)*Premissas!$C$40,N(Premissas!$D$40))=0,"A","S"),"S")),IF(N(Premissas!$D$40)&gt;0,IF(MOD(INT(Cron_Uso!B6/Premissas!$C$40)*Premissas!$C$40,N(Premissas!$D$40))=0,"A","S"),"S"))),IF(N(Premissas!$E$40)&gt;0,IF(MOD(INT(Cron_Uso!B6/Premissas!$C$40)*Premissas!$C$40,N(Premissas!$E$40))=0,"B",IF(N(Premissas!$D$40)&gt;0,IF(MOD(INT(Cron_Uso!B6/Premissas!$C$40)*Premissas!$C$40,N(Premissas!$D$40))=0,"A","S"),"S")),IF(N(Premissas!$D$40)&gt;0,IF(MOD(INT(Cron_Uso!B6/Premissas!$C$40)*Premissas!$C$40,N(Premissas!$D$40))=0,"A","S"),"S"))),"")</f>
        <v/>
      </c>
      <c r="C6" s="22" t="str">
        <f>IF(INT(Cron_Uso!C6/Premissas!$C$40)&gt;INT(Cron_Uso!B6/Premissas!$C$40),IF(N(Premissas!$F$40)&gt;0,IF(MOD(INT(Cron_Uso!C6/Premissas!$C$40)*Premissas!$C$40,N(Premissas!$F$40))=0,"C",IF(N(Premissas!$E$40)&gt;0,IF(MOD(INT(Cron_Uso!C6/Premissas!$C$40)*Premissas!$C$40,N(Premissas!$E$40))=0,"B",IF(N(Premissas!$D$40)&gt;0,IF(MOD(INT(Cron_Uso!C6/Premissas!$C$40)*Premissas!$C$40,N(Premissas!$D$40))=0,"A","S"),"S")),IF(N(Premissas!$D$40)&gt;0,IF(MOD(INT(Cron_Uso!C6/Premissas!$C$40)*Premissas!$C$40,N(Premissas!$D$40))=0,"A","S"),"S"))),IF(N(Premissas!$E$40)&gt;0,IF(MOD(INT(Cron_Uso!C6/Premissas!$C$40)*Premissas!$C$40,N(Premissas!$E$40))=0,"B",IF(N(Premissas!$D$40)&gt;0,IF(MOD(INT(Cron_Uso!C6/Premissas!$C$40)*Premissas!$C$40,N(Premissas!$D$40))=0,"A","S"),"S")),IF(N(Premissas!$D$40)&gt;0,IF(MOD(INT(Cron_Uso!C6/Premissas!$C$40)*Premissas!$C$40,N(Premissas!$D$40))=0,"A","S"),"S"))),"")</f>
        <v/>
      </c>
      <c r="D6" s="22" t="str">
        <f>IF(INT(Cron_Uso!D6/Premissas!$C$40)&gt;INT(Cron_Uso!C6/Premissas!$C$40),IF(N(Premissas!$F$40)&gt;0,IF(MOD(INT(Cron_Uso!D6/Premissas!$C$40)*Premissas!$C$40,N(Premissas!$F$40))=0,"C",IF(N(Premissas!$E$40)&gt;0,IF(MOD(INT(Cron_Uso!D6/Premissas!$C$40)*Premissas!$C$40,N(Premissas!$E$40))=0,"B",IF(N(Premissas!$D$40)&gt;0,IF(MOD(INT(Cron_Uso!D6/Premissas!$C$40)*Premissas!$C$40,N(Premissas!$D$40))=0,"A","S"),"S")),IF(N(Premissas!$D$40)&gt;0,IF(MOD(INT(Cron_Uso!D6/Premissas!$C$40)*Premissas!$C$40,N(Premissas!$D$40))=0,"A","S"),"S"))),IF(N(Premissas!$E$40)&gt;0,IF(MOD(INT(Cron_Uso!D6/Premissas!$C$40)*Premissas!$C$40,N(Premissas!$E$40))=0,"B",IF(N(Premissas!$D$40)&gt;0,IF(MOD(INT(Cron_Uso!D6/Premissas!$C$40)*Premissas!$C$40,N(Premissas!$D$40))=0,"A","S"),"S")),IF(N(Premissas!$D$40)&gt;0,IF(MOD(INT(Cron_Uso!D6/Premissas!$C$40)*Premissas!$C$40,N(Premissas!$D$40))=0,"A","S"),"S"))),"")</f>
        <v/>
      </c>
      <c r="E6" s="22" t="str">
        <f>IF(INT(Cron_Uso!E6/Premissas!$C$40)&gt;INT(Cron_Uso!D6/Premissas!$C$40),IF(N(Premissas!$F$40)&gt;0,IF(MOD(INT(Cron_Uso!E6/Premissas!$C$40)*Premissas!$C$40,N(Premissas!$F$40))=0,"C",IF(N(Premissas!$E$40)&gt;0,IF(MOD(INT(Cron_Uso!E6/Premissas!$C$40)*Premissas!$C$40,N(Premissas!$E$40))=0,"B",IF(N(Premissas!$D$40)&gt;0,IF(MOD(INT(Cron_Uso!E6/Premissas!$C$40)*Premissas!$C$40,N(Premissas!$D$40))=0,"A","S"),"S")),IF(N(Premissas!$D$40)&gt;0,IF(MOD(INT(Cron_Uso!E6/Premissas!$C$40)*Premissas!$C$40,N(Premissas!$D$40))=0,"A","S"),"S"))),IF(N(Premissas!$E$40)&gt;0,IF(MOD(INT(Cron_Uso!E6/Premissas!$C$40)*Premissas!$C$40,N(Premissas!$E$40))=0,"B",IF(N(Premissas!$D$40)&gt;0,IF(MOD(INT(Cron_Uso!E6/Premissas!$C$40)*Premissas!$C$40,N(Premissas!$D$40))=0,"A","S"),"S")),IF(N(Premissas!$D$40)&gt;0,IF(MOD(INT(Cron_Uso!E6/Premissas!$C$40)*Premissas!$C$40,N(Premissas!$D$40))=0,"A","S"),"S"))),"")</f>
        <v/>
      </c>
      <c r="F6" s="22" t="str">
        <f>IF(INT(Cron_Uso!F6/Premissas!$C$40)&gt;INT(Cron_Uso!E6/Premissas!$C$40),IF(N(Premissas!$F$40)&gt;0,IF(MOD(INT(Cron_Uso!F6/Premissas!$C$40)*Premissas!$C$40,N(Premissas!$F$40))=0,"C",IF(N(Premissas!$E$40)&gt;0,IF(MOD(INT(Cron_Uso!F6/Premissas!$C$40)*Premissas!$C$40,N(Premissas!$E$40))=0,"B",IF(N(Premissas!$D$40)&gt;0,IF(MOD(INT(Cron_Uso!F6/Premissas!$C$40)*Premissas!$C$40,N(Premissas!$D$40))=0,"A","S"),"S")),IF(N(Premissas!$D$40)&gt;0,IF(MOD(INT(Cron_Uso!F6/Premissas!$C$40)*Premissas!$C$40,N(Premissas!$D$40))=0,"A","S"),"S"))),IF(N(Premissas!$E$40)&gt;0,IF(MOD(INT(Cron_Uso!F6/Premissas!$C$40)*Premissas!$C$40,N(Premissas!$E$40))=0,"B",IF(N(Premissas!$D$40)&gt;0,IF(MOD(INT(Cron_Uso!F6/Premissas!$C$40)*Premissas!$C$40,N(Premissas!$D$40))=0,"A","S"),"S")),IF(N(Premissas!$D$40)&gt;0,IF(MOD(INT(Cron_Uso!F6/Premissas!$C$40)*Premissas!$C$40,N(Premissas!$D$40))=0,"A","S"),"S"))),"")</f>
        <v/>
      </c>
      <c r="G6" s="22" t="str">
        <f>IF(INT(Cron_Uso!G6/Premissas!$C$40)&gt;INT(Cron_Uso!F6/Premissas!$C$40),IF(N(Premissas!$F$40)&gt;0,IF(MOD(INT(Cron_Uso!G6/Premissas!$C$40)*Premissas!$C$40,N(Premissas!$F$40))=0,"C",IF(N(Premissas!$E$40)&gt;0,IF(MOD(INT(Cron_Uso!G6/Premissas!$C$40)*Premissas!$C$40,N(Premissas!$E$40))=0,"B",IF(N(Premissas!$D$40)&gt;0,IF(MOD(INT(Cron_Uso!G6/Premissas!$C$40)*Premissas!$C$40,N(Premissas!$D$40))=0,"A","S"),"S")),IF(N(Premissas!$D$40)&gt;0,IF(MOD(INT(Cron_Uso!G6/Premissas!$C$40)*Premissas!$C$40,N(Premissas!$D$40))=0,"A","S"),"S"))),IF(N(Premissas!$E$40)&gt;0,IF(MOD(INT(Cron_Uso!G6/Premissas!$C$40)*Premissas!$C$40,N(Premissas!$E$40))=0,"B",IF(N(Premissas!$D$40)&gt;0,IF(MOD(INT(Cron_Uso!G6/Premissas!$C$40)*Premissas!$C$40,N(Premissas!$D$40))=0,"A","S"),"S")),IF(N(Premissas!$D$40)&gt;0,IF(MOD(INT(Cron_Uso!G6/Premissas!$C$40)*Premissas!$C$40,N(Premissas!$D$40))=0,"A","S"),"S"))),"")</f>
        <v/>
      </c>
      <c r="H6" s="22" t="str">
        <f>IF(INT(Cron_Uso!H6/Premissas!$C$40)&gt;INT(Cron_Uso!G6/Premissas!$C$40),IF(N(Premissas!$F$40)&gt;0,IF(MOD(INT(Cron_Uso!H6/Premissas!$C$40)*Premissas!$C$40,N(Premissas!$F$40))=0,"C",IF(N(Premissas!$E$40)&gt;0,IF(MOD(INT(Cron_Uso!H6/Premissas!$C$40)*Premissas!$C$40,N(Premissas!$E$40))=0,"B",IF(N(Premissas!$D$40)&gt;0,IF(MOD(INT(Cron_Uso!H6/Premissas!$C$40)*Premissas!$C$40,N(Premissas!$D$40))=0,"A","S"),"S")),IF(N(Premissas!$D$40)&gt;0,IF(MOD(INT(Cron_Uso!H6/Premissas!$C$40)*Premissas!$C$40,N(Premissas!$D$40))=0,"A","S"),"S"))),IF(N(Premissas!$E$40)&gt;0,IF(MOD(INT(Cron_Uso!H6/Premissas!$C$40)*Premissas!$C$40,N(Premissas!$E$40))=0,"B",IF(N(Premissas!$D$40)&gt;0,IF(MOD(INT(Cron_Uso!H6/Premissas!$C$40)*Premissas!$C$40,N(Premissas!$D$40))=0,"A","S"),"S")),IF(N(Premissas!$D$40)&gt;0,IF(MOD(INT(Cron_Uso!H6/Premissas!$C$40)*Premissas!$C$40,N(Premissas!$D$40))=0,"A","S"),"S"))),"")</f>
        <v>S</v>
      </c>
      <c r="I6" s="22" t="str">
        <f>IF(INT(Cron_Uso!I6/Premissas!$C$40)&gt;INT(Cron_Uso!H6/Premissas!$C$40),IF(N(Premissas!$F$40)&gt;0,IF(MOD(INT(Cron_Uso!I6/Premissas!$C$40)*Premissas!$C$40,N(Premissas!$F$40))=0,"C",IF(N(Premissas!$E$40)&gt;0,IF(MOD(INT(Cron_Uso!I6/Premissas!$C$40)*Premissas!$C$40,N(Premissas!$E$40))=0,"B",IF(N(Premissas!$D$40)&gt;0,IF(MOD(INT(Cron_Uso!I6/Premissas!$C$40)*Premissas!$C$40,N(Premissas!$D$40))=0,"A","S"),"S")),IF(N(Premissas!$D$40)&gt;0,IF(MOD(INT(Cron_Uso!I6/Premissas!$C$40)*Premissas!$C$40,N(Premissas!$D$40))=0,"A","S"),"S"))),IF(N(Premissas!$E$40)&gt;0,IF(MOD(INT(Cron_Uso!I6/Premissas!$C$40)*Premissas!$C$40,N(Premissas!$E$40))=0,"B",IF(N(Premissas!$D$40)&gt;0,IF(MOD(INT(Cron_Uso!I6/Premissas!$C$40)*Premissas!$C$40,N(Premissas!$D$40))=0,"A","S"),"S")),IF(N(Premissas!$D$40)&gt;0,IF(MOD(INT(Cron_Uso!I6/Premissas!$C$40)*Premissas!$C$40,N(Premissas!$D$40))=0,"A","S"),"S"))),"")</f>
        <v/>
      </c>
      <c r="J6" s="22" t="str">
        <f>IF(INT(Cron_Uso!J6/Premissas!$C$40)&gt;INT(Cron_Uso!I6/Premissas!$C$40),IF(N(Premissas!$F$40)&gt;0,IF(MOD(INT(Cron_Uso!J6/Premissas!$C$40)*Premissas!$C$40,N(Premissas!$F$40))=0,"C",IF(N(Premissas!$E$40)&gt;0,IF(MOD(INT(Cron_Uso!J6/Premissas!$C$40)*Premissas!$C$40,N(Premissas!$E$40))=0,"B",IF(N(Premissas!$D$40)&gt;0,IF(MOD(INT(Cron_Uso!J6/Premissas!$C$40)*Premissas!$C$40,N(Premissas!$D$40))=0,"A","S"),"S")),IF(N(Premissas!$D$40)&gt;0,IF(MOD(INT(Cron_Uso!J6/Premissas!$C$40)*Premissas!$C$40,N(Premissas!$D$40))=0,"A","S"),"S"))),IF(N(Premissas!$E$40)&gt;0,IF(MOD(INT(Cron_Uso!J6/Premissas!$C$40)*Premissas!$C$40,N(Premissas!$E$40))=0,"B",IF(N(Premissas!$D$40)&gt;0,IF(MOD(INT(Cron_Uso!J6/Premissas!$C$40)*Premissas!$C$40,N(Premissas!$D$40))=0,"A","S"),"S")),IF(N(Premissas!$D$40)&gt;0,IF(MOD(INT(Cron_Uso!J6/Premissas!$C$40)*Premissas!$C$40,N(Premissas!$D$40))=0,"A","S"),"S"))),"")</f>
        <v/>
      </c>
      <c r="K6" s="22" t="str">
        <f>IF(INT(Cron_Uso!K6/Premissas!$C$40)&gt;INT(Cron_Uso!J6/Premissas!$C$40),IF(N(Premissas!$F$40)&gt;0,IF(MOD(INT(Cron_Uso!K6/Premissas!$C$40)*Premissas!$C$40,N(Premissas!$F$40))=0,"C",IF(N(Premissas!$E$40)&gt;0,IF(MOD(INT(Cron_Uso!K6/Premissas!$C$40)*Premissas!$C$40,N(Premissas!$E$40))=0,"B",IF(N(Premissas!$D$40)&gt;0,IF(MOD(INT(Cron_Uso!K6/Premissas!$C$40)*Premissas!$C$40,N(Premissas!$D$40))=0,"A","S"),"S")),IF(N(Premissas!$D$40)&gt;0,IF(MOD(INT(Cron_Uso!K6/Premissas!$C$40)*Premissas!$C$40,N(Premissas!$D$40))=0,"A","S"),"S"))),IF(N(Premissas!$E$40)&gt;0,IF(MOD(INT(Cron_Uso!K6/Premissas!$C$40)*Premissas!$C$40,N(Premissas!$E$40))=0,"B",IF(N(Premissas!$D$40)&gt;0,IF(MOD(INT(Cron_Uso!K6/Premissas!$C$40)*Premissas!$C$40,N(Premissas!$D$40))=0,"A","S"),"S")),IF(N(Premissas!$D$40)&gt;0,IF(MOD(INT(Cron_Uso!K6/Premissas!$C$40)*Premissas!$C$40,N(Premissas!$D$40))=0,"A","S"),"S"))),"")</f>
        <v/>
      </c>
      <c r="L6" s="22" t="str">
        <f>IF(INT(Cron_Uso!L6/Premissas!$C$40)&gt;INT(Cron_Uso!K6/Premissas!$C$40),IF(N(Premissas!$F$40)&gt;0,IF(MOD(INT(Cron_Uso!L6/Premissas!$C$40)*Premissas!$C$40,N(Premissas!$F$40))=0,"C",IF(N(Premissas!$E$40)&gt;0,IF(MOD(INT(Cron_Uso!L6/Premissas!$C$40)*Premissas!$C$40,N(Premissas!$E$40))=0,"B",IF(N(Premissas!$D$40)&gt;0,IF(MOD(INT(Cron_Uso!L6/Premissas!$C$40)*Premissas!$C$40,N(Premissas!$D$40))=0,"A","S"),"S")),IF(N(Premissas!$D$40)&gt;0,IF(MOD(INT(Cron_Uso!L6/Premissas!$C$40)*Premissas!$C$40,N(Premissas!$D$40))=0,"A","S"),"S"))),IF(N(Premissas!$E$40)&gt;0,IF(MOD(INT(Cron_Uso!L6/Premissas!$C$40)*Premissas!$C$40,N(Premissas!$E$40))=0,"B",IF(N(Premissas!$D$40)&gt;0,IF(MOD(INT(Cron_Uso!L6/Premissas!$C$40)*Premissas!$C$40,N(Premissas!$D$40))=0,"A","S"),"S")),IF(N(Premissas!$D$40)&gt;0,IF(MOD(INT(Cron_Uso!L6/Premissas!$C$40)*Premissas!$C$40,N(Premissas!$D$40))=0,"A","S"),"S"))),"")</f>
        <v/>
      </c>
      <c r="M6" s="22" t="str">
        <f>IF(INT(Cron_Uso!M6/Premissas!$C$40)&gt;INT(Cron_Uso!L6/Premissas!$C$40),IF(N(Premissas!$F$40)&gt;0,IF(MOD(INT(Cron_Uso!M6/Premissas!$C$40)*Premissas!$C$40,N(Premissas!$F$40))=0,"C",IF(N(Premissas!$E$40)&gt;0,IF(MOD(INT(Cron_Uso!M6/Premissas!$C$40)*Premissas!$C$40,N(Premissas!$E$40))=0,"B",IF(N(Premissas!$D$40)&gt;0,IF(MOD(INT(Cron_Uso!M6/Premissas!$C$40)*Premissas!$C$40,N(Premissas!$D$40))=0,"A","S"),"S")),IF(N(Premissas!$D$40)&gt;0,IF(MOD(INT(Cron_Uso!M6/Premissas!$C$40)*Premissas!$C$40,N(Premissas!$D$40))=0,"A","S"),"S"))),IF(N(Premissas!$E$40)&gt;0,IF(MOD(INT(Cron_Uso!M6/Premissas!$C$40)*Premissas!$C$40,N(Premissas!$E$40))=0,"B",IF(N(Premissas!$D$40)&gt;0,IF(MOD(INT(Cron_Uso!M6/Premissas!$C$40)*Premissas!$C$40,N(Premissas!$D$40))=0,"A","S"),"S")),IF(N(Premissas!$D$40)&gt;0,IF(MOD(INT(Cron_Uso!M6/Premissas!$C$40)*Premissas!$C$40,N(Premissas!$D$40))=0,"A","S"),"S"))),"")</f>
        <v/>
      </c>
      <c r="N6" s="22" t="str">
        <f>IF(INT(Cron_Uso!N6/Premissas!$C$40)&gt;INT(Cron_Uso!M6/Premissas!$C$40),IF(N(Premissas!$F$40)&gt;0,IF(MOD(INT(Cron_Uso!N6/Premissas!$C$40)*Premissas!$C$40,N(Premissas!$F$40))=0,"C",IF(N(Premissas!$E$40)&gt;0,IF(MOD(INT(Cron_Uso!N6/Premissas!$C$40)*Premissas!$C$40,N(Premissas!$E$40))=0,"B",IF(N(Premissas!$D$40)&gt;0,IF(MOD(INT(Cron_Uso!N6/Premissas!$C$40)*Premissas!$C$40,N(Premissas!$D$40))=0,"A","S"),"S")),IF(N(Premissas!$D$40)&gt;0,IF(MOD(INT(Cron_Uso!N6/Premissas!$C$40)*Premissas!$C$40,N(Premissas!$D$40))=0,"A","S"),"S"))),IF(N(Premissas!$E$40)&gt;0,IF(MOD(INT(Cron_Uso!N6/Premissas!$C$40)*Premissas!$C$40,N(Premissas!$E$40))=0,"B",IF(N(Premissas!$D$40)&gt;0,IF(MOD(INT(Cron_Uso!N6/Premissas!$C$40)*Premissas!$C$40,N(Premissas!$D$40))=0,"A","S"),"S")),IF(N(Premissas!$D$40)&gt;0,IF(MOD(INT(Cron_Uso!N6/Premissas!$C$40)*Premissas!$C$40,N(Premissas!$D$40))=0,"A","S"),"S"))),"")</f>
        <v>A</v>
      </c>
      <c r="O6" s="22" t="str">
        <f>IF(INT(Cron_Uso!O6/Premissas!$C$40)&gt;INT(Cron_Uso!N6/Premissas!$C$40),IF(N(Premissas!$F$40)&gt;0,IF(MOD(INT(Cron_Uso!O6/Premissas!$C$40)*Premissas!$C$40,N(Premissas!$F$40))=0,"C",IF(N(Premissas!$E$40)&gt;0,IF(MOD(INT(Cron_Uso!O6/Premissas!$C$40)*Premissas!$C$40,N(Premissas!$E$40))=0,"B",IF(N(Premissas!$D$40)&gt;0,IF(MOD(INT(Cron_Uso!O6/Premissas!$C$40)*Premissas!$C$40,N(Premissas!$D$40))=0,"A","S"),"S")),IF(N(Premissas!$D$40)&gt;0,IF(MOD(INT(Cron_Uso!O6/Premissas!$C$40)*Premissas!$C$40,N(Premissas!$D$40))=0,"A","S"),"S"))),IF(N(Premissas!$E$40)&gt;0,IF(MOD(INT(Cron_Uso!O6/Premissas!$C$40)*Premissas!$C$40,N(Premissas!$E$40))=0,"B",IF(N(Premissas!$D$40)&gt;0,IF(MOD(INT(Cron_Uso!O6/Premissas!$C$40)*Premissas!$C$40,N(Premissas!$D$40))=0,"A","S"),"S")),IF(N(Premissas!$D$40)&gt;0,IF(MOD(INT(Cron_Uso!O6/Premissas!$C$40)*Premissas!$C$40,N(Premissas!$D$40))=0,"A","S"),"S"))),"")</f>
        <v/>
      </c>
      <c r="P6" s="22" t="str">
        <f>IF(INT(Cron_Uso!P6/Premissas!$C$40)&gt;INT(Cron_Uso!O6/Premissas!$C$40),IF(N(Premissas!$F$40)&gt;0,IF(MOD(INT(Cron_Uso!P6/Premissas!$C$40)*Premissas!$C$40,N(Premissas!$F$40))=0,"C",IF(N(Premissas!$E$40)&gt;0,IF(MOD(INT(Cron_Uso!P6/Premissas!$C$40)*Premissas!$C$40,N(Premissas!$E$40))=0,"B",IF(N(Premissas!$D$40)&gt;0,IF(MOD(INT(Cron_Uso!P6/Premissas!$C$40)*Premissas!$C$40,N(Premissas!$D$40))=0,"A","S"),"S")),IF(N(Premissas!$D$40)&gt;0,IF(MOD(INT(Cron_Uso!P6/Premissas!$C$40)*Premissas!$C$40,N(Premissas!$D$40))=0,"A","S"),"S"))),IF(N(Premissas!$E$40)&gt;0,IF(MOD(INT(Cron_Uso!P6/Premissas!$C$40)*Premissas!$C$40,N(Premissas!$E$40))=0,"B",IF(N(Premissas!$D$40)&gt;0,IF(MOD(INT(Cron_Uso!P6/Premissas!$C$40)*Premissas!$C$40,N(Premissas!$D$40))=0,"A","S"),"S")),IF(N(Premissas!$D$40)&gt;0,IF(MOD(INT(Cron_Uso!P6/Premissas!$C$40)*Premissas!$C$40,N(Premissas!$D$40))=0,"A","S"),"S"))),"")</f>
        <v/>
      </c>
      <c r="Q6" s="22" t="str">
        <f>IF(INT(Cron_Uso!Q6/Premissas!$C$40)&gt;INT(Cron_Uso!P6/Premissas!$C$40),IF(N(Premissas!$F$40)&gt;0,IF(MOD(INT(Cron_Uso!Q6/Premissas!$C$40)*Premissas!$C$40,N(Premissas!$F$40))=0,"C",IF(N(Premissas!$E$40)&gt;0,IF(MOD(INT(Cron_Uso!Q6/Premissas!$C$40)*Premissas!$C$40,N(Premissas!$E$40))=0,"B",IF(N(Premissas!$D$40)&gt;0,IF(MOD(INT(Cron_Uso!Q6/Premissas!$C$40)*Premissas!$C$40,N(Premissas!$D$40))=0,"A","S"),"S")),IF(N(Premissas!$D$40)&gt;0,IF(MOD(INT(Cron_Uso!Q6/Premissas!$C$40)*Premissas!$C$40,N(Premissas!$D$40))=0,"A","S"),"S"))),IF(N(Premissas!$E$40)&gt;0,IF(MOD(INT(Cron_Uso!Q6/Premissas!$C$40)*Premissas!$C$40,N(Premissas!$E$40))=0,"B",IF(N(Premissas!$D$40)&gt;0,IF(MOD(INT(Cron_Uso!Q6/Premissas!$C$40)*Premissas!$C$40,N(Premissas!$D$40))=0,"A","S"),"S")),IF(N(Premissas!$D$40)&gt;0,IF(MOD(INT(Cron_Uso!Q6/Premissas!$C$40)*Premissas!$C$40,N(Premissas!$D$40))=0,"A","S"),"S"))),"")</f>
        <v/>
      </c>
      <c r="R6" s="22" t="str">
        <f>IF(INT(Cron_Uso!R6/Premissas!$C$40)&gt;INT(Cron_Uso!Q6/Premissas!$C$40),IF(N(Premissas!$F$40)&gt;0,IF(MOD(INT(Cron_Uso!R6/Premissas!$C$40)*Premissas!$C$40,N(Premissas!$F$40))=0,"C",IF(N(Premissas!$E$40)&gt;0,IF(MOD(INT(Cron_Uso!R6/Premissas!$C$40)*Premissas!$C$40,N(Premissas!$E$40))=0,"B",IF(N(Premissas!$D$40)&gt;0,IF(MOD(INT(Cron_Uso!R6/Premissas!$C$40)*Premissas!$C$40,N(Premissas!$D$40))=0,"A","S"),"S")),IF(N(Premissas!$D$40)&gt;0,IF(MOD(INT(Cron_Uso!R6/Premissas!$C$40)*Premissas!$C$40,N(Premissas!$D$40))=0,"A","S"),"S"))),IF(N(Premissas!$E$40)&gt;0,IF(MOD(INT(Cron_Uso!R6/Premissas!$C$40)*Premissas!$C$40,N(Premissas!$E$40))=0,"B",IF(N(Premissas!$D$40)&gt;0,IF(MOD(INT(Cron_Uso!R6/Premissas!$C$40)*Premissas!$C$40,N(Premissas!$D$40))=0,"A","S"),"S")),IF(N(Premissas!$D$40)&gt;0,IF(MOD(INT(Cron_Uso!R6/Premissas!$C$40)*Premissas!$C$40,N(Premissas!$D$40))=0,"A","S"),"S"))),"")</f>
        <v/>
      </c>
      <c r="S6" s="22" t="str">
        <f>IF(INT(Cron_Uso!S6/Premissas!$C$40)&gt;INT(Cron_Uso!R6/Premissas!$C$40),IF(N(Premissas!$F$40)&gt;0,IF(MOD(INT(Cron_Uso!S6/Premissas!$C$40)*Premissas!$C$40,N(Premissas!$F$40))=0,"C",IF(N(Premissas!$E$40)&gt;0,IF(MOD(INT(Cron_Uso!S6/Premissas!$C$40)*Premissas!$C$40,N(Premissas!$E$40))=0,"B",IF(N(Premissas!$D$40)&gt;0,IF(MOD(INT(Cron_Uso!S6/Premissas!$C$40)*Premissas!$C$40,N(Premissas!$D$40))=0,"A","S"),"S")),IF(N(Premissas!$D$40)&gt;0,IF(MOD(INT(Cron_Uso!S6/Premissas!$C$40)*Premissas!$C$40,N(Premissas!$D$40))=0,"A","S"),"S"))),IF(N(Premissas!$E$40)&gt;0,IF(MOD(INT(Cron_Uso!S6/Premissas!$C$40)*Premissas!$C$40,N(Premissas!$E$40))=0,"B",IF(N(Premissas!$D$40)&gt;0,IF(MOD(INT(Cron_Uso!S6/Premissas!$C$40)*Premissas!$C$40,N(Premissas!$D$40))=0,"A","S"),"S")),IF(N(Premissas!$D$40)&gt;0,IF(MOD(INT(Cron_Uso!S6/Premissas!$C$40)*Premissas!$C$40,N(Premissas!$D$40))=0,"A","S"),"S"))),"")</f>
        <v/>
      </c>
      <c r="T6" s="22" t="str">
        <f>IF(INT(Cron_Uso!T6/Premissas!$C$40)&gt;INT(Cron_Uso!S6/Premissas!$C$40),IF(N(Premissas!$F$40)&gt;0,IF(MOD(INT(Cron_Uso!T6/Premissas!$C$40)*Premissas!$C$40,N(Premissas!$F$40))=0,"C",IF(N(Premissas!$E$40)&gt;0,IF(MOD(INT(Cron_Uso!T6/Premissas!$C$40)*Premissas!$C$40,N(Premissas!$E$40))=0,"B",IF(N(Premissas!$D$40)&gt;0,IF(MOD(INT(Cron_Uso!T6/Premissas!$C$40)*Premissas!$C$40,N(Premissas!$D$40))=0,"A","S"),"S")),IF(N(Premissas!$D$40)&gt;0,IF(MOD(INT(Cron_Uso!T6/Premissas!$C$40)*Premissas!$C$40,N(Premissas!$D$40))=0,"A","S"),"S"))),IF(N(Premissas!$E$40)&gt;0,IF(MOD(INT(Cron_Uso!T6/Premissas!$C$40)*Premissas!$C$40,N(Premissas!$E$40))=0,"B",IF(N(Premissas!$D$40)&gt;0,IF(MOD(INT(Cron_Uso!T6/Premissas!$C$40)*Premissas!$C$40,N(Premissas!$D$40))=0,"A","S"),"S")),IF(N(Premissas!$D$40)&gt;0,IF(MOD(INT(Cron_Uso!T6/Premissas!$C$40)*Premissas!$C$40,N(Premissas!$D$40))=0,"A","S"),"S"))),"")</f>
        <v>S</v>
      </c>
      <c r="U6" s="22" t="str">
        <f>IF(INT(Cron_Uso!U6/Premissas!$C$40)&gt;INT(Cron_Uso!T6/Premissas!$C$40),IF(N(Premissas!$F$40)&gt;0,IF(MOD(INT(Cron_Uso!U6/Premissas!$C$40)*Premissas!$C$40,N(Premissas!$F$40))=0,"C",IF(N(Premissas!$E$40)&gt;0,IF(MOD(INT(Cron_Uso!U6/Premissas!$C$40)*Premissas!$C$40,N(Premissas!$E$40))=0,"B",IF(N(Premissas!$D$40)&gt;0,IF(MOD(INT(Cron_Uso!U6/Premissas!$C$40)*Premissas!$C$40,N(Premissas!$D$40))=0,"A","S"),"S")),IF(N(Premissas!$D$40)&gt;0,IF(MOD(INT(Cron_Uso!U6/Premissas!$C$40)*Premissas!$C$40,N(Premissas!$D$40))=0,"A","S"),"S"))),IF(N(Premissas!$E$40)&gt;0,IF(MOD(INT(Cron_Uso!U6/Premissas!$C$40)*Premissas!$C$40,N(Premissas!$E$40))=0,"B",IF(N(Premissas!$D$40)&gt;0,IF(MOD(INT(Cron_Uso!U6/Premissas!$C$40)*Premissas!$C$40,N(Premissas!$D$40))=0,"A","S"),"S")),IF(N(Premissas!$D$40)&gt;0,IF(MOD(INT(Cron_Uso!U6/Premissas!$C$40)*Premissas!$C$40,N(Premissas!$D$40))=0,"A","S"),"S"))),"")</f>
        <v/>
      </c>
      <c r="V6" s="22" t="str">
        <f>IF(INT(Cron_Uso!V6/Premissas!$C$40)&gt;INT(Cron_Uso!U6/Premissas!$C$40),IF(N(Premissas!$F$40)&gt;0,IF(MOD(INT(Cron_Uso!V6/Premissas!$C$40)*Premissas!$C$40,N(Premissas!$F$40))=0,"C",IF(N(Premissas!$E$40)&gt;0,IF(MOD(INT(Cron_Uso!V6/Premissas!$C$40)*Premissas!$C$40,N(Premissas!$E$40))=0,"B",IF(N(Premissas!$D$40)&gt;0,IF(MOD(INT(Cron_Uso!V6/Premissas!$C$40)*Premissas!$C$40,N(Premissas!$D$40))=0,"A","S"),"S")),IF(N(Premissas!$D$40)&gt;0,IF(MOD(INT(Cron_Uso!V6/Premissas!$C$40)*Premissas!$C$40,N(Premissas!$D$40))=0,"A","S"),"S"))),IF(N(Premissas!$E$40)&gt;0,IF(MOD(INT(Cron_Uso!V6/Premissas!$C$40)*Premissas!$C$40,N(Premissas!$E$40))=0,"B",IF(N(Premissas!$D$40)&gt;0,IF(MOD(INT(Cron_Uso!V6/Premissas!$C$40)*Premissas!$C$40,N(Premissas!$D$40))=0,"A","S"),"S")),IF(N(Premissas!$D$40)&gt;0,IF(MOD(INT(Cron_Uso!V6/Premissas!$C$40)*Premissas!$C$40,N(Premissas!$D$40))=0,"A","S"),"S"))),"")</f>
        <v/>
      </c>
      <c r="W6" s="22" t="str">
        <f>IF(INT(Cron_Uso!W6/Premissas!$C$40)&gt;INT(Cron_Uso!V6/Premissas!$C$40),IF(N(Premissas!$F$40)&gt;0,IF(MOD(INT(Cron_Uso!W6/Premissas!$C$40)*Premissas!$C$40,N(Premissas!$F$40))=0,"C",IF(N(Premissas!$E$40)&gt;0,IF(MOD(INT(Cron_Uso!W6/Premissas!$C$40)*Premissas!$C$40,N(Premissas!$E$40))=0,"B",IF(N(Premissas!$D$40)&gt;0,IF(MOD(INT(Cron_Uso!W6/Premissas!$C$40)*Premissas!$C$40,N(Premissas!$D$40))=0,"A","S"),"S")),IF(N(Premissas!$D$40)&gt;0,IF(MOD(INT(Cron_Uso!W6/Premissas!$C$40)*Premissas!$C$40,N(Premissas!$D$40))=0,"A","S"),"S"))),IF(N(Premissas!$E$40)&gt;0,IF(MOD(INT(Cron_Uso!W6/Premissas!$C$40)*Premissas!$C$40,N(Premissas!$E$40))=0,"B",IF(N(Premissas!$D$40)&gt;0,IF(MOD(INT(Cron_Uso!W6/Premissas!$C$40)*Premissas!$C$40,N(Premissas!$D$40))=0,"A","S"),"S")),IF(N(Premissas!$D$40)&gt;0,IF(MOD(INT(Cron_Uso!W6/Premissas!$C$40)*Premissas!$C$40,N(Premissas!$D$40))=0,"A","S"),"S"))),"")</f>
        <v/>
      </c>
      <c r="X6" s="22" t="str">
        <f>IF(INT(Cron_Uso!X6/Premissas!$C$40)&gt;INT(Cron_Uso!W6/Premissas!$C$40),IF(N(Premissas!$F$40)&gt;0,IF(MOD(INT(Cron_Uso!X6/Premissas!$C$40)*Premissas!$C$40,N(Premissas!$F$40))=0,"C",IF(N(Premissas!$E$40)&gt;0,IF(MOD(INT(Cron_Uso!X6/Premissas!$C$40)*Premissas!$C$40,N(Premissas!$E$40))=0,"B",IF(N(Premissas!$D$40)&gt;0,IF(MOD(INT(Cron_Uso!X6/Premissas!$C$40)*Premissas!$C$40,N(Premissas!$D$40))=0,"A","S"),"S")),IF(N(Premissas!$D$40)&gt;0,IF(MOD(INT(Cron_Uso!X6/Premissas!$C$40)*Premissas!$C$40,N(Premissas!$D$40))=0,"A","S"),"S"))),IF(N(Premissas!$E$40)&gt;0,IF(MOD(INT(Cron_Uso!X6/Premissas!$C$40)*Premissas!$C$40,N(Premissas!$E$40))=0,"B",IF(N(Premissas!$D$40)&gt;0,IF(MOD(INT(Cron_Uso!X6/Premissas!$C$40)*Premissas!$C$40,N(Premissas!$D$40))=0,"A","S"),"S")),IF(N(Premissas!$D$40)&gt;0,IF(MOD(INT(Cron_Uso!X6/Premissas!$C$40)*Premissas!$C$40,N(Premissas!$D$40))=0,"A","S"),"S"))),"")</f>
        <v/>
      </c>
      <c r="Y6" s="22" t="str">
        <f>IF(INT(Cron_Uso!Y6/Premissas!$C$40)&gt;INT(Cron_Uso!X6/Premissas!$C$40),IF(N(Premissas!$F$40)&gt;0,IF(MOD(INT(Cron_Uso!Y6/Premissas!$C$40)*Premissas!$C$40,N(Premissas!$F$40))=0,"C",IF(N(Premissas!$E$40)&gt;0,IF(MOD(INT(Cron_Uso!Y6/Premissas!$C$40)*Premissas!$C$40,N(Premissas!$E$40))=0,"B",IF(N(Premissas!$D$40)&gt;0,IF(MOD(INT(Cron_Uso!Y6/Premissas!$C$40)*Premissas!$C$40,N(Premissas!$D$40))=0,"A","S"),"S")),IF(N(Premissas!$D$40)&gt;0,IF(MOD(INT(Cron_Uso!Y6/Premissas!$C$40)*Premissas!$C$40,N(Premissas!$D$40))=0,"A","S"),"S"))),IF(N(Premissas!$E$40)&gt;0,IF(MOD(INT(Cron_Uso!Y6/Premissas!$C$40)*Premissas!$C$40,N(Premissas!$E$40))=0,"B",IF(N(Premissas!$D$40)&gt;0,IF(MOD(INT(Cron_Uso!Y6/Premissas!$C$40)*Premissas!$C$40,N(Premissas!$D$40))=0,"A","S"),"S")),IF(N(Premissas!$D$40)&gt;0,IF(MOD(INT(Cron_Uso!Y6/Premissas!$C$40)*Premissas!$C$40,N(Premissas!$D$40))=0,"A","S"),"S"))),"")</f>
        <v/>
      </c>
      <c r="Z6" s="22" t="str">
        <f>IF(INT(Cron_Uso!Z6/Premissas!$C$40)&gt;INT(Cron_Uso!Y6/Premissas!$C$40),IF(N(Premissas!$F$40)&gt;0,IF(MOD(INT(Cron_Uso!Z6/Premissas!$C$40)*Premissas!$C$40,N(Premissas!$F$40))=0,"C",IF(N(Premissas!$E$40)&gt;0,IF(MOD(INT(Cron_Uso!Z6/Premissas!$C$40)*Premissas!$C$40,N(Premissas!$E$40))=0,"B",IF(N(Premissas!$D$40)&gt;0,IF(MOD(INT(Cron_Uso!Z6/Premissas!$C$40)*Premissas!$C$40,N(Premissas!$D$40))=0,"A","S"),"S")),IF(N(Premissas!$D$40)&gt;0,IF(MOD(INT(Cron_Uso!Z6/Premissas!$C$40)*Premissas!$C$40,N(Premissas!$D$40))=0,"A","S"),"S"))),IF(N(Premissas!$E$40)&gt;0,IF(MOD(INT(Cron_Uso!Z6/Premissas!$C$40)*Premissas!$C$40,N(Premissas!$E$40))=0,"B",IF(N(Premissas!$D$40)&gt;0,IF(MOD(INT(Cron_Uso!Z6/Premissas!$C$40)*Premissas!$C$40,N(Premissas!$D$40))=0,"A","S"),"S")),IF(N(Premissas!$D$40)&gt;0,IF(MOD(INT(Cron_Uso!Z6/Premissas!$C$40)*Premissas!$C$40,N(Premissas!$D$40))=0,"A","S"),"S"))),"")</f>
        <v>B</v>
      </c>
      <c r="AA6" s="22" t="str">
        <f>IF(INT(Cron_Uso!AA6/Premissas!$C$40)&gt;INT(Cron_Uso!Z6/Premissas!$C$40),IF(N(Premissas!$F$40)&gt;0,IF(MOD(INT(Cron_Uso!AA6/Premissas!$C$40)*Premissas!$C$40,N(Premissas!$F$40))=0,"C",IF(N(Premissas!$E$40)&gt;0,IF(MOD(INT(Cron_Uso!AA6/Premissas!$C$40)*Premissas!$C$40,N(Premissas!$E$40))=0,"B",IF(N(Premissas!$D$40)&gt;0,IF(MOD(INT(Cron_Uso!AA6/Premissas!$C$40)*Premissas!$C$40,N(Premissas!$D$40))=0,"A","S"),"S")),IF(N(Premissas!$D$40)&gt;0,IF(MOD(INT(Cron_Uso!AA6/Premissas!$C$40)*Premissas!$C$40,N(Premissas!$D$40))=0,"A","S"),"S"))),IF(N(Premissas!$E$40)&gt;0,IF(MOD(INT(Cron_Uso!AA6/Premissas!$C$40)*Premissas!$C$40,N(Premissas!$E$40))=0,"B",IF(N(Premissas!$D$40)&gt;0,IF(MOD(INT(Cron_Uso!AA6/Premissas!$C$40)*Premissas!$C$40,N(Premissas!$D$40))=0,"A","S"),"S")),IF(N(Premissas!$D$40)&gt;0,IF(MOD(INT(Cron_Uso!AA6/Premissas!$C$40)*Premissas!$C$40,N(Premissas!$D$40))=0,"A","S"),"S"))),"")</f>
        <v/>
      </c>
      <c r="AB6" s="22" t="str">
        <f>IF(INT(Cron_Uso!AB6/Premissas!$C$40)&gt;INT(Cron_Uso!AA6/Premissas!$C$40),IF(N(Premissas!$F$40)&gt;0,IF(MOD(INT(Cron_Uso!AB6/Premissas!$C$40)*Premissas!$C$40,N(Premissas!$F$40))=0,"C",IF(N(Premissas!$E$40)&gt;0,IF(MOD(INT(Cron_Uso!AB6/Premissas!$C$40)*Premissas!$C$40,N(Premissas!$E$40))=0,"B",IF(N(Premissas!$D$40)&gt;0,IF(MOD(INT(Cron_Uso!AB6/Premissas!$C$40)*Premissas!$C$40,N(Premissas!$D$40))=0,"A","S"),"S")),IF(N(Premissas!$D$40)&gt;0,IF(MOD(INT(Cron_Uso!AB6/Premissas!$C$40)*Premissas!$C$40,N(Premissas!$D$40))=0,"A","S"),"S"))),IF(N(Premissas!$E$40)&gt;0,IF(MOD(INT(Cron_Uso!AB6/Premissas!$C$40)*Premissas!$C$40,N(Premissas!$E$40))=0,"B",IF(N(Premissas!$D$40)&gt;0,IF(MOD(INT(Cron_Uso!AB6/Premissas!$C$40)*Premissas!$C$40,N(Premissas!$D$40))=0,"A","S"),"S")),IF(N(Premissas!$D$40)&gt;0,IF(MOD(INT(Cron_Uso!AB6/Premissas!$C$40)*Premissas!$C$40,N(Premissas!$D$40))=0,"A","S"),"S"))),"")</f>
        <v/>
      </c>
      <c r="AC6" s="22" t="str">
        <f>IF(INT(Cron_Uso!AC6/Premissas!$C$40)&gt;INT(Cron_Uso!AB6/Premissas!$C$40),IF(N(Premissas!$F$40)&gt;0,IF(MOD(INT(Cron_Uso!AC6/Premissas!$C$40)*Premissas!$C$40,N(Premissas!$F$40))=0,"C",IF(N(Premissas!$E$40)&gt;0,IF(MOD(INT(Cron_Uso!AC6/Premissas!$C$40)*Premissas!$C$40,N(Premissas!$E$40))=0,"B",IF(N(Premissas!$D$40)&gt;0,IF(MOD(INT(Cron_Uso!AC6/Premissas!$C$40)*Premissas!$C$40,N(Premissas!$D$40))=0,"A","S"),"S")),IF(N(Premissas!$D$40)&gt;0,IF(MOD(INT(Cron_Uso!AC6/Premissas!$C$40)*Premissas!$C$40,N(Premissas!$D$40))=0,"A","S"),"S"))),IF(N(Premissas!$E$40)&gt;0,IF(MOD(INT(Cron_Uso!AC6/Premissas!$C$40)*Premissas!$C$40,N(Premissas!$E$40))=0,"B",IF(N(Premissas!$D$40)&gt;0,IF(MOD(INT(Cron_Uso!AC6/Premissas!$C$40)*Premissas!$C$40,N(Premissas!$D$40))=0,"A","S"),"S")),IF(N(Premissas!$D$40)&gt;0,IF(MOD(INT(Cron_Uso!AC6/Premissas!$C$40)*Premissas!$C$40,N(Premissas!$D$40))=0,"A","S"),"S"))),"")</f>
        <v/>
      </c>
      <c r="AD6" s="22" t="str">
        <f>IF(INT(Cron_Uso!AD6/Premissas!$C$40)&gt;INT(Cron_Uso!AC6/Premissas!$C$40),IF(N(Premissas!$F$40)&gt;0,IF(MOD(INT(Cron_Uso!AD6/Premissas!$C$40)*Premissas!$C$40,N(Premissas!$F$40))=0,"C",IF(N(Premissas!$E$40)&gt;0,IF(MOD(INT(Cron_Uso!AD6/Premissas!$C$40)*Premissas!$C$40,N(Premissas!$E$40))=0,"B",IF(N(Premissas!$D$40)&gt;0,IF(MOD(INT(Cron_Uso!AD6/Premissas!$C$40)*Premissas!$C$40,N(Premissas!$D$40))=0,"A","S"),"S")),IF(N(Premissas!$D$40)&gt;0,IF(MOD(INT(Cron_Uso!AD6/Premissas!$C$40)*Premissas!$C$40,N(Premissas!$D$40))=0,"A","S"),"S"))),IF(N(Premissas!$E$40)&gt;0,IF(MOD(INT(Cron_Uso!AD6/Premissas!$C$40)*Premissas!$C$40,N(Premissas!$E$40))=0,"B",IF(N(Premissas!$D$40)&gt;0,IF(MOD(INT(Cron_Uso!AD6/Premissas!$C$40)*Premissas!$C$40,N(Premissas!$D$40))=0,"A","S"),"S")),IF(N(Premissas!$D$40)&gt;0,IF(MOD(INT(Cron_Uso!AD6/Premissas!$C$40)*Premissas!$C$40,N(Premissas!$D$40))=0,"A","S"),"S"))),"")</f>
        <v/>
      </c>
      <c r="AE6" s="22" t="str">
        <f>IF(INT(Cron_Uso!AE6/Premissas!$C$40)&gt;INT(Cron_Uso!AD6/Premissas!$C$40),IF(N(Premissas!$F$40)&gt;0,IF(MOD(INT(Cron_Uso!AE6/Premissas!$C$40)*Premissas!$C$40,N(Premissas!$F$40))=0,"C",IF(N(Premissas!$E$40)&gt;0,IF(MOD(INT(Cron_Uso!AE6/Premissas!$C$40)*Premissas!$C$40,N(Premissas!$E$40))=0,"B",IF(N(Premissas!$D$40)&gt;0,IF(MOD(INT(Cron_Uso!AE6/Premissas!$C$40)*Premissas!$C$40,N(Premissas!$D$40))=0,"A","S"),"S")),IF(N(Premissas!$D$40)&gt;0,IF(MOD(INT(Cron_Uso!AE6/Premissas!$C$40)*Premissas!$C$40,N(Premissas!$D$40))=0,"A","S"),"S"))),IF(N(Premissas!$E$40)&gt;0,IF(MOD(INT(Cron_Uso!AE6/Premissas!$C$40)*Premissas!$C$40,N(Premissas!$E$40))=0,"B",IF(N(Premissas!$D$40)&gt;0,IF(MOD(INT(Cron_Uso!AE6/Premissas!$C$40)*Premissas!$C$40,N(Premissas!$D$40))=0,"A","S"),"S")),IF(N(Premissas!$D$40)&gt;0,IF(MOD(INT(Cron_Uso!AE6/Premissas!$C$40)*Premissas!$C$40,N(Premissas!$D$40))=0,"A","S"),"S"))),"")</f>
        <v/>
      </c>
      <c r="AF6" s="22" t="str">
        <f>IF(INT(Cron_Uso!AF6/Premissas!$C$40)&gt;INT(Cron_Uso!AE6/Premissas!$C$40),IF(N(Premissas!$F$40)&gt;0,IF(MOD(INT(Cron_Uso!AF6/Premissas!$C$40)*Premissas!$C$40,N(Premissas!$F$40))=0,"C",IF(N(Premissas!$E$40)&gt;0,IF(MOD(INT(Cron_Uso!AF6/Premissas!$C$40)*Premissas!$C$40,N(Premissas!$E$40))=0,"B",IF(N(Premissas!$D$40)&gt;0,IF(MOD(INT(Cron_Uso!AF6/Premissas!$C$40)*Premissas!$C$40,N(Premissas!$D$40))=0,"A","S"),"S")),IF(N(Premissas!$D$40)&gt;0,IF(MOD(INT(Cron_Uso!AF6/Premissas!$C$40)*Premissas!$C$40,N(Premissas!$D$40))=0,"A","S"),"S"))),IF(N(Premissas!$E$40)&gt;0,IF(MOD(INT(Cron_Uso!AF6/Premissas!$C$40)*Premissas!$C$40,N(Premissas!$E$40))=0,"B",IF(N(Premissas!$D$40)&gt;0,IF(MOD(INT(Cron_Uso!AF6/Premissas!$C$40)*Premissas!$C$40,N(Premissas!$D$40))=0,"A","S"),"S")),IF(N(Premissas!$D$40)&gt;0,IF(MOD(INT(Cron_Uso!AF6/Premissas!$C$40)*Premissas!$C$40,N(Premissas!$D$40))=0,"A","S"),"S"))),"")</f>
        <v/>
      </c>
      <c r="AG6" s="22" t="str">
        <f>IF(INT(Cron_Uso!AG6/Premissas!$C$40)&gt;INT(Cron_Uso!AF6/Premissas!$C$40),IF(N(Premissas!$F$40)&gt;0,IF(MOD(INT(Cron_Uso!AG6/Premissas!$C$40)*Premissas!$C$40,N(Premissas!$F$40))=0,"C",IF(N(Premissas!$E$40)&gt;0,IF(MOD(INT(Cron_Uso!AG6/Premissas!$C$40)*Premissas!$C$40,N(Premissas!$E$40))=0,"B",IF(N(Premissas!$D$40)&gt;0,IF(MOD(INT(Cron_Uso!AG6/Premissas!$C$40)*Premissas!$C$40,N(Premissas!$D$40))=0,"A","S"),"S")),IF(N(Premissas!$D$40)&gt;0,IF(MOD(INT(Cron_Uso!AG6/Premissas!$C$40)*Premissas!$C$40,N(Premissas!$D$40))=0,"A","S"),"S"))),IF(N(Premissas!$E$40)&gt;0,IF(MOD(INT(Cron_Uso!AG6/Premissas!$C$40)*Premissas!$C$40,N(Premissas!$E$40))=0,"B",IF(N(Premissas!$D$40)&gt;0,IF(MOD(INT(Cron_Uso!AG6/Premissas!$C$40)*Premissas!$C$40,N(Premissas!$D$40))=0,"A","S"),"S")),IF(N(Premissas!$D$40)&gt;0,IF(MOD(INT(Cron_Uso!AG6/Premissas!$C$40)*Premissas!$C$40,N(Premissas!$D$40))=0,"A","S"),"S"))),"")</f>
        <v>S</v>
      </c>
      <c r="AH6" s="22" t="str">
        <f>IF(INT(Cron_Uso!AH6/Premissas!$C$40)&gt;INT(Cron_Uso!AG6/Premissas!$C$40),IF(N(Premissas!$F$40)&gt;0,IF(MOD(INT(Cron_Uso!AH6/Premissas!$C$40)*Premissas!$C$40,N(Premissas!$F$40))=0,"C",IF(N(Premissas!$E$40)&gt;0,IF(MOD(INT(Cron_Uso!AH6/Premissas!$C$40)*Premissas!$C$40,N(Premissas!$E$40))=0,"B",IF(N(Premissas!$D$40)&gt;0,IF(MOD(INT(Cron_Uso!AH6/Premissas!$C$40)*Premissas!$C$40,N(Premissas!$D$40))=0,"A","S"),"S")),IF(N(Premissas!$D$40)&gt;0,IF(MOD(INT(Cron_Uso!AH6/Premissas!$C$40)*Premissas!$C$40,N(Premissas!$D$40))=0,"A","S"),"S"))),IF(N(Premissas!$E$40)&gt;0,IF(MOD(INT(Cron_Uso!AH6/Premissas!$C$40)*Premissas!$C$40,N(Premissas!$E$40))=0,"B",IF(N(Premissas!$D$40)&gt;0,IF(MOD(INT(Cron_Uso!AH6/Premissas!$C$40)*Premissas!$C$40,N(Premissas!$D$40))=0,"A","S"),"S")),IF(N(Premissas!$D$40)&gt;0,IF(MOD(INT(Cron_Uso!AH6/Premissas!$C$40)*Premissas!$C$40,N(Premissas!$D$40))=0,"A","S"),"S"))),"")</f>
        <v/>
      </c>
      <c r="AI6" s="22" t="str">
        <f>IF(INT(Cron_Uso!AI6/Premissas!$C$40)&gt;INT(Cron_Uso!AH6/Premissas!$C$40),IF(N(Premissas!$F$40)&gt;0,IF(MOD(INT(Cron_Uso!AI6/Premissas!$C$40)*Premissas!$C$40,N(Premissas!$F$40))=0,"C",IF(N(Premissas!$E$40)&gt;0,IF(MOD(INT(Cron_Uso!AI6/Premissas!$C$40)*Premissas!$C$40,N(Premissas!$E$40))=0,"B",IF(N(Premissas!$D$40)&gt;0,IF(MOD(INT(Cron_Uso!AI6/Premissas!$C$40)*Premissas!$C$40,N(Premissas!$D$40))=0,"A","S"),"S")),IF(N(Premissas!$D$40)&gt;0,IF(MOD(INT(Cron_Uso!AI6/Premissas!$C$40)*Premissas!$C$40,N(Premissas!$D$40))=0,"A","S"),"S"))),IF(N(Premissas!$E$40)&gt;0,IF(MOD(INT(Cron_Uso!AI6/Premissas!$C$40)*Premissas!$C$40,N(Premissas!$E$40))=0,"B",IF(N(Premissas!$D$40)&gt;0,IF(MOD(INT(Cron_Uso!AI6/Premissas!$C$40)*Premissas!$C$40,N(Premissas!$D$40))=0,"A","S"),"S")),IF(N(Premissas!$D$40)&gt;0,IF(MOD(INT(Cron_Uso!AI6/Premissas!$C$40)*Premissas!$C$40,N(Premissas!$D$40))=0,"A","S"),"S"))),"")</f>
        <v/>
      </c>
      <c r="AJ6" s="22" t="str">
        <f>IF(INT(Cron_Uso!AJ6/Premissas!$C$40)&gt;INT(Cron_Uso!AI6/Premissas!$C$40),IF(N(Premissas!$F$40)&gt;0,IF(MOD(INT(Cron_Uso!AJ6/Premissas!$C$40)*Premissas!$C$40,N(Premissas!$F$40))=0,"C",IF(N(Premissas!$E$40)&gt;0,IF(MOD(INT(Cron_Uso!AJ6/Premissas!$C$40)*Premissas!$C$40,N(Premissas!$E$40))=0,"B",IF(N(Premissas!$D$40)&gt;0,IF(MOD(INT(Cron_Uso!AJ6/Premissas!$C$40)*Premissas!$C$40,N(Premissas!$D$40))=0,"A","S"),"S")),IF(N(Premissas!$D$40)&gt;0,IF(MOD(INT(Cron_Uso!AJ6/Premissas!$C$40)*Premissas!$C$40,N(Premissas!$D$40))=0,"A","S"),"S"))),IF(N(Premissas!$E$40)&gt;0,IF(MOD(INT(Cron_Uso!AJ6/Premissas!$C$40)*Premissas!$C$40,N(Premissas!$E$40))=0,"B",IF(N(Premissas!$D$40)&gt;0,IF(MOD(INT(Cron_Uso!AJ6/Premissas!$C$40)*Premissas!$C$40,N(Premissas!$D$40))=0,"A","S"),"S")),IF(N(Premissas!$D$40)&gt;0,IF(MOD(INT(Cron_Uso!AJ6/Premissas!$C$40)*Premissas!$C$40,N(Premissas!$D$40))=0,"A","S"),"S"))),"")</f>
        <v/>
      </c>
      <c r="AK6" s="22" t="str">
        <f>IF(INT(Cron_Uso!AK6/Premissas!$C$40)&gt;INT(Cron_Uso!AJ6/Premissas!$C$40),IF(N(Premissas!$F$40)&gt;0,IF(MOD(INT(Cron_Uso!AK6/Premissas!$C$40)*Premissas!$C$40,N(Premissas!$F$40))=0,"C",IF(N(Premissas!$E$40)&gt;0,IF(MOD(INT(Cron_Uso!AK6/Premissas!$C$40)*Premissas!$C$40,N(Premissas!$E$40))=0,"B",IF(N(Premissas!$D$40)&gt;0,IF(MOD(INT(Cron_Uso!AK6/Premissas!$C$40)*Premissas!$C$40,N(Premissas!$D$40))=0,"A","S"),"S")),IF(N(Premissas!$D$40)&gt;0,IF(MOD(INT(Cron_Uso!AK6/Premissas!$C$40)*Premissas!$C$40,N(Premissas!$D$40))=0,"A","S"),"S"))),IF(N(Premissas!$E$40)&gt;0,IF(MOD(INT(Cron_Uso!AK6/Premissas!$C$40)*Premissas!$C$40,N(Premissas!$E$40))=0,"B",IF(N(Premissas!$D$40)&gt;0,IF(MOD(INT(Cron_Uso!AK6/Premissas!$C$40)*Premissas!$C$40,N(Premissas!$D$40))=0,"A","S"),"S")),IF(N(Premissas!$D$40)&gt;0,IF(MOD(INT(Cron_Uso!AK6/Premissas!$C$40)*Premissas!$C$40,N(Premissas!$D$40))=0,"A","S"),"S"))),"")</f>
        <v/>
      </c>
      <c r="AL6" s="22" t="str">
        <f>IF(INT(Cron_Uso!AL6/Premissas!$C$40)&gt;INT(Cron_Uso!AK6/Premissas!$C$40),IF(N(Premissas!$F$40)&gt;0,IF(MOD(INT(Cron_Uso!AL6/Premissas!$C$40)*Premissas!$C$40,N(Premissas!$F$40))=0,"C",IF(N(Premissas!$E$40)&gt;0,IF(MOD(INT(Cron_Uso!AL6/Premissas!$C$40)*Premissas!$C$40,N(Premissas!$E$40))=0,"B",IF(N(Premissas!$D$40)&gt;0,IF(MOD(INT(Cron_Uso!AL6/Premissas!$C$40)*Premissas!$C$40,N(Premissas!$D$40))=0,"A","S"),"S")),IF(N(Premissas!$D$40)&gt;0,IF(MOD(INT(Cron_Uso!AL6/Premissas!$C$40)*Premissas!$C$40,N(Premissas!$D$40))=0,"A","S"),"S"))),IF(N(Premissas!$E$40)&gt;0,IF(MOD(INT(Cron_Uso!AL6/Premissas!$C$40)*Premissas!$C$40,N(Premissas!$E$40))=0,"B",IF(N(Premissas!$D$40)&gt;0,IF(MOD(INT(Cron_Uso!AL6/Premissas!$C$40)*Premissas!$C$40,N(Premissas!$D$40))=0,"A","S"),"S")),IF(N(Premissas!$D$40)&gt;0,IF(MOD(INT(Cron_Uso!AL6/Premissas!$C$40)*Premissas!$C$40,N(Premissas!$D$40))=0,"A","S"),"S"))),"")</f>
        <v/>
      </c>
      <c r="AM6" s="22" t="str">
        <f>IF(INT(Cron_Uso!AM6/Premissas!$C$40)&gt;INT(Cron_Uso!AL6/Premissas!$C$40),IF(N(Premissas!$F$40)&gt;0,IF(MOD(INT(Cron_Uso!AM6/Premissas!$C$40)*Premissas!$C$40,N(Premissas!$F$40))=0,"C",IF(N(Premissas!$E$40)&gt;0,IF(MOD(INT(Cron_Uso!AM6/Premissas!$C$40)*Premissas!$C$40,N(Premissas!$E$40))=0,"B",IF(N(Premissas!$D$40)&gt;0,IF(MOD(INT(Cron_Uso!AM6/Premissas!$C$40)*Premissas!$C$40,N(Premissas!$D$40))=0,"A","S"),"S")),IF(N(Premissas!$D$40)&gt;0,IF(MOD(INT(Cron_Uso!AM6/Premissas!$C$40)*Premissas!$C$40,N(Premissas!$D$40))=0,"A","S"),"S"))),IF(N(Premissas!$E$40)&gt;0,IF(MOD(INT(Cron_Uso!AM6/Premissas!$C$40)*Premissas!$C$40,N(Premissas!$E$40))=0,"B",IF(N(Premissas!$D$40)&gt;0,IF(MOD(INT(Cron_Uso!AM6/Premissas!$C$40)*Premissas!$C$40,N(Premissas!$D$40))=0,"A","S"),"S")),IF(N(Premissas!$D$40)&gt;0,IF(MOD(INT(Cron_Uso!AM6/Premissas!$C$40)*Premissas!$C$40,N(Premissas!$D$40))=0,"A","S"),"S"))),"")</f>
        <v/>
      </c>
      <c r="AN6" s="22" t="str">
        <f>IF(INT(Cron_Uso!AN6/Premissas!$C$40)&gt;INT(Cron_Uso!AM6/Premissas!$C$40),IF(N(Premissas!$F$40)&gt;0,IF(MOD(INT(Cron_Uso!AN6/Premissas!$C$40)*Premissas!$C$40,N(Premissas!$F$40))=0,"C",IF(N(Premissas!$E$40)&gt;0,IF(MOD(INT(Cron_Uso!AN6/Premissas!$C$40)*Premissas!$C$40,N(Premissas!$E$40))=0,"B",IF(N(Premissas!$D$40)&gt;0,IF(MOD(INT(Cron_Uso!AN6/Premissas!$C$40)*Premissas!$C$40,N(Premissas!$D$40))=0,"A","S"),"S")),IF(N(Premissas!$D$40)&gt;0,IF(MOD(INT(Cron_Uso!AN6/Premissas!$C$40)*Premissas!$C$40,N(Premissas!$D$40))=0,"A","S"),"S"))),IF(N(Premissas!$E$40)&gt;0,IF(MOD(INT(Cron_Uso!AN6/Premissas!$C$40)*Premissas!$C$40,N(Premissas!$E$40))=0,"B",IF(N(Premissas!$D$40)&gt;0,IF(MOD(INT(Cron_Uso!AN6/Premissas!$C$40)*Premissas!$C$40,N(Premissas!$D$40))=0,"A","S"),"S")),IF(N(Premissas!$D$40)&gt;0,IF(MOD(INT(Cron_Uso!AN6/Premissas!$C$40)*Premissas!$C$40,N(Premissas!$D$40))=0,"A","S"),"S"))),"")</f>
        <v/>
      </c>
      <c r="AO6" s="22" t="str">
        <f>IF(INT(Cron_Uso!AO6/Premissas!$C$40)&gt;INT(Cron_Uso!AN6/Premissas!$C$40),IF(N(Premissas!$F$40)&gt;0,IF(MOD(INT(Cron_Uso!AO6/Premissas!$C$40)*Premissas!$C$40,N(Premissas!$F$40))=0,"C",IF(N(Premissas!$E$40)&gt;0,IF(MOD(INT(Cron_Uso!AO6/Premissas!$C$40)*Premissas!$C$40,N(Premissas!$E$40))=0,"B",IF(N(Premissas!$D$40)&gt;0,IF(MOD(INT(Cron_Uso!AO6/Premissas!$C$40)*Premissas!$C$40,N(Premissas!$D$40))=0,"A","S"),"S")),IF(N(Premissas!$D$40)&gt;0,IF(MOD(INT(Cron_Uso!AO6/Premissas!$C$40)*Premissas!$C$40,N(Premissas!$D$40))=0,"A","S"),"S"))),IF(N(Premissas!$E$40)&gt;0,IF(MOD(INT(Cron_Uso!AO6/Premissas!$C$40)*Premissas!$C$40,N(Premissas!$E$40))=0,"B",IF(N(Premissas!$D$40)&gt;0,IF(MOD(INT(Cron_Uso!AO6/Premissas!$C$40)*Premissas!$C$40,N(Premissas!$D$40))=0,"A","S"),"S")),IF(N(Premissas!$D$40)&gt;0,IF(MOD(INT(Cron_Uso!AO6/Premissas!$C$40)*Premissas!$C$40,N(Premissas!$D$40))=0,"A","S"),"S"))),"")</f>
        <v/>
      </c>
      <c r="AP6" s="22" t="str">
        <f>IF(INT(Cron_Uso!AP6/Premissas!$C$40)&gt;INT(Cron_Uso!AO6/Premissas!$C$40),IF(N(Premissas!$F$40)&gt;0,IF(MOD(INT(Cron_Uso!AP6/Premissas!$C$40)*Premissas!$C$40,N(Premissas!$F$40))=0,"C",IF(N(Premissas!$E$40)&gt;0,IF(MOD(INT(Cron_Uso!AP6/Premissas!$C$40)*Premissas!$C$40,N(Premissas!$E$40))=0,"B",IF(N(Premissas!$D$40)&gt;0,IF(MOD(INT(Cron_Uso!AP6/Premissas!$C$40)*Premissas!$C$40,N(Premissas!$D$40))=0,"A","S"),"S")),IF(N(Premissas!$D$40)&gt;0,IF(MOD(INT(Cron_Uso!AP6/Premissas!$C$40)*Premissas!$C$40,N(Premissas!$D$40))=0,"A","S"),"S"))),IF(N(Premissas!$E$40)&gt;0,IF(MOD(INT(Cron_Uso!AP6/Premissas!$C$40)*Premissas!$C$40,N(Premissas!$E$40))=0,"B",IF(N(Premissas!$D$40)&gt;0,IF(MOD(INT(Cron_Uso!AP6/Premissas!$C$40)*Premissas!$C$40,N(Premissas!$D$40))=0,"A","S"),"S")),IF(N(Premissas!$D$40)&gt;0,IF(MOD(INT(Cron_Uso!AP6/Premissas!$C$40)*Premissas!$C$40,N(Premissas!$D$40))=0,"A","S"),"S"))),"")</f>
        <v/>
      </c>
      <c r="AQ6" s="22" t="str">
        <f>IF(INT(Cron_Uso!AQ6/Premissas!$C$40)&gt;INT(Cron_Uso!AP6/Premissas!$C$40),IF(N(Premissas!$F$40)&gt;0,IF(MOD(INT(Cron_Uso!AQ6/Premissas!$C$40)*Premissas!$C$40,N(Premissas!$F$40))=0,"C",IF(N(Premissas!$E$40)&gt;0,IF(MOD(INT(Cron_Uso!AQ6/Premissas!$C$40)*Premissas!$C$40,N(Premissas!$E$40))=0,"B",IF(N(Premissas!$D$40)&gt;0,IF(MOD(INT(Cron_Uso!AQ6/Premissas!$C$40)*Premissas!$C$40,N(Premissas!$D$40))=0,"A","S"),"S")),IF(N(Premissas!$D$40)&gt;0,IF(MOD(INT(Cron_Uso!AQ6/Premissas!$C$40)*Premissas!$C$40,N(Premissas!$D$40))=0,"A","S"),"S"))),IF(N(Premissas!$E$40)&gt;0,IF(MOD(INT(Cron_Uso!AQ6/Premissas!$C$40)*Premissas!$C$40,N(Premissas!$E$40))=0,"B",IF(N(Premissas!$D$40)&gt;0,IF(MOD(INT(Cron_Uso!AQ6/Premissas!$C$40)*Premissas!$C$40,N(Premissas!$D$40))=0,"A","S"),"S")),IF(N(Premissas!$D$40)&gt;0,IF(MOD(INT(Cron_Uso!AQ6/Premissas!$C$40)*Premissas!$C$40,N(Premissas!$D$40))=0,"A","S"),"S"))),"")</f>
        <v/>
      </c>
      <c r="AR6" s="22" t="str">
        <f>IF(INT(Cron_Uso!AR6/Premissas!$C$40)&gt;INT(Cron_Uso!AQ6/Premissas!$C$40),IF(N(Premissas!$F$40)&gt;0,IF(MOD(INT(Cron_Uso!AR6/Premissas!$C$40)*Premissas!$C$40,N(Premissas!$F$40))=0,"C",IF(N(Premissas!$E$40)&gt;0,IF(MOD(INT(Cron_Uso!AR6/Premissas!$C$40)*Premissas!$C$40,N(Premissas!$E$40))=0,"B",IF(N(Premissas!$D$40)&gt;0,IF(MOD(INT(Cron_Uso!AR6/Premissas!$C$40)*Premissas!$C$40,N(Premissas!$D$40))=0,"A","S"),"S")),IF(N(Premissas!$D$40)&gt;0,IF(MOD(INT(Cron_Uso!AR6/Premissas!$C$40)*Premissas!$C$40,N(Premissas!$D$40))=0,"A","S"),"S"))),IF(N(Premissas!$E$40)&gt;0,IF(MOD(INT(Cron_Uso!AR6/Premissas!$C$40)*Premissas!$C$40,N(Premissas!$E$40))=0,"B",IF(N(Premissas!$D$40)&gt;0,IF(MOD(INT(Cron_Uso!AR6/Premissas!$C$40)*Premissas!$C$40,N(Premissas!$D$40))=0,"A","S"),"S")),IF(N(Premissas!$D$40)&gt;0,IF(MOD(INT(Cron_Uso!AR6/Premissas!$C$40)*Premissas!$C$40,N(Premissas!$D$40))=0,"A","S"),"S"))),"")</f>
        <v/>
      </c>
      <c r="AS6" s="22" t="str">
        <f>IF(INT(Cron_Uso!AS6/Premissas!$C$40)&gt;INT(Cron_Uso!AR6/Premissas!$C$40),IF(N(Premissas!$F$40)&gt;0,IF(MOD(INT(Cron_Uso!AS6/Premissas!$C$40)*Premissas!$C$40,N(Premissas!$F$40))=0,"C",IF(N(Premissas!$E$40)&gt;0,IF(MOD(INT(Cron_Uso!AS6/Premissas!$C$40)*Premissas!$C$40,N(Premissas!$E$40))=0,"B",IF(N(Premissas!$D$40)&gt;0,IF(MOD(INT(Cron_Uso!AS6/Premissas!$C$40)*Premissas!$C$40,N(Premissas!$D$40))=0,"A","S"),"S")),IF(N(Premissas!$D$40)&gt;0,IF(MOD(INT(Cron_Uso!AS6/Premissas!$C$40)*Premissas!$C$40,N(Premissas!$D$40))=0,"A","S"),"S"))),IF(N(Premissas!$E$40)&gt;0,IF(MOD(INT(Cron_Uso!AS6/Premissas!$C$40)*Premissas!$C$40,N(Premissas!$E$40))=0,"B",IF(N(Premissas!$D$40)&gt;0,IF(MOD(INT(Cron_Uso!AS6/Premissas!$C$40)*Premissas!$C$40,N(Premissas!$D$40))=0,"A","S"),"S")),IF(N(Premissas!$D$40)&gt;0,IF(MOD(INT(Cron_Uso!AS6/Premissas!$C$40)*Premissas!$C$40,N(Premissas!$D$40))=0,"A","S"),"S"))),"")</f>
        <v/>
      </c>
      <c r="AT6" s="22" t="str">
        <f>IF(INT(Cron_Uso!AT6/Premissas!$C$40)&gt;INT(Cron_Uso!AS6/Premissas!$C$40),IF(N(Premissas!$F$40)&gt;0,IF(MOD(INT(Cron_Uso!AT6/Premissas!$C$40)*Premissas!$C$40,N(Premissas!$F$40))=0,"C",IF(N(Premissas!$E$40)&gt;0,IF(MOD(INT(Cron_Uso!AT6/Premissas!$C$40)*Premissas!$C$40,N(Premissas!$E$40))=0,"B",IF(N(Premissas!$D$40)&gt;0,IF(MOD(INT(Cron_Uso!AT6/Premissas!$C$40)*Premissas!$C$40,N(Premissas!$D$40))=0,"A","S"),"S")),IF(N(Premissas!$D$40)&gt;0,IF(MOD(INT(Cron_Uso!AT6/Premissas!$C$40)*Premissas!$C$40,N(Premissas!$D$40))=0,"A","S"),"S"))),IF(N(Premissas!$E$40)&gt;0,IF(MOD(INT(Cron_Uso!AT6/Premissas!$C$40)*Premissas!$C$40,N(Premissas!$E$40))=0,"B",IF(N(Premissas!$D$40)&gt;0,IF(MOD(INT(Cron_Uso!AT6/Premissas!$C$40)*Premissas!$C$40,N(Premissas!$D$40))=0,"A","S"),"S")),IF(N(Premissas!$D$40)&gt;0,IF(MOD(INT(Cron_Uso!AT6/Premissas!$C$40)*Premissas!$C$40,N(Premissas!$D$40))=0,"A","S"),"S"))),"")</f>
        <v/>
      </c>
      <c r="AU6" s="22" t="str">
        <f>IF(INT(Cron_Uso!AU6/Premissas!$C$40)&gt;INT(Cron_Uso!AT6/Premissas!$C$40),IF(N(Premissas!$F$40)&gt;0,IF(MOD(INT(Cron_Uso!AU6/Premissas!$C$40)*Premissas!$C$40,N(Premissas!$F$40))=0,"C",IF(N(Premissas!$E$40)&gt;0,IF(MOD(INT(Cron_Uso!AU6/Premissas!$C$40)*Premissas!$C$40,N(Premissas!$E$40))=0,"B",IF(N(Premissas!$D$40)&gt;0,IF(MOD(INT(Cron_Uso!AU6/Premissas!$C$40)*Premissas!$C$40,N(Premissas!$D$40))=0,"A","S"),"S")),IF(N(Premissas!$D$40)&gt;0,IF(MOD(INT(Cron_Uso!AU6/Premissas!$C$40)*Premissas!$C$40,N(Premissas!$D$40))=0,"A","S"),"S"))),IF(N(Premissas!$E$40)&gt;0,IF(MOD(INT(Cron_Uso!AU6/Premissas!$C$40)*Premissas!$C$40,N(Premissas!$E$40))=0,"B",IF(N(Premissas!$D$40)&gt;0,IF(MOD(INT(Cron_Uso!AU6/Premissas!$C$40)*Premissas!$C$40,N(Premissas!$D$40))=0,"A","S"),"S")),IF(N(Premissas!$D$40)&gt;0,IF(MOD(INT(Cron_Uso!AU6/Premissas!$C$40)*Premissas!$C$40,N(Premissas!$D$40))=0,"A","S"),"S"))),"")</f>
        <v/>
      </c>
      <c r="AV6" s="22" t="str">
        <f>IF(INT(Cron_Uso!AV6/Premissas!$C$40)&gt;INT(Cron_Uso!AU6/Premissas!$C$40),IF(N(Premissas!$F$40)&gt;0,IF(MOD(INT(Cron_Uso!AV6/Premissas!$C$40)*Premissas!$C$40,N(Premissas!$F$40))=0,"C",IF(N(Premissas!$E$40)&gt;0,IF(MOD(INT(Cron_Uso!AV6/Premissas!$C$40)*Premissas!$C$40,N(Premissas!$E$40))=0,"B",IF(N(Premissas!$D$40)&gt;0,IF(MOD(INT(Cron_Uso!AV6/Premissas!$C$40)*Premissas!$C$40,N(Premissas!$D$40))=0,"A","S"),"S")),IF(N(Premissas!$D$40)&gt;0,IF(MOD(INT(Cron_Uso!AV6/Premissas!$C$40)*Premissas!$C$40,N(Premissas!$D$40))=0,"A","S"),"S"))),IF(N(Premissas!$E$40)&gt;0,IF(MOD(INT(Cron_Uso!AV6/Premissas!$C$40)*Premissas!$C$40,N(Premissas!$E$40))=0,"B",IF(N(Premissas!$D$40)&gt;0,IF(MOD(INT(Cron_Uso!AV6/Premissas!$C$40)*Premissas!$C$40,N(Premissas!$D$40))=0,"A","S"),"S")),IF(N(Premissas!$D$40)&gt;0,IF(MOD(INT(Cron_Uso!AV6/Premissas!$C$40)*Premissas!$C$40,N(Premissas!$D$40))=0,"A","S"),"S"))),"")</f>
        <v/>
      </c>
      <c r="AW6" s="22" t="str">
        <f>IF(INT(Cron_Uso!AW6/Premissas!$C$40)&gt;INT(Cron_Uso!AV6/Premissas!$C$40),IF(N(Premissas!$F$40)&gt;0,IF(MOD(INT(Cron_Uso!AW6/Premissas!$C$40)*Premissas!$C$40,N(Premissas!$F$40))=0,"C",IF(N(Premissas!$E$40)&gt;0,IF(MOD(INT(Cron_Uso!AW6/Premissas!$C$40)*Premissas!$C$40,N(Premissas!$E$40))=0,"B",IF(N(Premissas!$D$40)&gt;0,IF(MOD(INT(Cron_Uso!AW6/Premissas!$C$40)*Premissas!$C$40,N(Premissas!$D$40))=0,"A","S"),"S")),IF(N(Premissas!$D$40)&gt;0,IF(MOD(INT(Cron_Uso!AW6/Premissas!$C$40)*Premissas!$C$40,N(Premissas!$D$40))=0,"A","S"),"S"))),IF(N(Premissas!$E$40)&gt;0,IF(MOD(INT(Cron_Uso!AW6/Premissas!$C$40)*Premissas!$C$40,N(Premissas!$E$40))=0,"B",IF(N(Premissas!$D$40)&gt;0,IF(MOD(INT(Cron_Uso!AW6/Premissas!$C$40)*Premissas!$C$40,N(Premissas!$D$40))=0,"A","S"),"S")),IF(N(Premissas!$D$40)&gt;0,IF(MOD(INT(Cron_Uso!AW6/Premissas!$C$40)*Premissas!$C$40,N(Premissas!$D$40))=0,"A","S"),"S"))),"")</f>
        <v/>
      </c>
      <c r="AX6" s="22" t="str">
        <f>IF(INT(Cron_Uso!AX6/Premissas!$C$40)&gt;INT(Cron_Uso!AW6/Premissas!$C$40),IF(N(Premissas!$F$40)&gt;0,IF(MOD(INT(Cron_Uso!AX6/Premissas!$C$40)*Premissas!$C$40,N(Premissas!$F$40))=0,"C",IF(N(Premissas!$E$40)&gt;0,IF(MOD(INT(Cron_Uso!AX6/Premissas!$C$40)*Premissas!$C$40,N(Premissas!$E$40))=0,"B",IF(N(Premissas!$D$40)&gt;0,IF(MOD(INT(Cron_Uso!AX6/Premissas!$C$40)*Premissas!$C$40,N(Premissas!$D$40))=0,"A","S"),"S")),IF(N(Premissas!$D$40)&gt;0,IF(MOD(INT(Cron_Uso!AX6/Premissas!$C$40)*Premissas!$C$40,N(Premissas!$D$40))=0,"A","S"),"S"))),IF(N(Premissas!$E$40)&gt;0,IF(MOD(INT(Cron_Uso!AX6/Premissas!$C$40)*Premissas!$C$40,N(Premissas!$E$40))=0,"B",IF(N(Premissas!$D$40)&gt;0,IF(MOD(INT(Cron_Uso!AX6/Premissas!$C$40)*Premissas!$C$40,N(Premissas!$D$40))=0,"A","S"),"S")),IF(N(Premissas!$D$40)&gt;0,IF(MOD(INT(Cron_Uso!AX6/Premissas!$C$40)*Premissas!$C$40,N(Premissas!$D$40))=0,"A","S"),"S"))),"")</f>
        <v>A</v>
      </c>
      <c r="AY6" s="22" t="str">
        <f>IF(INT(Cron_Uso!AY6/Premissas!$C$40)&gt;INT(Cron_Uso!AX6/Premissas!$C$40),IF(N(Premissas!$F$40)&gt;0,IF(MOD(INT(Cron_Uso!AY6/Premissas!$C$40)*Premissas!$C$40,N(Premissas!$F$40))=0,"C",IF(N(Premissas!$E$40)&gt;0,IF(MOD(INT(Cron_Uso!AY6/Premissas!$C$40)*Premissas!$C$40,N(Premissas!$E$40))=0,"B",IF(N(Premissas!$D$40)&gt;0,IF(MOD(INT(Cron_Uso!AY6/Premissas!$C$40)*Premissas!$C$40,N(Premissas!$D$40))=0,"A","S"),"S")),IF(N(Premissas!$D$40)&gt;0,IF(MOD(INT(Cron_Uso!AY6/Premissas!$C$40)*Premissas!$C$40,N(Premissas!$D$40))=0,"A","S"),"S"))),IF(N(Premissas!$E$40)&gt;0,IF(MOD(INT(Cron_Uso!AY6/Premissas!$C$40)*Premissas!$C$40,N(Premissas!$E$40))=0,"B",IF(N(Premissas!$D$40)&gt;0,IF(MOD(INT(Cron_Uso!AY6/Premissas!$C$40)*Premissas!$C$40,N(Premissas!$D$40))=0,"A","S"),"S")),IF(N(Premissas!$D$40)&gt;0,IF(MOD(INT(Cron_Uso!AY6/Premissas!$C$40)*Premissas!$C$40,N(Premissas!$D$40))=0,"A","S"),"S"))),"")</f>
        <v/>
      </c>
      <c r="AZ6" s="22" t="str">
        <f>IF(INT(Cron_Uso!AZ6/Premissas!$C$40)&gt;INT(Cron_Uso!AY6/Premissas!$C$40),IF(N(Premissas!$F$40)&gt;0,IF(MOD(INT(Cron_Uso!AZ6/Premissas!$C$40)*Premissas!$C$40,N(Premissas!$F$40))=0,"C",IF(N(Premissas!$E$40)&gt;0,IF(MOD(INT(Cron_Uso!AZ6/Premissas!$C$40)*Premissas!$C$40,N(Premissas!$E$40))=0,"B",IF(N(Premissas!$D$40)&gt;0,IF(MOD(INT(Cron_Uso!AZ6/Premissas!$C$40)*Premissas!$C$40,N(Premissas!$D$40))=0,"A","S"),"S")),IF(N(Premissas!$D$40)&gt;0,IF(MOD(INT(Cron_Uso!AZ6/Premissas!$C$40)*Premissas!$C$40,N(Premissas!$D$40))=0,"A","S"),"S"))),IF(N(Premissas!$E$40)&gt;0,IF(MOD(INT(Cron_Uso!AZ6/Premissas!$C$40)*Premissas!$C$40,N(Premissas!$E$40))=0,"B",IF(N(Premissas!$D$40)&gt;0,IF(MOD(INT(Cron_Uso!AZ6/Premissas!$C$40)*Premissas!$C$40,N(Premissas!$D$40))=0,"A","S"),"S")),IF(N(Premissas!$D$40)&gt;0,IF(MOD(INT(Cron_Uso!AZ6/Premissas!$C$40)*Premissas!$C$40,N(Premissas!$D$40))=0,"A","S"),"S"))),"")</f>
        <v/>
      </c>
      <c r="BA6" s="22" t="str">
        <f>IF(INT(Cron_Uso!BA6/Premissas!$C$40)&gt;INT(Cron_Uso!AZ6/Premissas!$C$40),IF(N(Premissas!$F$40)&gt;0,IF(MOD(INT(Cron_Uso!BA6/Premissas!$C$40)*Premissas!$C$40,N(Premissas!$F$40))=0,"C",IF(N(Premissas!$E$40)&gt;0,IF(MOD(INT(Cron_Uso!BA6/Premissas!$C$40)*Premissas!$C$40,N(Premissas!$E$40))=0,"B",IF(N(Premissas!$D$40)&gt;0,IF(MOD(INT(Cron_Uso!BA6/Premissas!$C$40)*Premissas!$C$40,N(Premissas!$D$40))=0,"A","S"),"S")),IF(N(Premissas!$D$40)&gt;0,IF(MOD(INT(Cron_Uso!BA6/Premissas!$C$40)*Premissas!$C$40,N(Premissas!$D$40))=0,"A","S"),"S"))),IF(N(Premissas!$E$40)&gt;0,IF(MOD(INT(Cron_Uso!BA6/Premissas!$C$40)*Premissas!$C$40,N(Premissas!$E$40))=0,"B",IF(N(Premissas!$D$40)&gt;0,IF(MOD(INT(Cron_Uso!BA6/Premissas!$C$40)*Premissas!$C$40,N(Premissas!$D$40))=0,"A","S"),"S")),IF(N(Premissas!$D$40)&gt;0,IF(MOD(INT(Cron_Uso!BA6/Premissas!$C$40)*Premissas!$C$40,N(Premissas!$D$40))=0,"A","S"),"S"))),"")</f>
        <v/>
      </c>
    </row>
    <row r="7" spans="1:56" ht="15" customHeight="1" x14ac:dyDescent="0.4">
      <c r="A7" s="15" t="str">
        <f>Premissas!$A$41&amp;" (×"&amp;Premissas!$I$41&amp;")"</f>
        <v>Caminhão (×121)</v>
      </c>
      <c r="B7" s="22" t="str">
        <f>IF(INT(Cron_Uso!B7/Premissas!$C$41)&gt;INT(Premissas!$J$41/Premissas!$C$41),IF(N(Premissas!$F$41)&gt;0,IF(MOD(INT(Cron_Uso!B7/Premissas!$C$41)*Premissas!$C$41,N(Premissas!$F$41))=0,"C",IF(N(Premissas!$E$41)&gt;0,IF(MOD(INT(Cron_Uso!B7/Premissas!$C$41)*Premissas!$C$41,N(Premissas!$E$41))=0,"B",IF(N(Premissas!$D$41)&gt;0,IF(MOD(INT(Cron_Uso!B7/Premissas!$C$41)*Premissas!$C$41,N(Premissas!$D$41))=0,"A","S"),"S")),IF(N(Premissas!$D$41)&gt;0,IF(MOD(INT(Cron_Uso!B7/Premissas!$C$41)*Premissas!$C$41,N(Premissas!$D$41))=0,"A","S"),"S"))),IF(N(Premissas!$E$41)&gt;0,IF(MOD(INT(Cron_Uso!B7/Premissas!$C$41)*Premissas!$C$41,N(Premissas!$E$41))=0,"B",IF(N(Premissas!$D$41)&gt;0,IF(MOD(INT(Cron_Uso!B7/Premissas!$C$41)*Premissas!$C$41,N(Premissas!$D$41))=0,"A","S"),"S")),IF(N(Premissas!$D$41)&gt;0,IF(MOD(INT(Cron_Uso!B7/Premissas!$C$41)*Premissas!$C$41,N(Premissas!$D$41))=0,"A","S"),"S"))),"")</f>
        <v/>
      </c>
      <c r="C7" s="22" t="str">
        <f>IF(INT(Cron_Uso!C7/Premissas!$C$41)&gt;INT(Cron_Uso!B7/Premissas!$C$41),IF(N(Premissas!$F$41)&gt;0,IF(MOD(INT(Cron_Uso!C7/Premissas!$C$41)*Premissas!$C$41,N(Premissas!$F$41))=0,"C",IF(N(Premissas!$E$41)&gt;0,IF(MOD(INT(Cron_Uso!C7/Premissas!$C$41)*Premissas!$C$41,N(Premissas!$E$41))=0,"B",IF(N(Premissas!$D$41)&gt;0,IF(MOD(INT(Cron_Uso!C7/Premissas!$C$41)*Premissas!$C$41,N(Premissas!$D$41))=0,"A","S"),"S")),IF(N(Premissas!$D$41)&gt;0,IF(MOD(INT(Cron_Uso!C7/Premissas!$C$41)*Premissas!$C$41,N(Premissas!$D$41))=0,"A","S"),"S"))),IF(N(Premissas!$E$41)&gt;0,IF(MOD(INT(Cron_Uso!C7/Premissas!$C$41)*Premissas!$C$41,N(Premissas!$E$41))=0,"B",IF(N(Premissas!$D$41)&gt;0,IF(MOD(INT(Cron_Uso!C7/Premissas!$C$41)*Premissas!$C$41,N(Premissas!$D$41))=0,"A","S"),"S")),IF(N(Premissas!$D$41)&gt;0,IF(MOD(INT(Cron_Uso!C7/Premissas!$C$41)*Premissas!$C$41,N(Premissas!$D$41))=0,"A","S"),"S"))),"")</f>
        <v/>
      </c>
      <c r="D7" s="22" t="str">
        <f>IF(INT(Cron_Uso!D7/Premissas!$C$41)&gt;INT(Cron_Uso!C7/Premissas!$C$41),IF(N(Premissas!$F$41)&gt;0,IF(MOD(INT(Cron_Uso!D7/Premissas!$C$41)*Premissas!$C$41,N(Premissas!$F$41))=0,"C",IF(N(Premissas!$E$41)&gt;0,IF(MOD(INT(Cron_Uso!D7/Premissas!$C$41)*Premissas!$C$41,N(Premissas!$E$41))=0,"B",IF(N(Premissas!$D$41)&gt;0,IF(MOD(INT(Cron_Uso!D7/Premissas!$C$41)*Premissas!$C$41,N(Premissas!$D$41))=0,"A","S"),"S")),IF(N(Premissas!$D$41)&gt;0,IF(MOD(INT(Cron_Uso!D7/Premissas!$C$41)*Premissas!$C$41,N(Premissas!$D$41))=0,"A","S"),"S"))),IF(N(Premissas!$E$41)&gt;0,IF(MOD(INT(Cron_Uso!D7/Premissas!$C$41)*Premissas!$C$41,N(Premissas!$E$41))=0,"B",IF(N(Premissas!$D$41)&gt;0,IF(MOD(INT(Cron_Uso!D7/Premissas!$C$41)*Premissas!$C$41,N(Premissas!$D$41))=0,"A","S"),"S")),IF(N(Premissas!$D$41)&gt;0,IF(MOD(INT(Cron_Uso!D7/Premissas!$C$41)*Premissas!$C$41,N(Premissas!$D$41))=0,"A","S"),"S"))),"")</f>
        <v/>
      </c>
      <c r="E7" s="22" t="str">
        <f>IF(INT(Cron_Uso!E7/Premissas!$C$41)&gt;INT(Cron_Uso!D7/Premissas!$C$41),IF(N(Premissas!$F$41)&gt;0,IF(MOD(INT(Cron_Uso!E7/Premissas!$C$41)*Premissas!$C$41,N(Premissas!$F$41))=0,"C",IF(N(Premissas!$E$41)&gt;0,IF(MOD(INT(Cron_Uso!E7/Premissas!$C$41)*Premissas!$C$41,N(Premissas!$E$41))=0,"B",IF(N(Premissas!$D$41)&gt;0,IF(MOD(INT(Cron_Uso!E7/Premissas!$C$41)*Premissas!$C$41,N(Premissas!$D$41))=0,"A","S"),"S")),IF(N(Premissas!$D$41)&gt;0,IF(MOD(INT(Cron_Uso!E7/Premissas!$C$41)*Premissas!$C$41,N(Premissas!$D$41))=0,"A","S"),"S"))),IF(N(Premissas!$E$41)&gt;0,IF(MOD(INT(Cron_Uso!E7/Premissas!$C$41)*Premissas!$C$41,N(Premissas!$E$41))=0,"B",IF(N(Premissas!$D$41)&gt;0,IF(MOD(INT(Cron_Uso!E7/Premissas!$C$41)*Premissas!$C$41,N(Premissas!$D$41))=0,"A","S"),"S")),IF(N(Premissas!$D$41)&gt;0,IF(MOD(INT(Cron_Uso!E7/Premissas!$C$41)*Premissas!$C$41,N(Premissas!$D$41))=0,"A","S"),"S"))),"")</f>
        <v/>
      </c>
      <c r="F7" s="22" t="str">
        <f>IF(INT(Cron_Uso!F7/Premissas!$C$41)&gt;INT(Cron_Uso!E7/Premissas!$C$41),IF(N(Premissas!$F$41)&gt;0,IF(MOD(INT(Cron_Uso!F7/Premissas!$C$41)*Premissas!$C$41,N(Premissas!$F$41))=0,"C",IF(N(Premissas!$E$41)&gt;0,IF(MOD(INT(Cron_Uso!F7/Premissas!$C$41)*Premissas!$C$41,N(Premissas!$E$41))=0,"B",IF(N(Premissas!$D$41)&gt;0,IF(MOD(INT(Cron_Uso!F7/Premissas!$C$41)*Premissas!$C$41,N(Premissas!$D$41))=0,"A","S"),"S")),IF(N(Premissas!$D$41)&gt;0,IF(MOD(INT(Cron_Uso!F7/Premissas!$C$41)*Premissas!$C$41,N(Premissas!$D$41))=0,"A","S"),"S"))),IF(N(Premissas!$E$41)&gt;0,IF(MOD(INT(Cron_Uso!F7/Premissas!$C$41)*Premissas!$C$41,N(Premissas!$E$41))=0,"B",IF(N(Premissas!$D$41)&gt;0,IF(MOD(INT(Cron_Uso!F7/Premissas!$C$41)*Premissas!$C$41,N(Premissas!$D$41))=0,"A","S"),"S")),IF(N(Premissas!$D$41)&gt;0,IF(MOD(INT(Cron_Uso!F7/Premissas!$C$41)*Premissas!$C$41,N(Premissas!$D$41))=0,"A","S"),"S"))),"")</f>
        <v/>
      </c>
      <c r="G7" s="22" t="str">
        <f>IF(INT(Cron_Uso!G7/Premissas!$C$41)&gt;INT(Cron_Uso!F7/Premissas!$C$41),IF(N(Premissas!$F$41)&gt;0,IF(MOD(INT(Cron_Uso!G7/Premissas!$C$41)*Premissas!$C$41,N(Premissas!$F$41))=0,"C",IF(N(Premissas!$E$41)&gt;0,IF(MOD(INT(Cron_Uso!G7/Premissas!$C$41)*Premissas!$C$41,N(Premissas!$E$41))=0,"B",IF(N(Premissas!$D$41)&gt;0,IF(MOD(INT(Cron_Uso!G7/Premissas!$C$41)*Premissas!$C$41,N(Premissas!$D$41))=0,"A","S"),"S")),IF(N(Premissas!$D$41)&gt;0,IF(MOD(INT(Cron_Uso!G7/Premissas!$C$41)*Premissas!$C$41,N(Premissas!$D$41))=0,"A","S"),"S"))),IF(N(Premissas!$E$41)&gt;0,IF(MOD(INT(Cron_Uso!G7/Premissas!$C$41)*Premissas!$C$41,N(Premissas!$E$41))=0,"B",IF(N(Premissas!$D$41)&gt;0,IF(MOD(INT(Cron_Uso!G7/Premissas!$C$41)*Premissas!$C$41,N(Premissas!$D$41))=0,"A","S"),"S")),IF(N(Premissas!$D$41)&gt;0,IF(MOD(INT(Cron_Uso!G7/Premissas!$C$41)*Premissas!$C$41,N(Premissas!$D$41))=0,"A","S"),"S"))),"")</f>
        <v/>
      </c>
      <c r="H7" s="22" t="str">
        <f>IF(INT(Cron_Uso!H7/Premissas!$C$41)&gt;INT(Cron_Uso!G7/Premissas!$C$41),IF(N(Premissas!$F$41)&gt;0,IF(MOD(INT(Cron_Uso!H7/Premissas!$C$41)*Premissas!$C$41,N(Premissas!$F$41))=0,"C",IF(N(Premissas!$E$41)&gt;0,IF(MOD(INT(Cron_Uso!H7/Premissas!$C$41)*Premissas!$C$41,N(Premissas!$E$41))=0,"B",IF(N(Premissas!$D$41)&gt;0,IF(MOD(INT(Cron_Uso!H7/Premissas!$C$41)*Premissas!$C$41,N(Premissas!$D$41))=0,"A","S"),"S")),IF(N(Premissas!$D$41)&gt;0,IF(MOD(INT(Cron_Uso!H7/Premissas!$C$41)*Premissas!$C$41,N(Premissas!$D$41))=0,"A","S"),"S"))),IF(N(Premissas!$E$41)&gt;0,IF(MOD(INT(Cron_Uso!H7/Premissas!$C$41)*Premissas!$C$41,N(Premissas!$E$41))=0,"B",IF(N(Premissas!$D$41)&gt;0,IF(MOD(INT(Cron_Uso!H7/Premissas!$C$41)*Premissas!$C$41,N(Premissas!$D$41))=0,"A","S"),"S")),IF(N(Premissas!$D$41)&gt;0,IF(MOD(INT(Cron_Uso!H7/Premissas!$C$41)*Premissas!$C$41,N(Premissas!$D$41))=0,"A","S"),"S"))),"")</f>
        <v>S</v>
      </c>
      <c r="I7" s="22" t="str">
        <f>IF(INT(Cron_Uso!I7/Premissas!$C$41)&gt;INT(Cron_Uso!H7/Premissas!$C$41),IF(N(Premissas!$F$41)&gt;0,IF(MOD(INT(Cron_Uso!I7/Premissas!$C$41)*Premissas!$C$41,N(Premissas!$F$41))=0,"C",IF(N(Premissas!$E$41)&gt;0,IF(MOD(INT(Cron_Uso!I7/Premissas!$C$41)*Premissas!$C$41,N(Premissas!$E$41))=0,"B",IF(N(Premissas!$D$41)&gt;0,IF(MOD(INT(Cron_Uso!I7/Premissas!$C$41)*Premissas!$C$41,N(Premissas!$D$41))=0,"A","S"),"S")),IF(N(Premissas!$D$41)&gt;0,IF(MOD(INT(Cron_Uso!I7/Premissas!$C$41)*Premissas!$C$41,N(Premissas!$D$41))=0,"A","S"),"S"))),IF(N(Premissas!$E$41)&gt;0,IF(MOD(INT(Cron_Uso!I7/Premissas!$C$41)*Premissas!$C$41,N(Premissas!$E$41))=0,"B",IF(N(Premissas!$D$41)&gt;0,IF(MOD(INT(Cron_Uso!I7/Premissas!$C$41)*Premissas!$C$41,N(Premissas!$D$41))=0,"A","S"),"S")),IF(N(Premissas!$D$41)&gt;0,IF(MOD(INT(Cron_Uso!I7/Premissas!$C$41)*Premissas!$C$41,N(Premissas!$D$41))=0,"A","S"),"S"))),"")</f>
        <v/>
      </c>
      <c r="J7" s="22" t="str">
        <f>IF(INT(Cron_Uso!J7/Premissas!$C$41)&gt;INT(Cron_Uso!I7/Premissas!$C$41),IF(N(Premissas!$F$41)&gt;0,IF(MOD(INT(Cron_Uso!J7/Premissas!$C$41)*Premissas!$C$41,N(Premissas!$F$41))=0,"C",IF(N(Premissas!$E$41)&gt;0,IF(MOD(INT(Cron_Uso!J7/Premissas!$C$41)*Premissas!$C$41,N(Premissas!$E$41))=0,"B",IF(N(Premissas!$D$41)&gt;0,IF(MOD(INT(Cron_Uso!J7/Premissas!$C$41)*Premissas!$C$41,N(Premissas!$D$41))=0,"A","S"),"S")),IF(N(Premissas!$D$41)&gt;0,IF(MOD(INT(Cron_Uso!J7/Premissas!$C$41)*Premissas!$C$41,N(Premissas!$D$41))=0,"A","S"),"S"))),IF(N(Premissas!$E$41)&gt;0,IF(MOD(INT(Cron_Uso!J7/Premissas!$C$41)*Premissas!$C$41,N(Premissas!$E$41))=0,"B",IF(N(Premissas!$D$41)&gt;0,IF(MOD(INT(Cron_Uso!J7/Premissas!$C$41)*Premissas!$C$41,N(Premissas!$D$41))=0,"A","S"),"S")),IF(N(Premissas!$D$41)&gt;0,IF(MOD(INT(Cron_Uso!J7/Premissas!$C$41)*Premissas!$C$41,N(Premissas!$D$41))=0,"A","S"),"S"))),"")</f>
        <v/>
      </c>
      <c r="K7" s="22" t="str">
        <f>IF(INT(Cron_Uso!K7/Premissas!$C$41)&gt;INT(Cron_Uso!J7/Premissas!$C$41),IF(N(Premissas!$F$41)&gt;0,IF(MOD(INT(Cron_Uso!K7/Premissas!$C$41)*Premissas!$C$41,N(Premissas!$F$41))=0,"C",IF(N(Premissas!$E$41)&gt;0,IF(MOD(INT(Cron_Uso!K7/Premissas!$C$41)*Premissas!$C$41,N(Premissas!$E$41))=0,"B",IF(N(Premissas!$D$41)&gt;0,IF(MOD(INT(Cron_Uso!K7/Premissas!$C$41)*Premissas!$C$41,N(Premissas!$D$41))=0,"A","S"),"S")),IF(N(Premissas!$D$41)&gt;0,IF(MOD(INT(Cron_Uso!K7/Premissas!$C$41)*Premissas!$C$41,N(Premissas!$D$41))=0,"A","S"),"S"))),IF(N(Premissas!$E$41)&gt;0,IF(MOD(INT(Cron_Uso!K7/Premissas!$C$41)*Premissas!$C$41,N(Premissas!$E$41))=0,"B",IF(N(Premissas!$D$41)&gt;0,IF(MOD(INT(Cron_Uso!K7/Premissas!$C$41)*Premissas!$C$41,N(Premissas!$D$41))=0,"A","S"),"S")),IF(N(Premissas!$D$41)&gt;0,IF(MOD(INT(Cron_Uso!K7/Premissas!$C$41)*Premissas!$C$41,N(Premissas!$D$41))=0,"A","S"),"S"))),"")</f>
        <v/>
      </c>
      <c r="L7" s="22" t="str">
        <f>IF(INT(Cron_Uso!L7/Premissas!$C$41)&gt;INT(Cron_Uso!K7/Premissas!$C$41),IF(N(Premissas!$F$41)&gt;0,IF(MOD(INT(Cron_Uso!L7/Premissas!$C$41)*Premissas!$C$41,N(Premissas!$F$41))=0,"C",IF(N(Premissas!$E$41)&gt;0,IF(MOD(INT(Cron_Uso!L7/Premissas!$C$41)*Premissas!$C$41,N(Premissas!$E$41))=0,"B",IF(N(Premissas!$D$41)&gt;0,IF(MOD(INT(Cron_Uso!L7/Premissas!$C$41)*Premissas!$C$41,N(Premissas!$D$41))=0,"A","S"),"S")),IF(N(Premissas!$D$41)&gt;0,IF(MOD(INT(Cron_Uso!L7/Premissas!$C$41)*Premissas!$C$41,N(Premissas!$D$41))=0,"A","S"),"S"))),IF(N(Premissas!$E$41)&gt;0,IF(MOD(INT(Cron_Uso!L7/Premissas!$C$41)*Premissas!$C$41,N(Premissas!$E$41))=0,"B",IF(N(Premissas!$D$41)&gt;0,IF(MOD(INT(Cron_Uso!L7/Premissas!$C$41)*Premissas!$C$41,N(Premissas!$D$41))=0,"A","S"),"S")),IF(N(Premissas!$D$41)&gt;0,IF(MOD(INT(Cron_Uso!L7/Premissas!$C$41)*Premissas!$C$41,N(Premissas!$D$41))=0,"A","S"),"S"))),"")</f>
        <v/>
      </c>
      <c r="M7" s="22" t="str">
        <f>IF(INT(Cron_Uso!M7/Premissas!$C$41)&gt;INT(Cron_Uso!L7/Premissas!$C$41),IF(N(Premissas!$F$41)&gt;0,IF(MOD(INT(Cron_Uso!M7/Premissas!$C$41)*Premissas!$C$41,N(Premissas!$F$41))=0,"C",IF(N(Premissas!$E$41)&gt;0,IF(MOD(INT(Cron_Uso!M7/Premissas!$C$41)*Premissas!$C$41,N(Premissas!$E$41))=0,"B",IF(N(Premissas!$D$41)&gt;0,IF(MOD(INT(Cron_Uso!M7/Premissas!$C$41)*Premissas!$C$41,N(Premissas!$D$41))=0,"A","S"),"S")),IF(N(Premissas!$D$41)&gt;0,IF(MOD(INT(Cron_Uso!M7/Premissas!$C$41)*Premissas!$C$41,N(Premissas!$D$41))=0,"A","S"),"S"))),IF(N(Premissas!$E$41)&gt;0,IF(MOD(INT(Cron_Uso!M7/Premissas!$C$41)*Premissas!$C$41,N(Premissas!$E$41))=0,"B",IF(N(Premissas!$D$41)&gt;0,IF(MOD(INT(Cron_Uso!M7/Premissas!$C$41)*Premissas!$C$41,N(Premissas!$D$41))=0,"A","S"),"S")),IF(N(Premissas!$D$41)&gt;0,IF(MOD(INT(Cron_Uso!M7/Premissas!$C$41)*Premissas!$C$41,N(Premissas!$D$41))=0,"A","S"),"S"))),"")</f>
        <v/>
      </c>
      <c r="N7" s="22" t="str">
        <f>IF(INT(Cron_Uso!N7/Premissas!$C$41)&gt;INT(Cron_Uso!M7/Premissas!$C$41),IF(N(Premissas!$F$41)&gt;0,IF(MOD(INT(Cron_Uso!N7/Premissas!$C$41)*Premissas!$C$41,N(Premissas!$F$41))=0,"C",IF(N(Premissas!$E$41)&gt;0,IF(MOD(INT(Cron_Uso!N7/Premissas!$C$41)*Premissas!$C$41,N(Premissas!$E$41))=0,"B",IF(N(Premissas!$D$41)&gt;0,IF(MOD(INT(Cron_Uso!N7/Premissas!$C$41)*Premissas!$C$41,N(Premissas!$D$41))=0,"A","S"),"S")),IF(N(Premissas!$D$41)&gt;0,IF(MOD(INT(Cron_Uso!N7/Premissas!$C$41)*Premissas!$C$41,N(Premissas!$D$41))=0,"A","S"),"S"))),IF(N(Premissas!$E$41)&gt;0,IF(MOD(INT(Cron_Uso!N7/Premissas!$C$41)*Premissas!$C$41,N(Premissas!$E$41))=0,"B",IF(N(Premissas!$D$41)&gt;0,IF(MOD(INT(Cron_Uso!N7/Premissas!$C$41)*Premissas!$C$41,N(Premissas!$D$41))=0,"A","S"),"S")),IF(N(Premissas!$D$41)&gt;0,IF(MOD(INT(Cron_Uso!N7/Premissas!$C$41)*Premissas!$C$41,N(Premissas!$D$41))=0,"A","S"),"S"))),"")</f>
        <v/>
      </c>
      <c r="O7" s="22" t="str">
        <f>IF(INT(Cron_Uso!O7/Premissas!$C$41)&gt;INT(Cron_Uso!N7/Premissas!$C$41),IF(N(Premissas!$F$41)&gt;0,IF(MOD(INT(Cron_Uso!O7/Premissas!$C$41)*Premissas!$C$41,N(Premissas!$F$41))=0,"C",IF(N(Premissas!$E$41)&gt;0,IF(MOD(INT(Cron_Uso!O7/Premissas!$C$41)*Premissas!$C$41,N(Premissas!$E$41))=0,"B",IF(N(Premissas!$D$41)&gt;0,IF(MOD(INT(Cron_Uso!O7/Premissas!$C$41)*Premissas!$C$41,N(Premissas!$D$41))=0,"A","S"),"S")),IF(N(Premissas!$D$41)&gt;0,IF(MOD(INT(Cron_Uso!O7/Premissas!$C$41)*Premissas!$C$41,N(Premissas!$D$41))=0,"A","S"),"S"))),IF(N(Premissas!$E$41)&gt;0,IF(MOD(INT(Cron_Uso!O7/Premissas!$C$41)*Premissas!$C$41,N(Premissas!$E$41))=0,"B",IF(N(Premissas!$D$41)&gt;0,IF(MOD(INT(Cron_Uso!O7/Premissas!$C$41)*Premissas!$C$41,N(Premissas!$D$41))=0,"A","S"),"S")),IF(N(Premissas!$D$41)&gt;0,IF(MOD(INT(Cron_Uso!O7/Premissas!$C$41)*Premissas!$C$41,N(Premissas!$D$41))=0,"A","S"),"S"))),"")</f>
        <v>A</v>
      </c>
      <c r="P7" s="22" t="str">
        <f>IF(INT(Cron_Uso!P7/Premissas!$C$41)&gt;INT(Cron_Uso!O7/Premissas!$C$41),IF(N(Premissas!$F$41)&gt;0,IF(MOD(INT(Cron_Uso!P7/Premissas!$C$41)*Premissas!$C$41,N(Premissas!$F$41))=0,"C",IF(N(Premissas!$E$41)&gt;0,IF(MOD(INT(Cron_Uso!P7/Premissas!$C$41)*Premissas!$C$41,N(Premissas!$E$41))=0,"B",IF(N(Premissas!$D$41)&gt;0,IF(MOD(INT(Cron_Uso!P7/Premissas!$C$41)*Premissas!$C$41,N(Premissas!$D$41))=0,"A","S"),"S")),IF(N(Premissas!$D$41)&gt;0,IF(MOD(INT(Cron_Uso!P7/Premissas!$C$41)*Premissas!$C$41,N(Premissas!$D$41))=0,"A","S"),"S"))),IF(N(Premissas!$E$41)&gt;0,IF(MOD(INT(Cron_Uso!P7/Premissas!$C$41)*Premissas!$C$41,N(Premissas!$E$41))=0,"B",IF(N(Premissas!$D$41)&gt;0,IF(MOD(INT(Cron_Uso!P7/Premissas!$C$41)*Premissas!$C$41,N(Premissas!$D$41))=0,"A","S"),"S")),IF(N(Premissas!$D$41)&gt;0,IF(MOD(INT(Cron_Uso!P7/Premissas!$C$41)*Premissas!$C$41,N(Premissas!$D$41))=0,"A","S"),"S"))),"")</f>
        <v/>
      </c>
      <c r="Q7" s="22" t="str">
        <f>IF(INT(Cron_Uso!Q7/Premissas!$C$41)&gt;INT(Cron_Uso!P7/Premissas!$C$41),IF(N(Premissas!$F$41)&gt;0,IF(MOD(INT(Cron_Uso!Q7/Premissas!$C$41)*Premissas!$C$41,N(Premissas!$F$41))=0,"C",IF(N(Premissas!$E$41)&gt;0,IF(MOD(INT(Cron_Uso!Q7/Premissas!$C$41)*Premissas!$C$41,N(Premissas!$E$41))=0,"B",IF(N(Premissas!$D$41)&gt;0,IF(MOD(INT(Cron_Uso!Q7/Premissas!$C$41)*Premissas!$C$41,N(Premissas!$D$41))=0,"A","S"),"S")),IF(N(Premissas!$D$41)&gt;0,IF(MOD(INT(Cron_Uso!Q7/Premissas!$C$41)*Premissas!$C$41,N(Premissas!$D$41))=0,"A","S"),"S"))),IF(N(Premissas!$E$41)&gt;0,IF(MOD(INT(Cron_Uso!Q7/Premissas!$C$41)*Premissas!$C$41,N(Premissas!$E$41))=0,"B",IF(N(Premissas!$D$41)&gt;0,IF(MOD(INT(Cron_Uso!Q7/Premissas!$C$41)*Premissas!$C$41,N(Premissas!$D$41))=0,"A","S"),"S")),IF(N(Premissas!$D$41)&gt;0,IF(MOD(INT(Cron_Uso!Q7/Premissas!$C$41)*Premissas!$C$41,N(Premissas!$D$41))=0,"A","S"),"S"))),"")</f>
        <v/>
      </c>
      <c r="R7" s="22" t="str">
        <f>IF(INT(Cron_Uso!R7/Premissas!$C$41)&gt;INT(Cron_Uso!Q7/Premissas!$C$41),IF(N(Premissas!$F$41)&gt;0,IF(MOD(INT(Cron_Uso!R7/Premissas!$C$41)*Premissas!$C$41,N(Premissas!$F$41))=0,"C",IF(N(Premissas!$E$41)&gt;0,IF(MOD(INT(Cron_Uso!R7/Premissas!$C$41)*Premissas!$C$41,N(Premissas!$E$41))=0,"B",IF(N(Premissas!$D$41)&gt;0,IF(MOD(INT(Cron_Uso!R7/Premissas!$C$41)*Premissas!$C$41,N(Premissas!$D$41))=0,"A","S"),"S")),IF(N(Premissas!$D$41)&gt;0,IF(MOD(INT(Cron_Uso!R7/Premissas!$C$41)*Premissas!$C$41,N(Premissas!$D$41))=0,"A","S"),"S"))),IF(N(Premissas!$E$41)&gt;0,IF(MOD(INT(Cron_Uso!R7/Premissas!$C$41)*Premissas!$C$41,N(Premissas!$E$41))=0,"B",IF(N(Premissas!$D$41)&gt;0,IF(MOD(INT(Cron_Uso!R7/Premissas!$C$41)*Premissas!$C$41,N(Premissas!$D$41))=0,"A","S"),"S")),IF(N(Premissas!$D$41)&gt;0,IF(MOD(INT(Cron_Uso!R7/Premissas!$C$41)*Premissas!$C$41,N(Premissas!$D$41))=0,"A","S"),"S"))),"")</f>
        <v/>
      </c>
      <c r="S7" s="22" t="str">
        <f>IF(INT(Cron_Uso!S7/Premissas!$C$41)&gt;INT(Cron_Uso!R7/Premissas!$C$41),IF(N(Premissas!$F$41)&gt;0,IF(MOD(INT(Cron_Uso!S7/Premissas!$C$41)*Premissas!$C$41,N(Premissas!$F$41))=0,"C",IF(N(Premissas!$E$41)&gt;0,IF(MOD(INT(Cron_Uso!S7/Premissas!$C$41)*Premissas!$C$41,N(Premissas!$E$41))=0,"B",IF(N(Premissas!$D$41)&gt;0,IF(MOD(INT(Cron_Uso!S7/Premissas!$C$41)*Premissas!$C$41,N(Premissas!$D$41))=0,"A","S"),"S")),IF(N(Premissas!$D$41)&gt;0,IF(MOD(INT(Cron_Uso!S7/Premissas!$C$41)*Premissas!$C$41,N(Premissas!$D$41))=0,"A","S"),"S"))),IF(N(Premissas!$E$41)&gt;0,IF(MOD(INT(Cron_Uso!S7/Premissas!$C$41)*Premissas!$C$41,N(Premissas!$E$41))=0,"B",IF(N(Premissas!$D$41)&gt;0,IF(MOD(INT(Cron_Uso!S7/Premissas!$C$41)*Premissas!$C$41,N(Premissas!$D$41))=0,"A","S"),"S")),IF(N(Premissas!$D$41)&gt;0,IF(MOD(INT(Cron_Uso!S7/Premissas!$C$41)*Premissas!$C$41,N(Premissas!$D$41))=0,"A","S"),"S"))),"")</f>
        <v/>
      </c>
      <c r="T7" s="22" t="str">
        <f>IF(INT(Cron_Uso!T7/Premissas!$C$41)&gt;INT(Cron_Uso!S7/Premissas!$C$41),IF(N(Premissas!$F$41)&gt;0,IF(MOD(INT(Cron_Uso!T7/Premissas!$C$41)*Premissas!$C$41,N(Premissas!$F$41))=0,"C",IF(N(Premissas!$E$41)&gt;0,IF(MOD(INT(Cron_Uso!T7/Premissas!$C$41)*Premissas!$C$41,N(Premissas!$E$41))=0,"B",IF(N(Premissas!$D$41)&gt;0,IF(MOD(INT(Cron_Uso!T7/Premissas!$C$41)*Premissas!$C$41,N(Premissas!$D$41))=0,"A","S"),"S")),IF(N(Premissas!$D$41)&gt;0,IF(MOD(INT(Cron_Uso!T7/Premissas!$C$41)*Premissas!$C$41,N(Premissas!$D$41))=0,"A","S"),"S"))),IF(N(Premissas!$E$41)&gt;0,IF(MOD(INT(Cron_Uso!T7/Premissas!$C$41)*Premissas!$C$41,N(Premissas!$E$41))=0,"B",IF(N(Premissas!$D$41)&gt;0,IF(MOD(INT(Cron_Uso!T7/Premissas!$C$41)*Premissas!$C$41,N(Premissas!$D$41))=0,"A","S"),"S")),IF(N(Premissas!$D$41)&gt;0,IF(MOD(INT(Cron_Uso!T7/Premissas!$C$41)*Premissas!$C$41,N(Premissas!$D$41))=0,"A","S"),"S"))),"")</f>
        <v/>
      </c>
      <c r="U7" s="22" t="str">
        <f>IF(INT(Cron_Uso!U7/Premissas!$C$41)&gt;INT(Cron_Uso!T7/Premissas!$C$41),IF(N(Premissas!$F$41)&gt;0,IF(MOD(INT(Cron_Uso!U7/Premissas!$C$41)*Premissas!$C$41,N(Premissas!$F$41))=0,"C",IF(N(Premissas!$E$41)&gt;0,IF(MOD(INT(Cron_Uso!U7/Premissas!$C$41)*Premissas!$C$41,N(Premissas!$E$41))=0,"B",IF(N(Premissas!$D$41)&gt;0,IF(MOD(INT(Cron_Uso!U7/Premissas!$C$41)*Premissas!$C$41,N(Premissas!$D$41))=0,"A","S"),"S")),IF(N(Premissas!$D$41)&gt;0,IF(MOD(INT(Cron_Uso!U7/Premissas!$C$41)*Premissas!$C$41,N(Premissas!$D$41))=0,"A","S"),"S"))),IF(N(Premissas!$E$41)&gt;0,IF(MOD(INT(Cron_Uso!U7/Premissas!$C$41)*Premissas!$C$41,N(Premissas!$E$41))=0,"B",IF(N(Premissas!$D$41)&gt;0,IF(MOD(INT(Cron_Uso!U7/Premissas!$C$41)*Premissas!$C$41,N(Premissas!$D$41))=0,"A","S"),"S")),IF(N(Premissas!$D$41)&gt;0,IF(MOD(INT(Cron_Uso!U7/Premissas!$C$41)*Premissas!$C$41,N(Premissas!$D$41))=0,"A","S"),"S"))),"")</f>
        <v>S</v>
      </c>
      <c r="V7" s="22" t="str">
        <f>IF(INT(Cron_Uso!V7/Premissas!$C$41)&gt;INT(Cron_Uso!U7/Premissas!$C$41),IF(N(Premissas!$F$41)&gt;0,IF(MOD(INT(Cron_Uso!V7/Premissas!$C$41)*Premissas!$C$41,N(Premissas!$F$41))=0,"C",IF(N(Premissas!$E$41)&gt;0,IF(MOD(INT(Cron_Uso!V7/Premissas!$C$41)*Premissas!$C$41,N(Premissas!$E$41))=0,"B",IF(N(Premissas!$D$41)&gt;0,IF(MOD(INT(Cron_Uso!V7/Premissas!$C$41)*Premissas!$C$41,N(Premissas!$D$41))=0,"A","S"),"S")),IF(N(Premissas!$D$41)&gt;0,IF(MOD(INT(Cron_Uso!V7/Premissas!$C$41)*Premissas!$C$41,N(Premissas!$D$41))=0,"A","S"),"S"))),IF(N(Premissas!$E$41)&gt;0,IF(MOD(INT(Cron_Uso!V7/Premissas!$C$41)*Premissas!$C$41,N(Premissas!$E$41))=0,"B",IF(N(Premissas!$D$41)&gt;0,IF(MOD(INT(Cron_Uso!V7/Premissas!$C$41)*Premissas!$C$41,N(Premissas!$D$41))=0,"A","S"),"S")),IF(N(Premissas!$D$41)&gt;0,IF(MOD(INT(Cron_Uso!V7/Premissas!$C$41)*Premissas!$C$41,N(Premissas!$D$41))=0,"A","S"),"S"))),"")</f>
        <v/>
      </c>
      <c r="W7" s="22" t="str">
        <f>IF(INT(Cron_Uso!W7/Premissas!$C$41)&gt;INT(Cron_Uso!V7/Premissas!$C$41),IF(N(Premissas!$F$41)&gt;0,IF(MOD(INT(Cron_Uso!W7/Premissas!$C$41)*Premissas!$C$41,N(Premissas!$F$41))=0,"C",IF(N(Premissas!$E$41)&gt;0,IF(MOD(INT(Cron_Uso!W7/Premissas!$C$41)*Premissas!$C$41,N(Premissas!$E$41))=0,"B",IF(N(Premissas!$D$41)&gt;0,IF(MOD(INT(Cron_Uso!W7/Premissas!$C$41)*Premissas!$C$41,N(Premissas!$D$41))=0,"A","S"),"S")),IF(N(Premissas!$D$41)&gt;0,IF(MOD(INT(Cron_Uso!W7/Premissas!$C$41)*Premissas!$C$41,N(Premissas!$D$41))=0,"A","S"),"S"))),IF(N(Premissas!$E$41)&gt;0,IF(MOD(INT(Cron_Uso!W7/Premissas!$C$41)*Premissas!$C$41,N(Premissas!$E$41))=0,"B",IF(N(Premissas!$D$41)&gt;0,IF(MOD(INT(Cron_Uso!W7/Premissas!$C$41)*Premissas!$C$41,N(Premissas!$D$41))=0,"A","S"),"S")),IF(N(Premissas!$D$41)&gt;0,IF(MOD(INT(Cron_Uso!W7/Premissas!$C$41)*Premissas!$C$41,N(Premissas!$D$41))=0,"A","S"),"S"))),"")</f>
        <v/>
      </c>
      <c r="X7" s="22" t="str">
        <f>IF(INT(Cron_Uso!X7/Premissas!$C$41)&gt;INT(Cron_Uso!W7/Premissas!$C$41),IF(N(Premissas!$F$41)&gt;0,IF(MOD(INT(Cron_Uso!X7/Premissas!$C$41)*Premissas!$C$41,N(Premissas!$F$41))=0,"C",IF(N(Premissas!$E$41)&gt;0,IF(MOD(INT(Cron_Uso!X7/Premissas!$C$41)*Premissas!$C$41,N(Premissas!$E$41))=0,"B",IF(N(Premissas!$D$41)&gt;0,IF(MOD(INT(Cron_Uso!X7/Premissas!$C$41)*Premissas!$C$41,N(Premissas!$D$41))=0,"A","S"),"S")),IF(N(Premissas!$D$41)&gt;0,IF(MOD(INT(Cron_Uso!X7/Premissas!$C$41)*Premissas!$C$41,N(Premissas!$D$41))=0,"A","S"),"S"))),IF(N(Premissas!$E$41)&gt;0,IF(MOD(INT(Cron_Uso!X7/Premissas!$C$41)*Premissas!$C$41,N(Premissas!$E$41))=0,"B",IF(N(Premissas!$D$41)&gt;0,IF(MOD(INT(Cron_Uso!X7/Premissas!$C$41)*Premissas!$C$41,N(Premissas!$D$41))=0,"A","S"),"S")),IF(N(Premissas!$D$41)&gt;0,IF(MOD(INT(Cron_Uso!X7/Premissas!$C$41)*Premissas!$C$41,N(Premissas!$D$41))=0,"A","S"),"S"))),"")</f>
        <v/>
      </c>
      <c r="Y7" s="22" t="str">
        <f>IF(INT(Cron_Uso!Y7/Premissas!$C$41)&gt;INT(Cron_Uso!X7/Premissas!$C$41),IF(N(Premissas!$F$41)&gt;0,IF(MOD(INT(Cron_Uso!Y7/Premissas!$C$41)*Premissas!$C$41,N(Premissas!$F$41))=0,"C",IF(N(Premissas!$E$41)&gt;0,IF(MOD(INT(Cron_Uso!Y7/Premissas!$C$41)*Premissas!$C$41,N(Premissas!$E$41))=0,"B",IF(N(Premissas!$D$41)&gt;0,IF(MOD(INT(Cron_Uso!Y7/Premissas!$C$41)*Premissas!$C$41,N(Premissas!$D$41))=0,"A","S"),"S")),IF(N(Premissas!$D$41)&gt;0,IF(MOD(INT(Cron_Uso!Y7/Premissas!$C$41)*Premissas!$C$41,N(Premissas!$D$41))=0,"A","S"),"S"))),IF(N(Premissas!$E$41)&gt;0,IF(MOD(INT(Cron_Uso!Y7/Premissas!$C$41)*Premissas!$C$41,N(Premissas!$E$41))=0,"B",IF(N(Premissas!$D$41)&gt;0,IF(MOD(INT(Cron_Uso!Y7/Premissas!$C$41)*Premissas!$C$41,N(Premissas!$D$41))=0,"A","S"),"S")),IF(N(Premissas!$D$41)&gt;0,IF(MOD(INT(Cron_Uso!Y7/Premissas!$C$41)*Premissas!$C$41,N(Premissas!$D$41))=0,"A","S"),"S"))),"")</f>
        <v/>
      </c>
      <c r="Z7" s="22" t="str">
        <f>IF(INT(Cron_Uso!Z7/Premissas!$C$41)&gt;INT(Cron_Uso!Y7/Premissas!$C$41),IF(N(Premissas!$F$41)&gt;0,IF(MOD(INT(Cron_Uso!Z7/Premissas!$C$41)*Premissas!$C$41,N(Premissas!$F$41))=0,"C",IF(N(Premissas!$E$41)&gt;0,IF(MOD(INT(Cron_Uso!Z7/Premissas!$C$41)*Premissas!$C$41,N(Premissas!$E$41))=0,"B",IF(N(Premissas!$D$41)&gt;0,IF(MOD(INT(Cron_Uso!Z7/Premissas!$C$41)*Premissas!$C$41,N(Premissas!$D$41))=0,"A","S"),"S")),IF(N(Premissas!$D$41)&gt;0,IF(MOD(INT(Cron_Uso!Z7/Premissas!$C$41)*Premissas!$C$41,N(Premissas!$D$41))=0,"A","S"),"S"))),IF(N(Premissas!$E$41)&gt;0,IF(MOD(INT(Cron_Uso!Z7/Premissas!$C$41)*Premissas!$C$41,N(Premissas!$E$41))=0,"B",IF(N(Premissas!$D$41)&gt;0,IF(MOD(INT(Cron_Uso!Z7/Premissas!$C$41)*Premissas!$C$41,N(Premissas!$D$41))=0,"A","S"),"S")),IF(N(Premissas!$D$41)&gt;0,IF(MOD(INT(Cron_Uso!Z7/Premissas!$C$41)*Premissas!$C$41,N(Premissas!$D$41))=0,"A","S"),"S"))),"")</f>
        <v/>
      </c>
      <c r="AA7" s="22" t="str">
        <f>IF(INT(Cron_Uso!AA7/Premissas!$C$41)&gt;INT(Cron_Uso!Z7/Premissas!$C$41),IF(N(Premissas!$F$41)&gt;0,IF(MOD(INT(Cron_Uso!AA7/Premissas!$C$41)*Premissas!$C$41,N(Premissas!$F$41))=0,"C",IF(N(Premissas!$E$41)&gt;0,IF(MOD(INT(Cron_Uso!AA7/Premissas!$C$41)*Premissas!$C$41,N(Premissas!$E$41))=0,"B",IF(N(Premissas!$D$41)&gt;0,IF(MOD(INT(Cron_Uso!AA7/Premissas!$C$41)*Premissas!$C$41,N(Premissas!$D$41))=0,"A","S"),"S")),IF(N(Premissas!$D$41)&gt;0,IF(MOD(INT(Cron_Uso!AA7/Premissas!$C$41)*Premissas!$C$41,N(Premissas!$D$41))=0,"A","S"),"S"))),IF(N(Premissas!$E$41)&gt;0,IF(MOD(INT(Cron_Uso!AA7/Premissas!$C$41)*Premissas!$C$41,N(Premissas!$E$41))=0,"B",IF(N(Premissas!$D$41)&gt;0,IF(MOD(INT(Cron_Uso!AA7/Premissas!$C$41)*Premissas!$C$41,N(Premissas!$D$41))=0,"A","S"),"S")),IF(N(Premissas!$D$41)&gt;0,IF(MOD(INT(Cron_Uso!AA7/Premissas!$C$41)*Premissas!$C$41,N(Premissas!$D$41))=0,"A","S"),"S"))),"")</f>
        <v/>
      </c>
      <c r="AB7" s="22" t="str">
        <f>IF(INT(Cron_Uso!AB7/Premissas!$C$41)&gt;INT(Cron_Uso!AA7/Premissas!$C$41),IF(N(Premissas!$F$41)&gt;0,IF(MOD(INT(Cron_Uso!AB7/Premissas!$C$41)*Premissas!$C$41,N(Premissas!$F$41))=0,"C",IF(N(Premissas!$E$41)&gt;0,IF(MOD(INT(Cron_Uso!AB7/Premissas!$C$41)*Premissas!$C$41,N(Premissas!$E$41))=0,"B",IF(N(Premissas!$D$41)&gt;0,IF(MOD(INT(Cron_Uso!AB7/Premissas!$C$41)*Premissas!$C$41,N(Premissas!$D$41))=0,"A","S"),"S")),IF(N(Premissas!$D$41)&gt;0,IF(MOD(INT(Cron_Uso!AB7/Premissas!$C$41)*Premissas!$C$41,N(Premissas!$D$41))=0,"A","S"),"S"))),IF(N(Premissas!$E$41)&gt;0,IF(MOD(INT(Cron_Uso!AB7/Premissas!$C$41)*Premissas!$C$41,N(Premissas!$E$41))=0,"B",IF(N(Premissas!$D$41)&gt;0,IF(MOD(INT(Cron_Uso!AB7/Premissas!$C$41)*Premissas!$C$41,N(Premissas!$D$41))=0,"A","S"),"S")),IF(N(Premissas!$D$41)&gt;0,IF(MOD(INT(Cron_Uso!AB7/Premissas!$C$41)*Premissas!$C$41,N(Premissas!$D$41))=0,"A","S"),"S"))),"")</f>
        <v>B</v>
      </c>
      <c r="AC7" s="22" t="str">
        <f>IF(INT(Cron_Uso!AC7/Premissas!$C$41)&gt;INT(Cron_Uso!AB7/Premissas!$C$41),IF(N(Premissas!$F$41)&gt;0,IF(MOD(INT(Cron_Uso!AC7/Premissas!$C$41)*Premissas!$C$41,N(Premissas!$F$41))=0,"C",IF(N(Premissas!$E$41)&gt;0,IF(MOD(INT(Cron_Uso!AC7/Premissas!$C$41)*Premissas!$C$41,N(Premissas!$E$41))=0,"B",IF(N(Premissas!$D$41)&gt;0,IF(MOD(INT(Cron_Uso!AC7/Premissas!$C$41)*Premissas!$C$41,N(Premissas!$D$41))=0,"A","S"),"S")),IF(N(Premissas!$D$41)&gt;0,IF(MOD(INT(Cron_Uso!AC7/Premissas!$C$41)*Premissas!$C$41,N(Premissas!$D$41))=0,"A","S"),"S"))),IF(N(Premissas!$E$41)&gt;0,IF(MOD(INT(Cron_Uso!AC7/Premissas!$C$41)*Premissas!$C$41,N(Premissas!$E$41))=0,"B",IF(N(Premissas!$D$41)&gt;0,IF(MOD(INT(Cron_Uso!AC7/Premissas!$C$41)*Premissas!$C$41,N(Premissas!$D$41))=0,"A","S"),"S")),IF(N(Premissas!$D$41)&gt;0,IF(MOD(INT(Cron_Uso!AC7/Premissas!$C$41)*Premissas!$C$41,N(Premissas!$D$41))=0,"A","S"),"S"))),"")</f>
        <v/>
      </c>
      <c r="AD7" s="22" t="str">
        <f>IF(INT(Cron_Uso!AD7/Premissas!$C$41)&gt;INT(Cron_Uso!AC7/Premissas!$C$41),IF(N(Premissas!$F$41)&gt;0,IF(MOD(INT(Cron_Uso!AD7/Premissas!$C$41)*Premissas!$C$41,N(Premissas!$F$41))=0,"C",IF(N(Premissas!$E$41)&gt;0,IF(MOD(INT(Cron_Uso!AD7/Premissas!$C$41)*Premissas!$C$41,N(Premissas!$E$41))=0,"B",IF(N(Premissas!$D$41)&gt;0,IF(MOD(INT(Cron_Uso!AD7/Premissas!$C$41)*Premissas!$C$41,N(Premissas!$D$41))=0,"A","S"),"S")),IF(N(Premissas!$D$41)&gt;0,IF(MOD(INT(Cron_Uso!AD7/Premissas!$C$41)*Premissas!$C$41,N(Premissas!$D$41))=0,"A","S"),"S"))),IF(N(Premissas!$E$41)&gt;0,IF(MOD(INT(Cron_Uso!AD7/Premissas!$C$41)*Premissas!$C$41,N(Premissas!$E$41))=0,"B",IF(N(Premissas!$D$41)&gt;0,IF(MOD(INT(Cron_Uso!AD7/Premissas!$C$41)*Premissas!$C$41,N(Premissas!$D$41))=0,"A","S"),"S")),IF(N(Premissas!$D$41)&gt;0,IF(MOD(INT(Cron_Uso!AD7/Premissas!$C$41)*Premissas!$C$41,N(Premissas!$D$41))=0,"A","S"),"S"))),"")</f>
        <v/>
      </c>
      <c r="AE7" s="22" t="str">
        <f>IF(INT(Cron_Uso!AE7/Premissas!$C$41)&gt;INT(Cron_Uso!AD7/Premissas!$C$41),IF(N(Premissas!$F$41)&gt;0,IF(MOD(INT(Cron_Uso!AE7/Premissas!$C$41)*Premissas!$C$41,N(Premissas!$F$41))=0,"C",IF(N(Premissas!$E$41)&gt;0,IF(MOD(INT(Cron_Uso!AE7/Premissas!$C$41)*Premissas!$C$41,N(Premissas!$E$41))=0,"B",IF(N(Premissas!$D$41)&gt;0,IF(MOD(INT(Cron_Uso!AE7/Premissas!$C$41)*Premissas!$C$41,N(Premissas!$D$41))=0,"A","S"),"S")),IF(N(Premissas!$D$41)&gt;0,IF(MOD(INT(Cron_Uso!AE7/Premissas!$C$41)*Premissas!$C$41,N(Premissas!$D$41))=0,"A","S"),"S"))),IF(N(Premissas!$E$41)&gt;0,IF(MOD(INT(Cron_Uso!AE7/Premissas!$C$41)*Premissas!$C$41,N(Premissas!$E$41))=0,"B",IF(N(Premissas!$D$41)&gt;0,IF(MOD(INT(Cron_Uso!AE7/Premissas!$C$41)*Premissas!$C$41,N(Premissas!$D$41))=0,"A","S"),"S")),IF(N(Premissas!$D$41)&gt;0,IF(MOD(INT(Cron_Uso!AE7/Premissas!$C$41)*Premissas!$C$41,N(Premissas!$D$41))=0,"A","S"),"S"))),"")</f>
        <v/>
      </c>
      <c r="AF7" s="22" t="str">
        <f>IF(INT(Cron_Uso!AF7/Premissas!$C$41)&gt;INT(Cron_Uso!AE7/Premissas!$C$41),IF(N(Premissas!$F$41)&gt;0,IF(MOD(INT(Cron_Uso!AF7/Premissas!$C$41)*Premissas!$C$41,N(Premissas!$F$41))=0,"C",IF(N(Premissas!$E$41)&gt;0,IF(MOD(INT(Cron_Uso!AF7/Premissas!$C$41)*Premissas!$C$41,N(Premissas!$E$41))=0,"B",IF(N(Premissas!$D$41)&gt;0,IF(MOD(INT(Cron_Uso!AF7/Premissas!$C$41)*Premissas!$C$41,N(Premissas!$D$41))=0,"A","S"),"S")),IF(N(Premissas!$D$41)&gt;0,IF(MOD(INT(Cron_Uso!AF7/Premissas!$C$41)*Premissas!$C$41,N(Premissas!$D$41))=0,"A","S"),"S"))),IF(N(Premissas!$E$41)&gt;0,IF(MOD(INT(Cron_Uso!AF7/Premissas!$C$41)*Premissas!$C$41,N(Premissas!$E$41))=0,"B",IF(N(Premissas!$D$41)&gt;0,IF(MOD(INT(Cron_Uso!AF7/Premissas!$C$41)*Premissas!$C$41,N(Premissas!$D$41))=0,"A","S"),"S")),IF(N(Premissas!$D$41)&gt;0,IF(MOD(INT(Cron_Uso!AF7/Premissas!$C$41)*Premissas!$C$41,N(Premissas!$D$41))=0,"A","S"),"S"))),"")</f>
        <v/>
      </c>
      <c r="AG7" s="22" t="str">
        <f>IF(INT(Cron_Uso!AG7/Premissas!$C$41)&gt;INT(Cron_Uso!AF7/Premissas!$C$41),IF(N(Premissas!$F$41)&gt;0,IF(MOD(INT(Cron_Uso!AG7/Premissas!$C$41)*Premissas!$C$41,N(Premissas!$F$41))=0,"C",IF(N(Premissas!$E$41)&gt;0,IF(MOD(INT(Cron_Uso!AG7/Premissas!$C$41)*Premissas!$C$41,N(Premissas!$E$41))=0,"B",IF(N(Premissas!$D$41)&gt;0,IF(MOD(INT(Cron_Uso!AG7/Premissas!$C$41)*Premissas!$C$41,N(Premissas!$D$41))=0,"A","S"),"S")),IF(N(Premissas!$D$41)&gt;0,IF(MOD(INT(Cron_Uso!AG7/Premissas!$C$41)*Premissas!$C$41,N(Premissas!$D$41))=0,"A","S"),"S"))),IF(N(Premissas!$E$41)&gt;0,IF(MOD(INT(Cron_Uso!AG7/Premissas!$C$41)*Premissas!$C$41,N(Premissas!$E$41))=0,"B",IF(N(Premissas!$D$41)&gt;0,IF(MOD(INT(Cron_Uso!AG7/Premissas!$C$41)*Premissas!$C$41,N(Premissas!$D$41))=0,"A","S"),"S")),IF(N(Premissas!$D$41)&gt;0,IF(MOD(INT(Cron_Uso!AG7/Premissas!$C$41)*Premissas!$C$41,N(Premissas!$D$41))=0,"A","S"),"S"))),"")</f>
        <v/>
      </c>
      <c r="AH7" s="22" t="str">
        <f>IF(INT(Cron_Uso!AH7/Premissas!$C$41)&gt;INT(Cron_Uso!AG7/Premissas!$C$41),IF(N(Premissas!$F$41)&gt;0,IF(MOD(INT(Cron_Uso!AH7/Premissas!$C$41)*Premissas!$C$41,N(Premissas!$F$41))=0,"C",IF(N(Premissas!$E$41)&gt;0,IF(MOD(INT(Cron_Uso!AH7/Premissas!$C$41)*Premissas!$C$41,N(Premissas!$E$41))=0,"B",IF(N(Premissas!$D$41)&gt;0,IF(MOD(INT(Cron_Uso!AH7/Premissas!$C$41)*Premissas!$C$41,N(Premissas!$D$41))=0,"A","S"),"S")),IF(N(Premissas!$D$41)&gt;0,IF(MOD(INT(Cron_Uso!AH7/Premissas!$C$41)*Premissas!$C$41,N(Premissas!$D$41))=0,"A","S"),"S"))),IF(N(Premissas!$E$41)&gt;0,IF(MOD(INT(Cron_Uso!AH7/Premissas!$C$41)*Premissas!$C$41,N(Premissas!$E$41))=0,"B",IF(N(Premissas!$D$41)&gt;0,IF(MOD(INT(Cron_Uso!AH7/Premissas!$C$41)*Premissas!$C$41,N(Premissas!$D$41))=0,"A","S"),"S")),IF(N(Premissas!$D$41)&gt;0,IF(MOD(INT(Cron_Uso!AH7/Premissas!$C$41)*Premissas!$C$41,N(Premissas!$D$41))=0,"A","S"),"S"))),"")</f>
        <v/>
      </c>
      <c r="AI7" s="22" t="str">
        <f>IF(INT(Cron_Uso!AI7/Premissas!$C$41)&gt;INT(Cron_Uso!AH7/Premissas!$C$41),IF(N(Premissas!$F$41)&gt;0,IF(MOD(INT(Cron_Uso!AI7/Premissas!$C$41)*Premissas!$C$41,N(Premissas!$F$41))=0,"C",IF(N(Premissas!$E$41)&gt;0,IF(MOD(INT(Cron_Uso!AI7/Premissas!$C$41)*Premissas!$C$41,N(Premissas!$E$41))=0,"B",IF(N(Premissas!$D$41)&gt;0,IF(MOD(INT(Cron_Uso!AI7/Premissas!$C$41)*Premissas!$C$41,N(Premissas!$D$41))=0,"A","S"),"S")),IF(N(Premissas!$D$41)&gt;0,IF(MOD(INT(Cron_Uso!AI7/Premissas!$C$41)*Premissas!$C$41,N(Premissas!$D$41))=0,"A","S"),"S"))),IF(N(Premissas!$E$41)&gt;0,IF(MOD(INT(Cron_Uso!AI7/Premissas!$C$41)*Premissas!$C$41,N(Premissas!$E$41))=0,"B",IF(N(Premissas!$D$41)&gt;0,IF(MOD(INT(Cron_Uso!AI7/Premissas!$C$41)*Premissas!$C$41,N(Premissas!$D$41))=0,"A","S"),"S")),IF(N(Premissas!$D$41)&gt;0,IF(MOD(INT(Cron_Uso!AI7/Premissas!$C$41)*Premissas!$C$41,N(Premissas!$D$41))=0,"A","S"),"S"))),"")</f>
        <v/>
      </c>
      <c r="AJ7" s="22" t="str">
        <f>IF(INT(Cron_Uso!AJ7/Premissas!$C$41)&gt;INT(Cron_Uso!AI7/Premissas!$C$41),IF(N(Premissas!$F$41)&gt;0,IF(MOD(INT(Cron_Uso!AJ7/Premissas!$C$41)*Premissas!$C$41,N(Premissas!$F$41))=0,"C",IF(N(Premissas!$E$41)&gt;0,IF(MOD(INT(Cron_Uso!AJ7/Premissas!$C$41)*Premissas!$C$41,N(Premissas!$E$41))=0,"B",IF(N(Premissas!$D$41)&gt;0,IF(MOD(INT(Cron_Uso!AJ7/Premissas!$C$41)*Premissas!$C$41,N(Premissas!$D$41))=0,"A","S"),"S")),IF(N(Premissas!$D$41)&gt;0,IF(MOD(INT(Cron_Uso!AJ7/Premissas!$C$41)*Premissas!$C$41,N(Premissas!$D$41))=0,"A","S"),"S"))),IF(N(Premissas!$E$41)&gt;0,IF(MOD(INT(Cron_Uso!AJ7/Premissas!$C$41)*Premissas!$C$41,N(Premissas!$E$41))=0,"B",IF(N(Premissas!$D$41)&gt;0,IF(MOD(INT(Cron_Uso!AJ7/Premissas!$C$41)*Premissas!$C$41,N(Premissas!$D$41))=0,"A","S"),"S")),IF(N(Premissas!$D$41)&gt;0,IF(MOD(INT(Cron_Uso!AJ7/Premissas!$C$41)*Premissas!$C$41,N(Premissas!$D$41))=0,"A","S"),"S"))),"")</f>
        <v/>
      </c>
      <c r="AK7" s="22" t="str">
        <f>IF(INT(Cron_Uso!AK7/Premissas!$C$41)&gt;INT(Cron_Uso!AJ7/Premissas!$C$41),IF(N(Premissas!$F$41)&gt;0,IF(MOD(INT(Cron_Uso!AK7/Premissas!$C$41)*Premissas!$C$41,N(Premissas!$F$41))=0,"C",IF(N(Premissas!$E$41)&gt;0,IF(MOD(INT(Cron_Uso!AK7/Premissas!$C$41)*Premissas!$C$41,N(Premissas!$E$41))=0,"B",IF(N(Premissas!$D$41)&gt;0,IF(MOD(INT(Cron_Uso!AK7/Premissas!$C$41)*Premissas!$C$41,N(Premissas!$D$41))=0,"A","S"),"S")),IF(N(Premissas!$D$41)&gt;0,IF(MOD(INT(Cron_Uso!AK7/Premissas!$C$41)*Premissas!$C$41,N(Premissas!$D$41))=0,"A","S"),"S"))),IF(N(Premissas!$E$41)&gt;0,IF(MOD(INT(Cron_Uso!AK7/Premissas!$C$41)*Premissas!$C$41,N(Premissas!$E$41))=0,"B",IF(N(Premissas!$D$41)&gt;0,IF(MOD(INT(Cron_Uso!AK7/Premissas!$C$41)*Premissas!$C$41,N(Premissas!$D$41))=0,"A","S"),"S")),IF(N(Premissas!$D$41)&gt;0,IF(MOD(INT(Cron_Uso!AK7/Premissas!$C$41)*Premissas!$C$41,N(Premissas!$D$41))=0,"A","S"),"S"))),"")</f>
        <v/>
      </c>
      <c r="AL7" s="22" t="str">
        <f>IF(INT(Cron_Uso!AL7/Premissas!$C$41)&gt;INT(Cron_Uso!AK7/Premissas!$C$41),IF(N(Premissas!$F$41)&gt;0,IF(MOD(INT(Cron_Uso!AL7/Premissas!$C$41)*Premissas!$C$41,N(Premissas!$F$41))=0,"C",IF(N(Premissas!$E$41)&gt;0,IF(MOD(INT(Cron_Uso!AL7/Premissas!$C$41)*Premissas!$C$41,N(Premissas!$E$41))=0,"B",IF(N(Premissas!$D$41)&gt;0,IF(MOD(INT(Cron_Uso!AL7/Premissas!$C$41)*Premissas!$C$41,N(Premissas!$D$41))=0,"A","S"),"S")),IF(N(Premissas!$D$41)&gt;0,IF(MOD(INT(Cron_Uso!AL7/Premissas!$C$41)*Premissas!$C$41,N(Premissas!$D$41))=0,"A","S"),"S"))),IF(N(Premissas!$E$41)&gt;0,IF(MOD(INT(Cron_Uso!AL7/Premissas!$C$41)*Premissas!$C$41,N(Premissas!$E$41))=0,"B",IF(N(Premissas!$D$41)&gt;0,IF(MOD(INT(Cron_Uso!AL7/Premissas!$C$41)*Premissas!$C$41,N(Premissas!$D$41))=0,"A","S"),"S")),IF(N(Premissas!$D$41)&gt;0,IF(MOD(INT(Cron_Uso!AL7/Premissas!$C$41)*Premissas!$C$41,N(Premissas!$D$41))=0,"A","S"),"S"))),"")</f>
        <v/>
      </c>
      <c r="AM7" s="22" t="str">
        <f>IF(INT(Cron_Uso!AM7/Premissas!$C$41)&gt;INT(Cron_Uso!AL7/Premissas!$C$41),IF(N(Premissas!$F$41)&gt;0,IF(MOD(INT(Cron_Uso!AM7/Premissas!$C$41)*Premissas!$C$41,N(Premissas!$F$41))=0,"C",IF(N(Premissas!$E$41)&gt;0,IF(MOD(INT(Cron_Uso!AM7/Premissas!$C$41)*Premissas!$C$41,N(Premissas!$E$41))=0,"B",IF(N(Premissas!$D$41)&gt;0,IF(MOD(INT(Cron_Uso!AM7/Premissas!$C$41)*Premissas!$C$41,N(Premissas!$D$41))=0,"A","S"),"S")),IF(N(Premissas!$D$41)&gt;0,IF(MOD(INT(Cron_Uso!AM7/Premissas!$C$41)*Premissas!$C$41,N(Premissas!$D$41))=0,"A","S"),"S"))),IF(N(Premissas!$E$41)&gt;0,IF(MOD(INT(Cron_Uso!AM7/Premissas!$C$41)*Premissas!$C$41,N(Premissas!$E$41))=0,"B",IF(N(Premissas!$D$41)&gt;0,IF(MOD(INT(Cron_Uso!AM7/Premissas!$C$41)*Premissas!$C$41,N(Premissas!$D$41))=0,"A","S"),"S")),IF(N(Premissas!$D$41)&gt;0,IF(MOD(INT(Cron_Uso!AM7/Premissas!$C$41)*Premissas!$C$41,N(Premissas!$D$41))=0,"A","S"),"S"))),"")</f>
        <v/>
      </c>
      <c r="AN7" s="22" t="str">
        <f>IF(INT(Cron_Uso!AN7/Premissas!$C$41)&gt;INT(Cron_Uso!AM7/Premissas!$C$41),IF(N(Premissas!$F$41)&gt;0,IF(MOD(INT(Cron_Uso!AN7/Premissas!$C$41)*Premissas!$C$41,N(Premissas!$F$41))=0,"C",IF(N(Premissas!$E$41)&gt;0,IF(MOD(INT(Cron_Uso!AN7/Premissas!$C$41)*Premissas!$C$41,N(Premissas!$E$41))=0,"B",IF(N(Premissas!$D$41)&gt;0,IF(MOD(INT(Cron_Uso!AN7/Premissas!$C$41)*Premissas!$C$41,N(Premissas!$D$41))=0,"A","S"),"S")),IF(N(Premissas!$D$41)&gt;0,IF(MOD(INT(Cron_Uso!AN7/Premissas!$C$41)*Premissas!$C$41,N(Premissas!$D$41))=0,"A","S"),"S"))),IF(N(Premissas!$E$41)&gt;0,IF(MOD(INT(Cron_Uso!AN7/Premissas!$C$41)*Premissas!$C$41,N(Premissas!$E$41))=0,"B",IF(N(Premissas!$D$41)&gt;0,IF(MOD(INT(Cron_Uso!AN7/Premissas!$C$41)*Premissas!$C$41,N(Premissas!$D$41))=0,"A","S"),"S")),IF(N(Premissas!$D$41)&gt;0,IF(MOD(INT(Cron_Uso!AN7/Premissas!$C$41)*Premissas!$C$41,N(Premissas!$D$41))=0,"A","S"),"S"))),"")</f>
        <v/>
      </c>
      <c r="AO7" s="22" t="str">
        <f>IF(INT(Cron_Uso!AO7/Premissas!$C$41)&gt;INT(Cron_Uso!AN7/Premissas!$C$41),IF(N(Premissas!$F$41)&gt;0,IF(MOD(INT(Cron_Uso!AO7/Premissas!$C$41)*Premissas!$C$41,N(Premissas!$F$41))=0,"C",IF(N(Premissas!$E$41)&gt;0,IF(MOD(INT(Cron_Uso!AO7/Premissas!$C$41)*Premissas!$C$41,N(Premissas!$E$41))=0,"B",IF(N(Premissas!$D$41)&gt;0,IF(MOD(INT(Cron_Uso!AO7/Premissas!$C$41)*Premissas!$C$41,N(Premissas!$D$41))=0,"A","S"),"S")),IF(N(Premissas!$D$41)&gt;0,IF(MOD(INT(Cron_Uso!AO7/Premissas!$C$41)*Premissas!$C$41,N(Premissas!$D$41))=0,"A","S"),"S"))),IF(N(Premissas!$E$41)&gt;0,IF(MOD(INT(Cron_Uso!AO7/Premissas!$C$41)*Premissas!$C$41,N(Premissas!$E$41))=0,"B",IF(N(Premissas!$D$41)&gt;0,IF(MOD(INT(Cron_Uso!AO7/Premissas!$C$41)*Premissas!$C$41,N(Premissas!$D$41))=0,"A","S"),"S")),IF(N(Premissas!$D$41)&gt;0,IF(MOD(INT(Cron_Uso!AO7/Premissas!$C$41)*Premissas!$C$41,N(Premissas!$D$41))=0,"A","S"),"S"))),"")</f>
        <v>S</v>
      </c>
      <c r="AP7" s="22" t="str">
        <f>IF(INT(Cron_Uso!AP7/Premissas!$C$41)&gt;INT(Cron_Uso!AO7/Premissas!$C$41),IF(N(Premissas!$F$41)&gt;0,IF(MOD(INT(Cron_Uso!AP7/Premissas!$C$41)*Premissas!$C$41,N(Premissas!$F$41))=0,"C",IF(N(Premissas!$E$41)&gt;0,IF(MOD(INT(Cron_Uso!AP7/Premissas!$C$41)*Premissas!$C$41,N(Premissas!$E$41))=0,"B",IF(N(Premissas!$D$41)&gt;0,IF(MOD(INT(Cron_Uso!AP7/Premissas!$C$41)*Premissas!$C$41,N(Premissas!$D$41))=0,"A","S"),"S")),IF(N(Premissas!$D$41)&gt;0,IF(MOD(INT(Cron_Uso!AP7/Premissas!$C$41)*Premissas!$C$41,N(Premissas!$D$41))=0,"A","S"),"S"))),IF(N(Premissas!$E$41)&gt;0,IF(MOD(INT(Cron_Uso!AP7/Premissas!$C$41)*Premissas!$C$41,N(Premissas!$E$41))=0,"B",IF(N(Premissas!$D$41)&gt;0,IF(MOD(INT(Cron_Uso!AP7/Premissas!$C$41)*Premissas!$C$41,N(Premissas!$D$41))=0,"A","S"),"S")),IF(N(Premissas!$D$41)&gt;0,IF(MOD(INT(Cron_Uso!AP7/Premissas!$C$41)*Premissas!$C$41,N(Premissas!$D$41))=0,"A","S"),"S"))),"")</f>
        <v/>
      </c>
      <c r="AQ7" s="22" t="str">
        <f>IF(INT(Cron_Uso!AQ7/Premissas!$C$41)&gt;INT(Cron_Uso!AP7/Premissas!$C$41),IF(N(Premissas!$F$41)&gt;0,IF(MOD(INT(Cron_Uso!AQ7/Premissas!$C$41)*Premissas!$C$41,N(Premissas!$F$41))=0,"C",IF(N(Premissas!$E$41)&gt;0,IF(MOD(INT(Cron_Uso!AQ7/Premissas!$C$41)*Premissas!$C$41,N(Premissas!$E$41))=0,"B",IF(N(Premissas!$D$41)&gt;0,IF(MOD(INT(Cron_Uso!AQ7/Premissas!$C$41)*Premissas!$C$41,N(Premissas!$D$41))=0,"A","S"),"S")),IF(N(Premissas!$D$41)&gt;0,IF(MOD(INT(Cron_Uso!AQ7/Premissas!$C$41)*Premissas!$C$41,N(Premissas!$D$41))=0,"A","S"),"S"))),IF(N(Premissas!$E$41)&gt;0,IF(MOD(INT(Cron_Uso!AQ7/Premissas!$C$41)*Premissas!$C$41,N(Premissas!$E$41))=0,"B",IF(N(Premissas!$D$41)&gt;0,IF(MOD(INT(Cron_Uso!AQ7/Premissas!$C$41)*Premissas!$C$41,N(Premissas!$D$41))=0,"A","S"),"S")),IF(N(Premissas!$D$41)&gt;0,IF(MOD(INT(Cron_Uso!AQ7/Premissas!$C$41)*Premissas!$C$41,N(Premissas!$D$41))=0,"A","S"),"S"))),"")</f>
        <v/>
      </c>
      <c r="AR7" s="22" t="str">
        <f>IF(INT(Cron_Uso!AR7/Premissas!$C$41)&gt;INT(Cron_Uso!AQ7/Premissas!$C$41),IF(N(Premissas!$F$41)&gt;0,IF(MOD(INT(Cron_Uso!AR7/Premissas!$C$41)*Premissas!$C$41,N(Premissas!$F$41))=0,"C",IF(N(Premissas!$E$41)&gt;0,IF(MOD(INT(Cron_Uso!AR7/Premissas!$C$41)*Premissas!$C$41,N(Premissas!$E$41))=0,"B",IF(N(Premissas!$D$41)&gt;0,IF(MOD(INT(Cron_Uso!AR7/Premissas!$C$41)*Premissas!$C$41,N(Premissas!$D$41))=0,"A","S"),"S")),IF(N(Premissas!$D$41)&gt;0,IF(MOD(INT(Cron_Uso!AR7/Premissas!$C$41)*Premissas!$C$41,N(Premissas!$D$41))=0,"A","S"),"S"))),IF(N(Premissas!$E$41)&gt;0,IF(MOD(INT(Cron_Uso!AR7/Premissas!$C$41)*Premissas!$C$41,N(Premissas!$E$41))=0,"B",IF(N(Premissas!$D$41)&gt;0,IF(MOD(INT(Cron_Uso!AR7/Premissas!$C$41)*Premissas!$C$41,N(Premissas!$D$41))=0,"A","S"),"S")),IF(N(Premissas!$D$41)&gt;0,IF(MOD(INT(Cron_Uso!AR7/Premissas!$C$41)*Premissas!$C$41,N(Premissas!$D$41))=0,"A","S"),"S"))),"")</f>
        <v/>
      </c>
      <c r="AS7" s="22" t="str">
        <f>IF(INT(Cron_Uso!AS7/Premissas!$C$41)&gt;INT(Cron_Uso!AR7/Premissas!$C$41),IF(N(Premissas!$F$41)&gt;0,IF(MOD(INT(Cron_Uso!AS7/Premissas!$C$41)*Premissas!$C$41,N(Premissas!$F$41))=0,"C",IF(N(Premissas!$E$41)&gt;0,IF(MOD(INT(Cron_Uso!AS7/Premissas!$C$41)*Premissas!$C$41,N(Premissas!$E$41))=0,"B",IF(N(Premissas!$D$41)&gt;0,IF(MOD(INT(Cron_Uso!AS7/Premissas!$C$41)*Premissas!$C$41,N(Premissas!$D$41))=0,"A","S"),"S")),IF(N(Premissas!$D$41)&gt;0,IF(MOD(INT(Cron_Uso!AS7/Premissas!$C$41)*Premissas!$C$41,N(Premissas!$D$41))=0,"A","S"),"S"))),IF(N(Premissas!$E$41)&gt;0,IF(MOD(INT(Cron_Uso!AS7/Premissas!$C$41)*Premissas!$C$41,N(Premissas!$E$41))=0,"B",IF(N(Premissas!$D$41)&gt;0,IF(MOD(INT(Cron_Uso!AS7/Premissas!$C$41)*Premissas!$C$41,N(Premissas!$D$41))=0,"A","S"),"S")),IF(N(Premissas!$D$41)&gt;0,IF(MOD(INT(Cron_Uso!AS7/Premissas!$C$41)*Premissas!$C$41,N(Premissas!$D$41))=0,"A","S"),"S"))),"")</f>
        <v/>
      </c>
      <c r="AT7" s="22" t="str">
        <f>IF(INT(Cron_Uso!AT7/Premissas!$C$41)&gt;INT(Cron_Uso!AS7/Premissas!$C$41),IF(N(Premissas!$F$41)&gt;0,IF(MOD(INT(Cron_Uso!AT7/Premissas!$C$41)*Premissas!$C$41,N(Premissas!$F$41))=0,"C",IF(N(Premissas!$E$41)&gt;0,IF(MOD(INT(Cron_Uso!AT7/Premissas!$C$41)*Premissas!$C$41,N(Premissas!$E$41))=0,"B",IF(N(Premissas!$D$41)&gt;0,IF(MOD(INT(Cron_Uso!AT7/Premissas!$C$41)*Premissas!$C$41,N(Premissas!$D$41))=0,"A","S"),"S")),IF(N(Premissas!$D$41)&gt;0,IF(MOD(INT(Cron_Uso!AT7/Premissas!$C$41)*Premissas!$C$41,N(Premissas!$D$41))=0,"A","S"),"S"))),IF(N(Premissas!$E$41)&gt;0,IF(MOD(INT(Cron_Uso!AT7/Premissas!$C$41)*Premissas!$C$41,N(Premissas!$E$41))=0,"B",IF(N(Premissas!$D$41)&gt;0,IF(MOD(INT(Cron_Uso!AT7/Premissas!$C$41)*Premissas!$C$41,N(Premissas!$D$41))=0,"A","S"),"S")),IF(N(Premissas!$D$41)&gt;0,IF(MOD(INT(Cron_Uso!AT7/Premissas!$C$41)*Premissas!$C$41,N(Premissas!$D$41))=0,"A","S"),"S"))),"")</f>
        <v/>
      </c>
      <c r="AU7" s="22" t="str">
        <f>IF(INT(Cron_Uso!AU7/Premissas!$C$41)&gt;INT(Cron_Uso!AT7/Premissas!$C$41),IF(N(Premissas!$F$41)&gt;0,IF(MOD(INT(Cron_Uso!AU7/Premissas!$C$41)*Premissas!$C$41,N(Premissas!$F$41))=0,"C",IF(N(Premissas!$E$41)&gt;0,IF(MOD(INT(Cron_Uso!AU7/Premissas!$C$41)*Premissas!$C$41,N(Premissas!$E$41))=0,"B",IF(N(Premissas!$D$41)&gt;0,IF(MOD(INT(Cron_Uso!AU7/Premissas!$C$41)*Premissas!$C$41,N(Premissas!$D$41))=0,"A","S"),"S")),IF(N(Premissas!$D$41)&gt;0,IF(MOD(INT(Cron_Uso!AU7/Premissas!$C$41)*Premissas!$C$41,N(Premissas!$D$41))=0,"A","S"),"S"))),IF(N(Premissas!$E$41)&gt;0,IF(MOD(INT(Cron_Uso!AU7/Premissas!$C$41)*Premissas!$C$41,N(Premissas!$E$41))=0,"B",IF(N(Premissas!$D$41)&gt;0,IF(MOD(INT(Cron_Uso!AU7/Premissas!$C$41)*Premissas!$C$41,N(Premissas!$D$41))=0,"A","S"),"S")),IF(N(Premissas!$D$41)&gt;0,IF(MOD(INT(Cron_Uso!AU7/Premissas!$C$41)*Premissas!$C$41,N(Premissas!$D$41))=0,"A","S"),"S"))),"")</f>
        <v/>
      </c>
      <c r="AV7" s="22" t="str">
        <f>IF(INT(Cron_Uso!AV7/Premissas!$C$41)&gt;INT(Cron_Uso!AU7/Premissas!$C$41),IF(N(Premissas!$F$41)&gt;0,IF(MOD(INT(Cron_Uso!AV7/Premissas!$C$41)*Premissas!$C$41,N(Premissas!$F$41))=0,"C",IF(N(Premissas!$E$41)&gt;0,IF(MOD(INT(Cron_Uso!AV7/Premissas!$C$41)*Premissas!$C$41,N(Premissas!$E$41))=0,"B",IF(N(Premissas!$D$41)&gt;0,IF(MOD(INT(Cron_Uso!AV7/Premissas!$C$41)*Premissas!$C$41,N(Premissas!$D$41))=0,"A","S"),"S")),IF(N(Premissas!$D$41)&gt;0,IF(MOD(INT(Cron_Uso!AV7/Premissas!$C$41)*Premissas!$C$41,N(Premissas!$D$41))=0,"A","S"),"S"))),IF(N(Premissas!$E$41)&gt;0,IF(MOD(INT(Cron_Uso!AV7/Premissas!$C$41)*Premissas!$C$41,N(Premissas!$E$41))=0,"B",IF(N(Premissas!$D$41)&gt;0,IF(MOD(INT(Cron_Uso!AV7/Premissas!$C$41)*Premissas!$C$41,N(Premissas!$D$41))=0,"A","S"),"S")),IF(N(Premissas!$D$41)&gt;0,IF(MOD(INT(Cron_Uso!AV7/Premissas!$C$41)*Premissas!$C$41,N(Premissas!$D$41))=0,"A","S"),"S"))),"")</f>
        <v/>
      </c>
      <c r="AW7" s="22" t="str">
        <f>IF(INT(Cron_Uso!AW7/Premissas!$C$41)&gt;INT(Cron_Uso!AV7/Premissas!$C$41),IF(N(Premissas!$F$41)&gt;0,IF(MOD(INT(Cron_Uso!AW7/Premissas!$C$41)*Premissas!$C$41,N(Premissas!$F$41))=0,"C",IF(N(Premissas!$E$41)&gt;0,IF(MOD(INT(Cron_Uso!AW7/Premissas!$C$41)*Premissas!$C$41,N(Premissas!$E$41))=0,"B",IF(N(Premissas!$D$41)&gt;0,IF(MOD(INT(Cron_Uso!AW7/Premissas!$C$41)*Premissas!$C$41,N(Premissas!$D$41))=0,"A","S"),"S")),IF(N(Premissas!$D$41)&gt;0,IF(MOD(INT(Cron_Uso!AW7/Premissas!$C$41)*Premissas!$C$41,N(Premissas!$D$41))=0,"A","S"),"S"))),IF(N(Premissas!$E$41)&gt;0,IF(MOD(INT(Cron_Uso!AW7/Premissas!$C$41)*Premissas!$C$41,N(Premissas!$E$41))=0,"B",IF(N(Premissas!$D$41)&gt;0,IF(MOD(INT(Cron_Uso!AW7/Premissas!$C$41)*Premissas!$C$41,N(Premissas!$D$41))=0,"A","S"),"S")),IF(N(Premissas!$D$41)&gt;0,IF(MOD(INT(Cron_Uso!AW7/Premissas!$C$41)*Premissas!$C$41,N(Premissas!$D$41))=0,"A","S"),"S"))),"")</f>
        <v/>
      </c>
      <c r="AX7" s="22" t="str">
        <f>IF(INT(Cron_Uso!AX7/Premissas!$C$41)&gt;INT(Cron_Uso!AW7/Premissas!$C$41),IF(N(Premissas!$F$41)&gt;0,IF(MOD(INT(Cron_Uso!AX7/Premissas!$C$41)*Premissas!$C$41,N(Premissas!$F$41))=0,"C",IF(N(Premissas!$E$41)&gt;0,IF(MOD(INT(Cron_Uso!AX7/Premissas!$C$41)*Premissas!$C$41,N(Premissas!$E$41))=0,"B",IF(N(Premissas!$D$41)&gt;0,IF(MOD(INT(Cron_Uso!AX7/Premissas!$C$41)*Premissas!$C$41,N(Premissas!$D$41))=0,"A","S"),"S")),IF(N(Premissas!$D$41)&gt;0,IF(MOD(INT(Cron_Uso!AX7/Premissas!$C$41)*Premissas!$C$41,N(Premissas!$D$41))=0,"A","S"),"S"))),IF(N(Premissas!$E$41)&gt;0,IF(MOD(INT(Cron_Uso!AX7/Premissas!$C$41)*Premissas!$C$41,N(Premissas!$E$41))=0,"B",IF(N(Premissas!$D$41)&gt;0,IF(MOD(INT(Cron_Uso!AX7/Premissas!$C$41)*Premissas!$C$41,N(Premissas!$D$41))=0,"A","S"),"S")),IF(N(Premissas!$D$41)&gt;0,IF(MOD(INT(Cron_Uso!AX7/Premissas!$C$41)*Premissas!$C$41,N(Premissas!$D$41))=0,"A","S"),"S"))),"")</f>
        <v/>
      </c>
      <c r="AY7" s="22" t="str">
        <f>IF(INT(Cron_Uso!AY7/Premissas!$C$41)&gt;INT(Cron_Uso!AX7/Premissas!$C$41),IF(N(Premissas!$F$41)&gt;0,IF(MOD(INT(Cron_Uso!AY7/Premissas!$C$41)*Premissas!$C$41,N(Premissas!$F$41))=0,"C",IF(N(Premissas!$E$41)&gt;0,IF(MOD(INT(Cron_Uso!AY7/Premissas!$C$41)*Premissas!$C$41,N(Premissas!$E$41))=0,"B",IF(N(Premissas!$D$41)&gt;0,IF(MOD(INT(Cron_Uso!AY7/Premissas!$C$41)*Premissas!$C$41,N(Premissas!$D$41))=0,"A","S"),"S")),IF(N(Premissas!$D$41)&gt;0,IF(MOD(INT(Cron_Uso!AY7/Premissas!$C$41)*Premissas!$C$41,N(Premissas!$D$41))=0,"A","S"),"S"))),IF(N(Premissas!$E$41)&gt;0,IF(MOD(INT(Cron_Uso!AY7/Premissas!$C$41)*Premissas!$C$41,N(Premissas!$E$41))=0,"B",IF(N(Premissas!$D$41)&gt;0,IF(MOD(INT(Cron_Uso!AY7/Premissas!$C$41)*Premissas!$C$41,N(Premissas!$D$41))=0,"A","S"),"S")),IF(N(Premissas!$D$41)&gt;0,IF(MOD(INT(Cron_Uso!AY7/Premissas!$C$41)*Premissas!$C$41,N(Premissas!$D$41))=0,"A","S"),"S"))),"")</f>
        <v/>
      </c>
      <c r="AZ7" s="22" t="str">
        <f>IF(INT(Cron_Uso!AZ7/Premissas!$C$41)&gt;INT(Cron_Uso!AY7/Premissas!$C$41),IF(N(Premissas!$F$41)&gt;0,IF(MOD(INT(Cron_Uso!AZ7/Premissas!$C$41)*Premissas!$C$41,N(Premissas!$F$41))=0,"C",IF(N(Premissas!$E$41)&gt;0,IF(MOD(INT(Cron_Uso!AZ7/Premissas!$C$41)*Premissas!$C$41,N(Premissas!$E$41))=0,"B",IF(N(Premissas!$D$41)&gt;0,IF(MOD(INT(Cron_Uso!AZ7/Premissas!$C$41)*Premissas!$C$41,N(Premissas!$D$41))=0,"A","S"),"S")),IF(N(Premissas!$D$41)&gt;0,IF(MOD(INT(Cron_Uso!AZ7/Premissas!$C$41)*Premissas!$C$41,N(Premissas!$D$41))=0,"A","S"),"S"))),IF(N(Premissas!$E$41)&gt;0,IF(MOD(INT(Cron_Uso!AZ7/Premissas!$C$41)*Premissas!$C$41,N(Premissas!$E$41))=0,"B",IF(N(Premissas!$D$41)&gt;0,IF(MOD(INT(Cron_Uso!AZ7/Premissas!$C$41)*Premissas!$C$41,N(Premissas!$D$41))=0,"A","S"),"S")),IF(N(Premissas!$D$41)&gt;0,IF(MOD(INT(Cron_Uso!AZ7/Premissas!$C$41)*Premissas!$C$41,N(Premissas!$D$41))=0,"A","S"),"S"))),"")</f>
        <v/>
      </c>
      <c r="BA7" s="22" t="str">
        <f>IF(INT(Cron_Uso!BA7/Premissas!$C$41)&gt;INT(Cron_Uso!AZ7/Premissas!$C$41),IF(N(Premissas!$F$41)&gt;0,IF(MOD(INT(Cron_Uso!BA7/Premissas!$C$41)*Premissas!$C$41,N(Premissas!$F$41))=0,"C",IF(N(Premissas!$E$41)&gt;0,IF(MOD(INT(Cron_Uso!BA7/Premissas!$C$41)*Premissas!$C$41,N(Premissas!$E$41))=0,"B",IF(N(Premissas!$D$41)&gt;0,IF(MOD(INT(Cron_Uso!BA7/Premissas!$C$41)*Premissas!$C$41,N(Premissas!$D$41))=0,"A","S"),"S")),IF(N(Premissas!$D$41)&gt;0,IF(MOD(INT(Cron_Uso!BA7/Premissas!$C$41)*Premissas!$C$41,N(Premissas!$D$41))=0,"A","S"),"S"))),IF(N(Premissas!$E$41)&gt;0,IF(MOD(INT(Cron_Uso!BA7/Premissas!$C$41)*Premissas!$C$41,N(Premissas!$E$41))=0,"B",IF(N(Premissas!$D$41)&gt;0,IF(MOD(INT(Cron_Uso!BA7/Premissas!$C$41)*Premissas!$C$41,N(Premissas!$D$41))=0,"A","S"),"S")),IF(N(Premissas!$D$41)&gt;0,IF(MOD(INT(Cron_Uso!BA7/Premissas!$C$41)*Premissas!$C$41,N(Premissas!$D$41))=0,"A","S"),"S"))),"")</f>
        <v/>
      </c>
    </row>
    <row r="8" spans="1:56" ht="15" customHeight="1" x14ac:dyDescent="0.4">
      <c r="A8" s="15" t="str">
        <f>Premissas!$A$42&amp;" (×"&amp;Premissas!$I$42&amp;")"</f>
        <v>Carregadeira/Pesada (×73)</v>
      </c>
      <c r="B8" s="22" t="str">
        <f>IF(INT(Cron_Uso!B8/Premissas!$C$42)&gt;INT(Premissas!$J$42/Premissas!$C$42),IF(N(Premissas!$F$42)&gt;0,IF(MOD(INT(Cron_Uso!B8/Premissas!$C$42)*Premissas!$C$42,N(Premissas!$F$42))=0,"C",IF(N(Premissas!$E$42)&gt;0,IF(MOD(INT(Cron_Uso!B8/Premissas!$C$42)*Premissas!$C$42,N(Premissas!$E$42))=0,"B",IF(N(Premissas!$D$42)&gt;0,IF(MOD(INT(Cron_Uso!B8/Premissas!$C$42)*Premissas!$C$42,N(Premissas!$D$42))=0,"A","S"),"S")),IF(N(Premissas!$D$42)&gt;0,IF(MOD(INT(Cron_Uso!B8/Premissas!$C$42)*Premissas!$C$42,N(Premissas!$D$42))=0,"A","S"),"S"))),IF(N(Premissas!$E$42)&gt;0,IF(MOD(INT(Cron_Uso!B8/Premissas!$C$42)*Premissas!$C$42,N(Premissas!$E$42))=0,"B",IF(N(Premissas!$D$42)&gt;0,IF(MOD(INT(Cron_Uso!B8/Premissas!$C$42)*Premissas!$C$42,N(Premissas!$D$42))=0,"A","S"),"S")),IF(N(Premissas!$D$42)&gt;0,IF(MOD(INT(Cron_Uso!B8/Premissas!$C$42)*Premissas!$C$42,N(Premissas!$D$42))=0,"A","S"),"S"))),"")</f>
        <v/>
      </c>
      <c r="C8" s="22" t="str">
        <f>IF(INT(Cron_Uso!C8/Premissas!$C$42)&gt;INT(Cron_Uso!B8/Premissas!$C$42),IF(N(Premissas!$F$42)&gt;0,IF(MOD(INT(Cron_Uso!C8/Premissas!$C$42)*Premissas!$C$42,N(Premissas!$F$42))=0,"C",IF(N(Premissas!$E$42)&gt;0,IF(MOD(INT(Cron_Uso!C8/Premissas!$C$42)*Premissas!$C$42,N(Premissas!$E$42))=0,"B",IF(N(Premissas!$D$42)&gt;0,IF(MOD(INT(Cron_Uso!C8/Premissas!$C$42)*Premissas!$C$42,N(Premissas!$D$42))=0,"A","S"),"S")),IF(N(Premissas!$D$42)&gt;0,IF(MOD(INT(Cron_Uso!C8/Premissas!$C$42)*Premissas!$C$42,N(Premissas!$D$42))=0,"A","S"),"S"))),IF(N(Premissas!$E$42)&gt;0,IF(MOD(INT(Cron_Uso!C8/Premissas!$C$42)*Premissas!$C$42,N(Premissas!$E$42))=0,"B",IF(N(Premissas!$D$42)&gt;0,IF(MOD(INT(Cron_Uso!C8/Premissas!$C$42)*Premissas!$C$42,N(Premissas!$D$42))=0,"A","S"),"S")),IF(N(Premissas!$D$42)&gt;0,IF(MOD(INT(Cron_Uso!C8/Premissas!$C$42)*Premissas!$C$42,N(Premissas!$D$42))=0,"A","S"),"S"))),"")</f>
        <v/>
      </c>
      <c r="D8" s="22" t="str">
        <f>IF(INT(Cron_Uso!D8/Premissas!$C$42)&gt;INT(Cron_Uso!C8/Premissas!$C$42),IF(N(Premissas!$F$42)&gt;0,IF(MOD(INT(Cron_Uso!D8/Premissas!$C$42)*Premissas!$C$42,N(Premissas!$F$42))=0,"C",IF(N(Premissas!$E$42)&gt;0,IF(MOD(INT(Cron_Uso!D8/Premissas!$C$42)*Premissas!$C$42,N(Premissas!$E$42))=0,"B",IF(N(Premissas!$D$42)&gt;0,IF(MOD(INT(Cron_Uso!D8/Premissas!$C$42)*Premissas!$C$42,N(Premissas!$D$42))=0,"A","S"),"S")),IF(N(Premissas!$D$42)&gt;0,IF(MOD(INT(Cron_Uso!D8/Premissas!$C$42)*Premissas!$C$42,N(Premissas!$D$42))=0,"A","S"),"S"))),IF(N(Premissas!$E$42)&gt;0,IF(MOD(INT(Cron_Uso!D8/Premissas!$C$42)*Premissas!$C$42,N(Premissas!$E$42))=0,"B",IF(N(Premissas!$D$42)&gt;0,IF(MOD(INT(Cron_Uso!D8/Premissas!$C$42)*Premissas!$C$42,N(Premissas!$D$42))=0,"A","S"),"S")),IF(N(Premissas!$D$42)&gt;0,IF(MOD(INT(Cron_Uso!D8/Premissas!$C$42)*Premissas!$C$42,N(Premissas!$D$42))=0,"A","S"),"S"))),"")</f>
        <v/>
      </c>
      <c r="E8" s="22" t="str">
        <f>IF(INT(Cron_Uso!E8/Premissas!$C$42)&gt;INT(Cron_Uso!D8/Premissas!$C$42),IF(N(Premissas!$F$42)&gt;0,IF(MOD(INT(Cron_Uso!E8/Premissas!$C$42)*Premissas!$C$42,N(Premissas!$F$42))=0,"C",IF(N(Premissas!$E$42)&gt;0,IF(MOD(INT(Cron_Uso!E8/Premissas!$C$42)*Premissas!$C$42,N(Premissas!$E$42))=0,"B",IF(N(Premissas!$D$42)&gt;0,IF(MOD(INT(Cron_Uso!E8/Premissas!$C$42)*Premissas!$C$42,N(Premissas!$D$42))=0,"A","S"),"S")),IF(N(Premissas!$D$42)&gt;0,IF(MOD(INT(Cron_Uso!E8/Premissas!$C$42)*Premissas!$C$42,N(Premissas!$D$42))=0,"A","S"),"S"))),IF(N(Premissas!$E$42)&gt;0,IF(MOD(INT(Cron_Uso!E8/Premissas!$C$42)*Premissas!$C$42,N(Premissas!$E$42))=0,"B",IF(N(Premissas!$D$42)&gt;0,IF(MOD(INT(Cron_Uso!E8/Premissas!$C$42)*Premissas!$C$42,N(Premissas!$D$42))=0,"A","S"),"S")),IF(N(Premissas!$D$42)&gt;0,IF(MOD(INT(Cron_Uso!E8/Premissas!$C$42)*Premissas!$C$42,N(Premissas!$D$42))=0,"A","S"),"S"))),"")</f>
        <v/>
      </c>
      <c r="F8" s="22" t="str">
        <f>IF(INT(Cron_Uso!F8/Premissas!$C$42)&gt;INT(Cron_Uso!E8/Premissas!$C$42),IF(N(Premissas!$F$42)&gt;0,IF(MOD(INT(Cron_Uso!F8/Premissas!$C$42)*Premissas!$C$42,N(Premissas!$F$42))=0,"C",IF(N(Premissas!$E$42)&gt;0,IF(MOD(INT(Cron_Uso!F8/Premissas!$C$42)*Premissas!$C$42,N(Premissas!$E$42))=0,"B",IF(N(Premissas!$D$42)&gt;0,IF(MOD(INT(Cron_Uso!F8/Premissas!$C$42)*Premissas!$C$42,N(Premissas!$D$42))=0,"A","S"),"S")),IF(N(Premissas!$D$42)&gt;0,IF(MOD(INT(Cron_Uso!F8/Premissas!$C$42)*Premissas!$C$42,N(Premissas!$D$42))=0,"A","S"),"S"))),IF(N(Premissas!$E$42)&gt;0,IF(MOD(INT(Cron_Uso!F8/Premissas!$C$42)*Premissas!$C$42,N(Premissas!$E$42))=0,"B",IF(N(Premissas!$D$42)&gt;0,IF(MOD(INT(Cron_Uso!F8/Premissas!$C$42)*Premissas!$C$42,N(Premissas!$D$42))=0,"A","S"),"S")),IF(N(Premissas!$D$42)&gt;0,IF(MOD(INT(Cron_Uso!F8/Premissas!$C$42)*Premissas!$C$42,N(Premissas!$D$42))=0,"A","S"),"S"))),"")</f>
        <v/>
      </c>
      <c r="G8" s="22" t="str">
        <f>IF(INT(Cron_Uso!G8/Premissas!$C$42)&gt;INT(Cron_Uso!F8/Premissas!$C$42),IF(N(Premissas!$F$42)&gt;0,IF(MOD(INT(Cron_Uso!G8/Premissas!$C$42)*Premissas!$C$42,N(Premissas!$F$42))=0,"C",IF(N(Premissas!$E$42)&gt;0,IF(MOD(INT(Cron_Uso!G8/Premissas!$C$42)*Premissas!$C$42,N(Premissas!$E$42))=0,"B",IF(N(Premissas!$D$42)&gt;0,IF(MOD(INT(Cron_Uso!G8/Premissas!$C$42)*Premissas!$C$42,N(Premissas!$D$42))=0,"A","S"),"S")),IF(N(Premissas!$D$42)&gt;0,IF(MOD(INT(Cron_Uso!G8/Premissas!$C$42)*Premissas!$C$42,N(Premissas!$D$42))=0,"A","S"),"S"))),IF(N(Premissas!$E$42)&gt;0,IF(MOD(INT(Cron_Uso!G8/Premissas!$C$42)*Premissas!$C$42,N(Premissas!$E$42))=0,"B",IF(N(Premissas!$D$42)&gt;0,IF(MOD(INT(Cron_Uso!G8/Premissas!$C$42)*Premissas!$C$42,N(Premissas!$D$42))=0,"A","S"),"S")),IF(N(Premissas!$D$42)&gt;0,IF(MOD(INT(Cron_Uso!G8/Premissas!$C$42)*Premissas!$C$42,N(Premissas!$D$42))=0,"A","S"),"S"))),"")</f>
        <v>S</v>
      </c>
      <c r="H8" s="22" t="str">
        <f>IF(INT(Cron_Uso!H8/Premissas!$C$42)&gt;INT(Cron_Uso!G8/Premissas!$C$42),IF(N(Premissas!$F$42)&gt;0,IF(MOD(INT(Cron_Uso!H8/Premissas!$C$42)*Premissas!$C$42,N(Premissas!$F$42))=0,"C",IF(N(Premissas!$E$42)&gt;0,IF(MOD(INT(Cron_Uso!H8/Premissas!$C$42)*Premissas!$C$42,N(Premissas!$E$42))=0,"B",IF(N(Premissas!$D$42)&gt;0,IF(MOD(INT(Cron_Uso!H8/Premissas!$C$42)*Premissas!$C$42,N(Premissas!$D$42))=0,"A","S"),"S")),IF(N(Premissas!$D$42)&gt;0,IF(MOD(INT(Cron_Uso!H8/Premissas!$C$42)*Premissas!$C$42,N(Premissas!$D$42))=0,"A","S"),"S"))),IF(N(Premissas!$E$42)&gt;0,IF(MOD(INT(Cron_Uso!H8/Premissas!$C$42)*Premissas!$C$42,N(Premissas!$E$42))=0,"B",IF(N(Premissas!$D$42)&gt;0,IF(MOD(INT(Cron_Uso!H8/Premissas!$C$42)*Premissas!$C$42,N(Premissas!$D$42))=0,"A","S"),"S")),IF(N(Premissas!$D$42)&gt;0,IF(MOD(INT(Cron_Uso!H8/Premissas!$C$42)*Premissas!$C$42,N(Premissas!$D$42))=0,"A","S"),"S"))),"")</f>
        <v/>
      </c>
      <c r="I8" s="22" t="str">
        <f>IF(INT(Cron_Uso!I8/Premissas!$C$42)&gt;INT(Cron_Uso!H8/Premissas!$C$42),IF(N(Premissas!$F$42)&gt;0,IF(MOD(INT(Cron_Uso!I8/Premissas!$C$42)*Premissas!$C$42,N(Premissas!$F$42))=0,"C",IF(N(Premissas!$E$42)&gt;0,IF(MOD(INT(Cron_Uso!I8/Premissas!$C$42)*Premissas!$C$42,N(Premissas!$E$42))=0,"B",IF(N(Premissas!$D$42)&gt;0,IF(MOD(INT(Cron_Uso!I8/Premissas!$C$42)*Premissas!$C$42,N(Premissas!$D$42))=0,"A","S"),"S")),IF(N(Premissas!$D$42)&gt;0,IF(MOD(INT(Cron_Uso!I8/Premissas!$C$42)*Premissas!$C$42,N(Premissas!$D$42))=0,"A","S"),"S"))),IF(N(Premissas!$E$42)&gt;0,IF(MOD(INT(Cron_Uso!I8/Premissas!$C$42)*Premissas!$C$42,N(Premissas!$E$42))=0,"B",IF(N(Premissas!$D$42)&gt;0,IF(MOD(INT(Cron_Uso!I8/Premissas!$C$42)*Premissas!$C$42,N(Premissas!$D$42))=0,"A","S"),"S")),IF(N(Premissas!$D$42)&gt;0,IF(MOD(INT(Cron_Uso!I8/Premissas!$C$42)*Premissas!$C$42,N(Premissas!$D$42))=0,"A","S"),"S"))),"")</f>
        <v/>
      </c>
      <c r="J8" s="22" t="str">
        <f>IF(INT(Cron_Uso!J8/Premissas!$C$42)&gt;INT(Cron_Uso!I8/Premissas!$C$42),IF(N(Premissas!$F$42)&gt;0,IF(MOD(INT(Cron_Uso!J8/Premissas!$C$42)*Premissas!$C$42,N(Premissas!$F$42))=0,"C",IF(N(Premissas!$E$42)&gt;0,IF(MOD(INT(Cron_Uso!J8/Premissas!$C$42)*Premissas!$C$42,N(Premissas!$E$42))=0,"B",IF(N(Premissas!$D$42)&gt;0,IF(MOD(INT(Cron_Uso!J8/Premissas!$C$42)*Premissas!$C$42,N(Premissas!$D$42))=0,"A","S"),"S")),IF(N(Premissas!$D$42)&gt;0,IF(MOD(INT(Cron_Uso!J8/Premissas!$C$42)*Premissas!$C$42,N(Premissas!$D$42))=0,"A","S"),"S"))),IF(N(Premissas!$E$42)&gt;0,IF(MOD(INT(Cron_Uso!J8/Premissas!$C$42)*Premissas!$C$42,N(Premissas!$E$42))=0,"B",IF(N(Premissas!$D$42)&gt;0,IF(MOD(INT(Cron_Uso!J8/Premissas!$C$42)*Premissas!$C$42,N(Premissas!$D$42))=0,"A","S"),"S")),IF(N(Premissas!$D$42)&gt;0,IF(MOD(INT(Cron_Uso!J8/Premissas!$C$42)*Premissas!$C$42,N(Premissas!$D$42))=0,"A","S"),"S"))),"")</f>
        <v/>
      </c>
      <c r="K8" s="22" t="str">
        <f>IF(INT(Cron_Uso!K8/Premissas!$C$42)&gt;INT(Cron_Uso!J8/Premissas!$C$42),IF(N(Premissas!$F$42)&gt;0,IF(MOD(INT(Cron_Uso!K8/Premissas!$C$42)*Premissas!$C$42,N(Premissas!$F$42))=0,"C",IF(N(Premissas!$E$42)&gt;0,IF(MOD(INT(Cron_Uso!K8/Premissas!$C$42)*Premissas!$C$42,N(Premissas!$E$42))=0,"B",IF(N(Premissas!$D$42)&gt;0,IF(MOD(INT(Cron_Uso!K8/Premissas!$C$42)*Premissas!$C$42,N(Premissas!$D$42))=0,"A","S"),"S")),IF(N(Premissas!$D$42)&gt;0,IF(MOD(INT(Cron_Uso!K8/Premissas!$C$42)*Premissas!$C$42,N(Premissas!$D$42))=0,"A","S"),"S"))),IF(N(Premissas!$E$42)&gt;0,IF(MOD(INT(Cron_Uso!K8/Premissas!$C$42)*Premissas!$C$42,N(Premissas!$E$42))=0,"B",IF(N(Premissas!$D$42)&gt;0,IF(MOD(INT(Cron_Uso!K8/Premissas!$C$42)*Premissas!$C$42,N(Premissas!$D$42))=0,"A","S"),"S")),IF(N(Premissas!$D$42)&gt;0,IF(MOD(INT(Cron_Uso!K8/Premissas!$C$42)*Premissas!$C$42,N(Premissas!$D$42))=0,"A","S"),"S"))),"")</f>
        <v/>
      </c>
      <c r="L8" s="22" t="str">
        <f>IF(INT(Cron_Uso!L8/Premissas!$C$42)&gt;INT(Cron_Uso!K8/Premissas!$C$42),IF(N(Premissas!$F$42)&gt;0,IF(MOD(INT(Cron_Uso!L8/Premissas!$C$42)*Premissas!$C$42,N(Premissas!$F$42))=0,"C",IF(N(Premissas!$E$42)&gt;0,IF(MOD(INT(Cron_Uso!L8/Premissas!$C$42)*Premissas!$C$42,N(Premissas!$E$42))=0,"B",IF(N(Premissas!$D$42)&gt;0,IF(MOD(INT(Cron_Uso!L8/Premissas!$C$42)*Premissas!$C$42,N(Premissas!$D$42))=0,"A","S"),"S")),IF(N(Premissas!$D$42)&gt;0,IF(MOD(INT(Cron_Uso!L8/Premissas!$C$42)*Premissas!$C$42,N(Premissas!$D$42))=0,"A","S"),"S"))),IF(N(Premissas!$E$42)&gt;0,IF(MOD(INT(Cron_Uso!L8/Premissas!$C$42)*Premissas!$C$42,N(Premissas!$E$42))=0,"B",IF(N(Premissas!$D$42)&gt;0,IF(MOD(INT(Cron_Uso!L8/Premissas!$C$42)*Premissas!$C$42,N(Premissas!$D$42))=0,"A","S"),"S")),IF(N(Premissas!$D$42)&gt;0,IF(MOD(INT(Cron_Uso!L8/Premissas!$C$42)*Premissas!$C$42,N(Premissas!$D$42))=0,"A","S"),"S"))),"")</f>
        <v/>
      </c>
      <c r="M8" s="22" t="str">
        <f>IF(INT(Cron_Uso!M8/Premissas!$C$42)&gt;INT(Cron_Uso!L8/Premissas!$C$42),IF(N(Premissas!$F$42)&gt;0,IF(MOD(INT(Cron_Uso!M8/Premissas!$C$42)*Premissas!$C$42,N(Premissas!$F$42))=0,"C",IF(N(Premissas!$E$42)&gt;0,IF(MOD(INT(Cron_Uso!M8/Premissas!$C$42)*Premissas!$C$42,N(Premissas!$E$42))=0,"B",IF(N(Premissas!$D$42)&gt;0,IF(MOD(INT(Cron_Uso!M8/Premissas!$C$42)*Premissas!$C$42,N(Premissas!$D$42))=0,"A","S"),"S")),IF(N(Premissas!$D$42)&gt;0,IF(MOD(INT(Cron_Uso!M8/Premissas!$C$42)*Premissas!$C$42,N(Premissas!$D$42))=0,"A","S"),"S"))),IF(N(Premissas!$E$42)&gt;0,IF(MOD(INT(Cron_Uso!M8/Premissas!$C$42)*Premissas!$C$42,N(Premissas!$E$42))=0,"B",IF(N(Premissas!$D$42)&gt;0,IF(MOD(INT(Cron_Uso!M8/Premissas!$C$42)*Premissas!$C$42,N(Premissas!$D$42))=0,"A","S"),"S")),IF(N(Premissas!$D$42)&gt;0,IF(MOD(INT(Cron_Uso!M8/Premissas!$C$42)*Premissas!$C$42,N(Premissas!$D$42))=0,"A","S"),"S"))),"")</f>
        <v>A</v>
      </c>
      <c r="N8" s="22" t="str">
        <f>IF(INT(Cron_Uso!N8/Premissas!$C$42)&gt;INT(Cron_Uso!M8/Premissas!$C$42),IF(N(Premissas!$F$42)&gt;0,IF(MOD(INT(Cron_Uso!N8/Premissas!$C$42)*Premissas!$C$42,N(Premissas!$F$42))=0,"C",IF(N(Premissas!$E$42)&gt;0,IF(MOD(INT(Cron_Uso!N8/Premissas!$C$42)*Premissas!$C$42,N(Premissas!$E$42))=0,"B",IF(N(Premissas!$D$42)&gt;0,IF(MOD(INT(Cron_Uso!N8/Premissas!$C$42)*Premissas!$C$42,N(Premissas!$D$42))=0,"A","S"),"S")),IF(N(Premissas!$D$42)&gt;0,IF(MOD(INT(Cron_Uso!N8/Premissas!$C$42)*Premissas!$C$42,N(Premissas!$D$42))=0,"A","S"),"S"))),IF(N(Premissas!$E$42)&gt;0,IF(MOD(INT(Cron_Uso!N8/Premissas!$C$42)*Premissas!$C$42,N(Premissas!$E$42))=0,"B",IF(N(Premissas!$D$42)&gt;0,IF(MOD(INT(Cron_Uso!N8/Premissas!$C$42)*Premissas!$C$42,N(Premissas!$D$42))=0,"A","S"),"S")),IF(N(Premissas!$D$42)&gt;0,IF(MOD(INT(Cron_Uso!N8/Premissas!$C$42)*Premissas!$C$42,N(Premissas!$D$42))=0,"A","S"),"S"))),"")</f>
        <v/>
      </c>
      <c r="O8" s="22" t="str">
        <f>IF(INT(Cron_Uso!O8/Premissas!$C$42)&gt;INT(Cron_Uso!N8/Premissas!$C$42),IF(N(Premissas!$F$42)&gt;0,IF(MOD(INT(Cron_Uso!O8/Premissas!$C$42)*Premissas!$C$42,N(Premissas!$F$42))=0,"C",IF(N(Premissas!$E$42)&gt;0,IF(MOD(INT(Cron_Uso!O8/Premissas!$C$42)*Premissas!$C$42,N(Premissas!$E$42))=0,"B",IF(N(Premissas!$D$42)&gt;0,IF(MOD(INT(Cron_Uso!O8/Premissas!$C$42)*Premissas!$C$42,N(Premissas!$D$42))=0,"A","S"),"S")),IF(N(Premissas!$D$42)&gt;0,IF(MOD(INT(Cron_Uso!O8/Premissas!$C$42)*Premissas!$C$42,N(Premissas!$D$42))=0,"A","S"),"S"))),IF(N(Premissas!$E$42)&gt;0,IF(MOD(INT(Cron_Uso!O8/Premissas!$C$42)*Premissas!$C$42,N(Premissas!$E$42))=0,"B",IF(N(Premissas!$D$42)&gt;0,IF(MOD(INT(Cron_Uso!O8/Premissas!$C$42)*Premissas!$C$42,N(Premissas!$D$42))=0,"A","S"),"S")),IF(N(Premissas!$D$42)&gt;0,IF(MOD(INT(Cron_Uso!O8/Premissas!$C$42)*Premissas!$C$42,N(Premissas!$D$42))=0,"A","S"),"S"))),"")</f>
        <v/>
      </c>
      <c r="P8" s="22" t="str">
        <f>IF(INT(Cron_Uso!P8/Premissas!$C$42)&gt;INT(Cron_Uso!O8/Premissas!$C$42),IF(N(Premissas!$F$42)&gt;0,IF(MOD(INT(Cron_Uso!P8/Premissas!$C$42)*Premissas!$C$42,N(Premissas!$F$42))=0,"C",IF(N(Premissas!$E$42)&gt;0,IF(MOD(INT(Cron_Uso!P8/Premissas!$C$42)*Premissas!$C$42,N(Premissas!$E$42))=0,"B",IF(N(Premissas!$D$42)&gt;0,IF(MOD(INT(Cron_Uso!P8/Premissas!$C$42)*Premissas!$C$42,N(Premissas!$D$42))=0,"A","S"),"S")),IF(N(Premissas!$D$42)&gt;0,IF(MOD(INT(Cron_Uso!P8/Premissas!$C$42)*Premissas!$C$42,N(Premissas!$D$42))=0,"A","S"),"S"))),IF(N(Premissas!$E$42)&gt;0,IF(MOD(INT(Cron_Uso!P8/Premissas!$C$42)*Premissas!$C$42,N(Premissas!$E$42))=0,"B",IF(N(Premissas!$D$42)&gt;0,IF(MOD(INT(Cron_Uso!P8/Premissas!$C$42)*Premissas!$C$42,N(Premissas!$D$42))=0,"A","S"),"S")),IF(N(Premissas!$D$42)&gt;0,IF(MOD(INT(Cron_Uso!P8/Premissas!$C$42)*Premissas!$C$42,N(Premissas!$D$42))=0,"A","S"),"S"))),"")</f>
        <v/>
      </c>
      <c r="Q8" s="22" t="str">
        <f>IF(INT(Cron_Uso!Q8/Premissas!$C$42)&gt;INT(Cron_Uso!P8/Premissas!$C$42),IF(N(Premissas!$F$42)&gt;0,IF(MOD(INT(Cron_Uso!Q8/Premissas!$C$42)*Premissas!$C$42,N(Premissas!$F$42))=0,"C",IF(N(Premissas!$E$42)&gt;0,IF(MOD(INT(Cron_Uso!Q8/Premissas!$C$42)*Premissas!$C$42,N(Premissas!$E$42))=0,"B",IF(N(Premissas!$D$42)&gt;0,IF(MOD(INT(Cron_Uso!Q8/Premissas!$C$42)*Premissas!$C$42,N(Premissas!$D$42))=0,"A","S"),"S")),IF(N(Premissas!$D$42)&gt;0,IF(MOD(INT(Cron_Uso!Q8/Premissas!$C$42)*Premissas!$C$42,N(Premissas!$D$42))=0,"A","S"),"S"))),IF(N(Premissas!$E$42)&gt;0,IF(MOD(INT(Cron_Uso!Q8/Premissas!$C$42)*Premissas!$C$42,N(Premissas!$E$42))=0,"B",IF(N(Premissas!$D$42)&gt;0,IF(MOD(INT(Cron_Uso!Q8/Premissas!$C$42)*Premissas!$C$42,N(Premissas!$D$42))=0,"A","S"),"S")),IF(N(Premissas!$D$42)&gt;0,IF(MOD(INT(Cron_Uso!Q8/Premissas!$C$42)*Premissas!$C$42,N(Premissas!$D$42))=0,"A","S"),"S"))),"")</f>
        <v/>
      </c>
      <c r="R8" s="22" t="str">
        <f>IF(INT(Cron_Uso!R8/Premissas!$C$42)&gt;INT(Cron_Uso!Q8/Premissas!$C$42),IF(N(Premissas!$F$42)&gt;0,IF(MOD(INT(Cron_Uso!R8/Premissas!$C$42)*Premissas!$C$42,N(Premissas!$F$42))=0,"C",IF(N(Premissas!$E$42)&gt;0,IF(MOD(INT(Cron_Uso!R8/Premissas!$C$42)*Premissas!$C$42,N(Premissas!$E$42))=0,"B",IF(N(Premissas!$D$42)&gt;0,IF(MOD(INT(Cron_Uso!R8/Premissas!$C$42)*Premissas!$C$42,N(Premissas!$D$42))=0,"A","S"),"S")),IF(N(Premissas!$D$42)&gt;0,IF(MOD(INT(Cron_Uso!R8/Premissas!$C$42)*Premissas!$C$42,N(Premissas!$D$42))=0,"A","S"),"S"))),IF(N(Premissas!$E$42)&gt;0,IF(MOD(INT(Cron_Uso!R8/Premissas!$C$42)*Premissas!$C$42,N(Premissas!$E$42))=0,"B",IF(N(Premissas!$D$42)&gt;0,IF(MOD(INT(Cron_Uso!R8/Premissas!$C$42)*Premissas!$C$42,N(Premissas!$D$42))=0,"A","S"),"S")),IF(N(Premissas!$D$42)&gt;0,IF(MOD(INT(Cron_Uso!R8/Premissas!$C$42)*Premissas!$C$42,N(Premissas!$D$42))=0,"A","S"),"S"))),"")</f>
        <v>S</v>
      </c>
      <c r="S8" s="22" t="str">
        <f>IF(INT(Cron_Uso!S8/Premissas!$C$42)&gt;INT(Cron_Uso!R8/Premissas!$C$42),IF(N(Premissas!$F$42)&gt;0,IF(MOD(INT(Cron_Uso!S8/Premissas!$C$42)*Premissas!$C$42,N(Premissas!$F$42))=0,"C",IF(N(Premissas!$E$42)&gt;0,IF(MOD(INT(Cron_Uso!S8/Premissas!$C$42)*Premissas!$C$42,N(Premissas!$E$42))=0,"B",IF(N(Premissas!$D$42)&gt;0,IF(MOD(INT(Cron_Uso!S8/Premissas!$C$42)*Premissas!$C$42,N(Premissas!$D$42))=0,"A","S"),"S")),IF(N(Premissas!$D$42)&gt;0,IF(MOD(INT(Cron_Uso!S8/Premissas!$C$42)*Premissas!$C$42,N(Premissas!$D$42))=0,"A","S"),"S"))),IF(N(Premissas!$E$42)&gt;0,IF(MOD(INT(Cron_Uso!S8/Premissas!$C$42)*Premissas!$C$42,N(Premissas!$E$42))=0,"B",IF(N(Premissas!$D$42)&gt;0,IF(MOD(INT(Cron_Uso!S8/Premissas!$C$42)*Premissas!$C$42,N(Premissas!$D$42))=0,"A","S"),"S")),IF(N(Premissas!$D$42)&gt;0,IF(MOD(INT(Cron_Uso!S8/Premissas!$C$42)*Premissas!$C$42,N(Premissas!$D$42))=0,"A","S"),"S"))),"")</f>
        <v/>
      </c>
      <c r="T8" s="22" t="str">
        <f>IF(INT(Cron_Uso!T8/Premissas!$C$42)&gt;INT(Cron_Uso!S8/Premissas!$C$42),IF(N(Premissas!$F$42)&gt;0,IF(MOD(INT(Cron_Uso!T8/Premissas!$C$42)*Premissas!$C$42,N(Premissas!$F$42))=0,"C",IF(N(Premissas!$E$42)&gt;0,IF(MOD(INT(Cron_Uso!T8/Premissas!$C$42)*Premissas!$C$42,N(Premissas!$E$42))=0,"B",IF(N(Premissas!$D$42)&gt;0,IF(MOD(INT(Cron_Uso!T8/Premissas!$C$42)*Premissas!$C$42,N(Premissas!$D$42))=0,"A","S"),"S")),IF(N(Premissas!$D$42)&gt;0,IF(MOD(INT(Cron_Uso!T8/Premissas!$C$42)*Premissas!$C$42,N(Premissas!$D$42))=0,"A","S"),"S"))),IF(N(Premissas!$E$42)&gt;0,IF(MOD(INT(Cron_Uso!T8/Premissas!$C$42)*Premissas!$C$42,N(Premissas!$E$42))=0,"B",IF(N(Premissas!$D$42)&gt;0,IF(MOD(INT(Cron_Uso!T8/Premissas!$C$42)*Premissas!$C$42,N(Premissas!$D$42))=0,"A","S"),"S")),IF(N(Premissas!$D$42)&gt;0,IF(MOD(INT(Cron_Uso!T8/Premissas!$C$42)*Premissas!$C$42,N(Premissas!$D$42))=0,"A","S"),"S"))),"")</f>
        <v/>
      </c>
      <c r="U8" s="22" t="str">
        <f>IF(INT(Cron_Uso!U8/Premissas!$C$42)&gt;INT(Cron_Uso!T8/Premissas!$C$42),IF(N(Premissas!$F$42)&gt;0,IF(MOD(INT(Cron_Uso!U8/Premissas!$C$42)*Premissas!$C$42,N(Premissas!$F$42))=0,"C",IF(N(Premissas!$E$42)&gt;0,IF(MOD(INT(Cron_Uso!U8/Premissas!$C$42)*Premissas!$C$42,N(Premissas!$E$42))=0,"B",IF(N(Premissas!$D$42)&gt;0,IF(MOD(INT(Cron_Uso!U8/Premissas!$C$42)*Premissas!$C$42,N(Premissas!$D$42))=0,"A","S"),"S")),IF(N(Premissas!$D$42)&gt;0,IF(MOD(INT(Cron_Uso!U8/Premissas!$C$42)*Premissas!$C$42,N(Premissas!$D$42))=0,"A","S"),"S"))),IF(N(Premissas!$E$42)&gt;0,IF(MOD(INT(Cron_Uso!U8/Premissas!$C$42)*Premissas!$C$42,N(Premissas!$E$42))=0,"B",IF(N(Premissas!$D$42)&gt;0,IF(MOD(INT(Cron_Uso!U8/Premissas!$C$42)*Premissas!$C$42,N(Premissas!$D$42))=0,"A","S"),"S")),IF(N(Premissas!$D$42)&gt;0,IF(MOD(INT(Cron_Uso!U8/Premissas!$C$42)*Premissas!$C$42,N(Premissas!$D$42))=0,"A","S"),"S"))),"")</f>
        <v/>
      </c>
      <c r="V8" s="22" t="str">
        <f>IF(INT(Cron_Uso!V8/Premissas!$C$42)&gt;INT(Cron_Uso!U8/Premissas!$C$42),IF(N(Premissas!$F$42)&gt;0,IF(MOD(INT(Cron_Uso!V8/Premissas!$C$42)*Premissas!$C$42,N(Premissas!$F$42))=0,"C",IF(N(Premissas!$E$42)&gt;0,IF(MOD(INT(Cron_Uso!V8/Premissas!$C$42)*Premissas!$C$42,N(Premissas!$E$42))=0,"B",IF(N(Premissas!$D$42)&gt;0,IF(MOD(INT(Cron_Uso!V8/Premissas!$C$42)*Premissas!$C$42,N(Premissas!$D$42))=0,"A","S"),"S")),IF(N(Premissas!$D$42)&gt;0,IF(MOD(INT(Cron_Uso!V8/Premissas!$C$42)*Premissas!$C$42,N(Premissas!$D$42))=0,"A","S"),"S"))),IF(N(Premissas!$E$42)&gt;0,IF(MOD(INT(Cron_Uso!V8/Premissas!$C$42)*Premissas!$C$42,N(Premissas!$E$42))=0,"B",IF(N(Premissas!$D$42)&gt;0,IF(MOD(INT(Cron_Uso!V8/Premissas!$C$42)*Premissas!$C$42,N(Premissas!$D$42))=0,"A","S"),"S")),IF(N(Premissas!$D$42)&gt;0,IF(MOD(INT(Cron_Uso!V8/Premissas!$C$42)*Premissas!$C$42,N(Premissas!$D$42))=0,"A","S"),"S"))),"")</f>
        <v/>
      </c>
      <c r="W8" s="22" t="str">
        <f>IF(INT(Cron_Uso!W8/Premissas!$C$42)&gt;INT(Cron_Uso!V8/Premissas!$C$42),IF(N(Premissas!$F$42)&gt;0,IF(MOD(INT(Cron_Uso!W8/Premissas!$C$42)*Premissas!$C$42,N(Premissas!$F$42))=0,"C",IF(N(Premissas!$E$42)&gt;0,IF(MOD(INT(Cron_Uso!W8/Premissas!$C$42)*Premissas!$C$42,N(Premissas!$E$42))=0,"B",IF(N(Premissas!$D$42)&gt;0,IF(MOD(INT(Cron_Uso!W8/Premissas!$C$42)*Premissas!$C$42,N(Premissas!$D$42))=0,"A","S"),"S")),IF(N(Premissas!$D$42)&gt;0,IF(MOD(INT(Cron_Uso!W8/Premissas!$C$42)*Premissas!$C$42,N(Premissas!$D$42))=0,"A","S"),"S"))),IF(N(Premissas!$E$42)&gt;0,IF(MOD(INT(Cron_Uso!W8/Premissas!$C$42)*Premissas!$C$42,N(Premissas!$E$42))=0,"B",IF(N(Premissas!$D$42)&gt;0,IF(MOD(INT(Cron_Uso!W8/Premissas!$C$42)*Premissas!$C$42,N(Premissas!$D$42))=0,"A","S"),"S")),IF(N(Premissas!$D$42)&gt;0,IF(MOD(INT(Cron_Uso!W8/Premissas!$C$42)*Premissas!$C$42,N(Premissas!$D$42))=0,"A","S"),"S"))),"")</f>
        <v/>
      </c>
      <c r="X8" s="22" t="str">
        <f>IF(INT(Cron_Uso!X8/Premissas!$C$42)&gt;INT(Cron_Uso!W8/Premissas!$C$42),IF(N(Premissas!$F$42)&gt;0,IF(MOD(INT(Cron_Uso!X8/Premissas!$C$42)*Premissas!$C$42,N(Premissas!$F$42))=0,"C",IF(N(Premissas!$E$42)&gt;0,IF(MOD(INT(Cron_Uso!X8/Premissas!$C$42)*Premissas!$C$42,N(Premissas!$E$42))=0,"B",IF(N(Premissas!$D$42)&gt;0,IF(MOD(INT(Cron_Uso!X8/Premissas!$C$42)*Premissas!$C$42,N(Premissas!$D$42))=0,"A","S"),"S")),IF(N(Premissas!$D$42)&gt;0,IF(MOD(INT(Cron_Uso!X8/Premissas!$C$42)*Premissas!$C$42,N(Premissas!$D$42))=0,"A","S"),"S"))),IF(N(Premissas!$E$42)&gt;0,IF(MOD(INT(Cron_Uso!X8/Premissas!$C$42)*Premissas!$C$42,N(Premissas!$E$42))=0,"B",IF(N(Premissas!$D$42)&gt;0,IF(MOD(INT(Cron_Uso!X8/Premissas!$C$42)*Premissas!$C$42,N(Premissas!$D$42))=0,"A","S"),"S")),IF(N(Premissas!$D$42)&gt;0,IF(MOD(INT(Cron_Uso!X8/Premissas!$C$42)*Premissas!$C$42,N(Premissas!$D$42))=0,"A","S"),"S"))),"")</f>
        <v>B</v>
      </c>
      <c r="Y8" s="22" t="str">
        <f>IF(INT(Cron_Uso!Y8/Premissas!$C$42)&gt;INT(Cron_Uso!X8/Premissas!$C$42),IF(N(Premissas!$F$42)&gt;0,IF(MOD(INT(Cron_Uso!Y8/Premissas!$C$42)*Premissas!$C$42,N(Premissas!$F$42))=0,"C",IF(N(Premissas!$E$42)&gt;0,IF(MOD(INT(Cron_Uso!Y8/Premissas!$C$42)*Premissas!$C$42,N(Premissas!$E$42))=0,"B",IF(N(Premissas!$D$42)&gt;0,IF(MOD(INT(Cron_Uso!Y8/Premissas!$C$42)*Premissas!$C$42,N(Premissas!$D$42))=0,"A","S"),"S")),IF(N(Premissas!$D$42)&gt;0,IF(MOD(INT(Cron_Uso!Y8/Premissas!$C$42)*Premissas!$C$42,N(Premissas!$D$42))=0,"A","S"),"S"))),IF(N(Premissas!$E$42)&gt;0,IF(MOD(INT(Cron_Uso!Y8/Premissas!$C$42)*Premissas!$C$42,N(Premissas!$E$42))=0,"B",IF(N(Premissas!$D$42)&gt;0,IF(MOD(INT(Cron_Uso!Y8/Premissas!$C$42)*Premissas!$C$42,N(Premissas!$D$42))=0,"A","S"),"S")),IF(N(Premissas!$D$42)&gt;0,IF(MOD(INT(Cron_Uso!Y8/Premissas!$C$42)*Premissas!$C$42,N(Premissas!$D$42))=0,"A","S"),"S"))),"")</f>
        <v/>
      </c>
      <c r="Z8" s="22" t="str">
        <f>IF(INT(Cron_Uso!Z8/Premissas!$C$42)&gt;INT(Cron_Uso!Y8/Premissas!$C$42),IF(N(Premissas!$F$42)&gt;0,IF(MOD(INT(Cron_Uso!Z8/Premissas!$C$42)*Premissas!$C$42,N(Premissas!$F$42))=0,"C",IF(N(Premissas!$E$42)&gt;0,IF(MOD(INT(Cron_Uso!Z8/Premissas!$C$42)*Premissas!$C$42,N(Premissas!$E$42))=0,"B",IF(N(Premissas!$D$42)&gt;0,IF(MOD(INT(Cron_Uso!Z8/Premissas!$C$42)*Premissas!$C$42,N(Premissas!$D$42))=0,"A","S"),"S")),IF(N(Premissas!$D$42)&gt;0,IF(MOD(INT(Cron_Uso!Z8/Premissas!$C$42)*Premissas!$C$42,N(Premissas!$D$42))=0,"A","S"),"S"))),IF(N(Premissas!$E$42)&gt;0,IF(MOD(INT(Cron_Uso!Z8/Premissas!$C$42)*Premissas!$C$42,N(Premissas!$E$42))=0,"B",IF(N(Premissas!$D$42)&gt;0,IF(MOD(INT(Cron_Uso!Z8/Premissas!$C$42)*Premissas!$C$42,N(Premissas!$D$42))=0,"A","S"),"S")),IF(N(Premissas!$D$42)&gt;0,IF(MOD(INT(Cron_Uso!Z8/Premissas!$C$42)*Premissas!$C$42,N(Premissas!$D$42))=0,"A","S"),"S"))),"")</f>
        <v/>
      </c>
      <c r="AA8" s="22" t="str">
        <f>IF(INT(Cron_Uso!AA8/Premissas!$C$42)&gt;INT(Cron_Uso!Z8/Premissas!$C$42),IF(N(Premissas!$F$42)&gt;0,IF(MOD(INT(Cron_Uso!AA8/Premissas!$C$42)*Premissas!$C$42,N(Premissas!$F$42))=0,"C",IF(N(Premissas!$E$42)&gt;0,IF(MOD(INT(Cron_Uso!AA8/Premissas!$C$42)*Premissas!$C$42,N(Premissas!$E$42))=0,"B",IF(N(Premissas!$D$42)&gt;0,IF(MOD(INT(Cron_Uso!AA8/Premissas!$C$42)*Premissas!$C$42,N(Premissas!$D$42))=0,"A","S"),"S")),IF(N(Premissas!$D$42)&gt;0,IF(MOD(INT(Cron_Uso!AA8/Premissas!$C$42)*Premissas!$C$42,N(Premissas!$D$42))=0,"A","S"),"S"))),IF(N(Premissas!$E$42)&gt;0,IF(MOD(INT(Cron_Uso!AA8/Premissas!$C$42)*Premissas!$C$42,N(Premissas!$E$42))=0,"B",IF(N(Premissas!$D$42)&gt;0,IF(MOD(INT(Cron_Uso!AA8/Premissas!$C$42)*Premissas!$C$42,N(Premissas!$D$42))=0,"A","S"),"S")),IF(N(Premissas!$D$42)&gt;0,IF(MOD(INT(Cron_Uso!AA8/Premissas!$C$42)*Premissas!$C$42,N(Premissas!$D$42))=0,"A","S"),"S"))),"")</f>
        <v/>
      </c>
      <c r="AB8" s="22" t="str">
        <f>IF(INT(Cron_Uso!AB8/Premissas!$C$42)&gt;INT(Cron_Uso!AA8/Premissas!$C$42),IF(N(Premissas!$F$42)&gt;0,IF(MOD(INT(Cron_Uso!AB8/Premissas!$C$42)*Premissas!$C$42,N(Premissas!$F$42))=0,"C",IF(N(Premissas!$E$42)&gt;0,IF(MOD(INT(Cron_Uso!AB8/Premissas!$C$42)*Premissas!$C$42,N(Premissas!$E$42))=0,"B",IF(N(Premissas!$D$42)&gt;0,IF(MOD(INT(Cron_Uso!AB8/Premissas!$C$42)*Premissas!$C$42,N(Premissas!$D$42))=0,"A","S"),"S")),IF(N(Premissas!$D$42)&gt;0,IF(MOD(INT(Cron_Uso!AB8/Premissas!$C$42)*Premissas!$C$42,N(Premissas!$D$42))=0,"A","S"),"S"))),IF(N(Premissas!$E$42)&gt;0,IF(MOD(INT(Cron_Uso!AB8/Premissas!$C$42)*Premissas!$C$42,N(Premissas!$E$42))=0,"B",IF(N(Premissas!$D$42)&gt;0,IF(MOD(INT(Cron_Uso!AB8/Premissas!$C$42)*Premissas!$C$42,N(Premissas!$D$42))=0,"A","S"),"S")),IF(N(Premissas!$D$42)&gt;0,IF(MOD(INT(Cron_Uso!AB8/Premissas!$C$42)*Premissas!$C$42,N(Premissas!$D$42))=0,"A","S"),"S"))),"")</f>
        <v/>
      </c>
      <c r="AC8" s="22" t="str">
        <f>IF(INT(Cron_Uso!AC8/Premissas!$C$42)&gt;INT(Cron_Uso!AB8/Premissas!$C$42),IF(N(Premissas!$F$42)&gt;0,IF(MOD(INT(Cron_Uso!AC8/Premissas!$C$42)*Premissas!$C$42,N(Premissas!$F$42))=0,"C",IF(N(Premissas!$E$42)&gt;0,IF(MOD(INT(Cron_Uso!AC8/Premissas!$C$42)*Premissas!$C$42,N(Premissas!$E$42))=0,"B",IF(N(Premissas!$D$42)&gt;0,IF(MOD(INT(Cron_Uso!AC8/Premissas!$C$42)*Premissas!$C$42,N(Premissas!$D$42))=0,"A","S"),"S")),IF(N(Premissas!$D$42)&gt;0,IF(MOD(INT(Cron_Uso!AC8/Premissas!$C$42)*Premissas!$C$42,N(Premissas!$D$42))=0,"A","S"),"S"))),IF(N(Premissas!$E$42)&gt;0,IF(MOD(INT(Cron_Uso!AC8/Premissas!$C$42)*Premissas!$C$42,N(Premissas!$E$42))=0,"B",IF(N(Premissas!$D$42)&gt;0,IF(MOD(INT(Cron_Uso!AC8/Premissas!$C$42)*Premissas!$C$42,N(Premissas!$D$42))=0,"A","S"),"S")),IF(N(Premissas!$D$42)&gt;0,IF(MOD(INT(Cron_Uso!AC8/Premissas!$C$42)*Premissas!$C$42,N(Premissas!$D$42))=0,"A","S"),"S"))),"")</f>
        <v>S</v>
      </c>
      <c r="AD8" s="22" t="str">
        <f>IF(INT(Cron_Uso!AD8/Premissas!$C$42)&gt;INT(Cron_Uso!AC8/Premissas!$C$42),IF(N(Premissas!$F$42)&gt;0,IF(MOD(INT(Cron_Uso!AD8/Premissas!$C$42)*Premissas!$C$42,N(Premissas!$F$42))=0,"C",IF(N(Premissas!$E$42)&gt;0,IF(MOD(INT(Cron_Uso!AD8/Premissas!$C$42)*Premissas!$C$42,N(Premissas!$E$42))=0,"B",IF(N(Premissas!$D$42)&gt;0,IF(MOD(INT(Cron_Uso!AD8/Premissas!$C$42)*Premissas!$C$42,N(Premissas!$D$42))=0,"A","S"),"S")),IF(N(Premissas!$D$42)&gt;0,IF(MOD(INT(Cron_Uso!AD8/Premissas!$C$42)*Premissas!$C$42,N(Premissas!$D$42))=0,"A","S"),"S"))),IF(N(Premissas!$E$42)&gt;0,IF(MOD(INT(Cron_Uso!AD8/Premissas!$C$42)*Premissas!$C$42,N(Premissas!$E$42))=0,"B",IF(N(Premissas!$D$42)&gt;0,IF(MOD(INT(Cron_Uso!AD8/Premissas!$C$42)*Premissas!$C$42,N(Premissas!$D$42))=0,"A","S"),"S")),IF(N(Premissas!$D$42)&gt;0,IF(MOD(INT(Cron_Uso!AD8/Premissas!$C$42)*Premissas!$C$42,N(Premissas!$D$42))=0,"A","S"),"S"))),"")</f>
        <v/>
      </c>
      <c r="AE8" s="22" t="str">
        <f>IF(INT(Cron_Uso!AE8/Premissas!$C$42)&gt;INT(Cron_Uso!AD8/Premissas!$C$42),IF(N(Premissas!$F$42)&gt;0,IF(MOD(INT(Cron_Uso!AE8/Premissas!$C$42)*Premissas!$C$42,N(Premissas!$F$42))=0,"C",IF(N(Premissas!$E$42)&gt;0,IF(MOD(INT(Cron_Uso!AE8/Premissas!$C$42)*Premissas!$C$42,N(Premissas!$E$42))=0,"B",IF(N(Premissas!$D$42)&gt;0,IF(MOD(INT(Cron_Uso!AE8/Premissas!$C$42)*Premissas!$C$42,N(Premissas!$D$42))=0,"A","S"),"S")),IF(N(Premissas!$D$42)&gt;0,IF(MOD(INT(Cron_Uso!AE8/Premissas!$C$42)*Premissas!$C$42,N(Premissas!$D$42))=0,"A","S"),"S"))),IF(N(Premissas!$E$42)&gt;0,IF(MOD(INT(Cron_Uso!AE8/Premissas!$C$42)*Premissas!$C$42,N(Premissas!$E$42))=0,"B",IF(N(Premissas!$D$42)&gt;0,IF(MOD(INT(Cron_Uso!AE8/Premissas!$C$42)*Premissas!$C$42,N(Premissas!$D$42))=0,"A","S"),"S")),IF(N(Premissas!$D$42)&gt;0,IF(MOD(INT(Cron_Uso!AE8/Premissas!$C$42)*Premissas!$C$42,N(Premissas!$D$42))=0,"A","S"),"S"))),"")</f>
        <v/>
      </c>
      <c r="AF8" s="22" t="str">
        <f>IF(INT(Cron_Uso!AF8/Premissas!$C$42)&gt;INT(Cron_Uso!AE8/Premissas!$C$42),IF(N(Premissas!$F$42)&gt;0,IF(MOD(INT(Cron_Uso!AF8/Premissas!$C$42)*Premissas!$C$42,N(Premissas!$F$42))=0,"C",IF(N(Premissas!$E$42)&gt;0,IF(MOD(INT(Cron_Uso!AF8/Premissas!$C$42)*Premissas!$C$42,N(Premissas!$E$42))=0,"B",IF(N(Premissas!$D$42)&gt;0,IF(MOD(INT(Cron_Uso!AF8/Premissas!$C$42)*Premissas!$C$42,N(Premissas!$D$42))=0,"A","S"),"S")),IF(N(Premissas!$D$42)&gt;0,IF(MOD(INT(Cron_Uso!AF8/Premissas!$C$42)*Premissas!$C$42,N(Premissas!$D$42))=0,"A","S"),"S"))),IF(N(Premissas!$E$42)&gt;0,IF(MOD(INT(Cron_Uso!AF8/Premissas!$C$42)*Premissas!$C$42,N(Premissas!$E$42))=0,"B",IF(N(Premissas!$D$42)&gt;0,IF(MOD(INT(Cron_Uso!AF8/Premissas!$C$42)*Premissas!$C$42,N(Premissas!$D$42))=0,"A","S"),"S")),IF(N(Premissas!$D$42)&gt;0,IF(MOD(INT(Cron_Uso!AF8/Premissas!$C$42)*Premissas!$C$42,N(Premissas!$D$42))=0,"A","S"),"S"))),"")</f>
        <v/>
      </c>
      <c r="AG8" s="22" t="str">
        <f>IF(INT(Cron_Uso!AG8/Premissas!$C$42)&gt;INT(Cron_Uso!AF8/Premissas!$C$42),IF(N(Premissas!$F$42)&gt;0,IF(MOD(INT(Cron_Uso!AG8/Premissas!$C$42)*Premissas!$C$42,N(Premissas!$F$42))=0,"C",IF(N(Premissas!$E$42)&gt;0,IF(MOD(INT(Cron_Uso!AG8/Premissas!$C$42)*Premissas!$C$42,N(Premissas!$E$42))=0,"B",IF(N(Premissas!$D$42)&gt;0,IF(MOD(INT(Cron_Uso!AG8/Premissas!$C$42)*Premissas!$C$42,N(Premissas!$D$42))=0,"A","S"),"S")),IF(N(Premissas!$D$42)&gt;0,IF(MOD(INT(Cron_Uso!AG8/Premissas!$C$42)*Premissas!$C$42,N(Premissas!$D$42))=0,"A","S"),"S"))),IF(N(Premissas!$E$42)&gt;0,IF(MOD(INT(Cron_Uso!AG8/Premissas!$C$42)*Premissas!$C$42,N(Premissas!$E$42))=0,"B",IF(N(Premissas!$D$42)&gt;0,IF(MOD(INT(Cron_Uso!AG8/Premissas!$C$42)*Premissas!$C$42,N(Premissas!$D$42))=0,"A","S"),"S")),IF(N(Premissas!$D$42)&gt;0,IF(MOD(INT(Cron_Uso!AG8/Premissas!$C$42)*Premissas!$C$42,N(Premissas!$D$42))=0,"A","S"),"S"))),"")</f>
        <v/>
      </c>
      <c r="AH8" s="22" t="str">
        <f>IF(INT(Cron_Uso!AH8/Premissas!$C$42)&gt;INT(Cron_Uso!AG8/Premissas!$C$42),IF(N(Premissas!$F$42)&gt;0,IF(MOD(INT(Cron_Uso!AH8/Premissas!$C$42)*Premissas!$C$42,N(Premissas!$F$42))=0,"C",IF(N(Premissas!$E$42)&gt;0,IF(MOD(INT(Cron_Uso!AH8/Premissas!$C$42)*Premissas!$C$42,N(Premissas!$E$42))=0,"B",IF(N(Premissas!$D$42)&gt;0,IF(MOD(INT(Cron_Uso!AH8/Premissas!$C$42)*Premissas!$C$42,N(Premissas!$D$42))=0,"A","S"),"S")),IF(N(Premissas!$D$42)&gt;0,IF(MOD(INT(Cron_Uso!AH8/Premissas!$C$42)*Premissas!$C$42,N(Premissas!$D$42))=0,"A","S"),"S"))),IF(N(Premissas!$E$42)&gt;0,IF(MOD(INT(Cron_Uso!AH8/Premissas!$C$42)*Premissas!$C$42,N(Premissas!$E$42))=0,"B",IF(N(Premissas!$D$42)&gt;0,IF(MOD(INT(Cron_Uso!AH8/Premissas!$C$42)*Premissas!$C$42,N(Premissas!$D$42))=0,"A","S"),"S")),IF(N(Premissas!$D$42)&gt;0,IF(MOD(INT(Cron_Uso!AH8/Premissas!$C$42)*Premissas!$C$42,N(Premissas!$D$42))=0,"A","S"),"S"))),"")</f>
        <v/>
      </c>
      <c r="AI8" s="22" t="str">
        <f>IF(INT(Cron_Uso!AI8/Premissas!$C$42)&gt;INT(Cron_Uso!AH8/Premissas!$C$42),IF(N(Premissas!$F$42)&gt;0,IF(MOD(INT(Cron_Uso!AI8/Premissas!$C$42)*Premissas!$C$42,N(Premissas!$F$42))=0,"C",IF(N(Premissas!$E$42)&gt;0,IF(MOD(INT(Cron_Uso!AI8/Premissas!$C$42)*Premissas!$C$42,N(Premissas!$E$42))=0,"B",IF(N(Premissas!$D$42)&gt;0,IF(MOD(INT(Cron_Uso!AI8/Premissas!$C$42)*Premissas!$C$42,N(Premissas!$D$42))=0,"A","S"),"S")),IF(N(Premissas!$D$42)&gt;0,IF(MOD(INT(Cron_Uso!AI8/Premissas!$C$42)*Premissas!$C$42,N(Premissas!$D$42))=0,"A","S"),"S"))),IF(N(Premissas!$E$42)&gt;0,IF(MOD(INT(Cron_Uso!AI8/Premissas!$C$42)*Premissas!$C$42,N(Premissas!$E$42))=0,"B",IF(N(Premissas!$D$42)&gt;0,IF(MOD(INT(Cron_Uso!AI8/Premissas!$C$42)*Premissas!$C$42,N(Premissas!$D$42))=0,"A","S"),"S")),IF(N(Premissas!$D$42)&gt;0,IF(MOD(INT(Cron_Uso!AI8/Premissas!$C$42)*Premissas!$C$42,N(Premissas!$D$42))=0,"A","S"),"S"))),"")</f>
        <v/>
      </c>
      <c r="AJ8" s="22" t="str">
        <f>IF(INT(Cron_Uso!AJ8/Premissas!$C$42)&gt;INT(Cron_Uso!AI8/Premissas!$C$42),IF(N(Premissas!$F$42)&gt;0,IF(MOD(INT(Cron_Uso!AJ8/Premissas!$C$42)*Premissas!$C$42,N(Premissas!$F$42))=0,"C",IF(N(Premissas!$E$42)&gt;0,IF(MOD(INT(Cron_Uso!AJ8/Premissas!$C$42)*Premissas!$C$42,N(Premissas!$E$42))=0,"B",IF(N(Premissas!$D$42)&gt;0,IF(MOD(INT(Cron_Uso!AJ8/Premissas!$C$42)*Premissas!$C$42,N(Premissas!$D$42))=0,"A","S"),"S")),IF(N(Premissas!$D$42)&gt;0,IF(MOD(INT(Cron_Uso!AJ8/Premissas!$C$42)*Premissas!$C$42,N(Premissas!$D$42))=0,"A","S"),"S"))),IF(N(Premissas!$E$42)&gt;0,IF(MOD(INT(Cron_Uso!AJ8/Premissas!$C$42)*Premissas!$C$42,N(Premissas!$E$42))=0,"B",IF(N(Premissas!$D$42)&gt;0,IF(MOD(INT(Cron_Uso!AJ8/Premissas!$C$42)*Premissas!$C$42,N(Premissas!$D$42))=0,"A","S"),"S")),IF(N(Premissas!$D$42)&gt;0,IF(MOD(INT(Cron_Uso!AJ8/Premissas!$C$42)*Premissas!$C$42,N(Premissas!$D$42))=0,"A","S"),"S"))),"")</f>
        <v/>
      </c>
      <c r="AK8" s="22" t="str">
        <f>IF(INT(Cron_Uso!AK8/Premissas!$C$42)&gt;INT(Cron_Uso!AJ8/Premissas!$C$42),IF(N(Premissas!$F$42)&gt;0,IF(MOD(INT(Cron_Uso!AK8/Premissas!$C$42)*Premissas!$C$42,N(Premissas!$F$42))=0,"C",IF(N(Premissas!$E$42)&gt;0,IF(MOD(INT(Cron_Uso!AK8/Premissas!$C$42)*Premissas!$C$42,N(Premissas!$E$42))=0,"B",IF(N(Premissas!$D$42)&gt;0,IF(MOD(INT(Cron_Uso!AK8/Premissas!$C$42)*Premissas!$C$42,N(Premissas!$D$42))=0,"A","S"),"S")),IF(N(Premissas!$D$42)&gt;0,IF(MOD(INT(Cron_Uso!AK8/Premissas!$C$42)*Premissas!$C$42,N(Premissas!$D$42))=0,"A","S"),"S"))),IF(N(Premissas!$E$42)&gt;0,IF(MOD(INT(Cron_Uso!AK8/Premissas!$C$42)*Premissas!$C$42,N(Premissas!$E$42))=0,"B",IF(N(Premissas!$D$42)&gt;0,IF(MOD(INT(Cron_Uso!AK8/Premissas!$C$42)*Premissas!$C$42,N(Premissas!$D$42))=0,"A","S"),"S")),IF(N(Premissas!$D$42)&gt;0,IF(MOD(INT(Cron_Uso!AK8/Premissas!$C$42)*Premissas!$C$42,N(Premissas!$D$42))=0,"A","S"),"S"))),"")</f>
        <v/>
      </c>
      <c r="AL8" s="22" t="str">
        <f>IF(INT(Cron_Uso!AL8/Premissas!$C$42)&gt;INT(Cron_Uso!AK8/Premissas!$C$42),IF(N(Premissas!$F$42)&gt;0,IF(MOD(INT(Cron_Uso!AL8/Premissas!$C$42)*Premissas!$C$42,N(Premissas!$F$42))=0,"C",IF(N(Premissas!$E$42)&gt;0,IF(MOD(INT(Cron_Uso!AL8/Premissas!$C$42)*Premissas!$C$42,N(Premissas!$E$42))=0,"B",IF(N(Premissas!$D$42)&gt;0,IF(MOD(INT(Cron_Uso!AL8/Premissas!$C$42)*Premissas!$C$42,N(Premissas!$D$42))=0,"A","S"),"S")),IF(N(Premissas!$D$42)&gt;0,IF(MOD(INT(Cron_Uso!AL8/Premissas!$C$42)*Premissas!$C$42,N(Premissas!$D$42))=0,"A","S"),"S"))),IF(N(Premissas!$E$42)&gt;0,IF(MOD(INT(Cron_Uso!AL8/Premissas!$C$42)*Premissas!$C$42,N(Premissas!$E$42))=0,"B",IF(N(Premissas!$D$42)&gt;0,IF(MOD(INT(Cron_Uso!AL8/Premissas!$C$42)*Premissas!$C$42,N(Premissas!$D$42))=0,"A","S"),"S")),IF(N(Premissas!$D$42)&gt;0,IF(MOD(INT(Cron_Uso!AL8/Premissas!$C$42)*Premissas!$C$42,N(Premissas!$D$42))=0,"A","S"),"S"))),"")</f>
        <v/>
      </c>
      <c r="AM8" s="22" t="str">
        <f>IF(INT(Cron_Uso!AM8/Premissas!$C$42)&gt;INT(Cron_Uso!AL8/Premissas!$C$42),IF(N(Premissas!$F$42)&gt;0,IF(MOD(INT(Cron_Uso!AM8/Premissas!$C$42)*Premissas!$C$42,N(Premissas!$F$42))=0,"C",IF(N(Premissas!$E$42)&gt;0,IF(MOD(INT(Cron_Uso!AM8/Premissas!$C$42)*Premissas!$C$42,N(Premissas!$E$42))=0,"B",IF(N(Premissas!$D$42)&gt;0,IF(MOD(INT(Cron_Uso!AM8/Premissas!$C$42)*Premissas!$C$42,N(Premissas!$D$42))=0,"A","S"),"S")),IF(N(Premissas!$D$42)&gt;0,IF(MOD(INT(Cron_Uso!AM8/Premissas!$C$42)*Premissas!$C$42,N(Premissas!$D$42))=0,"A","S"),"S"))),IF(N(Premissas!$E$42)&gt;0,IF(MOD(INT(Cron_Uso!AM8/Premissas!$C$42)*Premissas!$C$42,N(Premissas!$E$42))=0,"B",IF(N(Premissas!$D$42)&gt;0,IF(MOD(INT(Cron_Uso!AM8/Premissas!$C$42)*Premissas!$C$42,N(Premissas!$D$42))=0,"A","S"),"S")),IF(N(Premissas!$D$42)&gt;0,IF(MOD(INT(Cron_Uso!AM8/Premissas!$C$42)*Premissas!$C$42,N(Premissas!$D$42))=0,"A","S"),"S"))),"")</f>
        <v/>
      </c>
      <c r="AN8" s="22" t="str">
        <f>IF(INT(Cron_Uso!AN8/Premissas!$C$42)&gt;INT(Cron_Uso!AM8/Premissas!$C$42),IF(N(Premissas!$F$42)&gt;0,IF(MOD(INT(Cron_Uso!AN8/Premissas!$C$42)*Premissas!$C$42,N(Premissas!$F$42))=0,"C",IF(N(Premissas!$E$42)&gt;0,IF(MOD(INT(Cron_Uso!AN8/Premissas!$C$42)*Premissas!$C$42,N(Premissas!$E$42))=0,"B",IF(N(Premissas!$D$42)&gt;0,IF(MOD(INT(Cron_Uso!AN8/Premissas!$C$42)*Premissas!$C$42,N(Premissas!$D$42))=0,"A","S"),"S")),IF(N(Premissas!$D$42)&gt;0,IF(MOD(INT(Cron_Uso!AN8/Premissas!$C$42)*Premissas!$C$42,N(Premissas!$D$42))=0,"A","S"),"S"))),IF(N(Premissas!$E$42)&gt;0,IF(MOD(INT(Cron_Uso!AN8/Premissas!$C$42)*Premissas!$C$42,N(Premissas!$E$42))=0,"B",IF(N(Premissas!$D$42)&gt;0,IF(MOD(INT(Cron_Uso!AN8/Premissas!$C$42)*Premissas!$C$42,N(Premissas!$D$42))=0,"A","S"),"S")),IF(N(Premissas!$D$42)&gt;0,IF(MOD(INT(Cron_Uso!AN8/Premissas!$C$42)*Premissas!$C$42,N(Premissas!$D$42))=0,"A","S"),"S"))),"")</f>
        <v/>
      </c>
      <c r="AO8" s="22" t="str">
        <f>IF(INT(Cron_Uso!AO8/Premissas!$C$42)&gt;INT(Cron_Uso!AN8/Premissas!$C$42),IF(N(Premissas!$F$42)&gt;0,IF(MOD(INT(Cron_Uso!AO8/Premissas!$C$42)*Premissas!$C$42,N(Premissas!$F$42))=0,"C",IF(N(Premissas!$E$42)&gt;0,IF(MOD(INT(Cron_Uso!AO8/Premissas!$C$42)*Premissas!$C$42,N(Premissas!$E$42))=0,"B",IF(N(Premissas!$D$42)&gt;0,IF(MOD(INT(Cron_Uso!AO8/Premissas!$C$42)*Premissas!$C$42,N(Premissas!$D$42))=0,"A","S"),"S")),IF(N(Premissas!$D$42)&gt;0,IF(MOD(INT(Cron_Uso!AO8/Premissas!$C$42)*Premissas!$C$42,N(Premissas!$D$42))=0,"A","S"),"S"))),IF(N(Premissas!$E$42)&gt;0,IF(MOD(INT(Cron_Uso!AO8/Premissas!$C$42)*Premissas!$C$42,N(Premissas!$E$42))=0,"B",IF(N(Premissas!$D$42)&gt;0,IF(MOD(INT(Cron_Uso!AO8/Premissas!$C$42)*Premissas!$C$42,N(Premissas!$D$42))=0,"A","S"),"S")),IF(N(Premissas!$D$42)&gt;0,IF(MOD(INT(Cron_Uso!AO8/Premissas!$C$42)*Premissas!$C$42,N(Premissas!$D$42))=0,"A","S"),"S"))),"")</f>
        <v/>
      </c>
      <c r="AP8" s="22" t="str">
        <f>IF(INT(Cron_Uso!AP8/Premissas!$C$42)&gt;INT(Cron_Uso!AO8/Premissas!$C$42),IF(N(Premissas!$F$42)&gt;0,IF(MOD(INT(Cron_Uso!AP8/Premissas!$C$42)*Premissas!$C$42,N(Premissas!$F$42))=0,"C",IF(N(Premissas!$E$42)&gt;0,IF(MOD(INT(Cron_Uso!AP8/Premissas!$C$42)*Premissas!$C$42,N(Premissas!$E$42))=0,"B",IF(N(Premissas!$D$42)&gt;0,IF(MOD(INT(Cron_Uso!AP8/Premissas!$C$42)*Premissas!$C$42,N(Premissas!$D$42))=0,"A","S"),"S")),IF(N(Premissas!$D$42)&gt;0,IF(MOD(INT(Cron_Uso!AP8/Premissas!$C$42)*Premissas!$C$42,N(Premissas!$D$42))=0,"A","S"),"S"))),IF(N(Premissas!$E$42)&gt;0,IF(MOD(INT(Cron_Uso!AP8/Premissas!$C$42)*Premissas!$C$42,N(Premissas!$E$42))=0,"B",IF(N(Premissas!$D$42)&gt;0,IF(MOD(INT(Cron_Uso!AP8/Premissas!$C$42)*Premissas!$C$42,N(Premissas!$D$42))=0,"A","S"),"S")),IF(N(Premissas!$D$42)&gt;0,IF(MOD(INT(Cron_Uso!AP8/Premissas!$C$42)*Premissas!$C$42,N(Premissas!$D$42))=0,"A","S"),"S"))),"")</f>
        <v/>
      </c>
      <c r="AQ8" s="22" t="str">
        <f>IF(INT(Cron_Uso!AQ8/Premissas!$C$42)&gt;INT(Cron_Uso!AP8/Premissas!$C$42),IF(N(Premissas!$F$42)&gt;0,IF(MOD(INT(Cron_Uso!AQ8/Premissas!$C$42)*Premissas!$C$42,N(Premissas!$F$42))=0,"C",IF(N(Premissas!$E$42)&gt;0,IF(MOD(INT(Cron_Uso!AQ8/Premissas!$C$42)*Premissas!$C$42,N(Premissas!$E$42))=0,"B",IF(N(Premissas!$D$42)&gt;0,IF(MOD(INT(Cron_Uso!AQ8/Premissas!$C$42)*Premissas!$C$42,N(Premissas!$D$42))=0,"A","S"),"S")),IF(N(Premissas!$D$42)&gt;0,IF(MOD(INT(Cron_Uso!AQ8/Premissas!$C$42)*Premissas!$C$42,N(Premissas!$D$42))=0,"A","S"),"S"))),IF(N(Premissas!$E$42)&gt;0,IF(MOD(INT(Cron_Uso!AQ8/Premissas!$C$42)*Premissas!$C$42,N(Premissas!$E$42))=0,"B",IF(N(Premissas!$D$42)&gt;0,IF(MOD(INT(Cron_Uso!AQ8/Premissas!$C$42)*Premissas!$C$42,N(Premissas!$D$42))=0,"A","S"),"S")),IF(N(Premissas!$D$42)&gt;0,IF(MOD(INT(Cron_Uso!AQ8/Premissas!$C$42)*Premissas!$C$42,N(Premissas!$D$42))=0,"A","S"),"S"))),"")</f>
        <v>A</v>
      </c>
      <c r="AR8" s="22" t="str">
        <f>IF(INT(Cron_Uso!AR8/Premissas!$C$42)&gt;INT(Cron_Uso!AQ8/Premissas!$C$42),IF(N(Premissas!$F$42)&gt;0,IF(MOD(INT(Cron_Uso!AR8/Premissas!$C$42)*Premissas!$C$42,N(Premissas!$F$42))=0,"C",IF(N(Premissas!$E$42)&gt;0,IF(MOD(INT(Cron_Uso!AR8/Premissas!$C$42)*Premissas!$C$42,N(Premissas!$E$42))=0,"B",IF(N(Premissas!$D$42)&gt;0,IF(MOD(INT(Cron_Uso!AR8/Premissas!$C$42)*Premissas!$C$42,N(Premissas!$D$42))=0,"A","S"),"S")),IF(N(Premissas!$D$42)&gt;0,IF(MOD(INT(Cron_Uso!AR8/Premissas!$C$42)*Premissas!$C$42,N(Premissas!$D$42))=0,"A","S"),"S"))),IF(N(Premissas!$E$42)&gt;0,IF(MOD(INT(Cron_Uso!AR8/Premissas!$C$42)*Premissas!$C$42,N(Premissas!$E$42))=0,"B",IF(N(Premissas!$D$42)&gt;0,IF(MOD(INT(Cron_Uso!AR8/Premissas!$C$42)*Premissas!$C$42,N(Premissas!$D$42))=0,"A","S"),"S")),IF(N(Premissas!$D$42)&gt;0,IF(MOD(INT(Cron_Uso!AR8/Premissas!$C$42)*Premissas!$C$42,N(Premissas!$D$42))=0,"A","S"),"S"))),"")</f>
        <v/>
      </c>
      <c r="AS8" s="22" t="str">
        <f>IF(INT(Cron_Uso!AS8/Premissas!$C$42)&gt;INT(Cron_Uso!AR8/Premissas!$C$42),IF(N(Premissas!$F$42)&gt;0,IF(MOD(INT(Cron_Uso!AS8/Premissas!$C$42)*Premissas!$C$42,N(Premissas!$F$42))=0,"C",IF(N(Premissas!$E$42)&gt;0,IF(MOD(INT(Cron_Uso!AS8/Premissas!$C$42)*Premissas!$C$42,N(Premissas!$E$42))=0,"B",IF(N(Premissas!$D$42)&gt;0,IF(MOD(INT(Cron_Uso!AS8/Premissas!$C$42)*Premissas!$C$42,N(Premissas!$D$42))=0,"A","S"),"S")),IF(N(Premissas!$D$42)&gt;0,IF(MOD(INT(Cron_Uso!AS8/Premissas!$C$42)*Premissas!$C$42,N(Premissas!$D$42))=0,"A","S"),"S"))),IF(N(Premissas!$E$42)&gt;0,IF(MOD(INT(Cron_Uso!AS8/Premissas!$C$42)*Premissas!$C$42,N(Premissas!$E$42))=0,"B",IF(N(Premissas!$D$42)&gt;0,IF(MOD(INT(Cron_Uso!AS8/Premissas!$C$42)*Premissas!$C$42,N(Premissas!$D$42))=0,"A","S"),"S")),IF(N(Premissas!$D$42)&gt;0,IF(MOD(INT(Cron_Uso!AS8/Premissas!$C$42)*Premissas!$C$42,N(Premissas!$D$42))=0,"A","S"),"S"))),"")</f>
        <v/>
      </c>
      <c r="AT8" s="22" t="str">
        <f>IF(INT(Cron_Uso!AT8/Premissas!$C$42)&gt;INT(Cron_Uso!AS8/Premissas!$C$42),IF(N(Premissas!$F$42)&gt;0,IF(MOD(INT(Cron_Uso!AT8/Premissas!$C$42)*Premissas!$C$42,N(Premissas!$F$42))=0,"C",IF(N(Premissas!$E$42)&gt;0,IF(MOD(INT(Cron_Uso!AT8/Premissas!$C$42)*Premissas!$C$42,N(Premissas!$E$42))=0,"B",IF(N(Premissas!$D$42)&gt;0,IF(MOD(INT(Cron_Uso!AT8/Premissas!$C$42)*Premissas!$C$42,N(Premissas!$D$42))=0,"A","S"),"S")),IF(N(Premissas!$D$42)&gt;0,IF(MOD(INT(Cron_Uso!AT8/Premissas!$C$42)*Premissas!$C$42,N(Premissas!$D$42))=0,"A","S"),"S"))),IF(N(Premissas!$E$42)&gt;0,IF(MOD(INT(Cron_Uso!AT8/Premissas!$C$42)*Premissas!$C$42,N(Premissas!$E$42))=0,"B",IF(N(Premissas!$D$42)&gt;0,IF(MOD(INT(Cron_Uso!AT8/Premissas!$C$42)*Premissas!$C$42,N(Premissas!$D$42))=0,"A","S"),"S")),IF(N(Premissas!$D$42)&gt;0,IF(MOD(INT(Cron_Uso!AT8/Premissas!$C$42)*Premissas!$C$42,N(Premissas!$D$42))=0,"A","S"),"S"))),"")</f>
        <v/>
      </c>
      <c r="AU8" s="22" t="str">
        <f>IF(INT(Cron_Uso!AU8/Premissas!$C$42)&gt;INT(Cron_Uso!AT8/Premissas!$C$42),IF(N(Premissas!$F$42)&gt;0,IF(MOD(INT(Cron_Uso!AU8/Premissas!$C$42)*Premissas!$C$42,N(Premissas!$F$42))=0,"C",IF(N(Premissas!$E$42)&gt;0,IF(MOD(INT(Cron_Uso!AU8/Premissas!$C$42)*Premissas!$C$42,N(Premissas!$E$42))=0,"B",IF(N(Premissas!$D$42)&gt;0,IF(MOD(INT(Cron_Uso!AU8/Premissas!$C$42)*Premissas!$C$42,N(Premissas!$D$42))=0,"A","S"),"S")),IF(N(Premissas!$D$42)&gt;0,IF(MOD(INT(Cron_Uso!AU8/Premissas!$C$42)*Premissas!$C$42,N(Premissas!$D$42))=0,"A","S"),"S"))),IF(N(Premissas!$E$42)&gt;0,IF(MOD(INT(Cron_Uso!AU8/Premissas!$C$42)*Premissas!$C$42,N(Premissas!$E$42))=0,"B",IF(N(Premissas!$D$42)&gt;0,IF(MOD(INT(Cron_Uso!AU8/Premissas!$C$42)*Premissas!$C$42,N(Premissas!$D$42))=0,"A","S"),"S")),IF(N(Premissas!$D$42)&gt;0,IF(MOD(INT(Cron_Uso!AU8/Premissas!$C$42)*Premissas!$C$42,N(Premissas!$D$42))=0,"A","S"),"S"))),"")</f>
        <v/>
      </c>
      <c r="AV8" s="22" t="str">
        <f>IF(INT(Cron_Uso!AV8/Premissas!$C$42)&gt;INT(Cron_Uso!AU8/Premissas!$C$42),IF(N(Premissas!$F$42)&gt;0,IF(MOD(INT(Cron_Uso!AV8/Premissas!$C$42)*Premissas!$C$42,N(Premissas!$F$42))=0,"C",IF(N(Premissas!$E$42)&gt;0,IF(MOD(INT(Cron_Uso!AV8/Premissas!$C$42)*Premissas!$C$42,N(Premissas!$E$42))=0,"B",IF(N(Premissas!$D$42)&gt;0,IF(MOD(INT(Cron_Uso!AV8/Premissas!$C$42)*Premissas!$C$42,N(Premissas!$D$42))=0,"A","S"),"S")),IF(N(Premissas!$D$42)&gt;0,IF(MOD(INT(Cron_Uso!AV8/Premissas!$C$42)*Premissas!$C$42,N(Premissas!$D$42))=0,"A","S"),"S"))),IF(N(Premissas!$E$42)&gt;0,IF(MOD(INT(Cron_Uso!AV8/Premissas!$C$42)*Premissas!$C$42,N(Premissas!$E$42))=0,"B",IF(N(Premissas!$D$42)&gt;0,IF(MOD(INT(Cron_Uso!AV8/Premissas!$C$42)*Premissas!$C$42,N(Premissas!$D$42))=0,"A","S"),"S")),IF(N(Premissas!$D$42)&gt;0,IF(MOD(INT(Cron_Uso!AV8/Premissas!$C$42)*Premissas!$C$42,N(Premissas!$D$42))=0,"A","S"),"S"))),"")</f>
        <v/>
      </c>
      <c r="AW8" s="22" t="str">
        <f>IF(INT(Cron_Uso!AW8/Premissas!$C$42)&gt;INT(Cron_Uso!AV8/Premissas!$C$42),IF(N(Premissas!$F$42)&gt;0,IF(MOD(INT(Cron_Uso!AW8/Premissas!$C$42)*Premissas!$C$42,N(Premissas!$F$42))=0,"C",IF(N(Premissas!$E$42)&gt;0,IF(MOD(INT(Cron_Uso!AW8/Premissas!$C$42)*Premissas!$C$42,N(Premissas!$E$42))=0,"B",IF(N(Premissas!$D$42)&gt;0,IF(MOD(INT(Cron_Uso!AW8/Premissas!$C$42)*Premissas!$C$42,N(Premissas!$D$42))=0,"A","S"),"S")),IF(N(Premissas!$D$42)&gt;0,IF(MOD(INT(Cron_Uso!AW8/Premissas!$C$42)*Premissas!$C$42,N(Premissas!$D$42))=0,"A","S"),"S"))),IF(N(Premissas!$E$42)&gt;0,IF(MOD(INT(Cron_Uso!AW8/Premissas!$C$42)*Premissas!$C$42,N(Premissas!$E$42))=0,"B",IF(N(Premissas!$D$42)&gt;0,IF(MOD(INT(Cron_Uso!AW8/Premissas!$C$42)*Premissas!$C$42,N(Premissas!$D$42))=0,"A","S"),"S")),IF(N(Premissas!$D$42)&gt;0,IF(MOD(INT(Cron_Uso!AW8/Premissas!$C$42)*Premissas!$C$42,N(Premissas!$D$42))=0,"A","S"),"S"))),"")</f>
        <v/>
      </c>
      <c r="AX8" s="22" t="str">
        <f>IF(INT(Cron_Uso!AX8/Premissas!$C$42)&gt;INT(Cron_Uso!AW8/Premissas!$C$42),IF(N(Premissas!$F$42)&gt;0,IF(MOD(INT(Cron_Uso!AX8/Premissas!$C$42)*Premissas!$C$42,N(Premissas!$F$42))=0,"C",IF(N(Premissas!$E$42)&gt;0,IF(MOD(INT(Cron_Uso!AX8/Premissas!$C$42)*Premissas!$C$42,N(Premissas!$E$42))=0,"B",IF(N(Premissas!$D$42)&gt;0,IF(MOD(INT(Cron_Uso!AX8/Premissas!$C$42)*Premissas!$C$42,N(Premissas!$D$42))=0,"A","S"),"S")),IF(N(Premissas!$D$42)&gt;0,IF(MOD(INT(Cron_Uso!AX8/Premissas!$C$42)*Premissas!$C$42,N(Premissas!$D$42))=0,"A","S"),"S"))),IF(N(Premissas!$E$42)&gt;0,IF(MOD(INT(Cron_Uso!AX8/Premissas!$C$42)*Premissas!$C$42,N(Premissas!$E$42))=0,"B",IF(N(Premissas!$D$42)&gt;0,IF(MOD(INT(Cron_Uso!AX8/Premissas!$C$42)*Premissas!$C$42,N(Premissas!$D$42))=0,"A","S"),"S")),IF(N(Premissas!$D$42)&gt;0,IF(MOD(INT(Cron_Uso!AX8/Premissas!$C$42)*Premissas!$C$42,N(Premissas!$D$42))=0,"A","S"),"S"))),"")</f>
        <v/>
      </c>
      <c r="AY8" s="22" t="str">
        <f>IF(INT(Cron_Uso!AY8/Premissas!$C$42)&gt;INT(Cron_Uso!AX8/Premissas!$C$42),IF(N(Premissas!$F$42)&gt;0,IF(MOD(INT(Cron_Uso!AY8/Premissas!$C$42)*Premissas!$C$42,N(Premissas!$F$42))=0,"C",IF(N(Premissas!$E$42)&gt;0,IF(MOD(INT(Cron_Uso!AY8/Premissas!$C$42)*Premissas!$C$42,N(Premissas!$E$42))=0,"B",IF(N(Premissas!$D$42)&gt;0,IF(MOD(INT(Cron_Uso!AY8/Premissas!$C$42)*Premissas!$C$42,N(Premissas!$D$42))=0,"A","S"),"S")),IF(N(Premissas!$D$42)&gt;0,IF(MOD(INT(Cron_Uso!AY8/Premissas!$C$42)*Premissas!$C$42,N(Premissas!$D$42))=0,"A","S"),"S"))),IF(N(Premissas!$E$42)&gt;0,IF(MOD(INT(Cron_Uso!AY8/Premissas!$C$42)*Premissas!$C$42,N(Premissas!$E$42))=0,"B",IF(N(Premissas!$D$42)&gt;0,IF(MOD(INT(Cron_Uso!AY8/Premissas!$C$42)*Premissas!$C$42,N(Premissas!$D$42))=0,"A","S"),"S")),IF(N(Premissas!$D$42)&gt;0,IF(MOD(INT(Cron_Uso!AY8/Premissas!$C$42)*Premissas!$C$42,N(Premissas!$D$42))=0,"A","S"),"S"))),"")</f>
        <v/>
      </c>
      <c r="AZ8" s="22" t="str">
        <f>IF(INT(Cron_Uso!AZ8/Premissas!$C$42)&gt;INT(Cron_Uso!AY8/Premissas!$C$42),IF(N(Premissas!$F$42)&gt;0,IF(MOD(INT(Cron_Uso!AZ8/Premissas!$C$42)*Premissas!$C$42,N(Premissas!$F$42))=0,"C",IF(N(Premissas!$E$42)&gt;0,IF(MOD(INT(Cron_Uso!AZ8/Premissas!$C$42)*Premissas!$C$42,N(Premissas!$E$42))=0,"B",IF(N(Premissas!$D$42)&gt;0,IF(MOD(INT(Cron_Uso!AZ8/Premissas!$C$42)*Premissas!$C$42,N(Premissas!$D$42))=0,"A","S"),"S")),IF(N(Premissas!$D$42)&gt;0,IF(MOD(INT(Cron_Uso!AZ8/Premissas!$C$42)*Premissas!$C$42,N(Premissas!$D$42))=0,"A","S"),"S"))),IF(N(Premissas!$E$42)&gt;0,IF(MOD(INT(Cron_Uso!AZ8/Premissas!$C$42)*Premissas!$C$42,N(Premissas!$E$42))=0,"B",IF(N(Premissas!$D$42)&gt;0,IF(MOD(INT(Cron_Uso!AZ8/Premissas!$C$42)*Premissas!$C$42,N(Premissas!$D$42))=0,"A","S"),"S")),IF(N(Premissas!$D$42)&gt;0,IF(MOD(INT(Cron_Uso!AZ8/Premissas!$C$42)*Premissas!$C$42,N(Premissas!$D$42))=0,"A","S"),"S"))),"")</f>
        <v/>
      </c>
      <c r="BA8" s="22" t="str">
        <f>IF(INT(Cron_Uso!BA8/Premissas!$C$42)&gt;INT(Cron_Uso!AZ8/Premissas!$C$42),IF(N(Premissas!$F$42)&gt;0,IF(MOD(INT(Cron_Uso!BA8/Premissas!$C$42)*Premissas!$C$42,N(Premissas!$F$42))=0,"C",IF(N(Premissas!$E$42)&gt;0,IF(MOD(INT(Cron_Uso!BA8/Premissas!$C$42)*Premissas!$C$42,N(Premissas!$E$42))=0,"B",IF(N(Premissas!$D$42)&gt;0,IF(MOD(INT(Cron_Uso!BA8/Premissas!$C$42)*Premissas!$C$42,N(Premissas!$D$42))=0,"A","S"),"S")),IF(N(Premissas!$D$42)&gt;0,IF(MOD(INT(Cron_Uso!BA8/Premissas!$C$42)*Premissas!$C$42,N(Premissas!$D$42))=0,"A","S"),"S"))),IF(N(Premissas!$E$42)&gt;0,IF(MOD(INT(Cron_Uso!BA8/Premissas!$C$42)*Premissas!$C$42,N(Premissas!$E$42))=0,"B",IF(N(Premissas!$D$42)&gt;0,IF(MOD(INT(Cron_Uso!BA8/Premissas!$C$42)*Premissas!$C$42,N(Premissas!$D$42))=0,"A","S"),"S")),IF(N(Premissas!$D$42)&gt;0,IF(MOD(INT(Cron_Uso!BA8/Premissas!$C$42)*Premissas!$C$42,N(Premissas!$D$42))=0,"A","S"),"S"))),"")</f>
        <v/>
      </c>
    </row>
    <row r="9" spans="1:56" ht="15" customHeight="1" x14ac:dyDescent="0.4">
      <c r="A9" s="15" t="str">
        <f>Premissas!$A$43&amp;" (×"&amp;Premissas!$I$43&amp;")"</f>
        <v>Veículo Leve (×50)</v>
      </c>
      <c r="B9" s="22" t="str">
        <f>IF(INT(Cron_Uso!B9/Premissas!$C$43)&gt;INT(Premissas!$J$43/Premissas!$C$43),IF(N(Premissas!$F$43)&gt;0,IF(MOD(INT(Cron_Uso!B9/Premissas!$C$43)*Premissas!$C$43,N(Premissas!$F$43))=0,"C",IF(N(Premissas!$E$43)&gt;0,IF(MOD(INT(Cron_Uso!B9/Premissas!$C$43)*Premissas!$C$43,N(Premissas!$E$43))=0,"B",IF(N(Premissas!$D$43)&gt;0,IF(MOD(INT(Cron_Uso!B9/Premissas!$C$43)*Premissas!$C$43,N(Premissas!$D$43))=0,"A","S"),"S")),IF(N(Premissas!$D$43)&gt;0,IF(MOD(INT(Cron_Uso!B9/Premissas!$C$43)*Premissas!$C$43,N(Premissas!$D$43))=0,"A","S"),"S"))),IF(N(Premissas!$E$43)&gt;0,IF(MOD(INT(Cron_Uso!B9/Premissas!$C$43)*Premissas!$C$43,N(Premissas!$E$43))=0,"B",IF(N(Premissas!$D$43)&gt;0,IF(MOD(INT(Cron_Uso!B9/Premissas!$C$43)*Premissas!$C$43,N(Premissas!$D$43))=0,"A","S"),"S")),IF(N(Premissas!$D$43)&gt;0,IF(MOD(INT(Cron_Uso!B9/Premissas!$C$43)*Premissas!$C$43,N(Premissas!$D$43))=0,"A","S"),"S"))),"")</f>
        <v/>
      </c>
      <c r="C9" s="22" t="str">
        <f>IF(INT(Cron_Uso!C9/Premissas!$C$43)&gt;INT(Cron_Uso!B9/Premissas!$C$43),IF(N(Premissas!$F$43)&gt;0,IF(MOD(INT(Cron_Uso!C9/Premissas!$C$43)*Premissas!$C$43,N(Premissas!$F$43))=0,"C",IF(N(Premissas!$E$43)&gt;0,IF(MOD(INT(Cron_Uso!C9/Premissas!$C$43)*Premissas!$C$43,N(Premissas!$E$43))=0,"B",IF(N(Premissas!$D$43)&gt;0,IF(MOD(INT(Cron_Uso!C9/Premissas!$C$43)*Premissas!$C$43,N(Premissas!$D$43))=0,"A","S"),"S")),IF(N(Premissas!$D$43)&gt;0,IF(MOD(INT(Cron_Uso!C9/Premissas!$C$43)*Premissas!$C$43,N(Premissas!$D$43))=0,"A","S"),"S"))),IF(N(Premissas!$E$43)&gt;0,IF(MOD(INT(Cron_Uso!C9/Premissas!$C$43)*Premissas!$C$43,N(Premissas!$E$43))=0,"B",IF(N(Premissas!$D$43)&gt;0,IF(MOD(INT(Cron_Uso!C9/Premissas!$C$43)*Premissas!$C$43,N(Premissas!$D$43))=0,"A","S"),"S")),IF(N(Premissas!$D$43)&gt;0,IF(MOD(INT(Cron_Uso!C9/Premissas!$C$43)*Premissas!$C$43,N(Premissas!$D$43))=0,"A","S"),"S"))),"")</f>
        <v/>
      </c>
      <c r="D9" s="22" t="str">
        <f>IF(INT(Cron_Uso!D9/Premissas!$C$43)&gt;INT(Cron_Uso!C9/Premissas!$C$43),IF(N(Premissas!$F$43)&gt;0,IF(MOD(INT(Cron_Uso!D9/Premissas!$C$43)*Premissas!$C$43,N(Premissas!$F$43))=0,"C",IF(N(Premissas!$E$43)&gt;0,IF(MOD(INT(Cron_Uso!D9/Premissas!$C$43)*Premissas!$C$43,N(Premissas!$E$43))=0,"B",IF(N(Premissas!$D$43)&gt;0,IF(MOD(INT(Cron_Uso!D9/Premissas!$C$43)*Premissas!$C$43,N(Premissas!$D$43))=0,"A","S"),"S")),IF(N(Premissas!$D$43)&gt;0,IF(MOD(INT(Cron_Uso!D9/Premissas!$C$43)*Premissas!$C$43,N(Premissas!$D$43))=0,"A","S"),"S"))),IF(N(Premissas!$E$43)&gt;0,IF(MOD(INT(Cron_Uso!D9/Premissas!$C$43)*Premissas!$C$43,N(Premissas!$E$43))=0,"B",IF(N(Premissas!$D$43)&gt;0,IF(MOD(INT(Cron_Uso!D9/Premissas!$C$43)*Premissas!$C$43,N(Premissas!$D$43))=0,"A","S"),"S")),IF(N(Premissas!$D$43)&gt;0,IF(MOD(INT(Cron_Uso!D9/Premissas!$C$43)*Premissas!$C$43,N(Premissas!$D$43))=0,"A","S"),"S"))),"")</f>
        <v/>
      </c>
      <c r="E9" s="22" t="str">
        <f>IF(INT(Cron_Uso!E9/Premissas!$C$43)&gt;INT(Cron_Uso!D9/Premissas!$C$43),IF(N(Premissas!$F$43)&gt;0,IF(MOD(INT(Cron_Uso!E9/Premissas!$C$43)*Premissas!$C$43,N(Premissas!$F$43))=0,"C",IF(N(Premissas!$E$43)&gt;0,IF(MOD(INT(Cron_Uso!E9/Premissas!$C$43)*Premissas!$C$43,N(Premissas!$E$43))=0,"B",IF(N(Premissas!$D$43)&gt;0,IF(MOD(INT(Cron_Uso!E9/Premissas!$C$43)*Premissas!$C$43,N(Premissas!$D$43))=0,"A","S"),"S")),IF(N(Premissas!$D$43)&gt;0,IF(MOD(INT(Cron_Uso!E9/Premissas!$C$43)*Premissas!$C$43,N(Premissas!$D$43))=0,"A","S"),"S"))),IF(N(Premissas!$E$43)&gt;0,IF(MOD(INT(Cron_Uso!E9/Premissas!$C$43)*Premissas!$C$43,N(Premissas!$E$43))=0,"B",IF(N(Premissas!$D$43)&gt;0,IF(MOD(INT(Cron_Uso!E9/Premissas!$C$43)*Premissas!$C$43,N(Premissas!$D$43))=0,"A","S"),"S")),IF(N(Premissas!$D$43)&gt;0,IF(MOD(INT(Cron_Uso!E9/Premissas!$C$43)*Premissas!$C$43,N(Premissas!$D$43))=0,"A","S"),"S"))),"")</f>
        <v/>
      </c>
      <c r="F9" s="22" t="str">
        <f>IF(INT(Cron_Uso!F9/Premissas!$C$43)&gt;INT(Cron_Uso!E9/Premissas!$C$43),IF(N(Premissas!$F$43)&gt;0,IF(MOD(INT(Cron_Uso!F9/Premissas!$C$43)*Premissas!$C$43,N(Premissas!$F$43))=0,"C",IF(N(Premissas!$E$43)&gt;0,IF(MOD(INT(Cron_Uso!F9/Premissas!$C$43)*Premissas!$C$43,N(Premissas!$E$43))=0,"B",IF(N(Premissas!$D$43)&gt;0,IF(MOD(INT(Cron_Uso!F9/Premissas!$C$43)*Premissas!$C$43,N(Premissas!$D$43))=0,"A","S"),"S")),IF(N(Premissas!$D$43)&gt;0,IF(MOD(INT(Cron_Uso!F9/Premissas!$C$43)*Premissas!$C$43,N(Premissas!$D$43))=0,"A","S"),"S"))),IF(N(Premissas!$E$43)&gt;0,IF(MOD(INT(Cron_Uso!F9/Premissas!$C$43)*Premissas!$C$43,N(Premissas!$E$43))=0,"B",IF(N(Premissas!$D$43)&gt;0,IF(MOD(INT(Cron_Uso!F9/Premissas!$C$43)*Premissas!$C$43,N(Premissas!$D$43))=0,"A","S"),"S")),IF(N(Premissas!$D$43)&gt;0,IF(MOD(INT(Cron_Uso!F9/Premissas!$C$43)*Premissas!$C$43,N(Premissas!$D$43))=0,"A","S"),"S"))),"")</f>
        <v/>
      </c>
      <c r="G9" s="22" t="str">
        <f>IF(INT(Cron_Uso!G9/Premissas!$C$43)&gt;INT(Cron_Uso!F9/Premissas!$C$43),IF(N(Premissas!$F$43)&gt;0,IF(MOD(INT(Cron_Uso!G9/Premissas!$C$43)*Premissas!$C$43,N(Premissas!$F$43))=0,"C",IF(N(Premissas!$E$43)&gt;0,IF(MOD(INT(Cron_Uso!G9/Premissas!$C$43)*Premissas!$C$43,N(Premissas!$E$43))=0,"B",IF(N(Premissas!$D$43)&gt;0,IF(MOD(INT(Cron_Uso!G9/Premissas!$C$43)*Premissas!$C$43,N(Premissas!$D$43))=0,"A","S"),"S")),IF(N(Premissas!$D$43)&gt;0,IF(MOD(INT(Cron_Uso!G9/Premissas!$C$43)*Premissas!$C$43,N(Premissas!$D$43))=0,"A","S"),"S"))),IF(N(Premissas!$E$43)&gt;0,IF(MOD(INT(Cron_Uso!G9/Premissas!$C$43)*Premissas!$C$43,N(Premissas!$E$43))=0,"B",IF(N(Premissas!$D$43)&gt;0,IF(MOD(INT(Cron_Uso!G9/Premissas!$C$43)*Premissas!$C$43,N(Premissas!$D$43))=0,"A","S"),"S")),IF(N(Premissas!$D$43)&gt;0,IF(MOD(INT(Cron_Uso!G9/Premissas!$C$43)*Premissas!$C$43,N(Premissas!$D$43))=0,"A","S"),"S"))),"")</f>
        <v/>
      </c>
      <c r="H9" s="22" t="str">
        <f>IF(INT(Cron_Uso!H9/Premissas!$C$43)&gt;INT(Cron_Uso!G9/Premissas!$C$43),IF(N(Premissas!$F$43)&gt;0,IF(MOD(INT(Cron_Uso!H9/Premissas!$C$43)*Premissas!$C$43,N(Premissas!$F$43))=0,"C",IF(N(Premissas!$E$43)&gt;0,IF(MOD(INT(Cron_Uso!H9/Premissas!$C$43)*Premissas!$C$43,N(Premissas!$E$43))=0,"B",IF(N(Premissas!$D$43)&gt;0,IF(MOD(INT(Cron_Uso!H9/Premissas!$C$43)*Premissas!$C$43,N(Premissas!$D$43))=0,"A","S"),"S")),IF(N(Premissas!$D$43)&gt;0,IF(MOD(INT(Cron_Uso!H9/Premissas!$C$43)*Premissas!$C$43,N(Premissas!$D$43))=0,"A","S"),"S"))),IF(N(Premissas!$E$43)&gt;0,IF(MOD(INT(Cron_Uso!H9/Premissas!$C$43)*Premissas!$C$43,N(Premissas!$E$43))=0,"B",IF(N(Premissas!$D$43)&gt;0,IF(MOD(INT(Cron_Uso!H9/Premissas!$C$43)*Premissas!$C$43,N(Premissas!$D$43))=0,"A","S"),"S")),IF(N(Premissas!$D$43)&gt;0,IF(MOD(INT(Cron_Uso!H9/Premissas!$C$43)*Premissas!$C$43,N(Premissas!$D$43))=0,"A","S"),"S"))),"")</f>
        <v/>
      </c>
      <c r="I9" s="22" t="str">
        <f>IF(INT(Cron_Uso!I9/Premissas!$C$43)&gt;INT(Cron_Uso!H9/Premissas!$C$43),IF(N(Premissas!$F$43)&gt;0,IF(MOD(INT(Cron_Uso!I9/Premissas!$C$43)*Premissas!$C$43,N(Premissas!$F$43))=0,"C",IF(N(Premissas!$E$43)&gt;0,IF(MOD(INT(Cron_Uso!I9/Premissas!$C$43)*Premissas!$C$43,N(Premissas!$E$43))=0,"B",IF(N(Premissas!$D$43)&gt;0,IF(MOD(INT(Cron_Uso!I9/Premissas!$C$43)*Premissas!$C$43,N(Premissas!$D$43))=0,"A","S"),"S")),IF(N(Premissas!$D$43)&gt;0,IF(MOD(INT(Cron_Uso!I9/Premissas!$C$43)*Premissas!$C$43,N(Premissas!$D$43))=0,"A","S"),"S"))),IF(N(Premissas!$E$43)&gt;0,IF(MOD(INT(Cron_Uso!I9/Premissas!$C$43)*Premissas!$C$43,N(Premissas!$E$43))=0,"B",IF(N(Premissas!$D$43)&gt;0,IF(MOD(INT(Cron_Uso!I9/Premissas!$C$43)*Premissas!$C$43,N(Premissas!$D$43))=0,"A","S"),"S")),IF(N(Premissas!$D$43)&gt;0,IF(MOD(INT(Cron_Uso!I9/Premissas!$C$43)*Premissas!$C$43,N(Premissas!$D$43))=0,"A","S"),"S"))),"")</f>
        <v/>
      </c>
      <c r="J9" s="22" t="str">
        <f>IF(INT(Cron_Uso!J9/Premissas!$C$43)&gt;INT(Cron_Uso!I9/Premissas!$C$43),IF(N(Premissas!$F$43)&gt;0,IF(MOD(INT(Cron_Uso!J9/Premissas!$C$43)*Premissas!$C$43,N(Premissas!$F$43))=0,"C",IF(N(Premissas!$E$43)&gt;0,IF(MOD(INT(Cron_Uso!J9/Premissas!$C$43)*Premissas!$C$43,N(Premissas!$E$43))=0,"B",IF(N(Premissas!$D$43)&gt;0,IF(MOD(INT(Cron_Uso!J9/Premissas!$C$43)*Premissas!$C$43,N(Premissas!$D$43))=0,"A","S"),"S")),IF(N(Premissas!$D$43)&gt;0,IF(MOD(INT(Cron_Uso!J9/Premissas!$C$43)*Premissas!$C$43,N(Premissas!$D$43))=0,"A","S"),"S"))),IF(N(Premissas!$E$43)&gt;0,IF(MOD(INT(Cron_Uso!J9/Premissas!$C$43)*Premissas!$C$43,N(Premissas!$E$43))=0,"B",IF(N(Premissas!$D$43)&gt;0,IF(MOD(INT(Cron_Uso!J9/Premissas!$C$43)*Premissas!$C$43,N(Premissas!$D$43))=0,"A","S"),"S")),IF(N(Premissas!$D$43)&gt;0,IF(MOD(INT(Cron_Uso!J9/Premissas!$C$43)*Premissas!$C$43,N(Premissas!$D$43))=0,"A","S"),"S"))),"")</f>
        <v/>
      </c>
      <c r="K9" s="22" t="str">
        <f>IF(INT(Cron_Uso!K9/Premissas!$C$43)&gt;INT(Cron_Uso!J9/Premissas!$C$43),IF(N(Premissas!$F$43)&gt;0,IF(MOD(INT(Cron_Uso!K9/Premissas!$C$43)*Premissas!$C$43,N(Premissas!$F$43))=0,"C",IF(N(Premissas!$E$43)&gt;0,IF(MOD(INT(Cron_Uso!K9/Premissas!$C$43)*Premissas!$C$43,N(Premissas!$E$43))=0,"B",IF(N(Premissas!$D$43)&gt;0,IF(MOD(INT(Cron_Uso!K9/Premissas!$C$43)*Premissas!$C$43,N(Premissas!$D$43))=0,"A","S"),"S")),IF(N(Premissas!$D$43)&gt;0,IF(MOD(INT(Cron_Uso!K9/Premissas!$C$43)*Premissas!$C$43,N(Premissas!$D$43))=0,"A","S"),"S"))),IF(N(Premissas!$E$43)&gt;0,IF(MOD(INT(Cron_Uso!K9/Premissas!$C$43)*Premissas!$C$43,N(Premissas!$E$43))=0,"B",IF(N(Premissas!$D$43)&gt;0,IF(MOD(INT(Cron_Uso!K9/Premissas!$C$43)*Premissas!$C$43,N(Premissas!$D$43))=0,"A","S"),"S")),IF(N(Premissas!$D$43)&gt;0,IF(MOD(INT(Cron_Uso!K9/Premissas!$C$43)*Premissas!$C$43,N(Premissas!$D$43))=0,"A","S"),"S"))),"")</f>
        <v/>
      </c>
      <c r="L9" s="22" t="str">
        <f>IF(INT(Cron_Uso!L9/Premissas!$C$43)&gt;INT(Cron_Uso!K9/Premissas!$C$43),IF(N(Premissas!$F$43)&gt;0,IF(MOD(INT(Cron_Uso!L9/Premissas!$C$43)*Premissas!$C$43,N(Premissas!$F$43))=0,"C",IF(N(Premissas!$E$43)&gt;0,IF(MOD(INT(Cron_Uso!L9/Premissas!$C$43)*Premissas!$C$43,N(Premissas!$E$43))=0,"B",IF(N(Premissas!$D$43)&gt;0,IF(MOD(INT(Cron_Uso!L9/Premissas!$C$43)*Premissas!$C$43,N(Premissas!$D$43))=0,"A","S"),"S")),IF(N(Premissas!$D$43)&gt;0,IF(MOD(INT(Cron_Uso!L9/Premissas!$C$43)*Premissas!$C$43,N(Premissas!$D$43))=0,"A","S"),"S"))),IF(N(Premissas!$E$43)&gt;0,IF(MOD(INT(Cron_Uso!L9/Premissas!$C$43)*Premissas!$C$43,N(Premissas!$E$43))=0,"B",IF(N(Premissas!$D$43)&gt;0,IF(MOD(INT(Cron_Uso!L9/Premissas!$C$43)*Premissas!$C$43,N(Premissas!$D$43))=0,"A","S"),"S")),IF(N(Premissas!$D$43)&gt;0,IF(MOD(INT(Cron_Uso!L9/Premissas!$C$43)*Premissas!$C$43,N(Premissas!$D$43))=0,"A","S"),"S"))),"")</f>
        <v/>
      </c>
      <c r="M9" s="22" t="str">
        <f>IF(INT(Cron_Uso!M9/Premissas!$C$43)&gt;INT(Cron_Uso!L9/Premissas!$C$43),IF(N(Premissas!$F$43)&gt;0,IF(MOD(INT(Cron_Uso!M9/Premissas!$C$43)*Premissas!$C$43,N(Premissas!$F$43))=0,"C",IF(N(Premissas!$E$43)&gt;0,IF(MOD(INT(Cron_Uso!M9/Premissas!$C$43)*Premissas!$C$43,N(Premissas!$E$43))=0,"B",IF(N(Premissas!$D$43)&gt;0,IF(MOD(INT(Cron_Uso!M9/Premissas!$C$43)*Premissas!$C$43,N(Premissas!$D$43))=0,"A","S"),"S")),IF(N(Premissas!$D$43)&gt;0,IF(MOD(INT(Cron_Uso!M9/Premissas!$C$43)*Premissas!$C$43,N(Premissas!$D$43))=0,"A","S"),"S"))),IF(N(Premissas!$E$43)&gt;0,IF(MOD(INT(Cron_Uso!M9/Premissas!$C$43)*Premissas!$C$43,N(Premissas!$E$43))=0,"B",IF(N(Premissas!$D$43)&gt;0,IF(MOD(INT(Cron_Uso!M9/Premissas!$C$43)*Premissas!$C$43,N(Premissas!$D$43))=0,"A","S"),"S")),IF(N(Premissas!$D$43)&gt;0,IF(MOD(INT(Cron_Uso!M9/Premissas!$C$43)*Premissas!$C$43,N(Premissas!$D$43))=0,"A","S"),"S"))),"")</f>
        <v/>
      </c>
      <c r="N9" s="22" t="str">
        <f>IF(INT(Cron_Uso!N9/Premissas!$C$43)&gt;INT(Cron_Uso!M9/Premissas!$C$43),IF(N(Premissas!$F$43)&gt;0,IF(MOD(INT(Cron_Uso!N9/Premissas!$C$43)*Premissas!$C$43,N(Premissas!$F$43))=0,"C",IF(N(Premissas!$E$43)&gt;0,IF(MOD(INT(Cron_Uso!N9/Premissas!$C$43)*Premissas!$C$43,N(Premissas!$E$43))=0,"B",IF(N(Premissas!$D$43)&gt;0,IF(MOD(INT(Cron_Uso!N9/Premissas!$C$43)*Premissas!$C$43,N(Premissas!$D$43))=0,"A","S"),"S")),IF(N(Premissas!$D$43)&gt;0,IF(MOD(INT(Cron_Uso!N9/Premissas!$C$43)*Premissas!$C$43,N(Premissas!$D$43))=0,"A","S"),"S"))),IF(N(Premissas!$E$43)&gt;0,IF(MOD(INT(Cron_Uso!N9/Premissas!$C$43)*Premissas!$C$43,N(Premissas!$E$43))=0,"B",IF(N(Premissas!$D$43)&gt;0,IF(MOD(INT(Cron_Uso!N9/Premissas!$C$43)*Premissas!$C$43,N(Premissas!$D$43))=0,"A","S"),"S")),IF(N(Premissas!$D$43)&gt;0,IF(MOD(INT(Cron_Uso!N9/Premissas!$C$43)*Premissas!$C$43,N(Premissas!$D$43))=0,"A","S"),"S"))),"")</f>
        <v/>
      </c>
      <c r="O9" s="22" t="str">
        <f>IF(INT(Cron_Uso!O9/Premissas!$C$43)&gt;INT(Cron_Uso!N9/Premissas!$C$43),IF(N(Premissas!$F$43)&gt;0,IF(MOD(INT(Cron_Uso!O9/Premissas!$C$43)*Premissas!$C$43,N(Premissas!$F$43))=0,"C",IF(N(Premissas!$E$43)&gt;0,IF(MOD(INT(Cron_Uso!O9/Premissas!$C$43)*Premissas!$C$43,N(Premissas!$E$43))=0,"B",IF(N(Premissas!$D$43)&gt;0,IF(MOD(INT(Cron_Uso!O9/Premissas!$C$43)*Premissas!$C$43,N(Premissas!$D$43))=0,"A","S"),"S")),IF(N(Premissas!$D$43)&gt;0,IF(MOD(INT(Cron_Uso!O9/Premissas!$C$43)*Premissas!$C$43,N(Premissas!$D$43))=0,"A","S"),"S"))),IF(N(Premissas!$E$43)&gt;0,IF(MOD(INT(Cron_Uso!O9/Premissas!$C$43)*Premissas!$C$43,N(Premissas!$E$43))=0,"B",IF(N(Premissas!$D$43)&gt;0,IF(MOD(INT(Cron_Uso!O9/Premissas!$C$43)*Premissas!$C$43,N(Premissas!$D$43))=0,"A","S"),"S")),IF(N(Premissas!$D$43)&gt;0,IF(MOD(INT(Cron_Uso!O9/Premissas!$C$43)*Premissas!$C$43,N(Premissas!$D$43))=0,"A","S"),"S"))),"")</f>
        <v/>
      </c>
      <c r="P9" s="22" t="str">
        <f>IF(INT(Cron_Uso!P9/Premissas!$C$43)&gt;INT(Cron_Uso!O9/Premissas!$C$43),IF(N(Premissas!$F$43)&gt;0,IF(MOD(INT(Cron_Uso!P9/Premissas!$C$43)*Premissas!$C$43,N(Premissas!$F$43))=0,"C",IF(N(Premissas!$E$43)&gt;0,IF(MOD(INT(Cron_Uso!P9/Premissas!$C$43)*Premissas!$C$43,N(Premissas!$E$43))=0,"B",IF(N(Premissas!$D$43)&gt;0,IF(MOD(INT(Cron_Uso!P9/Premissas!$C$43)*Premissas!$C$43,N(Premissas!$D$43))=0,"A","S"),"S")),IF(N(Premissas!$D$43)&gt;0,IF(MOD(INT(Cron_Uso!P9/Premissas!$C$43)*Premissas!$C$43,N(Premissas!$D$43))=0,"A","S"),"S"))),IF(N(Premissas!$E$43)&gt;0,IF(MOD(INT(Cron_Uso!P9/Premissas!$C$43)*Premissas!$C$43,N(Premissas!$E$43))=0,"B",IF(N(Premissas!$D$43)&gt;0,IF(MOD(INT(Cron_Uso!P9/Premissas!$C$43)*Premissas!$C$43,N(Premissas!$D$43))=0,"A","S"),"S")),IF(N(Premissas!$D$43)&gt;0,IF(MOD(INT(Cron_Uso!P9/Premissas!$C$43)*Premissas!$C$43,N(Premissas!$D$43))=0,"A","S"),"S"))),"")</f>
        <v>S</v>
      </c>
      <c r="Q9" s="22" t="str">
        <f>IF(INT(Cron_Uso!Q9/Premissas!$C$43)&gt;INT(Cron_Uso!P9/Premissas!$C$43),IF(N(Premissas!$F$43)&gt;0,IF(MOD(INT(Cron_Uso!Q9/Premissas!$C$43)*Premissas!$C$43,N(Premissas!$F$43))=0,"C",IF(N(Premissas!$E$43)&gt;0,IF(MOD(INT(Cron_Uso!Q9/Premissas!$C$43)*Premissas!$C$43,N(Premissas!$E$43))=0,"B",IF(N(Premissas!$D$43)&gt;0,IF(MOD(INT(Cron_Uso!Q9/Premissas!$C$43)*Premissas!$C$43,N(Premissas!$D$43))=0,"A","S"),"S")),IF(N(Premissas!$D$43)&gt;0,IF(MOD(INT(Cron_Uso!Q9/Premissas!$C$43)*Premissas!$C$43,N(Premissas!$D$43))=0,"A","S"),"S"))),IF(N(Premissas!$E$43)&gt;0,IF(MOD(INT(Cron_Uso!Q9/Premissas!$C$43)*Premissas!$C$43,N(Premissas!$E$43))=0,"B",IF(N(Premissas!$D$43)&gt;0,IF(MOD(INT(Cron_Uso!Q9/Premissas!$C$43)*Premissas!$C$43,N(Premissas!$D$43))=0,"A","S"),"S")),IF(N(Premissas!$D$43)&gt;0,IF(MOD(INT(Cron_Uso!Q9/Premissas!$C$43)*Premissas!$C$43,N(Premissas!$D$43))=0,"A","S"),"S"))),"")</f>
        <v/>
      </c>
      <c r="R9" s="22" t="str">
        <f>IF(INT(Cron_Uso!R9/Premissas!$C$43)&gt;INT(Cron_Uso!Q9/Premissas!$C$43),IF(N(Premissas!$F$43)&gt;0,IF(MOD(INT(Cron_Uso!R9/Premissas!$C$43)*Premissas!$C$43,N(Premissas!$F$43))=0,"C",IF(N(Premissas!$E$43)&gt;0,IF(MOD(INT(Cron_Uso!R9/Premissas!$C$43)*Premissas!$C$43,N(Premissas!$E$43))=0,"B",IF(N(Premissas!$D$43)&gt;0,IF(MOD(INT(Cron_Uso!R9/Premissas!$C$43)*Premissas!$C$43,N(Premissas!$D$43))=0,"A","S"),"S")),IF(N(Premissas!$D$43)&gt;0,IF(MOD(INT(Cron_Uso!R9/Premissas!$C$43)*Premissas!$C$43,N(Premissas!$D$43))=0,"A","S"),"S"))),IF(N(Premissas!$E$43)&gt;0,IF(MOD(INT(Cron_Uso!R9/Premissas!$C$43)*Premissas!$C$43,N(Premissas!$E$43))=0,"B",IF(N(Premissas!$D$43)&gt;0,IF(MOD(INT(Cron_Uso!R9/Premissas!$C$43)*Premissas!$C$43,N(Premissas!$D$43))=0,"A","S"),"S")),IF(N(Premissas!$D$43)&gt;0,IF(MOD(INT(Cron_Uso!R9/Premissas!$C$43)*Premissas!$C$43,N(Premissas!$D$43))=0,"A","S"),"S"))),"")</f>
        <v/>
      </c>
      <c r="S9" s="22" t="str">
        <f>IF(INT(Cron_Uso!S9/Premissas!$C$43)&gt;INT(Cron_Uso!R9/Premissas!$C$43),IF(N(Premissas!$F$43)&gt;0,IF(MOD(INT(Cron_Uso!S9/Premissas!$C$43)*Premissas!$C$43,N(Premissas!$F$43))=0,"C",IF(N(Premissas!$E$43)&gt;0,IF(MOD(INT(Cron_Uso!S9/Premissas!$C$43)*Premissas!$C$43,N(Premissas!$E$43))=0,"B",IF(N(Premissas!$D$43)&gt;0,IF(MOD(INT(Cron_Uso!S9/Premissas!$C$43)*Premissas!$C$43,N(Premissas!$D$43))=0,"A","S"),"S")),IF(N(Premissas!$D$43)&gt;0,IF(MOD(INT(Cron_Uso!S9/Premissas!$C$43)*Premissas!$C$43,N(Premissas!$D$43))=0,"A","S"),"S"))),IF(N(Premissas!$E$43)&gt;0,IF(MOD(INT(Cron_Uso!S9/Premissas!$C$43)*Premissas!$C$43,N(Premissas!$E$43))=0,"B",IF(N(Premissas!$D$43)&gt;0,IF(MOD(INT(Cron_Uso!S9/Premissas!$C$43)*Premissas!$C$43,N(Premissas!$D$43))=0,"A","S"),"S")),IF(N(Premissas!$D$43)&gt;0,IF(MOD(INT(Cron_Uso!S9/Premissas!$C$43)*Premissas!$C$43,N(Premissas!$D$43))=0,"A","S"),"S"))),"")</f>
        <v/>
      </c>
      <c r="T9" s="22" t="str">
        <f>IF(INT(Cron_Uso!T9/Premissas!$C$43)&gt;INT(Cron_Uso!S9/Premissas!$C$43),IF(N(Premissas!$F$43)&gt;0,IF(MOD(INT(Cron_Uso!T9/Premissas!$C$43)*Premissas!$C$43,N(Premissas!$F$43))=0,"C",IF(N(Premissas!$E$43)&gt;0,IF(MOD(INT(Cron_Uso!T9/Premissas!$C$43)*Premissas!$C$43,N(Premissas!$E$43))=0,"B",IF(N(Premissas!$D$43)&gt;0,IF(MOD(INT(Cron_Uso!T9/Premissas!$C$43)*Premissas!$C$43,N(Premissas!$D$43))=0,"A","S"),"S")),IF(N(Premissas!$D$43)&gt;0,IF(MOD(INT(Cron_Uso!T9/Premissas!$C$43)*Premissas!$C$43,N(Premissas!$D$43))=0,"A","S"),"S"))),IF(N(Premissas!$E$43)&gt;0,IF(MOD(INT(Cron_Uso!T9/Premissas!$C$43)*Premissas!$C$43,N(Premissas!$E$43))=0,"B",IF(N(Premissas!$D$43)&gt;0,IF(MOD(INT(Cron_Uso!T9/Premissas!$C$43)*Premissas!$C$43,N(Premissas!$D$43))=0,"A","S"),"S")),IF(N(Premissas!$D$43)&gt;0,IF(MOD(INT(Cron_Uso!T9/Premissas!$C$43)*Premissas!$C$43,N(Premissas!$D$43))=0,"A","S"),"S"))),"")</f>
        <v/>
      </c>
      <c r="U9" s="22" t="str">
        <f>IF(INT(Cron_Uso!U9/Premissas!$C$43)&gt;INT(Cron_Uso!T9/Premissas!$C$43),IF(N(Premissas!$F$43)&gt;0,IF(MOD(INT(Cron_Uso!U9/Premissas!$C$43)*Premissas!$C$43,N(Premissas!$F$43))=0,"C",IF(N(Premissas!$E$43)&gt;0,IF(MOD(INT(Cron_Uso!U9/Premissas!$C$43)*Premissas!$C$43,N(Premissas!$E$43))=0,"B",IF(N(Premissas!$D$43)&gt;0,IF(MOD(INT(Cron_Uso!U9/Premissas!$C$43)*Premissas!$C$43,N(Premissas!$D$43))=0,"A","S"),"S")),IF(N(Premissas!$D$43)&gt;0,IF(MOD(INT(Cron_Uso!U9/Premissas!$C$43)*Premissas!$C$43,N(Premissas!$D$43))=0,"A","S"),"S"))),IF(N(Premissas!$E$43)&gt;0,IF(MOD(INT(Cron_Uso!U9/Premissas!$C$43)*Premissas!$C$43,N(Premissas!$E$43))=0,"B",IF(N(Premissas!$D$43)&gt;0,IF(MOD(INT(Cron_Uso!U9/Premissas!$C$43)*Premissas!$C$43,N(Premissas!$D$43))=0,"A","S"),"S")),IF(N(Premissas!$D$43)&gt;0,IF(MOD(INT(Cron_Uso!U9/Premissas!$C$43)*Premissas!$C$43,N(Premissas!$D$43))=0,"A","S"),"S"))),"")</f>
        <v/>
      </c>
      <c r="V9" s="22" t="str">
        <f>IF(INT(Cron_Uso!V9/Premissas!$C$43)&gt;INT(Cron_Uso!U9/Premissas!$C$43),IF(N(Premissas!$F$43)&gt;0,IF(MOD(INT(Cron_Uso!V9/Premissas!$C$43)*Premissas!$C$43,N(Premissas!$F$43))=0,"C",IF(N(Premissas!$E$43)&gt;0,IF(MOD(INT(Cron_Uso!V9/Premissas!$C$43)*Premissas!$C$43,N(Premissas!$E$43))=0,"B",IF(N(Premissas!$D$43)&gt;0,IF(MOD(INT(Cron_Uso!V9/Premissas!$C$43)*Premissas!$C$43,N(Premissas!$D$43))=0,"A","S"),"S")),IF(N(Premissas!$D$43)&gt;0,IF(MOD(INT(Cron_Uso!V9/Premissas!$C$43)*Premissas!$C$43,N(Premissas!$D$43))=0,"A","S"),"S"))),IF(N(Premissas!$E$43)&gt;0,IF(MOD(INT(Cron_Uso!V9/Premissas!$C$43)*Premissas!$C$43,N(Premissas!$E$43))=0,"B",IF(N(Premissas!$D$43)&gt;0,IF(MOD(INT(Cron_Uso!V9/Premissas!$C$43)*Premissas!$C$43,N(Premissas!$D$43))=0,"A","S"),"S")),IF(N(Premissas!$D$43)&gt;0,IF(MOD(INT(Cron_Uso!V9/Premissas!$C$43)*Premissas!$C$43,N(Premissas!$D$43))=0,"A","S"),"S"))),"")</f>
        <v/>
      </c>
      <c r="W9" s="22" t="str">
        <f>IF(INT(Cron_Uso!W9/Premissas!$C$43)&gt;INT(Cron_Uso!V9/Premissas!$C$43),IF(N(Premissas!$F$43)&gt;0,IF(MOD(INT(Cron_Uso!W9/Premissas!$C$43)*Premissas!$C$43,N(Premissas!$F$43))=0,"C",IF(N(Premissas!$E$43)&gt;0,IF(MOD(INT(Cron_Uso!W9/Premissas!$C$43)*Premissas!$C$43,N(Premissas!$E$43))=0,"B",IF(N(Premissas!$D$43)&gt;0,IF(MOD(INT(Cron_Uso!W9/Premissas!$C$43)*Premissas!$C$43,N(Premissas!$D$43))=0,"A","S"),"S")),IF(N(Premissas!$D$43)&gt;0,IF(MOD(INT(Cron_Uso!W9/Premissas!$C$43)*Premissas!$C$43,N(Premissas!$D$43))=0,"A","S"),"S"))),IF(N(Premissas!$E$43)&gt;0,IF(MOD(INT(Cron_Uso!W9/Premissas!$C$43)*Premissas!$C$43,N(Premissas!$E$43))=0,"B",IF(N(Premissas!$D$43)&gt;0,IF(MOD(INT(Cron_Uso!W9/Premissas!$C$43)*Premissas!$C$43,N(Premissas!$D$43))=0,"A","S"),"S")),IF(N(Premissas!$D$43)&gt;0,IF(MOD(INT(Cron_Uso!W9/Premissas!$C$43)*Premissas!$C$43,N(Premissas!$D$43))=0,"A","S"),"S"))),"")</f>
        <v/>
      </c>
      <c r="X9" s="22" t="str">
        <f>IF(INT(Cron_Uso!X9/Premissas!$C$43)&gt;INT(Cron_Uso!W9/Premissas!$C$43),IF(N(Premissas!$F$43)&gt;0,IF(MOD(INT(Cron_Uso!X9/Premissas!$C$43)*Premissas!$C$43,N(Premissas!$F$43))=0,"C",IF(N(Premissas!$E$43)&gt;0,IF(MOD(INT(Cron_Uso!X9/Premissas!$C$43)*Premissas!$C$43,N(Premissas!$E$43))=0,"B",IF(N(Premissas!$D$43)&gt;0,IF(MOD(INT(Cron_Uso!X9/Premissas!$C$43)*Premissas!$C$43,N(Premissas!$D$43))=0,"A","S"),"S")),IF(N(Premissas!$D$43)&gt;0,IF(MOD(INT(Cron_Uso!X9/Premissas!$C$43)*Premissas!$C$43,N(Premissas!$D$43))=0,"A","S"),"S"))),IF(N(Premissas!$E$43)&gt;0,IF(MOD(INT(Cron_Uso!X9/Premissas!$C$43)*Premissas!$C$43,N(Premissas!$E$43))=0,"B",IF(N(Premissas!$D$43)&gt;0,IF(MOD(INT(Cron_Uso!X9/Premissas!$C$43)*Premissas!$C$43,N(Premissas!$D$43))=0,"A","S"),"S")),IF(N(Premissas!$D$43)&gt;0,IF(MOD(INT(Cron_Uso!X9/Premissas!$C$43)*Premissas!$C$43,N(Premissas!$D$43))=0,"A","S"),"S"))),"")</f>
        <v/>
      </c>
      <c r="Y9" s="22" t="str">
        <f>IF(INT(Cron_Uso!Y9/Premissas!$C$43)&gt;INT(Cron_Uso!X9/Premissas!$C$43),IF(N(Premissas!$F$43)&gt;0,IF(MOD(INT(Cron_Uso!Y9/Premissas!$C$43)*Premissas!$C$43,N(Premissas!$F$43))=0,"C",IF(N(Premissas!$E$43)&gt;0,IF(MOD(INT(Cron_Uso!Y9/Premissas!$C$43)*Premissas!$C$43,N(Premissas!$E$43))=0,"B",IF(N(Premissas!$D$43)&gt;0,IF(MOD(INT(Cron_Uso!Y9/Premissas!$C$43)*Premissas!$C$43,N(Premissas!$D$43))=0,"A","S"),"S")),IF(N(Premissas!$D$43)&gt;0,IF(MOD(INT(Cron_Uso!Y9/Premissas!$C$43)*Premissas!$C$43,N(Premissas!$D$43))=0,"A","S"),"S"))),IF(N(Premissas!$E$43)&gt;0,IF(MOD(INT(Cron_Uso!Y9/Premissas!$C$43)*Premissas!$C$43,N(Premissas!$E$43))=0,"B",IF(N(Premissas!$D$43)&gt;0,IF(MOD(INT(Cron_Uso!Y9/Premissas!$C$43)*Premissas!$C$43,N(Premissas!$D$43))=0,"A","S"),"S")),IF(N(Premissas!$D$43)&gt;0,IF(MOD(INT(Cron_Uso!Y9/Premissas!$C$43)*Premissas!$C$43,N(Premissas!$D$43))=0,"A","S"),"S"))),"")</f>
        <v/>
      </c>
      <c r="Z9" s="22" t="str">
        <f>IF(INT(Cron_Uso!Z9/Premissas!$C$43)&gt;INT(Cron_Uso!Y9/Premissas!$C$43),IF(N(Premissas!$F$43)&gt;0,IF(MOD(INT(Cron_Uso!Z9/Premissas!$C$43)*Premissas!$C$43,N(Premissas!$F$43))=0,"C",IF(N(Premissas!$E$43)&gt;0,IF(MOD(INT(Cron_Uso!Z9/Premissas!$C$43)*Premissas!$C$43,N(Premissas!$E$43))=0,"B",IF(N(Premissas!$D$43)&gt;0,IF(MOD(INT(Cron_Uso!Z9/Premissas!$C$43)*Premissas!$C$43,N(Premissas!$D$43))=0,"A","S"),"S")),IF(N(Premissas!$D$43)&gt;0,IF(MOD(INT(Cron_Uso!Z9/Premissas!$C$43)*Premissas!$C$43,N(Premissas!$D$43))=0,"A","S"),"S"))),IF(N(Premissas!$E$43)&gt;0,IF(MOD(INT(Cron_Uso!Z9/Premissas!$C$43)*Premissas!$C$43,N(Premissas!$E$43))=0,"B",IF(N(Premissas!$D$43)&gt;0,IF(MOD(INT(Cron_Uso!Z9/Premissas!$C$43)*Premissas!$C$43,N(Premissas!$D$43))=0,"A","S"),"S")),IF(N(Premissas!$D$43)&gt;0,IF(MOD(INT(Cron_Uso!Z9/Premissas!$C$43)*Premissas!$C$43,N(Premissas!$D$43))=0,"A","S"),"S"))),"")</f>
        <v/>
      </c>
      <c r="AA9" s="22" t="str">
        <f>IF(INT(Cron_Uso!AA9/Premissas!$C$43)&gt;INT(Cron_Uso!Z9/Premissas!$C$43),IF(N(Premissas!$F$43)&gt;0,IF(MOD(INT(Cron_Uso!AA9/Premissas!$C$43)*Premissas!$C$43,N(Premissas!$F$43))=0,"C",IF(N(Premissas!$E$43)&gt;0,IF(MOD(INT(Cron_Uso!AA9/Premissas!$C$43)*Premissas!$C$43,N(Premissas!$E$43))=0,"B",IF(N(Premissas!$D$43)&gt;0,IF(MOD(INT(Cron_Uso!AA9/Premissas!$C$43)*Premissas!$C$43,N(Premissas!$D$43))=0,"A","S"),"S")),IF(N(Premissas!$D$43)&gt;0,IF(MOD(INT(Cron_Uso!AA9/Premissas!$C$43)*Premissas!$C$43,N(Premissas!$D$43))=0,"A","S"),"S"))),IF(N(Premissas!$E$43)&gt;0,IF(MOD(INT(Cron_Uso!AA9/Premissas!$C$43)*Premissas!$C$43,N(Premissas!$E$43))=0,"B",IF(N(Premissas!$D$43)&gt;0,IF(MOD(INT(Cron_Uso!AA9/Premissas!$C$43)*Premissas!$C$43,N(Premissas!$D$43))=0,"A","S"),"S")),IF(N(Premissas!$D$43)&gt;0,IF(MOD(INT(Cron_Uso!AA9/Premissas!$C$43)*Premissas!$C$43,N(Premissas!$D$43))=0,"A","S"),"S"))),"")</f>
        <v/>
      </c>
      <c r="AB9" s="22" t="str">
        <f>IF(INT(Cron_Uso!AB9/Premissas!$C$43)&gt;INT(Cron_Uso!AA9/Premissas!$C$43),IF(N(Premissas!$F$43)&gt;0,IF(MOD(INT(Cron_Uso!AB9/Premissas!$C$43)*Premissas!$C$43,N(Premissas!$F$43))=0,"C",IF(N(Premissas!$E$43)&gt;0,IF(MOD(INT(Cron_Uso!AB9/Premissas!$C$43)*Premissas!$C$43,N(Premissas!$E$43))=0,"B",IF(N(Premissas!$D$43)&gt;0,IF(MOD(INT(Cron_Uso!AB9/Premissas!$C$43)*Premissas!$C$43,N(Premissas!$D$43))=0,"A","S"),"S")),IF(N(Premissas!$D$43)&gt;0,IF(MOD(INT(Cron_Uso!AB9/Premissas!$C$43)*Premissas!$C$43,N(Premissas!$D$43))=0,"A","S"),"S"))),IF(N(Premissas!$E$43)&gt;0,IF(MOD(INT(Cron_Uso!AB9/Premissas!$C$43)*Premissas!$C$43,N(Premissas!$E$43))=0,"B",IF(N(Premissas!$D$43)&gt;0,IF(MOD(INT(Cron_Uso!AB9/Premissas!$C$43)*Premissas!$C$43,N(Premissas!$D$43))=0,"A","S"),"S")),IF(N(Premissas!$D$43)&gt;0,IF(MOD(INT(Cron_Uso!AB9/Premissas!$C$43)*Premissas!$C$43,N(Premissas!$D$43))=0,"A","S"),"S"))),"")</f>
        <v/>
      </c>
      <c r="AC9" s="22" t="str">
        <f>IF(INT(Cron_Uso!AC9/Premissas!$C$43)&gt;INT(Cron_Uso!AB9/Premissas!$C$43),IF(N(Premissas!$F$43)&gt;0,IF(MOD(INT(Cron_Uso!AC9/Premissas!$C$43)*Premissas!$C$43,N(Premissas!$F$43))=0,"C",IF(N(Premissas!$E$43)&gt;0,IF(MOD(INT(Cron_Uso!AC9/Premissas!$C$43)*Premissas!$C$43,N(Premissas!$E$43))=0,"B",IF(N(Premissas!$D$43)&gt;0,IF(MOD(INT(Cron_Uso!AC9/Premissas!$C$43)*Premissas!$C$43,N(Premissas!$D$43))=0,"A","S"),"S")),IF(N(Premissas!$D$43)&gt;0,IF(MOD(INT(Cron_Uso!AC9/Premissas!$C$43)*Premissas!$C$43,N(Premissas!$D$43))=0,"A","S"),"S"))),IF(N(Premissas!$E$43)&gt;0,IF(MOD(INT(Cron_Uso!AC9/Premissas!$C$43)*Premissas!$C$43,N(Premissas!$E$43))=0,"B",IF(N(Premissas!$D$43)&gt;0,IF(MOD(INT(Cron_Uso!AC9/Premissas!$C$43)*Premissas!$C$43,N(Premissas!$D$43))=0,"A","S"),"S")),IF(N(Premissas!$D$43)&gt;0,IF(MOD(INT(Cron_Uso!AC9/Premissas!$C$43)*Premissas!$C$43,N(Premissas!$D$43))=0,"A","S"),"S"))),"")</f>
        <v/>
      </c>
      <c r="AD9" s="22" t="str">
        <f>IF(INT(Cron_Uso!AD9/Premissas!$C$43)&gt;INT(Cron_Uso!AC9/Premissas!$C$43),IF(N(Premissas!$F$43)&gt;0,IF(MOD(INT(Cron_Uso!AD9/Premissas!$C$43)*Premissas!$C$43,N(Premissas!$F$43))=0,"C",IF(N(Premissas!$E$43)&gt;0,IF(MOD(INT(Cron_Uso!AD9/Premissas!$C$43)*Premissas!$C$43,N(Premissas!$E$43))=0,"B",IF(N(Premissas!$D$43)&gt;0,IF(MOD(INT(Cron_Uso!AD9/Premissas!$C$43)*Premissas!$C$43,N(Premissas!$D$43))=0,"A","S"),"S")),IF(N(Premissas!$D$43)&gt;0,IF(MOD(INT(Cron_Uso!AD9/Premissas!$C$43)*Premissas!$C$43,N(Premissas!$D$43))=0,"A","S"),"S"))),IF(N(Premissas!$E$43)&gt;0,IF(MOD(INT(Cron_Uso!AD9/Premissas!$C$43)*Premissas!$C$43,N(Premissas!$E$43))=0,"B",IF(N(Premissas!$D$43)&gt;0,IF(MOD(INT(Cron_Uso!AD9/Premissas!$C$43)*Premissas!$C$43,N(Premissas!$D$43))=0,"A","S"),"S")),IF(N(Premissas!$D$43)&gt;0,IF(MOD(INT(Cron_Uso!AD9/Premissas!$C$43)*Premissas!$C$43,N(Premissas!$D$43))=0,"A","S"),"S"))),"")</f>
        <v>A</v>
      </c>
      <c r="AE9" s="22" t="str">
        <f>IF(INT(Cron_Uso!AE9/Premissas!$C$43)&gt;INT(Cron_Uso!AD9/Premissas!$C$43),IF(N(Premissas!$F$43)&gt;0,IF(MOD(INT(Cron_Uso!AE9/Premissas!$C$43)*Premissas!$C$43,N(Premissas!$F$43))=0,"C",IF(N(Premissas!$E$43)&gt;0,IF(MOD(INT(Cron_Uso!AE9/Premissas!$C$43)*Premissas!$C$43,N(Premissas!$E$43))=0,"B",IF(N(Premissas!$D$43)&gt;0,IF(MOD(INT(Cron_Uso!AE9/Premissas!$C$43)*Premissas!$C$43,N(Premissas!$D$43))=0,"A","S"),"S")),IF(N(Premissas!$D$43)&gt;0,IF(MOD(INT(Cron_Uso!AE9/Premissas!$C$43)*Premissas!$C$43,N(Premissas!$D$43))=0,"A","S"),"S"))),IF(N(Premissas!$E$43)&gt;0,IF(MOD(INT(Cron_Uso!AE9/Premissas!$C$43)*Premissas!$C$43,N(Premissas!$E$43))=0,"B",IF(N(Premissas!$D$43)&gt;0,IF(MOD(INT(Cron_Uso!AE9/Premissas!$C$43)*Premissas!$C$43,N(Premissas!$D$43))=0,"A","S"),"S")),IF(N(Premissas!$D$43)&gt;0,IF(MOD(INT(Cron_Uso!AE9/Premissas!$C$43)*Premissas!$C$43,N(Premissas!$D$43))=0,"A","S"),"S"))),"")</f>
        <v/>
      </c>
      <c r="AF9" s="22" t="str">
        <f>IF(INT(Cron_Uso!AF9/Premissas!$C$43)&gt;INT(Cron_Uso!AE9/Premissas!$C$43),IF(N(Premissas!$F$43)&gt;0,IF(MOD(INT(Cron_Uso!AF9/Premissas!$C$43)*Premissas!$C$43,N(Premissas!$F$43))=0,"C",IF(N(Premissas!$E$43)&gt;0,IF(MOD(INT(Cron_Uso!AF9/Premissas!$C$43)*Premissas!$C$43,N(Premissas!$E$43))=0,"B",IF(N(Premissas!$D$43)&gt;0,IF(MOD(INT(Cron_Uso!AF9/Premissas!$C$43)*Premissas!$C$43,N(Premissas!$D$43))=0,"A","S"),"S")),IF(N(Premissas!$D$43)&gt;0,IF(MOD(INT(Cron_Uso!AF9/Premissas!$C$43)*Premissas!$C$43,N(Premissas!$D$43))=0,"A","S"),"S"))),IF(N(Premissas!$E$43)&gt;0,IF(MOD(INT(Cron_Uso!AF9/Premissas!$C$43)*Premissas!$C$43,N(Premissas!$E$43))=0,"B",IF(N(Premissas!$D$43)&gt;0,IF(MOD(INT(Cron_Uso!AF9/Premissas!$C$43)*Premissas!$C$43,N(Premissas!$D$43))=0,"A","S"),"S")),IF(N(Premissas!$D$43)&gt;0,IF(MOD(INT(Cron_Uso!AF9/Premissas!$C$43)*Premissas!$C$43,N(Premissas!$D$43))=0,"A","S"),"S"))),"")</f>
        <v/>
      </c>
      <c r="AG9" s="22" t="str">
        <f>IF(INT(Cron_Uso!AG9/Premissas!$C$43)&gt;INT(Cron_Uso!AF9/Premissas!$C$43),IF(N(Premissas!$F$43)&gt;0,IF(MOD(INT(Cron_Uso!AG9/Premissas!$C$43)*Premissas!$C$43,N(Premissas!$F$43))=0,"C",IF(N(Premissas!$E$43)&gt;0,IF(MOD(INT(Cron_Uso!AG9/Premissas!$C$43)*Premissas!$C$43,N(Premissas!$E$43))=0,"B",IF(N(Premissas!$D$43)&gt;0,IF(MOD(INT(Cron_Uso!AG9/Premissas!$C$43)*Premissas!$C$43,N(Premissas!$D$43))=0,"A","S"),"S")),IF(N(Premissas!$D$43)&gt;0,IF(MOD(INT(Cron_Uso!AG9/Premissas!$C$43)*Premissas!$C$43,N(Premissas!$D$43))=0,"A","S"),"S"))),IF(N(Premissas!$E$43)&gt;0,IF(MOD(INT(Cron_Uso!AG9/Premissas!$C$43)*Premissas!$C$43,N(Premissas!$E$43))=0,"B",IF(N(Premissas!$D$43)&gt;0,IF(MOD(INT(Cron_Uso!AG9/Premissas!$C$43)*Premissas!$C$43,N(Premissas!$D$43))=0,"A","S"),"S")),IF(N(Premissas!$D$43)&gt;0,IF(MOD(INT(Cron_Uso!AG9/Premissas!$C$43)*Premissas!$C$43,N(Premissas!$D$43))=0,"A","S"),"S"))),"")</f>
        <v/>
      </c>
      <c r="AH9" s="22" t="str">
        <f>IF(INT(Cron_Uso!AH9/Premissas!$C$43)&gt;INT(Cron_Uso!AG9/Premissas!$C$43),IF(N(Premissas!$F$43)&gt;0,IF(MOD(INT(Cron_Uso!AH9/Premissas!$C$43)*Premissas!$C$43,N(Premissas!$F$43))=0,"C",IF(N(Premissas!$E$43)&gt;0,IF(MOD(INT(Cron_Uso!AH9/Premissas!$C$43)*Premissas!$C$43,N(Premissas!$E$43))=0,"B",IF(N(Premissas!$D$43)&gt;0,IF(MOD(INT(Cron_Uso!AH9/Premissas!$C$43)*Premissas!$C$43,N(Premissas!$D$43))=0,"A","S"),"S")),IF(N(Premissas!$D$43)&gt;0,IF(MOD(INT(Cron_Uso!AH9/Premissas!$C$43)*Premissas!$C$43,N(Premissas!$D$43))=0,"A","S"),"S"))),IF(N(Premissas!$E$43)&gt;0,IF(MOD(INT(Cron_Uso!AH9/Premissas!$C$43)*Premissas!$C$43,N(Premissas!$E$43))=0,"B",IF(N(Premissas!$D$43)&gt;0,IF(MOD(INT(Cron_Uso!AH9/Premissas!$C$43)*Premissas!$C$43,N(Premissas!$D$43))=0,"A","S"),"S")),IF(N(Premissas!$D$43)&gt;0,IF(MOD(INT(Cron_Uso!AH9/Premissas!$C$43)*Premissas!$C$43,N(Premissas!$D$43))=0,"A","S"),"S"))),"")</f>
        <v/>
      </c>
      <c r="AI9" s="22" t="str">
        <f>IF(INT(Cron_Uso!AI9/Premissas!$C$43)&gt;INT(Cron_Uso!AH9/Premissas!$C$43),IF(N(Premissas!$F$43)&gt;0,IF(MOD(INT(Cron_Uso!AI9/Premissas!$C$43)*Premissas!$C$43,N(Premissas!$F$43))=0,"C",IF(N(Premissas!$E$43)&gt;0,IF(MOD(INT(Cron_Uso!AI9/Premissas!$C$43)*Premissas!$C$43,N(Premissas!$E$43))=0,"B",IF(N(Premissas!$D$43)&gt;0,IF(MOD(INT(Cron_Uso!AI9/Premissas!$C$43)*Premissas!$C$43,N(Premissas!$D$43))=0,"A","S"),"S")),IF(N(Premissas!$D$43)&gt;0,IF(MOD(INT(Cron_Uso!AI9/Premissas!$C$43)*Premissas!$C$43,N(Premissas!$D$43))=0,"A","S"),"S"))),IF(N(Premissas!$E$43)&gt;0,IF(MOD(INT(Cron_Uso!AI9/Premissas!$C$43)*Premissas!$C$43,N(Premissas!$E$43))=0,"B",IF(N(Premissas!$D$43)&gt;0,IF(MOD(INT(Cron_Uso!AI9/Premissas!$C$43)*Premissas!$C$43,N(Premissas!$D$43))=0,"A","S"),"S")),IF(N(Premissas!$D$43)&gt;0,IF(MOD(INT(Cron_Uso!AI9/Premissas!$C$43)*Premissas!$C$43,N(Premissas!$D$43))=0,"A","S"),"S"))),"")</f>
        <v/>
      </c>
      <c r="AJ9" s="22" t="str">
        <f>IF(INT(Cron_Uso!AJ9/Premissas!$C$43)&gt;INT(Cron_Uso!AI9/Premissas!$C$43),IF(N(Premissas!$F$43)&gt;0,IF(MOD(INT(Cron_Uso!AJ9/Premissas!$C$43)*Premissas!$C$43,N(Premissas!$F$43))=0,"C",IF(N(Premissas!$E$43)&gt;0,IF(MOD(INT(Cron_Uso!AJ9/Premissas!$C$43)*Premissas!$C$43,N(Premissas!$E$43))=0,"B",IF(N(Premissas!$D$43)&gt;0,IF(MOD(INT(Cron_Uso!AJ9/Premissas!$C$43)*Premissas!$C$43,N(Premissas!$D$43))=0,"A","S"),"S")),IF(N(Premissas!$D$43)&gt;0,IF(MOD(INT(Cron_Uso!AJ9/Premissas!$C$43)*Premissas!$C$43,N(Premissas!$D$43))=0,"A","S"),"S"))),IF(N(Premissas!$E$43)&gt;0,IF(MOD(INT(Cron_Uso!AJ9/Premissas!$C$43)*Premissas!$C$43,N(Premissas!$E$43))=0,"B",IF(N(Premissas!$D$43)&gt;0,IF(MOD(INT(Cron_Uso!AJ9/Premissas!$C$43)*Premissas!$C$43,N(Premissas!$D$43))=0,"A","S"),"S")),IF(N(Premissas!$D$43)&gt;0,IF(MOD(INT(Cron_Uso!AJ9/Premissas!$C$43)*Premissas!$C$43,N(Premissas!$D$43))=0,"A","S"),"S"))),"")</f>
        <v/>
      </c>
      <c r="AK9" s="22" t="str">
        <f>IF(INT(Cron_Uso!AK9/Premissas!$C$43)&gt;INT(Cron_Uso!AJ9/Premissas!$C$43),IF(N(Premissas!$F$43)&gt;0,IF(MOD(INT(Cron_Uso!AK9/Premissas!$C$43)*Premissas!$C$43,N(Premissas!$F$43))=0,"C",IF(N(Premissas!$E$43)&gt;0,IF(MOD(INT(Cron_Uso!AK9/Premissas!$C$43)*Premissas!$C$43,N(Premissas!$E$43))=0,"B",IF(N(Premissas!$D$43)&gt;0,IF(MOD(INT(Cron_Uso!AK9/Premissas!$C$43)*Premissas!$C$43,N(Premissas!$D$43))=0,"A","S"),"S")),IF(N(Premissas!$D$43)&gt;0,IF(MOD(INT(Cron_Uso!AK9/Premissas!$C$43)*Premissas!$C$43,N(Premissas!$D$43))=0,"A","S"),"S"))),IF(N(Premissas!$E$43)&gt;0,IF(MOD(INT(Cron_Uso!AK9/Premissas!$C$43)*Premissas!$C$43,N(Premissas!$E$43))=0,"B",IF(N(Premissas!$D$43)&gt;0,IF(MOD(INT(Cron_Uso!AK9/Premissas!$C$43)*Premissas!$C$43,N(Premissas!$D$43))=0,"A","S"),"S")),IF(N(Premissas!$D$43)&gt;0,IF(MOD(INT(Cron_Uso!AK9/Premissas!$C$43)*Premissas!$C$43,N(Premissas!$D$43))=0,"A","S"),"S"))),"")</f>
        <v/>
      </c>
      <c r="AL9" s="22" t="str">
        <f>IF(INT(Cron_Uso!AL9/Premissas!$C$43)&gt;INT(Cron_Uso!AK9/Premissas!$C$43),IF(N(Premissas!$F$43)&gt;0,IF(MOD(INT(Cron_Uso!AL9/Premissas!$C$43)*Premissas!$C$43,N(Premissas!$F$43))=0,"C",IF(N(Premissas!$E$43)&gt;0,IF(MOD(INT(Cron_Uso!AL9/Premissas!$C$43)*Premissas!$C$43,N(Premissas!$E$43))=0,"B",IF(N(Premissas!$D$43)&gt;0,IF(MOD(INT(Cron_Uso!AL9/Premissas!$C$43)*Premissas!$C$43,N(Premissas!$D$43))=0,"A","S"),"S")),IF(N(Premissas!$D$43)&gt;0,IF(MOD(INT(Cron_Uso!AL9/Premissas!$C$43)*Premissas!$C$43,N(Premissas!$D$43))=0,"A","S"),"S"))),IF(N(Premissas!$E$43)&gt;0,IF(MOD(INT(Cron_Uso!AL9/Premissas!$C$43)*Premissas!$C$43,N(Premissas!$E$43))=0,"B",IF(N(Premissas!$D$43)&gt;0,IF(MOD(INT(Cron_Uso!AL9/Premissas!$C$43)*Premissas!$C$43,N(Premissas!$D$43))=0,"A","S"),"S")),IF(N(Premissas!$D$43)&gt;0,IF(MOD(INT(Cron_Uso!AL9/Premissas!$C$43)*Premissas!$C$43,N(Premissas!$D$43))=0,"A","S"),"S"))),"")</f>
        <v/>
      </c>
      <c r="AM9" s="22" t="str">
        <f>IF(INT(Cron_Uso!AM9/Premissas!$C$43)&gt;INT(Cron_Uso!AL9/Premissas!$C$43),IF(N(Premissas!$F$43)&gt;0,IF(MOD(INT(Cron_Uso!AM9/Premissas!$C$43)*Premissas!$C$43,N(Premissas!$F$43))=0,"C",IF(N(Premissas!$E$43)&gt;0,IF(MOD(INT(Cron_Uso!AM9/Premissas!$C$43)*Premissas!$C$43,N(Premissas!$E$43))=0,"B",IF(N(Premissas!$D$43)&gt;0,IF(MOD(INT(Cron_Uso!AM9/Premissas!$C$43)*Premissas!$C$43,N(Premissas!$D$43))=0,"A","S"),"S")),IF(N(Premissas!$D$43)&gt;0,IF(MOD(INT(Cron_Uso!AM9/Premissas!$C$43)*Premissas!$C$43,N(Premissas!$D$43))=0,"A","S"),"S"))),IF(N(Premissas!$E$43)&gt;0,IF(MOD(INT(Cron_Uso!AM9/Premissas!$C$43)*Premissas!$C$43,N(Premissas!$E$43))=0,"B",IF(N(Premissas!$D$43)&gt;0,IF(MOD(INT(Cron_Uso!AM9/Premissas!$C$43)*Premissas!$C$43,N(Premissas!$D$43))=0,"A","S"),"S")),IF(N(Premissas!$D$43)&gt;0,IF(MOD(INT(Cron_Uso!AM9/Premissas!$C$43)*Premissas!$C$43,N(Premissas!$D$43))=0,"A","S"),"S"))),"")</f>
        <v/>
      </c>
      <c r="AN9" s="22" t="str">
        <f>IF(INT(Cron_Uso!AN9/Premissas!$C$43)&gt;INT(Cron_Uso!AM9/Premissas!$C$43),IF(N(Premissas!$F$43)&gt;0,IF(MOD(INT(Cron_Uso!AN9/Premissas!$C$43)*Premissas!$C$43,N(Premissas!$F$43))=0,"C",IF(N(Premissas!$E$43)&gt;0,IF(MOD(INT(Cron_Uso!AN9/Premissas!$C$43)*Premissas!$C$43,N(Premissas!$E$43))=0,"B",IF(N(Premissas!$D$43)&gt;0,IF(MOD(INT(Cron_Uso!AN9/Premissas!$C$43)*Premissas!$C$43,N(Premissas!$D$43))=0,"A","S"),"S")),IF(N(Premissas!$D$43)&gt;0,IF(MOD(INT(Cron_Uso!AN9/Premissas!$C$43)*Premissas!$C$43,N(Premissas!$D$43))=0,"A","S"),"S"))),IF(N(Premissas!$E$43)&gt;0,IF(MOD(INT(Cron_Uso!AN9/Premissas!$C$43)*Premissas!$C$43,N(Premissas!$E$43))=0,"B",IF(N(Premissas!$D$43)&gt;0,IF(MOD(INT(Cron_Uso!AN9/Premissas!$C$43)*Premissas!$C$43,N(Premissas!$D$43))=0,"A","S"),"S")),IF(N(Premissas!$D$43)&gt;0,IF(MOD(INT(Cron_Uso!AN9/Premissas!$C$43)*Premissas!$C$43,N(Premissas!$D$43))=0,"A","S"),"S"))),"")</f>
        <v/>
      </c>
      <c r="AO9" s="22" t="str">
        <f>IF(INT(Cron_Uso!AO9/Premissas!$C$43)&gt;INT(Cron_Uso!AN9/Premissas!$C$43),IF(N(Premissas!$F$43)&gt;0,IF(MOD(INT(Cron_Uso!AO9/Premissas!$C$43)*Premissas!$C$43,N(Premissas!$F$43))=0,"C",IF(N(Premissas!$E$43)&gt;0,IF(MOD(INT(Cron_Uso!AO9/Premissas!$C$43)*Premissas!$C$43,N(Premissas!$E$43))=0,"B",IF(N(Premissas!$D$43)&gt;0,IF(MOD(INT(Cron_Uso!AO9/Premissas!$C$43)*Premissas!$C$43,N(Premissas!$D$43))=0,"A","S"),"S")),IF(N(Premissas!$D$43)&gt;0,IF(MOD(INT(Cron_Uso!AO9/Premissas!$C$43)*Premissas!$C$43,N(Premissas!$D$43))=0,"A","S"),"S"))),IF(N(Premissas!$E$43)&gt;0,IF(MOD(INT(Cron_Uso!AO9/Premissas!$C$43)*Premissas!$C$43,N(Premissas!$E$43))=0,"B",IF(N(Premissas!$D$43)&gt;0,IF(MOD(INT(Cron_Uso!AO9/Premissas!$C$43)*Premissas!$C$43,N(Premissas!$D$43))=0,"A","S"),"S")),IF(N(Premissas!$D$43)&gt;0,IF(MOD(INT(Cron_Uso!AO9/Premissas!$C$43)*Premissas!$C$43,N(Premissas!$D$43))=0,"A","S"),"S"))),"")</f>
        <v/>
      </c>
      <c r="AP9" s="22" t="str">
        <f>IF(INT(Cron_Uso!AP9/Premissas!$C$43)&gt;INT(Cron_Uso!AO9/Premissas!$C$43),IF(N(Premissas!$F$43)&gt;0,IF(MOD(INT(Cron_Uso!AP9/Premissas!$C$43)*Premissas!$C$43,N(Premissas!$F$43))=0,"C",IF(N(Premissas!$E$43)&gt;0,IF(MOD(INT(Cron_Uso!AP9/Premissas!$C$43)*Premissas!$C$43,N(Premissas!$E$43))=0,"B",IF(N(Premissas!$D$43)&gt;0,IF(MOD(INT(Cron_Uso!AP9/Premissas!$C$43)*Premissas!$C$43,N(Premissas!$D$43))=0,"A","S"),"S")),IF(N(Premissas!$D$43)&gt;0,IF(MOD(INT(Cron_Uso!AP9/Premissas!$C$43)*Premissas!$C$43,N(Premissas!$D$43))=0,"A","S"),"S"))),IF(N(Premissas!$E$43)&gt;0,IF(MOD(INT(Cron_Uso!AP9/Premissas!$C$43)*Premissas!$C$43,N(Premissas!$E$43))=0,"B",IF(N(Premissas!$D$43)&gt;0,IF(MOD(INT(Cron_Uso!AP9/Premissas!$C$43)*Premissas!$C$43,N(Premissas!$D$43))=0,"A","S"),"S")),IF(N(Premissas!$D$43)&gt;0,IF(MOD(INT(Cron_Uso!AP9/Premissas!$C$43)*Premissas!$C$43,N(Premissas!$D$43))=0,"A","S"),"S"))),"")</f>
        <v/>
      </c>
      <c r="AQ9" s="22" t="str">
        <f>IF(INT(Cron_Uso!AQ9/Premissas!$C$43)&gt;INT(Cron_Uso!AP9/Premissas!$C$43),IF(N(Premissas!$F$43)&gt;0,IF(MOD(INT(Cron_Uso!AQ9/Premissas!$C$43)*Premissas!$C$43,N(Premissas!$F$43))=0,"C",IF(N(Premissas!$E$43)&gt;0,IF(MOD(INT(Cron_Uso!AQ9/Premissas!$C$43)*Premissas!$C$43,N(Premissas!$E$43))=0,"B",IF(N(Premissas!$D$43)&gt;0,IF(MOD(INT(Cron_Uso!AQ9/Premissas!$C$43)*Premissas!$C$43,N(Premissas!$D$43))=0,"A","S"),"S")),IF(N(Premissas!$D$43)&gt;0,IF(MOD(INT(Cron_Uso!AQ9/Premissas!$C$43)*Premissas!$C$43,N(Premissas!$D$43))=0,"A","S"),"S"))),IF(N(Premissas!$E$43)&gt;0,IF(MOD(INT(Cron_Uso!AQ9/Premissas!$C$43)*Premissas!$C$43,N(Premissas!$E$43))=0,"B",IF(N(Premissas!$D$43)&gt;0,IF(MOD(INT(Cron_Uso!AQ9/Premissas!$C$43)*Premissas!$C$43,N(Premissas!$D$43))=0,"A","S"),"S")),IF(N(Premissas!$D$43)&gt;0,IF(MOD(INT(Cron_Uso!AQ9/Premissas!$C$43)*Premissas!$C$43,N(Premissas!$D$43))=0,"A","S"),"S"))),"")</f>
        <v/>
      </c>
      <c r="AR9" s="22" t="str">
        <f>IF(INT(Cron_Uso!AR9/Premissas!$C$43)&gt;INT(Cron_Uso!AQ9/Premissas!$C$43),IF(N(Premissas!$F$43)&gt;0,IF(MOD(INT(Cron_Uso!AR9/Premissas!$C$43)*Premissas!$C$43,N(Premissas!$F$43))=0,"C",IF(N(Premissas!$E$43)&gt;0,IF(MOD(INT(Cron_Uso!AR9/Premissas!$C$43)*Premissas!$C$43,N(Premissas!$E$43))=0,"B",IF(N(Premissas!$D$43)&gt;0,IF(MOD(INT(Cron_Uso!AR9/Premissas!$C$43)*Premissas!$C$43,N(Premissas!$D$43))=0,"A","S"),"S")),IF(N(Premissas!$D$43)&gt;0,IF(MOD(INT(Cron_Uso!AR9/Premissas!$C$43)*Premissas!$C$43,N(Premissas!$D$43))=0,"A","S"),"S"))),IF(N(Premissas!$E$43)&gt;0,IF(MOD(INT(Cron_Uso!AR9/Premissas!$C$43)*Premissas!$C$43,N(Premissas!$E$43))=0,"B",IF(N(Premissas!$D$43)&gt;0,IF(MOD(INT(Cron_Uso!AR9/Premissas!$C$43)*Premissas!$C$43,N(Premissas!$D$43))=0,"A","S"),"S")),IF(N(Premissas!$D$43)&gt;0,IF(MOD(INT(Cron_Uso!AR9/Premissas!$C$43)*Premissas!$C$43,N(Premissas!$D$43))=0,"A","S"),"S"))),"")</f>
        <v/>
      </c>
      <c r="AS9" s="22" t="str">
        <f>IF(INT(Cron_Uso!AS9/Premissas!$C$43)&gt;INT(Cron_Uso!AR9/Premissas!$C$43),IF(N(Premissas!$F$43)&gt;0,IF(MOD(INT(Cron_Uso!AS9/Premissas!$C$43)*Premissas!$C$43,N(Premissas!$F$43))=0,"C",IF(N(Premissas!$E$43)&gt;0,IF(MOD(INT(Cron_Uso!AS9/Premissas!$C$43)*Premissas!$C$43,N(Premissas!$E$43))=0,"B",IF(N(Premissas!$D$43)&gt;0,IF(MOD(INT(Cron_Uso!AS9/Premissas!$C$43)*Premissas!$C$43,N(Premissas!$D$43))=0,"A","S"),"S")),IF(N(Premissas!$D$43)&gt;0,IF(MOD(INT(Cron_Uso!AS9/Premissas!$C$43)*Premissas!$C$43,N(Premissas!$D$43))=0,"A","S"),"S"))),IF(N(Premissas!$E$43)&gt;0,IF(MOD(INT(Cron_Uso!AS9/Premissas!$C$43)*Premissas!$C$43,N(Premissas!$E$43))=0,"B",IF(N(Premissas!$D$43)&gt;0,IF(MOD(INT(Cron_Uso!AS9/Premissas!$C$43)*Premissas!$C$43,N(Premissas!$D$43))=0,"A","S"),"S")),IF(N(Premissas!$D$43)&gt;0,IF(MOD(INT(Cron_Uso!AS9/Premissas!$C$43)*Premissas!$C$43,N(Premissas!$D$43))=0,"A","S"),"S"))),"")</f>
        <v/>
      </c>
      <c r="AT9" s="22" t="str">
        <f>IF(INT(Cron_Uso!AT9/Premissas!$C$43)&gt;INT(Cron_Uso!AS9/Premissas!$C$43),IF(N(Premissas!$F$43)&gt;0,IF(MOD(INT(Cron_Uso!AT9/Premissas!$C$43)*Premissas!$C$43,N(Premissas!$F$43))=0,"C",IF(N(Premissas!$E$43)&gt;0,IF(MOD(INT(Cron_Uso!AT9/Premissas!$C$43)*Premissas!$C$43,N(Premissas!$E$43))=0,"B",IF(N(Premissas!$D$43)&gt;0,IF(MOD(INT(Cron_Uso!AT9/Premissas!$C$43)*Premissas!$C$43,N(Premissas!$D$43))=0,"A","S"),"S")),IF(N(Premissas!$D$43)&gt;0,IF(MOD(INT(Cron_Uso!AT9/Premissas!$C$43)*Premissas!$C$43,N(Premissas!$D$43))=0,"A","S"),"S"))),IF(N(Premissas!$E$43)&gt;0,IF(MOD(INT(Cron_Uso!AT9/Premissas!$C$43)*Premissas!$C$43,N(Premissas!$E$43))=0,"B",IF(N(Premissas!$D$43)&gt;0,IF(MOD(INT(Cron_Uso!AT9/Premissas!$C$43)*Premissas!$C$43,N(Premissas!$D$43))=0,"A","S"),"S")),IF(N(Premissas!$D$43)&gt;0,IF(MOD(INT(Cron_Uso!AT9/Premissas!$C$43)*Premissas!$C$43,N(Premissas!$D$43))=0,"A","S"),"S"))),"")</f>
        <v/>
      </c>
      <c r="AU9" s="22" t="str">
        <f>IF(INT(Cron_Uso!AU9/Premissas!$C$43)&gt;INT(Cron_Uso!AT9/Premissas!$C$43),IF(N(Premissas!$F$43)&gt;0,IF(MOD(INT(Cron_Uso!AU9/Premissas!$C$43)*Premissas!$C$43,N(Premissas!$F$43))=0,"C",IF(N(Premissas!$E$43)&gt;0,IF(MOD(INT(Cron_Uso!AU9/Premissas!$C$43)*Premissas!$C$43,N(Premissas!$E$43))=0,"B",IF(N(Premissas!$D$43)&gt;0,IF(MOD(INT(Cron_Uso!AU9/Premissas!$C$43)*Premissas!$C$43,N(Premissas!$D$43))=0,"A","S"),"S")),IF(N(Premissas!$D$43)&gt;0,IF(MOD(INT(Cron_Uso!AU9/Premissas!$C$43)*Premissas!$C$43,N(Premissas!$D$43))=0,"A","S"),"S"))),IF(N(Premissas!$E$43)&gt;0,IF(MOD(INT(Cron_Uso!AU9/Premissas!$C$43)*Premissas!$C$43,N(Premissas!$E$43))=0,"B",IF(N(Premissas!$D$43)&gt;0,IF(MOD(INT(Cron_Uso!AU9/Premissas!$C$43)*Premissas!$C$43,N(Premissas!$D$43))=0,"A","S"),"S")),IF(N(Premissas!$D$43)&gt;0,IF(MOD(INT(Cron_Uso!AU9/Premissas!$C$43)*Premissas!$C$43,N(Premissas!$D$43))=0,"A","S"),"S"))),"")</f>
        <v/>
      </c>
      <c r="AV9" s="22" t="str">
        <f>IF(INT(Cron_Uso!AV9/Premissas!$C$43)&gt;INT(Cron_Uso!AU9/Premissas!$C$43),IF(N(Premissas!$F$43)&gt;0,IF(MOD(INT(Cron_Uso!AV9/Premissas!$C$43)*Premissas!$C$43,N(Premissas!$F$43))=0,"C",IF(N(Premissas!$E$43)&gt;0,IF(MOD(INT(Cron_Uso!AV9/Premissas!$C$43)*Premissas!$C$43,N(Premissas!$E$43))=0,"B",IF(N(Premissas!$D$43)&gt;0,IF(MOD(INT(Cron_Uso!AV9/Premissas!$C$43)*Premissas!$C$43,N(Premissas!$D$43))=0,"A","S"),"S")),IF(N(Premissas!$D$43)&gt;0,IF(MOD(INT(Cron_Uso!AV9/Premissas!$C$43)*Premissas!$C$43,N(Premissas!$D$43))=0,"A","S"),"S"))),IF(N(Premissas!$E$43)&gt;0,IF(MOD(INT(Cron_Uso!AV9/Premissas!$C$43)*Premissas!$C$43,N(Premissas!$E$43))=0,"B",IF(N(Premissas!$D$43)&gt;0,IF(MOD(INT(Cron_Uso!AV9/Premissas!$C$43)*Premissas!$C$43,N(Premissas!$D$43))=0,"A","S"),"S")),IF(N(Premissas!$D$43)&gt;0,IF(MOD(INT(Cron_Uso!AV9/Premissas!$C$43)*Premissas!$C$43,N(Premissas!$D$43))=0,"A","S"),"S"))),"")</f>
        <v/>
      </c>
      <c r="AW9" s="22" t="str">
        <f>IF(INT(Cron_Uso!AW9/Premissas!$C$43)&gt;INT(Cron_Uso!AV9/Premissas!$C$43),IF(N(Premissas!$F$43)&gt;0,IF(MOD(INT(Cron_Uso!AW9/Premissas!$C$43)*Premissas!$C$43,N(Premissas!$F$43))=0,"C",IF(N(Premissas!$E$43)&gt;0,IF(MOD(INT(Cron_Uso!AW9/Premissas!$C$43)*Premissas!$C$43,N(Premissas!$E$43))=0,"B",IF(N(Premissas!$D$43)&gt;0,IF(MOD(INT(Cron_Uso!AW9/Premissas!$C$43)*Premissas!$C$43,N(Premissas!$D$43))=0,"A","S"),"S")),IF(N(Premissas!$D$43)&gt;0,IF(MOD(INT(Cron_Uso!AW9/Premissas!$C$43)*Premissas!$C$43,N(Premissas!$D$43))=0,"A","S"),"S"))),IF(N(Premissas!$E$43)&gt;0,IF(MOD(INT(Cron_Uso!AW9/Premissas!$C$43)*Premissas!$C$43,N(Premissas!$E$43))=0,"B",IF(N(Premissas!$D$43)&gt;0,IF(MOD(INT(Cron_Uso!AW9/Premissas!$C$43)*Premissas!$C$43,N(Premissas!$D$43))=0,"A","S"),"S")),IF(N(Premissas!$D$43)&gt;0,IF(MOD(INT(Cron_Uso!AW9/Premissas!$C$43)*Premissas!$C$43,N(Premissas!$D$43))=0,"A","S"),"S"))),"")</f>
        <v>S</v>
      </c>
      <c r="AX9" s="22" t="str">
        <f>IF(INT(Cron_Uso!AX9/Premissas!$C$43)&gt;INT(Cron_Uso!AW9/Premissas!$C$43),IF(N(Premissas!$F$43)&gt;0,IF(MOD(INT(Cron_Uso!AX9/Premissas!$C$43)*Premissas!$C$43,N(Premissas!$F$43))=0,"C",IF(N(Premissas!$E$43)&gt;0,IF(MOD(INT(Cron_Uso!AX9/Premissas!$C$43)*Premissas!$C$43,N(Premissas!$E$43))=0,"B",IF(N(Premissas!$D$43)&gt;0,IF(MOD(INT(Cron_Uso!AX9/Premissas!$C$43)*Premissas!$C$43,N(Premissas!$D$43))=0,"A","S"),"S")),IF(N(Premissas!$D$43)&gt;0,IF(MOD(INT(Cron_Uso!AX9/Premissas!$C$43)*Premissas!$C$43,N(Premissas!$D$43))=0,"A","S"),"S"))),IF(N(Premissas!$E$43)&gt;0,IF(MOD(INT(Cron_Uso!AX9/Premissas!$C$43)*Premissas!$C$43,N(Premissas!$E$43))=0,"B",IF(N(Premissas!$D$43)&gt;0,IF(MOD(INT(Cron_Uso!AX9/Premissas!$C$43)*Premissas!$C$43,N(Premissas!$D$43))=0,"A","S"),"S")),IF(N(Premissas!$D$43)&gt;0,IF(MOD(INT(Cron_Uso!AX9/Premissas!$C$43)*Premissas!$C$43,N(Premissas!$D$43))=0,"A","S"),"S"))),"")</f>
        <v/>
      </c>
      <c r="AY9" s="22" t="str">
        <f>IF(INT(Cron_Uso!AY9/Premissas!$C$43)&gt;INT(Cron_Uso!AX9/Premissas!$C$43),IF(N(Premissas!$F$43)&gt;0,IF(MOD(INT(Cron_Uso!AY9/Premissas!$C$43)*Premissas!$C$43,N(Premissas!$F$43))=0,"C",IF(N(Premissas!$E$43)&gt;0,IF(MOD(INT(Cron_Uso!AY9/Premissas!$C$43)*Premissas!$C$43,N(Premissas!$E$43))=0,"B",IF(N(Premissas!$D$43)&gt;0,IF(MOD(INT(Cron_Uso!AY9/Premissas!$C$43)*Premissas!$C$43,N(Premissas!$D$43))=0,"A","S"),"S")),IF(N(Premissas!$D$43)&gt;0,IF(MOD(INT(Cron_Uso!AY9/Premissas!$C$43)*Premissas!$C$43,N(Premissas!$D$43))=0,"A","S"),"S"))),IF(N(Premissas!$E$43)&gt;0,IF(MOD(INT(Cron_Uso!AY9/Premissas!$C$43)*Premissas!$C$43,N(Premissas!$E$43))=0,"B",IF(N(Premissas!$D$43)&gt;0,IF(MOD(INT(Cron_Uso!AY9/Premissas!$C$43)*Premissas!$C$43,N(Premissas!$D$43))=0,"A","S"),"S")),IF(N(Premissas!$D$43)&gt;0,IF(MOD(INT(Cron_Uso!AY9/Premissas!$C$43)*Premissas!$C$43,N(Premissas!$D$43))=0,"A","S"),"S"))),"")</f>
        <v/>
      </c>
      <c r="AZ9" s="22" t="str">
        <f>IF(INT(Cron_Uso!AZ9/Premissas!$C$43)&gt;INT(Cron_Uso!AY9/Premissas!$C$43),IF(N(Premissas!$F$43)&gt;0,IF(MOD(INT(Cron_Uso!AZ9/Premissas!$C$43)*Premissas!$C$43,N(Premissas!$F$43))=0,"C",IF(N(Premissas!$E$43)&gt;0,IF(MOD(INT(Cron_Uso!AZ9/Premissas!$C$43)*Premissas!$C$43,N(Premissas!$E$43))=0,"B",IF(N(Premissas!$D$43)&gt;0,IF(MOD(INT(Cron_Uso!AZ9/Premissas!$C$43)*Premissas!$C$43,N(Premissas!$D$43))=0,"A","S"),"S")),IF(N(Premissas!$D$43)&gt;0,IF(MOD(INT(Cron_Uso!AZ9/Premissas!$C$43)*Premissas!$C$43,N(Premissas!$D$43))=0,"A","S"),"S"))),IF(N(Premissas!$E$43)&gt;0,IF(MOD(INT(Cron_Uso!AZ9/Premissas!$C$43)*Premissas!$C$43,N(Premissas!$E$43))=0,"B",IF(N(Premissas!$D$43)&gt;0,IF(MOD(INT(Cron_Uso!AZ9/Premissas!$C$43)*Premissas!$C$43,N(Premissas!$D$43))=0,"A","S"),"S")),IF(N(Premissas!$D$43)&gt;0,IF(MOD(INT(Cron_Uso!AZ9/Premissas!$C$43)*Premissas!$C$43,N(Premissas!$D$43))=0,"A","S"),"S"))),"")</f>
        <v/>
      </c>
      <c r="BA9" s="22" t="str">
        <f>IF(INT(Cron_Uso!BA9/Premissas!$C$43)&gt;INT(Cron_Uso!AZ9/Premissas!$C$43),IF(N(Premissas!$F$43)&gt;0,IF(MOD(INT(Cron_Uso!BA9/Premissas!$C$43)*Premissas!$C$43,N(Premissas!$F$43))=0,"C",IF(N(Premissas!$E$43)&gt;0,IF(MOD(INT(Cron_Uso!BA9/Premissas!$C$43)*Premissas!$C$43,N(Premissas!$E$43))=0,"B",IF(N(Premissas!$D$43)&gt;0,IF(MOD(INT(Cron_Uso!BA9/Premissas!$C$43)*Premissas!$C$43,N(Premissas!$D$43))=0,"A","S"),"S")),IF(N(Premissas!$D$43)&gt;0,IF(MOD(INT(Cron_Uso!BA9/Premissas!$C$43)*Premissas!$C$43,N(Premissas!$D$43))=0,"A","S"),"S"))),IF(N(Premissas!$E$43)&gt;0,IF(MOD(INT(Cron_Uso!BA9/Premissas!$C$43)*Premissas!$C$43,N(Premissas!$E$43))=0,"B",IF(N(Premissas!$D$43)&gt;0,IF(MOD(INT(Cron_Uso!BA9/Premissas!$C$43)*Premissas!$C$43,N(Premissas!$D$43))=0,"A","S"),"S")),IF(N(Premissas!$D$43)&gt;0,IF(MOD(INT(Cron_Uso!BA9/Premissas!$C$43)*Premissas!$C$43,N(Premissas!$D$43))=0,"A","S"),"S"))),"")</f>
        <v/>
      </c>
    </row>
    <row r="10" spans="1:56" ht="15" customHeight="1" x14ac:dyDescent="0.4">
      <c r="A10" s="15" t="str">
        <f>Premissas!$A$44&amp;" (×"&amp;Premissas!$I$44&amp;")"</f>
        <v>Pulverizador (×12)</v>
      </c>
      <c r="B10" s="22" t="str">
        <f>IF(INT(Cron_Uso!B10/Premissas!$C$44)&gt;INT(Premissas!$J$44/Premissas!$C$44),IF(N(Premissas!$F$44)&gt;0,IF(MOD(INT(Cron_Uso!B10/Premissas!$C$44)*Premissas!$C$44,N(Premissas!$F$44))=0,"C",IF(N(Premissas!$E$44)&gt;0,IF(MOD(INT(Cron_Uso!B10/Premissas!$C$44)*Premissas!$C$44,N(Premissas!$E$44))=0,"B",IF(N(Premissas!$D$44)&gt;0,IF(MOD(INT(Cron_Uso!B10/Premissas!$C$44)*Premissas!$C$44,N(Premissas!$D$44))=0,"A","S"),"S")),IF(N(Premissas!$D$44)&gt;0,IF(MOD(INT(Cron_Uso!B10/Premissas!$C$44)*Premissas!$C$44,N(Premissas!$D$44))=0,"A","S"),"S"))),IF(N(Premissas!$E$44)&gt;0,IF(MOD(INT(Cron_Uso!B10/Premissas!$C$44)*Premissas!$C$44,N(Premissas!$E$44))=0,"B",IF(N(Premissas!$D$44)&gt;0,IF(MOD(INT(Cron_Uso!B10/Premissas!$C$44)*Premissas!$C$44,N(Premissas!$D$44))=0,"A","S"),"S")),IF(N(Premissas!$D$44)&gt;0,IF(MOD(INT(Cron_Uso!B10/Premissas!$C$44)*Premissas!$C$44,N(Premissas!$D$44))=0,"A","S"),"S"))),"")</f>
        <v/>
      </c>
      <c r="C10" s="22" t="str">
        <f>IF(INT(Cron_Uso!C10/Premissas!$C$44)&gt;INT(Cron_Uso!B10/Premissas!$C$44),IF(N(Premissas!$F$44)&gt;0,IF(MOD(INT(Cron_Uso!C10/Premissas!$C$44)*Premissas!$C$44,N(Premissas!$F$44))=0,"C",IF(N(Premissas!$E$44)&gt;0,IF(MOD(INT(Cron_Uso!C10/Premissas!$C$44)*Premissas!$C$44,N(Premissas!$E$44))=0,"B",IF(N(Premissas!$D$44)&gt;0,IF(MOD(INT(Cron_Uso!C10/Premissas!$C$44)*Premissas!$C$44,N(Premissas!$D$44))=0,"A","S"),"S")),IF(N(Premissas!$D$44)&gt;0,IF(MOD(INT(Cron_Uso!C10/Premissas!$C$44)*Premissas!$C$44,N(Premissas!$D$44))=0,"A","S"),"S"))),IF(N(Premissas!$E$44)&gt;0,IF(MOD(INT(Cron_Uso!C10/Premissas!$C$44)*Premissas!$C$44,N(Premissas!$E$44))=0,"B",IF(N(Premissas!$D$44)&gt;0,IF(MOD(INT(Cron_Uso!C10/Premissas!$C$44)*Premissas!$C$44,N(Premissas!$D$44))=0,"A","S"),"S")),IF(N(Premissas!$D$44)&gt;0,IF(MOD(INT(Cron_Uso!C10/Premissas!$C$44)*Premissas!$C$44,N(Premissas!$D$44))=0,"A","S"),"S"))),"")</f>
        <v/>
      </c>
      <c r="D10" s="22" t="str">
        <f>IF(INT(Cron_Uso!D10/Premissas!$C$44)&gt;INT(Cron_Uso!C10/Premissas!$C$44),IF(N(Premissas!$F$44)&gt;0,IF(MOD(INT(Cron_Uso!D10/Premissas!$C$44)*Premissas!$C$44,N(Premissas!$F$44))=0,"C",IF(N(Premissas!$E$44)&gt;0,IF(MOD(INT(Cron_Uso!D10/Premissas!$C$44)*Premissas!$C$44,N(Premissas!$E$44))=0,"B",IF(N(Premissas!$D$44)&gt;0,IF(MOD(INT(Cron_Uso!D10/Premissas!$C$44)*Premissas!$C$44,N(Premissas!$D$44))=0,"A","S"),"S")),IF(N(Premissas!$D$44)&gt;0,IF(MOD(INT(Cron_Uso!D10/Premissas!$C$44)*Premissas!$C$44,N(Premissas!$D$44))=0,"A","S"),"S"))),IF(N(Premissas!$E$44)&gt;0,IF(MOD(INT(Cron_Uso!D10/Premissas!$C$44)*Premissas!$C$44,N(Premissas!$E$44))=0,"B",IF(N(Premissas!$D$44)&gt;0,IF(MOD(INT(Cron_Uso!D10/Premissas!$C$44)*Premissas!$C$44,N(Premissas!$D$44))=0,"A","S"),"S")),IF(N(Premissas!$D$44)&gt;0,IF(MOD(INT(Cron_Uso!D10/Premissas!$C$44)*Premissas!$C$44,N(Premissas!$D$44))=0,"A","S"),"S"))),"")</f>
        <v/>
      </c>
      <c r="E10" s="22" t="str">
        <f>IF(INT(Cron_Uso!E10/Premissas!$C$44)&gt;INT(Cron_Uso!D10/Premissas!$C$44),IF(N(Premissas!$F$44)&gt;0,IF(MOD(INT(Cron_Uso!E10/Premissas!$C$44)*Premissas!$C$44,N(Premissas!$F$44))=0,"C",IF(N(Premissas!$E$44)&gt;0,IF(MOD(INT(Cron_Uso!E10/Premissas!$C$44)*Premissas!$C$44,N(Premissas!$E$44))=0,"B",IF(N(Premissas!$D$44)&gt;0,IF(MOD(INT(Cron_Uso!E10/Premissas!$C$44)*Premissas!$C$44,N(Premissas!$D$44))=0,"A","S"),"S")),IF(N(Premissas!$D$44)&gt;0,IF(MOD(INT(Cron_Uso!E10/Premissas!$C$44)*Premissas!$C$44,N(Premissas!$D$44))=0,"A","S"),"S"))),IF(N(Premissas!$E$44)&gt;0,IF(MOD(INT(Cron_Uso!E10/Premissas!$C$44)*Premissas!$C$44,N(Premissas!$E$44))=0,"B",IF(N(Premissas!$D$44)&gt;0,IF(MOD(INT(Cron_Uso!E10/Premissas!$C$44)*Premissas!$C$44,N(Premissas!$D$44))=0,"A","S"),"S")),IF(N(Premissas!$D$44)&gt;0,IF(MOD(INT(Cron_Uso!E10/Premissas!$C$44)*Premissas!$C$44,N(Premissas!$D$44))=0,"A","S"),"S"))),"")</f>
        <v/>
      </c>
      <c r="F10" s="22" t="str">
        <f>IF(INT(Cron_Uso!F10/Premissas!$C$44)&gt;INT(Cron_Uso!E10/Premissas!$C$44),IF(N(Premissas!$F$44)&gt;0,IF(MOD(INT(Cron_Uso!F10/Premissas!$C$44)*Premissas!$C$44,N(Premissas!$F$44))=0,"C",IF(N(Premissas!$E$44)&gt;0,IF(MOD(INT(Cron_Uso!F10/Premissas!$C$44)*Premissas!$C$44,N(Premissas!$E$44))=0,"B",IF(N(Premissas!$D$44)&gt;0,IF(MOD(INT(Cron_Uso!F10/Premissas!$C$44)*Premissas!$C$44,N(Premissas!$D$44))=0,"A","S"),"S")),IF(N(Premissas!$D$44)&gt;0,IF(MOD(INT(Cron_Uso!F10/Premissas!$C$44)*Premissas!$C$44,N(Premissas!$D$44))=0,"A","S"),"S"))),IF(N(Premissas!$E$44)&gt;0,IF(MOD(INT(Cron_Uso!F10/Premissas!$C$44)*Premissas!$C$44,N(Premissas!$E$44))=0,"B",IF(N(Premissas!$D$44)&gt;0,IF(MOD(INT(Cron_Uso!F10/Premissas!$C$44)*Premissas!$C$44,N(Premissas!$D$44))=0,"A","S"),"S")),IF(N(Premissas!$D$44)&gt;0,IF(MOD(INT(Cron_Uso!F10/Premissas!$C$44)*Premissas!$C$44,N(Premissas!$D$44))=0,"A","S"),"S"))),"")</f>
        <v>S</v>
      </c>
      <c r="G10" s="22" t="str">
        <f>IF(INT(Cron_Uso!G10/Premissas!$C$44)&gt;INT(Cron_Uso!F10/Premissas!$C$44),IF(N(Premissas!$F$44)&gt;0,IF(MOD(INT(Cron_Uso!G10/Premissas!$C$44)*Premissas!$C$44,N(Premissas!$F$44))=0,"C",IF(N(Premissas!$E$44)&gt;0,IF(MOD(INT(Cron_Uso!G10/Premissas!$C$44)*Premissas!$C$44,N(Premissas!$E$44))=0,"B",IF(N(Premissas!$D$44)&gt;0,IF(MOD(INT(Cron_Uso!G10/Premissas!$C$44)*Premissas!$C$44,N(Premissas!$D$44))=0,"A","S"),"S")),IF(N(Premissas!$D$44)&gt;0,IF(MOD(INT(Cron_Uso!G10/Premissas!$C$44)*Premissas!$C$44,N(Premissas!$D$44))=0,"A","S"),"S"))),IF(N(Premissas!$E$44)&gt;0,IF(MOD(INT(Cron_Uso!G10/Premissas!$C$44)*Premissas!$C$44,N(Premissas!$E$44))=0,"B",IF(N(Premissas!$D$44)&gt;0,IF(MOD(INT(Cron_Uso!G10/Premissas!$C$44)*Premissas!$C$44,N(Premissas!$D$44))=0,"A","S"),"S")),IF(N(Premissas!$D$44)&gt;0,IF(MOD(INT(Cron_Uso!G10/Premissas!$C$44)*Premissas!$C$44,N(Premissas!$D$44))=0,"A","S"),"S"))),"")</f>
        <v/>
      </c>
      <c r="H10" s="22" t="str">
        <f>IF(INT(Cron_Uso!H10/Premissas!$C$44)&gt;INT(Cron_Uso!G10/Premissas!$C$44),IF(N(Premissas!$F$44)&gt;0,IF(MOD(INT(Cron_Uso!H10/Premissas!$C$44)*Premissas!$C$44,N(Premissas!$F$44))=0,"C",IF(N(Premissas!$E$44)&gt;0,IF(MOD(INT(Cron_Uso!H10/Premissas!$C$44)*Premissas!$C$44,N(Premissas!$E$44))=0,"B",IF(N(Premissas!$D$44)&gt;0,IF(MOD(INT(Cron_Uso!H10/Premissas!$C$44)*Premissas!$C$44,N(Premissas!$D$44))=0,"A","S"),"S")),IF(N(Premissas!$D$44)&gt;0,IF(MOD(INT(Cron_Uso!H10/Premissas!$C$44)*Premissas!$C$44,N(Premissas!$D$44))=0,"A","S"),"S"))),IF(N(Premissas!$E$44)&gt;0,IF(MOD(INT(Cron_Uso!H10/Premissas!$C$44)*Premissas!$C$44,N(Premissas!$E$44))=0,"B",IF(N(Premissas!$D$44)&gt;0,IF(MOD(INT(Cron_Uso!H10/Premissas!$C$44)*Premissas!$C$44,N(Premissas!$D$44))=0,"A","S"),"S")),IF(N(Premissas!$D$44)&gt;0,IF(MOD(INT(Cron_Uso!H10/Premissas!$C$44)*Premissas!$C$44,N(Premissas!$D$44))=0,"A","S"),"S"))),"")</f>
        <v/>
      </c>
      <c r="I10" s="22" t="str">
        <f>IF(INT(Cron_Uso!I10/Premissas!$C$44)&gt;INT(Cron_Uso!H10/Premissas!$C$44),IF(N(Premissas!$F$44)&gt;0,IF(MOD(INT(Cron_Uso!I10/Premissas!$C$44)*Premissas!$C$44,N(Premissas!$F$44))=0,"C",IF(N(Premissas!$E$44)&gt;0,IF(MOD(INT(Cron_Uso!I10/Premissas!$C$44)*Premissas!$C$44,N(Premissas!$E$44))=0,"B",IF(N(Premissas!$D$44)&gt;0,IF(MOD(INT(Cron_Uso!I10/Premissas!$C$44)*Premissas!$C$44,N(Premissas!$D$44))=0,"A","S"),"S")),IF(N(Premissas!$D$44)&gt;0,IF(MOD(INT(Cron_Uso!I10/Premissas!$C$44)*Premissas!$C$44,N(Premissas!$D$44))=0,"A","S"),"S"))),IF(N(Premissas!$E$44)&gt;0,IF(MOD(INT(Cron_Uso!I10/Premissas!$C$44)*Premissas!$C$44,N(Premissas!$E$44))=0,"B",IF(N(Premissas!$D$44)&gt;0,IF(MOD(INT(Cron_Uso!I10/Premissas!$C$44)*Premissas!$C$44,N(Premissas!$D$44))=0,"A","S"),"S")),IF(N(Premissas!$D$44)&gt;0,IF(MOD(INT(Cron_Uso!I10/Premissas!$C$44)*Premissas!$C$44,N(Premissas!$D$44))=0,"A","S"),"S"))),"")</f>
        <v/>
      </c>
      <c r="J10" s="22" t="str">
        <f>IF(INT(Cron_Uso!J10/Premissas!$C$44)&gt;INT(Cron_Uso!I10/Premissas!$C$44),IF(N(Premissas!$F$44)&gt;0,IF(MOD(INT(Cron_Uso!J10/Premissas!$C$44)*Premissas!$C$44,N(Premissas!$F$44))=0,"C",IF(N(Premissas!$E$44)&gt;0,IF(MOD(INT(Cron_Uso!J10/Premissas!$C$44)*Premissas!$C$44,N(Premissas!$E$44))=0,"B",IF(N(Premissas!$D$44)&gt;0,IF(MOD(INT(Cron_Uso!J10/Premissas!$C$44)*Premissas!$C$44,N(Premissas!$D$44))=0,"A","S"),"S")),IF(N(Premissas!$D$44)&gt;0,IF(MOD(INT(Cron_Uso!J10/Premissas!$C$44)*Premissas!$C$44,N(Premissas!$D$44))=0,"A","S"),"S"))),IF(N(Premissas!$E$44)&gt;0,IF(MOD(INT(Cron_Uso!J10/Premissas!$C$44)*Premissas!$C$44,N(Premissas!$E$44))=0,"B",IF(N(Premissas!$D$44)&gt;0,IF(MOD(INT(Cron_Uso!J10/Premissas!$C$44)*Premissas!$C$44,N(Premissas!$D$44))=0,"A","S"),"S")),IF(N(Premissas!$D$44)&gt;0,IF(MOD(INT(Cron_Uso!J10/Premissas!$C$44)*Premissas!$C$44,N(Premissas!$D$44))=0,"A","S"),"S"))),"")</f>
        <v/>
      </c>
      <c r="K10" s="22" t="str">
        <f>IF(INT(Cron_Uso!K10/Premissas!$C$44)&gt;INT(Cron_Uso!J10/Premissas!$C$44),IF(N(Premissas!$F$44)&gt;0,IF(MOD(INT(Cron_Uso!K10/Premissas!$C$44)*Premissas!$C$44,N(Premissas!$F$44))=0,"C",IF(N(Premissas!$E$44)&gt;0,IF(MOD(INT(Cron_Uso!K10/Premissas!$C$44)*Premissas!$C$44,N(Premissas!$E$44))=0,"B",IF(N(Premissas!$D$44)&gt;0,IF(MOD(INT(Cron_Uso!K10/Premissas!$C$44)*Premissas!$C$44,N(Premissas!$D$44))=0,"A","S"),"S")),IF(N(Premissas!$D$44)&gt;0,IF(MOD(INT(Cron_Uso!K10/Premissas!$C$44)*Premissas!$C$44,N(Premissas!$D$44))=0,"A","S"),"S"))),IF(N(Premissas!$E$44)&gt;0,IF(MOD(INT(Cron_Uso!K10/Premissas!$C$44)*Premissas!$C$44,N(Premissas!$E$44))=0,"B",IF(N(Premissas!$D$44)&gt;0,IF(MOD(INT(Cron_Uso!K10/Premissas!$C$44)*Premissas!$C$44,N(Premissas!$D$44))=0,"A","S"),"S")),IF(N(Premissas!$D$44)&gt;0,IF(MOD(INT(Cron_Uso!K10/Premissas!$C$44)*Premissas!$C$44,N(Premissas!$D$44))=0,"A","S"),"S"))),"")</f>
        <v>A</v>
      </c>
      <c r="L10" s="22" t="str">
        <f>IF(INT(Cron_Uso!L10/Premissas!$C$44)&gt;INT(Cron_Uso!K10/Premissas!$C$44),IF(N(Premissas!$F$44)&gt;0,IF(MOD(INT(Cron_Uso!L10/Premissas!$C$44)*Premissas!$C$44,N(Premissas!$F$44))=0,"C",IF(N(Premissas!$E$44)&gt;0,IF(MOD(INT(Cron_Uso!L10/Premissas!$C$44)*Premissas!$C$44,N(Premissas!$E$44))=0,"B",IF(N(Premissas!$D$44)&gt;0,IF(MOD(INT(Cron_Uso!L10/Premissas!$C$44)*Premissas!$C$44,N(Premissas!$D$44))=0,"A","S"),"S")),IF(N(Premissas!$D$44)&gt;0,IF(MOD(INT(Cron_Uso!L10/Premissas!$C$44)*Premissas!$C$44,N(Premissas!$D$44))=0,"A","S"),"S"))),IF(N(Premissas!$E$44)&gt;0,IF(MOD(INT(Cron_Uso!L10/Premissas!$C$44)*Premissas!$C$44,N(Premissas!$E$44))=0,"B",IF(N(Premissas!$D$44)&gt;0,IF(MOD(INT(Cron_Uso!L10/Premissas!$C$44)*Premissas!$C$44,N(Premissas!$D$44))=0,"A","S"),"S")),IF(N(Premissas!$D$44)&gt;0,IF(MOD(INT(Cron_Uso!L10/Premissas!$C$44)*Premissas!$C$44,N(Premissas!$D$44))=0,"A","S"),"S"))),"")</f>
        <v/>
      </c>
      <c r="M10" s="22" t="str">
        <f>IF(INT(Cron_Uso!M10/Premissas!$C$44)&gt;INT(Cron_Uso!L10/Premissas!$C$44),IF(N(Premissas!$F$44)&gt;0,IF(MOD(INT(Cron_Uso!M10/Premissas!$C$44)*Premissas!$C$44,N(Premissas!$F$44))=0,"C",IF(N(Premissas!$E$44)&gt;0,IF(MOD(INT(Cron_Uso!M10/Premissas!$C$44)*Premissas!$C$44,N(Premissas!$E$44))=0,"B",IF(N(Premissas!$D$44)&gt;0,IF(MOD(INT(Cron_Uso!M10/Premissas!$C$44)*Premissas!$C$44,N(Premissas!$D$44))=0,"A","S"),"S")),IF(N(Premissas!$D$44)&gt;0,IF(MOD(INT(Cron_Uso!M10/Premissas!$C$44)*Premissas!$C$44,N(Premissas!$D$44))=0,"A","S"),"S"))),IF(N(Premissas!$E$44)&gt;0,IF(MOD(INT(Cron_Uso!M10/Premissas!$C$44)*Premissas!$C$44,N(Premissas!$E$44))=0,"B",IF(N(Premissas!$D$44)&gt;0,IF(MOD(INT(Cron_Uso!M10/Premissas!$C$44)*Premissas!$C$44,N(Premissas!$D$44))=0,"A","S"),"S")),IF(N(Premissas!$D$44)&gt;0,IF(MOD(INT(Cron_Uso!M10/Premissas!$C$44)*Premissas!$C$44,N(Premissas!$D$44))=0,"A","S"),"S"))),"")</f>
        <v/>
      </c>
      <c r="N10" s="22" t="str">
        <f>IF(INT(Cron_Uso!N10/Premissas!$C$44)&gt;INT(Cron_Uso!M10/Premissas!$C$44),IF(N(Premissas!$F$44)&gt;0,IF(MOD(INT(Cron_Uso!N10/Premissas!$C$44)*Premissas!$C$44,N(Premissas!$F$44))=0,"C",IF(N(Premissas!$E$44)&gt;0,IF(MOD(INT(Cron_Uso!N10/Premissas!$C$44)*Premissas!$C$44,N(Premissas!$E$44))=0,"B",IF(N(Premissas!$D$44)&gt;0,IF(MOD(INT(Cron_Uso!N10/Premissas!$C$44)*Premissas!$C$44,N(Premissas!$D$44))=0,"A","S"),"S")),IF(N(Premissas!$D$44)&gt;0,IF(MOD(INT(Cron_Uso!N10/Premissas!$C$44)*Premissas!$C$44,N(Premissas!$D$44))=0,"A","S"),"S"))),IF(N(Premissas!$E$44)&gt;0,IF(MOD(INT(Cron_Uso!N10/Premissas!$C$44)*Premissas!$C$44,N(Premissas!$E$44))=0,"B",IF(N(Premissas!$D$44)&gt;0,IF(MOD(INT(Cron_Uso!N10/Premissas!$C$44)*Premissas!$C$44,N(Premissas!$D$44))=0,"A","S"),"S")),IF(N(Premissas!$D$44)&gt;0,IF(MOD(INT(Cron_Uso!N10/Premissas!$C$44)*Premissas!$C$44,N(Premissas!$D$44))=0,"A","S"),"S"))),"")</f>
        <v/>
      </c>
      <c r="O10" s="22" t="str">
        <f>IF(INT(Cron_Uso!O10/Premissas!$C$44)&gt;INT(Cron_Uso!N10/Premissas!$C$44),IF(N(Premissas!$F$44)&gt;0,IF(MOD(INT(Cron_Uso!O10/Premissas!$C$44)*Premissas!$C$44,N(Premissas!$F$44))=0,"C",IF(N(Premissas!$E$44)&gt;0,IF(MOD(INT(Cron_Uso!O10/Premissas!$C$44)*Premissas!$C$44,N(Premissas!$E$44))=0,"B",IF(N(Premissas!$D$44)&gt;0,IF(MOD(INT(Cron_Uso!O10/Premissas!$C$44)*Premissas!$C$44,N(Premissas!$D$44))=0,"A","S"),"S")),IF(N(Premissas!$D$44)&gt;0,IF(MOD(INT(Cron_Uso!O10/Premissas!$C$44)*Premissas!$C$44,N(Premissas!$D$44))=0,"A","S"),"S"))),IF(N(Premissas!$E$44)&gt;0,IF(MOD(INT(Cron_Uso!O10/Premissas!$C$44)*Premissas!$C$44,N(Premissas!$E$44))=0,"B",IF(N(Premissas!$D$44)&gt;0,IF(MOD(INT(Cron_Uso!O10/Premissas!$C$44)*Premissas!$C$44,N(Premissas!$D$44))=0,"A","S"),"S")),IF(N(Premissas!$D$44)&gt;0,IF(MOD(INT(Cron_Uso!O10/Premissas!$C$44)*Premissas!$C$44,N(Premissas!$D$44))=0,"A","S"),"S"))),"")</f>
        <v/>
      </c>
      <c r="P10" s="22" t="str">
        <f>IF(INT(Cron_Uso!P10/Premissas!$C$44)&gt;INT(Cron_Uso!O10/Premissas!$C$44),IF(N(Premissas!$F$44)&gt;0,IF(MOD(INT(Cron_Uso!P10/Premissas!$C$44)*Premissas!$C$44,N(Premissas!$F$44))=0,"C",IF(N(Premissas!$E$44)&gt;0,IF(MOD(INT(Cron_Uso!P10/Premissas!$C$44)*Premissas!$C$44,N(Premissas!$E$44))=0,"B",IF(N(Premissas!$D$44)&gt;0,IF(MOD(INT(Cron_Uso!P10/Premissas!$C$44)*Premissas!$C$44,N(Premissas!$D$44))=0,"A","S"),"S")),IF(N(Premissas!$D$44)&gt;0,IF(MOD(INT(Cron_Uso!P10/Premissas!$C$44)*Premissas!$C$44,N(Premissas!$D$44))=0,"A","S"),"S"))),IF(N(Premissas!$E$44)&gt;0,IF(MOD(INT(Cron_Uso!P10/Premissas!$C$44)*Premissas!$C$44,N(Premissas!$E$44))=0,"B",IF(N(Premissas!$D$44)&gt;0,IF(MOD(INT(Cron_Uso!P10/Premissas!$C$44)*Premissas!$C$44,N(Premissas!$D$44))=0,"A","S"),"S")),IF(N(Premissas!$D$44)&gt;0,IF(MOD(INT(Cron_Uso!P10/Premissas!$C$44)*Premissas!$C$44,N(Premissas!$D$44))=0,"A","S"),"S"))),"")</f>
        <v>S</v>
      </c>
      <c r="Q10" s="22" t="str">
        <f>IF(INT(Cron_Uso!Q10/Premissas!$C$44)&gt;INT(Cron_Uso!P10/Premissas!$C$44),IF(N(Premissas!$F$44)&gt;0,IF(MOD(INT(Cron_Uso!Q10/Premissas!$C$44)*Premissas!$C$44,N(Premissas!$F$44))=0,"C",IF(N(Premissas!$E$44)&gt;0,IF(MOD(INT(Cron_Uso!Q10/Premissas!$C$44)*Premissas!$C$44,N(Premissas!$E$44))=0,"B",IF(N(Premissas!$D$44)&gt;0,IF(MOD(INT(Cron_Uso!Q10/Premissas!$C$44)*Premissas!$C$44,N(Premissas!$D$44))=0,"A","S"),"S")),IF(N(Premissas!$D$44)&gt;0,IF(MOD(INT(Cron_Uso!Q10/Premissas!$C$44)*Premissas!$C$44,N(Premissas!$D$44))=0,"A","S"),"S"))),IF(N(Premissas!$E$44)&gt;0,IF(MOD(INT(Cron_Uso!Q10/Premissas!$C$44)*Premissas!$C$44,N(Premissas!$E$44))=0,"B",IF(N(Premissas!$D$44)&gt;0,IF(MOD(INT(Cron_Uso!Q10/Premissas!$C$44)*Premissas!$C$44,N(Premissas!$D$44))=0,"A","S"),"S")),IF(N(Premissas!$D$44)&gt;0,IF(MOD(INT(Cron_Uso!Q10/Premissas!$C$44)*Premissas!$C$44,N(Premissas!$D$44))=0,"A","S"),"S"))),"")</f>
        <v/>
      </c>
      <c r="R10" s="22" t="str">
        <f>IF(INT(Cron_Uso!R10/Premissas!$C$44)&gt;INT(Cron_Uso!Q10/Premissas!$C$44),IF(N(Premissas!$F$44)&gt;0,IF(MOD(INT(Cron_Uso!R10/Premissas!$C$44)*Premissas!$C$44,N(Premissas!$F$44))=0,"C",IF(N(Premissas!$E$44)&gt;0,IF(MOD(INT(Cron_Uso!R10/Premissas!$C$44)*Premissas!$C$44,N(Premissas!$E$44))=0,"B",IF(N(Premissas!$D$44)&gt;0,IF(MOD(INT(Cron_Uso!R10/Premissas!$C$44)*Premissas!$C$44,N(Premissas!$D$44))=0,"A","S"),"S")),IF(N(Premissas!$D$44)&gt;0,IF(MOD(INT(Cron_Uso!R10/Premissas!$C$44)*Premissas!$C$44,N(Premissas!$D$44))=0,"A","S"),"S"))),IF(N(Premissas!$E$44)&gt;0,IF(MOD(INT(Cron_Uso!R10/Premissas!$C$44)*Premissas!$C$44,N(Premissas!$E$44))=0,"B",IF(N(Premissas!$D$44)&gt;0,IF(MOD(INT(Cron_Uso!R10/Premissas!$C$44)*Premissas!$C$44,N(Premissas!$D$44))=0,"A","S"),"S")),IF(N(Premissas!$D$44)&gt;0,IF(MOD(INT(Cron_Uso!R10/Premissas!$C$44)*Premissas!$C$44,N(Premissas!$D$44))=0,"A","S"),"S"))),"")</f>
        <v/>
      </c>
      <c r="S10" s="22" t="str">
        <f>IF(INT(Cron_Uso!S10/Premissas!$C$44)&gt;INT(Cron_Uso!R10/Premissas!$C$44),IF(N(Premissas!$F$44)&gt;0,IF(MOD(INT(Cron_Uso!S10/Premissas!$C$44)*Premissas!$C$44,N(Premissas!$F$44))=0,"C",IF(N(Premissas!$E$44)&gt;0,IF(MOD(INT(Cron_Uso!S10/Premissas!$C$44)*Premissas!$C$44,N(Premissas!$E$44))=0,"B",IF(N(Premissas!$D$44)&gt;0,IF(MOD(INT(Cron_Uso!S10/Premissas!$C$44)*Premissas!$C$44,N(Premissas!$D$44))=0,"A","S"),"S")),IF(N(Premissas!$D$44)&gt;0,IF(MOD(INT(Cron_Uso!S10/Premissas!$C$44)*Premissas!$C$44,N(Premissas!$D$44))=0,"A","S"),"S"))),IF(N(Premissas!$E$44)&gt;0,IF(MOD(INT(Cron_Uso!S10/Premissas!$C$44)*Premissas!$C$44,N(Premissas!$E$44))=0,"B",IF(N(Premissas!$D$44)&gt;0,IF(MOD(INT(Cron_Uso!S10/Premissas!$C$44)*Premissas!$C$44,N(Premissas!$D$44))=0,"A","S"),"S")),IF(N(Premissas!$D$44)&gt;0,IF(MOD(INT(Cron_Uso!S10/Premissas!$C$44)*Premissas!$C$44,N(Premissas!$D$44))=0,"A","S"),"S"))),"")</f>
        <v/>
      </c>
      <c r="T10" s="22" t="str">
        <f>IF(INT(Cron_Uso!T10/Premissas!$C$44)&gt;INT(Cron_Uso!S10/Premissas!$C$44),IF(N(Premissas!$F$44)&gt;0,IF(MOD(INT(Cron_Uso!T10/Premissas!$C$44)*Premissas!$C$44,N(Premissas!$F$44))=0,"C",IF(N(Premissas!$E$44)&gt;0,IF(MOD(INT(Cron_Uso!T10/Premissas!$C$44)*Premissas!$C$44,N(Premissas!$E$44))=0,"B",IF(N(Premissas!$D$44)&gt;0,IF(MOD(INT(Cron_Uso!T10/Premissas!$C$44)*Premissas!$C$44,N(Premissas!$D$44))=0,"A","S"),"S")),IF(N(Premissas!$D$44)&gt;0,IF(MOD(INT(Cron_Uso!T10/Premissas!$C$44)*Premissas!$C$44,N(Premissas!$D$44))=0,"A","S"),"S"))),IF(N(Premissas!$E$44)&gt;0,IF(MOD(INT(Cron_Uso!T10/Premissas!$C$44)*Premissas!$C$44,N(Premissas!$E$44))=0,"B",IF(N(Premissas!$D$44)&gt;0,IF(MOD(INT(Cron_Uso!T10/Premissas!$C$44)*Premissas!$C$44,N(Premissas!$D$44))=0,"A","S"),"S")),IF(N(Premissas!$D$44)&gt;0,IF(MOD(INT(Cron_Uso!T10/Premissas!$C$44)*Premissas!$C$44,N(Premissas!$D$44))=0,"A","S"),"S"))),"")</f>
        <v/>
      </c>
      <c r="U10" s="22" t="str">
        <f>IF(INT(Cron_Uso!U10/Premissas!$C$44)&gt;INT(Cron_Uso!T10/Premissas!$C$44),IF(N(Premissas!$F$44)&gt;0,IF(MOD(INT(Cron_Uso!U10/Premissas!$C$44)*Premissas!$C$44,N(Premissas!$F$44))=0,"C",IF(N(Premissas!$E$44)&gt;0,IF(MOD(INT(Cron_Uso!U10/Premissas!$C$44)*Premissas!$C$44,N(Premissas!$E$44))=0,"B",IF(N(Premissas!$D$44)&gt;0,IF(MOD(INT(Cron_Uso!U10/Premissas!$C$44)*Premissas!$C$44,N(Premissas!$D$44))=0,"A","S"),"S")),IF(N(Premissas!$D$44)&gt;0,IF(MOD(INT(Cron_Uso!U10/Premissas!$C$44)*Premissas!$C$44,N(Premissas!$D$44))=0,"A","S"),"S"))),IF(N(Premissas!$E$44)&gt;0,IF(MOD(INT(Cron_Uso!U10/Premissas!$C$44)*Premissas!$C$44,N(Premissas!$E$44))=0,"B",IF(N(Premissas!$D$44)&gt;0,IF(MOD(INT(Cron_Uso!U10/Premissas!$C$44)*Premissas!$C$44,N(Premissas!$D$44))=0,"A","S"),"S")),IF(N(Premissas!$D$44)&gt;0,IF(MOD(INT(Cron_Uso!U10/Premissas!$C$44)*Premissas!$C$44,N(Premissas!$D$44))=0,"A","S"),"S"))),"")</f>
        <v>A</v>
      </c>
      <c r="V10" s="22" t="str">
        <f>IF(INT(Cron_Uso!V10/Premissas!$C$44)&gt;INT(Cron_Uso!U10/Premissas!$C$44),IF(N(Premissas!$F$44)&gt;0,IF(MOD(INT(Cron_Uso!V10/Premissas!$C$44)*Premissas!$C$44,N(Premissas!$F$44))=0,"C",IF(N(Premissas!$E$44)&gt;0,IF(MOD(INT(Cron_Uso!V10/Premissas!$C$44)*Premissas!$C$44,N(Premissas!$E$44))=0,"B",IF(N(Premissas!$D$44)&gt;0,IF(MOD(INT(Cron_Uso!V10/Premissas!$C$44)*Premissas!$C$44,N(Premissas!$D$44))=0,"A","S"),"S")),IF(N(Premissas!$D$44)&gt;0,IF(MOD(INT(Cron_Uso!V10/Premissas!$C$44)*Premissas!$C$44,N(Premissas!$D$44))=0,"A","S"),"S"))),IF(N(Premissas!$E$44)&gt;0,IF(MOD(INT(Cron_Uso!V10/Premissas!$C$44)*Premissas!$C$44,N(Premissas!$E$44))=0,"B",IF(N(Premissas!$D$44)&gt;0,IF(MOD(INT(Cron_Uso!V10/Premissas!$C$44)*Premissas!$C$44,N(Premissas!$D$44))=0,"A","S"),"S")),IF(N(Premissas!$D$44)&gt;0,IF(MOD(INT(Cron_Uso!V10/Premissas!$C$44)*Premissas!$C$44,N(Premissas!$D$44))=0,"A","S"),"S"))),"")</f>
        <v/>
      </c>
      <c r="W10" s="22" t="str">
        <f>IF(INT(Cron_Uso!W10/Premissas!$C$44)&gt;INT(Cron_Uso!V10/Premissas!$C$44),IF(N(Premissas!$F$44)&gt;0,IF(MOD(INT(Cron_Uso!W10/Premissas!$C$44)*Premissas!$C$44,N(Premissas!$F$44))=0,"C",IF(N(Premissas!$E$44)&gt;0,IF(MOD(INT(Cron_Uso!W10/Premissas!$C$44)*Premissas!$C$44,N(Premissas!$E$44))=0,"B",IF(N(Premissas!$D$44)&gt;0,IF(MOD(INT(Cron_Uso!W10/Premissas!$C$44)*Premissas!$C$44,N(Premissas!$D$44))=0,"A","S"),"S")),IF(N(Premissas!$D$44)&gt;0,IF(MOD(INT(Cron_Uso!W10/Premissas!$C$44)*Premissas!$C$44,N(Premissas!$D$44))=0,"A","S"),"S"))),IF(N(Premissas!$E$44)&gt;0,IF(MOD(INT(Cron_Uso!W10/Premissas!$C$44)*Premissas!$C$44,N(Premissas!$E$44))=0,"B",IF(N(Premissas!$D$44)&gt;0,IF(MOD(INT(Cron_Uso!W10/Premissas!$C$44)*Premissas!$C$44,N(Premissas!$D$44))=0,"A","S"),"S")),IF(N(Premissas!$D$44)&gt;0,IF(MOD(INT(Cron_Uso!W10/Premissas!$C$44)*Premissas!$C$44,N(Premissas!$D$44))=0,"A","S"),"S"))),"")</f>
        <v/>
      </c>
      <c r="X10" s="22" t="str">
        <f>IF(INT(Cron_Uso!X10/Premissas!$C$44)&gt;INT(Cron_Uso!W10/Premissas!$C$44),IF(N(Premissas!$F$44)&gt;0,IF(MOD(INT(Cron_Uso!X10/Premissas!$C$44)*Premissas!$C$44,N(Premissas!$F$44))=0,"C",IF(N(Premissas!$E$44)&gt;0,IF(MOD(INT(Cron_Uso!X10/Premissas!$C$44)*Premissas!$C$44,N(Premissas!$E$44))=0,"B",IF(N(Premissas!$D$44)&gt;0,IF(MOD(INT(Cron_Uso!X10/Premissas!$C$44)*Premissas!$C$44,N(Premissas!$D$44))=0,"A","S"),"S")),IF(N(Premissas!$D$44)&gt;0,IF(MOD(INT(Cron_Uso!X10/Premissas!$C$44)*Premissas!$C$44,N(Premissas!$D$44))=0,"A","S"),"S"))),IF(N(Premissas!$E$44)&gt;0,IF(MOD(INT(Cron_Uso!X10/Premissas!$C$44)*Premissas!$C$44,N(Premissas!$E$44))=0,"B",IF(N(Premissas!$D$44)&gt;0,IF(MOD(INT(Cron_Uso!X10/Premissas!$C$44)*Premissas!$C$44,N(Premissas!$D$44))=0,"A","S"),"S")),IF(N(Premissas!$D$44)&gt;0,IF(MOD(INT(Cron_Uso!X10/Premissas!$C$44)*Premissas!$C$44,N(Premissas!$D$44))=0,"A","S"),"S"))),"")</f>
        <v/>
      </c>
      <c r="Y10" s="22" t="str">
        <f>IF(INT(Cron_Uso!Y10/Premissas!$C$44)&gt;INT(Cron_Uso!X10/Premissas!$C$44),IF(N(Premissas!$F$44)&gt;0,IF(MOD(INT(Cron_Uso!Y10/Premissas!$C$44)*Premissas!$C$44,N(Premissas!$F$44))=0,"C",IF(N(Premissas!$E$44)&gt;0,IF(MOD(INT(Cron_Uso!Y10/Premissas!$C$44)*Premissas!$C$44,N(Premissas!$E$44))=0,"B",IF(N(Premissas!$D$44)&gt;0,IF(MOD(INT(Cron_Uso!Y10/Premissas!$C$44)*Premissas!$C$44,N(Premissas!$D$44))=0,"A","S"),"S")),IF(N(Premissas!$D$44)&gt;0,IF(MOD(INT(Cron_Uso!Y10/Premissas!$C$44)*Premissas!$C$44,N(Premissas!$D$44))=0,"A","S"),"S"))),IF(N(Premissas!$E$44)&gt;0,IF(MOD(INT(Cron_Uso!Y10/Premissas!$C$44)*Premissas!$C$44,N(Premissas!$E$44))=0,"B",IF(N(Premissas!$D$44)&gt;0,IF(MOD(INT(Cron_Uso!Y10/Premissas!$C$44)*Premissas!$C$44,N(Premissas!$D$44))=0,"A","S"),"S")),IF(N(Premissas!$D$44)&gt;0,IF(MOD(INT(Cron_Uso!Y10/Premissas!$C$44)*Premissas!$C$44,N(Premissas!$D$44))=0,"A","S"),"S"))),"")</f>
        <v/>
      </c>
      <c r="Z10" s="22" t="str">
        <f>IF(INT(Cron_Uso!Z10/Premissas!$C$44)&gt;INT(Cron_Uso!Y10/Premissas!$C$44),IF(N(Premissas!$F$44)&gt;0,IF(MOD(INT(Cron_Uso!Z10/Premissas!$C$44)*Premissas!$C$44,N(Premissas!$F$44))=0,"C",IF(N(Premissas!$E$44)&gt;0,IF(MOD(INT(Cron_Uso!Z10/Premissas!$C$44)*Premissas!$C$44,N(Premissas!$E$44))=0,"B",IF(N(Premissas!$D$44)&gt;0,IF(MOD(INT(Cron_Uso!Z10/Premissas!$C$44)*Premissas!$C$44,N(Premissas!$D$44))=0,"A","S"),"S")),IF(N(Premissas!$D$44)&gt;0,IF(MOD(INT(Cron_Uso!Z10/Premissas!$C$44)*Premissas!$C$44,N(Premissas!$D$44))=0,"A","S"),"S"))),IF(N(Premissas!$E$44)&gt;0,IF(MOD(INT(Cron_Uso!Z10/Premissas!$C$44)*Premissas!$C$44,N(Premissas!$E$44))=0,"B",IF(N(Premissas!$D$44)&gt;0,IF(MOD(INT(Cron_Uso!Z10/Premissas!$C$44)*Premissas!$C$44,N(Premissas!$D$44))=0,"A","S"),"S")),IF(N(Premissas!$D$44)&gt;0,IF(MOD(INT(Cron_Uso!Z10/Premissas!$C$44)*Premissas!$C$44,N(Premissas!$D$44))=0,"A","S"),"S"))),"")</f>
        <v>S</v>
      </c>
      <c r="AA10" s="22" t="str">
        <f>IF(INT(Cron_Uso!AA10/Premissas!$C$44)&gt;INT(Cron_Uso!Z10/Premissas!$C$44),IF(N(Premissas!$F$44)&gt;0,IF(MOD(INT(Cron_Uso!AA10/Premissas!$C$44)*Premissas!$C$44,N(Premissas!$F$44))=0,"C",IF(N(Premissas!$E$44)&gt;0,IF(MOD(INT(Cron_Uso!AA10/Premissas!$C$44)*Premissas!$C$44,N(Premissas!$E$44))=0,"B",IF(N(Premissas!$D$44)&gt;0,IF(MOD(INT(Cron_Uso!AA10/Premissas!$C$44)*Premissas!$C$44,N(Premissas!$D$44))=0,"A","S"),"S")),IF(N(Premissas!$D$44)&gt;0,IF(MOD(INT(Cron_Uso!AA10/Premissas!$C$44)*Premissas!$C$44,N(Premissas!$D$44))=0,"A","S"),"S"))),IF(N(Premissas!$E$44)&gt;0,IF(MOD(INT(Cron_Uso!AA10/Premissas!$C$44)*Premissas!$C$44,N(Premissas!$E$44))=0,"B",IF(N(Premissas!$D$44)&gt;0,IF(MOD(INT(Cron_Uso!AA10/Premissas!$C$44)*Premissas!$C$44,N(Premissas!$D$44))=0,"A","S"),"S")),IF(N(Premissas!$D$44)&gt;0,IF(MOD(INT(Cron_Uso!AA10/Premissas!$C$44)*Premissas!$C$44,N(Premissas!$D$44))=0,"A","S"),"S"))),"")</f>
        <v/>
      </c>
      <c r="AB10" s="22" t="str">
        <f>IF(INT(Cron_Uso!AB10/Premissas!$C$44)&gt;INT(Cron_Uso!AA10/Premissas!$C$44),IF(N(Premissas!$F$44)&gt;0,IF(MOD(INT(Cron_Uso!AB10/Premissas!$C$44)*Premissas!$C$44,N(Premissas!$F$44))=0,"C",IF(N(Premissas!$E$44)&gt;0,IF(MOD(INT(Cron_Uso!AB10/Premissas!$C$44)*Premissas!$C$44,N(Premissas!$E$44))=0,"B",IF(N(Premissas!$D$44)&gt;0,IF(MOD(INT(Cron_Uso!AB10/Premissas!$C$44)*Premissas!$C$44,N(Premissas!$D$44))=0,"A","S"),"S")),IF(N(Premissas!$D$44)&gt;0,IF(MOD(INT(Cron_Uso!AB10/Premissas!$C$44)*Premissas!$C$44,N(Premissas!$D$44))=0,"A","S"),"S"))),IF(N(Premissas!$E$44)&gt;0,IF(MOD(INT(Cron_Uso!AB10/Premissas!$C$44)*Premissas!$C$44,N(Premissas!$E$44))=0,"B",IF(N(Premissas!$D$44)&gt;0,IF(MOD(INT(Cron_Uso!AB10/Premissas!$C$44)*Premissas!$C$44,N(Premissas!$D$44))=0,"A","S"),"S")),IF(N(Premissas!$D$44)&gt;0,IF(MOD(INT(Cron_Uso!AB10/Premissas!$C$44)*Premissas!$C$44,N(Premissas!$D$44))=0,"A","S"),"S"))),"")</f>
        <v/>
      </c>
      <c r="AC10" s="22" t="str">
        <f>IF(INT(Cron_Uso!AC10/Premissas!$C$44)&gt;INT(Cron_Uso!AB10/Premissas!$C$44),IF(N(Premissas!$F$44)&gt;0,IF(MOD(INT(Cron_Uso!AC10/Premissas!$C$44)*Premissas!$C$44,N(Premissas!$F$44))=0,"C",IF(N(Premissas!$E$44)&gt;0,IF(MOD(INT(Cron_Uso!AC10/Premissas!$C$44)*Premissas!$C$44,N(Premissas!$E$44))=0,"B",IF(N(Premissas!$D$44)&gt;0,IF(MOD(INT(Cron_Uso!AC10/Premissas!$C$44)*Premissas!$C$44,N(Premissas!$D$44))=0,"A","S"),"S")),IF(N(Premissas!$D$44)&gt;0,IF(MOD(INT(Cron_Uso!AC10/Premissas!$C$44)*Premissas!$C$44,N(Premissas!$D$44))=0,"A","S"),"S"))),IF(N(Premissas!$E$44)&gt;0,IF(MOD(INT(Cron_Uso!AC10/Premissas!$C$44)*Premissas!$C$44,N(Premissas!$E$44))=0,"B",IF(N(Premissas!$D$44)&gt;0,IF(MOD(INT(Cron_Uso!AC10/Premissas!$C$44)*Premissas!$C$44,N(Premissas!$D$44))=0,"A","S"),"S")),IF(N(Premissas!$D$44)&gt;0,IF(MOD(INT(Cron_Uso!AC10/Premissas!$C$44)*Premissas!$C$44,N(Premissas!$D$44))=0,"A","S"),"S"))),"")</f>
        <v/>
      </c>
      <c r="AD10" s="22" t="str">
        <f>IF(INT(Cron_Uso!AD10/Premissas!$C$44)&gt;INT(Cron_Uso!AC10/Premissas!$C$44),IF(N(Premissas!$F$44)&gt;0,IF(MOD(INT(Cron_Uso!AD10/Premissas!$C$44)*Premissas!$C$44,N(Premissas!$F$44))=0,"C",IF(N(Premissas!$E$44)&gt;0,IF(MOD(INT(Cron_Uso!AD10/Premissas!$C$44)*Premissas!$C$44,N(Premissas!$E$44))=0,"B",IF(N(Premissas!$D$44)&gt;0,IF(MOD(INT(Cron_Uso!AD10/Premissas!$C$44)*Premissas!$C$44,N(Premissas!$D$44))=0,"A","S"),"S")),IF(N(Premissas!$D$44)&gt;0,IF(MOD(INT(Cron_Uso!AD10/Premissas!$C$44)*Premissas!$C$44,N(Premissas!$D$44))=0,"A","S"),"S"))),IF(N(Premissas!$E$44)&gt;0,IF(MOD(INT(Cron_Uso!AD10/Premissas!$C$44)*Premissas!$C$44,N(Premissas!$E$44))=0,"B",IF(N(Premissas!$D$44)&gt;0,IF(MOD(INT(Cron_Uso!AD10/Premissas!$C$44)*Premissas!$C$44,N(Premissas!$D$44))=0,"A","S"),"S")),IF(N(Premissas!$D$44)&gt;0,IF(MOD(INT(Cron_Uso!AD10/Premissas!$C$44)*Premissas!$C$44,N(Premissas!$D$44))=0,"A","S"),"S"))),"")</f>
        <v/>
      </c>
      <c r="AE10" s="22" t="str">
        <f>IF(INT(Cron_Uso!AE10/Premissas!$C$44)&gt;INT(Cron_Uso!AD10/Premissas!$C$44),IF(N(Premissas!$F$44)&gt;0,IF(MOD(INT(Cron_Uso!AE10/Premissas!$C$44)*Premissas!$C$44,N(Premissas!$F$44))=0,"C",IF(N(Premissas!$E$44)&gt;0,IF(MOD(INT(Cron_Uso!AE10/Premissas!$C$44)*Premissas!$C$44,N(Premissas!$E$44))=0,"B",IF(N(Premissas!$D$44)&gt;0,IF(MOD(INT(Cron_Uso!AE10/Premissas!$C$44)*Premissas!$C$44,N(Premissas!$D$44))=0,"A","S"),"S")),IF(N(Premissas!$D$44)&gt;0,IF(MOD(INT(Cron_Uso!AE10/Premissas!$C$44)*Premissas!$C$44,N(Premissas!$D$44))=0,"A","S"),"S"))),IF(N(Premissas!$E$44)&gt;0,IF(MOD(INT(Cron_Uso!AE10/Premissas!$C$44)*Premissas!$C$44,N(Premissas!$E$44))=0,"B",IF(N(Premissas!$D$44)&gt;0,IF(MOD(INT(Cron_Uso!AE10/Premissas!$C$44)*Premissas!$C$44,N(Premissas!$D$44))=0,"A","S"),"S")),IF(N(Premissas!$D$44)&gt;0,IF(MOD(INT(Cron_Uso!AE10/Premissas!$C$44)*Premissas!$C$44,N(Premissas!$D$44))=0,"A","S"),"S"))),"")</f>
        <v>A</v>
      </c>
      <c r="AF10" s="22" t="str">
        <f>IF(INT(Cron_Uso!AF10/Premissas!$C$44)&gt;INT(Cron_Uso!AE10/Premissas!$C$44),IF(N(Premissas!$F$44)&gt;0,IF(MOD(INT(Cron_Uso!AF10/Premissas!$C$44)*Premissas!$C$44,N(Premissas!$F$44))=0,"C",IF(N(Premissas!$E$44)&gt;0,IF(MOD(INT(Cron_Uso!AF10/Premissas!$C$44)*Premissas!$C$44,N(Premissas!$E$44))=0,"B",IF(N(Premissas!$D$44)&gt;0,IF(MOD(INT(Cron_Uso!AF10/Premissas!$C$44)*Premissas!$C$44,N(Premissas!$D$44))=0,"A","S"),"S")),IF(N(Premissas!$D$44)&gt;0,IF(MOD(INT(Cron_Uso!AF10/Premissas!$C$44)*Premissas!$C$44,N(Premissas!$D$44))=0,"A","S"),"S"))),IF(N(Premissas!$E$44)&gt;0,IF(MOD(INT(Cron_Uso!AF10/Premissas!$C$44)*Premissas!$C$44,N(Premissas!$E$44))=0,"B",IF(N(Premissas!$D$44)&gt;0,IF(MOD(INT(Cron_Uso!AF10/Premissas!$C$44)*Premissas!$C$44,N(Premissas!$D$44))=0,"A","S"),"S")),IF(N(Premissas!$D$44)&gt;0,IF(MOD(INT(Cron_Uso!AF10/Premissas!$C$44)*Premissas!$C$44,N(Premissas!$D$44))=0,"A","S"),"S"))),"")</f>
        <v/>
      </c>
      <c r="AG10" s="22" t="str">
        <f>IF(INT(Cron_Uso!AG10/Premissas!$C$44)&gt;INT(Cron_Uso!AF10/Premissas!$C$44),IF(N(Premissas!$F$44)&gt;0,IF(MOD(INT(Cron_Uso!AG10/Premissas!$C$44)*Premissas!$C$44,N(Premissas!$F$44))=0,"C",IF(N(Premissas!$E$44)&gt;0,IF(MOD(INT(Cron_Uso!AG10/Premissas!$C$44)*Premissas!$C$44,N(Premissas!$E$44))=0,"B",IF(N(Premissas!$D$44)&gt;0,IF(MOD(INT(Cron_Uso!AG10/Premissas!$C$44)*Premissas!$C$44,N(Premissas!$D$44))=0,"A","S"),"S")),IF(N(Premissas!$D$44)&gt;0,IF(MOD(INT(Cron_Uso!AG10/Premissas!$C$44)*Premissas!$C$44,N(Premissas!$D$44))=0,"A","S"),"S"))),IF(N(Premissas!$E$44)&gt;0,IF(MOD(INT(Cron_Uso!AG10/Premissas!$C$44)*Premissas!$C$44,N(Premissas!$E$44))=0,"B",IF(N(Premissas!$D$44)&gt;0,IF(MOD(INT(Cron_Uso!AG10/Premissas!$C$44)*Premissas!$C$44,N(Premissas!$D$44))=0,"A","S"),"S")),IF(N(Premissas!$D$44)&gt;0,IF(MOD(INT(Cron_Uso!AG10/Premissas!$C$44)*Premissas!$C$44,N(Premissas!$D$44))=0,"A","S"),"S"))),"")</f>
        <v/>
      </c>
      <c r="AH10" s="22" t="str">
        <f>IF(INT(Cron_Uso!AH10/Premissas!$C$44)&gt;INT(Cron_Uso!AG10/Premissas!$C$44),IF(N(Premissas!$F$44)&gt;0,IF(MOD(INT(Cron_Uso!AH10/Premissas!$C$44)*Premissas!$C$44,N(Premissas!$F$44))=0,"C",IF(N(Premissas!$E$44)&gt;0,IF(MOD(INT(Cron_Uso!AH10/Premissas!$C$44)*Premissas!$C$44,N(Premissas!$E$44))=0,"B",IF(N(Premissas!$D$44)&gt;0,IF(MOD(INT(Cron_Uso!AH10/Premissas!$C$44)*Premissas!$C$44,N(Premissas!$D$44))=0,"A","S"),"S")),IF(N(Premissas!$D$44)&gt;0,IF(MOD(INT(Cron_Uso!AH10/Premissas!$C$44)*Premissas!$C$44,N(Premissas!$D$44))=0,"A","S"),"S"))),IF(N(Premissas!$E$44)&gt;0,IF(MOD(INT(Cron_Uso!AH10/Premissas!$C$44)*Premissas!$C$44,N(Premissas!$E$44))=0,"B",IF(N(Premissas!$D$44)&gt;0,IF(MOD(INT(Cron_Uso!AH10/Premissas!$C$44)*Premissas!$C$44,N(Premissas!$D$44))=0,"A","S"),"S")),IF(N(Premissas!$D$44)&gt;0,IF(MOD(INT(Cron_Uso!AH10/Premissas!$C$44)*Premissas!$C$44,N(Premissas!$D$44))=0,"A","S"),"S"))),"")</f>
        <v/>
      </c>
      <c r="AI10" s="22" t="str">
        <f>IF(INT(Cron_Uso!AI10/Premissas!$C$44)&gt;INT(Cron_Uso!AH10/Premissas!$C$44),IF(N(Premissas!$F$44)&gt;0,IF(MOD(INT(Cron_Uso!AI10/Premissas!$C$44)*Premissas!$C$44,N(Premissas!$F$44))=0,"C",IF(N(Premissas!$E$44)&gt;0,IF(MOD(INT(Cron_Uso!AI10/Premissas!$C$44)*Premissas!$C$44,N(Premissas!$E$44))=0,"B",IF(N(Premissas!$D$44)&gt;0,IF(MOD(INT(Cron_Uso!AI10/Premissas!$C$44)*Premissas!$C$44,N(Premissas!$D$44))=0,"A","S"),"S")),IF(N(Premissas!$D$44)&gt;0,IF(MOD(INT(Cron_Uso!AI10/Premissas!$C$44)*Premissas!$C$44,N(Premissas!$D$44))=0,"A","S"),"S"))),IF(N(Premissas!$E$44)&gt;0,IF(MOD(INT(Cron_Uso!AI10/Premissas!$C$44)*Premissas!$C$44,N(Premissas!$E$44))=0,"B",IF(N(Premissas!$D$44)&gt;0,IF(MOD(INT(Cron_Uso!AI10/Premissas!$C$44)*Premissas!$C$44,N(Premissas!$D$44))=0,"A","S"),"S")),IF(N(Premissas!$D$44)&gt;0,IF(MOD(INT(Cron_Uso!AI10/Premissas!$C$44)*Premissas!$C$44,N(Premissas!$D$44))=0,"A","S"),"S"))),"")</f>
        <v/>
      </c>
      <c r="AJ10" s="22" t="str">
        <f>IF(INT(Cron_Uso!AJ10/Premissas!$C$44)&gt;INT(Cron_Uso!AI10/Premissas!$C$44),IF(N(Premissas!$F$44)&gt;0,IF(MOD(INT(Cron_Uso!AJ10/Premissas!$C$44)*Premissas!$C$44,N(Premissas!$F$44))=0,"C",IF(N(Premissas!$E$44)&gt;0,IF(MOD(INT(Cron_Uso!AJ10/Premissas!$C$44)*Premissas!$C$44,N(Premissas!$E$44))=0,"B",IF(N(Premissas!$D$44)&gt;0,IF(MOD(INT(Cron_Uso!AJ10/Premissas!$C$44)*Premissas!$C$44,N(Premissas!$D$44))=0,"A","S"),"S")),IF(N(Premissas!$D$44)&gt;0,IF(MOD(INT(Cron_Uso!AJ10/Premissas!$C$44)*Premissas!$C$44,N(Premissas!$D$44))=0,"A","S"),"S"))),IF(N(Premissas!$E$44)&gt;0,IF(MOD(INT(Cron_Uso!AJ10/Premissas!$C$44)*Premissas!$C$44,N(Premissas!$E$44))=0,"B",IF(N(Premissas!$D$44)&gt;0,IF(MOD(INT(Cron_Uso!AJ10/Premissas!$C$44)*Premissas!$C$44,N(Premissas!$D$44))=0,"A","S"),"S")),IF(N(Premissas!$D$44)&gt;0,IF(MOD(INT(Cron_Uso!AJ10/Premissas!$C$44)*Premissas!$C$44,N(Premissas!$D$44))=0,"A","S"),"S"))),"")</f>
        <v>S</v>
      </c>
      <c r="AK10" s="22" t="str">
        <f>IF(INT(Cron_Uso!AK10/Premissas!$C$44)&gt;INT(Cron_Uso!AJ10/Premissas!$C$44),IF(N(Premissas!$F$44)&gt;0,IF(MOD(INT(Cron_Uso!AK10/Premissas!$C$44)*Premissas!$C$44,N(Premissas!$F$44))=0,"C",IF(N(Premissas!$E$44)&gt;0,IF(MOD(INT(Cron_Uso!AK10/Premissas!$C$44)*Premissas!$C$44,N(Premissas!$E$44))=0,"B",IF(N(Premissas!$D$44)&gt;0,IF(MOD(INT(Cron_Uso!AK10/Premissas!$C$44)*Premissas!$C$44,N(Premissas!$D$44))=0,"A","S"),"S")),IF(N(Premissas!$D$44)&gt;0,IF(MOD(INT(Cron_Uso!AK10/Premissas!$C$44)*Premissas!$C$44,N(Premissas!$D$44))=0,"A","S"),"S"))),IF(N(Premissas!$E$44)&gt;0,IF(MOD(INT(Cron_Uso!AK10/Premissas!$C$44)*Premissas!$C$44,N(Premissas!$E$44))=0,"B",IF(N(Premissas!$D$44)&gt;0,IF(MOD(INT(Cron_Uso!AK10/Premissas!$C$44)*Premissas!$C$44,N(Premissas!$D$44))=0,"A","S"),"S")),IF(N(Premissas!$D$44)&gt;0,IF(MOD(INT(Cron_Uso!AK10/Premissas!$C$44)*Premissas!$C$44,N(Premissas!$D$44))=0,"A","S"),"S"))),"")</f>
        <v/>
      </c>
      <c r="AL10" s="22" t="str">
        <f>IF(INT(Cron_Uso!AL10/Premissas!$C$44)&gt;INT(Cron_Uso!AK10/Premissas!$C$44),IF(N(Premissas!$F$44)&gt;0,IF(MOD(INT(Cron_Uso!AL10/Premissas!$C$44)*Premissas!$C$44,N(Premissas!$F$44))=0,"C",IF(N(Premissas!$E$44)&gt;0,IF(MOD(INT(Cron_Uso!AL10/Premissas!$C$44)*Premissas!$C$44,N(Premissas!$E$44))=0,"B",IF(N(Premissas!$D$44)&gt;0,IF(MOD(INT(Cron_Uso!AL10/Premissas!$C$44)*Premissas!$C$44,N(Premissas!$D$44))=0,"A","S"),"S")),IF(N(Premissas!$D$44)&gt;0,IF(MOD(INT(Cron_Uso!AL10/Premissas!$C$44)*Premissas!$C$44,N(Premissas!$D$44))=0,"A","S"),"S"))),IF(N(Premissas!$E$44)&gt;0,IF(MOD(INT(Cron_Uso!AL10/Premissas!$C$44)*Premissas!$C$44,N(Premissas!$E$44))=0,"B",IF(N(Premissas!$D$44)&gt;0,IF(MOD(INT(Cron_Uso!AL10/Premissas!$C$44)*Premissas!$C$44,N(Premissas!$D$44))=0,"A","S"),"S")),IF(N(Premissas!$D$44)&gt;0,IF(MOD(INT(Cron_Uso!AL10/Premissas!$C$44)*Premissas!$C$44,N(Premissas!$D$44))=0,"A","S"),"S"))),"")</f>
        <v/>
      </c>
      <c r="AM10" s="22" t="str">
        <f>IF(INT(Cron_Uso!AM10/Premissas!$C$44)&gt;INT(Cron_Uso!AL10/Premissas!$C$44),IF(N(Premissas!$F$44)&gt;0,IF(MOD(INT(Cron_Uso!AM10/Premissas!$C$44)*Premissas!$C$44,N(Premissas!$F$44))=0,"C",IF(N(Premissas!$E$44)&gt;0,IF(MOD(INT(Cron_Uso!AM10/Premissas!$C$44)*Premissas!$C$44,N(Premissas!$E$44))=0,"B",IF(N(Premissas!$D$44)&gt;0,IF(MOD(INT(Cron_Uso!AM10/Premissas!$C$44)*Premissas!$C$44,N(Premissas!$D$44))=0,"A","S"),"S")),IF(N(Premissas!$D$44)&gt;0,IF(MOD(INT(Cron_Uso!AM10/Premissas!$C$44)*Premissas!$C$44,N(Premissas!$D$44))=0,"A","S"),"S"))),IF(N(Premissas!$E$44)&gt;0,IF(MOD(INT(Cron_Uso!AM10/Premissas!$C$44)*Premissas!$C$44,N(Premissas!$E$44))=0,"B",IF(N(Premissas!$D$44)&gt;0,IF(MOD(INT(Cron_Uso!AM10/Premissas!$C$44)*Premissas!$C$44,N(Premissas!$D$44))=0,"A","S"),"S")),IF(N(Premissas!$D$44)&gt;0,IF(MOD(INT(Cron_Uso!AM10/Premissas!$C$44)*Premissas!$C$44,N(Premissas!$D$44))=0,"A","S"),"S"))),"")</f>
        <v/>
      </c>
      <c r="AN10" s="22" t="str">
        <f>IF(INT(Cron_Uso!AN10/Premissas!$C$44)&gt;INT(Cron_Uso!AM10/Premissas!$C$44),IF(N(Premissas!$F$44)&gt;0,IF(MOD(INT(Cron_Uso!AN10/Premissas!$C$44)*Premissas!$C$44,N(Premissas!$F$44))=0,"C",IF(N(Premissas!$E$44)&gt;0,IF(MOD(INT(Cron_Uso!AN10/Premissas!$C$44)*Premissas!$C$44,N(Premissas!$E$44))=0,"B",IF(N(Premissas!$D$44)&gt;0,IF(MOD(INT(Cron_Uso!AN10/Premissas!$C$44)*Premissas!$C$44,N(Premissas!$D$44))=0,"A","S"),"S")),IF(N(Premissas!$D$44)&gt;0,IF(MOD(INT(Cron_Uso!AN10/Premissas!$C$44)*Premissas!$C$44,N(Premissas!$D$44))=0,"A","S"),"S"))),IF(N(Premissas!$E$44)&gt;0,IF(MOD(INT(Cron_Uso!AN10/Premissas!$C$44)*Premissas!$C$44,N(Premissas!$E$44))=0,"B",IF(N(Premissas!$D$44)&gt;0,IF(MOD(INT(Cron_Uso!AN10/Premissas!$C$44)*Premissas!$C$44,N(Premissas!$D$44))=0,"A","S"),"S")),IF(N(Premissas!$D$44)&gt;0,IF(MOD(INT(Cron_Uso!AN10/Premissas!$C$44)*Premissas!$C$44,N(Premissas!$D$44))=0,"A","S"),"S"))),"")</f>
        <v/>
      </c>
      <c r="AO10" s="22" t="str">
        <f>IF(INT(Cron_Uso!AO10/Premissas!$C$44)&gt;INT(Cron_Uso!AN10/Premissas!$C$44),IF(N(Premissas!$F$44)&gt;0,IF(MOD(INT(Cron_Uso!AO10/Premissas!$C$44)*Premissas!$C$44,N(Premissas!$F$44))=0,"C",IF(N(Premissas!$E$44)&gt;0,IF(MOD(INT(Cron_Uso!AO10/Premissas!$C$44)*Premissas!$C$44,N(Premissas!$E$44))=0,"B",IF(N(Premissas!$D$44)&gt;0,IF(MOD(INT(Cron_Uso!AO10/Premissas!$C$44)*Premissas!$C$44,N(Premissas!$D$44))=0,"A","S"),"S")),IF(N(Premissas!$D$44)&gt;0,IF(MOD(INT(Cron_Uso!AO10/Premissas!$C$44)*Premissas!$C$44,N(Premissas!$D$44))=0,"A","S"),"S"))),IF(N(Premissas!$E$44)&gt;0,IF(MOD(INT(Cron_Uso!AO10/Premissas!$C$44)*Premissas!$C$44,N(Premissas!$E$44))=0,"B",IF(N(Premissas!$D$44)&gt;0,IF(MOD(INT(Cron_Uso!AO10/Premissas!$C$44)*Premissas!$C$44,N(Premissas!$D$44))=0,"A","S"),"S")),IF(N(Premissas!$D$44)&gt;0,IF(MOD(INT(Cron_Uso!AO10/Premissas!$C$44)*Premissas!$C$44,N(Premissas!$D$44))=0,"A","S"),"S"))),"")</f>
        <v>A</v>
      </c>
      <c r="AP10" s="22" t="str">
        <f>IF(INT(Cron_Uso!AP10/Premissas!$C$44)&gt;INT(Cron_Uso!AO10/Premissas!$C$44),IF(N(Premissas!$F$44)&gt;0,IF(MOD(INT(Cron_Uso!AP10/Premissas!$C$44)*Premissas!$C$44,N(Premissas!$F$44))=0,"C",IF(N(Premissas!$E$44)&gt;0,IF(MOD(INT(Cron_Uso!AP10/Premissas!$C$44)*Premissas!$C$44,N(Premissas!$E$44))=0,"B",IF(N(Premissas!$D$44)&gt;0,IF(MOD(INT(Cron_Uso!AP10/Premissas!$C$44)*Premissas!$C$44,N(Premissas!$D$44))=0,"A","S"),"S")),IF(N(Premissas!$D$44)&gt;0,IF(MOD(INT(Cron_Uso!AP10/Premissas!$C$44)*Premissas!$C$44,N(Premissas!$D$44))=0,"A","S"),"S"))),IF(N(Premissas!$E$44)&gt;0,IF(MOD(INT(Cron_Uso!AP10/Premissas!$C$44)*Premissas!$C$44,N(Premissas!$E$44))=0,"B",IF(N(Premissas!$D$44)&gt;0,IF(MOD(INT(Cron_Uso!AP10/Premissas!$C$44)*Premissas!$C$44,N(Premissas!$D$44))=0,"A","S"),"S")),IF(N(Premissas!$D$44)&gt;0,IF(MOD(INT(Cron_Uso!AP10/Premissas!$C$44)*Premissas!$C$44,N(Premissas!$D$44))=0,"A","S"),"S"))),"")</f>
        <v/>
      </c>
      <c r="AQ10" s="22" t="str">
        <f>IF(INT(Cron_Uso!AQ10/Premissas!$C$44)&gt;INT(Cron_Uso!AP10/Premissas!$C$44),IF(N(Premissas!$F$44)&gt;0,IF(MOD(INT(Cron_Uso!AQ10/Premissas!$C$44)*Premissas!$C$44,N(Premissas!$F$44))=0,"C",IF(N(Premissas!$E$44)&gt;0,IF(MOD(INT(Cron_Uso!AQ10/Premissas!$C$44)*Premissas!$C$44,N(Premissas!$E$44))=0,"B",IF(N(Premissas!$D$44)&gt;0,IF(MOD(INT(Cron_Uso!AQ10/Premissas!$C$44)*Premissas!$C$44,N(Premissas!$D$44))=0,"A","S"),"S")),IF(N(Premissas!$D$44)&gt;0,IF(MOD(INT(Cron_Uso!AQ10/Premissas!$C$44)*Premissas!$C$44,N(Premissas!$D$44))=0,"A","S"),"S"))),IF(N(Premissas!$E$44)&gt;0,IF(MOD(INT(Cron_Uso!AQ10/Premissas!$C$44)*Premissas!$C$44,N(Premissas!$E$44))=0,"B",IF(N(Premissas!$D$44)&gt;0,IF(MOD(INT(Cron_Uso!AQ10/Premissas!$C$44)*Premissas!$C$44,N(Premissas!$D$44))=0,"A","S"),"S")),IF(N(Premissas!$D$44)&gt;0,IF(MOD(INT(Cron_Uso!AQ10/Premissas!$C$44)*Premissas!$C$44,N(Premissas!$D$44))=0,"A","S"),"S"))),"")</f>
        <v/>
      </c>
      <c r="AR10" s="22" t="str">
        <f>IF(INT(Cron_Uso!AR10/Premissas!$C$44)&gt;INT(Cron_Uso!AQ10/Premissas!$C$44),IF(N(Premissas!$F$44)&gt;0,IF(MOD(INT(Cron_Uso!AR10/Premissas!$C$44)*Premissas!$C$44,N(Premissas!$F$44))=0,"C",IF(N(Premissas!$E$44)&gt;0,IF(MOD(INT(Cron_Uso!AR10/Premissas!$C$44)*Premissas!$C$44,N(Premissas!$E$44))=0,"B",IF(N(Premissas!$D$44)&gt;0,IF(MOD(INT(Cron_Uso!AR10/Premissas!$C$44)*Premissas!$C$44,N(Premissas!$D$44))=0,"A","S"),"S")),IF(N(Premissas!$D$44)&gt;0,IF(MOD(INT(Cron_Uso!AR10/Premissas!$C$44)*Premissas!$C$44,N(Premissas!$D$44))=0,"A","S"),"S"))),IF(N(Premissas!$E$44)&gt;0,IF(MOD(INT(Cron_Uso!AR10/Premissas!$C$44)*Premissas!$C$44,N(Premissas!$E$44))=0,"B",IF(N(Premissas!$D$44)&gt;0,IF(MOD(INT(Cron_Uso!AR10/Premissas!$C$44)*Premissas!$C$44,N(Premissas!$D$44))=0,"A","S"),"S")),IF(N(Premissas!$D$44)&gt;0,IF(MOD(INT(Cron_Uso!AR10/Premissas!$C$44)*Premissas!$C$44,N(Premissas!$D$44))=0,"A","S"),"S"))),"")</f>
        <v/>
      </c>
      <c r="AS10" s="22" t="str">
        <f>IF(INT(Cron_Uso!AS10/Premissas!$C$44)&gt;INT(Cron_Uso!AR10/Premissas!$C$44),IF(N(Premissas!$F$44)&gt;0,IF(MOD(INT(Cron_Uso!AS10/Premissas!$C$44)*Premissas!$C$44,N(Premissas!$F$44))=0,"C",IF(N(Premissas!$E$44)&gt;0,IF(MOD(INT(Cron_Uso!AS10/Premissas!$C$44)*Premissas!$C$44,N(Premissas!$E$44))=0,"B",IF(N(Premissas!$D$44)&gt;0,IF(MOD(INT(Cron_Uso!AS10/Premissas!$C$44)*Premissas!$C$44,N(Premissas!$D$44))=0,"A","S"),"S")),IF(N(Premissas!$D$44)&gt;0,IF(MOD(INT(Cron_Uso!AS10/Premissas!$C$44)*Premissas!$C$44,N(Premissas!$D$44))=0,"A","S"),"S"))),IF(N(Premissas!$E$44)&gt;0,IF(MOD(INT(Cron_Uso!AS10/Premissas!$C$44)*Premissas!$C$44,N(Premissas!$E$44))=0,"B",IF(N(Premissas!$D$44)&gt;0,IF(MOD(INT(Cron_Uso!AS10/Premissas!$C$44)*Premissas!$C$44,N(Premissas!$D$44))=0,"A","S"),"S")),IF(N(Premissas!$D$44)&gt;0,IF(MOD(INT(Cron_Uso!AS10/Premissas!$C$44)*Premissas!$C$44,N(Premissas!$D$44))=0,"A","S"),"S"))),"")</f>
        <v/>
      </c>
      <c r="AT10" s="22" t="str">
        <f>IF(INT(Cron_Uso!AT10/Premissas!$C$44)&gt;INT(Cron_Uso!AS10/Premissas!$C$44),IF(N(Premissas!$F$44)&gt;0,IF(MOD(INT(Cron_Uso!AT10/Premissas!$C$44)*Premissas!$C$44,N(Premissas!$F$44))=0,"C",IF(N(Premissas!$E$44)&gt;0,IF(MOD(INT(Cron_Uso!AT10/Premissas!$C$44)*Premissas!$C$44,N(Premissas!$E$44))=0,"B",IF(N(Premissas!$D$44)&gt;0,IF(MOD(INT(Cron_Uso!AT10/Premissas!$C$44)*Premissas!$C$44,N(Premissas!$D$44))=0,"A","S"),"S")),IF(N(Premissas!$D$44)&gt;0,IF(MOD(INT(Cron_Uso!AT10/Premissas!$C$44)*Premissas!$C$44,N(Premissas!$D$44))=0,"A","S"),"S"))),IF(N(Premissas!$E$44)&gt;0,IF(MOD(INT(Cron_Uso!AT10/Premissas!$C$44)*Premissas!$C$44,N(Premissas!$E$44))=0,"B",IF(N(Premissas!$D$44)&gt;0,IF(MOD(INT(Cron_Uso!AT10/Premissas!$C$44)*Premissas!$C$44,N(Premissas!$D$44))=0,"A","S"),"S")),IF(N(Premissas!$D$44)&gt;0,IF(MOD(INT(Cron_Uso!AT10/Premissas!$C$44)*Premissas!$C$44,N(Premissas!$D$44))=0,"A","S"),"S"))),"")</f>
        <v>S</v>
      </c>
      <c r="AU10" s="22" t="str">
        <f>IF(INT(Cron_Uso!AU10/Premissas!$C$44)&gt;INT(Cron_Uso!AT10/Premissas!$C$44),IF(N(Premissas!$F$44)&gt;0,IF(MOD(INT(Cron_Uso!AU10/Premissas!$C$44)*Premissas!$C$44,N(Premissas!$F$44))=0,"C",IF(N(Premissas!$E$44)&gt;0,IF(MOD(INT(Cron_Uso!AU10/Premissas!$C$44)*Premissas!$C$44,N(Premissas!$E$44))=0,"B",IF(N(Premissas!$D$44)&gt;0,IF(MOD(INT(Cron_Uso!AU10/Premissas!$C$44)*Premissas!$C$44,N(Premissas!$D$44))=0,"A","S"),"S")),IF(N(Premissas!$D$44)&gt;0,IF(MOD(INT(Cron_Uso!AU10/Premissas!$C$44)*Premissas!$C$44,N(Premissas!$D$44))=0,"A","S"),"S"))),IF(N(Premissas!$E$44)&gt;0,IF(MOD(INT(Cron_Uso!AU10/Premissas!$C$44)*Premissas!$C$44,N(Premissas!$E$44))=0,"B",IF(N(Premissas!$D$44)&gt;0,IF(MOD(INT(Cron_Uso!AU10/Premissas!$C$44)*Premissas!$C$44,N(Premissas!$D$44))=0,"A","S"),"S")),IF(N(Premissas!$D$44)&gt;0,IF(MOD(INT(Cron_Uso!AU10/Premissas!$C$44)*Premissas!$C$44,N(Premissas!$D$44))=0,"A","S"),"S"))),"")</f>
        <v/>
      </c>
      <c r="AV10" s="22" t="str">
        <f>IF(INT(Cron_Uso!AV10/Premissas!$C$44)&gt;INT(Cron_Uso!AU10/Premissas!$C$44),IF(N(Premissas!$F$44)&gt;0,IF(MOD(INT(Cron_Uso!AV10/Premissas!$C$44)*Premissas!$C$44,N(Premissas!$F$44))=0,"C",IF(N(Premissas!$E$44)&gt;0,IF(MOD(INT(Cron_Uso!AV10/Premissas!$C$44)*Premissas!$C$44,N(Premissas!$E$44))=0,"B",IF(N(Premissas!$D$44)&gt;0,IF(MOD(INT(Cron_Uso!AV10/Premissas!$C$44)*Premissas!$C$44,N(Premissas!$D$44))=0,"A","S"),"S")),IF(N(Premissas!$D$44)&gt;0,IF(MOD(INT(Cron_Uso!AV10/Premissas!$C$44)*Premissas!$C$44,N(Premissas!$D$44))=0,"A","S"),"S"))),IF(N(Premissas!$E$44)&gt;0,IF(MOD(INT(Cron_Uso!AV10/Premissas!$C$44)*Premissas!$C$44,N(Premissas!$E$44))=0,"B",IF(N(Premissas!$D$44)&gt;0,IF(MOD(INT(Cron_Uso!AV10/Premissas!$C$44)*Premissas!$C$44,N(Premissas!$D$44))=0,"A","S"),"S")),IF(N(Premissas!$D$44)&gt;0,IF(MOD(INT(Cron_Uso!AV10/Premissas!$C$44)*Premissas!$C$44,N(Premissas!$D$44))=0,"A","S"),"S"))),"")</f>
        <v/>
      </c>
      <c r="AW10" s="22" t="str">
        <f>IF(INT(Cron_Uso!AW10/Premissas!$C$44)&gt;INT(Cron_Uso!AV10/Premissas!$C$44),IF(N(Premissas!$F$44)&gt;0,IF(MOD(INT(Cron_Uso!AW10/Premissas!$C$44)*Premissas!$C$44,N(Premissas!$F$44))=0,"C",IF(N(Premissas!$E$44)&gt;0,IF(MOD(INT(Cron_Uso!AW10/Premissas!$C$44)*Premissas!$C$44,N(Premissas!$E$44))=0,"B",IF(N(Premissas!$D$44)&gt;0,IF(MOD(INT(Cron_Uso!AW10/Premissas!$C$44)*Premissas!$C$44,N(Premissas!$D$44))=0,"A","S"),"S")),IF(N(Premissas!$D$44)&gt;0,IF(MOD(INT(Cron_Uso!AW10/Premissas!$C$44)*Premissas!$C$44,N(Premissas!$D$44))=0,"A","S"),"S"))),IF(N(Premissas!$E$44)&gt;0,IF(MOD(INT(Cron_Uso!AW10/Premissas!$C$44)*Premissas!$C$44,N(Premissas!$E$44))=0,"B",IF(N(Premissas!$D$44)&gt;0,IF(MOD(INT(Cron_Uso!AW10/Premissas!$C$44)*Premissas!$C$44,N(Premissas!$D$44))=0,"A","S"),"S")),IF(N(Premissas!$D$44)&gt;0,IF(MOD(INT(Cron_Uso!AW10/Premissas!$C$44)*Premissas!$C$44,N(Premissas!$D$44))=0,"A","S"),"S"))),"")</f>
        <v/>
      </c>
      <c r="AX10" s="22" t="str">
        <f>IF(INT(Cron_Uso!AX10/Premissas!$C$44)&gt;INT(Cron_Uso!AW10/Premissas!$C$44),IF(N(Premissas!$F$44)&gt;0,IF(MOD(INT(Cron_Uso!AX10/Premissas!$C$44)*Premissas!$C$44,N(Premissas!$F$44))=0,"C",IF(N(Premissas!$E$44)&gt;0,IF(MOD(INT(Cron_Uso!AX10/Premissas!$C$44)*Premissas!$C$44,N(Premissas!$E$44))=0,"B",IF(N(Premissas!$D$44)&gt;0,IF(MOD(INT(Cron_Uso!AX10/Premissas!$C$44)*Premissas!$C$44,N(Premissas!$D$44))=0,"A","S"),"S")),IF(N(Premissas!$D$44)&gt;0,IF(MOD(INT(Cron_Uso!AX10/Premissas!$C$44)*Premissas!$C$44,N(Premissas!$D$44))=0,"A","S"),"S"))),IF(N(Premissas!$E$44)&gt;0,IF(MOD(INT(Cron_Uso!AX10/Premissas!$C$44)*Premissas!$C$44,N(Premissas!$E$44))=0,"B",IF(N(Premissas!$D$44)&gt;0,IF(MOD(INT(Cron_Uso!AX10/Premissas!$C$44)*Premissas!$C$44,N(Premissas!$D$44))=0,"A","S"),"S")),IF(N(Premissas!$D$44)&gt;0,IF(MOD(INT(Cron_Uso!AX10/Premissas!$C$44)*Premissas!$C$44,N(Premissas!$D$44))=0,"A","S"),"S"))),"")</f>
        <v/>
      </c>
      <c r="AY10" s="22" t="str">
        <f>IF(INT(Cron_Uso!AY10/Premissas!$C$44)&gt;INT(Cron_Uso!AX10/Premissas!$C$44),IF(N(Premissas!$F$44)&gt;0,IF(MOD(INT(Cron_Uso!AY10/Premissas!$C$44)*Premissas!$C$44,N(Premissas!$F$44))=0,"C",IF(N(Premissas!$E$44)&gt;0,IF(MOD(INT(Cron_Uso!AY10/Premissas!$C$44)*Premissas!$C$44,N(Premissas!$E$44))=0,"B",IF(N(Premissas!$D$44)&gt;0,IF(MOD(INT(Cron_Uso!AY10/Premissas!$C$44)*Premissas!$C$44,N(Premissas!$D$44))=0,"A","S"),"S")),IF(N(Premissas!$D$44)&gt;0,IF(MOD(INT(Cron_Uso!AY10/Premissas!$C$44)*Premissas!$C$44,N(Premissas!$D$44))=0,"A","S"),"S"))),IF(N(Premissas!$E$44)&gt;0,IF(MOD(INT(Cron_Uso!AY10/Premissas!$C$44)*Premissas!$C$44,N(Premissas!$E$44))=0,"B",IF(N(Premissas!$D$44)&gt;0,IF(MOD(INT(Cron_Uso!AY10/Premissas!$C$44)*Premissas!$C$44,N(Premissas!$D$44))=0,"A","S"),"S")),IF(N(Premissas!$D$44)&gt;0,IF(MOD(INT(Cron_Uso!AY10/Premissas!$C$44)*Premissas!$C$44,N(Premissas!$D$44))=0,"A","S"),"S"))),"")</f>
        <v>A</v>
      </c>
      <c r="AZ10" s="22" t="str">
        <f>IF(INT(Cron_Uso!AZ10/Premissas!$C$44)&gt;INT(Cron_Uso!AY10/Premissas!$C$44),IF(N(Premissas!$F$44)&gt;0,IF(MOD(INT(Cron_Uso!AZ10/Premissas!$C$44)*Premissas!$C$44,N(Premissas!$F$44))=0,"C",IF(N(Premissas!$E$44)&gt;0,IF(MOD(INT(Cron_Uso!AZ10/Premissas!$C$44)*Premissas!$C$44,N(Premissas!$E$44))=0,"B",IF(N(Premissas!$D$44)&gt;0,IF(MOD(INT(Cron_Uso!AZ10/Premissas!$C$44)*Premissas!$C$44,N(Premissas!$D$44))=0,"A","S"),"S")),IF(N(Premissas!$D$44)&gt;0,IF(MOD(INT(Cron_Uso!AZ10/Premissas!$C$44)*Premissas!$C$44,N(Premissas!$D$44))=0,"A","S"),"S"))),IF(N(Premissas!$E$44)&gt;0,IF(MOD(INT(Cron_Uso!AZ10/Premissas!$C$44)*Premissas!$C$44,N(Premissas!$E$44))=0,"B",IF(N(Premissas!$D$44)&gt;0,IF(MOD(INT(Cron_Uso!AZ10/Premissas!$C$44)*Premissas!$C$44,N(Premissas!$D$44))=0,"A","S"),"S")),IF(N(Premissas!$D$44)&gt;0,IF(MOD(INT(Cron_Uso!AZ10/Premissas!$C$44)*Premissas!$C$44,N(Premissas!$D$44))=0,"A","S"),"S"))),"")</f>
        <v/>
      </c>
      <c r="BA10" s="22" t="str">
        <f>IF(INT(Cron_Uso!BA10/Premissas!$C$44)&gt;INT(Cron_Uso!AZ10/Premissas!$C$44),IF(N(Premissas!$F$44)&gt;0,IF(MOD(INT(Cron_Uso!BA10/Premissas!$C$44)*Premissas!$C$44,N(Premissas!$F$44))=0,"C",IF(N(Premissas!$E$44)&gt;0,IF(MOD(INT(Cron_Uso!BA10/Premissas!$C$44)*Premissas!$C$44,N(Premissas!$E$44))=0,"B",IF(N(Premissas!$D$44)&gt;0,IF(MOD(INT(Cron_Uso!BA10/Premissas!$C$44)*Premissas!$C$44,N(Premissas!$D$44))=0,"A","S"),"S")),IF(N(Premissas!$D$44)&gt;0,IF(MOD(INT(Cron_Uso!BA10/Premissas!$C$44)*Premissas!$C$44,N(Premissas!$D$44))=0,"A","S"),"S"))),IF(N(Premissas!$E$44)&gt;0,IF(MOD(INT(Cron_Uso!BA10/Premissas!$C$44)*Premissas!$C$44,N(Premissas!$E$44))=0,"B",IF(N(Premissas!$D$44)&gt;0,IF(MOD(INT(Cron_Uso!BA10/Premissas!$C$44)*Premissas!$C$44,N(Premissas!$D$44))=0,"A","S"),"S")),IF(N(Premissas!$D$44)&gt;0,IF(MOD(INT(Cron_Uso!BA10/Premissas!$C$44)*Premissas!$C$44,N(Premissas!$D$44))=0,"A","S"),"S"))),"")</f>
        <v/>
      </c>
    </row>
    <row r="11" spans="1:56" ht="15" customHeight="1" x14ac:dyDescent="0.4">
      <c r="A11" s="15" t="str">
        <f>Premissas!$A$45&amp;" (×"&amp;Premissas!$I$45&amp;")"</f>
        <v>Implemento (×18)</v>
      </c>
      <c r="B11" s="22" t="str">
        <f>IF(INT(Cron_Uso!B11/Premissas!$C$45)&gt;INT(Premissas!$J$45/Premissas!$C$45),IF(N(Premissas!$F$45)&gt;0,IF(MOD(INT(Cron_Uso!B11/Premissas!$C$45)*Premissas!$C$45,N(Premissas!$F$45))=0,"C",IF(N(Premissas!$E$45)&gt;0,IF(MOD(INT(Cron_Uso!B11/Premissas!$C$45)*Premissas!$C$45,N(Premissas!$E$45))=0,"B",IF(N(Premissas!$D$45)&gt;0,IF(MOD(INT(Cron_Uso!B11/Premissas!$C$45)*Premissas!$C$45,N(Premissas!$D$45))=0,"A","S"),"S")),IF(N(Premissas!$D$45)&gt;0,IF(MOD(INT(Cron_Uso!B11/Premissas!$C$45)*Premissas!$C$45,N(Premissas!$D$45))=0,"A","S"),"S"))),IF(N(Premissas!$E$45)&gt;0,IF(MOD(INT(Cron_Uso!B11/Premissas!$C$45)*Premissas!$C$45,N(Premissas!$E$45))=0,"B",IF(N(Premissas!$D$45)&gt;0,IF(MOD(INT(Cron_Uso!B11/Premissas!$C$45)*Premissas!$C$45,N(Premissas!$D$45))=0,"A","S"),"S")),IF(N(Premissas!$D$45)&gt;0,IF(MOD(INT(Cron_Uso!B11/Premissas!$C$45)*Premissas!$C$45,N(Premissas!$D$45))=0,"A","S"),"S"))),"")</f>
        <v/>
      </c>
      <c r="C11" s="22" t="str">
        <f>IF(INT(Cron_Uso!C11/Premissas!$C$45)&gt;INT(Cron_Uso!B11/Premissas!$C$45),IF(N(Premissas!$F$45)&gt;0,IF(MOD(INT(Cron_Uso!C11/Premissas!$C$45)*Premissas!$C$45,N(Premissas!$F$45))=0,"C",IF(N(Premissas!$E$45)&gt;0,IF(MOD(INT(Cron_Uso!C11/Premissas!$C$45)*Premissas!$C$45,N(Premissas!$E$45))=0,"B",IF(N(Premissas!$D$45)&gt;0,IF(MOD(INT(Cron_Uso!C11/Premissas!$C$45)*Premissas!$C$45,N(Premissas!$D$45))=0,"A","S"),"S")),IF(N(Premissas!$D$45)&gt;0,IF(MOD(INT(Cron_Uso!C11/Premissas!$C$45)*Premissas!$C$45,N(Premissas!$D$45))=0,"A","S"),"S"))),IF(N(Premissas!$E$45)&gt;0,IF(MOD(INT(Cron_Uso!C11/Premissas!$C$45)*Premissas!$C$45,N(Premissas!$E$45))=0,"B",IF(N(Premissas!$D$45)&gt;0,IF(MOD(INT(Cron_Uso!C11/Premissas!$C$45)*Premissas!$C$45,N(Premissas!$D$45))=0,"A","S"),"S")),IF(N(Premissas!$D$45)&gt;0,IF(MOD(INT(Cron_Uso!C11/Premissas!$C$45)*Premissas!$C$45,N(Premissas!$D$45))=0,"A","S"),"S"))),"")</f>
        <v/>
      </c>
      <c r="D11" s="22" t="str">
        <f>IF(INT(Cron_Uso!D11/Premissas!$C$45)&gt;INT(Cron_Uso!C11/Premissas!$C$45),IF(N(Premissas!$F$45)&gt;0,IF(MOD(INT(Cron_Uso!D11/Premissas!$C$45)*Premissas!$C$45,N(Premissas!$F$45))=0,"C",IF(N(Premissas!$E$45)&gt;0,IF(MOD(INT(Cron_Uso!D11/Premissas!$C$45)*Premissas!$C$45,N(Premissas!$E$45))=0,"B",IF(N(Premissas!$D$45)&gt;0,IF(MOD(INT(Cron_Uso!D11/Premissas!$C$45)*Premissas!$C$45,N(Premissas!$D$45))=0,"A","S"),"S")),IF(N(Premissas!$D$45)&gt;0,IF(MOD(INT(Cron_Uso!D11/Premissas!$C$45)*Premissas!$C$45,N(Premissas!$D$45))=0,"A","S"),"S"))),IF(N(Premissas!$E$45)&gt;0,IF(MOD(INT(Cron_Uso!D11/Premissas!$C$45)*Premissas!$C$45,N(Premissas!$E$45))=0,"B",IF(N(Premissas!$D$45)&gt;0,IF(MOD(INT(Cron_Uso!D11/Premissas!$C$45)*Premissas!$C$45,N(Premissas!$D$45))=0,"A","S"),"S")),IF(N(Premissas!$D$45)&gt;0,IF(MOD(INT(Cron_Uso!D11/Premissas!$C$45)*Premissas!$C$45,N(Premissas!$D$45))=0,"A","S"),"S"))),"")</f>
        <v/>
      </c>
      <c r="E11" s="22" t="str">
        <f>IF(INT(Cron_Uso!E11/Premissas!$C$45)&gt;INT(Cron_Uso!D11/Premissas!$C$45),IF(N(Premissas!$F$45)&gt;0,IF(MOD(INT(Cron_Uso!E11/Premissas!$C$45)*Premissas!$C$45,N(Premissas!$F$45))=0,"C",IF(N(Premissas!$E$45)&gt;0,IF(MOD(INT(Cron_Uso!E11/Premissas!$C$45)*Premissas!$C$45,N(Premissas!$E$45))=0,"B",IF(N(Premissas!$D$45)&gt;0,IF(MOD(INT(Cron_Uso!E11/Premissas!$C$45)*Premissas!$C$45,N(Premissas!$D$45))=0,"A","S"),"S")),IF(N(Premissas!$D$45)&gt;0,IF(MOD(INT(Cron_Uso!E11/Premissas!$C$45)*Premissas!$C$45,N(Premissas!$D$45))=0,"A","S"),"S"))),IF(N(Premissas!$E$45)&gt;0,IF(MOD(INT(Cron_Uso!E11/Premissas!$C$45)*Premissas!$C$45,N(Premissas!$E$45))=0,"B",IF(N(Premissas!$D$45)&gt;0,IF(MOD(INT(Cron_Uso!E11/Premissas!$C$45)*Premissas!$C$45,N(Premissas!$D$45))=0,"A","S"),"S")),IF(N(Premissas!$D$45)&gt;0,IF(MOD(INT(Cron_Uso!E11/Premissas!$C$45)*Premissas!$C$45,N(Premissas!$D$45))=0,"A","S"),"S"))),"")</f>
        <v/>
      </c>
      <c r="F11" s="22" t="str">
        <f>IF(INT(Cron_Uso!F11/Premissas!$C$45)&gt;INT(Cron_Uso!E11/Premissas!$C$45),IF(N(Premissas!$F$45)&gt;0,IF(MOD(INT(Cron_Uso!F11/Premissas!$C$45)*Premissas!$C$45,N(Premissas!$F$45))=0,"C",IF(N(Premissas!$E$45)&gt;0,IF(MOD(INT(Cron_Uso!F11/Premissas!$C$45)*Premissas!$C$45,N(Premissas!$E$45))=0,"B",IF(N(Premissas!$D$45)&gt;0,IF(MOD(INT(Cron_Uso!F11/Premissas!$C$45)*Premissas!$C$45,N(Premissas!$D$45))=0,"A","S"),"S")),IF(N(Premissas!$D$45)&gt;0,IF(MOD(INT(Cron_Uso!F11/Premissas!$C$45)*Premissas!$C$45,N(Premissas!$D$45))=0,"A","S"),"S"))),IF(N(Premissas!$E$45)&gt;0,IF(MOD(INT(Cron_Uso!F11/Premissas!$C$45)*Premissas!$C$45,N(Premissas!$E$45))=0,"B",IF(N(Premissas!$D$45)&gt;0,IF(MOD(INT(Cron_Uso!F11/Premissas!$C$45)*Premissas!$C$45,N(Premissas!$D$45))=0,"A","S"),"S")),IF(N(Premissas!$D$45)&gt;0,IF(MOD(INT(Cron_Uso!F11/Premissas!$C$45)*Premissas!$C$45,N(Premissas!$D$45))=0,"A","S"),"S"))),"")</f>
        <v/>
      </c>
      <c r="G11" s="22" t="str">
        <f>IF(INT(Cron_Uso!G11/Premissas!$C$45)&gt;INT(Cron_Uso!F11/Premissas!$C$45),IF(N(Premissas!$F$45)&gt;0,IF(MOD(INT(Cron_Uso!G11/Premissas!$C$45)*Premissas!$C$45,N(Premissas!$F$45))=0,"C",IF(N(Premissas!$E$45)&gt;0,IF(MOD(INT(Cron_Uso!G11/Premissas!$C$45)*Premissas!$C$45,N(Premissas!$E$45))=0,"B",IF(N(Premissas!$D$45)&gt;0,IF(MOD(INT(Cron_Uso!G11/Premissas!$C$45)*Premissas!$C$45,N(Premissas!$D$45))=0,"A","S"),"S")),IF(N(Premissas!$D$45)&gt;0,IF(MOD(INT(Cron_Uso!G11/Premissas!$C$45)*Premissas!$C$45,N(Premissas!$D$45))=0,"A","S"),"S"))),IF(N(Premissas!$E$45)&gt;0,IF(MOD(INT(Cron_Uso!G11/Premissas!$C$45)*Premissas!$C$45,N(Premissas!$E$45))=0,"B",IF(N(Premissas!$D$45)&gt;0,IF(MOD(INT(Cron_Uso!G11/Premissas!$C$45)*Premissas!$C$45,N(Premissas!$D$45))=0,"A","S"),"S")),IF(N(Premissas!$D$45)&gt;0,IF(MOD(INT(Cron_Uso!G11/Premissas!$C$45)*Premissas!$C$45,N(Premissas!$D$45))=0,"A","S"),"S"))),"")</f>
        <v/>
      </c>
      <c r="H11" s="22" t="str">
        <f>IF(INT(Cron_Uso!H11/Premissas!$C$45)&gt;INT(Cron_Uso!G11/Premissas!$C$45),IF(N(Premissas!$F$45)&gt;0,IF(MOD(INT(Cron_Uso!H11/Premissas!$C$45)*Premissas!$C$45,N(Premissas!$F$45))=0,"C",IF(N(Premissas!$E$45)&gt;0,IF(MOD(INT(Cron_Uso!H11/Premissas!$C$45)*Premissas!$C$45,N(Premissas!$E$45))=0,"B",IF(N(Premissas!$D$45)&gt;0,IF(MOD(INT(Cron_Uso!H11/Premissas!$C$45)*Premissas!$C$45,N(Premissas!$D$45))=0,"A","S"),"S")),IF(N(Premissas!$D$45)&gt;0,IF(MOD(INT(Cron_Uso!H11/Premissas!$C$45)*Premissas!$C$45,N(Premissas!$D$45))=0,"A","S"),"S"))),IF(N(Premissas!$E$45)&gt;0,IF(MOD(INT(Cron_Uso!H11/Premissas!$C$45)*Premissas!$C$45,N(Premissas!$E$45))=0,"B",IF(N(Premissas!$D$45)&gt;0,IF(MOD(INT(Cron_Uso!H11/Premissas!$C$45)*Premissas!$C$45,N(Premissas!$D$45))=0,"A","S"),"S")),IF(N(Premissas!$D$45)&gt;0,IF(MOD(INT(Cron_Uso!H11/Premissas!$C$45)*Premissas!$C$45,N(Premissas!$D$45))=0,"A","S"),"S"))),"")</f>
        <v/>
      </c>
      <c r="I11" s="22" t="str">
        <f>IF(INT(Cron_Uso!I11/Premissas!$C$45)&gt;INT(Cron_Uso!H11/Premissas!$C$45),IF(N(Premissas!$F$45)&gt;0,IF(MOD(INT(Cron_Uso!I11/Premissas!$C$45)*Premissas!$C$45,N(Premissas!$F$45))=0,"C",IF(N(Premissas!$E$45)&gt;0,IF(MOD(INT(Cron_Uso!I11/Premissas!$C$45)*Premissas!$C$45,N(Premissas!$E$45))=0,"B",IF(N(Premissas!$D$45)&gt;0,IF(MOD(INT(Cron_Uso!I11/Premissas!$C$45)*Premissas!$C$45,N(Premissas!$D$45))=0,"A","S"),"S")),IF(N(Premissas!$D$45)&gt;0,IF(MOD(INT(Cron_Uso!I11/Premissas!$C$45)*Premissas!$C$45,N(Premissas!$D$45))=0,"A","S"),"S"))),IF(N(Premissas!$E$45)&gt;0,IF(MOD(INT(Cron_Uso!I11/Premissas!$C$45)*Premissas!$C$45,N(Premissas!$E$45))=0,"B",IF(N(Premissas!$D$45)&gt;0,IF(MOD(INT(Cron_Uso!I11/Premissas!$C$45)*Premissas!$C$45,N(Premissas!$D$45))=0,"A","S"),"S")),IF(N(Premissas!$D$45)&gt;0,IF(MOD(INT(Cron_Uso!I11/Premissas!$C$45)*Premissas!$C$45,N(Premissas!$D$45))=0,"A","S"),"S"))),"")</f>
        <v>S</v>
      </c>
      <c r="J11" s="22" t="str">
        <f>IF(INT(Cron_Uso!J11/Premissas!$C$45)&gt;INT(Cron_Uso!I11/Premissas!$C$45),IF(N(Premissas!$F$45)&gt;0,IF(MOD(INT(Cron_Uso!J11/Premissas!$C$45)*Premissas!$C$45,N(Premissas!$F$45))=0,"C",IF(N(Premissas!$E$45)&gt;0,IF(MOD(INT(Cron_Uso!J11/Premissas!$C$45)*Premissas!$C$45,N(Premissas!$E$45))=0,"B",IF(N(Premissas!$D$45)&gt;0,IF(MOD(INT(Cron_Uso!J11/Premissas!$C$45)*Premissas!$C$45,N(Premissas!$D$45))=0,"A","S"),"S")),IF(N(Premissas!$D$45)&gt;0,IF(MOD(INT(Cron_Uso!J11/Premissas!$C$45)*Premissas!$C$45,N(Premissas!$D$45))=0,"A","S"),"S"))),IF(N(Premissas!$E$45)&gt;0,IF(MOD(INT(Cron_Uso!J11/Premissas!$C$45)*Premissas!$C$45,N(Premissas!$E$45))=0,"B",IF(N(Premissas!$D$45)&gt;0,IF(MOD(INT(Cron_Uso!J11/Premissas!$C$45)*Premissas!$C$45,N(Premissas!$D$45))=0,"A","S"),"S")),IF(N(Premissas!$D$45)&gt;0,IF(MOD(INT(Cron_Uso!J11/Premissas!$C$45)*Premissas!$C$45,N(Premissas!$D$45))=0,"A","S"),"S"))),"")</f>
        <v/>
      </c>
      <c r="K11" s="22" t="str">
        <f>IF(INT(Cron_Uso!K11/Premissas!$C$45)&gt;INT(Cron_Uso!J11/Premissas!$C$45),IF(N(Premissas!$F$45)&gt;0,IF(MOD(INT(Cron_Uso!K11/Premissas!$C$45)*Premissas!$C$45,N(Premissas!$F$45))=0,"C",IF(N(Premissas!$E$45)&gt;0,IF(MOD(INT(Cron_Uso!K11/Premissas!$C$45)*Premissas!$C$45,N(Premissas!$E$45))=0,"B",IF(N(Premissas!$D$45)&gt;0,IF(MOD(INT(Cron_Uso!K11/Premissas!$C$45)*Premissas!$C$45,N(Premissas!$D$45))=0,"A","S"),"S")),IF(N(Premissas!$D$45)&gt;0,IF(MOD(INT(Cron_Uso!K11/Premissas!$C$45)*Premissas!$C$45,N(Premissas!$D$45))=0,"A","S"),"S"))),IF(N(Premissas!$E$45)&gt;0,IF(MOD(INT(Cron_Uso!K11/Premissas!$C$45)*Premissas!$C$45,N(Premissas!$E$45))=0,"B",IF(N(Premissas!$D$45)&gt;0,IF(MOD(INT(Cron_Uso!K11/Premissas!$C$45)*Premissas!$C$45,N(Premissas!$D$45))=0,"A","S"),"S")),IF(N(Premissas!$D$45)&gt;0,IF(MOD(INT(Cron_Uso!K11/Premissas!$C$45)*Premissas!$C$45,N(Premissas!$D$45))=0,"A","S"),"S"))),"")</f>
        <v/>
      </c>
      <c r="L11" s="22" t="str">
        <f>IF(INT(Cron_Uso!L11/Premissas!$C$45)&gt;INT(Cron_Uso!K11/Premissas!$C$45),IF(N(Premissas!$F$45)&gt;0,IF(MOD(INT(Cron_Uso!L11/Premissas!$C$45)*Premissas!$C$45,N(Premissas!$F$45))=0,"C",IF(N(Premissas!$E$45)&gt;0,IF(MOD(INT(Cron_Uso!L11/Premissas!$C$45)*Premissas!$C$45,N(Premissas!$E$45))=0,"B",IF(N(Premissas!$D$45)&gt;0,IF(MOD(INT(Cron_Uso!L11/Premissas!$C$45)*Premissas!$C$45,N(Premissas!$D$45))=0,"A","S"),"S")),IF(N(Premissas!$D$45)&gt;0,IF(MOD(INT(Cron_Uso!L11/Premissas!$C$45)*Premissas!$C$45,N(Premissas!$D$45))=0,"A","S"),"S"))),IF(N(Premissas!$E$45)&gt;0,IF(MOD(INT(Cron_Uso!L11/Premissas!$C$45)*Premissas!$C$45,N(Premissas!$E$45))=0,"B",IF(N(Premissas!$D$45)&gt;0,IF(MOD(INT(Cron_Uso!L11/Premissas!$C$45)*Premissas!$C$45,N(Premissas!$D$45))=0,"A","S"),"S")),IF(N(Premissas!$D$45)&gt;0,IF(MOD(INT(Cron_Uso!L11/Premissas!$C$45)*Premissas!$C$45,N(Premissas!$D$45))=0,"A","S"),"S"))),"")</f>
        <v/>
      </c>
      <c r="M11" s="22" t="str">
        <f>IF(INT(Cron_Uso!M11/Premissas!$C$45)&gt;INT(Cron_Uso!L11/Premissas!$C$45),IF(N(Premissas!$F$45)&gt;0,IF(MOD(INT(Cron_Uso!M11/Premissas!$C$45)*Premissas!$C$45,N(Premissas!$F$45))=0,"C",IF(N(Premissas!$E$45)&gt;0,IF(MOD(INT(Cron_Uso!M11/Premissas!$C$45)*Premissas!$C$45,N(Premissas!$E$45))=0,"B",IF(N(Premissas!$D$45)&gt;0,IF(MOD(INT(Cron_Uso!M11/Premissas!$C$45)*Premissas!$C$45,N(Premissas!$D$45))=0,"A","S"),"S")),IF(N(Premissas!$D$45)&gt;0,IF(MOD(INT(Cron_Uso!M11/Premissas!$C$45)*Premissas!$C$45,N(Premissas!$D$45))=0,"A","S"),"S"))),IF(N(Premissas!$E$45)&gt;0,IF(MOD(INT(Cron_Uso!M11/Premissas!$C$45)*Premissas!$C$45,N(Premissas!$E$45))=0,"B",IF(N(Premissas!$D$45)&gt;0,IF(MOD(INT(Cron_Uso!M11/Premissas!$C$45)*Premissas!$C$45,N(Premissas!$D$45))=0,"A","S"),"S")),IF(N(Premissas!$D$45)&gt;0,IF(MOD(INT(Cron_Uso!M11/Premissas!$C$45)*Premissas!$C$45,N(Premissas!$D$45))=0,"A","S"),"S"))),"")</f>
        <v/>
      </c>
      <c r="N11" s="22" t="str">
        <f>IF(INT(Cron_Uso!N11/Premissas!$C$45)&gt;INT(Cron_Uso!M11/Premissas!$C$45),IF(N(Premissas!$F$45)&gt;0,IF(MOD(INT(Cron_Uso!N11/Premissas!$C$45)*Premissas!$C$45,N(Premissas!$F$45))=0,"C",IF(N(Premissas!$E$45)&gt;0,IF(MOD(INT(Cron_Uso!N11/Premissas!$C$45)*Premissas!$C$45,N(Premissas!$E$45))=0,"B",IF(N(Premissas!$D$45)&gt;0,IF(MOD(INT(Cron_Uso!N11/Premissas!$C$45)*Premissas!$C$45,N(Premissas!$D$45))=0,"A","S"),"S")),IF(N(Premissas!$D$45)&gt;0,IF(MOD(INT(Cron_Uso!N11/Premissas!$C$45)*Premissas!$C$45,N(Premissas!$D$45))=0,"A","S"),"S"))),IF(N(Premissas!$E$45)&gt;0,IF(MOD(INT(Cron_Uso!N11/Premissas!$C$45)*Premissas!$C$45,N(Premissas!$E$45))=0,"B",IF(N(Premissas!$D$45)&gt;0,IF(MOD(INT(Cron_Uso!N11/Premissas!$C$45)*Premissas!$C$45,N(Premissas!$D$45))=0,"A","S"),"S")),IF(N(Premissas!$D$45)&gt;0,IF(MOD(INT(Cron_Uso!N11/Premissas!$C$45)*Premissas!$C$45,N(Premissas!$D$45))=0,"A","S"),"S"))),"")</f>
        <v/>
      </c>
      <c r="O11" s="22" t="str">
        <f>IF(INT(Cron_Uso!O11/Premissas!$C$45)&gt;INT(Cron_Uso!N11/Premissas!$C$45),IF(N(Premissas!$F$45)&gt;0,IF(MOD(INT(Cron_Uso!O11/Premissas!$C$45)*Premissas!$C$45,N(Premissas!$F$45))=0,"C",IF(N(Premissas!$E$45)&gt;0,IF(MOD(INT(Cron_Uso!O11/Premissas!$C$45)*Premissas!$C$45,N(Premissas!$E$45))=0,"B",IF(N(Premissas!$D$45)&gt;0,IF(MOD(INT(Cron_Uso!O11/Premissas!$C$45)*Premissas!$C$45,N(Premissas!$D$45))=0,"A","S"),"S")),IF(N(Premissas!$D$45)&gt;0,IF(MOD(INT(Cron_Uso!O11/Premissas!$C$45)*Premissas!$C$45,N(Premissas!$D$45))=0,"A","S"),"S"))),IF(N(Premissas!$E$45)&gt;0,IF(MOD(INT(Cron_Uso!O11/Premissas!$C$45)*Premissas!$C$45,N(Premissas!$E$45))=0,"B",IF(N(Premissas!$D$45)&gt;0,IF(MOD(INT(Cron_Uso!O11/Premissas!$C$45)*Premissas!$C$45,N(Premissas!$D$45))=0,"A","S"),"S")),IF(N(Premissas!$D$45)&gt;0,IF(MOD(INT(Cron_Uso!O11/Premissas!$C$45)*Premissas!$C$45,N(Premissas!$D$45))=0,"A","S"),"S"))),"")</f>
        <v/>
      </c>
      <c r="P11" s="22" t="str">
        <f>IF(INT(Cron_Uso!P11/Premissas!$C$45)&gt;INT(Cron_Uso!O11/Premissas!$C$45),IF(N(Premissas!$F$45)&gt;0,IF(MOD(INT(Cron_Uso!P11/Premissas!$C$45)*Premissas!$C$45,N(Premissas!$F$45))=0,"C",IF(N(Premissas!$E$45)&gt;0,IF(MOD(INT(Cron_Uso!P11/Premissas!$C$45)*Premissas!$C$45,N(Premissas!$E$45))=0,"B",IF(N(Premissas!$D$45)&gt;0,IF(MOD(INT(Cron_Uso!P11/Premissas!$C$45)*Premissas!$C$45,N(Premissas!$D$45))=0,"A","S"),"S")),IF(N(Premissas!$D$45)&gt;0,IF(MOD(INT(Cron_Uso!P11/Premissas!$C$45)*Premissas!$C$45,N(Premissas!$D$45))=0,"A","S"),"S"))),IF(N(Premissas!$E$45)&gt;0,IF(MOD(INT(Cron_Uso!P11/Premissas!$C$45)*Premissas!$C$45,N(Premissas!$E$45))=0,"B",IF(N(Premissas!$D$45)&gt;0,IF(MOD(INT(Cron_Uso!P11/Premissas!$C$45)*Premissas!$C$45,N(Premissas!$D$45))=0,"A","S"),"S")),IF(N(Premissas!$D$45)&gt;0,IF(MOD(INT(Cron_Uso!P11/Premissas!$C$45)*Premissas!$C$45,N(Premissas!$D$45))=0,"A","S"),"S"))),"")</f>
        <v/>
      </c>
      <c r="Q11" s="22" t="str">
        <f>IF(INT(Cron_Uso!Q11/Premissas!$C$45)&gt;INT(Cron_Uso!P11/Premissas!$C$45),IF(N(Premissas!$F$45)&gt;0,IF(MOD(INT(Cron_Uso!Q11/Premissas!$C$45)*Premissas!$C$45,N(Premissas!$F$45))=0,"C",IF(N(Premissas!$E$45)&gt;0,IF(MOD(INT(Cron_Uso!Q11/Premissas!$C$45)*Premissas!$C$45,N(Premissas!$E$45))=0,"B",IF(N(Premissas!$D$45)&gt;0,IF(MOD(INT(Cron_Uso!Q11/Premissas!$C$45)*Premissas!$C$45,N(Premissas!$D$45))=0,"A","S"),"S")),IF(N(Premissas!$D$45)&gt;0,IF(MOD(INT(Cron_Uso!Q11/Premissas!$C$45)*Premissas!$C$45,N(Premissas!$D$45))=0,"A","S"),"S"))),IF(N(Premissas!$E$45)&gt;0,IF(MOD(INT(Cron_Uso!Q11/Premissas!$C$45)*Premissas!$C$45,N(Premissas!$E$45))=0,"B",IF(N(Premissas!$D$45)&gt;0,IF(MOD(INT(Cron_Uso!Q11/Premissas!$C$45)*Premissas!$C$45,N(Premissas!$D$45))=0,"A","S"),"S")),IF(N(Premissas!$D$45)&gt;0,IF(MOD(INT(Cron_Uso!Q11/Premissas!$C$45)*Premissas!$C$45,N(Premissas!$D$45))=0,"A","S"),"S"))),"")</f>
        <v>A</v>
      </c>
      <c r="R11" s="22" t="str">
        <f>IF(INT(Cron_Uso!R11/Premissas!$C$45)&gt;INT(Cron_Uso!Q11/Premissas!$C$45),IF(N(Premissas!$F$45)&gt;0,IF(MOD(INT(Cron_Uso!R11/Premissas!$C$45)*Premissas!$C$45,N(Premissas!$F$45))=0,"C",IF(N(Premissas!$E$45)&gt;0,IF(MOD(INT(Cron_Uso!R11/Premissas!$C$45)*Premissas!$C$45,N(Premissas!$E$45))=0,"B",IF(N(Premissas!$D$45)&gt;0,IF(MOD(INT(Cron_Uso!R11/Premissas!$C$45)*Premissas!$C$45,N(Premissas!$D$45))=0,"A","S"),"S")),IF(N(Premissas!$D$45)&gt;0,IF(MOD(INT(Cron_Uso!R11/Premissas!$C$45)*Premissas!$C$45,N(Premissas!$D$45))=0,"A","S"),"S"))),IF(N(Premissas!$E$45)&gt;0,IF(MOD(INT(Cron_Uso!R11/Premissas!$C$45)*Premissas!$C$45,N(Premissas!$E$45))=0,"B",IF(N(Premissas!$D$45)&gt;0,IF(MOD(INT(Cron_Uso!R11/Premissas!$C$45)*Premissas!$C$45,N(Premissas!$D$45))=0,"A","S"),"S")),IF(N(Premissas!$D$45)&gt;0,IF(MOD(INT(Cron_Uso!R11/Premissas!$C$45)*Premissas!$C$45,N(Premissas!$D$45))=0,"A","S"),"S"))),"")</f>
        <v/>
      </c>
      <c r="S11" s="22" t="str">
        <f>IF(INT(Cron_Uso!S11/Premissas!$C$45)&gt;INT(Cron_Uso!R11/Premissas!$C$45),IF(N(Premissas!$F$45)&gt;0,IF(MOD(INT(Cron_Uso!S11/Premissas!$C$45)*Premissas!$C$45,N(Premissas!$F$45))=0,"C",IF(N(Premissas!$E$45)&gt;0,IF(MOD(INT(Cron_Uso!S11/Premissas!$C$45)*Premissas!$C$45,N(Premissas!$E$45))=0,"B",IF(N(Premissas!$D$45)&gt;0,IF(MOD(INT(Cron_Uso!S11/Premissas!$C$45)*Premissas!$C$45,N(Premissas!$D$45))=0,"A","S"),"S")),IF(N(Premissas!$D$45)&gt;0,IF(MOD(INT(Cron_Uso!S11/Premissas!$C$45)*Premissas!$C$45,N(Premissas!$D$45))=0,"A","S"),"S"))),IF(N(Premissas!$E$45)&gt;0,IF(MOD(INT(Cron_Uso!S11/Premissas!$C$45)*Premissas!$C$45,N(Premissas!$E$45))=0,"B",IF(N(Premissas!$D$45)&gt;0,IF(MOD(INT(Cron_Uso!S11/Premissas!$C$45)*Premissas!$C$45,N(Premissas!$D$45))=0,"A","S"),"S")),IF(N(Premissas!$D$45)&gt;0,IF(MOD(INT(Cron_Uso!S11/Premissas!$C$45)*Premissas!$C$45,N(Premissas!$D$45))=0,"A","S"),"S"))),"")</f>
        <v/>
      </c>
      <c r="T11" s="22" t="str">
        <f>IF(INT(Cron_Uso!T11/Premissas!$C$45)&gt;INT(Cron_Uso!S11/Premissas!$C$45),IF(N(Premissas!$F$45)&gt;0,IF(MOD(INT(Cron_Uso!T11/Premissas!$C$45)*Premissas!$C$45,N(Premissas!$F$45))=0,"C",IF(N(Premissas!$E$45)&gt;0,IF(MOD(INT(Cron_Uso!T11/Premissas!$C$45)*Premissas!$C$45,N(Premissas!$E$45))=0,"B",IF(N(Premissas!$D$45)&gt;0,IF(MOD(INT(Cron_Uso!T11/Premissas!$C$45)*Premissas!$C$45,N(Premissas!$D$45))=0,"A","S"),"S")),IF(N(Premissas!$D$45)&gt;0,IF(MOD(INT(Cron_Uso!T11/Premissas!$C$45)*Premissas!$C$45,N(Premissas!$D$45))=0,"A","S"),"S"))),IF(N(Premissas!$E$45)&gt;0,IF(MOD(INT(Cron_Uso!T11/Premissas!$C$45)*Premissas!$C$45,N(Premissas!$E$45))=0,"B",IF(N(Premissas!$D$45)&gt;0,IF(MOD(INT(Cron_Uso!T11/Premissas!$C$45)*Premissas!$C$45,N(Premissas!$D$45))=0,"A","S"),"S")),IF(N(Premissas!$D$45)&gt;0,IF(MOD(INT(Cron_Uso!T11/Premissas!$C$45)*Premissas!$C$45,N(Premissas!$D$45))=0,"A","S"),"S"))),"")</f>
        <v/>
      </c>
      <c r="U11" s="22" t="str">
        <f>IF(INT(Cron_Uso!U11/Premissas!$C$45)&gt;INT(Cron_Uso!T11/Premissas!$C$45),IF(N(Premissas!$F$45)&gt;0,IF(MOD(INT(Cron_Uso!U11/Premissas!$C$45)*Premissas!$C$45,N(Premissas!$F$45))=0,"C",IF(N(Premissas!$E$45)&gt;0,IF(MOD(INT(Cron_Uso!U11/Premissas!$C$45)*Premissas!$C$45,N(Premissas!$E$45))=0,"B",IF(N(Premissas!$D$45)&gt;0,IF(MOD(INT(Cron_Uso!U11/Premissas!$C$45)*Premissas!$C$45,N(Premissas!$D$45))=0,"A","S"),"S")),IF(N(Premissas!$D$45)&gt;0,IF(MOD(INT(Cron_Uso!U11/Premissas!$C$45)*Premissas!$C$45,N(Premissas!$D$45))=0,"A","S"),"S"))),IF(N(Premissas!$E$45)&gt;0,IF(MOD(INT(Cron_Uso!U11/Premissas!$C$45)*Premissas!$C$45,N(Premissas!$E$45))=0,"B",IF(N(Premissas!$D$45)&gt;0,IF(MOD(INT(Cron_Uso!U11/Premissas!$C$45)*Premissas!$C$45,N(Premissas!$D$45))=0,"A","S"),"S")),IF(N(Premissas!$D$45)&gt;0,IF(MOD(INT(Cron_Uso!U11/Premissas!$C$45)*Premissas!$C$45,N(Premissas!$D$45))=0,"A","S"),"S"))),"")</f>
        <v/>
      </c>
      <c r="V11" s="22" t="str">
        <f>IF(INT(Cron_Uso!V11/Premissas!$C$45)&gt;INT(Cron_Uso!U11/Premissas!$C$45),IF(N(Premissas!$F$45)&gt;0,IF(MOD(INT(Cron_Uso!V11/Premissas!$C$45)*Premissas!$C$45,N(Premissas!$F$45))=0,"C",IF(N(Premissas!$E$45)&gt;0,IF(MOD(INT(Cron_Uso!V11/Premissas!$C$45)*Premissas!$C$45,N(Premissas!$E$45))=0,"B",IF(N(Premissas!$D$45)&gt;0,IF(MOD(INT(Cron_Uso!V11/Premissas!$C$45)*Premissas!$C$45,N(Premissas!$D$45))=0,"A","S"),"S")),IF(N(Premissas!$D$45)&gt;0,IF(MOD(INT(Cron_Uso!V11/Premissas!$C$45)*Premissas!$C$45,N(Premissas!$D$45))=0,"A","S"),"S"))),IF(N(Premissas!$E$45)&gt;0,IF(MOD(INT(Cron_Uso!V11/Premissas!$C$45)*Premissas!$C$45,N(Premissas!$E$45))=0,"B",IF(N(Premissas!$D$45)&gt;0,IF(MOD(INT(Cron_Uso!V11/Premissas!$C$45)*Premissas!$C$45,N(Premissas!$D$45))=0,"A","S"),"S")),IF(N(Premissas!$D$45)&gt;0,IF(MOD(INT(Cron_Uso!V11/Premissas!$C$45)*Premissas!$C$45,N(Premissas!$D$45))=0,"A","S"),"S"))),"")</f>
        <v/>
      </c>
      <c r="W11" s="22" t="str">
        <f>IF(INT(Cron_Uso!W11/Premissas!$C$45)&gt;INT(Cron_Uso!V11/Premissas!$C$45),IF(N(Premissas!$F$45)&gt;0,IF(MOD(INT(Cron_Uso!W11/Premissas!$C$45)*Premissas!$C$45,N(Premissas!$F$45))=0,"C",IF(N(Premissas!$E$45)&gt;0,IF(MOD(INT(Cron_Uso!W11/Premissas!$C$45)*Premissas!$C$45,N(Premissas!$E$45))=0,"B",IF(N(Premissas!$D$45)&gt;0,IF(MOD(INT(Cron_Uso!W11/Premissas!$C$45)*Premissas!$C$45,N(Premissas!$D$45))=0,"A","S"),"S")),IF(N(Premissas!$D$45)&gt;0,IF(MOD(INT(Cron_Uso!W11/Premissas!$C$45)*Premissas!$C$45,N(Premissas!$D$45))=0,"A","S"),"S"))),IF(N(Premissas!$E$45)&gt;0,IF(MOD(INT(Cron_Uso!W11/Premissas!$C$45)*Premissas!$C$45,N(Premissas!$E$45))=0,"B",IF(N(Premissas!$D$45)&gt;0,IF(MOD(INT(Cron_Uso!W11/Premissas!$C$45)*Premissas!$C$45,N(Premissas!$D$45))=0,"A","S"),"S")),IF(N(Premissas!$D$45)&gt;0,IF(MOD(INT(Cron_Uso!W11/Premissas!$C$45)*Premissas!$C$45,N(Premissas!$D$45))=0,"A","S"),"S"))),"")</f>
        <v/>
      </c>
      <c r="X11" s="22" t="str">
        <f>IF(INT(Cron_Uso!X11/Premissas!$C$45)&gt;INT(Cron_Uso!W11/Premissas!$C$45),IF(N(Premissas!$F$45)&gt;0,IF(MOD(INT(Cron_Uso!X11/Premissas!$C$45)*Premissas!$C$45,N(Premissas!$F$45))=0,"C",IF(N(Premissas!$E$45)&gt;0,IF(MOD(INT(Cron_Uso!X11/Premissas!$C$45)*Premissas!$C$45,N(Premissas!$E$45))=0,"B",IF(N(Premissas!$D$45)&gt;0,IF(MOD(INT(Cron_Uso!X11/Premissas!$C$45)*Premissas!$C$45,N(Premissas!$D$45))=0,"A","S"),"S")),IF(N(Premissas!$D$45)&gt;0,IF(MOD(INT(Cron_Uso!X11/Premissas!$C$45)*Premissas!$C$45,N(Premissas!$D$45))=0,"A","S"),"S"))),IF(N(Premissas!$E$45)&gt;0,IF(MOD(INT(Cron_Uso!X11/Premissas!$C$45)*Premissas!$C$45,N(Premissas!$E$45))=0,"B",IF(N(Premissas!$D$45)&gt;0,IF(MOD(INT(Cron_Uso!X11/Premissas!$C$45)*Premissas!$C$45,N(Premissas!$D$45))=0,"A","S"),"S")),IF(N(Premissas!$D$45)&gt;0,IF(MOD(INT(Cron_Uso!X11/Premissas!$C$45)*Premissas!$C$45,N(Premissas!$D$45))=0,"A","S"),"S"))),"")</f>
        <v/>
      </c>
      <c r="Y11" s="22" t="str">
        <f>IF(INT(Cron_Uso!Y11/Premissas!$C$45)&gt;INT(Cron_Uso!X11/Premissas!$C$45),IF(N(Premissas!$F$45)&gt;0,IF(MOD(INT(Cron_Uso!Y11/Premissas!$C$45)*Premissas!$C$45,N(Premissas!$F$45))=0,"C",IF(N(Premissas!$E$45)&gt;0,IF(MOD(INT(Cron_Uso!Y11/Premissas!$C$45)*Premissas!$C$45,N(Premissas!$E$45))=0,"B",IF(N(Premissas!$D$45)&gt;0,IF(MOD(INT(Cron_Uso!Y11/Premissas!$C$45)*Premissas!$C$45,N(Premissas!$D$45))=0,"A","S"),"S")),IF(N(Premissas!$D$45)&gt;0,IF(MOD(INT(Cron_Uso!Y11/Premissas!$C$45)*Premissas!$C$45,N(Premissas!$D$45))=0,"A","S"),"S"))),IF(N(Premissas!$E$45)&gt;0,IF(MOD(INT(Cron_Uso!Y11/Premissas!$C$45)*Premissas!$C$45,N(Premissas!$E$45))=0,"B",IF(N(Premissas!$D$45)&gt;0,IF(MOD(INT(Cron_Uso!Y11/Premissas!$C$45)*Premissas!$C$45,N(Premissas!$D$45))=0,"A","S"),"S")),IF(N(Premissas!$D$45)&gt;0,IF(MOD(INT(Cron_Uso!Y11/Premissas!$C$45)*Premissas!$C$45,N(Premissas!$D$45))=0,"A","S"),"S"))),"")</f>
        <v>S</v>
      </c>
      <c r="Z11" s="22" t="str">
        <f>IF(INT(Cron_Uso!Z11/Premissas!$C$45)&gt;INT(Cron_Uso!Y11/Premissas!$C$45),IF(N(Premissas!$F$45)&gt;0,IF(MOD(INT(Cron_Uso!Z11/Premissas!$C$45)*Premissas!$C$45,N(Premissas!$F$45))=0,"C",IF(N(Premissas!$E$45)&gt;0,IF(MOD(INT(Cron_Uso!Z11/Premissas!$C$45)*Premissas!$C$45,N(Premissas!$E$45))=0,"B",IF(N(Premissas!$D$45)&gt;0,IF(MOD(INT(Cron_Uso!Z11/Premissas!$C$45)*Premissas!$C$45,N(Premissas!$D$45))=0,"A","S"),"S")),IF(N(Premissas!$D$45)&gt;0,IF(MOD(INT(Cron_Uso!Z11/Premissas!$C$45)*Premissas!$C$45,N(Premissas!$D$45))=0,"A","S"),"S"))),IF(N(Premissas!$E$45)&gt;0,IF(MOD(INT(Cron_Uso!Z11/Premissas!$C$45)*Premissas!$C$45,N(Premissas!$E$45))=0,"B",IF(N(Premissas!$D$45)&gt;0,IF(MOD(INT(Cron_Uso!Z11/Premissas!$C$45)*Premissas!$C$45,N(Premissas!$D$45))=0,"A","S"),"S")),IF(N(Premissas!$D$45)&gt;0,IF(MOD(INT(Cron_Uso!Z11/Premissas!$C$45)*Premissas!$C$45,N(Premissas!$D$45))=0,"A","S"),"S"))),"")</f>
        <v/>
      </c>
      <c r="AA11" s="22" t="str">
        <f>IF(INT(Cron_Uso!AA11/Premissas!$C$45)&gt;INT(Cron_Uso!Z11/Premissas!$C$45),IF(N(Premissas!$F$45)&gt;0,IF(MOD(INT(Cron_Uso!AA11/Premissas!$C$45)*Premissas!$C$45,N(Premissas!$F$45))=0,"C",IF(N(Premissas!$E$45)&gt;0,IF(MOD(INT(Cron_Uso!AA11/Premissas!$C$45)*Premissas!$C$45,N(Premissas!$E$45))=0,"B",IF(N(Premissas!$D$45)&gt;0,IF(MOD(INT(Cron_Uso!AA11/Premissas!$C$45)*Premissas!$C$45,N(Premissas!$D$45))=0,"A","S"),"S")),IF(N(Premissas!$D$45)&gt;0,IF(MOD(INT(Cron_Uso!AA11/Premissas!$C$45)*Premissas!$C$45,N(Premissas!$D$45))=0,"A","S"),"S"))),IF(N(Premissas!$E$45)&gt;0,IF(MOD(INT(Cron_Uso!AA11/Premissas!$C$45)*Premissas!$C$45,N(Premissas!$E$45))=0,"B",IF(N(Premissas!$D$45)&gt;0,IF(MOD(INT(Cron_Uso!AA11/Premissas!$C$45)*Premissas!$C$45,N(Premissas!$D$45))=0,"A","S"),"S")),IF(N(Premissas!$D$45)&gt;0,IF(MOD(INT(Cron_Uso!AA11/Premissas!$C$45)*Premissas!$C$45,N(Premissas!$D$45))=0,"A","S"),"S"))),"")</f>
        <v/>
      </c>
      <c r="AB11" s="22" t="str">
        <f>IF(INT(Cron_Uso!AB11/Premissas!$C$45)&gt;INT(Cron_Uso!AA11/Premissas!$C$45),IF(N(Premissas!$F$45)&gt;0,IF(MOD(INT(Cron_Uso!AB11/Premissas!$C$45)*Premissas!$C$45,N(Premissas!$F$45))=0,"C",IF(N(Premissas!$E$45)&gt;0,IF(MOD(INT(Cron_Uso!AB11/Premissas!$C$45)*Premissas!$C$45,N(Premissas!$E$45))=0,"B",IF(N(Premissas!$D$45)&gt;0,IF(MOD(INT(Cron_Uso!AB11/Premissas!$C$45)*Premissas!$C$45,N(Premissas!$D$45))=0,"A","S"),"S")),IF(N(Premissas!$D$45)&gt;0,IF(MOD(INT(Cron_Uso!AB11/Premissas!$C$45)*Premissas!$C$45,N(Premissas!$D$45))=0,"A","S"),"S"))),IF(N(Premissas!$E$45)&gt;0,IF(MOD(INT(Cron_Uso!AB11/Premissas!$C$45)*Premissas!$C$45,N(Premissas!$E$45))=0,"B",IF(N(Premissas!$D$45)&gt;0,IF(MOD(INT(Cron_Uso!AB11/Premissas!$C$45)*Premissas!$C$45,N(Premissas!$D$45))=0,"A","S"),"S")),IF(N(Premissas!$D$45)&gt;0,IF(MOD(INT(Cron_Uso!AB11/Premissas!$C$45)*Premissas!$C$45,N(Premissas!$D$45))=0,"A","S"),"S"))),"")</f>
        <v/>
      </c>
      <c r="AC11" s="22" t="str">
        <f>IF(INT(Cron_Uso!AC11/Premissas!$C$45)&gt;INT(Cron_Uso!AB11/Premissas!$C$45),IF(N(Premissas!$F$45)&gt;0,IF(MOD(INT(Cron_Uso!AC11/Premissas!$C$45)*Premissas!$C$45,N(Premissas!$F$45))=0,"C",IF(N(Premissas!$E$45)&gt;0,IF(MOD(INT(Cron_Uso!AC11/Premissas!$C$45)*Premissas!$C$45,N(Premissas!$E$45))=0,"B",IF(N(Premissas!$D$45)&gt;0,IF(MOD(INT(Cron_Uso!AC11/Premissas!$C$45)*Premissas!$C$45,N(Premissas!$D$45))=0,"A","S"),"S")),IF(N(Premissas!$D$45)&gt;0,IF(MOD(INT(Cron_Uso!AC11/Premissas!$C$45)*Premissas!$C$45,N(Premissas!$D$45))=0,"A","S"),"S"))),IF(N(Premissas!$E$45)&gt;0,IF(MOD(INT(Cron_Uso!AC11/Premissas!$C$45)*Premissas!$C$45,N(Premissas!$E$45))=0,"B",IF(N(Premissas!$D$45)&gt;0,IF(MOD(INT(Cron_Uso!AC11/Premissas!$C$45)*Premissas!$C$45,N(Premissas!$D$45))=0,"A","S"),"S")),IF(N(Premissas!$D$45)&gt;0,IF(MOD(INT(Cron_Uso!AC11/Premissas!$C$45)*Premissas!$C$45,N(Premissas!$D$45))=0,"A","S"),"S"))),"")</f>
        <v/>
      </c>
      <c r="AD11" s="22" t="str">
        <f>IF(INT(Cron_Uso!AD11/Premissas!$C$45)&gt;INT(Cron_Uso!AC11/Premissas!$C$45),IF(N(Premissas!$F$45)&gt;0,IF(MOD(INT(Cron_Uso!AD11/Premissas!$C$45)*Premissas!$C$45,N(Premissas!$F$45))=0,"C",IF(N(Premissas!$E$45)&gt;0,IF(MOD(INT(Cron_Uso!AD11/Premissas!$C$45)*Premissas!$C$45,N(Premissas!$E$45))=0,"B",IF(N(Premissas!$D$45)&gt;0,IF(MOD(INT(Cron_Uso!AD11/Premissas!$C$45)*Premissas!$C$45,N(Premissas!$D$45))=0,"A","S"),"S")),IF(N(Premissas!$D$45)&gt;0,IF(MOD(INT(Cron_Uso!AD11/Premissas!$C$45)*Premissas!$C$45,N(Premissas!$D$45))=0,"A","S"),"S"))),IF(N(Premissas!$E$45)&gt;0,IF(MOD(INT(Cron_Uso!AD11/Premissas!$C$45)*Premissas!$C$45,N(Premissas!$E$45))=0,"B",IF(N(Premissas!$D$45)&gt;0,IF(MOD(INT(Cron_Uso!AD11/Premissas!$C$45)*Premissas!$C$45,N(Premissas!$D$45))=0,"A","S"),"S")),IF(N(Premissas!$D$45)&gt;0,IF(MOD(INT(Cron_Uso!AD11/Premissas!$C$45)*Premissas!$C$45,N(Premissas!$D$45))=0,"A","S"),"S"))),"")</f>
        <v/>
      </c>
      <c r="AE11" s="22" t="str">
        <f>IF(INT(Cron_Uso!AE11/Premissas!$C$45)&gt;INT(Cron_Uso!AD11/Premissas!$C$45),IF(N(Premissas!$F$45)&gt;0,IF(MOD(INT(Cron_Uso!AE11/Premissas!$C$45)*Premissas!$C$45,N(Premissas!$F$45))=0,"C",IF(N(Premissas!$E$45)&gt;0,IF(MOD(INT(Cron_Uso!AE11/Premissas!$C$45)*Premissas!$C$45,N(Premissas!$E$45))=0,"B",IF(N(Premissas!$D$45)&gt;0,IF(MOD(INT(Cron_Uso!AE11/Premissas!$C$45)*Premissas!$C$45,N(Premissas!$D$45))=0,"A","S"),"S")),IF(N(Premissas!$D$45)&gt;0,IF(MOD(INT(Cron_Uso!AE11/Premissas!$C$45)*Premissas!$C$45,N(Premissas!$D$45))=0,"A","S"),"S"))),IF(N(Premissas!$E$45)&gt;0,IF(MOD(INT(Cron_Uso!AE11/Premissas!$C$45)*Premissas!$C$45,N(Premissas!$E$45))=0,"B",IF(N(Premissas!$D$45)&gt;0,IF(MOD(INT(Cron_Uso!AE11/Premissas!$C$45)*Premissas!$C$45,N(Premissas!$D$45))=0,"A","S"),"S")),IF(N(Premissas!$D$45)&gt;0,IF(MOD(INT(Cron_Uso!AE11/Premissas!$C$45)*Premissas!$C$45,N(Premissas!$D$45))=0,"A","S"),"S"))),"")</f>
        <v/>
      </c>
      <c r="AF11" s="22" t="str">
        <f>IF(INT(Cron_Uso!AF11/Premissas!$C$45)&gt;INT(Cron_Uso!AE11/Premissas!$C$45),IF(N(Premissas!$F$45)&gt;0,IF(MOD(INT(Cron_Uso!AF11/Premissas!$C$45)*Premissas!$C$45,N(Premissas!$F$45))=0,"C",IF(N(Premissas!$E$45)&gt;0,IF(MOD(INT(Cron_Uso!AF11/Premissas!$C$45)*Premissas!$C$45,N(Premissas!$E$45))=0,"B",IF(N(Premissas!$D$45)&gt;0,IF(MOD(INT(Cron_Uso!AF11/Premissas!$C$45)*Premissas!$C$45,N(Premissas!$D$45))=0,"A","S"),"S")),IF(N(Premissas!$D$45)&gt;0,IF(MOD(INT(Cron_Uso!AF11/Premissas!$C$45)*Premissas!$C$45,N(Premissas!$D$45))=0,"A","S"),"S"))),IF(N(Premissas!$E$45)&gt;0,IF(MOD(INT(Cron_Uso!AF11/Premissas!$C$45)*Premissas!$C$45,N(Premissas!$E$45))=0,"B",IF(N(Premissas!$D$45)&gt;0,IF(MOD(INT(Cron_Uso!AF11/Premissas!$C$45)*Premissas!$C$45,N(Premissas!$D$45))=0,"A","S"),"S")),IF(N(Premissas!$D$45)&gt;0,IF(MOD(INT(Cron_Uso!AF11/Premissas!$C$45)*Premissas!$C$45,N(Premissas!$D$45))=0,"A","S"),"S"))),"")</f>
        <v/>
      </c>
      <c r="AG11" s="22" t="str">
        <f>IF(INT(Cron_Uso!AG11/Premissas!$C$45)&gt;INT(Cron_Uso!AF11/Premissas!$C$45),IF(N(Premissas!$F$45)&gt;0,IF(MOD(INT(Cron_Uso!AG11/Premissas!$C$45)*Premissas!$C$45,N(Premissas!$F$45))=0,"C",IF(N(Premissas!$E$45)&gt;0,IF(MOD(INT(Cron_Uso!AG11/Premissas!$C$45)*Premissas!$C$45,N(Premissas!$E$45))=0,"B",IF(N(Premissas!$D$45)&gt;0,IF(MOD(INT(Cron_Uso!AG11/Premissas!$C$45)*Premissas!$C$45,N(Premissas!$D$45))=0,"A","S"),"S")),IF(N(Premissas!$D$45)&gt;0,IF(MOD(INT(Cron_Uso!AG11/Premissas!$C$45)*Premissas!$C$45,N(Premissas!$D$45))=0,"A","S"),"S"))),IF(N(Premissas!$E$45)&gt;0,IF(MOD(INT(Cron_Uso!AG11/Premissas!$C$45)*Premissas!$C$45,N(Premissas!$E$45))=0,"B",IF(N(Premissas!$D$45)&gt;0,IF(MOD(INT(Cron_Uso!AG11/Premissas!$C$45)*Premissas!$C$45,N(Premissas!$D$45))=0,"A","S"),"S")),IF(N(Premissas!$D$45)&gt;0,IF(MOD(INT(Cron_Uso!AG11/Premissas!$C$45)*Premissas!$C$45,N(Premissas!$D$45))=0,"A","S"),"S"))),"")</f>
        <v/>
      </c>
      <c r="AH11" s="22" t="str">
        <f>IF(INT(Cron_Uso!AH11/Premissas!$C$45)&gt;INT(Cron_Uso!AG11/Premissas!$C$45),IF(N(Premissas!$F$45)&gt;0,IF(MOD(INT(Cron_Uso!AH11/Premissas!$C$45)*Premissas!$C$45,N(Premissas!$F$45))=0,"C",IF(N(Premissas!$E$45)&gt;0,IF(MOD(INT(Cron_Uso!AH11/Premissas!$C$45)*Premissas!$C$45,N(Premissas!$E$45))=0,"B",IF(N(Premissas!$D$45)&gt;0,IF(MOD(INT(Cron_Uso!AH11/Premissas!$C$45)*Premissas!$C$45,N(Premissas!$D$45))=0,"A","S"),"S")),IF(N(Premissas!$D$45)&gt;0,IF(MOD(INT(Cron_Uso!AH11/Premissas!$C$45)*Premissas!$C$45,N(Premissas!$D$45))=0,"A","S"),"S"))),IF(N(Premissas!$E$45)&gt;0,IF(MOD(INT(Cron_Uso!AH11/Premissas!$C$45)*Premissas!$C$45,N(Premissas!$E$45))=0,"B",IF(N(Premissas!$D$45)&gt;0,IF(MOD(INT(Cron_Uso!AH11/Premissas!$C$45)*Premissas!$C$45,N(Premissas!$D$45))=0,"A","S"),"S")),IF(N(Premissas!$D$45)&gt;0,IF(MOD(INT(Cron_Uso!AH11/Premissas!$C$45)*Premissas!$C$45,N(Premissas!$D$45))=0,"A","S"),"S"))),"")</f>
        <v/>
      </c>
      <c r="AI11" s="22" t="str">
        <f>IF(INT(Cron_Uso!AI11/Premissas!$C$45)&gt;INT(Cron_Uso!AH11/Premissas!$C$45),IF(N(Premissas!$F$45)&gt;0,IF(MOD(INT(Cron_Uso!AI11/Premissas!$C$45)*Premissas!$C$45,N(Premissas!$F$45))=0,"C",IF(N(Premissas!$E$45)&gt;0,IF(MOD(INT(Cron_Uso!AI11/Premissas!$C$45)*Premissas!$C$45,N(Premissas!$E$45))=0,"B",IF(N(Premissas!$D$45)&gt;0,IF(MOD(INT(Cron_Uso!AI11/Premissas!$C$45)*Premissas!$C$45,N(Premissas!$D$45))=0,"A","S"),"S")),IF(N(Premissas!$D$45)&gt;0,IF(MOD(INT(Cron_Uso!AI11/Premissas!$C$45)*Premissas!$C$45,N(Premissas!$D$45))=0,"A","S"),"S"))),IF(N(Premissas!$E$45)&gt;0,IF(MOD(INT(Cron_Uso!AI11/Premissas!$C$45)*Premissas!$C$45,N(Premissas!$E$45))=0,"B",IF(N(Premissas!$D$45)&gt;0,IF(MOD(INT(Cron_Uso!AI11/Premissas!$C$45)*Premissas!$C$45,N(Premissas!$D$45))=0,"A","S"),"S")),IF(N(Premissas!$D$45)&gt;0,IF(MOD(INT(Cron_Uso!AI11/Premissas!$C$45)*Premissas!$C$45,N(Premissas!$D$45))=0,"A","S"),"S"))),"")</f>
        <v/>
      </c>
      <c r="AJ11" s="22" t="str">
        <f>IF(INT(Cron_Uso!AJ11/Premissas!$C$45)&gt;INT(Cron_Uso!AI11/Premissas!$C$45),IF(N(Premissas!$F$45)&gt;0,IF(MOD(INT(Cron_Uso!AJ11/Premissas!$C$45)*Premissas!$C$45,N(Premissas!$F$45))=0,"C",IF(N(Premissas!$E$45)&gt;0,IF(MOD(INT(Cron_Uso!AJ11/Premissas!$C$45)*Premissas!$C$45,N(Premissas!$E$45))=0,"B",IF(N(Premissas!$D$45)&gt;0,IF(MOD(INT(Cron_Uso!AJ11/Premissas!$C$45)*Premissas!$C$45,N(Premissas!$D$45))=0,"A","S"),"S")),IF(N(Premissas!$D$45)&gt;0,IF(MOD(INT(Cron_Uso!AJ11/Premissas!$C$45)*Premissas!$C$45,N(Premissas!$D$45))=0,"A","S"),"S"))),IF(N(Premissas!$E$45)&gt;0,IF(MOD(INT(Cron_Uso!AJ11/Premissas!$C$45)*Premissas!$C$45,N(Premissas!$E$45))=0,"B",IF(N(Premissas!$D$45)&gt;0,IF(MOD(INT(Cron_Uso!AJ11/Premissas!$C$45)*Premissas!$C$45,N(Premissas!$D$45))=0,"A","S"),"S")),IF(N(Premissas!$D$45)&gt;0,IF(MOD(INT(Cron_Uso!AJ11/Premissas!$C$45)*Premissas!$C$45,N(Premissas!$D$45))=0,"A","S"),"S"))),"")</f>
        <v/>
      </c>
      <c r="AK11" s="22" t="str">
        <f>IF(INT(Cron_Uso!AK11/Premissas!$C$45)&gt;INT(Cron_Uso!AJ11/Premissas!$C$45),IF(N(Premissas!$F$45)&gt;0,IF(MOD(INT(Cron_Uso!AK11/Premissas!$C$45)*Premissas!$C$45,N(Premissas!$F$45))=0,"C",IF(N(Premissas!$E$45)&gt;0,IF(MOD(INT(Cron_Uso!AK11/Premissas!$C$45)*Premissas!$C$45,N(Premissas!$E$45))=0,"B",IF(N(Premissas!$D$45)&gt;0,IF(MOD(INT(Cron_Uso!AK11/Premissas!$C$45)*Premissas!$C$45,N(Premissas!$D$45))=0,"A","S"),"S")),IF(N(Premissas!$D$45)&gt;0,IF(MOD(INT(Cron_Uso!AK11/Premissas!$C$45)*Premissas!$C$45,N(Premissas!$D$45))=0,"A","S"),"S"))),IF(N(Premissas!$E$45)&gt;0,IF(MOD(INT(Cron_Uso!AK11/Premissas!$C$45)*Premissas!$C$45,N(Premissas!$E$45))=0,"B",IF(N(Premissas!$D$45)&gt;0,IF(MOD(INT(Cron_Uso!AK11/Premissas!$C$45)*Premissas!$C$45,N(Premissas!$D$45))=0,"A","S"),"S")),IF(N(Premissas!$D$45)&gt;0,IF(MOD(INT(Cron_Uso!AK11/Premissas!$C$45)*Premissas!$C$45,N(Premissas!$D$45))=0,"A","S"),"S"))),"")</f>
        <v>A</v>
      </c>
      <c r="AL11" s="22" t="str">
        <f>IF(INT(Cron_Uso!AL11/Premissas!$C$45)&gt;INT(Cron_Uso!AK11/Premissas!$C$45),IF(N(Premissas!$F$45)&gt;0,IF(MOD(INT(Cron_Uso!AL11/Premissas!$C$45)*Premissas!$C$45,N(Premissas!$F$45))=0,"C",IF(N(Premissas!$E$45)&gt;0,IF(MOD(INT(Cron_Uso!AL11/Premissas!$C$45)*Premissas!$C$45,N(Premissas!$E$45))=0,"B",IF(N(Premissas!$D$45)&gt;0,IF(MOD(INT(Cron_Uso!AL11/Premissas!$C$45)*Premissas!$C$45,N(Premissas!$D$45))=0,"A","S"),"S")),IF(N(Premissas!$D$45)&gt;0,IF(MOD(INT(Cron_Uso!AL11/Premissas!$C$45)*Premissas!$C$45,N(Premissas!$D$45))=0,"A","S"),"S"))),IF(N(Premissas!$E$45)&gt;0,IF(MOD(INT(Cron_Uso!AL11/Premissas!$C$45)*Premissas!$C$45,N(Premissas!$E$45))=0,"B",IF(N(Premissas!$D$45)&gt;0,IF(MOD(INT(Cron_Uso!AL11/Premissas!$C$45)*Premissas!$C$45,N(Premissas!$D$45))=0,"A","S"),"S")),IF(N(Premissas!$D$45)&gt;0,IF(MOD(INT(Cron_Uso!AL11/Premissas!$C$45)*Premissas!$C$45,N(Premissas!$D$45))=0,"A","S"),"S"))),"")</f>
        <v/>
      </c>
      <c r="AM11" s="22" t="str">
        <f>IF(INT(Cron_Uso!AM11/Premissas!$C$45)&gt;INT(Cron_Uso!AL11/Premissas!$C$45),IF(N(Premissas!$F$45)&gt;0,IF(MOD(INT(Cron_Uso!AM11/Premissas!$C$45)*Premissas!$C$45,N(Premissas!$F$45))=0,"C",IF(N(Premissas!$E$45)&gt;0,IF(MOD(INT(Cron_Uso!AM11/Premissas!$C$45)*Premissas!$C$45,N(Premissas!$E$45))=0,"B",IF(N(Premissas!$D$45)&gt;0,IF(MOD(INT(Cron_Uso!AM11/Premissas!$C$45)*Premissas!$C$45,N(Premissas!$D$45))=0,"A","S"),"S")),IF(N(Premissas!$D$45)&gt;0,IF(MOD(INT(Cron_Uso!AM11/Premissas!$C$45)*Premissas!$C$45,N(Premissas!$D$45))=0,"A","S"),"S"))),IF(N(Premissas!$E$45)&gt;0,IF(MOD(INT(Cron_Uso!AM11/Premissas!$C$45)*Premissas!$C$45,N(Premissas!$E$45))=0,"B",IF(N(Premissas!$D$45)&gt;0,IF(MOD(INT(Cron_Uso!AM11/Premissas!$C$45)*Premissas!$C$45,N(Premissas!$D$45))=0,"A","S"),"S")),IF(N(Premissas!$D$45)&gt;0,IF(MOD(INT(Cron_Uso!AM11/Premissas!$C$45)*Premissas!$C$45,N(Premissas!$D$45))=0,"A","S"),"S"))),"")</f>
        <v/>
      </c>
      <c r="AN11" s="22" t="str">
        <f>IF(INT(Cron_Uso!AN11/Premissas!$C$45)&gt;INT(Cron_Uso!AM11/Premissas!$C$45),IF(N(Premissas!$F$45)&gt;0,IF(MOD(INT(Cron_Uso!AN11/Premissas!$C$45)*Premissas!$C$45,N(Premissas!$F$45))=0,"C",IF(N(Premissas!$E$45)&gt;0,IF(MOD(INT(Cron_Uso!AN11/Premissas!$C$45)*Premissas!$C$45,N(Premissas!$E$45))=0,"B",IF(N(Premissas!$D$45)&gt;0,IF(MOD(INT(Cron_Uso!AN11/Premissas!$C$45)*Premissas!$C$45,N(Premissas!$D$45))=0,"A","S"),"S")),IF(N(Premissas!$D$45)&gt;0,IF(MOD(INT(Cron_Uso!AN11/Premissas!$C$45)*Premissas!$C$45,N(Premissas!$D$45))=0,"A","S"),"S"))),IF(N(Premissas!$E$45)&gt;0,IF(MOD(INT(Cron_Uso!AN11/Premissas!$C$45)*Premissas!$C$45,N(Premissas!$E$45))=0,"B",IF(N(Premissas!$D$45)&gt;0,IF(MOD(INT(Cron_Uso!AN11/Premissas!$C$45)*Premissas!$C$45,N(Premissas!$D$45))=0,"A","S"),"S")),IF(N(Premissas!$D$45)&gt;0,IF(MOD(INT(Cron_Uso!AN11/Premissas!$C$45)*Premissas!$C$45,N(Premissas!$D$45))=0,"A","S"),"S"))),"")</f>
        <v/>
      </c>
      <c r="AO11" s="22" t="str">
        <f>IF(INT(Cron_Uso!AO11/Premissas!$C$45)&gt;INT(Cron_Uso!AN11/Premissas!$C$45),IF(N(Premissas!$F$45)&gt;0,IF(MOD(INT(Cron_Uso!AO11/Premissas!$C$45)*Premissas!$C$45,N(Premissas!$F$45))=0,"C",IF(N(Premissas!$E$45)&gt;0,IF(MOD(INT(Cron_Uso!AO11/Premissas!$C$45)*Premissas!$C$45,N(Premissas!$E$45))=0,"B",IF(N(Premissas!$D$45)&gt;0,IF(MOD(INT(Cron_Uso!AO11/Premissas!$C$45)*Premissas!$C$45,N(Premissas!$D$45))=0,"A","S"),"S")),IF(N(Premissas!$D$45)&gt;0,IF(MOD(INT(Cron_Uso!AO11/Premissas!$C$45)*Premissas!$C$45,N(Premissas!$D$45))=0,"A","S"),"S"))),IF(N(Premissas!$E$45)&gt;0,IF(MOD(INT(Cron_Uso!AO11/Premissas!$C$45)*Premissas!$C$45,N(Premissas!$E$45))=0,"B",IF(N(Premissas!$D$45)&gt;0,IF(MOD(INT(Cron_Uso!AO11/Premissas!$C$45)*Premissas!$C$45,N(Premissas!$D$45))=0,"A","S"),"S")),IF(N(Premissas!$D$45)&gt;0,IF(MOD(INT(Cron_Uso!AO11/Premissas!$C$45)*Premissas!$C$45,N(Premissas!$D$45))=0,"A","S"),"S"))),"")</f>
        <v/>
      </c>
      <c r="AP11" s="22" t="str">
        <f>IF(INT(Cron_Uso!AP11/Premissas!$C$45)&gt;INT(Cron_Uso!AO11/Premissas!$C$45),IF(N(Premissas!$F$45)&gt;0,IF(MOD(INT(Cron_Uso!AP11/Premissas!$C$45)*Premissas!$C$45,N(Premissas!$F$45))=0,"C",IF(N(Premissas!$E$45)&gt;0,IF(MOD(INT(Cron_Uso!AP11/Premissas!$C$45)*Premissas!$C$45,N(Premissas!$E$45))=0,"B",IF(N(Premissas!$D$45)&gt;0,IF(MOD(INT(Cron_Uso!AP11/Premissas!$C$45)*Premissas!$C$45,N(Premissas!$D$45))=0,"A","S"),"S")),IF(N(Premissas!$D$45)&gt;0,IF(MOD(INT(Cron_Uso!AP11/Premissas!$C$45)*Premissas!$C$45,N(Premissas!$D$45))=0,"A","S"),"S"))),IF(N(Premissas!$E$45)&gt;0,IF(MOD(INT(Cron_Uso!AP11/Premissas!$C$45)*Premissas!$C$45,N(Premissas!$E$45))=0,"B",IF(N(Premissas!$D$45)&gt;0,IF(MOD(INT(Cron_Uso!AP11/Premissas!$C$45)*Premissas!$C$45,N(Premissas!$D$45))=0,"A","S"),"S")),IF(N(Premissas!$D$45)&gt;0,IF(MOD(INT(Cron_Uso!AP11/Premissas!$C$45)*Premissas!$C$45,N(Premissas!$D$45))=0,"A","S"),"S"))),"")</f>
        <v/>
      </c>
      <c r="AQ11" s="22" t="str">
        <f>IF(INT(Cron_Uso!AQ11/Premissas!$C$45)&gt;INT(Cron_Uso!AP11/Premissas!$C$45),IF(N(Premissas!$F$45)&gt;0,IF(MOD(INT(Cron_Uso!AQ11/Premissas!$C$45)*Premissas!$C$45,N(Premissas!$F$45))=0,"C",IF(N(Premissas!$E$45)&gt;0,IF(MOD(INT(Cron_Uso!AQ11/Premissas!$C$45)*Premissas!$C$45,N(Premissas!$E$45))=0,"B",IF(N(Premissas!$D$45)&gt;0,IF(MOD(INT(Cron_Uso!AQ11/Premissas!$C$45)*Premissas!$C$45,N(Premissas!$D$45))=0,"A","S"),"S")),IF(N(Premissas!$D$45)&gt;0,IF(MOD(INT(Cron_Uso!AQ11/Premissas!$C$45)*Premissas!$C$45,N(Premissas!$D$45))=0,"A","S"),"S"))),IF(N(Premissas!$E$45)&gt;0,IF(MOD(INT(Cron_Uso!AQ11/Premissas!$C$45)*Premissas!$C$45,N(Premissas!$E$45))=0,"B",IF(N(Premissas!$D$45)&gt;0,IF(MOD(INT(Cron_Uso!AQ11/Premissas!$C$45)*Premissas!$C$45,N(Premissas!$D$45))=0,"A","S"),"S")),IF(N(Premissas!$D$45)&gt;0,IF(MOD(INT(Cron_Uso!AQ11/Premissas!$C$45)*Premissas!$C$45,N(Premissas!$D$45))=0,"A","S"),"S"))),"")</f>
        <v/>
      </c>
      <c r="AR11" s="22" t="str">
        <f>IF(INT(Cron_Uso!AR11/Premissas!$C$45)&gt;INT(Cron_Uso!AQ11/Premissas!$C$45),IF(N(Premissas!$F$45)&gt;0,IF(MOD(INT(Cron_Uso!AR11/Premissas!$C$45)*Premissas!$C$45,N(Premissas!$F$45))=0,"C",IF(N(Premissas!$E$45)&gt;0,IF(MOD(INT(Cron_Uso!AR11/Premissas!$C$45)*Premissas!$C$45,N(Premissas!$E$45))=0,"B",IF(N(Premissas!$D$45)&gt;0,IF(MOD(INT(Cron_Uso!AR11/Premissas!$C$45)*Premissas!$C$45,N(Premissas!$D$45))=0,"A","S"),"S")),IF(N(Premissas!$D$45)&gt;0,IF(MOD(INT(Cron_Uso!AR11/Premissas!$C$45)*Premissas!$C$45,N(Premissas!$D$45))=0,"A","S"),"S"))),IF(N(Premissas!$E$45)&gt;0,IF(MOD(INT(Cron_Uso!AR11/Premissas!$C$45)*Premissas!$C$45,N(Premissas!$E$45))=0,"B",IF(N(Premissas!$D$45)&gt;0,IF(MOD(INT(Cron_Uso!AR11/Premissas!$C$45)*Premissas!$C$45,N(Premissas!$D$45))=0,"A","S"),"S")),IF(N(Premissas!$D$45)&gt;0,IF(MOD(INT(Cron_Uso!AR11/Premissas!$C$45)*Premissas!$C$45,N(Premissas!$D$45))=0,"A","S"),"S"))),"")</f>
        <v/>
      </c>
      <c r="AS11" s="22" t="str">
        <f>IF(INT(Cron_Uso!AS11/Premissas!$C$45)&gt;INT(Cron_Uso!AR11/Premissas!$C$45),IF(N(Premissas!$F$45)&gt;0,IF(MOD(INT(Cron_Uso!AS11/Premissas!$C$45)*Premissas!$C$45,N(Premissas!$F$45))=0,"C",IF(N(Premissas!$E$45)&gt;0,IF(MOD(INT(Cron_Uso!AS11/Premissas!$C$45)*Premissas!$C$45,N(Premissas!$E$45))=0,"B",IF(N(Premissas!$D$45)&gt;0,IF(MOD(INT(Cron_Uso!AS11/Premissas!$C$45)*Premissas!$C$45,N(Premissas!$D$45))=0,"A","S"),"S")),IF(N(Premissas!$D$45)&gt;0,IF(MOD(INT(Cron_Uso!AS11/Premissas!$C$45)*Premissas!$C$45,N(Premissas!$D$45))=0,"A","S"),"S"))),IF(N(Premissas!$E$45)&gt;0,IF(MOD(INT(Cron_Uso!AS11/Premissas!$C$45)*Premissas!$C$45,N(Premissas!$E$45))=0,"B",IF(N(Premissas!$D$45)&gt;0,IF(MOD(INT(Cron_Uso!AS11/Premissas!$C$45)*Premissas!$C$45,N(Premissas!$D$45))=0,"A","S"),"S")),IF(N(Premissas!$D$45)&gt;0,IF(MOD(INT(Cron_Uso!AS11/Premissas!$C$45)*Premissas!$C$45,N(Premissas!$D$45))=0,"A","S"),"S"))),"")</f>
        <v/>
      </c>
      <c r="AT11" s="22" t="str">
        <f>IF(INT(Cron_Uso!AT11/Premissas!$C$45)&gt;INT(Cron_Uso!AS11/Premissas!$C$45),IF(N(Premissas!$F$45)&gt;0,IF(MOD(INT(Cron_Uso!AT11/Premissas!$C$45)*Premissas!$C$45,N(Premissas!$F$45))=0,"C",IF(N(Premissas!$E$45)&gt;0,IF(MOD(INT(Cron_Uso!AT11/Premissas!$C$45)*Premissas!$C$45,N(Premissas!$E$45))=0,"B",IF(N(Premissas!$D$45)&gt;0,IF(MOD(INT(Cron_Uso!AT11/Premissas!$C$45)*Premissas!$C$45,N(Premissas!$D$45))=0,"A","S"),"S")),IF(N(Premissas!$D$45)&gt;0,IF(MOD(INT(Cron_Uso!AT11/Premissas!$C$45)*Premissas!$C$45,N(Premissas!$D$45))=0,"A","S"),"S"))),IF(N(Premissas!$E$45)&gt;0,IF(MOD(INT(Cron_Uso!AT11/Premissas!$C$45)*Premissas!$C$45,N(Premissas!$E$45))=0,"B",IF(N(Premissas!$D$45)&gt;0,IF(MOD(INT(Cron_Uso!AT11/Premissas!$C$45)*Premissas!$C$45,N(Premissas!$D$45))=0,"A","S"),"S")),IF(N(Premissas!$D$45)&gt;0,IF(MOD(INT(Cron_Uso!AT11/Premissas!$C$45)*Premissas!$C$45,N(Premissas!$D$45))=0,"A","S"),"S"))),"")</f>
        <v/>
      </c>
      <c r="AU11" s="22" t="str">
        <f>IF(INT(Cron_Uso!AU11/Premissas!$C$45)&gt;INT(Cron_Uso!AT11/Premissas!$C$45),IF(N(Premissas!$F$45)&gt;0,IF(MOD(INT(Cron_Uso!AU11/Premissas!$C$45)*Premissas!$C$45,N(Premissas!$F$45))=0,"C",IF(N(Premissas!$E$45)&gt;0,IF(MOD(INT(Cron_Uso!AU11/Premissas!$C$45)*Premissas!$C$45,N(Premissas!$E$45))=0,"B",IF(N(Premissas!$D$45)&gt;0,IF(MOD(INT(Cron_Uso!AU11/Premissas!$C$45)*Premissas!$C$45,N(Premissas!$D$45))=0,"A","S"),"S")),IF(N(Premissas!$D$45)&gt;0,IF(MOD(INT(Cron_Uso!AU11/Premissas!$C$45)*Premissas!$C$45,N(Premissas!$D$45))=0,"A","S"),"S"))),IF(N(Premissas!$E$45)&gt;0,IF(MOD(INT(Cron_Uso!AU11/Premissas!$C$45)*Premissas!$C$45,N(Premissas!$E$45))=0,"B",IF(N(Premissas!$D$45)&gt;0,IF(MOD(INT(Cron_Uso!AU11/Premissas!$C$45)*Premissas!$C$45,N(Premissas!$D$45))=0,"A","S"),"S")),IF(N(Premissas!$D$45)&gt;0,IF(MOD(INT(Cron_Uso!AU11/Premissas!$C$45)*Premissas!$C$45,N(Premissas!$D$45))=0,"A","S"),"S"))),"")</f>
        <v/>
      </c>
      <c r="AV11" s="22" t="str">
        <f>IF(INT(Cron_Uso!AV11/Premissas!$C$45)&gt;INT(Cron_Uso!AU11/Premissas!$C$45),IF(N(Premissas!$F$45)&gt;0,IF(MOD(INT(Cron_Uso!AV11/Premissas!$C$45)*Premissas!$C$45,N(Premissas!$F$45))=0,"C",IF(N(Premissas!$E$45)&gt;0,IF(MOD(INT(Cron_Uso!AV11/Premissas!$C$45)*Premissas!$C$45,N(Premissas!$E$45))=0,"B",IF(N(Premissas!$D$45)&gt;0,IF(MOD(INT(Cron_Uso!AV11/Premissas!$C$45)*Premissas!$C$45,N(Premissas!$D$45))=0,"A","S"),"S")),IF(N(Premissas!$D$45)&gt;0,IF(MOD(INT(Cron_Uso!AV11/Premissas!$C$45)*Premissas!$C$45,N(Premissas!$D$45))=0,"A","S"),"S"))),IF(N(Premissas!$E$45)&gt;0,IF(MOD(INT(Cron_Uso!AV11/Premissas!$C$45)*Premissas!$C$45,N(Premissas!$E$45))=0,"B",IF(N(Premissas!$D$45)&gt;0,IF(MOD(INT(Cron_Uso!AV11/Premissas!$C$45)*Premissas!$C$45,N(Premissas!$D$45))=0,"A","S"),"S")),IF(N(Premissas!$D$45)&gt;0,IF(MOD(INT(Cron_Uso!AV11/Premissas!$C$45)*Premissas!$C$45,N(Premissas!$D$45))=0,"A","S"),"S"))),"")</f>
        <v/>
      </c>
      <c r="AW11" s="22" t="str">
        <f>IF(INT(Cron_Uso!AW11/Premissas!$C$45)&gt;INT(Cron_Uso!AV11/Premissas!$C$45),IF(N(Premissas!$F$45)&gt;0,IF(MOD(INT(Cron_Uso!AW11/Premissas!$C$45)*Premissas!$C$45,N(Premissas!$F$45))=0,"C",IF(N(Premissas!$E$45)&gt;0,IF(MOD(INT(Cron_Uso!AW11/Premissas!$C$45)*Premissas!$C$45,N(Premissas!$E$45))=0,"B",IF(N(Premissas!$D$45)&gt;0,IF(MOD(INT(Cron_Uso!AW11/Premissas!$C$45)*Premissas!$C$45,N(Premissas!$D$45))=0,"A","S"),"S")),IF(N(Premissas!$D$45)&gt;0,IF(MOD(INT(Cron_Uso!AW11/Premissas!$C$45)*Premissas!$C$45,N(Premissas!$D$45))=0,"A","S"),"S"))),IF(N(Premissas!$E$45)&gt;0,IF(MOD(INT(Cron_Uso!AW11/Premissas!$C$45)*Premissas!$C$45,N(Premissas!$E$45))=0,"B",IF(N(Premissas!$D$45)&gt;0,IF(MOD(INT(Cron_Uso!AW11/Premissas!$C$45)*Premissas!$C$45,N(Premissas!$D$45))=0,"A","S"),"S")),IF(N(Premissas!$D$45)&gt;0,IF(MOD(INT(Cron_Uso!AW11/Premissas!$C$45)*Premissas!$C$45,N(Premissas!$D$45))=0,"A","S"),"S"))),"")</f>
        <v/>
      </c>
      <c r="AX11" s="22" t="str">
        <f>IF(INT(Cron_Uso!AX11/Premissas!$C$45)&gt;INT(Cron_Uso!AW11/Premissas!$C$45),IF(N(Premissas!$F$45)&gt;0,IF(MOD(INT(Cron_Uso!AX11/Premissas!$C$45)*Premissas!$C$45,N(Premissas!$F$45))=0,"C",IF(N(Premissas!$E$45)&gt;0,IF(MOD(INT(Cron_Uso!AX11/Premissas!$C$45)*Premissas!$C$45,N(Premissas!$E$45))=0,"B",IF(N(Premissas!$D$45)&gt;0,IF(MOD(INT(Cron_Uso!AX11/Premissas!$C$45)*Premissas!$C$45,N(Premissas!$D$45))=0,"A","S"),"S")),IF(N(Premissas!$D$45)&gt;0,IF(MOD(INT(Cron_Uso!AX11/Premissas!$C$45)*Premissas!$C$45,N(Premissas!$D$45))=0,"A","S"),"S"))),IF(N(Premissas!$E$45)&gt;0,IF(MOD(INT(Cron_Uso!AX11/Premissas!$C$45)*Premissas!$C$45,N(Premissas!$E$45))=0,"B",IF(N(Premissas!$D$45)&gt;0,IF(MOD(INT(Cron_Uso!AX11/Premissas!$C$45)*Premissas!$C$45,N(Premissas!$D$45))=0,"A","S"),"S")),IF(N(Premissas!$D$45)&gt;0,IF(MOD(INT(Cron_Uso!AX11/Premissas!$C$45)*Premissas!$C$45,N(Premissas!$D$45))=0,"A","S"),"S"))),"")</f>
        <v/>
      </c>
      <c r="AY11" s="22" t="str">
        <f>IF(INT(Cron_Uso!AY11/Premissas!$C$45)&gt;INT(Cron_Uso!AX11/Premissas!$C$45),IF(N(Premissas!$F$45)&gt;0,IF(MOD(INT(Cron_Uso!AY11/Premissas!$C$45)*Premissas!$C$45,N(Premissas!$F$45))=0,"C",IF(N(Premissas!$E$45)&gt;0,IF(MOD(INT(Cron_Uso!AY11/Premissas!$C$45)*Premissas!$C$45,N(Premissas!$E$45))=0,"B",IF(N(Premissas!$D$45)&gt;0,IF(MOD(INT(Cron_Uso!AY11/Premissas!$C$45)*Premissas!$C$45,N(Premissas!$D$45))=0,"A","S"),"S")),IF(N(Premissas!$D$45)&gt;0,IF(MOD(INT(Cron_Uso!AY11/Premissas!$C$45)*Premissas!$C$45,N(Premissas!$D$45))=0,"A","S"),"S"))),IF(N(Premissas!$E$45)&gt;0,IF(MOD(INT(Cron_Uso!AY11/Premissas!$C$45)*Premissas!$C$45,N(Premissas!$E$45))=0,"B",IF(N(Premissas!$D$45)&gt;0,IF(MOD(INT(Cron_Uso!AY11/Premissas!$C$45)*Premissas!$C$45,N(Premissas!$D$45))=0,"A","S"),"S")),IF(N(Premissas!$D$45)&gt;0,IF(MOD(INT(Cron_Uso!AY11/Premissas!$C$45)*Premissas!$C$45,N(Premissas!$D$45))=0,"A","S"),"S"))),"")</f>
        <v/>
      </c>
      <c r="AZ11" s="22" t="str">
        <f>IF(INT(Cron_Uso!AZ11/Premissas!$C$45)&gt;INT(Cron_Uso!AY11/Premissas!$C$45),IF(N(Premissas!$F$45)&gt;0,IF(MOD(INT(Cron_Uso!AZ11/Premissas!$C$45)*Premissas!$C$45,N(Premissas!$F$45))=0,"C",IF(N(Premissas!$E$45)&gt;0,IF(MOD(INT(Cron_Uso!AZ11/Premissas!$C$45)*Premissas!$C$45,N(Premissas!$E$45))=0,"B",IF(N(Premissas!$D$45)&gt;0,IF(MOD(INT(Cron_Uso!AZ11/Premissas!$C$45)*Premissas!$C$45,N(Premissas!$D$45))=0,"A","S"),"S")),IF(N(Premissas!$D$45)&gt;0,IF(MOD(INT(Cron_Uso!AZ11/Premissas!$C$45)*Premissas!$C$45,N(Premissas!$D$45))=0,"A","S"),"S"))),IF(N(Premissas!$E$45)&gt;0,IF(MOD(INT(Cron_Uso!AZ11/Premissas!$C$45)*Premissas!$C$45,N(Premissas!$E$45))=0,"B",IF(N(Premissas!$D$45)&gt;0,IF(MOD(INT(Cron_Uso!AZ11/Premissas!$C$45)*Premissas!$C$45,N(Premissas!$D$45))=0,"A","S"),"S")),IF(N(Premissas!$D$45)&gt;0,IF(MOD(INT(Cron_Uso!AZ11/Premissas!$C$45)*Premissas!$C$45,N(Premissas!$D$45))=0,"A","S"),"S"))),"")</f>
        <v/>
      </c>
      <c r="BA11" s="22" t="str">
        <f>IF(INT(Cron_Uso!BA11/Premissas!$C$45)&gt;INT(Cron_Uso!AZ11/Premissas!$C$45),IF(N(Premissas!$F$45)&gt;0,IF(MOD(INT(Cron_Uso!BA11/Premissas!$C$45)*Premissas!$C$45,N(Premissas!$F$45))=0,"C",IF(N(Premissas!$E$45)&gt;0,IF(MOD(INT(Cron_Uso!BA11/Premissas!$C$45)*Premissas!$C$45,N(Premissas!$E$45))=0,"B",IF(N(Premissas!$D$45)&gt;0,IF(MOD(INT(Cron_Uso!BA11/Premissas!$C$45)*Premissas!$C$45,N(Premissas!$D$45))=0,"A","S"),"S")),IF(N(Premissas!$D$45)&gt;0,IF(MOD(INT(Cron_Uso!BA11/Premissas!$C$45)*Premissas!$C$45,N(Premissas!$D$45))=0,"A","S"),"S"))),IF(N(Premissas!$E$45)&gt;0,IF(MOD(INT(Cron_Uso!BA11/Premissas!$C$45)*Premissas!$C$45,N(Premissas!$E$45))=0,"B",IF(N(Premissas!$D$45)&gt;0,IF(MOD(INT(Cron_Uso!BA11/Premissas!$C$45)*Premissas!$C$45,N(Premissas!$D$45))=0,"A","S"),"S")),IF(N(Premissas!$D$45)&gt;0,IF(MOD(INT(Cron_Uso!BA11/Premissas!$C$45)*Premissas!$C$45,N(Premissas!$D$45))=0,"A","S"),"S"))),"")</f>
        <v/>
      </c>
    </row>
  </sheetData>
  <mergeCells count="2">
    <mergeCell ref="A1:BB1"/>
    <mergeCell ref="A2:BB2"/>
  </mergeCells>
  <conditionalFormatting sqref="B5:BA11">
    <cfRule type="expression" dxfId="17" priority="2">
      <formula>OR(EXACT(B5,"B"),EXACT(B5,"C"))</formula>
    </cfRule>
    <cfRule type="expression" dxfId="16" priority="3">
      <formula>EXACT(B5,"A")</formula>
    </cfRule>
    <cfRule type="expression" dxfId="15" priority="4">
      <formula>EXACT(B5,"S")</formula>
    </cfRule>
  </conditionalFormatting>
  <hyperlinks>
    <hyperlink ref="BD1" r:id="rId1" location="Menu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38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BB1"/>
    </sheetView>
  </sheetViews>
  <sheetFormatPr defaultColWidth="8.69140625" defaultRowHeight="14.6" x14ac:dyDescent="0.4"/>
  <cols>
    <col min="1" max="1" width="34" customWidth="1"/>
    <col min="2" max="2" width="17" customWidth="1"/>
    <col min="3" max="54" width="5" customWidth="1"/>
  </cols>
  <sheetData>
    <row r="1" spans="1:56" ht="15.75" customHeight="1" x14ac:dyDescent="0.45">
      <c r="A1" s="3" t="s">
        <v>962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D1" s="11" t="s">
        <v>47</v>
      </c>
    </row>
    <row r="2" spans="1:56" ht="15" customHeight="1" x14ac:dyDescent="0.4">
      <c r="A2" s="2" t="s">
        <v>963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4" spans="1:56" ht="15" customHeight="1" x14ac:dyDescent="0.4">
      <c r="A4" s="14" t="s">
        <v>964</v>
      </c>
      <c r="B4" s="14" t="s">
        <v>128</v>
      </c>
      <c r="C4" s="14" t="s">
        <v>910</v>
      </c>
      <c r="D4" s="14" t="s">
        <v>911</v>
      </c>
      <c r="E4" s="14" t="s">
        <v>912</v>
      </c>
      <c r="F4" s="14" t="s">
        <v>913</v>
      </c>
      <c r="G4" s="14" t="s">
        <v>914</v>
      </c>
      <c r="H4" s="14" t="s">
        <v>915</v>
      </c>
      <c r="I4" s="14" t="s">
        <v>916</v>
      </c>
      <c r="J4" s="14" t="s">
        <v>917</v>
      </c>
      <c r="K4" s="14" t="s">
        <v>918</v>
      </c>
      <c r="L4" s="14" t="s">
        <v>919</v>
      </c>
      <c r="M4" s="14" t="s">
        <v>920</v>
      </c>
      <c r="N4" s="14" t="s">
        <v>921</v>
      </c>
      <c r="O4" s="14" t="s">
        <v>922</v>
      </c>
      <c r="P4" s="14" t="s">
        <v>923</v>
      </c>
      <c r="Q4" s="14" t="s">
        <v>924</v>
      </c>
      <c r="R4" s="14" t="s">
        <v>925</v>
      </c>
      <c r="S4" s="14" t="s">
        <v>926</v>
      </c>
      <c r="T4" s="14" t="s">
        <v>927</v>
      </c>
      <c r="U4" s="14" t="s">
        <v>928</v>
      </c>
      <c r="V4" s="14" t="s">
        <v>929</v>
      </c>
      <c r="W4" s="14" t="s">
        <v>930</v>
      </c>
      <c r="X4" s="14" t="s">
        <v>931</v>
      </c>
      <c r="Y4" s="14" t="s">
        <v>932</v>
      </c>
      <c r="Z4" s="14" t="s">
        <v>933</v>
      </c>
      <c r="AA4" s="14" t="s">
        <v>934</v>
      </c>
      <c r="AB4" s="14" t="s">
        <v>935</v>
      </c>
      <c r="AC4" s="14" t="s">
        <v>936</v>
      </c>
      <c r="AD4" s="14" t="s">
        <v>937</v>
      </c>
      <c r="AE4" s="14" t="s">
        <v>938</v>
      </c>
      <c r="AF4" s="14" t="s">
        <v>939</v>
      </c>
      <c r="AG4" s="14" t="s">
        <v>940</v>
      </c>
      <c r="AH4" s="14" t="s">
        <v>941</v>
      </c>
      <c r="AI4" s="14" t="s">
        <v>942</v>
      </c>
      <c r="AJ4" s="14" t="s">
        <v>943</v>
      </c>
      <c r="AK4" s="14" t="s">
        <v>944</v>
      </c>
      <c r="AL4" s="14" t="s">
        <v>945</v>
      </c>
      <c r="AM4" s="14" t="s">
        <v>946</v>
      </c>
      <c r="AN4" s="14" t="s">
        <v>947</v>
      </c>
      <c r="AO4" s="14" t="s">
        <v>948</v>
      </c>
      <c r="AP4" s="14" t="s">
        <v>949</v>
      </c>
      <c r="AQ4" s="14" t="s">
        <v>950</v>
      </c>
      <c r="AR4" s="14" t="s">
        <v>951</v>
      </c>
      <c r="AS4" s="14" t="s">
        <v>952</v>
      </c>
      <c r="AT4" s="14" t="s">
        <v>953</v>
      </c>
      <c r="AU4" s="14" t="s">
        <v>954</v>
      </c>
      <c r="AV4" s="14" t="s">
        <v>955</v>
      </c>
      <c r="AW4" s="14" t="s">
        <v>956</v>
      </c>
      <c r="AX4" s="14" t="s">
        <v>957</v>
      </c>
      <c r="AY4" s="14" t="s">
        <v>958</v>
      </c>
      <c r="AZ4" s="14" t="s">
        <v>959</v>
      </c>
      <c r="BA4" s="14" t="s">
        <v>960</v>
      </c>
      <c r="BB4" s="14" t="s">
        <v>961</v>
      </c>
    </row>
    <row r="5" spans="1:56" ht="15" customHeight="1" x14ac:dyDescent="0.4">
      <c r="A5" s="15" t="str">
        <f>Frota!$B5&amp;" — "&amp;Frota!$A5</f>
        <v>MB 1725 Atego — 101005</v>
      </c>
      <c r="B5" s="16" t="str">
        <f>Frota!$C5</f>
        <v>Caminhão</v>
      </c>
      <c r="C5" s="22" t="str">
        <f>INDEX(Cronograma!B$5:B$11,MATCH($B5,Premissas!$A$39:$A$45,0))</f>
        <v/>
      </c>
      <c r="D5" s="22" t="str">
        <f>INDEX(Cronograma!C$5:C$11,MATCH($B5,Premissas!$A$39:$A$45,0))</f>
        <v/>
      </c>
      <c r="E5" s="22" t="str">
        <f>INDEX(Cronograma!D$5:D$11,MATCH($B5,Premissas!$A$39:$A$45,0))</f>
        <v/>
      </c>
      <c r="F5" s="22" t="str">
        <f>INDEX(Cronograma!E$5:E$11,MATCH($B5,Premissas!$A$39:$A$45,0))</f>
        <v/>
      </c>
      <c r="G5" s="22" t="str">
        <f>INDEX(Cronograma!F$5:F$11,MATCH($B5,Premissas!$A$39:$A$45,0))</f>
        <v/>
      </c>
      <c r="H5" s="22" t="str">
        <f>INDEX(Cronograma!G$5:G$11,MATCH($B5,Premissas!$A$39:$A$45,0))</f>
        <v/>
      </c>
      <c r="I5" s="22" t="str">
        <f>INDEX(Cronograma!H$5:H$11,MATCH($B5,Premissas!$A$39:$A$45,0))</f>
        <v>S</v>
      </c>
      <c r="J5" s="22" t="str">
        <f>INDEX(Cronograma!I$5:I$11,MATCH($B5,Premissas!$A$39:$A$45,0))</f>
        <v/>
      </c>
      <c r="K5" s="22" t="str">
        <f>INDEX(Cronograma!J$5:J$11,MATCH($B5,Premissas!$A$39:$A$45,0))</f>
        <v/>
      </c>
      <c r="L5" s="22" t="str">
        <f>INDEX(Cronograma!K$5:K$11,MATCH($B5,Premissas!$A$39:$A$45,0))</f>
        <v/>
      </c>
      <c r="M5" s="22" t="str">
        <f>INDEX(Cronograma!L$5:L$11,MATCH($B5,Premissas!$A$39:$A$45,0))</f>
        <v/>
      </c>
      <c r="N5" s="22" t="str">
        <f>INDEX(Cronograma!M$5:M$11,MATCH($B5,Premissas!$A$39:$A$45,0))</f>
        <v/>
      </c>
      <c r="O5" s="22" t="str">
        <f>INDEX(Cronograma!N$5:N$11,MATCH($B5,Premissas!$A$39:$A$45,0))</f>
        <v/>
      </c>
      <c r="P5" s="22" t="str">
        <f>INDEX(Cronograma!O$5:O$11,MATCH($B5,Premissas!$A$39:$A$45,0))</f>
        <v>A</v>
      </c>
      <c r="Q5" s="22" t="str">
        <f>INDEX(Cronograma!P$5:P$11,MATCH($B5,Premissas!$A$39:$A$45,0))</f>
        <v/>
      </c>
      <c r="R5" s="22" t="str">
        <f>INDEX(Cronograma!Q$5:Q$11,MATCH($B5,Premissas!$A$39:$A$45,0))</f>
        <v/>
      </c>
      <c r="S5" s="22" t="str">
        <f>INDEX(Cronograma!R$5:R$11,MATCH($B5,Premissas!$A$39:$A$45,0))</f>
        <v/>
      </c>
      <c r="T5" s="22" t="str">
        <f>INDEX(Cronograma!S$5:S$11,MATCH($B5,Premissas!$A$39:$A$45,0))</f>
        <v/>
      </c>
      <c r="U5" s="22" t="str">
        <f>INDEX(Cronograma!T$5:T$11,MATCH($B5,Premissas!$A$39:$A$45,0))</f>
        <v/>
      </c>
      <c r="V5" s="22" t="str">
        <f>INDEX(Cronograma!U$5:U$11,MATCH($B5,Premissas!$A$39:$A$45,0))</f>
        <v>S</v>
      </c>
      <c r="W5" s="22" t="str">
        <f>INDEX(Cronograma!V$5:V$11,MATCH($B5,Premissas!$A$39:$A$45,0))</f>
        <v/>
      </c>
      <c r="X5" s="22" t="str">
        <f>INDEX(Cronograma!W$5:W$11,MATCH($B5,Premissas!$A$39:$A$45,0))</f>
        <v/>
      </c>
      <c r="Y5" s="22" t="str">
        <f>INDEX(Cronograma!X$5:X$11,MATCH($B5,Premissas!$A$39:$A$45,0))</f>
        <v/>
      </c>
      <c r="Z5" s="22" t="str">
        <f>INDEX(Cronograma!Y$5:Y$11,MATCH($B5,Premissas!$A$39:$A$45,0))</f>
        <v/>
      </c>
      <c r="AA5" s="22" t="str">
        <f>INDEX(Cronograma!Z$5:Z$11,MATCH($B5,Premissas!$A$39:$A$45,0))</f>
        <v/>
      </c>
      <c r="AB5" s="22" t="str">
        <f>INDEX(Cronograma!AA$5:AA$11,MATCH($B5,Premissas!$A$39:$A$45,0))</f>
        <v/>
      </c>
      <c r="AC5" s="22" t="str">
        <f>INDEX(Cronograma!AB$5:AB$11,MATCH($B5,Premissas!$A$39:$A$45,0))</f>
        <v>B</v>
      </c>
      <c r="AD5" s="22" t="str">
        <f>INDEX(Cronograma!AC$5:AC$11,MATCH($B5,Premissas!$A$39:$A$45,0))</f>
        <v/>
      </c>
      <c r="AE5" s="22" t="str">
        <f>INDEX(Cronograma!AD$5:AD$11,MATCH($B5,Premissas!$A$39:$A$45,0))</f>
        <v/>
      </c>
      <c r="AF5" s="22" t="str">
        <f>INDEX(Cronograma!AE$5:AE$11,MATCH($B5,Premissas!$A$39:$A$45,0))</f>
        <v/>
      </c>
      <c r="AG5" s="22" t="str">
        <f>INDEX(Cronograma!AF$5:AF$11,MATCH($B5,Premissas!$A$39:$A$45,0))</f>
        <v/>
      </c>
      <c r="AH5" s="22" t="str">
        <f>INDEX(Cronograma!AG$5:AG$11,MATCH($B5,Premissas!$A$39:$A$45,0))</f>
        <v/>
      </c>
      <c r="AI5" s="22" t="str">
        <f>INDEX(Cronograma!AH$5:AH$11,MATCH($B5,Premissas!$A$39:$A$45,0))</f>
        <v/>
      </c>
      <c r="AJ5" s="22" t="str">
        <f>INDEX(Cronograma!AI$5:AI$11,MATCH($B5,Premissas!$A$39:$A$45,0))</f>
        <v/>
      </c>
      <c r="AK5" s="22" t="str">
        <f>INDEX(Cronograma!AJ$5:AJ$11,MATCH($B5,Premissas!$A$39:$A$45,0))</f>
        <v/>
      </c>
      <c r="AL5" s="22" t="str">
        <f>INDEX(Cronograma!AK$5:AK$11,MATCH($B5,Premissas!$A$39:$A$45,0))</f>
        <v/>
      </c>
      <c r="AM5" s="22" t="str">
        <f>INDEX(Cronograma!AL$5:AL$11,MATCH($B5,Premissas!$A$39:$A$45,0))</f>
        <v/>
      </c>
      <c r="AN5" s="22" t="str">
        <f>INDEX(Cronograma!AM$5:AM$11,MATCH($B5,Premissas!$A$39:$A$45,0))</f>
        <v/>
      </c>
      <c r="AO5" s="22" t="str">
        <f>INDEX(Cronograma!AN$5:AN$11,MATCH($B5,Premissas!$A$39:$A$45,0))</f>
        <v/>
      </c>
      <c r="AP5" s="22" t="str">
        <f>INDEX(Cronograma!AO$5:AO$11,MATCH($B5,Premissas!$A$39:$A$45,0))</f>
        <v>S</v>
      </c>
      <c r="AQ5" s="22" t="str">
        <f>INDEX(Cronograma!AP$5:AP$11,MATCH($B5,Premissas!$A$39:$A$45,0))</f>
        <v/>
      </c>
      <c r="AR5" s="22" t="str">
        <f>INDEX(Cronograma!AQ$5:AQ$11,MATCH($B5,Premissas!$A$39:$A$45,0))</f>
        <v/>
      </c>
      <c r="AS5" s="22" t="str">
        <f>INDEX(Cronograma!AR$5:AR$11,MATCH($B5,Premissas!$A$39:$A$45,0))</f>
        <v/>
      </c>
      <c r="AT5" s="22" t="str">
        <f>INDEX(Cronograma!AS$5:AS$11,MATCH($B5,Premissas!$A$39:$A$45,0))</f>
        <v/>
      </c>
      <c r="AU5" s="22" t="str">
        <f>INDEX(Cronograma!AT$5:AT$11,MATCH($B5,Premissas!$A$39:$A$45,0))</f>
        <v/>
      </c>
      <c r="AV5" s="22" t="str">
        <f>INDEX(Cronograma!AU$5:AU$11,MATCH($B5,Premissas!$A$39:$A$45,0))</f>
        <v/>
      </c>
      <c r="AW5" s="22" t="str">
        <f>INDEX(Cronograma!AV$5:AV$11,MATCH($B5,Premissas!$A$39:$A$45,0))</f>
        <v/>
      </c>
      <c r="AX5" s="22" t="str">
        <f>INDEX(Cronograma!AW$5:AW$11,MATCH($B5,Premissas!$A$39:$A$45,0))</f>
        <v/>
      </c>
      <c r="AY5" s="22" t="str">
        <f>INDEX(Cronograma!AX$5:AX$11,MATCH($B5,Premissas!$A$39:$A$45,0))</f>
        <v/>
      </c>
      <c r="AZ5" s="22" t="str">
        <f>INDEX(Cronograma!AY$5:AY$11,MATCH($B5,Premissas!$A$39:$A$45,0))</f>
        <v/>
      </c>
      <c r="BA5" s="22" t="str">
        <f>INDEX(Cronograma!AZ$5:AZ$11,MATCH($B5,Premissas!$A$39:$A$45,0))</f>
        <v/>
      </c>
      <c r="BB5" s="22" t="str">
        <f>INDEX(Cronograma!BA$5:BA$11,MATCH($B5,Premissas!$A$39:$A$45,0))</f>
        <v/>
      </c>
    </row>
    <row r="6" spans="1:56" ht="15" customHeight="1" x14ac:dyDescent="0.4">
      <c r="A6" s="15" t="str">
        <f>Frota!$B6&amp;" — "&amp;Frota!$A6</f>
        <v>MB 710 4X2 — 101006</v>
      </c>
      <c r="B6" s="16" t="str">
        <f>Frota!$C6</f>
        <v>Caminhão</v>
      </c>
      <c r="C6" s="22" t="str">
        <f>INDEX(Cronograma!B$5:B$11,MATCH($B6,Premissas!$A$39:$A$45,0))</f>
        <v/>
      </c>
      <c r="D6" s="22" t="str">
        <f>INDEX(Cronograma!C$5:C$11,MATCH($B6,Premissas!$A$39:$A$45,0))</f>
        <v/>
      </c>
      <c r="E6" s="22" t="str">
        <f>INDEX(Cronograma!D$5:D$11,MATCH($B6,Premissas!$A$39:$A$45,0))</f>
        <v/>
      </c>
      <c r="F6" s="22" t="str">
        <f>INDEX(Cronograma!E$5:E$11,MATCH($B6,Premissas!$A$39:$A$45,0))</f>
        <v/>
      </c>
      <c r="G6" s="22" t="str">
        <f>INDEX(Cronograma!F$5:F$11,MATCH($B6,Premissas!$A$39:$A$45,0))</f>
        <v/>
      </c>
      <c r="H6" s="22" t="str">
        <f>INDEX(Cronograma!G$5:G$11,MATCH($B6,Premissas!$A$39:$A$45,0))</f>
        <v/>
      </c>
      <c r="I6" s="22" t="str">
        <f>INDEX(Cronograma!H$5:H$11,MATCH($B6,Premissas!$A$39:$A$45,0))</f>
        <v>S</v>
      </c>
      <c r="J6" s="22" t="str">
        <f>INDEX(Cronograma!I$5:I$11,MATCH($B6,Premissas!$A$39:$A$45,0))</f>
        <v/>
      </c>
      <c r="K6" s="22" t="str">
        <f>INDEX(Cronograma!J$5:J$11,MATCH($B6,Premissas!$A$39:$A$45,0))</f>
        <v/>
      </c>
      <c r="L6" s="22" t="str">
        <f>INDEX(Cronograma!K$5:K$11,MATCH($B6,Premissas!$A$39:$A$45,0))</f>
        <v/>
      </c>
      <c r="M6" s="22" t="str">
        <f>INDEX(Cronograma!L$5:L$11,MATCH($B6,Premissas!$A$39:$A$45,0))</f>
        <v/>
      </c>
      <c r="N6" s="22" t="str">
        <f>INDEX(Cronograma!M$5:M$11,MATCH($B6,Premissas!$A$39:$A$45,0))</f>
        <v/>
      </c>
      <c r="O6" s="22" t="str">
        <f>INDEX(Cronograma!N$5:N$11,MATCH($B6,Premissas!$A$39:$A$45,0))</f>
        <v/>
      </c>
      <c r="P6" s="22" t="str">
        <f>INDEX(Cronograma!O$5:O$11,MATCH($B6,Premissas!$A$39:$A$45,0))</f>
        <v>A</v>
      </c>
      <c r="Q6" s="22" t="str">
        <f>INDEX(Cronograma!P$5:P$11,MATCH($B6,Premissas!$A$39:$A$45,0))</f>
        <v/>
      </c>
      <c r="R6" s="22" t="str">
        <f>INDEX(Cronograma!Q$5:Q$11,MATCH($B6,Premissas!$A$39:$A$45,0))</f>
        <v/>
      </c>
      <c r="S6" s="22" t="str">
        <f>INDEX(Cronograma!R$5:R$11,MATCH($B6,Premissas!$A$39:$A$45,0))</f>
        <v/>
      </c>
      <c r="T6" s="22" t="str">
        <f>INDEX(Cronograma!S$5:S$11,MATCH($B6,Premissas!$A$39:$A$45,0))</f>
        <v/>
      </c>
      <c r="U6" s="22" t="str">
        <f>INDEX(Cronograma!T$5:T$11,MATCH($B6,Premissas!$A$39:$A$45,0))</f>
        <v/>
      </c>
      <c r="V6" s="22" t="str">
        <f>INDEX(Cronograma!U$5:U$11,MATCH($B6,Premissas!$A$39:$A$45,0))</f>
        <v>S</v>
      </c>
      <c r="W6" s="22" t="str">
        <f>INDEX(Cronograma!V$5:V$11,MATCH($B6,Premissas!$A$39:$A$45,0))</f>
        <v/>
      </c>
      <c r="X6" s="22" t="str">
        <f>INDEX(Cronograma!W$5:W$11,MATCH($B6,Premissas!$A$39:$A$45,0))</f>
        <v/>
      </c>
      <c r="Y6" s="22" t="str">
        <f>INDEX(Cronograma!X$5:X$11,MATCH($B6,Premissas!$A$39:$A$45,0))</f>
        <v/>
      </c>
      <c r="Z6" s="22" t="str">
        <f>INDEX(Cronograma!Y$5:Y$11,MATCH($B6,Premissas!$A$39:$A$45,0))</f>
        <v/>
      </c>
      <c r="AA6" s="22" t="str">
        <f>INDEX(Cronograma!Z$5:Z$11,MATCH($B6,Premissas!$A$39:$A$45,0))</f>
        <v/>
      </c>
      <c r="AB6" s="22" t="str">
        <f>INDEX(Cronograma!AA$5:AA$11,MATCH($B6,Premissas!$A$39:$A$45,0))</f>
        <v/>
      </c>
      <c r="AC6" s="22" t="str">
        <f>INDEX(Cronograma!AB$5:AB$11,MATCH($B6,Premissas!$A$39:$A$45,0))</f>
        <v>B</v>
      </c>
      <c r="AD6" s="22" t="str">
        <f>INDEX(Cronograma!AC$5:AC$11,MATCH($B6,Premissas!$A$39:$A$45,0))</f>
        <v/>
      </c>
      <c r="AE6" s="22" t="str">
        <f>INDEX(Cronograma!AD$5:AD$11,MATCH($B6,Premissas!$A$39:$A$45,0))</f>
        <v/>
      </c>
      <c r="AF6" s="22" t="str">
        <f>INDEX(Cronograma!AE$5:AE$11,MATCH($B6,Premissas!$A$39:$A$45,0))</f>
        <v/>
      </c>
      <c r="AG6" s="22" t="str">
        <f>INDEX(Cronograma!AF$5:AF$11,MATCH($B6,Premissas!$A$39:$A$45,0))</f>
        <v/>
      </c>
      <c r="AH6" s="22" t="str">
        <f>INDEX(Cronograma!AG$5:AG$11,MATCH($B6,Premissas!$A$39:$A$45,0))</f>
        <v/>
      </c>
      <c r="AI6" s="22" t="str">
        <f>INDEX(Cronograma!AH$5:AH$11,MATCH($B6,Premissas!$A$39:$A$45,0))</f>
        <v/>
      </c>
      <c r="AJ6" s="22" t="str">
        <f>INDEX(Cronograma!AI$5:AI$11,MATCH($B6,Premissas!$A$39:$A$45,0))</f>
        <v/>
      </c>
      <c r="AK6" s="22" t="str">
        <f>INDEX(Cronograma!AJ$5:AJ$11,MATCH($B6,Premissas!$A$39:$A$45,0))</f>
        <v/>
      </c>
      <c r="AL6" s="22" t="str">
        <f>INDEX(Cronograma!AK$5:AK$11,MATCH($B6,Premissas!$A$39:$A$45,0))</f>
        <v/>
      </c>
      <c r="AM6" s="22" t="str">
        <f>INDEX(Cronograma!AL$5:AL$11,MATCH($B6,Premissas!$A$39:$A$45,0))</f>
        <v/>
      </c>
      <c r="AN6" s="22" t="str">
        <f>INDEX(Cronograma!AM$5:AM$11,MATCH($B6,Premissas!$A$39:$A$45,0))</f>
        <v/>
      </c>
      <c r="AO6" s="22" t="str">
        <f>INDEX(Cronograma!AN$5:AN$11,MATCH($B6,Premissas!$A$39:$A$45,0))</f>
        <v/>
      </c>
      <c r="AP6" s="22" t="str">
        <f>INDEX(Cronograma!AO$5:AO$11,MATCH($B6,Premissas!$A$39:$A$45,0))</f>
        <v>S</v>
      </c>
      <c r="AQ6" s="22" t="str">
        <f>INDEX(Cronograma!AP$5:AP$11,MATCH($B6,Premissas!$A$39:$A$45,0))</f>
        <v/>
      </c>
      <c r="AR6" s="22" t="str">
        <f>INDEX(Cronograma!AQ$5:AQ$11,MATCH($B6,Premissas!$A$39:$A$45,0))</f>
        <v/>
      </c>
      <c r="AS6" s="22" t="str">
        <f>INDEX(Cronograma!AR$5:AR$11,MATCH($B6,Premissas!$A$39:$A$45,0))</f>
        <v/>
      </c>
      <c r="AT6" s="22" t="str">
        <f>INDEX(Cronograma!AS$5:AS$11,MATCH($B6,Premissas!$A$39:$A$45,0))</f>
        <v/>
      </c>
      <c r="AU6" s="22" t="str">
        <f>INDEX(Cronograma!AT$5:AT$11,MATCH($B6,Premissas!$A$39:$A$45,0))</f>
        <v/>
      </c>
      <c r="AV6" s="22" t="str">
        <f>INDEX(Cronograma!AU$5:AU$11,MATCH($B6,Premissas!$A$39:$A$45,0))</f>
        <v/>
      </c>
      <c r="AW6" s="22" t="str">
        <f>INDEX(Cronograma!AV$5:AV$11,MATCH($B6,Premissas!$A$39:$A$45,0))</f>
        <v/>
      </c>
      <c r="AX6" s="22" t="str">
        <f>INDEX(Cronograma!AW$5:AW$11,MATCH($B6,Premissas!$A$39:$A$45,0))</f>
        <v/>
      </c>
      <c r="AY6" s="22" t="str">
        <f>INDEX(Cronograma!AX$5:AX$11,MATCH($B6,Premissas!$A$39:$A$45,0))</f>
        <v/>
      </c>
      <c r="AZ6" s="22" t="str">
        <f>INDEX(Cronograma!AY$5:AY$11,MATCH($B6,Premissas!$A$39:$A$45,0))</f>
        <v/>
      </c>
      <c r="BA6" s="22" t="str">
        <f>INDEX(Cronograma!AZ$5:AZ$11,MATCH($B6,Premissas!$A$39:$A$45,0))</f>
        <v/>
      </c>
      <c r="BB6" s="22" t="str">
        <f>INDEX(Cronograma!BA$5:BA$11,MATCH($B6,Premissas!$A$39:$A$45,0))</f>
        <v/>
      </c>
    </row>
    <row r="7" spans="1:56" ht="15" customHeight="1" x14ac:dyDescent="0.4">
      <c r="A7" s="15" t="str">
        <f>Frota!$B7&amp;" — "&amp;Frota!$A7</f>
        <v>MB 1720 6x6 — 101011</v>
      </c>
      <c r="B7" s="16" t="str">
        <f>Frota!$C7</f>
        <v>Caminhão</v>
      </c>
      <c r="C7" s="22" t="str">
        <f>INDEX(Cronograma!B$5:B$11,MATCH($B7,Premissas!$A$39:$A$45,0))</f>
        <v/>
      </c>
      <c r="D7" s="22" t="str">
        <f>INDEX(Cronograma!C$5:C$11,MATCH($B7,Premissas!$A$39:$A$45,0))</f>
        <v/>
      </c>
      <c r="E7" s="22" t="str">
        <f>INDEX(Cronograma!D$5:D$11,MATCH($B7,Premissas!$A$39:$A$45,0))</f>
        <v/>
      </c>
      <c r="F7" s="22" t="str">
        <f>INDEX(Cronograma!E$5:E$11,MATCH($B7,Premissas!$A$39:$A$45,0))</f>
        <v/>
      </c>
      <c r="G7" s="22" t="str">
        <f>INDEX(Cronograma!F$5:F$11,MATCH($B7,Premissas!$A$39:$A$45,0))</f>
        <v/>
      </c>
      <c r="H7" s="22" t="str">
        <f>INDEX(Cronograma!G$5:G$11,MATCH($B7,Premissas!$A$39:$A$45,0))</f>
        <v/>
      </c>
      <c r="I7" s="22" t="str">
        <f>INDEX(Cronograma!H$5:H$11,MATCH($B7,Premissas!$A$39:$A$45,0))</f>
        <v>S</v>
      </c>
      <c r="J7" s="22" t="str">
        <f>INDEX(Cronograma!I$5:I$11,MATCH($B7,Premissas!$A$39:$A$45,0))</f>
        <v/>
      </c>
      <c r="K7" s="22" t="str">
        <f>INDEX(Cronograma!J$5:J$11,MATCH($B7,Premissas!$A$39:$A$45,0))</f>
        <v/>
      </c>
      <c r="L7" s="22" t="str">
        <f>INDEX(Cronograma!K$5:K$11,MATCH($B7,Premissas!$A$39:$A$45,0))</f>
        <v/>
      </c>
      <c r="M7" s="22" t="str">
        <f>INDEX(Cronograma!L$5:L$11,MATCH($B7,Premissas!$A$39:$A$45,0))</f>
        <v/>
      </c>
      <c r="N7" s="22" t="str">
        <f>INDEX(Cronograma!M$5:M$11,MATCH($B7,Premissas!$A$39:$A$45,0))</f>
        <v/>
      </c>
      <c r="O7" s="22" t="str">
        <f>INDEX(Cronograma!N$5:N$11,MATCH($B7,Premissas!$A$39:$A$45,0))</f>
        <v/>
      </c>
      <c r="P7" s="22" t="str">
        <f>INDEX(Cronograma!O$5:O$11,MATCH($B7,Premissas!$A$39:$A$45,0))</f>
        <v>A</v>
      </c>
      <c r="Q7" s="22" t="str">
        <f>INDEX(Cronograma!P$5:P$11,MATCH($B7,Premissas!$A$39:$A$45,0))</f>
        <v/>
      </c>
      <c r="R7" s="22" t="str">
        <f>INDEX(Cronograma!Q$5:Q$11,MATCH($B7,Premissas!$A$39:$A$45,0))</f>
        <v/>
      </c>
      <c r="S7" s="22" t="str">
        <f>INDEX(Cronograma!R$5:R$11,MATCH($B7,Premissas!$A$39:$A$45,0))</f>
        <v/>
      </c>
      <c r="T7" s="22" t="str">
        <f>INDEX(Cronograma!S$5:S$11,MATCH($B7,Premissas!$A$39:$A$45,0))</f>
        <v/>
      </c>
      <c r="U7" s="22" t="str">
        <f>INDEX(Cronograma!T$5:T$11,MATCH($B7,Premissas!$A$39:$A$45,0))</f>
        <v/>
      </c>
      <c r="V7" s="22" t="str">
        <f>INDEX(Cronograma!U$5:U$11,MATCH($B7,Premissas!$A$39:$A$45,0))</f>
        <v>S</v>
      </c>
      <c r="W7" s="22" t="str">
        <f>INDEX(Cronograma!V$5:V$11,MATCH($B7,Premissas!$A$39:$A$45,0))</f>
        <v/>
      </c>
      <c r="X7" s="22" t="str">
        <f>INDEX(Cronograma!W$5:W$11,MATCH($B7,Premissas!$A$39:$A$45,0))</f>
        <v/>
      </c>
      <c r="Y7" s="22" t="str">
        <f>INDEX(Cronograma!X$5:X$11,MATCH($B7,Premissas!$A$39:$A$45,0))</f>
        <v/>
      </c>
      <c r="Z7" s="22" t="str">
        <f>INDEX(Cronograma!Y$5:Y$11,MATCH($B7,Premissas!$A$39:$A$45,0))</f>
        <v/>
      </c>
      <c r="AA7" s="22" t="str">
        <f>INDEX(Cronograma!Z$5:Z$11,MATCH($B7,Premissas!$A$39:$A$45,0))</f>
        <v/>
      </c>
      <c r="AB7" s="22" t="str">
        <f>INDEX(Cronograma!AA$5:AA$11,MATCH($B7,Premissas!$A$39:$A$45,0))</f>
        <v/>
      </c>
      <c r="AC7" s="22" t="str">
        <f>INDEX(Cronograma!AB$5:AB$11,MATCH($B7,Premissas!$A$39:$A$45,0))</f>
        <v>B</v>
      </c>
      <c r="AD7" s="22" t="str">
        <f>INDEX(Cronograma!AC$5:AC$11,MATCH($B7,Premissas!$A$39:$A$45,0))</f>
        <v/>
      </c>
      <c r="AE7" s="22" t="str">
        <f>INDEX(Cronograma!AD$5:AD$11,MATCH($B7,Premissas!$A$39:$A$45,0))</f>
        <v/>
      </c>
      <c r="AF7" s="22" t="str">
        <f>INDEX(Cronograma!AE$5:AE$11,MATCH($B7,Premissas!$A$39:$A$45,0))</f>
        <v/>
      </c>
      <c r="AG7" s="22" t="str">
        <f>INDEX(Cronograma!AF$5:AF$11,MATCH($B7,Premissas!$A$39:$A$45,0))</f>
        <v/>
      </c>
      <c r="AH7" s="22" t="str">
        <f>INDEX(Cronograma!AG$5:AG$11,MATCH($B7,Premissas!$A$39:$A$45,0))</f>
        <v/>
      </c>
      <c r="AI7" s="22" t="str">
        <f>INDEX(Cronograma!AH$5:AH$11,MATCH($B7,Premissas!$A$39:$A$45,0))</f>
        <v/>
      </c>
      <c r="AJ7" s="22" t="str">
        <f>INDEX(Cronograma!AI$5:AI$11,MATCH($B7,Premissas!$A$39:$A$45,0))</f>
        <v/>
      </c>
      <c r="AK7" s="22" t="str">
        <f>INDEX(Cronograma!AJ$5:AJ$11,MATCH($B7,Premissas!$A$39:$A$45,0))</f>
        <v/>
      </c>
      <c r="AL7" s="22" t="str">
        <f>INDEX(Cronograma!AK$5:AK$11,MATCH($B7,Premissas!$A$39:$A$45,0))</f>
        <v/>
      </c>
      <c r="AM7" s="22" t="str">
        <f>INDEX(Cronograma!AL$5:AL$11,MATCH($B7,Premissas!$A$39:$A$45,0))</f>
        <v/>
      </c>
      <c r="AN7" s="22" t="str">
        <f>INDEX(Cronograma!AM$5:AM$11,MATCH($B7,Premissas!$A$39:$A$45,0))</f>
        <v/>
      </c>
      <c r="AO7" s="22" t="str">
        <f>INDEX(Cronograma!AN$5:AN$11,MATCH($B7,Premissas!$A$39:$A$45,0))</f>
        <v/>
      </c>
      <c r="AP7" s="22" t="str">
        <f>INDEX(Cronograma!AO$5:AO$11,MATCH($B7,Premissas!$A$39:$A$45,0))</f>
        <v>S</v>
      </c>
      <c r="AQ7" s="22" t="str">
        <f>INDEX(Cronograma!AP$5:AP$11,MATCH($B7,Premissas!$A$39:$A$45,0))</f>
        <v/>
      </c>
      <c r="AR7" s="22" t="str">
        <f>INDEX(Cronograma!AQ$5:AQ$11,MATCH($B7,Premissas!$A$39:$A$45,0))</f>
        <v/>
      </c>
      <c r="AS7" s="22" t="str">
        <f>INDEX(Cronograma!AR$5:AR$11,MATCH($B7,Premissas!$A$39:$A$45,0))</f>
        <v/>
      </c>
      <c r="AT7" s="22" t="str">
        <f>INDEX(Cronograma!AS$5:AS$11,MATCH($B7,Premissas!$A$39:$A$45,0))</f>
        <v/>
      </c>
      <c r="AU7" s="22" t="str">
        <f>INDEX(Cronograma!AT$5:AT$11,MATCH($B7,Premissas!$A$39:$A$45,0))</f>
        <v/>
      </c>
      <c r="AV7" s="22" t="str">
        <f>INDEX(Cronograma!AU$5:AU$11,MATCH($B7,Premissas!$A$39:$A$45,0))</f>
        <v/>
      </c>
      <c r="AW7" s="22" t="str">
        <f>INDEX(Cronograma!AV$5:AV$11,MATCH($B7,Premissas!$A$39:$A$45,0))</f>
        <v/>
      </c>
      <c r="AX7" s="22" t="str">
        <f>INDEX(Cronograma!AW$5:AW$11,MATCH($B7,Premissas!$A$39:$A$45,0))</f>
        <v/>
      </c>
      <c r="AY7" s="22" t="str">
        <f>INDEX(Cronograma!AX$5:AX$11,MATCH($B7,Premissas!$A$39:$A$45,0))</f>
        <v/>
      </c>
      <c r="AZ7" s="22" t="str">
        <f>INDEX(Cronograma!AY$5:AY$11,MATCH($B7,Premissas!$A$39:$A$45,0))</f>
        <v/>
      </c>
      <c r="BA7" s="22" t="str">
        <f>INDEX(Cronograma!AZ$5:AZ$11,MATCH($B7,Premissas!$A$39:$A$45,0))</f>
        <v/>
      </c>
      <c r="BB7" s="22" t="str">
        <f>INDEX(Cronograma!BA$5:BA$11,MATCH($B7,Premissas!$A$39:$A$45,0))</f>
        <v/>
      </c>
    </row>
    <row r="8" spans="1:56" ht="15" customHeight="1" x14ac:dyDescent="0.4">
      <c r="A8" s="15" t="str">
        <f>Frota!$B8&amp;" — "&amp;Frota!$A8</f>
        <v>MB 1113 4x2 — 101014</v>
      </c>
      <c r="B8" s="16" t="str">
        <f>Frota!$C8</f>
        <v>Caminhão</v>
      </c>
      <c r="C8" s="22" t="str">
        <f>INDEX(Cronograma!B$5:B$11,MATCH($B8,Premissas!$A$39:$A$45,0))</f>
        <v/>
      </c>
      <c r="D8" s="22" t="str">
        <f>INDEX(Cronograma!C$5:C$11,MATCH($B8,Premissas!$A$39:$A$45,0))</f>
        <v/>
      </c>
      <c r="E8" s="22" t="str">
        <f>INDEX(Cronograma!D$5:D$11,MATCH($B8,Premissas!$A$39:$A$45,0))</f>
        <v/>
      </c>
      <c r="F8" s="22" t="str">
        <f>INDEX(Cronograma!E$5:E$11,MATCH($B8,Premissas!$A$39:$A$45,0))</f>
        <v/>
      </c>
      <c r="G8" s="22" t="str">
        <f>INDEX(Cronograma!F$5:F$11,MATCH($B8,Premissas!$A$39:$A$45,0))</f>
        <v/>
      </c>
      <c r="H8" s="22" t="str">
        <f>INDEX(Cronograma!G$5:G$11,MATCH($B8,Premissas!$A$39:$A$45,0))</f>
        <v/>
      </c>
      <c r="I8" s="22" t="str">
        <f>INDEX(Cronograma!H$5:H$11,MATCH($B8,Premissas!$A$39:$A$45,0))</f>
        <v>S</v>
      </c>
      <c r="J8" s="22" t="str">
        <f>INDEX(Cronograma!I$5:I$11,MATCH($B8,Premissas!$A$39:$A$45,0))</f>
        <v/>
      </c>
      <c r="K8" s="22" t="str">
        <f>INDEX(Cronograma!J$5:J$11,MATCH($B8,Premissas!$A$39:$A$45,0))</f>
        <v/>
      </c>
      <c r="L8" s="22" t="str">
        <f>INDEX(Cronograma!K$5:K$11,MATCH($B8,Premissas!$A$39:$A$45,0))</f>
        <v/>
      </c>
      <c r="M8" s="22" t="str">
        <f>INDEX(Cronograma!L$5:L$11,MATCH($B8,Premissas!$A$39:$A$45,0))</f>
        <v/>
      </c>
      <c r="N8" s="22" t="str">
        <f>INDEX(Cronograma!M$5:M$11,MATCH($B8,Premissas!$A$39:$A$45,0))</f>
        <v/>
      </c>
      <c r="O8" s="22" t="str">
        <f>INDEX(Cronograma!N$5:N$11,MATCH($B8,Premissas!$A$39:$A$45,0))</f>
        <v/>
      </c>
      <c r="P8" s="22" t="str">
        <f>INDEX(Cronograma!O$5:O$11,MATCH($B8,Premissas!$A$39:$A$45,0))</f>
        <v>A</v>
      </c>
      <c r="Q8" s="22" t="str">
        <f>INDEX(Cronograma!P$5:P$11,MATCH($B8,Premissas!$A$39:$A$45,0))</f>
        <v/>
      </c>
      <c r="R8" s="22" t="str">
        <f>INDEX(Cronograma!Q$5:Q$11,MATCH($B8,Premissas!$A$39:$A$45,0))</f>
        <v/>
      </c>
      <c r="S8" s="22" t="str">
        <f>INDEX(Cronograma!R$5:R$11,MATCH($B8,Premissas!$A$39:$A$45,0))</f>
        <v/>
      </c>
      <c r="T8" s="22" t="str">
        <f>INDEX(Cronograma!S$5:S$11,MATCH($B8,Premissas!$A$39:$A$45,0))</f>
        <v/>
      </c>
      <c r="U8" s="22" t="str">
        <f>INDEX(Cronograma!T$5:T$11,MATCH($B8,Premissas!$A$39:$A$45,0))</f>
        <v/>
      </c>
      <c r="V8" s="22" t="str">
        <f>INDEX(Cronograma!U$5:U$11,MATCH($B8,Premissas!$A$39:$A$45,0))</f>
        <v>S</v>
      </c>
      <c r="W8" s="22" t="str">
        <f>INDEX(Cronograma!V$5:V$11,MATCH($B8,Premissas!$A$39:$A$45,0))</f>
        <v/>
      </c>
      <c r="X8" s="22" t="str">
        <f>INDEX(Cronograma!W$5:W$11,MATCH($B8,Premissas!$A$39:$A$45,0))</f>
        <v/>
      </c>
      <c r="Y8" s="22" t="str">
        <f>INDEX(Cronograma!X$5:X$11,MATCH($B8,Premissas!$A$39:$A$45,0))</f>
        <v/>
      </c>
      <c r="Z8" s="22" t="str">
        <f>INDEX(Cronograma!Y$5:Y$11,MATCH($B8,Premissas!$A$39:$A$45,0))</f>
        <v/>
      </c>
      <c r="AA8" s="22" t="str">
        <f>INDEX(Cronograma!Z$5:Z$11,MATCH($B8,Premissas!$A$39:$A$45,0))</f>
        <v/>
      </c>
      <c r="AB8" s="22" t="str">
        <f>INDEX(Cronograma!AA$5:AA$11,MATCH($B8,Premissas!$A$39:$A$45,0))</f>
        <v/>
      </c>
      <c r="AC8" s="22" t="str">
        <f>INDEX(Cronograma!AB$5:AB$11,MATCH($B8,Premissas!$A$39:$A$45,0))</f>
        <v>B</v>
      </c>
      <c r="AD8" s="22" t="str">
        <f>INDEX(Cronograma!AC$5:AC$11,MATCH($B8,Premissas!$A$39:$A$45,0))</f>
        <v/>
      </c>
      <c r="AE8" s="22" t="str">
        <f>INDEX(Cronograma!AD$5:AD$11,MATCH($B8,Premissas!$A$39:$A$45,0))</f>
        <v/>
      </c>
      <c r="AF8" s="22" t="str">
        <f>INDEX(Cronograma!AE$5:AE$11,MATCH($B8,Premissas!$A$39:$A$45,0))</f>
        <v/>
      </c>
      <c r="AG8" s="22" t="str">
        <f>INDEX(Cronograma!AF$5:AF$11,MATCH($B8,Premissas!$A$39:$A$45,0))</f>
        <v/>
      </c>
      <c r="AH8" s="22" t="str">
        <f>INDEX(Cronograma!AG$5:AG$11,MATCH($B8,Premissas!$A$39:$A$45,0))</f>
        <v/>
      </c>
      <c r="AI8" s="22" t="str">
        <f>INDEX(Cronograma!AH$5:AH$11,MATCH($B8,Premissas!$A$39:$A$45,0))</f>
        <v/>
      </c>
      <c r="AJ8" s="22" t="str">
        <f>INDEX(Cronograma!AI$5:AI$11,MATCH($B8,Premissas!$A$39:$A$45,0))</f>
        <v/>
      </c>
      <c r="AK8" s="22" t="str">
        <f>INDEX(Cronograma!AJ$5:AJ$11,MATCH($B8,Premissas!$A$39:$A$45,0))</f>
        <v/>
      </c>
      <c r="AL8" s="22" t="str">
        <f>INDEX(Cronograma!AK$5:AK$11,MATCH($B8,Premissas!$A$39:$A$45,0))</f>
        <v/>
      </c>
      <c r="AM8" s="22" t="str">
        <f>INDEX(Cronograma!AL$5:AL$11,MATCH($B8,Premissas!$A$39:$A$45,0))</f>
        <v/>
      </c>
      <c r="AN8" s="22" t="str">
        <f>INDEX(Cronograma!AM$5:AM$11,MATCH($B8,Premissas!$A$39:$A$45,0))</f>
        <v/>
      </c>
      <c r="AO8" s="22" t="str">
        <f>INDEX(Cronograma!AN$5:AN$11,MATCH($B8,Premissas!$A$39:$A$45,0))</f>
        <v/>
      </c>
      <c r="AP8" s="22" t="str">
        <f>INDEX(Cronograma!AO$5:AO$11,MATCH($B8,Premissas!$A$39:$A$45,0))</f>
        <v>S</v>
      </c>
      <c r="AQ8" s="22" t="str">
        <f>INDEX(Cronograma!AP$5:AP$11,MATCH($B8,Premissas!$A$39:$A$45,0))</f>
        <v/>
      </c>
      <c r="AR8" s="22" t="str">
        <f>INDEX(Cronograma!AQ$5:AQ$11,MATCH($B8,Premissas!$A$39:$A$45,0))</f>
        <v/>
      </c>
      <c r="AS8" s="22" t="str">
        <f>INDEX(Cronograma!AR$5:AR$11,MATCH($B8,Premissas!$A$39:$A$45,0))</f>
        <v/>
      </c>
      <c r="AT8" s="22" t="str">
        <f>INDEX(Cronograma!AS$5:AS$11,MATCH($B8,Premissas!$A$39:$A$45,0))</f>
        <v/>
      </c>
      <c r="AU8" s="22" t="str">
        <f>INDEX(Cronograma!AT$5:AT$11,MATCH($B8,Premissas!$A$39:$A$45,0))</f>
        <v/>
      </c>
      <c r="AV8" s="22" t="str">
        <f>INDEX(Cronograma!AU$5:AU$11,MATCH($B8,Premissas!$A$39:$A$45,0))</f>
        <v/>
      </c>
      <c r="AW8" s="22" t="str">
        <f>INDEX(Cronograma!AV$5:AV$11,MATCH($B8,Premissas!$A$39:$A$45,0))</f>
        <v/>
      </c>
      <c r="AX8" s="22" t="str">
        <f>INDEX(Cronograma!AW$5:AW$11,MATCH($B8,Premissas!$A$39:$A$45,0))</f>
        <v/>
      </c>
      <c r="AY8" s="22" t="str">
        <f>INDEX(Cronograma!AX$5:AX$11,MATCH($B8,Premissas!$A$39:$A$45,0))</f>
        <v/>
      </c>
      <c r="AZ8" s="22" t="str">
        <f>INDEX(Cronograma!AY$5:AY$11,MATCH($B8,Premissas!$A$39:$A$45,0))</f>
        <v/>
      </c>
      <c r="BA8" s="22" t="str">
        <f>INDEX(Cronograma!AZ$5:AZ$11,MATCH($B8,Premissas!$A$39:$A$45,0))</f>
        <v/>
      </c>
      <c r="BB8" s="22" t="str">
        <f>INDEX(Cronograma!BA$5:BA$11,MATCH($B8,Premissas!$A$39:$A$45,0))</f>
        <v/>
      </c>
    </row>
    <row r="9" spans="1:56" ht="15" customHeight="1" x14ac:dyDescent="0.4">
      <c r="A9" s="15" t="str">
        <f>Frota!$B9&amp;" — "&amp;Frota!$A9</f>
        <v>MB 2423 6x4 — 101016</v>
      </c>
      <c r="B9" s="16" t="str">
        <f>Frota!$C9</f>
        <v>Caminhão</v>
      </c>
      <c r="C9" s="22" t="str">
        <f>INDEX(Cronograma!B$5:B$11,MATCH($B9,Premissas!$A$39:$A$45,0))</f>
        <v/>
      </c>
      <c r="D9" s="22" t="str">
        <f>INDEX(Cronograma!C$5:C$11,MATCH($B9,Premissas!$A$39:$A$45,0))</f>
        <v/>
      </c>
      <c r="E9" s="22" t="str">
        <f>INDEX(Cronograma!D$5:D$11,MATCH($B9,Premissas!$A$39:$A$45,0))</f>
        <v/>
      </c>
      <c r="F9" s="22" t="str">
        <f>INDEX(Cronograma!E$5:E$11,MATCH($B9,Premissas!$A$39:$A$45,0))</f>
        <v/>
      </c>
      <c r="G9" s="22" t="str">
        <f>INDEX(Cronograma!F$5:F$11,MATCH($B9,Premissas!$A$39:$A$45,0))</f>
        <v/>
      </c>
      <c r="H9" s="22" t="str">
        <f>INDEX(Cronograma!G$5:G$11,MATCH($B9,Premissas!$A$39:$A$45,0))</f>
        <v/>
      </c>
      <c r="I9" s="22" t="str">
        <f>INDEX(Cronograma!H$5:H$11,MATCH($B9,Premissas!$A$39:$A$45,0))</f>
        <v>S</v>
      </c>
      <c r="J9" s="22" t="str">
        <f>INDEX(Cronograma!I$5:I$11,MATCH($B9,Premissas!$A$39:$A$45,0))</f>
        <v/>
      </c>
      <c r="K9" s="22" t="str">
        <f>INDEX(Cronograma!J$5:J$11,MATCH($B9,Premissas!$A$39:$A$45,0))</f>
        <v/>
      </c>
      <c r="L9" s="22" t="str">
        <f>INDEX(Cronograma!K$5:K$11,MATCH($B9,Premissas!$A$39:$A$45,0))</f>
        <v/>
      </c>
      <c r="M9" s="22" t="str">
        <f>INDEX(Cronograma!L$5:L$11,MATCH($B9,Premissas!$A$39:$A$45,0))</f>
        <v/>
      </c>
      <c r="N9" s="22" t="str">
        <f>INDEX(Cronograma!M$5:M$11,MATCH($B9,Premissas!$A$39:$A$45,0))</f>
        <v/>
      </c>
      <c r="O9" s="22" t="str">
        <f>INDEX(Cronograma!N$5:N$11,MATCH($B9,Premissas!$A$39:$A$45,0))</f>
        <v/>
      </c>
      <c r="P9" s="22" t="str">
        <f>INDEX(Cronograma!O$5:O$11,MATCH($B9,Premissas!$A$39:$A$45,0))</f>
        <v>A</v>
      </c>
      <c r="Q9" s="22" t="str">
        <f>INDEX(Cronograma!P$5:P$11,MATCH($B9,Premissas!$A$39:$A$45,0))</f>
        <v/>
      </c>
      <c r="R9" s="22" t="str">
        <f>INDEX(Cronograma!Q$5:Q$11,MATCH($B9,Premissas!$A$39:$A$45,0))</f>
        <v/>
      </c>
      <c r="S9" s="22" t="str">
        <f>INDEX(Cronograma!R$5:R$11,MATCH($B9,Premissas!$A$39:$A$45,0))</f>
        <v/>
      </c>
      <c r="T9" s="22" t="str">
        <f>INDEX(Cronograma!S$5:S$11,MATCH($B9,Premissas!$A$39:$A$45,0))</f>
        <v/>
      </c>
      <c r="U9" s="22" t="str">
        <f>INDEX(Cronograma!T$5:T$11,MATCH($B9,Premissas!$A$39:$A$45,0))</f>
        <v/>
      </c>
      <c r="V9" s="22" t="str">
        <f>INDEX(Cronograma!U$5:U$11,MATCH($B9,Premissas!$A$39:$A$45,0))</f>
        <v>S</v>
      </c>
      <c r="W9" s="22" t="str">
        <f>INDEX(Cronograma!V$5:V$11,MATCH($B9,Premissas!$A$39:$A$45,0))</f>
        <v/>
      </c>
      <c r="X9" s="22" t="str">
        <f>INDEX(Cronograma!W$5:W$11,MATCH($B9,Premissas!$A$39:$A$45,0))</f>
        <v/>
      </c>
      <c r="Y9" s="22" t="str">
        <f>INDEX(Cronograma!X$5:X$11,MATCH($B9,Premissas!$A$39:$A$45,0))</f>
        <v/>
      </c>
      <c r="Z9" s="22" t="str">
        <f>INDEX(Cronograma!Y$5:Y$11,MATCH($B9,Premissas!$A$39:$A$45,0))</f>
        <v/>
      </c>
      <c r="AA9" s="22" t="str">
        <f>INDEX(Cronograma!Z$5:Z$11,MATCH($B9,Premissas!$A$39:$A$45,0))</f>
        <v/>
      </c>
      <c r="AB9" s="22" t="str">
        <f>INDEX(Cronograma!AA$5:AA$11,MATCH($B9,Premissas!$A$39:$A$45,0))</f>
        <v/>
      </c>
      <c r="AC9" s="22" t="str">
        <f>INDEX(Cronograma!AB$5:AB$11,MATCH($B9,Premissas!$A$39:$A$45,0))</f>
        <v>B</v>
      </c>
      <c r="AD9" s="22" t="str">
        <f>INDEX(Cronograma!AC$5:AC$11,MATCH($B9,Premissas!$A$39:$A$45,0))</f>
        <v/>
      </c>
      <c r="AE9" s="22" t="str">
        <f>INDEX(Cronograma!AD$5:AD$11,MATCH($B9,Premissas!$A$39:$A$45,0))</f>
        <v/>
      </c>
      <c r="AF9" s="22" t="str">
        <f>INDEX(Cronograma!AE$5:AE$11,MATCH($B9,Premissas!$A$39:$A$45,0))</f>
        <v/>
      </c>
      <c r="AG9" s="22" t="str">
        <f>INDEX(Cronograma!AF$5:AF$11,MATCH($B9,Premissas!$A$39:$A$45,0))</f>
        <v/>
      </c>
      <c r="AH9" s="22" t="str">
        <f>INDEX(Cronograma!AG$5:AG$11,MATCH($B9,Premissas!$A$39:$A$45,0))</f>
        <v/>
      </c>
      <c r="AI9" s="22" t="str">
        <f>INDEX(Cronograma!AH$5:AH$11,MATCH($B9,Premissas!$A$39:$A$45,0))</f>
        <v/>
      </c>
      <c r="AJ9" s="22" t="str">
        <f>INDEX(Cronograma!AI$5:AI$11,MATCH($B9,Premissas!$A$39:$A$45,0))</f>
        <v/>
      </c>
      <c r="AK9" s="22" t="str">
        <f>INDEX(Cronograma!AJ$5:AJ$11,MATCH($B9,Premissas!$A$39:$A$45,0))</f>
        <v/>
      </c>
      <c r="AL9" s="22" t="str">
        <f>INDEX(Cronograma!AK$5:AK$11,MATCH($B9,Premissas!$A$39:$A$45,0))</f>
        <v/>
      </c>
      <c r="AM9" s="22" t="str">
        <f>INDEX(Cronograma!AL$5:AL$11,MATCH($B9,Premissas!$A$39:$A$45,0))</f>
        <v/>
      </c>
      <c r="AN9" s="22" t="str">
        <f>INDEX(Cronograma!AM$5:AM$11,MATCH($B9,Premissas!$A$39:$A$45,0))</f>
        <v/>
      </c>
      <c r="AO9" s="22" t="str">
        <f>INDEX(Cronograma!AN$5:AN$11,MATCH($B9,Premissas!$A$39:$A$45,0))</f>
        <v/>
      </c>
      <c r="AP9" s="22" t="str">
        <f>INDEX(Cronograma!AO$5:AO$11,MATCH($B9,Premissas!$A$39:$A$45,0))</f>
        <v>S</v>
      </c>
      <c r="AQ9" s="22" t="str">
        <f>INDEX(Cronograma!AP$5:AP$11,MATCH($B9,Premissas!$A$39:$A$45,0))</f>
        <v/>
      </c>
      <c r="AR9" s="22" t="str">
        <f>INDEX(Cronograma!AQ$5:AQ$11,MATCH($B9,Premissas!$A$39:$A$45,0))</f>
        <v/>
      </c>
      <c r="AS9" s="22" t="str">
        <f>INDEX(Cronograma!AR$5:AR$11,MATCH($B9,Premissas!$A$39:$A$45,0))</f>
        <v/>
      </c>
      <c r="AT9" s="22" t="str">
        <f>INDEX(Cronograma!AS$5:AS$11,MATCH($B9,Premissas!$A$39:$A$45,0))</f>
        <v/>
      </c>
      <c r="AU9" s="22" t="str">
        <f>INDEX(Cronograma!AT$5:AT$11,MATCH($B9,Premissas!$A$39:$A$45,0))</f>
        <v/>
      </c>
      <c r="AV9" s="22" t="str">
        <f>INDEX(Cronograma!AU$5:AU$11,MATCH($B9,Premissas!$A$39:$A$45,0))</f>
        <v/>
      </c>
      <c r="AW9" s="22" t="str">
        <f>INDEX(Cronograma!AV$5:AV$11,MATCH($B9,Premissas!$A$39:$A$45,0))</f>
        <v/>
      </c>
      <c r="AX9" s="22" t="str">
        <f>INDEX(Cronograma!AW$5:AW$11,MATCH($B9,Premissas!$A$39:$A$45,0))</f>
        <v/>
      </c>
      <c r="AY9" s="22" t="str">
        <f>INDEX(Cronograma!AX$5:AX$11,MATCH($B9,Premissas!$A$39:$A$45,0))</f>
        <v/>
      </c>
      <c r="AZ9" s="22" t="str">
        <f>INDEX(Cronograma!AY$5:AY$11,MATCH($B9,Premissas!$A$39:$A$45,0))</f>
        <v/>
      </c>
      <c r="BA9" s="22" t="str">
        <f>INDEX(Cronograma!AZ$5:AZ$11,MATCH($B9,Premissas!$A$39:$A$45,0))</f>
        <v/>
      </c>
      <c r="BB9" s="22" t="str">
        <f>INDEX(Cronograma!BA$5:BA$11,MATCH($B9,Premissas!$A$39:$A$45,0))</f>
        <v/>
      </c>
    </row>
    <row r="10" spans="1:56" ht="15" customHeight="1" x14ac:dyDescent="0.4">
      <c r="A10" s="15" t="str">
        <f>Frota!$B10&amp;" — "&amp;Frota!$A10</f>
        <v>MB 2423 6x4 — 101028</v>
      </c>
      <c r="B10" s="16" t="str">
        <f>Frota!$C10</f>
        <v>Caminhão</v>
      </c>
      <c r="C10" s="22" t="str">
        <f>INDEX(Cronograma!B$5:B$11,MATCH($B10,Premissas!$A$39:$A$45,0))</f>
        <v/>
      </c>
      <c r="D10" s="22" t="str">
        <f>INDEX(Cronograma!C$5:C$11,MATCH($B10,Premissas!$A$39:$A$45,0))</f>
        <v/>
      </c>
      <c r="E10" s="22" t="str">
        <f>INDEX(Cronograma!D$5:D$11,MATCH($B10,Premissas!$A$39:$A$45,0))</f>
        <v/>
      </c>
      <c r="F10" s="22" t="str">
        <f>INDEX(Cronograma!E$5:E$11,MATCH($B10,Premissas!$A$39:$A$45,0))</f>
        <v/>
      </c>
      <c r="G10" s="22" t="str">
        <f>INDEX(Cronograma!F$5:F$11,MATCH($B10,Premissas!$A$39:$A$45,0))</f>
        <v/>
      </c>
      <c r="H10" s="22" t="str">
        <f>INDEX(Cronograma!G$5:G$11,MATCH($B10,Premissas!$A$39:$A$45,0))</f>
        <v/>
      </c>
      <c r="I10" s="22" t="str">
        <f>INDEX(Cronograma!H$5:H$11,MATCH($B10,Premissas!$A$39:$A$45,0))</f>
        <v>S</v>
      </c>
      <c r="J10" s="22" t="str">
        <f>INDEX(Cronograma!I$5:I$11,MATCH($B10,Premissas!$A$39:$A$45,0))</f>
        <v/>
      </c>
      <c r="K10" s="22" t="str">
        <f>INDEX(Cronograma!J$5:J$11,MATCH($B10,Premissas!$A$39:$A$45,0))</f>
        <v/>
      </c>
      <c r="L10" s="22" t="str">
        <f>INDEX(Cronograma!K$5:K$11,MATCH($B10,Premissas!$A$39:$A$45,0))</f>
        <v/>
      </c>
      <c r="M10" s="22" t="str">
        <f>INDEX(Cronograma!L$5:L$11,MATCH($B10,Premissas!$A$39:$A$45,0))</f>
        <v/>
      </c>
      <c r="N10" s="22" t="str">
        <f>INDEX(Cronograma!M$5:M$11,MATCH($B10,Premissas!$A$39:$A$45,0))</f>
        <v/>
      </c>
      <c r="O10" s="22" t="str">
        <f>INDEX(Cronograma!N$5:N$11,MATCH($B10,Premissas!$A$39:$A$45,0))</f>
        <v/>
      </c>
      <c r="P10" s="22" t="str">
        <f>INDEX(Cronograma!O$5:O$11,MATCH($B10,Premissas!$A$39:$A$45,0))</f>
        <v>A</v>
      </c>
      <c r="Q10" s="22" t="str">
        <f>INDEX(Cronograma!P$5:P$11,MATCH($B10,Premissas!$A$39:$A$45,0))</f>
        <v/>
      </c>
      <c r="R10" s="22" t="str">
        <f>INDEX(Cronograma!Q$5:Q$11,MATCH($B10,Premissas!$A$39:$A$45,0))</f>
        <v/>
      </c>
      <c r="S10" s="22" t="str">
        <f>INDEX(Cronograma!R$5:R$11,MATCH($B10,Premissas!$A$39:$A$45,0))</f>
        <v/>
      </c>
      <c r="T10" s="22" t="str">
        <f>INDEX(Cronograma!S$5:S$11,MATCH($B10,Premissas!$A$39:$A$45,0))</f>
        <v/>
      </c>
      <c r="U10" s="22" t="str">
        <f>INDEX(Cronograma!T$5:T$11,MATCH($B10,Premissas!$A$39:$A$45,0))</f>
        <v/>
      </c>
      <c r="V10" s="22" t="str">
        <f>INDEX(Cronograma!U$5:U$11,MATCH($B10,Premissas!$A$39:$A$45,0))</f>
        <v>S</v>
      </c>
      <c r="W10" s="22" t="str">
        <f>INDEX(Cronograma!V$5:V$11,MATCH($B10,Premissas!$A$39:$A$45,0))</f>
        <v/>
      </c>
      <c r="X10" s="22" t="str">
        <f>INDEX(Cronograma!W$5:W$11,MATCH($B10,Premissas!$A$39:$A$45,0))</f>
        <v/>
      </c>
      <c r="Y10" s="22" t="str">
        <f>INDEX(Cronograma!X$5:X$11,MATCH($B10,Premissas!$A$39:$A$45,0))</f>
        <v/>
      </c>
      <c r="Z10" s="22" t="str">
        <f>INDEX(Cronograma!Y$5:Y$11,MATCH($B10,Premissas!$A$39:$A$45,0))</f>
        <v/>
      </c>
      <c r="AA10" s="22" t="str">
        <f>INDEX(Cronograma!Z$5:Z$11,MATCH($B10,Premissas!$A$39:$A$45,0))</f>
        <v/>
      </c>
      <c r="AB10" s="22" t="str">
        <f>INDEX(Cronograma!AA$5:AA$11,MATCH($B10,Premissas!$A$39:$A$45,0))</f>
        <v/>
      </c>
      <c r="AC10" s="22" t="str">
        <f>INDEX(Cronograma!AB$5:AB$11,MATCH($B10,Premissas!$A$39:$A$45,0))</f>
        <v>B</v>
      </c>
      <c r="AD10" s="22" t="str">
        <f>INDEX(Cronograma!AC$5:AC$11,MATCH($B10,Premissas!$A$39:$A$45,0))</f>
        <v/>
      </c>
      <c r="AE10" s="22" t="str">
        <f>INDEX(Cronograma!AD$5:AD$11,MATCH($B10,Premissas!$A$39:$A$45,0))</f>
        <v/>
      </c>
      <c r="AF10" s="22" t="str">
        <f>INDEX(Cronograma!AE$5:AE$11,MATCH($B10,Premissas!$A$39:$A$45,0))</f>
        <v/>
      </c>
      <c r="AG10" s="22" t="str">
        <f>INDEX(Cronograma!AF$5:AF$11,MATCH($B10,Premissas!$A$39:$A$45,0))</f>
        <v/>
      </c>
      <c r="AH10" s="22" t="str">
        <f>INDEX(Cronograma!AG$5:AG$11,MATCH($B10,Premissas!$A$39:$A$45,0))</f>
        <v/>
      </c>
      <c r="AI10" s="22" t="str">
        <f>INDEX(Cronograma!AH$5:AH$11,MATCH($B10,Premissas!$A$39:$A$45,0))</f>
        <v/>
      </c>
      <c r="AJ10" s="22" t="str">
        <f>INDEX(Cronograma!AI$5:AI$11,MATCH($B10,Premissas!$A$39:$A$45,0))</f>
        <v/>
      </c>
      <c r="AK10" s="22" t="str">
        <f>INDEX(Cronograma!AJ$5:AJ$11,MATCH($B10,Premissas!$A$39:$A$45,0))</f>
        <v/>
      </c>
      <c r="AL10" s="22" t="str">
        <f>INDEX(Cronograma!AK$5:AK$11,MATCH($B10,Premissas!$A$39:$A$45,0))</f>
        <v/>
      </c>
      <c r="AM10" s="22" t="str">
        <f>INDEX(Cronograma!AL$5:AL$11,MATCH($B10,Premissas!$A$39:$A$45,0))</f>
        <v/>
      </c>
      <c r="AN10" s="22" t="str">
        <f>INDEX(Cronograma!AM$5:AM$11,MATCH($B10,Premissas!$A$39:$A$45,0))</f>
        <v/>
      </c>
      <c r="AO10" s="22" t="str">
        <f>INDEX(Cronograma!AN$5:AN$11,MATCH($B10,Premissas!$A$39:$A$45,0))</f>
        <v/>
      </c>
      <c r="AP10" s="22" t="str">
        <f>INDEX(Cronograma!AO$5:AO$11,MATCH($B10,Premissas!$A$39:$A$45,0))</f>
        <v>S</v>
      </c>
      <c r="AQ10" s="22" t="str">
        <f>INDEX(Cronograma!AP$5:AP$11,MATCH($B10,Premissas!$A$39:$A$45,0))</f>
        <v/>
      </c>
      <c r="AR10" s="22" t="str">
        <f>INDEX(Cronograma!AQ$5:AQ$11,MATCH($B10,Premissas!$A$39:$A$45,0))</f>
        <v/>
      </c>
      <c r="AS10" s="22" t="str">
        <f>INDEX(Cronograma!AR$5:AR$11,MATCH($B10,Premissas!$A$39:$A$45,0))</f>
        <v/>
      </c>
      <c r="AT10" s="22" t="str">
        <f>INDEX(Cronograma!AS$5:AS$11,MATCH($B10,Premissas!$A$39:$A$45,0))</f>
        <v/>
      </c>
      <c r="AU10" s="22" t="str">
        <f>INDEX(Cronograma!AT$5:AT$11,MATCH($B10,Premissas!$A$39:$A$45,0))</f>
        <v/>
      </c>
      <c r="AV10" s="22" t="str">
        <f>INDEX(Cronograma!AU$5:AU$11,MATCH($B10,Premissas!$A$39:$A$45,0))</f>
        <v/>
      </c>
      <c r="AW10" s="22" t="str">
        <f>INDEX(Cronograma!AV$5:AV$11,MATCH($B10,Premissas!$A$39:$A$45,0))</f>
        <v/>
      </c>
      <c r="AX10" s="22" t="str">
        <f>INDEX(Cronograma!AW$5:AW$11,MATCH($B10,Premissas!$A$39:$A$45,0))</f>
        <v/>
      </c>
      <c r="AY10" s="22" t="str">
        <f>INDEX(Cronograma!AX$5:AX$11,MATCH($B10,Premissas!$A$39:$A$45,0))</f>
        <v/>
      </c>
      <c r="AZ10" s="22" t="str">
        <f>INDEX(Cronograma!AY$5:AY$11,MATCH($B10,Premissas!$A$39:$A$45,0))</f>
        <v/>
      </c>
      <c r="BA10" s="22" t="str">
        <f>INDEX(Cronograma!AZ$5:AZ$11,MATCH($B10,Premissas!$A$39:$A$45,0))</f>
        <v/>
      </c>
      <c r="BB10" s="22" t="str">
        <f>INDEX(Cronograma!BA$5:BA$11,MATCH($B10,Premissas!$A$39:$A$45,0))</f>
        <v/>
      </c>
    </row>
    <row r="11" spans="1:56" ht="15" customHeight="1" x14ac:dyDescent="0.4">
      <c r="A11" s="15" t="str">
        <f>Frota!$B11&amp;" — "&amp;Frota!$A11</f>
        <v>VW 31-320 — 101047</v>
      </c>
      <c r="B11" s="16" t="str">
        <f>Frota!$C11</f>
        <v>Caminhão</v>
      </c>
      <c r="C11" s="22" t="str">
        <f>INDEX(Cronograma!B$5:B$11,MATCH($B11,Premissas!$A$39:$A$45,0))</f>
        <v/>
      </c>
      <c r="D11" s="22" t="str">
        <f>INDEX(Cronograma!C$5:C$11,MATCH($B11,Premissas!$A$39:$A$45,0))</f>
        <v/>
      </c>
      <c r="E11" s="22" t="str">
        <f>INDEX(Cronograma!D$5:D$11,MATCH($B11,Premissas!$A$39:$A$45,0))</f>
        <v/>
      </c>
      <c r="F11" s="22" t="str">
        <f>INDEX(Cronograma!E$5:E$11,MATCH($B11,Premissas!$A$39:$A$45,0))</f>
        <v/>
      </c>
      <c r="G11" s="22" t="str">
        <f>INDEX(Cronograma!F$5:F$11,MATCH($B11,Premissas!$A$39:$A$45,0))</f>
        <v/>
      </c>
      <c r="H11" s="22" t="str">
        <f>INDEX(Cronograma!G$5:G$11,MATCH($B11,Premissas!$A$39:$A$45,0))</f>
        <v/>
      </c>
      <c r="I11" s="22" t="str">
        <f>INDEX(Cronograma!H$5:H$11,MATCH($B11,Premissas!$A$39:$A$45,0))</f>
        <v>S</v>
      </c>
      <c r="J11" s="22" t="str">
        <f>INDEX(Cronograma!I$5:I$11,MATCH($B11,Premissas!$A$39:$A$45,0))</f>
        <v/>
      </c>
      <c r="K11" s="22" t="str">
        <f>INDEX(Cronograma!J$5:J$11,MATCH($B11,Premissas!$A$39:$A$45,0))</f>
        <v/>
      </c>
      <c r="L11" s="22" t="str">
        <f>INDEX(Cronograma!K$5:K$11,MATCH($B11,Premissas!$A$39:$A$45,0))</f>
        <v/>
      </c>
      <c r="M11" s="22" t="str">
        <f>INDEX(Cronograma!L$5:L$11,MATCH($B11,Premissas!$A$39:$A$45,0))</f>
        <v/>
      </c>
      <c r="N11" s="22" t="str">
        <f>INDEX(Cronograma!M$5:M$11,MATCH($B11,Premissas!$A$39:$A$45,0))</f>
        <v/>
      </c>
      <c r="O11" s="22" t="str">
        <f>INDEX(Cronograma!N$5:N$11,MATCH($B11,Premissas!$A$39:$A$45,0))</f>
        <v/>
      </c>
      <c r="P11" s="22" t="str">
        <f>INDEX(Cronograma!O$5:O$11,MATCH($B11,Premissas!$A$39:$A$45,0))</f>
        <v>A</v>
      </c>
      <c r="Q11" s="22" t="str">
        <f>INDEX(Cronograma!P$5:P$11,MATCH($B11,Premissas!$A$39:$A$45,0))</f>
        <v/>
      </c>
      <c r="R11" s="22" t="str">
        <f>INDEX(Cronograma!Q$5:Q$11,MATCH($B11,Premissas!$A$39:$A$45,0))</f>
        <v/>
      </c>
      <c r="S11" s="22" t="str">
        <f>INDEX(Cronograma!R$5:R$11,MATCH($B11,Premissas!$A$39:$A$45,0))</f>
        <v/>
      </c>
      <c r="T11" s="22" t="str">
        <f>INDEX(Cronograma!S$5:S$11,MATCH($B11,Premissas!$A$39:$A$45,0))</f>
        <v/>
      </c>
      <c r="U11" s="22" t="str">
        <f>INDEX(Cronograma!T$5:T$11,MATCH($B11,Premissas!$A$39:$A$45,0))</f>
        <v/>
      </c>
      <c r="V11" s="22" t="str">
        <f>INDEX(Cronograma!U$5:U$11,MATCH($B11,Premissas!$A$39:$A$45,0))</f>
        <v>S</v>
      </c>
      <c r="W11" s="22" t="str">
        <f>INDEX(Cronograma!V$5:V$11,MATCH($B11,Premissas!$A$39:$A$45,0))</f>
        <v/>
      </c>
      <c r="X11" s="22" t="str">
        <f>INDEX(Cronograma!W$5:W$11,MATCH($B11,Premissas!$A$39:$A$45,0))</f>
        <v/>
      </c>
      <c r="Y11" s="22" t="str">
        <f>INDEX(Cronograma!X$5:X$11,MATCH($B11,Premissas!$A$39:$A$45,0))</f>
        <v/>
      </c>
      <c r="Z11" s="22" t="str">
        <f>INDEX(Cronograma!Y$5:Y$11,MATCH($B11,Premissas!$A$39:$A$45,0))</f>
        <v/>
      </c>
      <c r="AA11" s="22" t="str">
        <f>INDEX(Cronograma!Z$5:Z$11,MATCH($B11,Premissas!$A$39:$A$45,0))</f>
        <v/>
      </c>
      <c r="AB11" s="22" t="str">
        <f>INDEX(Cronograma!AA$5:AA$11,MATCH($B11,Premissas!$A$39:$A$45,0))</f>
        <v/>
      </c>
      <c r="AC11" s="22" t="str">
        <f>INDEX(Cronograma!AB$5:AB$11,MATCH($B11,Premissas!$A$39:$A$45,0))</f>
        <v>B</v>
      </c>
      <c r="AD11" s="22" t="str">
        <f>INDEX(Cronograma!AC$5:AC$11,MATCH($B11,Premissas!$A$39:$A$45,0))</f>
        <v/>
      </c>
      <c r="AE11" s="22" t="str">
        <f>INDEX(Cronograma!AD$5:AD$11,MATCH($B11,Premissas!$A$39:$A$45,0))</f>
        <v/>
      </c>
      <c r="AF11" s="22" t="str">
        <f>INDEX(Cronograma!AE$5:AE$11,MATCH($B11,Premissas!$A$39:$A$45,0))</f>
        <v/>
      </c>
      <c r="AG11" s="22" t="str">
        <f>INDEX(Cronograma!AF$5:AF$11,MATCH($B11,Premissas!$A$39:$A$45,0))</f>
        <v/>
      </c>
      <c r="AH11" s="22" t="str">
        <f>INDEX(Cronograma!AG$5:AG$11,MATCH($B11,Premissas!$A$39:$A$45,0))</f>
        <v/>
      </c>
      <c r="AI11" s="22" t="str">
        <f>INDEX(Cronograma!AH$5:AH$11,MATCH($B11,Premissas!$A$39:$A$45,0))</f>
        <v/>
      </c>
      <c r="AJ11" s="22" t="str">
        <f>INDEX(Cronograma!AI$5:AI$11,MATCH($B11,Premissas!$A$39:$A$45,0))</f>
        <v/>
      </c>
      <c r="AK11" s="22" t="str">
        <f>INDEX(Cronograma!AJ$5:AJ$11,MATCH($B11,Premissas!$A$39:$A$45,0))</f>
        <v/>
      </c>
      <c r="AL11" s="22" t="str">
        <f>INDEX(Cronograma!AK$5:AK$11,MATCH($B11,Premissas!$A$39:$A$45,0))</f>
        <v/>
      </c>
      <c r="AM11" s="22" t="str">
        <f>INDEX(Cronograma!AL$5:AL$11,MATCH($B11,Premissas!$A$39:$A$45,0))</f>
        <v/>
      </c>
      <c r="AN11" s="22" t="str">
        <f>INDEX(Cronograma!AM$5:AM$11,MATCH($B11,Premissas!$A$39:$A$45,0))</f>
        <v/>
      </c>
      <c r="AO11" s="22" t="str">
        <f>INDEX(Cronograma!AN$5:AN$11,MATCH($B11,Premissas!$A$39:$A$45,0))</f>
        <v/>
      </c>
      <c r="AP11" s="22" t="str">
        <f>INDEX(Cronograma!AO$5:AO$11,MATCH($B11,Premissas!$A$39:$A$45,0))</f>
        <v>S</v>
      </c>
      <c r="AQ11" s="22" t="str">
        <f>INDEX(Cronograma!AP$5:AP$11,MATCH($B11,Premissas!$A$39:$A$45,0))</f>
        <v/>
      </c>
      <c r="AR11" s="22" t="str">
        <f>INDEX(Cronograma!AQ$5:AQ$11,MATCH($B11,Premissas!$A$39:$A$45,0))</f>
        <v/>
      </c>
      <c r="AS11" s="22" t="str">
        <f>INDEX(Cronograma!AR$5:AR$11,MATCH($B11,Premissas!$A$39:$A$45,0))</f>
        <v/>
      </c>
      <c r="AT11" s="22" t="str">
        <f>INDEX(Cronograma!AS$5:AS$11,MATCH($B11,Premissas!$A$39:$A$45,0))</f>
        <v/>
      </c>
      <c r="AU11" s="22" t="str">
        <f>INDEX(Cronograma!AT$5:AT$11,MATCH($B11,Premissas!$A$39:$A$45,0))</f>
        <v/>
      </c>
      <c r="AV11" s="22" t="str">
        <f>INDEX(Cronograma!AU$5:AU$11,MATCH($B11,Premissas!$A$39:$A$45,0))</f>
        <v/>
      </c>
      <c r="AW11" s="22" t="str">
        <f>INDEX(Cronograma!AV$5:AV$11,MATCH($B11,Premissas!$A$39:$A$45,0))</f>
        <v/>
      </c>
      <c r="AX11" s="22" t="str">
        <f>INDEX(Cronograma!AW$5:AW$11,MATCH($B11,Premissas!$A$39:$A$45,0))</f>
        <v/>
      </c>
      <c r="AY11" s="22" t="str">
        <f>INDEX(Cronograma!AX$5:AX$11,MATCH($B11,Premissas!$A$39:$A$45,0))</f>
        <v/>
      </c>
      <c r="AZ11" s="22" t="str">
        <f>INDEX(Cronograma!AY$5:AY$11,MATCH($B11,Premissas!$A$39:$A$45,0))</f>
        <v/>
      </c>
      <c r="BA11" s="22" t="str">
        <f>INDEX(Cronograma!AZ$5:AZ$11,MATCH($B11,Premissas!$A$39:$A$45,0))</f>
        <v/>
      </c>
      <c r="BB11" s="22" t="str">
        <f>INDEX(Cronograma!BA$5:BA$11,MATCH($B11,Premissas!$A$39:$A$45,0))</f>
        <v/>
      </c>
    </row>
    <row r="12" spans="1:56" ht="15" customHeight="1" x14ac:dyDescent="0.4">
      <c r="A12" s="15" t="str">
        <f>Frota!$B12&amp;" — "&amp;Frota!$A12</f>
        <v>MB 3344 6x4 — 101048</v>
      </c>
      <c r="B12" s="16" t="str">
        <f>Frota!$C12</f>
        <v>Caminhão</v>
      </c>
      <c r="C12" s="22" t="str">
        <f>INDEX(Cronograma!B$5:B$11,MATCH($B12,Premissas!$A$39:$A$45,0))</f>
        <v/>
      </c>
      <c r="D12" s="22" t="str">
        <f>INDEX(Cronograma!C$5:C$11,MATCH($B12,Premissas!$A$39:$A$45,0))</f>
        <v/>
      </c>
      <c r="E12" s="22" t="str">
        <f>INDEX(Cronograma!D$5:D$11,MATCH($B12,Premissas!$A$39:$A$45,0))</f>
        <v/>
      </c>
      <c r="F12" s="22" t="str">
        <f>INDEX(Cronograma!E$5:E$11,MATCH($B12,Premissas!$A$39:$A$45,0))</f>
        <v/>
      </c>
      <c r="G12" s="22" t="str">
        <f>INDEX(Cronograma!F$5:F$11,MATCH($B12,Premissas!$A$39:$A$45,0))</f>
        <v/>
      </c>
      <c r="H12" s="22" t="str">
        <f>INDEX(Cronograma!G$5:G$11,MATCH($B12,Premissas!$A$39:$A$45,0))</f>
        <v/>
      </c>
      <c r="I12" s="22" t="str">
        <f>INDEX(Cronograma!H$5:H$11,MATCH($B12,Premissas!$A$39:$A$45,0))</f>
        <v>S</v>
      </c>
      <c r="J12" s="22" t="str">
        <f>INDEX(Cronograma!I$5:I$11,MATCH($B12,Premissas!$A$39:$A$45,0))</f>
        <v/>
      </c>
      <c r="K12" s="22" t="str">
        <f>INDEX(Cronograma!J$5:J$11,MATCH($B12,Premissas!$A$39:$A$45,0))</f>
        <v/>
      </c>
      <c r="L12" s="22" t="str">
        <f>INDEX(Cronograma!K$5:K$11,MATCH($B12,Premissas!$A$39:$A$45,0))</f>
        <v/>
      </c>
      <c r="M12" s="22" t="str">
        <f>INDEX(Cronograma!L$5:L$11,MATCH($B12,Premissas!$A$39:$A$45,0))</f>
        <v/>
      </c>
      <c r="N12" s="22" t="str">
        <f>INDEX(Cronograma!M$5:M$11,MATCH($B12,Premissas!$A$39:$A$45,0))</f>
        <v/>
      </c>
      <c r="O12" s="22" t="str">
        <f>INDEX(Cronograma!N$5:N$11,MATCH($B12,Premissas!$A$39:$A$45,0))</f>
        <v/>
      </c>
      <c r="P12" s="22" t="str">
        <f>INDEX(Cronograma!O$5:O$11,MATCH($B12,Premissas!$A$39:$A$45,0))</f>
        <v>A</v>
      </c>
      <c r="Q12" s="22" t="str">
        <f>INDEX(Cronograma!P$5:P$11,MATCH($B12,Premissas!$A$39:$A$45,0))</f>
        <v/>
      </c>
      <c r="R12" s="22" t="str">
        <f>INDEX(Cronograma!Q$5:Q$11,MATCH($B12,Premissas!$A$39:$A$45,0))</f>
        <v/>
      </c>
      <c r="S12" s="22" t="str">
        <f>INDEX(Cronograma!R$5:R$11,MATCH($B12,Premissas!$A$39:$A$45,0))</f>
        <v/>
      </c>
      <c r="T12" s="22" t="str">
        <f>INDEX(Cronograma!S$5:S$11,MATCH($B12,Premissas!$A$39:$A$45,0))</f>
        <v/>
      </c>
      <c r="U12" s="22" t="str">
        <f>INDEX(Cronograma!T$5:T$11,MATCH($B12,Premissas!$A$39:$A$45,0))</f>
        <v/>
      </c>
      <c r="V12" s="22" t="str">
        <f>INDEX(Cronograma!U$5:U$11,MATCH($B12,Premissas!$A$39:$A$45,0))</f>
        <v>S</v>
      </c>
      <c r="W12" s="22" t="str">
        <f>INDEX(Cronograma!V$5:V$11,MATCH($B12,Premissas!$A$39:$A$45,0))</f>
        <v/>
      </c>
      <c r="X12" s="22" t="str">
        <f>INDEX(Cronograma!W$5:W$11,MATCH($B12,Premissas!$A$39:$A$45,0))</f>
        <v/>
      </c>
      <c r="Y12" s="22" t="str">
        <f>INDEX(Cronograma!X$5:X$11,MATCH($B12,Premissas!$A$39:$A$45,0))</f>
        <v/>
      </c>
      <c r="Z12" s="22" t="str">
        <f>INDEX(Cronograma!Y$5:Y$11,MATCH($B12,Premissas!$A$39:$A$45,0))</f>
        <v/>
      </c>
      <c r="AA12" s="22" t="str">
        <f>INDEX(Cronograma!Z$5:Z$11,MATCH($B12,Premissas!$A$39:$A$45,0))</f>
        <v/>
      </c>
      <c r="AB12" s="22" t="str">
        <f>INDEX(Cronograma!AA$5:AA$11,MATCH($B12,Premissas!$A$39:$A$45,0))</f>
        <v/>
      </c>
      <c r="AC12" s="22" t="str">
        <f>INDEX(Cronograma!AB$5:AB$11,MATCH($B12,Premissas!$A$39:$A$45,0))</f>
        <v>B</v>
      </c>
      <c r="AD12" s="22" t="str">
        <f>INDEX(Cronograma!AC$5:AC$11,MATCH($B12,Premissas!$A$39:$A$45,0))</f>
        <v/>
      </c>
      <c r="AE12" s="22" t="str">
        <f>INDEX(Cronograma!AD$5:AD$11,MATCH($B12,Premissas!$A$39:$A$45,0))</f>
        <v/>
      </c>
      <c r="AF12" s="22" t="str">
        <f>INDEX(Cronograma!AE$5:AE$11,MATCH($B12,Premissas!$A$39:$A$45,0))</f>
        <v/>
      </c>
      <c r="AG12" s="22" t="str">
        <f>INDEX(Cronograma!AF$5:AF$11,MATCH($B12,Premissas!$A$39:$A$45,0))</f>
        <v/>
      </c>
      <c r="AH12" s="22" t="str">
        <f>INDEX(Cronograma!AG$5:AG$11,MATCH($B12,Premissas!$A$39:$A$45,0))</f>
        <v/>
      </c>
      <c r="AI12" s="22" t="str">
        <f>INDEX(Cronograma!AH$5:AH$11,MATCH($B12,Premissas!$A$39:$A$45,0))</f>
        <v/>
      </c>
      <c r="AJ12" s="22" t="str">
        <f>INDEX(Cronograma!AI$5:AI$11,MATCH($B12,Premissas!$A$39:$A$45,0))</f>
        <v/>
      </c>
      <c r="AK12" s="22" t="str">
        <f>INDEX(Cronograma!AJ$5:AJ$11,MATCH($B12,Premissas!$A$39:$A$45,0))</f>
        <v/>
      </c>
      <c r="AL12" s="22" t="str">
        <f>INDEX(Cronograma!AK$5:AK$11,MATCH($B12,Premissas!$A$39:$A$45,0))</f>
        <v/>
      </c>
      <c r="AM12" s="22" t="str">
        <f>INDEX(Cronograma!AL$5:AL$11,MATCH($B12,Premissas!$A$39:$A$45,0))</f>
        <v/>
      </c>
      <c r="AN12" s="22" t="str">
        <f>INDEX(Cronograma!AM$5:AM$11,MATCH($B12,Premissas!$A$39:$A$45,0))</f>
        <v/>
      </c>
      <c r="AO12" s="22" t="str">
        <f>INDEX(Cronograma!AN$5:AN$11,MATCH($B12,Premissas!$A$39:$A$45,0))</f>
        <v/>
      </c>
      <c r="AP12" s="22" t="str">
        <f>INDEX(Cronograma!AO$5:AO$11,MATCH($B12,Premissas!$A$39:$A$45,0))</f>
        <v>S</v>
      </c>
      <c r="AQ12" s="22" t="str">
        <f>INDEX(Cronograma!AP$5:AP$11,MATCH($B12,Premissas!$A$39:$A$45,0))</f>
        <v/>
      </c>
      <c r="AR12" s="22" t="str">
        <f>INDEX(Cronograma!AQ$5:AQ$11,MATCH($B12,Premissas!$A$39:$A$45,0))</f>
        <v/>
      </c>
      <c r="AS12" s="22" t="str">
        <f>INDEX(Cronograma!AR$5:AR$11,MATCH($B12,Premissas!$A$39:$A$45,0))</f>
        <v/>
      </c>
      <c r="AT12" s="22" t="str">
        <f>INDEX(Cronograma!AS$5:AS$11,MATCH($B12,Premissas!$A$39:$A$45,0))</f>
        <v/>
      </c>
      <c r="AU12" s="22" t="str">
        <f>INDEX(Cronograma!AT$5:AT$11,MATCH($B12,Premissas!$A$39:$A$45,0))</f>
        <v/>
      </c>
      <c r="AV12" s="22" t="str">
        <f>INDEX(Cronograma!AU$5:AU$11,MATCH($B12,Premissas!$A$39:$A$45,0))</f>
        <v/>
      </c>
      <c r="AW12" s="22" t="str">
        <f>INDEX(Cronograma!AV$5:AV$11,MATCH($B12,Premissas!$A$39:$A$45,0))</f>
        <v/>
      </c>
      <c r="AX12" s="22" t="str">
        <f>INDEX(Cronograma!AW$5:AW$11,MATCH($B12,Premissas!$A$39:$A$45,0))</f>
        <v/>
      </c>
      <c r="AY12" s="22" t="str">
        <f>INDEX(Cronograma!AX$5:AX$11,MATCH($B12,Premissas!$A$39:$A$45,0))</f>
        <v/>
      </c>
      <c r="AZ12" s="22" t="str">
        <f>INDEX(Cronograma!AY$5:AY$11,MATCH($B12,Premissas!$A$39:$A$45,0))</f>
        <v/>
      </c>
      <c r="BA12" s="22" t="str">
        <f>INDEX(Cronograma!AZ$5:AZ$11,MATCH($B12,Premissas!$A$39:$A$45,0))</f>
        <v/>
      </c>
      <c r="BB12" s="22" t="str">
        <f>INDEX(Cronograma!BA$5:BA$11,MATCH($B12,Premissas!$A$39:$A$45,0))</f>
        <v/>
      </c>
    </row>
    <row r="13" spans="1:56" ht="15" customHeight="1" x14ac:dyDescent="0.4">
      <c r="A13" s="15" t="str">
        <f>Frota!$B13&amp;" — "&amp;Frota!$A13</f>
        <v>MB 2729 6x4 — 101050</v>
      </c>
      <c r="B13" s="16" t="str">
        <f>Frota!$C13</f>
        <v>Caminhão</v>
      </c>
      <c r="C13" s="22" t="str">
        <f>INDEX(Cronograma!B$5:B$11,MATCH($B13,Premissas!$A$39:$A$45,0))</f>
        <v/>
      </c>
      <c r="D13" s="22" t="str">
        <f>INDEX(Cronograma!C$5:C$11,MATCH($B13,Premissas!$A$39:$A$45,0))</f>
        <v/>
      </c>
      <c r="E13" s="22" t="str">
        <f>INDEX(Cronograma!D$5:D$11,MATCH($B13,Premissas!$A$39:$A$45,0))</f>
        <v/>
      </c>
      <c r="F13" s="22" t="str">
        <f>INDEX(Cronograma!E$5:E$11,MATCH($B13,Premissas!$A$39:$A$45,0))</f>
        <v/>
      </c>
      <c r="G13" s="22" t="str">
        <f>INDEX(Cronograma!F$5:F$11,MATCH($B13,Premissas!$A$39:$A$45,0))</f>
        <v/>
      </c>
      <c r="H13" s="22" t="str">
        <f>INDEX(Cronograma!G$5:G$11,MATCH($B13,Premissas!$A$39:$A$45,0))</f>
        <v/>
      </c>
      <c r="I13" s="22" t="str">
        <f>INDEX(Cronograma!H$5:H$11,MATCH($B13,Premissas!$A$39:$A$45,0))</f>
        <v>S</v>
      </c>
      <c r="J13" s="22" t="str">
        <f>INDEX(Cronograma!I$5:I$11,MATCH($B13,Premissas!$A$39:$A$45,0))</f>
        <v/>
      </c>
      <c r="K13" s="22" t="str">
        <f>INDEX(Cronograma!J$5:J$11,MATCH($B13,Premissas!$A$39:$A$45,0))</f>
        <v/>
      </c>
      <c r="L13" s="22" t="str">
        <f>INDEX(Cronograma!K$5:K$11,MATCH($B13,Premissas!$A$39:$A$45,0))</f>
        <v/>
      </c>
      <c r="M13" s="22" t="str">
        <f>INDEX(Cronograma!L$5:L$11,MATCH($B13,Premissas!$A$39:$A$45,0))</f>
        <v/>
      </c>
      <c r="N13" s="22" t="str">
        <f>INDEX(Cronograma!M$5:M$11,MATCH($B13,Premissas!$A$39:$A$45,0))</f>
        <v/>
      </c>
      <c r="O13" s="22" t="str">
        <f>INDEX(Cronograma!N$5:N$11,MATCH($B13,Premissas!$A$39:$A$45,0))</f>
        <v/>
      </c>
      <c r="P13" s="22" t="str">
        <f>INDEX(Cronograma!O$5:O$11,MATCH($B13,Premissas!$A$39:$A$45,0))</f>
        <v>A</v>
      </c>
      <c r="Q13" s="22" t="str">
        <f>INDEX(Cronograma!P$5:P$11,MATCH($B13,Premissas!$A$39:$A$45,0))</f>
        <v/>
      </c>
      <c r="R13" s="22" t="str">
        <f>INDEX(Cronograma!Q$5:Q$11,MATCH($B13,Premissas!$A$39:$A$45,0))</f>
        <v/>
      </c>
      <c r="S13" s="22" t="str">
        <f>INDEX(Cronograma!R$5:R$11,MATCH($B13,Premissas!$A$39:$A$45,0))</f>
        <v/>
      </c>
      <c r="T13" s="22" t="str">
        <f>INDEX(Cronograma!S$5:S$11,MATCH($B13,Premissas!$A$39:$A$45,0))</f>
        <v/>
      </c>
      <c r="U13" s="22" t="str">
        <f>INDEX(Cronograma!T$5:T$11,MATCH($B13,Premissas!$A$39:$A$45,0))</f>
        <v/>
      </c>
      <c r="V13" s="22" t="str">
        <f>INDEX(Cronograma!U$5:U$11,MATCH($B13,Premissas!$A$39:$A$45,0))</f>
        <v>S</v>
      </c>
      <c r="W13" s="22" t="str">
        <f>INDEX(Cronograma!V$5:V$11,MATCH($B13,Premissas!$A$39:$A$45,0))</f>
        <v/>
      </c>
      <c r="X13" s="22" t="str">
        <f>INDEX(Cronograma!W$5:W$11,MATCH($B13,Premissas!$A$39:$A$45,0))</f>
        <v/>
      </c>
      <c r="Y13" s="22" t="str">
        <f>INDEX(Cronograma!X$5:X$11,MATCH($B13,Premissas!$A$39:$A$45,0))</f>
        <v/>
      </c>
      <c r="Z13" s="22" t="str">
        <f>INDEX(Cronograma!Y$5:Y$11,MATCH($B13,Premissas!$A$39:$A$45,0))</f>
        <v/>
      </c>
      <c r="AA13" s="22" t="str">
        <f>INDEX(Cronograma!Z$5:Z$11,MATCH($B13,Premissas!$A$39:$A$45,0))</f>
        <v/>
      </c>
      <c r="AB13" s="22" t="str">
        <f>INDEX(Cronograma!AA$5:AA$11,MATCH($B13,Premissas!$A$39:$A$45,0))</f>
        <v/>
      </c>
      <c r="AC13" s="22" t="str">
        <f>INDEX(Cronograma!AB$5:AB$11,MATCH($B13,Premissas!$A$39:$A$45,0))</f>
        <v>B</v>
      </c>
      <c r="AD13" s="22" t="str">
        <f>INDEX(Cronograma!AC$5:AC$11,MATCH($B13,Premissas!$A$39:$A$45,0))</f>
        <v/>
      </c>
      <c r="AE13" s="22" t="str">
        <f>INDEX(Cronograma!AD$5:AD$11,MATCH($B13,Premissas!$A$39:$A$45,0))</f>
        <v/>
      </c>
      <c r="AF13" s="22" t="str">
        <f>INDEX(Cronograma!AE$5:AE$11,MATCH($B13,Premissas!$A$39:$A$45,0))</f>
        <v/>
      </c>
      <c r="AG13" s="22" t="str">
        <f>INDEX(Cronograma!AF$5:AF$11,MATCH($B13,Premissas!$A$39:$A$45,0))</f>
        <v/>
      </c>
      <c r="AH13" s="22" t="str">
        <f>INDEX(Cronograma!AG$5:AG$11,MATCH($B13,Premissas!$A$39:$A$45,0))</f>
        <v/>
      </c>
      <c r="AI13" s="22" t="str">
        <f>INDEX(Cronograma!AH$5:AH$11,MATCH($B13,Premissas!$A$39:$A$45,0))</f>
        <v/>
      </c>
      <c r="AJ13" s="22" t="str">
        <f>INDEX(Cronograma!AI$5:AI$11,MATCH($B13,Premissas!$A$39:$A$45,0))</f>
        <v/>
      </c>
      <c r="AK13" s="22" t="str">
        <f>INDEX(Cronograma!AJ$5:AJ$11,MATCH($B13,Premissas!$A$39:$A$45,0))</f>
        <v/>
      </c>
      <c r="AL13" s="22" t="str">
        <f>INDEX(Cronograma!AK$5:AK$11,MATCH($B13,Premissas!$A$39:$A$45,0))</f>
        <v/>
      </c>
      <c r="AM13" s="22" t="str">
        <f>INDEX(Cronograma!AL$5:AL$11,MATCH($B13,Premissas!$A$39:$A$45,0))</f>
        <v/>
      </c>
      <c r="AN13" s="22" t="str">
        <f>INDEX(Cronograma!AM$5:AM$11,MATCH($B13,Premissas!$A$39:$A$45,0))</f>
        <v/>
      </c>
      <c r="AO13" s="22" t="str">
        <f>INDEX(Cronograma!AN$5:AN$11,MATCH($B13,Premissas!$A$39:$A$45,0))</f>
        <v/>
      </c>
      <c r="AP13" s="22" t="str">
        <f>INDEX(Cronograma!AO$5:AO$11,MATCH($B13,Premissas!$A$39:$A$45,0))</f>
        <v>S</v>
      </c>
      <c r="AQ13" s="22" t="str">
        <f>INDEX(Cronograma!AP$5:AP$11,MATCH($B13,Premissas!$A$39:$A$45,0))</f>
        <v/>
      </c>
      <c r="AR13" s="22" t="str">
        <f>INDEX(Cronograma!AQ$5:AQ$11,MATCH($B13,Premissas!$A$39:$A$45,0))</f>
        <v/>
      </c>
      <c r="AS13" s="22" t="str">
        <f>INDEX(Cronograma!AR$5:AR$11,MATCH($B13,Premissas!$A$39:$A$45,0))</f>
        <v/>
      </c>
      <c r="AT13" s="22" t="str">
        <f>INDEX(Cronograma!AS$5:AS$11,MATCH($B13,Premissas!$A$39:$A$45,0))</f>
        <v/>
      </c>
      <c r="AU13" s="22" t="str">
        <f>INDEX(Cronograma!AT$5:AT$11,MATCH($B13,Premissas!$A$39:$A$45,0))</f>
        <v/>
      </c>
      <c r="AV13" s="22" t="str">
        <f>INDEX(Cronograma!AU$5:AU$11,MATCH($B13,Premissas!$A$39:$A$45,0))</f>
        <v/>
      </c>
      <c r="AW13" s="22" t="str">
        <f>INDEX(Cronograma!AV$5:AV$11,MATCH($B13,Premissas!$A$39:$A$45,0))</f>
        <v/>
      </c>
      <c r="AX13" s="22" t="str">
        <f>INDEX(Cronograma!AW$5:AW$11,MATCH($B13,Premissas!$A$39:$A$45,0))</f>
        <v/>
      </c>
      <c r="AY13" s="22" t="str">
        <f>INDEX(Cronograma!AX$5:AX$11,MATCH($B13,Premissas!$A$39:$A$45,0))</f>
        <v/>
      </c>
      <c r="AZ13" s="22" t="str">
        <f>INDEX(Cronograma!AY$5:AY$11,MATCH($B13,Premissas!$A$39:$A$45,0))</f>
        <v/>
      </c>
      <c r="BA13" s="22" t="str">
        <f>INDEX(Cronograma!AZ$5:AZ$11,MATCH($B13,Premissas!$A$39:$A$45,0))</f>
        <v/>
      </c>
      <c r="BB13" s="22" t="str">
        <f>INDEX(Cronograma!BA$5:BA$11,MATCH($B13,Premissas!$A$39:$A$45,0))</f>
        <v/>
      </c>
    </row>
    <row r="14" spans="1:56" ht="15" customHeight="1" x14ac:dyDescent="0.4">
      <c r="A14" s="15" t="str">
        <f>Frota!$B14&amp;" — "&amp;Frota!$A14</f>
        <v>MB 2729 6x4 — 101051</v>
      </c>
      <c r="B14" s="16" t="str">
        <f>Frota!$C14</f>
        <v>Caminhão</v>
      </c>
      <c r="C14" s="22" t="str">
        <f>INDEX(Cronograma!B$5:B$11,MATCH($B14,Premissas!$A$39:$A$45,0))</f>
        <v/>
      </c>
      <c r="D14" s="22" t="str">
        <f>INDEX(Cronograma!C$5:C$11,MATCH($B14,Premissas!$A$39:$A$45,0))</f>
        <v/>
      </c>
      <c r="E14" s="22" t="str">
        <f>INDEX(Cronograma!D$5:D$11,MATCH($B14,Premissas!$A$39:$A$45,0))</f>
        <v/>
      </c>
      <c r="F14" s="22" t="str">
        <f>INDEX(Cronograma!E$5:E$11,MATCH($B14,Premissas!$A$39:$A$45,0))</f>
        <v/>
      </c>
      <c r="G14" s="22" t="str">
        <f>INDEX(Cronograma!F$5:F$11,MATCH($B14,Premissas!$A$39:$A$45,0))</f>
        <v/>
      </c>
      <c r="H14" s="22" t="str">
        <f>INDEX(Cronograma!G$5:G$11,MATCH($B14,Premissas!$A$39:$A$45,0))</f>
        <v/>
      </c>
      <c r="I14" s="22" t="str">
        <f>INDEX(Cronograma!H$5:H$11,MATCH($B14,Premissas!$A$39:$A$45,0))</f>
        <v>S</v>
      </c>
      <c r="J14" s="22" t="str">
        <f>INDEX(Cronograma!I$5:I$11,MATCH($B14,Premissas!$A$39:$A$45,0))</f>
        <v/>
      </c>
      <c r="K14" s="22" t="str">
        <f>INDEX(Cronograma!J$5:J$11,MATCH($B14,Premissas!$A$39:$A$45,0))</f>
        <v/>
      </c>
      <c r="L14" s="22" t="str">
        <f>INDEX(Cronograma!K$5:K$11,MATCH($B14,Premissas!$A$39:$A$45,0))</f>
        <v/>
      </c>
      <c r="M14" s="22" t="str">
        <f>INDEX(Cronograma!L$5:L$11,MATCH($B14,Premissas!$A$39:$A$45,0))</f>
        <v/>
      </c>
      <c r="N14" s="22" t="str">
        <f>INDEX(Cronograma!M$5:M$11,MATCH($B14,Premissas!$A$39:$A$45,0))</f>
        <v/>
      </c>
      <c r="O14" s="22" t="str">
        <f>INDEX(Cronograma!N$5:N$11,MATCH($B14,Premissas!$A$39:$A$45,0))</f>
        <v/>
      </c>
      <c r="P14" s="22" t="str">
        <f>INDEX(Cronograma!O$5:O$11,MATCH($B14,Premissas!$A$39:$A$45,0))</f>
        <v>A</v>
      </c>
      <c r="Q14" s="22" t="str">
        <f>INDEX(Cronograma!P$5:P$11,MATCH($B14,Premissas!$A$39:$A$45,0))</f>
        <v/>
      </c>
      <c r="R14" s="22" t="str">
        <f>INDEX(Cronograma!Q$5:Q$11,MATCH($B14,Premissas!$A$39:$A$45,0))</f>
        <v/>
      </c>
      <c r="S14" s="22" t="str">
        <f>INDEX(Cronograma!R$5:R$11,MATCH($B14,Premissas!$A$39:$A$45,0))</f>
        <v/>
      </c>
      <c r="T14" s="22" t="str">
        <f>INDEX(Cronograma!S$5:S$11,MATCH($B14,Premissas!$A$39:$A$45,0))</f>
        <v/>
      </c>
      <c r="U14" s="22" t="str">
        <f>INDEX(Cronograma!T$5:T$11,MATCH($B14,Premissas!$A$39:$A$45,0))</f>
        <v/>
      </c>
      <c r="V14" s="22" t="str">
        <f>INDEX(Cronograma!U$5:U$11,MATCH($B14,Premissas!$A$39:$A$45,0))</f>
        <v>S</v>
      </c>
      <c r="W14" s="22" t="str">
        <f>INDEX(Cronograma!V$5:V$11,MATCH($B14,Premissas!$A$39:$A$45,0))</f>
        <v/>
      </c>
      <c r="X14" s="22" t="str">
        <f>INDEX(Cronograma!W$5:W$11,MATCH($B14,Premissas!$A$39:$A$45,0))</f>
        <v/>
      </c>
      <c r="Y14" s="22" t="str">
        <f>INDEX(Cronograma!X$5:X$11,MATCH($B14,Premissas!$A$39:$A$45,0))</f>
        <v/>
      </c>
      <c r="Z14" s="22" t="str">
        <f>INDEX(Cronograma!Y$5:Y$11,MATCH($B14,Premissas!$A$39:$A$45,0))</f>
        <v/>
      </c>
      <c r="AA14" s="22" t="str">
        <f>INDEX(Cronograma!Z$5:Z$11,MATCH($B14,Premissas!$A$39:$A$45,0))</f>
        <v/>
      </c>
      <c r="AB14" s="22" t="str">
        <f>INDEX(Cronograma!AA$5:AA$11,MATCH($B14,Premissas!$A$39:$A$45,0))</f>
        <v/>
      </c>
      <c r="AC14" s="22" t="str">
        <f>INDEX(Cronograma!AB$5:AB$11,MATCH($B14,Premissas!$A$39:$A$45,0))</f>
        <v>B</v>
      </c>
      <c r="AD14" s="22" t="str">
        <f>INDEX(Cronograma!AC$5:AC$11,MATCH($B14,Premissas!$A$39:$A$45,0))</f>
        <v/>
      </c>
      <c r="AE14" s="22" t="str">
        <f>INDEX(Cronograma!AD$5:AD$11,MATCH($B14,Premissas!$A$39:$A$45,0))</f>
        <v/>
      </c>
      <c r="AF14" s="22" t="str">
        <f>INDEX(Cronograma!AE$5:AE$11,MATCH($B14,Premissas!$A$39:$A$45,0))</f>
        <v/>
      </c>
      <c r="AG14" s="22" t="str">
        <f>INDEX(Cronograma!AF$5:AF$11,MATCH($B14,Premissas!$A$39:$A$45,0))</f>
        <v/>
      </c>
      <c r="AH14" s="22" t="str">
        <f>INDEX(Cronograma!AG$5:AG$11,MATCH($B14,Premissas!$A$39:$A$45,0))</f>
        <v/>
      </c>
      <c r="AI14" s="22" t="str">
        <f>INDEX(Cronograma!AH$5:AH$11,MATCH($B14,Premissas!$A$39:$A$45,0))</f>
        <v/>
      </c>
      <c r="AJ14" s="22" t="str">
        <f>INDEX(Cronograma!AI$5:AI$11,MATCH($B14,Premissas!$A$39:$A$45,0))</f>
        <v/>
      </c>
      <c r="AK14" s="22" t="str">
        <f>INDEX(Cronograma!AJ$5:AJ$11,MATCH($B14,Premissas!$A$39:$A$45,0))</f>
        <v/>
      </c>
      <c r="AL14" s="22" t="str">
        <f>INDEX(Cronograma!AK$5:AK$11,MATCH($B14,Premissas!$A$39:$A$45,0))</f>
        <v/>
      </c>
      <c r="AM14" s="22" t="str">
        <f>INDEX(Cronograma!AL$5:AL$11,MATCH($B14,Premissas!$A$39:$A$45,0))</f>
        <v/>
      </c>
      <c r="AN14" s="22" t="str">
        <f>INDEX(Cronograma!AM$5:AM$11,MATCH($B14,Premissas!$A$39:$A$45,0))</f>
        <v/>
      </c>
      <c r="AO14" s="22" t="str">
        <f>INDEX(Cronograma!AN$5:AN$11,MATCH($B14,Premissas!$A$39:$A$45,0))</f>
        <v/>
      </c>
      <c r="AP14" s="22" t="str">
        <f>INDEX(Cronograma!AO$5:AO$11,MATCH($B14,Premissas!$A$39:$A$45,0))</f>
        <v>S</v>
      </c>
      <c r="AQ14" s="22" t="str">
        <f>INDEX(Cronograma!AP$5:AP$11,MATCH($B14,Premissas!$A$39:$A$45,0))</f>
        <v/>
      </c>
      <c r="AR14" s="22" t="str">
        <f>INDEX(Cronograma!AQ$5:AQ$11,MATCH($B14,Premissas!$A$39:$A$45,0))</f>
        <v/>
      </c>
      <c r="AS14" s="22" t="str">
        <f>INDEX(Cronograma!AR$5:AR$11,MATCH($B14,Premissas!$A$39:$A$45,0))</f>
        <v/>
      </c>
      <c r="AT14" s="22" t="str">
        <f>INDEX(Cronograma!AS$5:AS$11,MATCH($B14,Premissas!$A$39:$A$45,0))</f>
        <v/>
      </c>
      <c r="AU14" s="22" t="str">
        <f>INDEX(Cronograma!AT$5:AT$11,MATCH($B14,Premissas!$A$39:$A$45,0))</f>
        <v/>
      </c>
      <c r="AV14" s="22" t="str">
        <f>INDEX(Cronograma!AU$5:AU$11,MATCH($B14,Premissas!$A$39:$A$45,0))</f>
        <v/>
      </c>
      <c r="AW14" s="22" t="str">
        <f>INDEX(Cronograma!AV$5:AV$11,MATCH($B14,Premissas!$A$39:$A$45,0))</f>
        <v/>
      </c>
      <c r="AX14" s="22" t="str">
        <f>INDEX(Cronograma!AW$5:AW$11,MATCH($B14,Premissas!$A$39:$A$45,0))</f>
        <v/>
      </c>
      <c r="AY14" s="22" t="str">
        <f>INDEX(Cronograma!AX$5:AX$11,MATCH($B14,Premissas!$A$39:$A$45,0))</f>
        <v/>
      </c>
      <c r="AZ14" s="22" t="str">
        <f>INDEX(Cronograma!AY$5:AY$11,MATCH($B14,Premissas!$A$39:$A$45,0))</f>
        <v/>
      </c>
      <c r="BA14" s="22" t="str">
        <f>INDEX(Cronograma!AZ$5:AZ$11,MATCH($B14,Premissas!$A$39:$A$45,0))</f>
        <v/>
      </c>
      <c r="BB14" s="22" t="str">
        <f>INDEX(Cronograma!BA$5:BA$11,MATCH($B14,Premissas!$A$39:$A$45,0))</f>
        <v/>
      </c>
    </row>
    <row r="15" spans="1:56" ht="15" customHeight="1" x14ac:dyDescent="0.4">
      <c r="A15" s="15" t="str">
        <f>Frota!$B15&amp;" — "&amp;Frota!$A15</f>
        <v>MB 2729 6x4 — 101052</v>
      </c>
      <c r="B15" s="16" t="str">
        <f>Frota!$C15</f>
        <v>Caminhão</v>
      </c>
      <c r="C15" s="22" t="str">
        <f>INDEX(Cronograma!B$5:B$11,MATCH($B15,Premissas!$A$39:$A$45,0))</f>
        <v/>
      </c>
      <c r="D15" s="22" t="str">
        <f>INDEX(Cronograma!C$5:C$11,MATCH($B15,Premissas!$A$39:$A$45,0))</f>
        <v/>
      </c>
      <c r="E15" s="22" t="str">
        <f>INDEX(Cronograma!D$5:D$11,MATCH($B15,Premissas!$A$39:$A$45,0))</f>
        <v/>
      </c>
      <c r="F15" s="22" t="str">
        <f>INDEX(Cronograma!E$5:E$11,MATCH($B15,Premissas!$A$39:$A$45,0))</f>
        <v/>
      </c>
      <c r="G15" s="22" t="str">
        <f>INDEX(Cronograma!F$5:F$11,MATCH($B15,Premissas!$A$39:$A$45,0))</f>
        <v/>
      </c>
      <c r="H15" s="22" t="str">
        <f>INDEX(Cronograma!G$5:G$11,MATCH($B15,Premissas!$A$39:$A$45,0))</f>
        <v/>
      </c>
      <c r="I15" s="22" t="str">
        <f>INDEX(Cronograma!H$5:H$11,MATCH($B15,Premissas!$A$39:$A$45,0))</f>
        <v>S</v>
      </c>
      <c r="J15" s="22" t="str">
        <f>INDEX(Cronograma!I$5:I$11,MATCH($B15,Premissas!$A$39:$A$45,0))</f>
        <v/>
      </c>
      <c r="K15" s="22" t="str">
        <f>INDEX(Cronograma!J$5:J$11,MATCH($B15,Premissas!$A$39:$A$45,0))</f>
        <v/>
      </c>
      <c r="L15" s="22" t="str">
        <f>INDEX(Cronograma!K$5:K$11,MATCH($B15,Premissas!$A$39:$A$45,0))</f>
        <v/>
      </c>
      <c r="M15" s="22" t="str">
        <f>INDEX(Cronograma!L$5:L$11,MATCH($B15,Premissas!$A$39:$A$45,0))</f>
        <v/>
      </c>
      <c r="N15" s="22" t="str">
        <f>INDEX(Cronograma!M$5:M$11,MATCH($B15,Premissas!$A$39:$A$45,0))</f>
        <v/>
      </c>
      <c r="O15" s="22" t="str">
        <f>INDEX(Cronograma!N$5:N$11,MATCH($B15,Premissas!$A$39:$A$45,0))</f>
        <v/>
      </c>
      <c r="P15" s="22" t="str">
        <f>INDEX(Cronograma!O$5:O$11,MATCH($B15,Premissas!$A$39:$A$45,0))</f>
        <v>A</v>
      </c>
      <c r="Q15" s="22" t="str">
        <f>INDEX(Cronograma!P$5:P$11,MATCH($B15,Premissas!$A$39:$A$45,0))</f>
        <v/>
      </c>
      <c r="R15" s="22" t="str">
        <f>INDEX(Cronograma!Q$5:Q$11,MATCH($B15,Premissas!$A$39:$A$45,0))</f>
        <v/>
      </c>
      <c r="S15" s="22" t="str">
        <f>INDEX(Cronograma!R$5:R$11,MATCH($B15,Premissas!$A$39:$A$45,0))</f>
        <v/>
      </c>
      <c r="T15" s="22" t="str">
        <f>INDEX(Cronograma!S$5:S$11,MATCH($B15,Premissas!$A$39:$A$45,0))</f>
        <v/>
      </c>
      <c r="U15" s="22" t="str">
        <f>INDEX(Cronograma!T$5:T$11,MATCH($B15,Premissas!$A$39:$A$45,0))</f>
        <v/>
      </c>
      <c r="V15" s="22" t="str">
        <f>INDEX(Cronograma!U$5:U$11,MATCH($B15,Premissas!$A$39:$A$45,0))</f>
        <v>S</v>
      </c>
      <c r="W15" s="22" t="str">
        <f>INDEX(Cronograma!V$5:V$11,MATCH($B15,Premissas!$A$39:$A$45,0))</f>
        <v/>
      </c>
      <c r="X15" s="22" t="str">
        <f>INDEX(Cronograma!W$5:W$11,MATCH($B15,Premissas!$A$39:$A$45,0))</f>
        <v/>
      </c>
      <c r="Y15" s="22" t="str">
        <f>INDEX(Cronograma!X$5:X$11,MATCH($B15,Premissas!$A$39:$A$45,0))</f>
        <v/>
      </c>
      <c r="Z15" s="22" t="str">
        <f>INDEX(Cronograma!Y$5:Y$11,MATCH($B15,Premissas!$A$39:$A$45,0))</f>
        <v/>
      </c>
      <c r="AA15" s="22" t="str">
        <f>INDEX(Cronograma!Z$5:Z$11,MATCH($B15,Premissas!$A$39:$A$45,0))</f>
        <v/>
      </c>
      <c r="AB15" s="22" t="str">
        <f>INDEX(Cronograma!AA$5:AA$11,MATCH($B15,Premissas!$A$39:$A$45,0))</f>
        <v/>
      </c>
      <c r="AC15" s="22" t="str">
        <f>INDEX(Cronograma!AB$5:AB$11,MATCH($B15,Premissas!$A$39:$A$45,0))</f>
        <v>B</v>
      </c>
      <c r="AD15" s="22" t="str">
        <f>INDEX(Cronograma!AC$5:AC$11,MATCH($B15,Premissas!$A$39:$A$45,0))</f>
        <v/>
      </c>
      <c r="AE15" s="22" t="str">
        <f>INDEX(Cronograma!AD$5:AD$11,MATCH($B15,Premissas!$A$39:$A$45,0))</f>
        <v/>
      </c>
      <c r="AF15" s="22" t="str">
        <f>INDEX(Cronograma!AE$5:AE$11,MATCH($B15,Premissas!$A$39:$A$45,0))</f>
        <v/>
      </c>
      <c r="AG15" s="22" t="str">
        <f>INDEX(Cronograma!AF$5:AF$11,MATCH($B15,Premissas!$A$39:$A$45,0))</f>
        <v/>
      </c>
      <c r="AH15" s="22" t="str">
        <f>INDEX(Cronograma!AG$5:AG$11,MATCH($B15,Premissas!$A$39:$A$45,0))</f>
        <v/>
      </c>
      <c r="AI15" s="22" t="str">
        <f>INDEX(Cronograma!AH$5:AH$11,MATCH($B15,Premissas!$A$39:$A$45,0))</f>
        <v/>
      </c>
      <c r="AJ15" s="22" t="str">
        <f>INDEX(Cronograma!AI$5:AI$11,MATCH($B15,Premissas!$A$39:$A$45,0))</f>
        <v/>
      </c>
      <c r="AK15" s="22" t="str">
        <f>INDEX(Cronograma!AJ$5:AJ$11,MATCH($B15,Premissas!$A$39:$A$45,0))</f>
        <v/>
      </c>
      <c r="AL15" s="22" t="str">
        <f>INDEX(Cronograma!AK$5:AK$11,MATCH($B15,Premissas!$A$39:$A$45,0))</f>
        <v/>
      </c>
      <c r="AM15" s="22" t="str">
        <f>INDEX(Cronograma!AL$5:AL$11,MATCH($B15,Premissas!$A$39:$A$45,0))</f>
        <v/>
      </c>
      <c r="AN15" s="22" t="str">
        <f>INDEX(Cronograma!AM$5:AM$11,MATCH($B15,Premissas!$A$39:$A$45,0))</f>
        <v/>
      </c>
      <c r="AO15" s="22" t="str">
        <f>INDEX(Cronograma!AN$5:AN$11,MATCH($B15,Premissas!$A$39:$A$45,0))</f>
        <v/>
      </c>
      <c r="AP15" s="22" t="str">
        <f>INDEX(Cronograma!AO$5:AO$11,MATCH($B15,Premissas!$A$39:$A$45,0))</f>
        <v>S</v>
      </c>
      <c r="AQ15" s="22" t="str">
        <f>INDEX(Cronograma!AP$5:AP$11,MATCH($B15,Premissas!$A$39:$A$45,0))</f>
        <v/>
      </c>
      <c r="AR15" s="22" t="str">
        <f>INDEX(Cronograma!AQ$5:AQ$11,MATCH($B15,Premissas!$A$39:$A$45,0))</f>
        <v/>
      </c>
      <c r="AS15" s="22" t="str">
        <f>INDEX(Cronograma!AR$5:AR$11,MATCH($B15,Premissas!$A$39:$A$45,0))</f>
        <v/>
      </c>
      <c r="AT15" s="22" t="str">
        <f>INDEX(Cronograma!AS$5:AS$11,MATCH($B15,Premissas!$A$39:$A$45,0))</f>
        <v/>
      </c>
      <c r="AU15" s="22" t="str">
        <f>INDEX(Cronograma!AT$5:AT$11,MATCH($B15,Premissas!$A$39:$A$45,0))</f>
        <v/>
      </c>
      <c r="AV15" s="22" t="str">
        <f>INDEX(Cronograma!AU$5:AU$11,MATCH($B15,Premissas!$A$39:$A$45,0))</f>
        <v/>
      </c>
      <c r="AW15" s="22" t="str">
        <f>INDEX(Cronograma!AV$5:AV$11,MATCH($B15,Premissas!$A$39:$A$45,0))</f>
        <v/>
      </c>
      <c r="AX15" s="22" t="str">
        <f>INDEX(Cronograma!AW$5:AW$11,MATCH($B15,Premissas!$A$39:$A$45,0))</f>
        <v/>
      </c>
      <c r="AY15" s="22" t="str">
        <f>INDEX(Cronograma!AX$5:AX$11,MATCH($B15,Premissas!$A$39:$A$45,0))</f>
        <v/>
      </c>
      <c r="AZ15" s="22" t="str">
        <f>INDEX(Cronograma!AY$5:AY$11,MATCH($B15,Premissas!$A$39:$A$45,0))</f>
        <v/>
      </c>
      <c r="BA15" s="22" t="str">
        <f>INDEX(Cronograma!AZ$5:AZ$11,MATCH($B15,Premissas!$A$39:$A$45,0))</f>
        <v/>
      </c>
      <c r="BB15" s="22" t="str">
        <f>INDEX(Cronograma!BA$5:BA$11,MATCH($B15,Premissas!$A$39:$A$45,0))</f>
        <v/>
      </c>
    </row>
    <row r="16" spans="1:56" ht="15" customHeight="1" x14ac:dyDescent="0.4">
      <c r="A16" s="15" t="str">
        <f>Frota!$B16&amp;" — "&amp;Frota!$A16</f>
        <v>MB 2729 6x4 — 101053</v>
      </c>
      <c r="B16" s="16" t="str">
        <f>Frota!$C16</f>
        <v>Caminhão</v>
      </c>
      <c r="C16" s="22" t="str">
        <f>INDEX(Cronograma!B$5:B$11,MATCH($B16,Premissas!$A$39:$A$45,0))</f>
        <v/>
      </c>
      <c r="D16" s="22" t="str">
        <f>INDEX(Cronograma!C$5:C$11,MATCH($B16,Premissas!$A$39:$A$45,0))</f>
        <v/>
      </c>
      <c r="E16" s="22" t="str">
        <f>INDEX(Cronograma!D$5:D$11,MATCH($B16,Premissas!$A$39:$A$45,0))</f>
        <v/>
      </c>
      <c r="F16" s="22" t="str">
        <f>INDEX(Cronograma!E$5:E$11,MATCH($B16,Premissas!$A$39:$A$45,0))</f>
        <v/>
      </c>
      <c r="G16" s="22" t="str">
        <f>INDEX(Cronograma!F$5:F$11,MATCH($B16,Premissas!$A$39:$A$45,0))</f>
        <v/>
      </c>
      <c r="H16" s="22" t="str">
        <f>INDEX(Cronograma!G$5:G$11,MATCH($B16,Premissas!$A$39:$A$45,0))</f>
        <v/>
      </c>
      <c r="I16" s="22" t="str">
        <f>INDEX(Cronograma!H$5:H$11,MATCH($B16,Premissas!$A$39:$A$45,0))</f>
        <v>S</v>
      </c>
      <c r="J16" s="22" t="str">
        <f>INDEX(Cronograma!I$5:I$11,MATCH($B16,Premissas!$A$39:$A$45,0))</f>
        <v/>
      </c>
      <c r="K16" s="22" t="str">
        <f>INDEX(Cronograma!J$5:J$11,MATCH($B16,Premissas!$A$39:$A$45,0))</f>
        <v/>
      </c>
      <c r="L16" s="22" t="str">
        <f>INDEX(Cronograma!K$5:K$11,MATCH($B16,Premissas!$A$39:$A$45,0))</f>
        <v/>
      </c>
      <c r="M16" s="22" t="str">
        <f>INDEX(Cronograma!L$5:L$11,MATCH($B16,Premissas!$A$39:$A$45,0))</f>
        <v/>
      </c>
      <c r="N16" s="22" t="str">
        <f>INDEX(Cronograma!M$5:M$11,MATCH($B16,Premissas!$A$39:$A$45,0))</f>
        <v/>
      </c>
      <c r="O16" s="22" t="str">
        <f>INDEX(Cronograma!N$5:N$11,MATCH($B16,Premissas!$A$39:$A$45,0))</f>
        <v/>
      </c>
      <c r="P16" s="22" t="str">
        <f>INDEX(Cronograma!O$5:O$11,MATCH($B16,Premissas!$A$39:$A$45,0))</f>
        <v>A</v>
      </c>
      <c r="Q16" s="22" t="str">
        <f>INDEX(Cronograma!P$5:P$11,MATCH($B16,Premissas!$A$39:$A$45,0))</f>
        <v/>
      </c>
      <c r="R16" s="22" t="str">
        <f>INDEX(Cronograma!Q$5:Q$11,MATCH($B16,Premissas!$A$39:$A$45,0))</f>
        <v/>
      </c>
      <c r="S16" s="22" t="str">
        <f>INDEX(Cronograma!R$5:R$11,MATCH($B16,Premissas!$A$39:$A$45,0))</f>
        <v/>
      </c>
      <c r="T16" s="22" t="str">
        <f>INDEX(Cronograma!S$5:S$11,MATCH($B16,Premissas!$A$39:$A$45,0))</f>
        <v/>
      </c>
      <c r="U16" s="22" t="str">
        <f>INDEX(Cronograma!T$5:T$11,MATCH($B16,Premissas!$A$39:$A$45,0))</f>
        <v/>
      </c>
      <c r="V16" s="22" t="str">
        <f>INDEX(Cronograma!U$5:U$11,MATCH($B16,Premissas!$A$39:$A$45,0))</f>
        <v>S</v>
      </c>
      <c r="W16" s="22" t="str">
        <f>INDEX(Cronograma!V$5:V$11,MATCH($B16,Premissas!$A$39:$A$45,0))</f>
        <v/>
      </c>
      <c r="X16" s="22" t="str">
        <f>INDEX(Cronograma!W$5:W$11,MATCH($B16,Premissas!$A$39:$A$45,0))</f>
        <v/>
      </c>
      <c r="Y16" s="22" t="str">
        <f>INDEX(Cronograma!X$5:X$11,MATCH($B16,Premissas!$A$39:$A$45,0))</f>
        <v/>
      </c>
      <c r="Z16" s="22" t="str">
        <f>INDEX(Cronograma!Y$5:Y$11,MATCH($B16,Premissas!$A$39:$A$45,0))</f>
        <v/>
      </c>
      <c r="AA16" s="22" t="str">
        <f>INDEX(Cronograma!Z$5:Z$11,MATCH($B16,Premissas!$A$39:$A$45,0))</f>
        <v/>
      </c>
      <c r="AB16" s="22" t="str">
        <f>INDEX(Cronograma!AA$5:AA$11,MATCH($B16,Premissas!$A$39:$A$45,0))</f>
        <v/>
      </c>
      <c r="AC16" s="22" t="str">
        <f>INDEX(Cronograma!AB$5:AB$11,MATCH($B16,Premissas!$A$39:$A$45,0))</f>
        <v>B</v>
      </c>
      <c r="AD16" s="22" t="str">
        <f>INDEX(Cronograma!AC$5:AC$11,MATCH($B16,Premissas!$A$39:$A$45,0))</f>
        <v/>
      </c>
      <c r="AE16" s="22" t="str">
        <f>INDEX(Cronograma!AD$5:AD$11,MATCH($B16,Premissas!$A$39:$A$45,0))</f>
        <v/>
      </c>
      <c r="AF16" s="22" t="str">
        <f>INDEX(Cronograma!AE$5:AE$11,MATCH($B16,Premissas!$A$39:$A$45,0))</f>
        <v/>
      </c>
      <c r="AG16" s="22" t="str">
        <f>INDEX(Cronograma!AF$5:AF$11,MATCH($B16,Premissas!$A$39:$A$45,0))</f>
        <v/>
      </c>
      <c r="AH16" s="22" t="str">
        <f>INDEX(Cronograma!AG$5:AG$11,MATCH($B16,Premissas!$A$39:$A$45,0))</f>
        <v/>
      </c>
      <c r="AI16" s="22" t="str">
        <f>INDEX(Cronograma!AH$5:AH$11,MATCH($B16,Premissas!$A$39:$A$45,0))</f>
        <v/>
      </c>
      <c r="AJ16" s="22" t="str">
        <f>INDEX(Cronograma!AI$5:AI$11,MATCH($B16,Premissas!$A$39:$A$45,0))</f>
        <v/>
      </c>
      <c r="AK16" s="22" t="str">
        <f>INDEX(Cronograma!AJ$5:AJ$11,MATCH($B16,Premissas!$A$39:$A$45,0))</f>
        <v/>
      </c>
      <c r="AL16" s="22" t="str">
        <f>INDEX(Cronograma!AK$5:AK$11,MATCH($B16,Premissas!$A$39:$A$45,0))</f>
        <v/>
      </c>
      <c r="AM16" s="22" t="str">
        <f>INDEX(Cronograma!AL$5:AL$11,MATCH($B16,Premissas!$A$39:$A$45,0))</f>
        <v/>
      </c>
      <c r="AN16" s="22" t="str">
        <f>INDEX(Cronograma!AM$5:AM$11,MATCH($B16,Premissas!$A$39:$A$45,0))</f>
        <v/>
      </c>
      <c r="AO16" s="22" t="str">
        <f>INDEX(Cronograma!AN$5:AN$11,MATCH($B16,Premissas!$A$39:$A$45,0))</f>
        <v/>
      </c>
      <c r="AP16" s="22" t="str">
        <f>INDEX(Cronograma!AO$5:AO$11,MATCH($B16,Premissas!$A$39:$A$45,0))</f>
        <v>S</v>
      </c>
      <c r="AQ16" s="22" t="str">
        <f>INDEX(Cronograma!AP$5:AP$11,MATCH($B16,Premissas!$A$39:$A$45,0))</f>
        <v/>
      </c>
      <c r="AR16" s="22" t="str">
        <f>INDEX(Cronograma!AQ$5:AQ$11,MATCH($B16,Premissas!$A$39:$A$45,0))</f>
        <v/>
      </c>
      <c r="AS16" s="22" t="str">
        <f>INDEX(Cronograma!AR$5:AR$11,MATCH($B16,Premissas!$A$39:$A$45,0))</f>
        <v/>
      </c>
      <c r="AT16" s="22" t="str">
        <f>INDEX(Cronograma!AS$5:AS$11,MATCH($B16,Premissas!$A$39:$A$45,0))</f>
        <v/>
      </c>
      <c r="AU16" s="22" t="str">
        <f>INDEX(Cronograma!AT$5:AT$11,MATCH($B16,Premissas!$A$39:$A$45,0))</f>
        <v/>
      </c>
      <c r="AV16" s="22" t="str">
        <f>INDEX(Cronograma!AU$5:AU$11,MATCH($B16,Premissas!$A$39:$A$45,0))</f>
        <v/>
      </c>
      <c r="AW16" s="22" t="str">
        <f>INDEX(Cronograma!AV$5:AV$11,MATCH($B16,Premissas!$A$39:$A$45,0))</f>
        <v/>
      </c>
      <c r="AX16" s="22" t="str">
        <f>INDEX(Cronograma!AW$5:AW$11,MATCH($B16,Premissas!$A$39:$A$45,0))</f>
        <v/>
      </c>
      <c r="AY16" s="22" t="str">
        <f>INDEX(Cronograma!AX$5:AX$11,MATCH($B16,Premissas!$A$39:$A$45,0))</f>
        <v/>
      </c>
      <c r="AZ16" s="22" t="str">
        <f>INDEX(Cronograma!AY$5:AY$11,MATCH($B16,Premissas!$A$39:$A$45,0))</f>
        <v/>
      </c>
      <c r="BA16" s="22" t="str">
        <f>INDEX(Cronograma!AZ$5:AZ$11,MATCH($B16,Premissas!$A$39:$A$45,0))</f>
        <v/>
      </c>
      <c r="BB16" s="22" t="str">
        <f>INDEX(Cronograma!BA$5:BA$11,MATCH($B16,Premissas!$A$39:$A$45,0))</f>
        <v/>
      </c>
    </row>
    <row r="17" spans="1:54" ht="15" customHeight="1" x14ac:dyDescent="0.4">
      <c r="A17" s="15" t="str">
        <f>Frota!$B17&amp;" — "&amp;Frota!$A17</f>
        <v>MB 2729 6x4 — 101054</v>
      </c>
      <c r="B17" s="16" t="str">
        <f>Frota!$C17</f>
        <v>Caminhão</v>
      </c>
      <c r="C17" s="22" t="str">
        <f>INDEX(Cronograma!B$5:B$11,MATCH($B17,Premissas!$A$39:$A$45,0))</f>
        <v/>
      </c>
      <c r="D17" s="22" t="str">
        <f>INDEX(Cronograma!C$5:C$11,MATCH($B17,Premissas!$A$39:$A$45,0))</f>
        <v/>
      </c>
      <c r="E17" s="22" t="str">
        <f>INDEX(Cronograma!D$5:D$11,MATCH($B17,Premissas!$A$39:$A$45,0))</f>
        <v/>
      </c>
      <c r="F17" s="22" t="str">
        <f>INDEX(Cronograma!E$5:E$11,MATCH($B17,Premissas!$A$39:$A$45,0))</f>
        <v/>
      </c>
      <c r="G17" s="22" t="str">
        <f>INDEX(Cronograma!F$5:F$11,MATCH($B17,Premissas!$A$39:$A$45,0))</f>
        <v/>
      </c>
      <c r="H17" s="22" t="str">
        <f>INDEX(Cronograma!G$5:G$11,MATCH($B17,Premissas!$A$39:$A$45,0))</f>
        <v/>
      </c>
      <c r="I17" s="22" t="str">
        <f>INDEX(Cronograma!H$5:H$11,MATCH($B17,Premissas!$A$39:$A$45,0))</f>
        <v>S</v>
      </c>
      <c r="J17" s="22" t="str">
        <f>INDEX(Cronograma!I$5:I$11,MATCH($B17,Premissas!$A$39:$A$45,0))</f>
        <v/>
      </c>
      <c r="K17" s="22" t="str">
        <f>INDEX(Cronograma!J$5:J$11,MATCH($B17,Premissas!$A$39:$A$45,0))</f>
        <v/>
      </c>
      <c r="L17" s="22" t="str">
        <f>INDEX(Cronograma!K$5:K$11,MATCH($B17,Premissas!$A$39:$A$45,0))</f>
        <v/>
      </c>
      <c r="M17" s="22" t="str">
        <f>INDEX(Cronograma!L$5:L$11,MATCH($B17,Premissas!$A$39:$A$45,0))</f>
        <v/>
      </c>
      <c r="N17" s="22" t="str">
        <f>INDEX(Cronograma!M$5:M$11,MATCH($B17,Premissas!$A$39:$A$45,0))</f>
        <v/>
      </c>
      <c r="O17" s="22" t="str">
        <f>INDEX(Cronograma!N$5:N$11,MATCH($B17,Premissas!$A$39:$A$45,0))</f>
        <v/>
      </c>
      <c r="P17" s="22" t="str">
        <f>INDEX(Cronograma!O$5:O$11,MATCH($B17,Premissas!$A$39:$A$45,0))</f>
        <v>A</v>
      </c>
      <c r="Q17" s="22" t="str">
        <f>INDEX(Cronograma!P$5:P$11,MATCH($B17,Premissas!$A$39:$A$45,0))</f>
        <v/>
      </c>
      <c r="R17" s="22" t="str">
        <f>INDEX(Cronograma!Q$5:Q$11,MATCH($B17,Premissas!$A$39:$A$45,0))</f>
        <v/>
      </c>
      <c r="S17" s="22" t="str">
        <f>INDEX(Cronograma!R$5:R$11,MATCH($B17,Premissas!$A$39:$A$45,0))</f>
        <v/>
      </c>
      <c r="T17" s="22" t="str">
        <f>INDEX(Cronograma!S$5:S$11,MATCH($B17,Premissas!$A$39:$A$45,0))</f>
        <v/>
      </c>
      <c r="U17" s="22" t="str">
        <f>INDEX(Cronograma!T$5:T$11,MATCH($B17,Premissas!$A$39:$A$45,0))</f>
        <v/>
      </c>
      <c r="V17" s="22" t="str">
        <f>INDEX(Cronograma!U$5:U$11,MATCH($B17,Premissas!$A$39:$A$45,0))</f>
        <v>S</v>
      </c>
      <c r="W17" s="22" t="str">
        <f>INDEX(Cronograma!V$5:V$11,MATCH($B17,Premissas!$A$39:$A$45,0))</f>
        <v/>
      </c>
      <c r="X17" s="22" t="str">
        <f>INDEX(Cronograma!W$5:W$11,MATCH($B17,Premissas!$A$39:$A$45,0))</f>
        <v/>
      </c>
      <c r="Y17" s="22" t="str">
        <f>INDEX(Cronograma!X$5:X$11,MATCH($B17,Premissas!$A$39:$A$45,0))</f>
        <v/>
      </c>
      <c r="Z17" s="22" t="str">
        <f>INDEX(Cronograma!Y$5:Y$11,MATCH($B17,Premissas!$A$39:$A$45,0))</f>
        <v/>
      </c>
      <c r="AA17" s="22" t="str">
        <f>INDEX(Cronograma!Z$5:Z$11,MATCH($B17,Premissas!$A$39:$A$45,0))</f>
        <v/>
      </c>
      <c r="AB17" s="22" t="str">
        <f>INDEX(Cronograma!AA$5:AA$11,MATCH($B17,Premissas!$A$39:$A$45,0))</f>
        <v/>
      </c>
      <c r="AC17" s="22" t="str">
        <f>INDEX(Cronograma!AB$5:AB$11,MATCH($B17,Premissas!$A$39:$A$45,0))</f>
        <v>B</v>
      </c>
      <c r="AD17" s="22" t="str">
        <f>INDEX(Cronograma!AC$5:AC$11,MATCH($B17,Premissas!$A$39:$A$45,0))</f>
        <v/>
      </c>
      <c r="AE17" s="22" t="str">
        <f>INDEX(Cronograma!AD$5:AD$11,MATCH($B17,Premissas!$A$39:$A$45,0))</f>
        <v/>
      </c>
      <c r="AF17" s="22" t="str">
        <f>INDEX(Cronograma!AE$5:AE$11,MATCH($B17,Premissas!$A$39:$A$45,0))</f>
        <v/>
      </c>
      <c r="AG17" s="22" t="str">
        <f>INDEX(Cronograma!AF$5:AF$11,MATCH($B17,Premissas!$A$39:$A$45,0))</f>
        <v/>
      </c>
      <c r="AH17" s="22" t="str">
        <f>INDEX(Cronograma!AG$5:AG$11,MATCH($B17,Premissas!$A$39:$A$45,0))</f>
        <v/>
      </c>
      <c r="AI17" s="22" t="str">
        <f>INDEX(Cronograma!AH$5:AH$11,MATCH($B17,Premissas!$A$39:$A$45,0))</f>
        <v/>
      </c>
      <c r="AJ17" s="22" t="str">
        <f>INDEX(Cronograma!AI$5:AI$11,MATCH($B17,Premissas!$A$39:$A$45,0))</f>
        <v/>
      </c>
      <c r="AK17" s="22" t="str">
        <f>INDEX(Cronograma!AJ$5:AJ$11,MATCH($B17,Premissas!$A$39:$A$45,0))</f>
        <v/>
      </c>
      <c r="AL17" s="22" t="str">
        <f>INDEX(Cronograma!AK$5:AK$11,MATCH($B17,Premissas!$A$39:$A$45,0))</f>
        <v/>
      </c>
      <c r="AM17" s="22" t="str">
        <f>INDEX(Cronograma!AL$5:AL$11,MATCH($B17,Premissas!$A$39:$A$45,0))</f>
        <v/>
      </c>
      <c r="AN17" s="22" t="str">
        <f>INDEX(Cronograma!AM$5:AM$11,MATCH($B17,Premissas!$A$39:$A$45,0))</f>
        <v/>
      </c>
      <c r="AO17" s="22" t="str">
        <f>INDEX(Cronograma!AN$5:AN$11,MATCH($B17,Premissas!$A$39:$A$45,0))</f>
        <v/>
      </c>
      <c r="AP17" s="22" t="str">
        <f>INDEX(Cronograma!AO$5:AO$11,MATCH($B17,Premissas!$A$39:$A$45,0))</f>
        <v>S</v>
      </c>
      <c r="AQ17" s="22" t="str">
        <f>INDEX(Cronograma!AP$5:AP$11,MATCH($B17,Premissas!$A$39:$A$45,0))</f>
        <v/>
      </c>
      <c r="AR17" s="22" t="str">
        <f>INDEX(Cronograma!AQ$5:AQ$11,MATCH($B17,Premissas!$A$39:$A$45,0))</f>
        <v/>
      </c>
      <c r="AS17" s="22" t="str">
        <f>INDEX(Cronograma!AR$5:AR$11,MATCH($B17,Premissas!$A$39:$A$45,0))</f>
        <v/>
      </c>
      <c r="AT17" s="22" t="str">
        <f>INDEX(Cronograma!AS$5:AS$11,MATCH($B17,Premissas!$A$39:$A$45,0))</f>
        <v/>
      </c>
      <c r="AU17" s="22" t="str">
        <f>INDEX(Cronograma!AT$5:AT$11,MATCH($B17,Premissas!$A$39:$A$45,0))</f>
        <v/>
      </c>
      <c r="AV17" s="22" t="str">
        <f>INDEX(Cronograma!AU$5:AU$11,MATCH($B17,Premissas!$A$39:$A$45,0))</f>
        <v/>
      </c>
      <c r="AW17" s="22" t="str">
        <f>INDEX(Cronograma!AV$5:AV$11,MATCH($B17,Premissas!$A$39:$A$45,0))</f>
        <v/>
      </c>
      <c r="AX17" s="22" t="str">
        <f>INDEX(Cronograma!AW$5:AW$11,MATCH($B17,Premissas!$A$39:$A$45,0))</f>
        <v/>
      </c>
      <c r="AY17" s="22" t="str">
        <f>INDEX(Cronograma!AX$5:AX$11,MATCH($B17,Premissas!$A$39:$A$45,0))</f>
        <v/>
      </c>
      <c r="AZ17" s="22" t="str">
        <f>INDEX(Cronograma!AY$5:AY$11,MATCH($B17,Premissas!$A$39:$A$45,0))</f>
        <v/>
      </c>
      <c r="BA17" s="22" t="str">
        <f>INDEX(Cronograma!AZ$5:AZ$11,MATCH($B17,Premissas!$A$39:$A$45,0))</f>
        <v/>
      </c>
      <c r="BB17" s="22" t="str">
        <f>INDEX(Cronograma!BA$5:BA$11,MATCH($B17,Premissas!$A$39:$A$45,0))</f>
        <v/>
      </c>
    </row>
    <row r="18" spans="1:54" ht="15" customHeight="1" x14ac:dyDescent="0.4">
      <c r="A18" s="15" t="str">
        <f>Frota!$B18&amp;" — "&amp;Frota!$A18</f>
        <v>MB 2540 6x2 — 101082</v>
      </c>
      <c r="B18" s="16" t="str">
        <f>Frota!$C18</f>
        <v>Caminhão</v>
      </c>
      <c r="C18" s="22" t="str">
        <f>INDEX(Cronograma!B$5:B$11,MATCH($B18,Premissas!$A$39:$A$45,0))</f>
        <v/>
      </c>
      <c r="D18" s="22" t="str">
        <f>INDEX(Cronograma!C$5:C$11,MATCH($B18,Premissas!$A$39:$A$45,0))</f>
        <v/>
      </c>
      <c r="E18" s="22" t="str">
        <f>INDEX(Cronograma!D$5:D$11,MATCH($B18,Premissas!$A$39:$A$45,0))</f>
        <v/>
      </c>
      <c r="F18" s="22" t="str">
        <f>INDEX(Cronograma!E$5:E$11,MATCH($B18,Premissas!$A$39:$A$45,0))</f>
        <v/>
      </c>
      <c r="G18" s="22" t="str">
        <f>INDEX(Cronograma!F$5:F$11,MATCH($B18,Premissas!$A$39:$A$45,0))</f>
        <v/>
      </c>
      <c r="H18" s="22" t="str">
        <f>INDEX(Cronograma!G$5:G$11,MATCH($B18,Premissas!$A$39:$A$45,0))</f>
        <v/>
      </c>
      <c r="I18" s="22" t="str">
        <f>INDEX(Cronograma!H$5:H$11,MATCH($B18,Premissas!$A$39:$A$45,0))</f>
        <v>S</v>
      </c>
      <c r="J18" s="22" t="str">
        <f>INDEX(Cronograma!I$5:I$11,MATCH($B18,Premissas!$A$39:$A$45,0))</f>
        <v/>
      </c>
      <c r="K18" s="22" t="str">
        <f>INDEX(Cronograma!J$5:J$11,MATCH($B18,Premissas!$A$39:$A$45,0))</f>
        <v/>
      </c>
      <c r="L18" s="22" t="str">
        <f>INDEX(Cronograma!K$5:K$11,MATCH($B18,Premissas!$A$39:$A$45,0))</f>
        <v/>
      </c>
      <c r="M18" s="22" t="str">
        <f>INDEX(Cronograma!L$5:L$11,MATCH($B18,Premissas!$A$39:$A$45,0))</f>
        <v/>
      </c>
      <c r="N18" s="22" t="str">
        <f>INDEX(Cronograma!M$5:M$11,MATCH($B18,Premissas!$A$39:$A$45,0))</f>
        <v/>
      </c>
      <c r="O18" s="22" t="str">
        <f>INDEX(Cronograma!N$5:N$11,MATCH($B18,Premissas!$A$39:$A$45,0))</f>
        <v/>
      </c>
      <c r="P18" s="22" t="str">
        <f>INDEX(Cronograma!O$5:O$11,MATCH($B18,Premissas!$A$39:$A$45,0))</f>
        <v>A</v>
      </c>
      <c r="Q18" s="22" t="str">
        <f>INDEX(Cronograma!P$5:P$11,MATCH($B18,Premissas!$A$39:$A$45,0))</f>
        <v/>
      </c>
      <c r="R18" s="22" t="str">
        <f>INDEX(Cronograma!Q$5:Q$11,MATCH($B18,Premissas!$A$39:$A$45,0))</f>
        <v/>
      </c>
      <c r="S18" s="22" t="str">
        <f>INDEX(Cronograma!R$5:R$11,MATCH($B18,Premissas!$A$39:$A$45,0))</f>
        <v/>
      </c>
      <c r="T18" s="22" t="str">
        <f>INDEX(Cronograma!S$5:S$11,MATCH($B18,Premissas!$A$39:$A$45,0))</f>
        <v/>
      </c>
      <c r="U18" s="22" t="str">
        <f>INDEX(Cronograma!T$5:T$11,MATCH($B18,Premissas!$A$39:$A$45,0))</f>
        <v/>
      </c>
      <c r="V18" s="22" t="str">
        <f>INDEX(Cronograma!U$5:U$11,MATCH($B18,Premissas!$A$39:$A$45,0))</f>
        <v>S</v>
      </c>
      <c r="W18" s="22" t="str">
        <f>INDEX(Cronograma!V$5:V$11,MATCH($B18,Premissas!$A$39:$A$45,0))</f>
        <v/>
      </c>
      <c r="X18" s="22" t="str">
        <f>INDEX(Cronograma!W$5:W$11,MATCH($B18,Premissas!$A$39:$A$45,0))</f>
        <v/>
      </c>
      <c r="Y18" s="22" t="str">
        <f>INDEX(Cronograma!X$5:X$11,MATCH($B18,Premissas!$A$39:$A$45,0))</f>
        <v/>
      </c>
      <c r="Z18" s="22" t="str">
        <f>INDEX(Cronograma!Y$5:Y$11,MATCH($B18,Premissas!$A$39:$A$45,0))</f>
        <v/>
      </c>
      <c r="AA18" s="22" t="str">
        <f>INDEX(Cronograma!Z$5:Z$11,MATCH($B18,Premissas!$A$39:$A$45,0))</f>
        <v/>
      </c>
      <c r="AB18" s="22" t="str">
        <f>INDEX(Cronograma!AA$5:AA$11,MATCH($B18,Premissas!$A$39:$A$45,0))</f>
        <v/>
      </c>
      <c r="AC18" s="22" t="str">
        <f>INDEX(Cronograma!AB$5:AB$11,MATCH($B18,Premissas!$A$39:$A$45,0))</f>
        <v>B</v>
      </c>
      <c r="AD18" s="22" t="str">
        <f>INDEX(Cronograma!AC$5:AC$11,MATCH($B18,Premissas!$A$39:$A$45,0))</f>
        <v/>
      </c>
      <c r="AE18" s="22" t="str">
        <f>INDEX(Cronograma!AD$5:AD$11,MATCH($B18,Premissas!$A$39:$A$45,0))</f>
        <v/>
      </c>
      <c r="AF18" s="22" t="str">
        <f>INDEX(Cronograma!AE$5:AE$11,MATCH($B18,Premissas!$A$39:$A$45,0))</f>
        <v/>
      </c>
      <c r="AG18" s="22" t="str">
        <f>INDEX(Cronograma!AF$5:AF$11,MATCH($B18,Premissas!$A$39:$A$45,0))</f>
        <v/>
      </c>
      <c r="AH18" s="22" t="str">
        <f>INDEX(Cronograma!AG$5:AG$11,MATCH($B18,Premissas!$A$39:$A$45,0))</f>
        <v/>
      </c>
      <c r="AI18" s="22" t="str">
        <f>INDEX(Cronograma!AH$5:AH$11,MATCH($B18,Premissas!$A$39:$A$45,0))</f>
        <v/>
      </c>
      <c r="AJ18" s="22" t="str">
        <f>INDEX(Cronograma!AI$5:AI$11,MATCH($B18,Premissas!$A$39:$A$45,0))</f>
        <v/>
      </c>
      <c r="AK18" s="22" t="str">
        <f>INDEX(Cronograma!AJ$5:AJ$11,MATCH($B18,Premissas!$A$39:$A$45,0))</f>
        <v/>
      </c>
      <c r="AL18" s="22" t="str">
        <f>INDEX(Cronograma!AK$5:AK$11,MATCH($B18,Premissas!$A$39:$A$45,0))</f>
        <v/>
      </c>
      <c r="AM18" s="22" t="str">
        <f>INDEX(Cronograma!AL$5:AL$11,MATCH($B18,Premissas!$A$39:$A$45,0))</f>
        <v/>
      </c>
      <c r="AN18" s="22" t="str">
        <f>INDEX(Cronograma!AM$5:AM$11,MATCH($B18,Premissas!$A$39:$A$45,0))</f>
        <v/>
      </c>
      <c r="AO18" s="22" t="str">
        <f>INDEX(Cronograma!AN$5:AN$11,MATCH($B18,Premissas!$A$39:$A$45,0))</f>
        <v/>
      </c>
      <c r="AP18" s="22" t="str">
        <f>INDEX(Cronograma!AO$5:AO$11,MATCH($B18,Premissas!$A$39:$A$45,0))</f>
        <v>S</v>
      </c>
      <c r="AQ18" s="22" t="str">
        <f>INDEX(Cronograma!AP$5:AP$11,MATCH($B18,Premissas!$A$39:$A$45,0))</f>
        <v/>
      </c>
      <c r="AR18" s="22" t="str">
        <f>INDEX(Cronograma!AQ$5:AQ$11,MATCH($B18,Premissas!$A$39:$A$45,0))</f>
        <v/>
      </c>
      <c r="AS18" s="22" t="str">
        <f>INDEX(Cronograma!AR$5:AR$11,MATCH($B18,Premissas!$A$39:$A$45,0))</f>
        <v/>
      </c>
      <c r="AT18" s="22" t="str">
        <f>INDEX(Cronograma!AS$5:AS$11,MATCH($B18,Premissas!$A$39:$A$45,0))</f>
        <v/>
      </c>
      <c r="AU18" s="22" t="str">
        <f>INDEX(Cronograma!AT$5:AT$11,MATCH($B18,Premissas!$A$39:$A$45,0))</f>
        <v/>
      </c>
      <c r="AV18" s="22" t="str">
        <f>INDEX(Cronograma!AU$5:AU$11,MATCH($B18,Premissas!$A$39:$A$45,0))</f>
        <v/>
      </c>
      <c r="AW18" s="22" t="str">
        <f>INDEX(Cronograma!AV$5:AV$11,MATCH($B18,Premissas!$A$39:$A$45,0))</f>
        <v/>
      </c>
      <c r="AX18" s="22" t="str">
        <f>INDEX(Cronograma!AW$5:AW$11,MATCH($B18,Premissas!$A$39:$A$45,0))</f>
        <v/>
      </c>
      <c r="AY18" s="22" t="str">
        <f>INDEX(Cronograma!AX$5:AX$11,MATCH($B18,Premissas!$A$39:$A$45,0))</f>
        <v/>
      </c>
      <c r="AZ18" s="22" t="str">
        <f>INDEX(Cronograma!AY$5:AY$11,MATCH($B18,Premissas!$A$39:$A$45,0))</f>
        <v/>
      </c>
      <c r="BA18" s="22" t="str">
        <f>INDEX(Cronograma!AZ$5:AZ$11,MATCH($B18,Premissas!$A$39:$A$45,0))</f>
        <v/>
      </c>
      <c r="BB18" s="22" t="str">
        <f>INDEX(Cronograma!BA$5:BA$11,MATCH($B18,Premissas!$A$39:$A$45,0))</f>
        <v/>
      </c>
    </row>
    <row r="19" spans="1:54" ht="15" customHeight="1" x14ac:dyDescent="0.4">
      <c r="A19" s="15" t="str">
        <f>Frota!$B19&amp;" — "&amp;Frota!$A19</f>
        <v>MB 2540 6x2 — 101083</v>
      </c>
      <c r="B19" s="16" t="str">
        <f>Frota!$C19</f>
        <v>Caminhão</v>
      </c>
      <c r="C19" s="22" t="str">
        <f>INDEX(Cronograma!B$5:B$11,MATCH($B19,Premissas!$A$39:$A$45,0))</f>
        <v/>
      </c>
      <c r="D19" s="22" t="str">
        <f>INDEX(Cronograma!C$5:C$11,MATCH($B19,Premissas!$A$39:$A$45,0))</f>
        <v/>
      </c>
      <c r="E19" s="22" t="str">
        <f>INDEX(Cronograma!D$5:D$11,MATCH($B19,Premissas!$A$39:$A$45,0))</f>
        <v/>
      </c>
      <c r="F19" s="22" t="str">
        <f>INDEX(Cronograma!E$5:E$11,MATCH($B19,Premissas!$A$39:$A$45,0))</f>
        <v/>
      </c>
      <c r="G19" s="22" t="str">
        <f>INDEX(Cronograma!F$5:F$11,MATCH($B19,Premissas!$A$39:$A$45,0))</f>
        <v/>
      </c>
      <c r="H19" s="22" t="str">
        <f>INDEX(Cronograma!G$5:G$11,MATCH($B19,Premissas!$A$39:$A$45,0))</f>
        <v/>
      </c>
      <c r="I19" s="22" t="str">
        <f>INDEX(Cronograma!H$5:H$11,MATCH($B19,Premissas!$A$39:$A$45,0))</f>
        <v>S</v>
      </c>
      <c r="J19" s="22" t="str">
        <f>INDEX(Cronograma!I$5:I$11,MATCH($B19,Premissas!$A$39:$A$45,0))</f>
        <v/>
      </c>
      <c r="K19" s="22" t="str">
        <f>INDEX(Cronograma!J$5:J$11,MATCH($B19,Premissas!$A$39:$A$45,0))</f>
        <v/>
      </c>
      <c r="L19" s="22" t="str">
        <f>INDEX(Cronograma!K$5:K$11,MATCH($B19,Premissas!$A$39:$A$45,0))</f>
        <v/>
      </c>
      <c r="M19" s="22" t="str">
        <f>INDEX(Cronograma!L$5:L$11,MATCH($B19,Premissas!$A$39:$A$45,0))</f>
        <v/>
      </c>
      <c r="N19" s="22" t="str">
        <f>INDEX(Cronograma!M$5:M$11,MATCH($B19,Premissas!$A$39:$A$45,0))</f>
        <v/>
      </c>
      <c r="O19" s="22" t="str">
        <f>INDEX(Cronograma!N$5:N$11,MATCH($B19,Premissas!$A$39:$A$45,0))</f>
        <v/>
      </c>
      <c r="P19" s="22" t="str">
        <f>INDEX(Cronograma!O$5:O$11,MATCH($B19,Premissas!$A$39:$A$45,0))</f>
        <v>A</v>
      </c>
      <c r="Q19" s="22" t="str">
        <f>INDEX(Cronograma!P$5:P$11,MATCH($B19,Premissas!$A$39:$A$45,0))</f>
        <v/>
      </c>
      <c r="R19" s="22" t="str">
        <f>INDEX(Cronograma!Q$5:Q$11,MATCH($B19,Premissas!$A$39:$A$45,0))</f>
        <v/>
      </c>
      <c r="S19" s="22" t="str">
        <f>INDEX(Cronograma!R$5:R$11,MATCH($B19,Premissas!$A$39:$A$45,0))</f>
        <v/>
      </c>
      <c r="T19" s="22" t="str">
        <f>INDEX(Cronograma!S$5:S$11,MATCH($B19,Premissas!$A$39:$A$45,0))</f>
        <v/>
      </c>
      <c r="U19" s="22" t="str">
        <f>INDEX(Cronograma!T$5:T$11,MATCH($B19,Premissas!$A$39:$A$45,0))</f>
        <v/>
      </c>
      <c r="V19" s="22" t="str">
        <f>INDEX(Cronograma!U$5:U$11,MATCH($B19,Premissas!$A$39:$A$45,0))</f>
        <v>S</v>
      </c>
      <c r="W19" s="22" t="str">
        <f>INDEX(Cronograma!V$5:V$11,MATCH($B19,Premissas!$A$39:$A$45,0))</f>
        <v/>
      </c>
      <c r="X19" s="22" t="str">
        <f>INDEX(Cronograma!W$5:W$11,MATCH($B19,Premissas!$A$39:$A$45,0))</f>
        <v/>
      </c>
      <c r="Y19" s="22" t="str">
        <f>INDEX(Cronograma!X$5:X$11,MATCH($B19,Premissas!$A$39:$A$45,0))</f>
        <v/>
      </c>
      <c r="Z19" s="22" t="str">
        <f>INDEX(Cronograma!Y$5:Y$11,MATCH($B19,Premissas!$A$39:$A$45,0))</f>
        <v/>
      </c>
      <c r="AA19" s="22" t="str">
        <f>INDEX(Cronograma!Z$5:Z$11,MATCH($B19,Premissas!$A$39:$A$45,0))</f>
        <v/>
      </c>
      <c r="AB19" s="22" t="str">
        <f>INDEX(Cronograma!AA$5:AA$11,MATCH($B19,Premissas!$A$39:$A$45,0))</f>
        <v/>
      </c>
      <c r="AC19" s="22" t="str">
        <f>INDEX(Cronograma!AB$5:AB$11,MATCH($B19,Premissas!$A$39:$A$45,0))</f>
        <v>B</v>
      </c>
      <c r="AD19" s="22" t="str">
        <f>INDEX(Cronograma!AC$5:AC$11,MATCH($B19,Premissas!$A$39:$A$45,0))</f>
        <v/>
      </c>
      <c r="AE19" s="22" t="str">
        <f>INDEX(Cronograma!AD$5:AD$11,MATCH($B19,Premissas!$A$39:$A$45,0))</f>
        <v/>
      </c>
      <c r="AF19" s="22" t="str">
        <f>INDEX(Cronograma!AE$5:AE$11,MATCH($B19,Premissas!$A$39:$A$45,0))</f>
        <v/>
      </c>
      <c r="AG19" s="22" t="str">
        <f>INDEX(Cronograma!AF$5:AF$11,MATCH($B19,Premissas!$A$39:$A$45,0))</f>
        <v/>
      </c>
      <c r="AH19" s="22" t="str">
        <f>INDEX(Cronograma!AG$5:AG$11,MATCH($B19,Premissas!$A$39:$A$45,0))</f>
        <v/>
      </c>
      <c r="AI19" s="22" t="str">
        <f>INDEX(Cronograma!AH$5:AH$11,MATCH($B19,Premissas!$A$39:$A$45,0))</f>
        <v/>
      </c>
      <c r="AJ19" s="22" t="str">
        <f>INDEX(Cronograma!AI$5:AI$11,MATCH($B19,Premissas!$A$39:$A$45,0))</f>
        <v/>
      </c>
      <c r="AK19" s="22" t="str">
        <f>INDEX(Cronograma!AJ$5:AJ$11,MATCH($B19,Premissas!$A$39:$A$45,0))</f>
        <v/>
      </c>
      <c r="AL19" s="22" t="str">
        <f>INDEX(Cronograma!AK$5:AK$11,MATCH($B19,Premissas!$A$39:$A$45,0))</f>
        <v/>
      </c>
      <c r="AM19" s="22" t="str">
        <f>INDEX(Cronograma!AL$5:AL$11,MATCH($B19,Premissas!$A$39:$A$45,0))</f>
        <v/>
      </c>
      <c r="AN19" s="22" t="str">
        <f>INDEX(Cronograma!AM$5:AM$11,MATCH($B19,Premissas!$A$39:$A$45,0))</f>
        <v/>
      </c>
      <c r="AO19" s="22" t="str">
        <f>INDEX(Cronograma!AN$5:AN$11,MATCH($B19,Premissas!$A$39:$A$45,0))</f>
        <v/>
      </c>
      <c r="AP19" s="22" t="str">
        <f>INDEX(Cronograma!AO$5:AO$11,MATCH($B19,Premissas!$A$39:$A$45,0))</f>
        <v>S</v>
      </c>
      <c r="AQ19" s="22" t="str">
        <f>INDEX(Cronograma!AP$5:AP$11,MATCH($B19,Premissas!$A$39:$A$45,0))</f>
        <v/>
      </c>
      <c r="AR19" s="22" t="str">
        <f>INDEX(Cronograma!AQ$5:AQ$11,MATCH($B19,Premissas!$A$39:$A$45,0))</f>
        <v/>
      </c>
      <c r="AS19" s="22" t="str">
        <f>INDEX(Cronograma!AR$5:AR$11,MATCH($B19,Premissas!$A$39:$A$45,0))</f>
        <v/>
      </c>
      <c r="AT19" s="22" t="str">
        <f>INDEX(Cronograma!AS$5:AS$11,MATCH($B19,Premissas!$A$39:$A$45,0))</f>
        <v/>
      </c>
      <c r="AU19" s="22" t="str">
        <f>INDEX(Cronograma!AT$5:AT$11,MATCH($B19,Premissas!$A$39:$A$45,0))</f>
        <v/>
      </c>
      <c r="AV19" s="22" t="str">
        <f>INDEX(Cronograma!AU$5:AU$11,MATCH($B19,Premissas!$A$39:$A$45,0))</f>
        <v/>
      </c>
      <c r="AW19" s="22" t="str">
        <f>INDEX(Cronograma!AV$5:AV$11,MATCH($B19,Premissas!$A$39:$A$45,0))</f>
        <v/>
      </c>
      <c r="AX19" s="22" t="str">
        <f>INDEX(Cronograma!AW$5:AW$11,MATCH($B19,Premissas!$A$39:$A$45,0))</f>
        <v/>
      </c>
      <c r="AY19" s="22" t="str">
        <f>INDEX(Cronograma!AX$5:AX$11,MATCH($B19,Premissas!$A$39:$A$45,0))</f>
        <v/>
      </c>
      <c r="AZ19" s="22" t="str">
        <f>INDEX(Cronograma!AY$5:AY$11,MATCH($B19,Premissas!$A$39:$A$45,0))</f>
        <v/>
      </c>
      <c r="BA19" s="22" t="str">
        <f>INDEX(Cronograma!AZ$5:AZ$11,MATCH($B19,Premissas!$A$39:$A$45,0))</f>
        <v/>
      </c>
      <c r="BB19" s="22" t="str">
        <f>INDEX(Cronograma!BA$5:BA$11,MATCH($B19,Premissas!$A$39:$A$45,0))</f>
        <v/>
      </c>
    </row>
    <row r="20" spans="1:54" ht="15" customHeight="1" x14ac:dyDescent="0.4">
      <c r="A20" s="15" t="str">
        <f>Frota!$B20&amp;" — "&amp;Frota!$A20</f>
        <v>MB 2540 6x2 — 101084</v>
      </c>
      <c r="B20" s="16" t="str">
        <f>Frota!$C20</f>
        <v>Caminhão</v>
      </c>
      <c r="C20" s="22" t="str">
        <f>INDEX(Cronograma!B$5:B$11,MATCH($B20,Premissas!$A$39:$A$45,0))</f>
        <v/>
      </c>
      <c r="D20" s="22" t="str">
        <f>INDEX(Cronograma!C$5:C$11,MATCH($B20,Premissas!$A$39:$A$45,0))</f>
        <v/>
      </c>
      <c r="E20" s="22" t="str">
        <f>INDEX(Cronograma!D$5:D$11,MATCH($B20,Premissas!$A$39:$A$45,0))</f>
        <v/>
      </c>
      <c r="F20" s="22" t="str">
        <f>INDEX(Cronograma!E$5:E$11,MATCH($B20,Premissas!$A$39:$A$45,0))</f>
        <v/>
      </c>
      <c r="G20" s="22" t="str">
        <f>INDEX(Cronograma!F$5:F$11,MATCH($B20,Premissas!$A$39:$A$45,0))</f>
        <v/>
      </c>
      <c r="H20" s="22" t="str">
        <f>INDEX(Cronograma!G$5:G$11,MATCH($B20,Premissas!$A$39:$A$45,0))</f>
        <v/>
      </c>
      <c r="I20" s="22" t="str">
        <f>INDEX(Cronograma!H$5:H$11,MATCH($B20,Premissas!$A$39:$A$45,0))</f>
        <v>S</v>
      </c>
      <c r="J20" s="22" t="str">
        <f>INDEX(Cronograma!I$5:I$11,MATCH($B20,Premissas!$A$39:$A$45,0))</f>
        <v/>
      </c>
      <c r="K20" s="22" t="str">
        <f>INDEX(Cronograma!J$5:J$11,MATCH($B20,Premissas!$A$39:$A$45,0))</f>
        <v/>
      </c>
      <c r="L20" s="22" t="str">
        <f>INDEX(Cronograma!K$5:K$11,MATCH($B20,Premissas!$A$39:$A$45,0))</f>
        <v/>
      </c>
      <c r="M20" s="22" t="str">
        <f>INDEX(Cronograma!L$5:L$11,MATCH($B20,Premissas!$A$39:$A$45,0))</f>
        <v/>
      </c>
      <c r="N20" s="22" t="str">
        <f>INDEX(Cronograma!M$5:M$11,MATCH($B20,Premissas!$A$39:$A$45,0))</f>
        <v/>
      </c>
      <c r="O20" s="22" t="str">
        <f>INDEX(Cronograma!N$5:N$11,MATCH($B20,Premissas!$A$39:$A$45,0))</f>
        <v/>
      </c>
      <c r="P20" s="22" t="str">
        <f>INDEX(Cronograma!O$5:O$11,MATCH($B20,Premissas!$A$39:$A$45,0))</f>
        <v>A</v>
      </c>
      <c r="Q20" s="22" t="str">
        <f>INDEX(Cronograma!P$5:P$11,MATCH($B20,Premissas!$A$39:$A$45,0))</f>
        <v/>
      </c>
      <c r="R20" s="22" t="str">
        <f>INDEX(Cronograma!Q$5:Q$11,MATCH($B20,Premissas!$A$39:$A$45,0))</f>
        <v/>
      </c>
      <c r="S20" s="22" t="str">
        <f>INDEX(Cronograma!R$5:R$11,MATCH($B20,Premissas!$A$39:$A$45,0))</f>
        <v/>
      </c>
      <c r="T20" s="22" t="str">
        <f>INDEX(Cronograma!S$5:S$11,MATCH($B20,Premissas!$A$39:$A$45,0))</f>
        <v/>
      </c>
      <c r="U20" s="22" t="str">
        <f>INDEX(Cronograma!T$5:T$11,MATCH($B20,Premissas!$A$39:$A$45,0))</f>
        <v/>
      </c>
      <c r="V20" s="22" t="str">
        <f>INDEX(Cronograma!U$5:U$11,MATCH($B20,Premissas!$A$39:$A$45,0))</f>
        <v>S</v>
      </c>
      <c r="W20" s="22" t="str">
        <f>INDEX(Cronograma!V$5:V$11,MATCH($B20,Premissas!$A$39:$A$45,0))</f>
        <v/>
      </c>
      <c r="X20" s="22" t="str">
        <f>INDEX(Cronograma!W$5:W$11,MATCH($B20,Premissas!$A$39:$A$45,0))</f>
        <v/>
      </c>
      <c r="Y20" s="22" t="str">
        <f>INDEX(Cronograma!X$5:X$11,MATCH($B20,Premissas!$A$39:$A$45,0))</f>
        <v/>
      </c>
      <c r="Z20" s="22" t="str">
        <f>INDEX(Cronograma!Y$5:Y$11,MATCH($B20,Premissas!$A$39:$A$45,0))</f>
        <v/>
      </c>
      <c r="AA20" s="22" t="str">
        <f>INDEX(Cronograma!Z$5:Z$11,MATCH($B20,Premissas!$A$39:$A$45,0))</f>
        <v/>
      </c>
      <c r="AB20" s="22" t="str">
        <f>INDEX(Cronograma!AA$5:AA$11,MATCH($B20,Premissas!$A$39:$A$45,0))</f>
        <v/>
      </c>
      <c r="AC20" s="22" t="str">
        <f>INDEX(Cronograma!AB$5:AB$11,MATCH($B20,Premissas!$A$39:$A$45,0))</f>
        <v>B</v>
      </c>
      <c r="AD20" s="22" t="str">
        <f>INDEX(Cronograma!AC$5:AC$11,MATCH($B20,Premissas!$A$39:$A$45,0))</f>
        <v/>
      </c>
      <c r="AE20" s="22" t="str">
        <f>INDEX(Cronograma!AD$5:AD$11,MATCH($B20,Premissas!$A$39:$A$45,0))</f>
        <v/>
      </c>
      <c r="AF20" s="22" t="str">
        <f>INDEX(Cronograma!AE$5:AE$11,MATCH($B20,Premissas!$A$39:$A$45,0))</f>
        <v/>
      </c>
      <c r="AG20" s="22" t="str">
        <f>INDEX(Cronograma!AF$5:AF$11,MATCH($B20,Premissas!$A$39:$A$45,0))</f>
        <v/>
      </c>
      <c r="AH20" s="22" t="str">
        <f>INDEX(Cronograma!AG$5:AG$11,MATCH($B20,Premissas!$A$39:$A$45,0))</f>
        <v/>
      </c>
      <c r="AI20" s="22" t="str">
        <f>INDEX(Cronograma!AH$5:AH$11,MATCH($B20,Premissas!$A$39:$A$45,0))</f>
        <v/>
      </c>
      <c r="AJ20" s="22" t="str">
        <f>INDEX(Cronograma!AI$5:AI$11,MATCH($B20,Premissas!$A$39:$A$45,0))</f>
        <v/>
      </c>
      <c r="AK20" s="22" t="str">
        <f>INDEX(Cronograma!AJ$5:AJ$11,MATCH($B20,Premissas!$A$39:$A$45,0))</f>
        <v/>
      </c>
      <c r="AL20" s="22" t="str">
        <f>INDEX(Cronograma!AK$5:AK$11,MATCH($B20,Premissas!$A$39:$A$45,0))</f>
        <v/>
      </c>
      <c r="AM20" s="22" t="str">
        <f>INDEX(Cronograma!AL$5:AL$11,MATCH($B20,Premissas!$A$39:$A$45,0))</f>
        <v/>
      </c>
      <c r="AN20" s="22" t="str">
        <f>INDEX(Cronograma!AM$5:AM$11,MATCH($B20,Premissas!$A$39:$A$45,0))</f>
        <v/>
      </c>
      <c r="AO20" s="22" t="str">
        <f>INDEX(Cronograma!AN$5:AN$11,MATCH($B20,Premissas!$A$39:$A$45,0))</f>
        <v/>
      </c>
      <c r="AP20" s="22" t="str">
        <f>INDEX(Cronograma!AO$5:AO$11,MATCH($B20,Premissas!$A$39:$A$45,0))</f>
        <v>S</v>
      </c>
      <c r="AQ20" s="22" t="str">
        <f>INDEX(Cronograma!AP$5:AP$11,MATCH($B20,Premissas!$A$39:$A$45,0))</f>
        <v/>
      </c>
      <c r="AR20" s="22" t="str">
        <f>INDEX(Cronograma!AQ$5:AQ$11,MATCH($B20,Premissas!$A$39:$A$45,0))</f>
        <v/>
      </c>
      <c r="AS20" s="22" t="str">
        <f>INDEX(Cronograma!AR$5:AR$11,MATCH($B20,Premissas!$A$39:$A$45,0))</f>
        <v/>
      </c>
      <c r="AT20" s="22" t="str">
        <f>INDEX(Cronograma!AS$5:AS$11,MATCH($B20,Premissas!$A$39:$A$45,0))</f>
        <v/>
      </c>
      <c r="AU20" s="22" t="str">
        <f>INDEX(Cronograma!AT$5:AT$11,MATCH($B20,Premissas!$A$39:$A$45,0))</f>
        <v/>
      </c>
      <c r="AV20" s="22" t="str">
        <f>INDEX(Cronograma!AU$5:AU$11,MATCH($B20,Premissas!$A$39:$A$45,0))</f>
        <v/>
      </c>
      <c r="AW20" s="22" t="str">
        <f>INDEX(Cronograma!AV$5:AV$11,MATCH($B20,Premissas!$A$39:$A$45,0))</f>
        <v/>
      </c>
      <c r="AX20" s="22" t="str">
        <f>INDEX(Cronograma!AW$5:AW$11,MATCH($B20,Premissas!$A$39:$A$45,0))</f>
        <v/>
      </c>
      <c r="AY20" s="22" t="str">
        <f>INDEX(Cronograma!AX$5:AX$11,MATCH($B20,Premissas!$A$39:$A$45,0))</f>
        <v/>
      </c>
      <c r="AZ20" s="22" t="str">
        <f>INDEX(Cronograma!AY$5:AY$11,MATCH($B20,Premissas!$A$39:$A$45,0))</f>
        <v/>
      </c>
      <c r="BA20" s="22" t="str">
        <f>INDEX(Cronograma!AZ$5:AZ$11,MATCH($B20,Premissas!$A$39:$A$45,0))</f>
        <v/>
      </c>
      <c r="BB20" s="22" t="str">
        <f>INDEX(Cronograma!BA$5:BA$11,MATCH($B20,Premissas!$A$39:$A$45,0))</f>
        <v/>
      </c>
    </row>
    <row r="21" spans="1:54" ht="15" customHeight="1" x14ac:dyDescent="0.4">
      <c r="A21" s="15" t="str">
        <f>Frota!$B21&amp;" — "&amp;Frota!$A21</f>
        <v>MB 2540 6x2 — 101086</v>
      </c>
      <c r="B21" s="16" t="str">
        <f>Frota!$C21</f>
        <v>Caminhão</v>
      </c>
      <c r="C21" s="22" t="str">
        <f>INDEX(Cronograma!B$5:B$11,MATCH($B21,Premissas!$A$39:$A$45,0))</f>
        <v/>
      </c>
      <c r="D21" s="22" t="str">
        <f>INDEX(Cronograma!C$5:C$11,MATCH($B21,Premissas!$A$39:$A$45,0))</f>
        <v/>
      </c>
      <c r="E21" s="22" t="str">
        <f>INDEX(Cronograma!D$5:D$11,MATCH($B21,Premissas!$A$39:$A$45,0))</f>
        <v/>
      </c>
      <c r="F21" s="22" t="str">
        <f>INDEX(Cronograma!E$5:E$11,MATCH($B21,Premissas!$A$39:$A$45,0))</f>
        <v/>
      </c>
      <c r="G21" s="22" t="str">
        <f>INDEX(Cronograma!F$5:F$11,MATCH($B21,Premissas!$A$39:$A$45,0))</f>
        <v/>
      </c>
      <c r="H21" s="22" t="str">
        <f>INDEX(Cronograma!G$5:G$11,MATCH($B21,Premissas!$A$39:$A$45,0))</f>
        <v/>
      </c>
      <c r="I21" s="22" t="str">
        <f>INDEX(Cronograma!H$5:H$11,MATCH($B21,Premissas!$A$39:$A$45,0))</f>
        <v>S</v>
      </c>
      <c r="J21" s="22" t="str">
        <f>INDEX(Cronograma!I$5:I$11,MATCH($B21,Premissas!$A$39:$A$45,0))</f>
        <v/>
      </c>
      <c r="K21" s="22" t="str">
        <f>INDEX(Cronograma!J$5:J$11,MATCH($B21,Premissas!$A$39:$A$45,0))</f>
        <v/>
      </c>
      <c r="L21" s="22" t="str">
        <f>INDEX(Cronograma!K$5:K$11,MATCH($B21,Premissas!$A$39:$A$45,0))</f>
        <v/>
      </c>
      <c r="M21" s="22" t="str">
        <f>INDEX(Cronograma!L$5:L$11,MATCH($B21,Premissas!$A$39:$A$45,0))</f>
        <v/>
      </c>
      <c r="N21" s="22" t="str">
        <f>INDEX(Cronograma!M$5:M$11,MATCH($B21,Premissas!$A$39:$A$45,0))</f>
        <v/>
      </c>
      <c r="O21" s="22" t="str">
        <f>INDEX(Cronograma!N$5:N$11,MATCH($B21,Premissas!$A$39:$A$45,0))</f>
        <v/>
      </c>
      <c r="P21" s="22" t="str">
        <f>INDEX(Cronograma!O$5:O$11,MATCH($B21,Premissas!$A$39:$A$45,0))</f>
        <v>A</v>
      </c>
      <c r="Q21" s="22" t="str">
        <f>INDEX(Cronograma!P$5:P$11,MATCH($B21,Premissas!$A$39:$A$45,0))</f>
        <v/>
      </c>
      <c r="R21" s="22" t="str">
        <f>INDEX(Cronograma!Q$5:Q$11,MATCH($B21,Premissas!$A$39:$A$45,0))</f>
        <v/>
      </c>
      <c r="S21" s="22" t="str">
        <f>INDEX(Cronograma!R$5:R$11,MATCH($B21,Premissas!$A$39:$A$45,0))</f>
        <v/>
      </c>
      <c r="T21" s="22" t="str">
        <f>INDEX(Cronograma!S$5:S$11,MATCH($B21,Premissas!$A$39:$A$45,0))</f>
        <v/>
      </c>
      <c r="U21" s="22" t="str">
        <f>INDEX(Cronograma!T$5:T$11,MATCH($B21,Premissas!$A$39:$A$45,0))</f>
        <v/>
      </c>
      <c r="V21" s="22" t="str">
        <f>INDEX(Cronograma!U$5:U$11,MATCH($B21,Premissas!$A$39:$A$45,0))</f>
        <v>S</v>
      </c>
      <c r="W21" s="22" t="str">
        <f>INDEX(Cronograma!V$5:V$11,MATCH($B21,Premissas!$A$39:$A$45,0))</f>
        <v/>
      </c>
      <c r="X21" s="22" t="str">
        <f>INDEX(Cronograma!W$5:W$11,MATCH($B21,Premissas!$A$39:$A$45,0))</f>
        <v/>
      </c>
      <c r="Y21" s="22" t="str">
        <f>INDEX(Cronograma!X$5:X$11,MATCH($B21,Premissas!$A$39:$A$45,0))</f>
        <v/>
      </c>
      <c r="Z21" s="22" t="str">
        <f>INDEX(Cronograma!Y$5:Y$11,MATCH($B21,Premissas!$A$39:$A$45,0))</f>
        <v/>
      </c>
      <c r="AA21" s="22" t="str">
        <f>INDEX(Cronograma!Z$5:Z$11,MATCH($B21,Premissas!$A$39:$A$45,0))</f>
        <v/>
      </c>
      <c r="AB21" s="22" t="str">
        <f>INDEX(Cronograma!AA$5:AA$11,MATCH($B21,Premissas!$A$39:$A$45,0))</f>
        <v/>
      </c>
      <c r="AC21" s="22" t="str">
        <f>INDEX(Cronograma!AB$5:AB$11,MATCH($B21,Premissas!$A$39:$A$45,0))</f>
        <v>B</v>
      </c>
      <c r="AD21" s="22" t="str">
        <f>INDEX(Cronograma!AC$5:AC$11,MATCH($B21,Premissas!$A$39:$A$45,0))</f>
        <v/>
      </c>
      <c r="AE21" s="22" t="str">
        <f>INDEX(Cronograma!AD$5:AD$11,MATCH($B21,Premissas!$A$39:$A$45,0))</f>
        <v/>
      </c>
      <c r="AF21" s="22" t="str">
        <f>INDEX(Cronograma!AE$5:AE$11,MATCH($B21,Premissas!$A$39:$A$45,0))</f>
        <v/>
      </c>
      <c r="AG21" s="22" t="str">
        <f>INDEX(Cronograma!AF$5:AF$11,MATCH($B21,Premissas!$A$39:$A$45,0))</f>
        <v/>
      </c>
      <c r="AH21" s="22" t="str">
        <f>INDEX(Cronograma!AG$5:AG$11,MATCH($B21,Premissas!$A$39:$A$45,0))</f>
        <v/>
      </c>
      <c r="AI21" s="22" t="str">
        <f>INDEX(Cronograma!AH$5:AH$11,MATCH($B21,Premissas!$A$39:$A$45,0))</f>
        <v/>
      </c>
      <c r="AJ21" s="22" t="str">
        <f>INDEX(Cronograma!AI$5:AI$11,MATCH($B21,Premissas!$A$39:$A$45,0))</f>
        <v/>
      </c>
      <c r="AK21" s="22" t="str">
        <f>INDEX(Cronograma!AJ$5:AJ$11,MATCH($B21,Premissas!$A$39:$A$45,0))</f>
        <v/>
      </c>
      <c r="AL21" s="22" t="str">
        <f>INDEX(Cronograma!AK$5:AK$11,MATCH($B21,Premissas!$A$39:$A$45,0))</f>
        <v/>
      </c>
      <c r="AM21" s="22" t="str">
        <f>INDEX(Cronograma!AL$5:AL$11,MATCH($B21,Premissas!$A$39:$A$45,0))</f>
        <v/>
      </c>
      <c r="AN21" s="22" t="str">
        <f>INDEX(Cronograma!AM$5:AM$11,MATCH($B21,Premissas!$A$39:$A$45,0))</f>
        <v/>
      </c>
      <c r="AO21" s="22" t="str">
        <f>INDEX(Cronograma!AN$5:AN$11,MATCH($B21,Premissas!$A$39:$A$45,0))</f>
        <v/>
      </c>
      <c r="AP21" s="22" t="str">
        <f>INDEX(Cronograma!AO$5:AO$11,MATCH($B21,Premissas!$A$39:$A$45,0))</f>
        <v>S</v>
      </c>
      <c r="AQ21" s="22" t="str">
        <f>INDEX(Cronograma!AP$5:AP$11,MATCH($B21,Premissas!$A$39:$A$45,0))</f>
        <v/>
      </c>
      <c r="AR21" s="22" t="str">
        <f>INDEX(Cronograma!AQ$5:AQ$11,MATCH($B21,Premissas!$A$39:$A$45,0))</f>
        <v/>
      </c>
      <c r="AS21" s="22" t="str">
        <f>INDEX(Cronograma!AR$5:AR$11,MATCH($B21,Premissas!$A$39:$A$45,0))</f>
        <v/>
      </c>
      <c r="AT21" s="22" t="str">
        <f>INDEX(Cronograma!AS$5:AS$11,MATCH($B21,Premissas!$A$39:$A$45,0))</f>
        <v/>
      </c>
      <c r="AU21" s="22" t="str">
        <f>INDEX(Cronograma!AT$5:AT$11,MATCH($B21,Premissas!$A$39:$A$45,0))</f>
        <v/>
      </c>
      <c r="AV21" s="22" t="str">
        <f>INDEX(Cronograma!AU$5:AU$11,MATCH($B21,Premissas!$A$39:$A$45,0))</f>
        <v/>
      </c>
      <c r="AW21" s="22" t="str">
        <f>INDEX(Cronograma!AV$5:AV$11,MATCH($B21,Premissas!$A$39:$A$45,0))</f>
        <v/>
      </c>
      <c r="AX21" s="22" t="str">
        <f>INDEX(Cronograma!AW$5:AW$11,MATCH($B21,Premissas!$A$39:$A$45,0))</f>
        <v/>
      </c>
      <c r="AY21" s="22" t="str">
        <f>INDEX(Cronograma!AX$5:AX$11,MATCH($B21,Premissas!$A$39:$A$45,0))</f>
        <v/>
      </c>
      <c r="AZ21" s="22" t="str">
        <f>INDEX(Cronograma!AY$5:AY$11,MATCH($B21,Premissas!$A$39:$A$45,0))</f>
        <v/>
      </c>
      <c r="BA21" s="22" t="str">
        <f>INDEX(Cronograma!AZ$5:AZ$11,MATCH($B21,Premissas!$A$39:$A$45,0))</f>
        <v/>
      </c>
      <c r="BB21" s="22" t="str">
        <f>INDEX(Cronograma!BA$5:BA$11,MATCH($B21,Premissas!$A$39:$A$45,0))</f>
        <v/>
      </c>
    </row>
    <row r="22" spans="1:54" ht="15" customHeight="1" x14ac:dyDescent="0.4">
      <c r="A22" s="15" t="str">
        <f>Frota!$B22&amp;" — "&amp;Frota!$A22</f>
        <v>MB 2638 6x4 — 101105</v>
      </c>
      <c r="B22" s="16" t="str">
        <f>Frota!$C22</f>
        <v>Caminhão</v>
      </c>
      <c r="C22" s="22" t="str">
        <f>INDEX(Cronograma!B$5:B$11,MATCH($B22,Premissas!$A$39:$A$45,0))</f>
        <v/>
      </c>
      <c r="D22" s="22" t="str">
        <f>INDEX(Cronograma!C$5:C$11,MATCH($B22,Premissas!$A$39:$A$45,0))</f>
        <v/>
      </c>
      <c r="E22" s="22" t="str">
        <f>INDEX(Cronograma!D$5:D$11,MATCH($B22,Premissas!$A$39:$A$45,0))</f>
        <v/>
      </c>
      <c r="F22" s="22" t="str">
        <f>INDEX(Cronograma!E$5:E$11,MATCH($B22,Premissas!$A$39:$A$45,0))</f>
        <v/>
      </c>
      <c r="G22" s="22" t="str">
        <f>INDEX(Cronograma!F$5:F$11,MATCH($B22,Premissas!$A$39:$A$45,0))</f>
        <v/>
      </c>
      <c r="H22" s="22" t="str">
        <f>INDEX(Cronograma!G$5:G$11,MATCH($B22,Premissas!$A$39:$A$45,0))</f>
        <v/>
      </c>
      <c r="I22" s="22" t="str">
        <f>INDEX(Cronograma!H$5:H$11,MATCH($B22,Premissas!$A$39:$A$45,0))</f>
        <v>S</v>
      </c>
      <c r="J22" s="22" t="str">
        <f>INDEX(Cronograma!I$5:I$11,MATCH($B22,Premissas!$A$39:$A$45,0))</f>
        <v/>
      </c>
      <c r="K22" s="22" t="str">
        <f>INDEX(Cronograma!J$5:J$11,MATCH($B22,Premissas!$A$39:$A$45,0))</f>
        <v/>
      </c>
      <c r="L22" s="22" t="str">
        <f>INDEX(Cronograma!K$5:K$11,MATCH($B22,Premissas!$A$39:$A$45,0))</f>
        <v/>
      </c>
      <c r="M22" s="22" t="str">
        <f>INDEX(Cronograma!L$5:L$11,MATCH($B22,Premissas!$A$39:$A$45,0))</f>
        <v/>
      </c>
      <c r="N22" s="22" t="str">
        <f>INDEX(Cronograma!M$5:M$11,MATCH($B22,Premissas!$A$39:$A$45,0))</f>
        <v/>
      </c>
      <c r="O22" s="22" t="str">
        <f>INDEX(Cronograma!N$5:N$11,MATCH($B22,Premissas!$A$39:$A$45,0))</f>
        <v/>
      </c>
      <c r="P22" s="22" t="str">
        <f>INDEX(Cronograma!O$5:O$11,MATCH($B22,Premissas!$A$39:$A$45,0))</f>
        <v>A</v>
      </c>
      <c r="Q22" s="22" t="str">
        <f>INDEX(Cronograma!P$5:P$11,MATCH($B22,Premissas!$A$39:$A$45,0))</f>
        <v/>
      </c>
      <c r="R22" s="22" t="str">
        <f>INDEX(Cronograma!Q$5:Q$11,MATCH($B22,Premissas!$A$39:$A$45,0))</f>
        <v/>
      </c>
      <c r="S22" s="22" t="str">
        <f>INDEX(Cronograma!R$5:R$11,MATCH($B22,Premissas!$A$39:$A$45,0))</f>
        <v/>
      </c>
      <c r="T22" s="22" t="str">
        <f>INDEX(Cronograma!S$5:S$11,MATCH($B22,Premissas!$A$39:$A$45,0))</f>
        <v/>
      </c>
      <c r="U22" s="22" t="str">
        <f>INDEX(Cronograma!T$5:T$11,MATCH($B22,Premissas!$A$39:$A$45,0))</f>
        <v/>
      </c>
      <c r="V22" s="22" t="str">
        <f>INDEX(Cronograma!U$5:U$11,MATCH($B22,Premissas!$A$39:$A$45,0))</f>
        <v>S</v>
      </c>
      <c r="W22" s="22" t="str">
        <f>INDEX(Cronograma!V$5:V$11,MATCH($B22,Premissas!$A$39:$A$45,0))</f>
        <v/>
      </c>
      <c r="X22" s="22" t="str">
        <f>INDEX(Cronograma!W$5:W$11,MATCH($B22,Premissas!$A$39:$A$45,0))</f>
        <v/>
      </c>
      <c r="Y22" s="22" t="str">
        <f>INDEX(Cronograma!X$5:X$11,MATCH($B22,Premissas!$A$39:$A$45,0))</f>
        <v/>
      </c>
      <c r="Z22" s="22" t="str">
        <f>INDEX(Cronograma!Y$5:Y$11,MATCH($B22,Premissas!$A$39:$A$45,0))</f>
        <v/>
      </c>
      <c r="AA22" s="22" t="str">
        <f>INDEX(Cronograma!Z$5:Z$11,MATCH($B22,Premissas!$A$39:$A$45,0))</f>
        <v/>
      </c>
      <c r="AB22" s="22" t="str">
        <f>INDEX(Cronograma!AA$5:AA$11,MATCH($B22,Premissas!$A$39:$A$45,0))</f>
        <v/>
      </c>
      <c r="AC22" s="22" t="str">
        <f>INDEX(Cronograma!AB$5:AB$11,MATCH($B22,Premissas!$A$39:$A$45,0))</f>
        <v>B</v>
      </c>
      <c r="AD22" s="22" t="str">
        <f>INDEX(Cronograma!AC$5:AC$11,MATCH($B22,Premissas!$A$39:$A$45,0))</f>
        <v/>
      </c>
      <c r="AE22" s="22" t="str">
        <f>INDEX(Cronograma!AD$5:AD$11,MATCH($B22,Premissas!$A$39:$A$45,0))</f>
        <v/>
      </c>
      <c r="AF22" s="22" t="str">
        <f>INDEX(Cronograma!AE$5:AE$11,MATCH($B22,Premissas!$A$39:$A$45,0))</f>
        <v/>
      </c>
      <c r="AG22" s="22" t="str">
        <f>INDEX(Cronograma!AF$5:AF$11,MATCH($B22,Premissas!$A$39:$A$45,0))</f>
        <v/>
      </c>
      <c r="AH22" s="22" t="str">
        <f>INDEX(Cronograma!AG$5:AG$11,MATCH($B22,Premissas!$A$39:$A$45,0))</f>
        <v/>
      </c>
      <c r="AI22" s="22" t="str">
        <f>INDEX(Cronograma!AH$5:AH$11,MATCH($B22,Premissas!$A$39:$A$45,0))</f>
        <v/>
      </c>
      <c r="AJ22" s="22" t="str">
        <f>INDEX(Cronograma!AI$5:AI$11,MATCH($B22,Premissas!$A$39:$A$45,0))</f>
        <v/>
      </c>
      <c r="AK22" s="22" t="str">
        <f>INDEX(Cronograma!AJ$5:AJ$11,MATCH($B22,Premissas!$A$39:$A$45,0))</f>
        <v/>
      </c>
      <c r="AL22" s="22" t="str">
        <f>INDEX(Cronograma!AK$5:AK$11,MATCH($B22,Premissas!$A$39:$A$45,0))</f>
        <v/>
      </c>
      <c r="AM22" s="22" t="str">
        <f>INDEX(Cronograma!AL$5:AL$11,MATCH($B22,Premissas!$A$39:$A$45,0))</f>
        <v/>
      </c>
      <c r="AN22" s="22" t="str">
        <f>INDEX(Cronograma!AM$5:AM$11,MATCH($B22,Premissas!$A$39:$A$45,0))</f>
        <v/>
      </c>
      <c r="AO22" s="22" t="str">
        <f>INDEX(Cronograma!AN$5:AN$11,MATCH($B22,Premissas!$A$39:$A$45,0))</f>
        <v/>
      </c>
      <c r="AP22" s="22" t="str">
        <f>INDEX(Cronograma!AO$5:AO$11,MATCH($B22,Premissas!$A$39:$A$45,0))</f>
        <v>S</v>
      </c>
      <c r="AQ22" s="22" t="str">
        <f>INDEX(Cronograma!AP$5:AP$11,MATCH($B22,Premissas!$A$39:$A$45,0))</f>
        <v/>
      </c>
      <c r="AR22" s="22" t="str">
        <f>INDEX(Cronograma!AQ$5:AQ$11,MATCH($B22,Premissas!$A$39:$A$45,0))</f>
        <v/>
      </c>
      <c r="AS22" s="22" t="str">
        <f>INDEX(Cronograma!AR$5:AR$11,MATCH($B22,Premissas!$A$39:$A$45,0))</f>
        <v/>
      </c>
      <c r="AT22" s="22" t="str">
        <f>INDEX(Cronograma!AS$5:AS$11,MATCH($B22,Premissas!$A$39:$A$45,0))</f>
        <v/>
      </c>
      <c r="AU22" s="22" t="str">
        <f>INDEX(Cronograma!AT$5:AT$11,MATCH($B22,Premissas!$A$39:$A$45,0))</f>
        <v/>
      </c>
      <c r="AV22" s="22" t="str">
        <f>INDEX(Cronograma!AU$5:AU$11,MATCH($B22,Premissas!$A$39:$A$45,0))</f>
        <v/>
      </c>
      <c r="AW22" s="22" t="str">
        <f>INDEX(Cronograma!AV$5:AV$11,MATCH($B22,Premissas!$A$39:$A$45,0))</f>
        <v/>
      </c>
      <c r="AX22" s="22" t="str">
        <f>INDEX(Cronograma!AW$5:AW$11,MATCH($B22,Premissas!$A$39:$A$45,0))</f>
        <v/>
      </c>
      <c r="AY22" s="22" t="str">
        <f>INDEX(Cronograma!AX$5:AX$11,MATCH($B22,Premissas!$A$39:$A$45,0))</f>
        <v/>
      </c>
      <c r="AZ22" s="22" t="str">
        <f>INDEX(Cronograma!AY$5:AY$11,MATCH($B22,Premissas!$A$39:$A$45,0))</f>
        <v/>
      </c>
      <c r="BA22" s="22" t="str">
        <f>INDEX(Cronograma!AZ$5:AZ$11,MATCH($B22,Premissas!$A$39:$A$45,0))</f>
        <v/>
      </c>
      <c r="BB22" s="22" t="str">
        <f>INDEX(Cronograma!BA$5:BA$11,MATCH($B22,Premissas!$A$39:$A$45,0))</f>
        <v/>
      </c>
    </row>
    <row r="23" spans="1:54" ht="15" customHeight="1" x14ac:dyDescent="0.4">
      <c r="A23" s="15" t="str">
        <f>Frota!$B23&amp;" — "&amp;Frota!$A23</f>
        <v>MB 3344 6x4 — 101110</v>
      </c>
      <c r="B23" s="16" t="str">
        <f>Frota!$C23</f>
        <v>Caminhão</v>
      </c>
      <c r="C23" s="22" t="str">
        <f>INDEX(Cronograma!B$5:B$11,MATCH($B23,Premissas!$A$39:$A$45,0))</f>
        <v/>
      </c>
      <c r="D23" s="22" t="str">
        <f>INDEX(Cronograma!C$5:C$11,MATCH($B23,Premissas!$A$39:$A$45,0))</f>
        <v/>
      </c>
      <c r="E23" s="22" t="str">
        <f>INDEX(Cronograma!D$5:D$11,MATCH($B23,Premissas!$A$39:$A$45,0))</f>
        <v/>
      </c>
      <c r="F23" s="22" t="str">
        <f>INDEX(Cronograma!E$5:E$11,MATCH($B23,Premissas!$A$39:$A$45,0))</f>
        <v/>
      </c>
      <c r="G23" s="22" t="str">
        <f>INDEX(Cronograma!F$5:F$11,MATCH($B23,Premissas!$A$39:$A$45,0))</f>
        <v/>
      </c>
      <c r="H23" s="22" t="str">
        <f>INDEX(Cronograma!G$5:G$11,MATCH($B23,Premissas!$A$39:$A$45,0))</f>
        <v/>
      </c>
      <c r="I23" s="22" t="str">
        <f>INDEX(Cronograma!H$5:H$11,MATCH($B23,Premissas!$A$39:$A$45,0))</f>
        <v>S</v>
      </c>
      <c r="J23" s="22" t="str">
        <f>INDEX(Cronograma!I$5:I$11,MATCH($B23,Premissas!$A$39:$A$45,0))</f>
        <v/>
      </c>
      <c r="K23" s="22" t="str">
        <f>INDEX(Cronograma!J$5:J$11,MATCH($B23,Premissas!$A$39:$A$45,0))</f>
        <v/>
      </c>
      <c r="L23" s="22" t="str">
        <f>INDEX(Cronograma!K$5:K$11,MATCH($B23,Premissas!$A$39:$A$45,0))</f>
        <v/>
      </c>
      <c r="M23" s="22" t="str">
        <f>INDEX(Cronograma!L$5:L$11,MATCH($B23,Premissas!$A$39:$A$45,0))</f>
        <v/>
      </c>
      <c r="N23" s="22" t="str">
        <f>INDEX(Cronograma!M$5:M$11,MATCH($B23,Premissas!$A$39:$A$45,0))</f>
        <v/>
      </c>
      <c r="O23" s="22" t="str">
        <f>INDEX(Cronograma!N$5:N$11,MATCH($B23,Premissas!$A$39:$A$45,0))</f>
        <v/>
      </c>
      <c r="P23" s="22" t="str">
        <f>INDEX(Cronograma!O$5:O$11,MATCH($B23,Premissas!$A$39:$A$45,0))</f>
        <v>A</v>
      </c>
      <c r="Q23" s="22" t="str">
        <f>INDEX(Cronograma!P$5:P$11,MATCH($B23,Premissas!$A$39:$A$45,0))</f>
        <v/>
      </c>
      <c r="R23" s="22" t="str">
        <f>INDEX(Cronograma!Q$5:Q$11,MATCH($B23,Premissas!$A$39:$A$45,0))</f>
        <v/>
      </c>
      <c r="S23" s="22" t="str">
        <f>INDEX(Cronograma!R$5:R$11,MATCH($B23,Premissas!$A$39:$A$45,0))</f>
        <v/>
      </c>
      <c r="T23" s="22" t="str">
        <f>INDEX(Cronograma!S$5:S$11,MATCH($B23,Premissas!$A$39:$A$45,0))</f>
        <v/>
      </c>
      <c r="U23" s="22" t="str">
        <f>INDEX(Cronograma!T$5:T$11,MATCH($B23,Premissas!$A$39:$A$45,0))</f>
        <v/>
      </c>
      <c r="V23" s="22" t="str">
        <f>INDEX(Cronograma!U$5:U$11,MATCH($B23,Premissas!$A$39:$A$45,0))</f>
        <v>S</v>
      </c>
      <c r="W23" s="22" t="str">
        <f>INDEX(Cronograma!V$5:V$11,MATCH($B23,Premissas!$A$39:$A$45,0))</f>
        <v/>
      </c>
      <c r="X23" s="22" t="str">
        <f>INDEX(Cronograma!W$5:W$11,MATCH($B23,Premissas!$A$39:$A$45,0))</f>
        <v/>
      </c>
      <c r="Y23" s="22" t="str">
        <f>INDEX(Cronograma!X$5:X$11,MATCH($B23,Premissas!$A$39:$A$45,0))</f>
        <v/>
      </c>
      <c r="Z23" s="22" t="str">
        <f>INDEX(Cronograma!Y$5:Y$11,MATCH($B23,Premissas!$A$39:$A$45,0))</f>
        <v/>
      </c>
      <c r="AA23" s="22" t="str">
        <f>INDEX(Cronograma!Z$5:Z$11,MATCH($B23,Premissas!$A$39:$A$45,0))</f>
        <v/>
      </c>
      <c r="AB23" s="22" t="str">
        <f>INDEX(Cronograma!AA$5:AA$11,MATCH($B23,Premissas!$A$39:$A$45,0))</f>
        <v/>
      </c>
      <c r="AC23" s="22" t="str">
        <f>INDEX(Cronograma!AB$5:AB$11,MATCH($B23,Premissas!$A$39:$A$45,0))</f>
        <v>B</v>
      </c>
      <c r="AD23" s="22" t="str">
        <f>INDEX(Cronograma!AC$5:AC$11,MATCH($B23,Premissas!$A$39:$A$45,0))</f>
        <v/>
      </c>
      <c r="AE23" s="22" t="str">
        <f>INDEX(Cronograma!AD$5:AD$11,MATCH($B23,Premissas!$A$39:$A$45,0))</f>
        <v/>
      </c>
      <c r="AF23" s="22" t="str">
        <f>INDEX(Cronograma!AE$5:AE$11,MATCH($B23,Premissas!$A$39:$A$45,0))</f>
        <v/>
      </c>
      <c r="AG23" s="22" t="str">
        <f>INDEX(Cronograma!AF$5:AF$11,MATCH($B23,Premissas!$A$39:$A$45,0))</f>
        <v/>
      </c>
      <c r="AH23" s="22" t="str">
        <f>INDEX(Cronograma!AG$5:AG$11,MATCH($B23,Premissas!$A$39:$A$45,0))</f>
        <v/>
      </c>
      <c r="AI23" s="22" t="str">
        <f>INDEX(Cronograma!AH$5:AH$11,MATCH($B23,Premissas!$A$39:$A$45,0))</f>
        <v/>
      </c>
      <c r="AJ23" s="22" t="str">
        <f>INDEX(Cronograma!AI$5:AI$11,MATCH($B23,Premissas!$A$39:$A$45,0))</f>
        <v/>
      </c>
      <c r="AK23" s="22" t="str">
        <f>INDEX(Cronograma!AJ$5:AJ$11,MATCH($B23,Premissas!$A$39:$A$45,0))</f>
        <v/>
      </c>
      <c r="AL23" s="22" t="str">
        <f>INDEX(Cronograma!AK$5:AK$11,MATCH($B23,Premissas!$A$39:$A$45,0))</f>
        <v/>
      </c>
      <c r="AM23" s="22" t="str">
        <f>INDEX(Cronograma!AL$5:AL$11,MATCH($B23,Premissas!$A$39:$A$45,0))</f>
        <v/>
      </c>
      <c r="AN23" s="22" t="str">
        <f>INDEX(Cronograma!AM$5:AM$11,MATCH($B23,Premissas!$A$39:$A$45,0))</f>
        <v/>
      </c>
      <c r="AO23" s="22" t="str">
        <f>INDEX(Cronograma!AN$5:AN$11,MATCH($B23,Premissas!$A$39:$A$45,0))</f>
        <v/>
      </c>
      <c r="AP23" s="22" t="str">
        <f>INDEX(Cronograma!AO$5:AO$11,MATCH($B23,Premissas!$A$39:$A$45,0))</f>
        <v>S</v>
      </c>
      <c r="AQ23" s="22" t="str">
        <f>INDEX(Cronograma!AP$5:AP$11,MATCH($B23,Premissas!$A$39:$A$45,0))</f>
        <v/>
      </c>
      <c r="AR23" s="22" t="str">
        <f>INDEX(Cronograma!AQ$5:AQ$11,MATCH($B23,Premissas!$A$39:$A$45,0))</f>
        <v/>
      </c>
      <c r="AS23" s="22" t="str">
        <f>INDEX(Cronograma!AR$5:AR$11,MATCH($B23,Premissas!$A$39:$A$45,0))</f>
        <v/>
      </c>
      <c r="AT23" s="22" t="str">
        <f>INDEX(Cronograma!AS$5:AS$11,MATCH($B23,Premissas!$A$39:$A$45,0))</f>
        <v/>
      </c>
      <c r="AU23" s="22" t="str">
        <f>INDEX(Cronograma!AT$5:AT$11,MATCH($B23,Premissas!$A$39:$A$45,0))</f>
        <v/>
      </c>
      <c r="AV23" s="22" t="str">
        <f>INDEX(Cronograma!AU$5:AU$11,MATCH($B23,Premissas!$A$39:$A$45,0))</f>
        <v/>
      </c>
      <c r="AW23" s="22" t="str">
        <f>INDEX(Cronograma!AV$5:AV$11,MATCH($B23,Premissas!$A$39:$A$45,0))</f>
        <v/>
      </c>
      <c r="AX23" s="22" t="str">
        <f>INDEX(Cronograma!AW$5:AW$11,MATCH($B23,Premissas!$A$39:$A$45,0))</f>
        <v/>
      </c>
      <c r="AY23" s="22" t="str">
        <f>INDEX(Cronograma!AX$5:AX$11,MATCH($B23,Premissas!$A$39:$A$45,0))</f>
        <v/>
      </c>
      <c r="AZ23" s="22" t="str">
        <f>INDEX(Cronograma!AY$5:AY$11,MATCH($B23,Premissas!$A$39:$A$45,0))</f>
        <v/>
      </c>
      <c r="BA23" s="22" t="str">
        <f>INDEX(Cronograma!AZ$5:AZ$11,MATCH($B23,Premissas!$A$39:$A$45,0))</f>
        <v/>
      </c>
      <c r="BB23" s="22" t="str">
        <f>INDEX(Cronograma!BA$5:BA$11,MATCH($B23,Premissas!$A$39:$A$45,0))</f>
        <v/>
      </c>
    </row>
    <row r="24" spans="1:54" ht="15" customHeight="1" x14ac:dyDescent="0.4">
      <c r="A24" s="15" t="str">
        <f>Frota!$B24&amp;" — "&amp;Frota!$A24</f>
        <v>MB 3344 6x4 — 101111</v>
      </c>
      <c r="B24" s="16" t="str">
        <f>Frota!$C24</f>
        <v>Caminhão</v>
      </c>
      <c r="C24" s="22" t="str">
        <f>INDEX(Cronograma!B$5:B$11,MATCH($B24,Premissas!$A$39:$A$45,0))</f>
        <v/>
      </c>
      <c r="D24" s="22" t="str">
        <f>INDEX(Cronograma!C$5:C$11,MATCH($B24,Premissas!$A$39:$A$45,0))</f>
        <v/>
      </c>
      <c r="E24" s="22" t="str">
        <f>INDEX(Cronograma!D$5:D$11,MATCH($B24,Premissas!$A$39:$A$45,0))</f>
        <v/>
      </c>
      <c r="F24" s="22" t="str">
        <f>INDEX(Cronograma!E$5:E$11,MATCH($B24,Premissas!$A$39:$A$45,0))</f>
        <v/>
      </c>
      <c r="G24" s="22" t="str">
        <f>INDEX(Cronograma!F$5:F$11,MATCH($B24,Premissas!$A$39:$A$45,0))</f>
        <v/>
      </c>
      <c r="H24" s="22" t="str">
        <f>INDEX(Cronograma!G$5:G$11,MATCH($B24,Premissas!$A$39:$A$45,0))</f>
        <v/>
      </c>
      <c r="I24" s="22" t="str">
        <f>INDEX(Cronograma!H$5:H$11,MATCH($B24,Premissas!$A$39:$A$45,0))</f>
        <v>S</v>
      </c>
      <c r="J24" s="22" t="str">
        <f>INDEX(Cronograma!I$5:I$11,MATCH($B24,Premissas!$A$39:$A$45,0))</f>
        <v/>
      </c>
      <c r="K24" s="22" t="str">
        <f>INDEX(Cronograma!J$5:J$11,MATCH($B24,Premissas!$A$39:$A$45,0))</f>
        <v/>
      </c>
      <c r="L24" s="22" t="str">
        <f>INDEX(Cronograma!K$5:K$11,MATCH($B24,Premissas!$A$39:$A$45,0))</f>
        <v/>
      </c>
      <c r="M24" s="22" t="str">
        <f>INDEX(Cronograma!L$5:L$11,MATCH($B24,Premissas!$A$39:$A$45,0))</f>
        <v/>
      </c>
      <c r="N24" s="22" t="str">
        <f>INDEX(Cronograma!M$5:M$11,MATCH($B24,Premissas!$A$39:$A$45,0))</f>
        <v/>
      </c>
      <c r="O24" s="22" t="str">
        <f>INDEX(Cronograma!N$5:N$11,MATCH($B24,Premissas!$A$39:$A$45,0))</f>
        <v/>
      </c>
      <c r="P24" s="22" t="str">
        <f>INDEX(Cronograma!O$5:O$11,MATCH($B24,Premissas!$A$39:$A$45,0))</f>
        <v>A</v>
      </c>
      <c r="Q24" s="22" t="str">
        <f>INDEX(Cronograma!P$5:P$11,MATCH($B24,Premissas!$A$39:$A$45,0))</f>
        <v/>
      </c>
      <c r="R24" s="22" t="str">
        <f>INDEX(Cronograma!Q$5:Q$11,MATCH($B24,Premissas!$A$39:$A$45,0))</f>
        <v/>
      </c>
      <c r="S24" s="22" t="str">
        <f>INDEX(Cronograma!R$5:R$11,MATCH($B24,Premissas!$A$39:$A$45,0))</f>
        <v/>
      </c>
      <c r="T24" s="22" t="str">
        <f>INDEX(Cronograma!S$5:S$11,MATCH($B24,Premissas!$A$39:$A$45,0))</f>
        <v/>
      </c>
      <c r="U24" s="22" t="str">
        <f>INDEX(Cronograma!T$5:T$11,MATCH($B24,Premissas!$A$39:$A$45,0))</f>
        <v/>
      </c>
      <c r="V24" s="22" t="str">
        <f>INDEX(Cronograma!U$5:U$11,MATCH($B24,Premissas!$A$39:$A$45,0))</f>
        <v>S</v>
      </c>
      <c r="W24" s="22" t="str">
        <f>INDEX(Cronograma!V$5:V$11,MATCH($B24,Premissas!$A$39:$A$45,0))</f>
        <v/>
      </c>
      <c r="X24" s="22" t="str">
        <f>INDEX(Cronograma!W$5:W$11,MATCH($B24,Premissas!$A$39:$A$45,0))</f>
        <v/>
      </c>
      <c r="Y24" s="22" t="str">
        <f>INDEX(Cronograma!X$5:X$11,MATCH($B24,Premissas!$A$39:$A$45,0))</f>
        <v/>
      </c>
      <c r="Z24" s="22" t="str">
        <f>INDEX(Cronograma!Y$5:Y$11,MATCH($B24,Premissas!$A$39:$A$45,0))</f>
        <v/>
      </c>
      <c r="AA24" s="22" t="str">
        <f>INDEX(Cronograma!Z$5:Z$11,MATCH($B24,Premissas!$A$39:$A$45,0))</f>
        <v/>
      </c>
      <c r="AB24" s="22" t="str">
        <f>INDEX(Cronograma!AA$5:AA$11,MATCH($B24,Premissas!$A$39:$A$45,0))</f>
        <v/>
      </c>
      <c r="AC24" s="22" t="str">
        <f>INDEX(Cronograma!AB$5:AB$11,MATCH($B24,Premissas!$A$39:$A$45,0))</f>
        <v>B</v>
      </c>
      <c r="AD24" s="22" t="str">
        <f>INDEX(Cronograma!AC$5:AC$11,MATCH($B24,Premissas!$A$39:$A$45,0))</f>
        <v/>
      </c>
      <c r="AE24" s="22" t="str">
        <f>INDEX(Cronograma!AD$5:AD$11,MATCH($B24,Premissas!$A$39:$A$45,0))</f>
        <v/>
      </c>
      <c r="AF24" s="22" t="str">
        <f>INDEX(Cronograma!AE$5:AE$11,MATCH($B24,Premissas!$A$39:$A$45,0))</f>
        <v/>
      </c>
      <c r="AG24" s="22" t="str">
        <f>INDEX(Cronograma!AF$5:AF$11,MATCH($B24,Premissas!$A$39:$A$45,0))</f>
        <v/>
      </c>
      <c r="AH24" s="22" t="str">
        <f>INDEX(Cronograma!AG$5:AG$11,MATCH($B24,Premissas!$A$39:$A$45,0))</f>
        <v/>
      </c>
      <c r="AI24" s="22" t="str">
        <f>INDEX(Cronograma!AH$5:AH$11,MATCH($B24,Premissas!$A$39:$A$45,0))</f>
        <v/>
      </c>
      <c r="AJ24" s="22" t="str">
        <f>INDEX(Cronograma!AI$5:AI$11,MATCH($B24,Premissas!$A$39:$A$45,0))</f>
        <v/>
      </c>
      <c r="AK24" s="22" t="str">
        <f>INDEX(Cronograma!AJ$5:AJ$11,MATCH($B24,Premissas!$A$39:$A$45,0))</f>
        <v/>
      </c>
      <c r="AL24" s="22" t="str">
        <f>INDEX(Cronograma!AK$5:AK$11,MATCH($B24,Premissas!$A$39:$A$45,0))</f>
        <v/>
      </c>
      <c r="AM24" s="22" t="str">
        <f>INDEX(Cronograma!AL$5:AL$11,MATCH($B24,Premissas!$A$39:$A$45,0))</f>
        <v/>
      </c>
      <c r="AN24" s="22" t="str">
        <f>INDEX(Cronograma!AM$5:AM$11,MATCH($B24,Premissas!$A$39:$A$45,0))</f>
        <v/>
      </c>
      <c r="AO24" s="22" t="str">
        <f>INDEX(Cronograma!AN$5:AN$11,MATCH($B24,Premissas!$A$39:$A$45,0))</f>
        <v/>
      </c>
      <c r="AP24" s="22" t="str">
        <f>INDEX(Cronograma!AO$5:AO$11,MATCH($B24,Premissas!$A$39:$A$45,0))</f>
        <v>S</v>
      </c>
      <c r="AQ24" s="22" t="str">
        <f>INDEX(Cronograma!AP$5:AP$11,MATCH($B24,Premissas!$A$39:$A$45,0))</f>
        <v/>
      </c>
      <c r="AR24" s="22" t="str">
        <f>INDEX(Cronograma!AQ$5:AQ$11,MATCH($B24,Premissas!$A$39:$A$45,0))</f>
        <v/>
      </c>
      <c r="AS24" s="22" t="str">
        <f>INDEX(Cronograma!AR$5:AR$11,MATCH($B24,Premissas!$A$39:$A$45,0))</f>
        <v/>
      </c>
      <c r="AT24" s="22" t="str">
        <f>INDEX(Cronograma!AS$5:AS$11,MATCH($B24,Premissas!$A$39:$A$45,0))</f>
        <v/>
      </c>
      <c r="AU24" s="22" t="str">
        <f>INDEX(Cronograma!AT$5:AT$11,MATCH($B24,Premissas!$A$39:$A$45,0))</f>
        <v/>
      </c>
      <c r="AV24" s="22" t="str">
        <f>INDEX(Cronograma!AU$5:AU$11,MATCH($B24,Premissas!$A$39:$A$45,0))</f>
        <v/>
      </c>
      <c r="AW24" s="22" t="str">
        <f>INDEX(Cronograma!AV$5:AV$11,MATCH($B24,Premissas!$A$39:$A$45,0))</f>
        <v/>
      </c>
      <c r="AX24" s="22" t="str">
        <f>INDEX(Cronograma!AW$5:AW$11,MATCH($B24,Premissas!$A$39:$A$45,0))</f>
        <v/>
      </c>
      <c r="AY24" s="22" t="str">
        <f>INDEX(Cronograma!AX$5:AX$11,MATCH($B24,Premissas!$A$39:$A$45,0))</f>
        <v/>
      </c>
      <c r="AZ24" s="22" t="str">
        <f>INDEX(Cronograma!AY$5:AY$11,MATCH($B24,Premissas!$A$39:$A$45,0))</f>
        <v/>
      </c>
      <c r="BA24" s="22" t="str">
        <f>INDEX(Cronograma!AZ$5:AZ$11,MATCH($B24,Premissas!$A$39:$A$45,0))</f>
        <v/>
      </c>
      <c r="BB24" s="22" t="str">
        <f>INDEX(Cronograma!BA$5:BA$11,MATCH($B24,Premissas!$A$39:$A$45,0))</f>
        <v/>
      </c>
    </row>
    <row r="25" spans="1:54" ht="15" customHeight="1" x14ac:dyDescent="0.4">
      <c r="A25" s="15" t="str">
        <f>Frota!$B25&amp;" — "&amp;Frota!$A25</f>
        <v>MB 3344 6x4 — 101112</v>
      </c>
      <c r="B25" s="16" t="str">
        <f>Frota!$C25</f>
        <v>Caminhão</v>
      </c>
      <c r="C25" s="22" t="str">
        <f>INDEX(Cronograma!B$5:B$11,MATCH($B25,Premissas!$A$39:$A$45,0))</f>
        <v/>
      </c>
      <c r="D25" s="22" t="str">
        <f>INDEX(Cronograma!C$5:C$11,MATCH($B25,Premissas!$A$39:$A$45,0))</f>
        <v/>
      </c>
      <c r="E25" s="22" t="str">
        <f>INDEX(Cronograma!D$5:D$11,MATCH($B25,Premissas!$A$39:$A$45,0))</f>
        <v/>
      </c>
      <c r="F25" s="22" t="str">
        <f>INDEX(Cronograma!E$5:E$11,MATCH($B25,Premissas!$A$39:$A$45,0))</f>
        <v/>
      </c>
      <c r="G25" s="22" t="str">
        <f>INDEX(Cronograma!F$5:F$11,MATCH($B25,Premissas!$A$39:$A$45,0))</f>
        <v/>
      </c>
      <c r="H25" s="22" t="str">
        <f>INDEX(Cronograma!G$5:G$11,MATCH($B25,Premissas!$A$39:$A$45,0))</f>
        <v/>
      </c>
      <c r="I25" s="22" t="str">
        <f>INDEX(Cronograma!H$5:H$11,MATCH($B25,Premissas!$A$39:$A$45,0))</f>
        <v>S</v>
      </c>
      <c r="J25" s="22" t="str">
        <f>INDEX(Cronograma!I$5:I$11,MATCH($B25,Premissas!$A$39:$A$45,0))</f>
        <v/>
      </c>
      <c r="K25" s="22" t="str">
        <f>INDEX(Cronograma!J$5:J$11,MATCH($B25,Premissas!$A$39:$A$45,0))</f>
        <v/>
      </c>
      <c r="L25" s="22" t="str">
        <f>INDEX(Cronograma!K$5:K$11,MATCH($B25,Premissas!$A$39:$A$45,0))</f>
        <v/>
      </c>
      <c r="M25" s="22" t="str">
        <f>INDEX(Cronograma!L$5:L$11,MATCH($B25,Premissas!$A$39:$A$45,0))</f>
        <v/>
      </c>
      <c r="N25" s="22" t="str">
        <f>INDEX(Cronograma!M$5:M$11,MATCH($B25,Premissas!$A$39:$A$45,0))</f>
        <v/>
      </c>
      <c r="O25" s="22" t="str">
        <f>INDEX(Cronograma!N$5:N$11,MATCH($B25,Premissas!$A$39:$A$45,0))</f>
        <v/>
      </c>
      <c r="P25" s="22" t="str">
        <f>INDEX(Cronograma!O$5:O$11,MATCH($B25,Premissas!$A$39:$A$45,0))</f>
        <v>A</v>
      </c>
      <c r="Q25" s="22" t="str">
        <f>INDEX(Cronograma!P$5:P$11,MATCH($B25,Premissas!$A$39:$A$45,0))</f>
        <v/>
      </c>
      <c r="R25" s="22" t="str">
        <f>INDEX(Cronograma!Q$5:Q$11,MATCH($B25,Premissas!$A$39:$A$45,0))</f>
        <v/>
      </c>
      <c r="S25" s="22" t="str">
        <f>INDEX(Cronograma!R$5:R$11,MATCH($B25,Premissas!$A$39:$A$45,0))</f>
        <v/>
      </c>
      <c r="T25" s="22" t="str">
        <f>INDEX(Cronograma!S$5:S$11,MATCH($B25,Premissas!$A$39:$A$45,0))</f>
        <v/>
      </c>
      <c r="U25" s="22" t="str">
        <f>INDEX(Cronograma!T$5:T$11,MATCH($B25,Premissas!$A$39:$A$45,0))</f>
        <v/>
      </c>
      <c r="V25" s="22" t="str">
        <f>INDEX(Cronograma!U$5:U$11,MATCH($B25,Premissas!$A$39:$A$45,0))</f>
        <v>S</v>
      </c>
      <c r="W25" s="22" t="str">
        <f>INDEX(Cronograma!V$5:V$11,MATCH($B25,Premissas!$A$39:$A$45,0))</f>
        <v/>
      </c>
      <c r="X25" s="22" t="str">
        <f>INDEX(Cronograma!W$5:W$11,MATCH($B25,Premissas!$A$39:$A$45,0))</f>
        <v/>
      </c>
      <c r="Y25" s="22" t="str">
        <f>INDEX(Cronograma!X$5:X$11,MATCH($B25,Premissas!$A$39:$A$45,0))</f>
        <v/>
      </c>
      <c r="Z25" s="22" t="str">
        <f>INDEX(Cronograma!Y$5:Y$11,MATCH($B25,Premissas!$A$39:$A$45,0))</f>
        <v/>
      </c>
      <c r="AA25" s="22" t="str">
        <f>INDEX(Cronograma!Z$5:Z$11,MATCH($B25,Premissas!$A$39:$A$45,0))</f>
        <v/>
      </c>
      <c r="AB25" s="22" t="str">
        <f>INDEX(Cronograma!AA$5:AA$11,MATCH($B25,Premissas!$A$39:$A$45,0))</f>
        <v/>
      </c>
      <c r="AC25" s="22" t="str">
        <f>INDEX(Cronograma!AB$5:AB$11,MATCH($B25,Premissas!$A$39:$A$45,0))</f>
        <v>B</v>
      </c>
      <c r="AD25" s="22" t="str">
        <f>INDEX(Cronograma!AC$5:AC$11,MATCH($B25,Premissas!$A$39:$A$45,0))</f>
        <v/>
      </c>
      <c r="AE25" s="22" t="str">
        <f>INDEX(Cronograma!AD$5:AD$11,MATCH($B25,Premissas!$A$39:$A$45,0))</f>
        <v/>
      </c>
      <c r="AF25" s="22" t="str">
        <f>INDEX(Cronograma!AE$5:AE$11,MATCH($B25,Premissas!$A$39:$A$45,0))</f>
        <v/>
      </c>
      <c r="AG25" s="22" t="str">
        <f>INDEX(Cronograma!AF$5:AF$11,MATCH($B25,Premissas!$A$39:$A$45,0))</f>
        <v/>
      </c>
      <c r="AH25" s="22" t="str">
        <f>INDEX(Cronograma!AG$5:AG$11,MATCH($B25,Premissas!$A$39:$A$45,0))</f>
        <v/>
      </c>
      <c r="AI25" s="22" t="str">
        <f>INDEX(Cronograma!AH$5:AH$11,MATCH($B25,Premissas!$A$39:$A$45,0))</f>
        <v/>
      </c>
      <c r="AJ25" s="22" t="str">
        <f>INDEX(Cronograma!AI$5:AI$11,MATCH($B25,Premissas!$A$39:$A$45,0))</f>
        <v/>
      </c>
      <c r="AK25" s="22" t="str">
        <f>INDEX(Cronograma!AJ$5:AJ$11,MATCH($B25,Premissas!$A$39:$A$45,0))</f>
        <v/>
      </c>
      <c r="AL25" s="22" t="str">
        <f>INDEX(Cronograma!AK$5:AK$11,MATCH($B25,Premissas!$A$39:$A$45,0))</f>
        <v/>
      </c>
      <c r="AM25" s="22" t="str">
        <f>INDEX(Cronograma!AL$5:AL$11,MATCH($B25,Premissas!$A$39:$A$45,0))</f>
        <v/>
      </c>
      <c r="AN25" s="22" t="str">
        <f>INDEX(Cronograma!AM$5:AM$11,MATCH($B25,Premissas!$A$39:$A$45,0))</f>
        <v/>
      </c>
      <c r="AO25" s="22" t="str">
        <f>INDEX(Cronograma!AN$5:AN$11,MATCH($B25,Premissas!$A$39:$A$45,0))</f>
        <v/>
      </c>
      <c r="AP25" s="22" t="str">
        <f>INDEX(Cronograma!AO$5:AO$11,MATCH($B25,Premissas!$A$39:$A$45,0))</f>
        <v>S</v>
      </c>
      <c r="AQ25" s="22" t="str">
        <f>INDEX(Cronograma!AP$5:AP$11,MATCH($B25,Premissas!$A$39:$A$45,0))</f>
        <v/>
      </c>
      <c r="AR25" s="22" t="str">
        <f>INDEX(Cronograma!AQ$5:AQ$11,MATCH($B25,Premissas!$A$39:$A$45,0))</f>
        <v/>
      </c>
      <c r="AS25" s="22" t="str">
        <f>INDEX(Cronograma!AR$5:AR$11,MATCH($B25,Premissas!$A$39:$A$45,0))</f>
        <v/>
      </c>
      <c r="AT25" s="22" t="str">
        <f>INDEX(Cronograma!AS$5:AS$11,MATCH($B25,Premissas!$A$39:$A$45,0))</f>
        <v/>
      </c>
      <c r="AU25" s="22" t="str">
        <f>INDEX(Cronograma!AT$5:AT$11,MATCH($B25,Premissas!$A$39:$A$45,0))</f>
        <v/>
      </c>
      <c r="AV25" s="22" t="str">
        <f>INDEX(Cronograma!AU$5:AU$11,MATCH($B25,Premissas!$A$39:$A$45,0))</f>
        <v/>
      </c>
      <c r="AW25" s="22" t="str">
        <f>INDEX(Cronograma!AV$5:AV$11,MATCH($B25,Premissas!$A$39:$A$45,0))</f>
        <v/>
      </c>
      <c r="AX25" s="22" t="str">
        <f>INDEX(Cronograma!AW$5:AW$11,MATCH($B25,Premissas!$A$39:$A$45,0))</f>
        <v/>
      </c>
      <c r="AY25" s="22" t="str">
        <f>INDEX(Cronograma!AX$5:AX$11,MATCH($B25,Premissas!$A$39:$A$45,0))</f>
        <v/>
      </c>
      <c r="AZ25" s="22" t="str">
        <f>INDEX(Cronograma!AY$5:AY$11,MATCH($B25,Premissas!$A$39:$A$45,0))</f>
        <v/>
      </c>
      <c r="BA25" s="22" t="str">
        <f>INDEX(Cronograma!AZ$5:AZ$11,MATCH($B25,Premissas!$A$39:$A$45,0))</f>
        <v/>
      </c>
      <c r="BB25" s="22" t="str">
        <f>INDEX(Cronograma!BA$5:BA$11,MATCH($B25,Premissas!$A$39:$A$45,0))</f>
        <v/>
      </c>
    </row>
    <row r="26" spans="1:54" ht="15" customHeight="1" x14ac:dyDescent="0.4">
      <c r="A26" s="15" t="str">
        <f>Frota!$B26&amp;" — "&amp;Frota!$A26</f>
        <v>MB 3344 6x4 — 101113</v>
      </c>
      <c r="B26" s="16" t="str">
        <f>Frota!$C26</f>
        <v>Caminhão</v>
      </c>
      <c r="C26" s="22" t="str">
        <f>INDEX(Cronograma!B$5:B$11,MATCH($B26,Premissas!$A$39:$A$45,0))</f>
        <v/>
      </c>
      <c r="D26" s="22" t="str">
        <f>INDEX(Cronograma!C$5:C$11,MATCH($B26,Premissas!$A$39:$A$45,0))</f>
        <v/>
      </c>
      <c r="E26" s="22" t="str">
        <f>INDEX(Cronograma!D$5:D$11,MATCH($B26,Premissas!$A$39:$A$45,0))</f>
        <v/>
      </c>
      <c r="F26" s="22" t="str">
        <f>INDEX(Cronograma!E$5:E$11,MATCH($B26,Premissas!$A$39:$A$45,0))</f>
        <v/>
      </c>
      <c r="G26" s="22" t="str">
        <f>INDEX(Cronograma!F$5:F$11,MATCH($B26,Premissas!$A$39:$A$45,0))</f>
        <v/>
      </c>
      <c r="H26" s="22" t="str">
        <f>INDEX(Cronograma!G$5:G$11,MATCH($B26,Premissas!$A$39:$A$45,0))</f>
        <v/>
      </c>
      <c r="I26" s="22" t="str">
        <f>INDEX(Cronograma!H$5:H$11,MATCH($B26,Premissas!$A$39:$A$45,0))</f>
        <v>S</v>
      </c>
      <c r="J26" s="22" t="str">
        <f>INDEX(Cronograma!I$5:I$11,MATCH($B26,Premissas!$A$39:$A$45,0))</f>
        <v/>
      </c>
      <c r="K26" s="22" t="str">
        <f>INDEX(Cronograma!J$5:J$11,MATCH($B26,Premissas!$A$39:$A$45,0))</f>
        <v/>
      </c>
      <c r="L26" s="22" t="str">
        <f>INDEX(Cronograma!K$5:K$11,MATCH($B26,Premissas!$A$39:$A$45,0))</f>
        <v/>
      </c>
      <c r="M26" s="22" t="str">
        <f>INDEX(Cronograma!L$5:L$11,MATCH($B26,Premissas!$A$39:$A$45,0))</f>
        <v/>
      </c>
      <c r="N26" s="22" t="str">
        <f>INDEX(Cronograma!M$5:M$11,MATCH($B26,Premissas!$A$39:$A$45,0))</f>
        <v/>
      </c>
      <c r="O26" s="22" t="str">
        <f>INDEX(Cronograma!N$5:N$11,MATCH($B26,Premissas!$A$39:$A$45,0))</f>
        <v/>
      </c>
      <c r="P26" s="22" t="str">
        <f>INDEX(Cronograma!O$5:O$11,MATCH($B26,Premissas!$A$39:$A$45,0))</f>
        <v>A</v>
      </c>
      <c r="Q26" s="22" t="str">
        <f>INDEX(Cronograma!P$5:P$11,MATCH($B26,Premissas!$A$39:$A$45,0))</f>
        <v/>
      </c>
      <c r="R26" s="22" t="str">
        <f>INDEX(Cronograma!Q$5:Q$11,MATCH($B26,Premissas!$A$39:$A$45,0))</f>
        <v/>
      </c>
      <c r="S26" s="22" t="str">
        <f>INDEX(Cronograma!R$5:R$11,MATCH($B26,Premissas!$A$39:$A$45,0))</f>
        <v/>
      </c>
      <c r="T26" s="22" t="str">
        <f>INDEX(Cronograma!S$5:S$11,MATCH($B26,Premissas!$A$39:$A$45,0))</f>
        <v/>
      </c>
      <c r="U26" s="22" t="str">
        <f>INDEX(Cronograma!T$5:T$11,MATCH($B26,Premissas!$A$39:$A$45,0))</f>
        <v/>
      </c>
      <c r="V26" s="22" t="str">
        <f>INDEX(Cronograma!U$5:U$11,MATCH($B26,Premissas!$A$39:$A$45,0))</f>
        <v>S</v>
      </c>
      <c r="W26" s="22" t="str">
        <f>INDEX(Cronograma!V$5:V$11,MATCH($B26,Premissas!$A$39:$A$45,0))</f>
        <v/>
      </c>
      <c r="X26" s="22" t="str">
        <f>INDEX(Cronograma!W$5:W$11,MATCH($B26,Premissas!$A$39:$A$45,0))</f>
        <v/>
      </c>
      <c r="Y26" s="22" t="str">
        <f>INDEX(Cronograma!X$5:X$11,MATCH($B26,Premissas!$A$39:$A$45,0))</f>
        <v/>
      </c>
      <c r="Z26" s="22" t="str">
        <f>INDEX(Cronograma!Y$5:Y$11,MATCH($B26,Premissas!$A$39:$A$45,0))</f>
        <v/>
      </c>
      <c r="AA26" s="22" t="str">
        <f>INDEX(Cronograma!Z$5:Z$11,MATCH($B26,Premissas!$A$39:$A$45,0))</f>
        <v/>
      </c>
      <c r="AB26" s="22" t="str">
        <f>INDEX(Cronograma!AA$5:AA$11,MATCH($B26,Premissas!$A$39:$A$45,0))</f>
        <v/>
      </c>
      <c r="AC26" s="22" t="str">
        <f>INDEX(Cronograma!AB$5:AB$11,MATCH($B26,Premissas!$A$39:$A$45,0))</f>
        <v>B</v>
      </c>
      <c r="AD26" s="22" t="str">
        <f>INDEX(Cronograma!AC$5:AC$11,MATCH($B26,Premissas!$A$39:$A$45,0))</f>
        <v/>
      </c>
      <c r="AE26" s="22" t="str">
        <f>INDEX(Cronograma!AD$5:AD$11,MATCH($B26,Premissas!$A$39:$A$45,0))</f>
        <v/>
      </c>
      <c r="AF26" s="22" t="str">
        <f>INDEX(Cronograma!AE$5:AE$11,MATCH($B26,Premissas!$A$39:$A$45,0))</f>
        <v/>
      </c>
      <c r="AG26" s="22" t="str">
        <f>INDEX(Cronograma!AF$5:AF$11,MATCH($B26,Premissas!$A$39:$A$45,0))</f>
        <v/>
      </c>
      <c r="AH26" s="22" t="str">
        <f>INDEX(Cronograma!AG$5:AG$11,MATCH($B26,Premissas!$A$39:$A$45,0))</f>
        <v/>
      </c>
      <c r="AI26" s="22" t="str">
        <f>INDEX(Cronograma!AH$5:AH$11,MATCH($B26,Premissas!$A$39:$A$45,0))</f>
        <v/>
      </c>
      <c r="AJ26" s="22" t="str">
        <f>INDEX(Cronograma!AI$5:AI$11,MATCH($B26,Premissas!$A$39:$A$45,0))</f>
        <v/>
      </c>
      <c r="AK26" s="22" t="str">
        <f>INDEX(Cronograma!AJ$5:AJ$11,MATCH($B26,Premissas!$A$39:$A$45,0))</f>
        <v/>
      </c>
      <c r="AL26" s="22" t="str">
        <f>INDEX(Cronograma!AK$5:AK$11,MATCH($B26,Premissas!$A$39:$A$45,0))</f>
        <v/>
      </c>
      <c r="AM26" s="22" t="str">
        <f>INDEX(Cronograma!AL$5:AL$11,MATCH($B26,Premissas!$A$39:$A$45,0))</f>
        <v/>
      </c>
      <c r="AN26" s="22" t="str">
        <f>INDEX(Cronograma!AM$5:AM$11,MATCH($B26,Premissas!$A$39:$A$45,0))</f>
        <v/>
      </c>
      <c r="AO26" s="22" t="str">
        <f>INDEX(Cronograma!AN$5:AN$11,MATCH($B26,Premissas!$A$39:$A$45,0))</f>
        <v/>
      </c>
      <c r="AP26" s="22" t="str">
        <f>INDEX(Cronograma!AO$5:AO$11,MATCH($B26,Premissas!$A$39:$A$45,0))</f>
        <v>S</v>
      </c>
      <c r="AQ26" s="22" t="str">
        <f>INDEX(Cronograma!AP$5:AP$11,MATCH($B26,Premissas!$A$39:$A$45,0))</f>
        <v/>
      </c>
      <c r="AR26" s="22" t="str">
        <f>INDEX(Cronograma!AQ$5:AQ$11,MATCH($B26,Premissas!$A$39:$A$45,0))</f>
        <v/>
      </c>
      <c r="AS26" s="22" t="str">
        <f>INDEX(Cronograma!AR$5:AR$11,MATCH($B26,Premissas!$A$39:$A$45,0))</f>
        <v/>
      </c>
      <c r="AT26" s="22" t="str">
        <f>INDEX(Cronograma!AS$5:AS$11,MATCH($B26,Premissas!$A$39:$A$45,0))</f>
        <v/>
      </c>
      <c r="AU26" s="22" t="str">
        <f>INDEX(Cronograma!AT$5:AT$11,MATCH($B26,Premissas!$A$39:$A$45,0))</f>
        <v/>
      </c>
      <c r="AV26" s="22" t="str">
        <f>INDEX(Cronograma!AU$5:AU$11,MATCH($B26,Premissas!$A$39:$A$45,0))</f>
        <v/>
      </c>
      <c r="AW26" s="22" t="str">
        <f>INDEX(Cronograma!AV$5:AV$11,MATCH($B26,Premissas!$A$39:$A$45,0))</f>
        <v/>
      </c>
      <c r="AX26" s="22" t="str">
        <f>INDEX(Cronograma!AW$5:AW$11,MATCH($B26,Premissas!$A$39:$A$45,0))</f>
        <v/>
      </c>
      <c r="AY26" s="22" t="str">
        <f>INDEX(Cronograma!AX$5:AX$11,MATCH($B26,Premissas!$A$39:$A$45,0))</f>
        <v/>
      </c>
      <c r="AZ26" s="22" t="str">
        <f>INDEX(Cronograma!AY$5:AY$11,MATCH($B26,Premissas!$A$39:$A$45,0))</f>
        <v/>
      </c>
      <c r="BA26" s="22" t="str">
        <f>INDEX(Cronograma!AZ$5:AZ$11,MATCH($B26,Premissas!$A$39:$A$45,0))</f>
        <v/>
      </c>
      <c r="BB26" s="22" t="str">
        <f>INDEX(Cronograma!BA$5:BA$11,MATCH($B26,Premissas!$A$39:$A$45,0))</f>
        <v/>
      </c>
    </row>
    <row r="27" spans="1:54" ht="15" customHeight="1" x14ac:dyDescent="0.4">
      <c r="A27" s="15" t="str">
        <f>Frota!$B27&amp;" — "&amp;Frota!$A27</f>
        <v>MB 3344 6x4 — 101114</v>
      </c>
      <c r="B27" s="16" t="str">
        <f>Frota!$C27</f>
        <v>Caminhão</v>
      </c>
      <c r="C27" s="22" t="str">
        <f>INDEX(Cronograma!B$5:B$11,MATCH($B27,Premissas!$A$39:$A$45,0))</f>
        <v/>
      </c>
      <c r="D27" s="22" t="str">
        <f>INDEX(Cronograma!C$5:C$11,MATCH($B27,Premissas!$A$39:$A$45,0))</f>
        <v/>
      </c>
      <c r="E27" s="22" t="str">
        <f>INDEX(Cronograma!D$5:D$11,MATCH($B27,Premissas!$A$39:$A$45,0))</f>
        <v/>
      </c>
      <c r="F27" s="22" t="str">
        <f>INDEX(Cronograma!E$5:E$11,MATCH($B27,Premissas!$A$39:$A$45,0))</f>
        <v/>
      </c>
      <c r="G27" s="22" t="str">
        <f>INDEX(Cronograma!F$5:F$11,MATCH($B27,Premissas!$A$39:$A$45,0))</f>
        <v/>
      </c>
      <c r="H27" s="22" t="str">
        <f>INDEX(Cronograma!G$5:G$11,MATCH($B27,Premissas!$A$39:$A$45,0))</f>
        <v/>
      </c>
      <c r="I27" s="22" t="str">
        <f>INDEX(Cronograma!H$5:H$11,MATCH($B27,Premissas!$A$39:$A$45,0))</f>
        <v>S</v>
      </c>
      <c r="J27" s="22" t="str">
        <f>INDEX(Cronograma!I$5:I$11,MATCH($B27,Premissas!$A$39:$A$45,0))</f>
        <v/>
      </c>
      <c r="K27" s="22" t="str">
        <f>INDEX(Cronograma!J$5:J$11,MATCH($B27,Premissas!$A$39:$A$45,0))</f>
        <v/>
      </c>
      <c r="L27" s="22" t="str">
        <f>INDEX(Cronograma!K$5:K$11,MATCH($B27,Premissas!$A$39:$A$45,0))</f>
        <v/>
      </c>
      <c r="M27" s="22" t="str">
        <f>INDEX(Cronograma!L$5:L$11,MATCH($B27,Premissas!$A$39:$A$45,0))</f>
        <v/>
      </c>
      <c r="N27" s="22" t="str">
        <f>INDEX(Cronograma!M$5:M$11,MATCH($B27,Premissas!$A$39:$A$45,0))</f>
        <v/>
      </c>
      <c r="O27" s="22" t="str">
        <f>INDEX(Cronograma!N$5:N$11,MATCH($B27,Premissas!$A$39:$A$45,0))</f>
        <v/>
      </c>
      <c r="P27" s="22" t="str">
        <f>INDEX(Cronograma!O$5:O$11,MATCH($B27,Premissas!$A$39:$A$45,0))</f>
        <v>A</v>
      </c>
      <c r="Q27" s="22" t="str">
        <f>INDEX(Cronograma!P$5:P$11,MATCH($B27,Premissas!$A$39:$A$45,0))</f>
        <v/>
      </c>
      <c r="R27" s="22" t="str">
        <f>INDEX(Cronograma!Q$5:Q$11,MATCH($B27,Premissas!$A$39:$A$45,0))</f>
        <v/>
      </c>
      <c r="S27" s="22" t="str">
        <f>INDEX(Cronograma!R$5:R$11,MATCH($B27,Premissas!$A$39:$A$45,0))</f>
        <v/>
      </c>
      <c r="T27" s="22" t="str">
        <f>INDEX(Cronograma!S$5:S$11,MATCH($B27,Premissas!$A$39:$A$45,0))</f>
        <v/>
      </c>
      <c r="U27" s="22" t="str">
        <f>INDEX(Cronograma!T$5:T$11,MATCH($B27,Premissas!$A$39:$A$45,0))</f>
        <v/>
      </c>
      <c r="V27" s="22" t="str">
        <f>INDEX(Cronograma!U$5:U$11,MATCH($B27,Premissas!$A$39:$A$45,0))</f>
        <v>S</v>
      </c>
      <c r="W27" s="22" t="str">
        <f>INDEX(Cronograma!V$5:V$11,MATCH($B27,Premissas!$A$39:$A$45,0))</f>
        <v/>
      </c>
      <c r="X27" s="22" t="str">
        <f>INDEX(Cronograma!W$5:W$11,MATCH($B27,Premissas!$A$39:$A$45,0))</f>
        <v/>
      </c>
      <c r="Y27" s="22" t="str">
        <f>INDEX(Cronograma!X$5:X$11,MATCH($B27,Premissas!$A$39:$A$45,0))</f>
        <v/>
      </c>
      <c r="Z27" s="22" t="str">
        <f>INDEX(Cronograma!Y$5:Y$11,MATCH($B27,Premissas!$A$39:$A$45,0))</f>
        <v/>
      </c>
      <c r="AA27" s="22" t="str">
        <f>INDEX(Cronograma!Z$5:Z$11,MATCH($B27,Premissas!$A$39:$A$45,0))</f>
        <v/>
      </c>
      <c r="AB27" s="22" t="str">
        <f>INDEX(Cronograma!AA$5:AA$11,MATCH($B27,Premissas!$A$39:$A$45,0))</f>
        <v/>
      </c>
      <c r="AC27" s="22" t="str">
        <f>INDEX(Cronograma!AB$5:AB$11,MATCH($B27,Premissas!$A$39:$A$45,0))</f>
        <v>B</v>
      </c>
      <c r="AD27" s="22" t="str">
        <f>INDEX(Cronograma!AC$5:AC$11,MATCH($B27,Premissas!$A$39:$A$45,0))</f>
        <v/>
      </c>
      <c r="AE27" s="22" t="str">
        <f>INDEX(Cronograma!AD$5:AD$11,MATCH($B27,Premissas!$A$39:$A$45,0))</f>
        <v/>
      </c>
      <c r="AF27" s="22" t="str">
        <f>INDEX(Cronograma!AE$5:AE$11,MATCH($B27,Premissas!$A$39:$A$45,0))</f>
        <v/>
      </c>
      <c r="AG27" s="22" t="str">
        <f>INDEX(Cronograma!AF$5:AF$11,MATCH($B27,Premissas!$A$39:$A$45,0))</f>
        <v/>
      </c>
      <c r="AH27" s="22" t="str">
        <f>INDEX(Cronograma!AG$5:AG$11,MATCH($B27,Premissas!$A$39:$A$45,0))</f>
        <v/>
      </c>
      <c r="AI27" s="22" t="str">
        <f>INDEX(Cronograma!AH$5:AH$11,MATCH($B27,Premissas!$A$39:$A$45,0))</f>
        <v/>
      </c>
      <c r="AJ27" s="22" t="str">
        <f>INDEX(Cronograma!AI$5:AI$11,MATCH($B27,Premissas!$A$39:$A$45,0))</f>
        <v/>
      </c>
      <c r="AK27" s="22" t="str">
        <f>INDEX(Cronograma!AJ$5:AJ$11,MATCH($B27,Premissas!$A$39:$A$45,0))</f>
        <v/>
      </c>
      <c r="AL27" s="22" t="str">
        <f>INDEX(Cronograma!AK$5:AK$11,MATCH($B27,Premissas!$A$39:$A$45,0))</f>
        <v/>
      </c>
      <c r="AM27" s="22" t="str">
        <f>INDEX(Cronograma!AL$5:AL$11,MATCH($B27,Premissas!$A$39:$A$45,0))</f>
        <v/>
      </c>
      <c r="AN27" s="22" t="str">
        <f>INDEX(Cronograma!AM$5:AM$11,MATCH($B27,Premissas!$A$39:$A$45,0))</f>
        <v/>
      </c>
      <c r="AO27" s="22" t="str">
        <f>INDEX(Cronograma!AN$5:AN$11,MATCH($B27,Premissas!$A$39:$A$45,0))</f>
        <v/>
      </c>
      <c r="AP27" s="22" t="str">
        <f>INDEX(Cronograma!AO$5:AO$11,MATCH($B27,Premissas!$A$39:$A$45,0))</f>
        <v>S</v>
      </c>
      <c r="AQ27" s="22" t="str">
        <f>INDEX(Cronograma!AP$5:AP$11,MATCH($B27,Premissas!$A$39:$A$45,0))</f>
        <v/>
      </c>
      <c r="AR27" s="22" t="str">
        <f>INDEX(Cronograma!AQ$5:AQ$11,MATCH($B27,Premissas!$A$39:$A$45,0))</f>
        <v/>
      </c>
      <c r="AS27" s="22" t="str">
        <f>INDEX(Cronograma!AR$5:AR$11,MATCH($B27,Premissas!$A$39:$A$45,0))</f>
        <v/>
      </c>
      <c r="AT27" s="22" t="str">
        <f>INDEX(Cronograma!AS$5:AS$11,MATCH($B27,Premissas!$A$39:$A$45,0))</f>
        <v/>
      </c>
      <c r="AU27" s="22" t="str">
        <f>INDEX(Cronograma!AT$5:AT$11,MATCH($B27,Premissas!$A$39:$A$45,0))</f>
        <v/>
      </c>
      <c r="AV27" s="22" t="str">
        <f>INDEX(Cronograma!AU$5:AU$11,MATCH($B27,Premissas!$A$39:$A$45,0))</f>
        <v/>
      </c>
      <c r="AW27" s="22" t="str">
        <f>INDEX(Cronograma!AV$5:AV$11,MATCH($B27,Premissas!$A$39:$A$45,0))</f>
        <v/>
      </c>
      <c r="AX27" s="22" t="str">
        <f>INDEX(Cronograma!AW$5:AW$11,MATCH($B27,Premissas!$A$39:$A$45,0))</f>
        <v/>
      </c>
      <c r="AY27" s="22" t="str">
        <f>INDEX(Cronograma!AX$5:AX$11,MATCH($B27,Premissas!$A$39:$A$45,0))</f>
        <v/>
      </c>
      <c r="AZ27" s="22" t="str">
        <f>INDEX(Cronograma!AY$5:AY$11,MATCH($B27,Premissas!$A$39:$A$45,0))</f>
        <v/>
      </c>
      <c r="BA27" s="22" t="str">
        <f>INDEX(Cronograma!AZ$5:AZ$11,MATCH($B27,Premissas!$A$39:$A$45,0))</f>
        <v/>
      </c>
      <c r="BB27" s="22" t="str">
        <f>INDEX(Cronograma!BA$5:BA$11,MATCH($B27,Premissas!$A$39:$A$45,0))</f>
        <v/>
      </c>
    </row>
    <row r="28" spans="1:54" ht="15" customHeight="1" x14ac:dyDescent="0.4">
      <c r="A28" s="15" t="str">
        <f>Frota!$B28&amp;" — "&amp;Frota!$A28</f>
        <v>MB 3344 6x4 — 101115</v>
      </c>
      <c r="B28" s="16" t="str">
        <f>Frota!$C28</f>
        <v>Caminhão</v>
      </c>
      <c r="C28" s="22" t="str">
        <f>INDEX(Cronograma!B$5:B$11,MATCH($B28,Premissas!$A$39:$A$45,0))</f>
        <v/>
      </c>
      <c r="D28" s="22" t="str">
        <f>INDEX(Cronograma!C$5:C$11,MATCH($B28,Premissas!$A$39:$A$45,0))</f>
        <v/>
      </c>
      <c r="E28" s="22" t="str">
        <f>INDEX(Cronograma!D$5:D$11,MATCH($B28,Premissas!$A$39:$A$45,0))</f>
        <v/>
      </c>
      <c r="F28" s="22" t="str">
        <f>INDEX(Cronograma!E$5:E$11,MATCH($B28,Premissas!$A$39:$A$45,0))</f>
        <v/>
      </c>
      <c r="G28" s="22" t="str">
        <f>INDEX(Cronograma!F$5:F$11,MATCH($B28,Premissas!$A$39:$A$45,0))</f>
        <v/>
      </c>
      <c r="H28" s="22" t="str">
        <f>INDEX(Cronograma!G$5:G$11,MATCH($B28,Premissas!$A$39:$A$45,0))</f>
        <v/>
      </c>
      <c r="I28" s="22" t="str">
        <f>INDEX(Cronograma!H$5:H$11,MATCH($B28,Premissas!$A$39:$A$45,0))</f>
        <v>S</v>
      </c>
      <c r="J28" s="22" t="str">
        <f>INDEX(Cronograma!I$5:I$11,MATCH($B28,Premissas!$A$39:$A$45,0))</f>
        <v/>
      </c>
      <c r="K28" s="22" t="str">
        <f>INDEX(Cronograma!J$5:J$11,MATCH($B28,Premissas!$A$39:$A$45,0))</f>
        <v/>
      </c>
      <c r="L28" s="22" t="str">
        <f>INDEX(Cronograma!K$5:K$11,MATCH($B28,Premissas!$A$39:$A$45,0))</f>
        <v/>
      </c>
      <c r="M28" s="22" t="str">
        <f>INDEX(Cronograma!L$5:L$11,MATCH($B28,Premissas!$A$39:$A$45,0))</f>
        <v/>
      </c>
      <c r="N28" s="22" t="str">
        <f>INDEX(Cronograma!M$5:M$11,MATCH($B28,Premissas!$A$39:$A$45,0))</f>
        <v/>
      </c>
      <c r="O28" s="22" t="str">
        <f>INDEX(Cronograma!N$5:N$11,MATCH($B28,Premissas!$A$39:$A$45,0))</f>
        <v/>
      </c>
      <c r="P28" s="22" t="str">
        <f>INDEX(Cronograma!O$5:O$11,MATCH($B28,Premissas!$A$39:$A$45,0))</f>
        <v>A</v>
      </c>
      <c r="Q28" s="22" t="str">
        <f>INDEX(Cronograma!P$5:P$11,MATCH($B28,Premissas!$A$39:$A$45,0))</f>
        <v/>
      </c>
      <c r="R28" s="22" t="str">
        <f>INDEX(Cronograma!Q$5:Q$11,MATCH($B28,Premissas!$A$39:$A$45,0))</f>
        <v/>
      </c>
      <c r="S28" s="22" t="str">
        <f>INDEX(Cronograma!R$5:R$11,MATCH($B28,Premissas!$A$39:$A$45,0))</f>
        <v/>
      </c>
      <c r="T28" s="22" t="str">
        <f>INDEX(Cronograma!S$5:S$11,MATCH($B28,Premissas!$A$39:$A$45,0))</f>
        <v/>
      </c>
      <c r="U28" s="22" t="str">
        <f>INDEX(Cronograma!T$5:T$11,MATCH($B28,Premissas!$A$39:$A$45,0))</f>
        <v/>
      </c>
      <c r="V28" s="22" t="str">
        <f>INDEX(Cronograma!U$5:U$11,MATCH($B28,Premissas!$A$39:$A$45,0))</f>
        <v>S</v>
      </c>
      <c r="W28" s="22" t="str">
        <f>INDEX(Cronograma!V$5:V$11,MATCH($B28,Premissas!$A$39:$A$45,0))</f>
        <v/>
      </c>
      <c r="X28" s="22" t="str">
        <f>INDEX(Cronograma!W$5:W$11,MATCH($B28,Premissas!$A$39:$A$45,0))</f>
        <v/>
      </c>
      <c r="Y28" s="22" t="str">
        <f>INDEX(Cronograma!X$5:X$11,MATCH($B28,Premissas!$A$39:$A$45,0))</f>
        <v/>
      </c>
      <c r="Z28" s="22" t="str">
        <f>INDEX(Cronograma!Y$5:Y$11,MATCH($B28,Premissas!$A$39:$A$45,0))</f>
        <v/>
      </c>
      <c r="AA28" s="22" t="str">
        <f>INDEX(Cronograma!Z$5:Z$11,MATCH($B28,Premissas!$A$39:$A$45,0))</f>
        <v/>
      </c>
      <c r="AB28" s="22" t="str">
        <f>INDEX(Cronograma!AA$5:AA$11,MATCH($B28,Premissas!$A$39:$A$45,0))</f>
        <v/>
      </c>
      <c r="AC28" s="22" t="str">
        <f>INDEX(Cronograma!AB$5:AB$11,MATCH($B28,Premissas!$A$39:$A$45,0))</f>
        <v>B</v>
      </c>
      <c r="AD28" s="22" t="str">
        <f>INDEX(Cronograma!AC$5:AC$11,MATCH($B28,Premissas!$A$39:$A$45,0))</f>
        <v/>
      </c>
      <c r="AE28" s="22" t="str">
        <f>INDEX(Cronograma!AD$5:AD$11,MATCH($B28,Premissas!$A$39:$A$45,0))</f>
        <v/>
      </c>
      <c r="AF28" s="22" t="str">
        <f>INDEX(Cronograma!AE$5:AE$11,MATCH($B28,Premissas!$A$39:$A$45,0))</f>
        <v/>
      </c>
      <c r="AG28" s="22" t="str">
        <f>INDEX(Cronograma!AF$5:AF$11,MATCH($B28,Premissas!$A$39:$A$45,0))</f>
        <v/>
      </c>
      <c r="AH28" s="22" t="str">
        <f>INDEX(Cronograma!AG$5:AG$11,MATCH($B28,Premissas!$A$39:$A$45,0))</f>
        <v/>
      </c>
      <c r="AI28" s="22" t="str">
        <f>INDEX(Cronograma!AH$5:AH$11,MATCH($B28,Premissas!$A$39:$A$45,0))</f>
        <v/>
      </c>
      <c r="AJ28" s="22" t="str">
        <f>INDEX(Cronograma!AI$5:AI$11,MATCH($B28,Premissas!$A$39:$A$45,0))</f>
        <v/>
      </c>
      <c r="AK28" s="22" t="str">
        <f>INDEX(Cronograma!AJ$5:AJ$11,MATCH($B28,Premissas!$A$39:$A$45,0))</f>
        <v/>
      </c>
      <c r="AL28" s="22" t="str">
        <f>INDEX(Cronograma!AK$5:AK$11,MATCH($B28,Premissas!$A$39:$A$45,0))</f>
        <v/>
      </c>
      <c r="AM28" s="22" t="str">
        <f>INDEX(Cronograma!AL$5:AL$11,MATCH($B28,Premissas!$A$39:$A$45,0))</f>
        <v/>
      </c>
      <c r="AN28" s="22" t="str">
        <f>INDEX(Cronograma!AM$5:AM$11,MATCH($B28,Premissas!$A$39:$A$45,0))</f>
        <v/>
      </c>
      <c r="AO28" s="22" t="str">
        <f>INDEX(Cronograma!AN$5:AN$11,MATCH($B28,Premissas!$A$39:$A$45,0))</f>
        <v/>
      </c>
      <c r="AP28" s="22" t="str">
        <f>INDEX(Cronograma!AO$5:AO$11,MATCH($B28,Premissas!$A$39:$A$45,0))</f>
        <v>S</v>
      </c>
      <c r="AQ28" s="22" t="str">
        <f>INDEX(Cronograma!AP$5:AP$11,MATCH($B28,Premissas!$A$39:$A$45,0))</f>
        <v/>
      </c>
      <c r="AR28" s="22" t="str">
        <f>INDEX(Cronograma!AQ$5:AQ$11,MATCH($B28,Premissas!$A$39:$A$45,0))</f>
        <v/>
      </c>
      <c r="AS28" s="22" t="str">
        <f>INDEX(Cronograma!AR$5:AR$11,MATCH($B28,Premissas!$A$39:$A$45,0))</f>
        <v/>
      </c>
      <c r="AT28" s="22" t="str">
        <f>INDEX(Cronograma!AS$5:AS$11,MATCH($B28,Premissas!$A$39:$A$45,0))</f>
        <v/>
      </c>
      <c r="AU28" s="22" t="str">
        <f>INDEX(Cronograma!AT$5:AT$11,MATCH($B28,Premissas!$A$39:$A$45,0))</f>
        <v/>
      </c>
      <c r="AV28" s="22" t="str">
        <f>INDEX(Cronograma!AU$5:AU$11,MATCH($B28,Premissas!$A$39:$A$45,0))</f>
        <v/>
      </c>
      <c r="AW28" s="22" t="str">
        <f>INDEX(Cronograma!AV$5:AV$11,MATCH($B28,Premissas!$A$39:$A$45,0))</f>
        <v/>
      </c>
      <c r="AX28" s="22" t="str">
        <f>INDEX(Cronograma!AW$5:AW$11,MATCH($B28,Premissas!$A$39:$A$45,0))</f>
        <v/>
      </c>
      <c r="AY28" s="22" t="str">
        <f>INDEX(Cronograma!AX$5:AX$11,MATCH($B28,Premissas!$A$39:$A$45,0))</f>
        <v/>
      </c>
      <c r="AZ28" s="22" t="str">
        <f>INDEX(Cronograma!AY$5:AY$11,MATCH($B28,Premissas!$A$39:$A$45,0))</f>
        <v/>
      </c>
      <c r="BA28" s="22" t="str">
        <f>INDEX(Cronograma!AZ$5:AZ$11,MATCH($B28,Premissas!$A$39:$A$45,0))</f>
        <v/>
      </c>
      <c r="BB28" s="22" t="str">
        <f>INDEX(Cronograma!BA$5:BA$11,MATCH($B28,Premissas!$A$39:$A$45,0))</f>
        <v/>
      </c>
    </row>
    <row r="29" spans="1:54" ht="15" customHeight="1" x14ac:dyDescent="0.4">
      <c r="A29" s="15" t="str">
        <f>Frota!$B29&amp;" — "&amp;Frota!$A29</f>
        <v>MB 3344 6x4 — 101116</v>
      </c>
      <c r="B29" s="16" t="str">
        <f>Frota!$C29</f>
        <v>Caminhão</v>
      </c>
      <c r="C29" s="22" t="str">
        <f>INDEX(Cronograma!B$5:B$11,MATCH($B29,Premissas!$A$39:$A$45,0))</f>
        <v/>
      </c>
      <c r="D29" s="22" t="str">
        <f>INDEX(Cronograma!C$5:C$11,MATCH($B29,Premissas!$A$39:$A$45,0))</f>
        <v/>
      </c>
      <c r="E29" s="22" t="str">
        <f>INDEX(Cronograma!D$5:D$11,MATCH($B29,Premissas!$A$39:$A$45,0))</f>
        <v/>
      </c>
      <c r="F29" s="22" t="str">
        <f>INDEX(Cronograma!E$5:E$11,MATCH($B29,Premissas!$A$39:$A$45,0))</f>
        <v/>
      </c>
      <c r="G29" s="22" t="str">
        <f>INDEX(Cronograma!F$5:F$11,MATCH($B29,Premissas!$A$39:$A$45,0))</f>
        <v/>
      </c>
      <c r="H29" s="22" t="str">
        <f>INDEX(Cronograma!G$5:G$11,MATCH($B29,Premissas!$A$39:$A$45,0))</f>
        <v/>
      </c>
      <c r="I29" s="22" t="str">
        <f>INDEX(Cronograma!H$5:H$11,MATCH($B29,Premissas!$A$39:$A$45,0))</f>
        <v>S</v>
      </c>
      <c r="J29" s="22" t="str">
        <f>INDEX(Cronograma!I$5:I$11,MATCH($B29,Premissas!$A$39:$A$45,0))</f>
        <v/>
      </c>
      <c r="K29" s="22" t="str">
        <f>INDEX(Cronograma!J$5:J$11,MATCH($B29,Premissas!$A$39:$A$45,0))</f>
        <v/>
      </c>
      <c r="L29" s="22" t="str">
        <f>INDEX(Cronograma!K$5:K$11,MATCH($B29,Premissas!$A$39:$A$45,0))</f>
        <v/>
      </c>
      <c r="M29" s="22" t="str">
        <f>INDEX(Cronograma!L$5:L$11,MATCH($B29,Premissas!$A$39:$A$45,0))</f>
        <v/>
      </c>
      <c r="N29" s="22" t="str">
        <f>INDEX(Cronograma!M$5:M$11,MATCH($B29,Premissas!$A$39:$A$45,0))</f>
        <v/>
      </c>
      <c r="O29" s="22" t="str">
        <f>INDEX(Cronograma!N$5:N$11,MATCH($B29,Premissas!$A$39:$A$45,0))</f>
        <v/>
      </c>
      <c r="P29" s="22" t="str">
        <f>INDEX(Cronograma!O$5:O$11,MATCH($B29,Premissas!$A$39:$A$45,0))</f>
        <v>A</v>
      </c>
      <c r="Q29" s="22" t="str">
        <f>INDEX(Cronograma!P$5:P$11,MATCH($B29,Premissas!$A$39:$A$45,0))</f>
        <v/>
      </c>
      <c r="R29" s="22" t="str">
        <f>INDEX(Cronograma!Q$5:Q$11,MATCH($B29,Premissas!$A$39:$A$45,0))</f>
        <v/>
      </c>
      <c r="S29" s="22" t="str">
        <f>INDEX(Cronograma!R$5:R$11,MATCH($B29,Premissas!$A$39:$A$45,0))</f>
        <v/>
      </c>
      <c r="T29" s="22" t="str">
        <f>INDEX(Cronograma!S$5:S$11,MATCH($B29,Premissas!$A$39:$A$45,0))</f>
        <v/>
      </c>
      <c r="U29" s="22" t="str">
        <f>INDEX(Cronograma!T$5:T$11,MATCH($B29,Premissas!$A$39:$A$45,0))</f>
        <v/>
      </c>
      <c r="V29" s="22" t="str">
        <f>INDEX(Cronograma!U$5:U$11,MATCH($B29,Premissas!$A$39:$A$45,0))</f>
        <v>S</v>
      </c>
      <c r="W29" s="22" t="str">
        <f>INDEX(Cronograma!V$5:V$11,MATCH($B29,Premissas!$A$39:$A$45,0))</f>
        <v/>
      </c>
      <c r="X29" s="22" t="str">
        <f>INDEX(Cronograma!W$5:W$11,MATCH($B29,Premissas!$A$39:$A$45,0))</f>
        <v/>
      </c>
      <c r="Y29" s="22" t="str">
        <f>INDEX(Cronograma!X$5:X$11,MATCH($B29,Premissas!$A$39:$A$45,0))</f>
        <v/>
      </c>
      <c r="Z29" s="22" t="str">
        <f>INDEX(Cronograma!Y$5:Y$11,MATCH($B29,Premissas!$A$39:$A$45,0))</f>
        <v/>
      </c>
      <c r="AA29" s="22" t="str">
        <f>INDEX(Cronograma!Z$5:Z$11,MATCH($B29,Premissas!$A$39:$A$45,0))</f>
        <v/>
      </c>
      <c r="AB29" s="22" t="str">
        <f>INDEX(Cronograma!AA$5:AA$11,MATCH($B29,Premissas!$A$39:$A$45,0))</f>
        <v/>
      </c>
      <c r="AC29" s="22" t="str">
        <f>INDEX(Cronograma!AB$5:AB$11,MATCH($B29,Premissas!$A$39:$A$45,0))</f>
        <v>B</v>
      </c>
      <c r="AD29" s="22" t="str">
        <f>INDEX(Cronograma!AC$5:AC$11,MATCH($B29,Premissas!$A$39:$A$45,0))</f>
        <v/>
      </c>
      <c r="AE29" s="22" t="str">
        <f>INDEX(Cronograma!AD$5:AD$11,MATCH($B29,Premissas!$A$39:$A$45,0))</f>
        <v/>
      </c>
      <c r="AF29" s="22" t="str">
        <f>INDEX(Cronograma!AE$5:AE$11,MATCH($B29,Premissas!$A$39:$A$45,0))</f>
        <v/>
      </c>
      <c r="AG29" s="22" t="str">
        <f>INDEX(Cronograma!AF$5:AF$11,MATCH($B29,Premissas!$A$39:$A$45,0))</f>
        <v/>
      </c>
      <c r="AH29" s="22" t="str">
        <f>INDEX(Cronograma!AG$5:AG$11,MATCH($B29,Premissas!$A$39:$A$45,0))</f>
        <v/>
      </c>
      <c r="AI29" s="22" t="str">
        <f>INDEX(Cronograma!AH$5:AH$11,MATCH($B29,Premissas!$A$39:$A$45,0))</f>
        <v/>
      </c>
      <c r="AJ29" s="22" t="str">
        <f>INDEX(Cronograma!AI$5:AI$11,MATCH($B29,Premissas!$A$39:$A$45,0))</f>
        <v/>
      </c>
      <c r="AK29" s="22" t="str">
        <f>INDEX(Cronograma!AJ$5:AJ$11,MATCH($B29,Premissas!$A$39:$A$45,0))</f>
        <v/>
      </c>
      <c r="AL29" s="22" t="str">
        <f>INDEX(Cronograma!AK$5:AK$11,MATCH($B29,Premissas!$A$39:$A$45,0))</f>
        <v/>
      </c>
      <c r="AM29" s="22" t="str">
        <f>INDEX(Cronograma!AL$5:AL$11,MATCH($B29,Premissas!$A$39:$A$45,0))</f>
        <v/>
      </c>
      <c r="AN29" s="22" t="str">
        <f>INDEX(Cronograma!AM$5:AM$11,MATCH($B29,Premissas!$A$39:$A$45,0))</f>
        <v/>
      </c>
      <c r="AO29" s="22" t="str">
        <f>INDEX(Cronograma!AN$5:AN$11,MATCH($B29,Premissas!$A$39:$A$45,0))</f>
        <v/>
      </c>
      <c r="AP29" s="22" t="str">
        <f>INDEX(Cronograma!AO$5:AO$11,MATCH($B29,Premissas!$A$39:$A$45,0))</f>
        <v>S</v>
      </c>
      <c r="AQ29" s="22" t="str">
        <f>INDEX(Cronograma!AP$5:AP$11,MATCH($B29,Premissas!$A$39:$A$45,0))</f>
        <v/>
      </c>
      <c r="AR29" s="22" t="str">
        <f>INDEX(Cronograma!AQ$5:AQ$11,MATCH($B29,Premissas!$A$39:$A$45,0))</f>
        <v/>
      </c>
      <c r="AS29" s="22" t="str">
        <f>INDEX(Cronograma!AR$5:AR$11,MATCH($B29,Premissas!$A$39:$A$45,0))</f>
        <v/>
      </c>
      <c r="AT29" s="22" t="str">
        <f>INDEX(Cronograma!AS$5:AS$11,MATCH($B29,Premissas!$A$39:$A$45,0))</f>
        <v/>
      </c>
      <c r="AU29" s="22" t="str">
        <f>INDEX(Cronograma!AT$5:AT$11,MATCH($B29,Premissas!$A$39:$A$45,0))</f>
        <v/>
      </c>
      <c r="AV29" s="22" t="str">
        <f>INDEX(Cronograma!AU$5:AU$11,MATCH($B29,Premissas!$A$39:$A$45,0))</f>
        <v/>
      </c>
      <c r="AW29" s="22" t="str">
        <f>INDEX(Cronograma!AV$5:AV$11,MATCH($B29,Premissas!$A$39:$A$45,0))</f>
        <v/>
      </c>
      <c r="AX29" s="22" t="str">
        <f>INDEX(Cronograma!AW$5:AW$11,MATCH($B29,Premissas!$A$39:$A$45,0))</f>
        <v/>
      </c>
      <c r="AY29" s="22" t="str">
        <f>INDEX(Cronograma!AX$5:AX$11,MATCH($B29,Premissas!$A$39:$A$45,0))</f>
        <v/>
      </c>
      <c r="AZ29" s="22" t="str">
        <f>INDEX(Cronograma!AY$5:AY$11,MATCH($B29,Premissas!$A$39:$A$45,0))</f>
        <v/>
      </c>
      <c r="BA29" s="22" t="str">
        <f>INDEX(Cronograma!AZ$5:AZ$11,MATCH($B29,Premissas!$A$39:$A$45,0))</f>
        <v/>
      </c>
      <c r="BB29" s="22" t="str">
        <f>INDEX(Cronograma!BA$5:BA$11,MATCH($B29,Premissas!$A$39:$A$45,0))</f>
        <v/>
      </c>
    </row>
    <row r="30" spans="1:54" ht="15" customHeight="1" x14ac:dyDescent="0.4">
      <c r="A30" s="15" t="str">
        <f>Frota!$B30&amp;" — "&amp;Frota!$A30</f>
        <v>MB 3344 6x4 — 101117</v>
      </c>
      <c r="B30" s="16" t="str">
        <f>Frota!$C30</f>
        <v>Caminhão</v>
      </c>
      <c r="C30" s="22" t="str">
        <f>INDEX(Cronograma!B$5:B$11,MATCH($B30,Premissas!$A$39:$A$45,0))</f>
        <v/>
      </c>
      <c r="D30" s="22" t="str">
        <f>INDEX(Cronograma!C$5:C$11,MATCH($B30,Premissas!$A$39:$A$45,0))</f>
        <v/>
      </c>
      <c r="E30" s="22" t="str">
        <f>INDEX(Cronograma!D$5:D$11,MATCH($B30,Premissas!$A$39:$A$45,0))</f>
        <v/>
      </c>
      <c r="F30" s="22" t="str">
        <f>INDEX(Cronograma!E$5:E$11,MATCH($B30,Premissas!$A$39:$A$45,0))</f>
        <v/>
      </c>
      <c r="G30" s="22" t="str">
        <f>INDEX(Cronograma!F$5:F$11,MATCH($B30,Premissas!$A$39:$A$45,0))</f>
        <v/>
      </c>
      <c r="H30" s="22" t="str">
        <f>INDEX(Cronograma!G$5:G$11,MATCH($B30,Premissas!$A$39:$A$45,0))</f>
        <v/>
      </c>
      <c r="I30" s="22" t="str">
        <f>INDEX(Cronograma!H$5:H$11,MATCH($B30,Premissas!$A$39:$A$45,0))</f>
        <v>S</v>
      </c>
      <c r="J30" s="22" t="str">
        <f>INDEX(Cronograma!I$5:I$11,MATCH($B30,Premissas!$A$39:$A$45,0))</f>
        <v/>
      </c>
      <c r="K30" s="22" t="str">
        <f>INDEX(Cronograma!J$5:J$11,MATCH($B30,Premissas!$A$39:$A$45,0))</f>
        <v/>
      </c>
      <c r="L30" s="22" t="str">
        <f>INDEX(Cronograma!K$5:K$11,MATCH($B30,Premissas!$A$39:$A$45,0))</f>
        <v/>
      </c>
      <c r="M30" s="22" t="str">
        <f>INDEX(Cronograma!L$5:L$11,MATCH($B30,Premissas!$A$39:$A$45,0))</f>
        <v/>
      </c>
      <c r="N30" s="22" t="str">
        <f>INDEX(Cronograma!M$5:M$11,MATCH($B30,Premissas!$A$39:$A$45,0))</f>
        <v/>
      </c>
      <c r="O30" s="22" t="str">
        <f>INDEX(Cronograma!N$5:N$11,MATCH($B30,Premissas!$A$39:$A$45,0))</f>
        <v/>
      </c>
      <c r="P30" s="22" t="str">
        <f>INDEX(Cronograma!O$5:O$11,MATCH($B30,Premissas!$A$39:$A$45,0))</f>
        <v>A</v>
      </c>
      <c r="Q30" s="22" t="str">
        <f>INDEX(Cronograma!P$5:P$11,MATCH($B30,Premissas!$A$39:$A$45,0))</f>
        <v/>
      </c>
      <c r="R30" s="22" t="str">
        <f>INDEX(Cronograma!Q$5:Q$11,MATCH($B30,Premissas!$A$39:$A$45,0))</f>
        <v/>
      </c>
      <c r="S30" s="22" t="str">
        <f>INDEX(Cronograma!R$5:R$11,MATCH($B30,Premissas!$A$39:$A$45,0))</f>
        <v/>
      </c>
      <c r="T30" s="22" t="str">
        <f>INDEX(Cronograma!S$5:S$11,MATCH($B30,Premissas!$A$39:$A$45,0))</f>
        <v/>
      </c>
      <c r="U30" s="22" t="str">
        <f>INDEX(Cronograma!T$5:T$11,MATCH($B30,Premissas!$A$39:$A$45,0))</f>
        <v/>
      </c>
      <c r="V30" s="22" t="str">
        <f>INDEX(Cronograma!U$5:U$11,MATCH($B30,Premissas!$A$39:$A$45,0))</f>
        <v>S</v>
      </c>
      <c r="W30" s="22" t="str">
        <f>INDEX(Cronograma!V$5:V$11,MATCH($B30,Premissas!$A$39:$A$45,0))</f>
        <v/>
      </c>
      <c r="X30" s="22" t="str">
        <f>INDEX(Cronograma!W$5:W$11,MATCH($B30,Premissas!$A$39:$A$45,0))</f>
        <v/>
      </c>
      <c r="Y30" s="22" t="str">
        <f>INDEX(Cronograma!X$5:X$11,MATCH($B30,Premissas!$A$39:$A$45,0))</f>
        <v/>
      </c>
      <c r="Z30" s="22" t="str">
        <f>INDEX(Cronograma!Y$5:Y$11,MATCH($B30,Premissas!$A$39:$A$45,0))</f>
        <v/>
      </c>
      <c r="AA30" s="22" t="str">
        <f>INDEX(Cronograma!Z$5:Z$11,MATCH($B30,Premissas!$A$39:$A$45,0))</f>
        <v/>
      </c>
      <c r="AB30" s="22" t="str">
        <f>INDEX(Cronograma!AA$5:AA$11,MATCH($B30,Premissas!$A$39:$A$45,0))</f>
        <v/>
      </c>
      <c r="AC30" s="22" t="str">
        <f>INDEX(Cronograma!AB$5:AB$11,MATCH($B30,Premissas!$A$39:$A$45,0))</f>
        <v>B</v>
      </c>
      <c r="AD30" s="22" t="str">
        <f>INDEX(Cronograma!AC$5:AC$11,MATCH($B30,Premissas!$A$39:$A$45,0))</f>
        <v/>
      </c>
      <c r="AE30" s="22" t="str">
        <f>INDEX(Cronograma!AD$5:AD$11,MATCH($B30,Premissas!$A$39:$A$45,0))</f>
        <v/>
      </c>
      <c r="AF30" s="22" t="str">
        <f>INDEX(Cronograma!AE$5:AE$11,MATCH($B30,Premissas!$A$39:$A$45,0))</f>
        <v/>
      </c>
      <c r="AG30" s="22" t="str">
        <f>INDEX(Cronograma!AF$5:AF$11,MATCH($B30,Premissas!$A$39:$A$45,0))</f>
        <v/>
      </c>
      <c r="AH30" s="22" t="str">
        <f>INDEX(Cronograma!AG$5:AG$11,MATCH($B30,Premissas!$A$39:$A$45,0))</f>
        <v/>
      </c>
      <c r="AI30" s="22" t="str">
        <f>INDEX(Cronograma!AH$5:AH$11,MATCH($B30,Premissas!$A$39:$A$45,0))</f>
        <v/>
      </c>
      <c r="AJ30" s="22" t="str">
        <f>INDEX(Cronograma!AI$5:AI$11,MATCH($B30,Premissas!$A$39:$A$45,0))</f>
        <v/>
      </c>
      <c r="AK30" s="22" t="str">
        <f>INDEX(Cronograma!AJ$5:AJ$11,MATCH($B30,Premissas!$A$39:$A$45,0))</f>
        <v/>
      </c>
      <c r="AL30" s="22" t="str">
        <f>INDEX(Cronograma!AK$5:AK$11,MATCH($B30,Premissas!$A$39:$A$45,0))</f>
        <v/>
      </c>
      <c r="AM30" s="22" t="str">
        <f>INDEX(Cronograma!AL$5:AL$11,MATCH($B30,Premissas!$A$39:$A$45,0))</f>
        <v/>
      </c>
      <c r="AN30" s="22" t="str">
        <f>INDEX(Cronograma!AM$5:AM$11,MATCH($B30,Premissas!$A$39:$A$45,0))</f>
        <v/>
      </c>
      <c r="AO30" s="22" t="str">
        <f>INDEX(Cronograma!AN$5:AN$11,MATCH($B30,Premissas!$A$39:$A$45,0))</f>
        <v/>
      </c>
      <c r="AP30" s="22" t="str">
        <f>INDEX(Cronograma!AO$5:AO$11,MATCH($B30,Premissas!$A$39:$A$45,0))</f>
        <v>S</v>
      </c>
      <c r="AQ30" s="22" t="str">
        <f>INDEX(Cronograma!AP$5:AP$11,MATCH($B30,Premissas!$A$39:$A$45,0))</f>
        <v/>
      </c>
      <c r="AR30" s="22" t="str">
        <f>INDEX(Cronograma!AQ$5:AQ$11,MATCH($B30,Premissas!$A$39:$A$45,0))</f>
        <v/>
      </c>
      <c r="AS30" s="22" t="str">
        <f>INDEX(Cronograma!AR$5:AR$11,MATCH($B30,Premissas!$A$39:$A$45,0))</f>
        <v/>
      </c>
      <c r="AT30" s="22" t="str">
        <f>INDEX(Cronograma!AS$5:AS$11,MATCH($B30,Premissas!$A$39:$A$45,0))</f>
        <v/>
      </c>
      <c r="AU30" s="22" t="str">
        <f>INDEX(Cronograma!AT$5:AT$11,MATCH($B30,Premissas!$A$39:$A$45,0))</f>
        <v/>
      </c>
      <c r="AV30" s="22" t="str">
        <f>INDEX(Cronograma!AU$5:AU$11,MATCH($B30,Premissas!$A$39:$A$45,0))</f>
        <v/>
      </c>
      <c r="AW30" s="22" t="str">
        <f>INDEX(Cronograma!AV$5:AV$11,MATCH($B30,Premissas!$A$39:$A$45,0))</f>
        <v/>
      </c>
      <c r="AX30" s="22" t="str">
        <f>INDEX(Cronograma!AW$5:AW$11,MATCH($B30,Premissas!$A$39:$A$45,0))</f>
        <v/>
      </c>
      <c r="AY30" s="22" t="str">
        <f>INDEX(Cronograma!AX$5:AX$11,MATCH($B30,Premissas!$A$39:$A$45,0))</f>
        <v/>
      </c>
      <c r="AZ30" s="22" t="str">
        <f>INDEX(Cronograma!AY$5:AY$11,MATCH($B30,Premissas!$A$39:$A$45,0))</f>
        <v/>
      </c>
      <c r="BA30" s="22" t="str">
        <f>INDEX(Cronograma!AZ$5:AZ$11,MATCH($B30,Premissas!$A$39:$A$45,0))</f>
        <v/>
      </c>
      <c r="BB30" s="22" t="str">
        <f>INDEX(Cronograma!BA$5:BA$11,MATCH($B30,Premissas!$A$39:$A$45,0))</f>
        <v/>
      </c>
    </row>
    <row r="31" spans="1:54" ht="15" customHeight="1" x14ac:dyDescent="0.4">
      <c r="A31" s="15" t="str">
        <f>Frota!$B31&amp;" — "&amp;Frota!$A31</f>
        <v>MB 3344 6x4 — 101118</v>
      </c>
      <c r="B31" s="16" t="str">
        <f>Frota!$C31</f>
        <v>Caminhão</v>
      </c>
      <c r="C31" s="22" t="str">
        <f>INDEX(Cronograma!B$5:B$11,MATCH($B31,Premissas!$A$39:$A$45,0))</f>
        <v/>
      </c>
      <c r="D31" s="22" t="str">
        <f>INDEX(Cronograma!C$5:C$11,MATCH($B31,Premissas!$A$39:$A$45,0))</f>
        <v/>
      </c>
      <c r="E31" s="22" t="str">
        <f>INDEX(Cronograma!D$5:D$11,MATCH($B31,Premissas!$A$39:$A$45,0))</f>
        <v/>
      </c>
      <c r="F31" s="22" t="str">
        <f>INDEX(Cronograma!E$5:E$11,MATCH($B31,Premissas!$A$39:$A$45,0))</f>
        <v/>
      </c>
      <c r="G31" s="22" t="str">
        <f>INDEX(Cronograma!F$5:F$11,MATCH($B31,Premissas!$A$39:$A$45,0))</f>
        <v/>
      </c>
      <c r="H31" s="22" t="str">
        <f>INDEX(Cronograma!G$5:G$11,MATCH($B31,Premissas!$A$39:$A$45,0))</f>
        <v/>
      </c>
      <c r="I31" s="22" t="str">
        <f>INDEX(Cronograma!H$5:H$11,MATCH($B31,Premissas!$A$39:$A$45,0))</f>
        <v>S</v>
      </c>
      <c r="J31" s="22" t="str">
        <f>INDEX(Cronograma!I$5:I$11,MATCH($B31,Premissas!$A$39:$A$45,0))</f>
        <v/>
      </c>
      <c r="K31" s="22" t="str">
        <f>INDEX(Cronograma!J$5:J$11,MATCH($B31,Premissas!$A$39:$A$45,0))</f>
        <v/>
      </c>
      <c r="L31" s="22" t="str">
        <f>INDEX(Cronograma!K$5:K$11,MATCH($B31,Premissas!$A$39:$A$45,0))</f>
        <v/>
      </c>
      <c r="M31" s="22" t="str">
        <f>INDEX(Cronograma!L$5:L$11,MATCH($B31,Premissas!$A$39:$A$45,0))</f>
        <v/>
      </c>
      <c r="N31" s="22" t="str">
        <f>INDEX(Cronograma!M$5:M$11,MATCH($B31,Premissas!$A$39:$A$45,0))</f>
        <v/>
      </c>
      <c r="O31" s="22" t="str">
        <f>INDEX(Cronograma!N$5:N$11,MATCH($B31,Premissas!$A$39:$A$45,0))</f>
        <v/>
      </c>
      <c r="P31" s="22" t="str">
        <f>INDEX(Cronograma!O$5:O$11,MATCH($B31,Premissas!$A$39:$A$45,0))</f>
        <v>A</v>
      </c>
      <c r="Q31" s="22" t="str">
        <f>INDEX(Cronograma!P$5:P$11,MATCH($B31,Premissas!$A$39:$A$45,0))</f>
        <v/>
      </c>
      <c r="R31" s="22" t="str">
        <f>INDEX(Cronograma!Q$5:Q$11,MATCH($B31,Premissas!$A$39:$A$45,0))</f>
        <v/>
      </c>
      <c r="S31" s="22" t="str">
        <f>INDEX(Cronograma!R$5:R$11,MATCH($B31,Premissas!$A$39:$A$45,0))</f>
        <v/>
      </c>
      <c r="T31" s="22" t="str">
        <f>INDEX(Cronograma!S$5:S$11,MATCH($B31,Premissas!$A$39:$A$45,0))</f>
        <v/>
      </c>
      <c r="U31" s="22" t="str">
        <f>INDEX(Cronograma!T$5:T$11,MATCH($B31,Premissas!$A$39:$A$45,0))</f>
        <v/>
      </c>
      <c r="V31" s="22" t="str">
        <f>INDEX(Cronograma!U$5:U$11,MATCH($B31,Premissas!$A$39:$A$45,0))</f>
        <v>S</v>
      </c>
      <c r="W31" s="22" t="str">
        <f>INDEX(Cronograma!V$5:V$11,MATCH($B31,Premissas!$A$39:$A$45,0))</f>
        <v/>
      </c>
      <c r="X31" s="22" t="str">
        <f>INDEX(Cronograma!W$5:W$11,MATCH($B31,Premissas!$A$39:$A$45,0))</f>
        <v/>
      </c>
      <c r="Y31" s="22" t="str">
        <f>INDEX(Cronograma!X$5:X$11,MATCH($B31,Premissas!$A$39:$A$45,0))</f>
        <v/>
      </c>
      <c r="Z31" s="22" t="str">
        <f>INDEX(Cronograma!Y$5:Y$11,MATCH($B31,Premissas!$A$39:$A$45,0))</f>
        <v/>
      </c>
      <c r="AA31" s="22" t="str">
        <f>INDEX(Cronograma!Z$5:Z$11,MATCH($B31,Premissas!$A$39:$A$45,0))</f>
        <v/>
      </c>
      <c r="AB31" s="22" t="str">
        <f>INDEX(Cronograma!AA$5:AA$11,MATCH($B31,Premissas!$A$39:$A$45,0))</f>
        <v/>
      </c>
      <c r="AC31" s="22" t="str">
        <f>INDEX(Cronograma!AB$5:AB$11,MATCH($B31,Premissas!$A$39:$A$45,0))</f>
        <v>B</v>
      </c>
      <c r="AD31" s="22" t="str">
        <f>INDEX(Cronograma!AC$5:AC$11,MATCH($B31,Premissas!$A$39:$A$45,0))</f>
        <v/>
      </c>
      <c r="AE31" s="22" t="str">
        <f>INDEX(Cronograma!AD$5:AD$11,MATCH($B31,Premissas!$A$39:$A$45,0))</f>
        <v/>
      </c>
      <c r="AF31" s="22" t="str">
        <f>INDEX(Cronograma!AE$5:AE$11,MATCH($B31,Premissas!$A$39:$A$45,0))</f>
        <v/>
      </c>
      <c r="AG31" s="22" t="str">
        <f>INDEX(Cronograma!AF$5:AF$11,MATCH($B31,Premissas!$A$39:$A$45,0))</f>
        <v/>
      </c>
      <c r="AH31" s="22" t="str">
        <f>INDEX(Cronograma!AG$5:AG$11,MATCH($B31,Premissas!$A$39:$A$45,0))</f>
        <v/>
      </c>
      <c r="AI31" s="22" t="str">
        <f>INDEX(Cronograma!AH$5:AH$11,MATCH($B31,Premissas!$A$39:$A$45,0))</f>
        <v/>
      </c>
      <c r="AJ31" s="22" t="str">
        <f>INDEX(Cronograma!AI$5:AI$11,MATCH($B31,Premissas!$A$39:$A$45,0))</f>
        <v/>
      </c>
      <c r="AK31" s="22" t="str">
        <f>INDEX(Cronograma!AJ$5:AJ$11,MATCH($B31,Premissas!$A$39:$A$45,0))</f>
        <v/>
      </c>
      <c r="AL31" s="22" t="str">
        <f>INDEX(Cronograma!AK$5:AK$11,MATCH($B31,Premissas!$A$39:$A$45,0))</f>
        <v/>
      </c>
      <c r="AM31" s="22" t="str">
        <f>INDEX(Cronograma!AL$5:AL$11,MATCH($B31,Premissas!$A$39:$A$45,0))</f>
        <v/>
      </c>
      <c r="AN31" s="22" t="str">
        <f>INDEX(Cronograma!AM$5:AM$11,MATCH($B31,Premissas!$A$39:$A$45,0))</f>
        <v/>
      </c>
      <c r="AO31" s="22" t="str">
        <f>INDEX(Cronograma!AN$5:AN$11,MATCH($B31,Premissas!$A$39:$A$45,0))</f>
        <v/>
      </c>
      <c r="AP31" s="22" t="str">
        <f>INDEX(Cronograma!AO$5:AO$11,MATCH($B31,Premissas!$A$39:$A$45,0))</f>
        <v>S</v>
      </c>
      <c r="AQ31" s="22" t="str">
        <f>INDEX(Cronograma!AP$5:AP$11,MATCH($B31,Premissas!$A$39:$A$45,0))</f>
        <v/>
      </c>
      <c r="AR31" s="22" t="str">
        <f>INDEX(Cronograma!AQ$5:AQ$11,MATCH($B31,Premissas!$A$39:$A$45,0))</f>
        <v/>
      </c>
      <c r="AS31" s="22" t="str">
        <f>INDEX(Cronograma!AR$5:AR$11,MATCH($B31,Premissas!$A$39:$A$45,0))</f>
        <v/>
      </c>
      <c r="AT31" s="22" t="str">
        <f>INDEX(Cronograma!AS$5:AS$11,MATCH($B31,Premissas!$A$39:$A$45,0))</f>
        <v/>
      </c>
      <c r="AU31" s="22" t="str">
        <f>INDEX(Cronograma!AT$5:AT$11,MATCH($B31,Premissas!$A$39:$A$45,0))</f>
        <v/>
      </c>
      <c r="AV31" s="22" t="str">
        <f>INDEX(Cronograma!AU$5:AU$11,MATCH($B31,Premissas!$A$39:$A$45,0))</f>
        <v/>
      </c>
      <c r="AW31" s="22" t="str">
        <f>INDEX(Cronograma!AV$5:AV$11,MATCH($B31,Premissas!$A$39:$A$45,0))</f>
        <v/>
      </c>
      <c r="AX31" s="22" t="str">
        <f>INDEX(Cronograma!AW$5:AW$11,MATCH($B31,Premissas!$A$39:$A$45,0))</f>
        <v/>
      </c>
      <c r="AY31" s="22" t="str">
        <f>INDEX(Cronograma!AX$5:AX$11,MATCH($B31,Premissas!$A$39:$A$45,0))</f>
        <v/>
      </c>
      <c r="AZ31" s="22" t="str">
        <f>INDEX(Cronograma!AY$5:AY$11,MATCH($B31,Premissas!$A$39:$A$45,0))</f>
        <v/>
      </c>
      <c r="BA31" s="22" t="str">
        <f>INDEX(Cronograma!AZ$5:AZ$11,MATCH($B31,Premissas!$A$39:$A$45,0))</f>
        <v/>
      </c>
      <c r="BB31" s="22" t="str">
        <f>INDEX(Cronograma!BA$5:BA$11,MATCH($B31,Premissas!$A$39:$A$45,0))</f>
        <v/>
      </c>
    </row>
    <row r="32" spans="1:54" ht="15" customHeight="1" x14ac:dyDescent="0.4">
      <c r="A32" s="15" t="str">
        <f>Frota!$B32&amp;" — "&amp;Frota!$A32</f>
        <v>MB 3344 6x4 — 101120</v>
      </c>
      <c r="B32" s="16" t="str">
        <f>Frota!$C32</f>
        <v>Caminhão</v>
      </c>
      <c r="C32" s="22" t="str">
        <f>INDEX(Cronograma!B$5:B$11,MATCH($B32,Premissas!$A$39:$A$45,0))</f>
        <v/>
      </c>
      <c r="D32" s="22" t="str">
        <f>INDEX(Cronograma!C$5:C$11,MATCH($B32,Premissas!$A$39:$A$45,0))</f>
        <v/>
      </c>
      <c r="E32" s="22" t="str">
        <f>INDEX(Cronograma!D$5:D$11,MATCH($B32,Premissas!$A$39:$A$45,0))</f>
        <v/>
      </c>
      <c r="F32" s="22" t="str">
        <f>INDEX(Cronograma!E$5:E$11,MATCH($B32,Premissas!$A$39:$A$45,0))</f>
        <v/>
      </c>
      <c r="G32" s="22" t="str">
        <f>INDEX(Cronograma!F$5:F$11,MATCH($B32,Premissas!$A$39:$A$45,0))</f>
        <v/>
      </c>
      <c r="H32" s="22" t="str">
        <f>INDEX(Cronograma!G$5:G$11,MATCH($B32,Premissas!$A$39:$A$45,0))</f>
        <v/>
      </c>
      <c r="I32" s="22" t="str">
        <f>INDEX(Cronograma!H$5:H$11,MATCH($B32,Premissas!$A$39:$A$45,0))</f>
        <v>S</v>
      </c>
      <c r="J32" s="22" t="str">
        <f>INDEX(Cronograma!I$5:I$11,MATCH($B32,Premissas!$A$39:$A$45,0))</f>
        <v/>
      </c>
      <c r="K32" s="22" t="str">
        <f>INDEX(Cronograma!J$5:J$11,MATCH($B32,Premissas!$A$39:$A$45,0))</f>
        <v/>
      </c>
      <c r="L32" s="22" t="str">
        <f>INDEX(Cronograma!K$5:K$11,MATCH($B32,Premissas!$A$39:$A$45,0))</f>
        <v/>
      </c>
      <c r="M32" s="22" t="str">
        <f>INDEX(Cronograma!L$5:L$11,MATCH($B32,Premissas!$A$39:$A$45,0))</f>
        <v/>
      </c>
      <c r="N32" s="22" t="str">
        <f>INDEX(Cronograma!M$5:M$11,MATCH($B32,Premissas!$A$39:$A$45,0))</f>
        <v/>
      </c>
      <c r="O32" s="22" t="str">
        <f>INDEX(Cronograma!N$5:N$11,MATCH($B32,Premissas!$A$39:$A$45,0))</f>
        <v/>
      </c>
      <c r="P32" s="22" t="str">
        <f>INDEX(Cronograma!O$5:O$11,MATCH($B32,Premissas!$A$39:$A$45,0))</f>
        <v>A</v>
      </c>
      <c r="Q32" s="22" t="str">
        <f>INDEX(Cronograma!P$5:P$11,MATCH($B32,Premissas!$A$39:$A$45,0))</f>
        <v/>
      </c>
      <c r="R32" s="22" t="str">
        <f>INDEX(Cronograma!Q$5:Q$11,MATCH($B32,Premissas!$A$39:$A$45,0))</f>
        <v/>
      </c>
      <c r="S32" s="22" t="str">
        <f>INDEX(Cronograma!R$5:R$11,MATCH($B32,Premissas!$A$39:$A$45,0))</f>
        <v/>
      </c>
      <c r="T32" s="22" t="str">
        <f>INDEX(Cronograma!S$5:S$11,MATCH($B32,Premissas!$A$39:$A$45,0))</f>
        <v/>
      </c>
      <c r="U32" s="22" t="str">
        <f>INDEX(Cronograma!T$5:T$11,MATCH($B32,Premissas!$A$39:$A$45,0))</f>
        <v/>
      </c>
      <c r="V32" s="22" t="str">
        <f>INDEX(Cronograma!U$5:U$11,MATCH($B32,Premissas!$A$39:$A$45,0))</f>
        <v>S</v>
      </c>
      <c r="W32" s="22" t="str">
        <f>INDEX(Cronograma!V$5:V$11,MATCH($B32,Premissas!$A$39:$A$45,0))</f>
        <v/>
      </c>
      <c r="X32" s="22" t="str">
        <f>INDEX(Cronograma!W$5:W$11,MATCH($B32,Premissas!$A$39:$A$45,0))</f>
        <v/>
      </c>
      <c r="Y32" s="22" t="str">
        <f>INDEX(Cronograma!X$5:X$11,MATCH($B32,Premissas!$A$39:$A$45,0))</f>
        <v/>
      </c>
      <c r="Z32" s="22" t="str">
        <f>INDEX(Cronograma!Y$5:Y$11,MATCH($B32,Premissas!$A$39:$A$45,0))</f>
        <v/>
      </c>
      <c r="AA32" s="22" t="str">
        <f>INDEX(Cronograma!Z$5:Z$11,MATCH($B32,Premissas!$A$39:$A$45,0))</f>
        <v/>
      </c>
      <c r="AB32" s="22" t="str">
        <f>INDEX(Cronograma!AA$5:AA$11,MATCH($B32,Premissas!$A$39:$A$45,0))</f>
        <v/>
      </c>
      <c r="AC32" s="22" t="str">
        <f>INDEX(Cronograma!AB$5:AB$11,MATCH($B32,Premissas!$A$39:$A$45,0))</f>
        <v>B</v>
      </c>
      <c r="AD32" s="22" t="str">
        <f>INDEX(Cronograma!AC$5:AC$11,MATCH($B32,Premissas!$A$39:$A$45,0))</f>
        <v/>
      </c>
      <c r="AE32" s="22" t="str">
        <f>INDEX(Cronograma!AD$5:AD$11,MATCH($B32,Premissas!$A$39:$A$45,0))</f>
        <v/>
      </c>
      <c r="AF32" s="22" t="str">
        <f>INDEX(Cronograma!AE$5:AE$11,MATCH($B32,Premissas!$A$39:$A$45,0))</f>
        <v/>
      </c>
      <c r="AG32" s="22" t="str">
        <f>INDEX(Cronograma!AF$5:AF$11,MATCH($B32,Premissas!$A$39:$A$45,0))</f>
        <v/>
      </c>
      <c r="AH32" s="22" t="str">
        <f>INDEX(Cronograma!AG$5:AG$11,MATCH($B32,Premissas!$A$39:$A$45,0))</f>
        <v/>
      </c>
      <c r="AI32" s="22" t="str">
        <f>INDEX(Cronograma!AH$5:AH$11,MATCH($B32,Premissas!$A$39:$A$45,0))</f>
        <v/>
      </c>
      <c r="AJ32" s="22" t="str">
        <f>INDEX(Cronograma!AI$5:AI$11,MATCH($B32,Premissas!$A$39:$A$45,0))</f>
        <v/>
      </c>
      <c r="AK32" s="22" t="str">
        <f>INDEX(Cronograma!AJ$5:AJ$11,MATCH($B32,Premissas!$A$39:$A$45,0))</f>
        <v/>
      </c>
      <c r="AL32" s="22" t="str">
        <f>INDEX(Cronograma!AK$5:AK$11,MATCH($B32,Premissas!$A$39:$A$45,0))</f>
        <v/>
      </c>
      <c r="AM32" s="22" t="str">
        <f>INDEX(Cronograma!AL$5:AL$11,MATCH($B32,Premissas!$A$39:$A$45,0))</f>
        <v/>
      </c>
      <c r="AN32" s="22" t="str">
        <f>INDEX(Cronograma!AM$5:AM$11,MATCH($B32,Premissas!$A$39:$A$45,0))</f>
        <v/>
      </c>
      <c r="AO32" s="22" t="str">
        <f>INDEX(Cronograma!AN$5:AN$11,MATCH($B32,Premissas!$A$39:$A$45,0))</f>
        <v/>
      </c>
      <c r="AP32" s="22" t="str">
        <f>INDEX(Cronograma!AO$5:AO$11,MATCH($B32,Premissas!$A$39:$A$45,0))</f>
        <v>S</v>
      </c>
      <c r="AQ32" s="22" t="str">
        <f>INDEX(Cronograma!AP$5:AP$11,MATCH($B32,Premissas!$A$39:$A$45,0))</f>
        <v/>
      </c>
      <c r="AR32" s="22" t="str">
        <f>INDEX(Cronograma!AQ$5:AQ$11,MATCH($B32,Premissas!$A$39:$A$45,0))</f>
        <v/>
      </c>
      <c r="AS32" s="22" t="str">
        <f>INDEX(Cronograma!AR$5:AR$11,MATCH($B32,Premissas!$A$39:$A$45,0))</f>
        <v/>
      </c>
      <c r="AT32" s="22" t="str">
        <f>INDEX(Cronograma!AS$5:AS$11,MATCH($B32,Premissas!$A$39:$A$45,0))</f>
        <v/>
      </c>
      <c r="AU32" s="22" t="str">
        <f>INDEX(Cronograma!AT$5:AT$11,MATCH($B32,Premissas!$A$39:$A$45,0))</f>
        <v/>
      </c>
      <c r="AV32" s="22" t="str">
        <f>INDEX(Cronograma!AU$5:AU$11,MATCH($B32,Premissas!$A$39:$A$45,0))</f>
        <v/>
      </c>
      <c r="AW32" s="22" t="str">
        <f>INDEX(Cronograma!AV$5:AV$11,MATCH($B32,Premissas!$A$39:$A$45,0))</f>
        <v/>
      </c>
      <c r="AX32" s="22" t="str">
        <f>INDEX(Cronograma!AW$5:AW$11,MATCH($B32,Premissas!$A$39:$A$45,0))</f>
        <v/>
      </c>
      <c r="AY32" s="22" t="str">
        <f>INDEX(Cronograma!AX$5:AX$11,MATCH($B32,Premissas!$A$39:$A$45,0))</f>
        <v/>
      </c>
      <c r="AZ32" s="22" t="str">
        <f>INDEX(Cronograma!AY$5:AY$11,MATCH($B32,Premissas!$A$39:$A$45,0))</f>
        <v/>
      </c>
      <c r="BA32" s="22" t="str">
        <f>INDEX(Cronograma!AZ$5:AZ$11,MATCH($B32,Premissas!$A$39:$A$45,0))</f>
        <v/>
      </c>
      <c r="BB32" s="22" t="str">
        <f>INDEX(Cronograma!BA$5:BA$11,MATCH($B32,Premissas!$A$39:$A$45,0))</f>
        <v/>
      </c>
    </row>
    <row r="33" spans="1:54" ht="15" customHeight="1" x14ac:dyDescent="0.4">
      <c r="A33" s="15" t="str">
        <f>Frota!$B33&amp;" — "&amp;Frota!$A33</f>
        <v>MB 3344 6x4 — 101121</v>
      </c>
      <c r="B33" s="16" t="str">
        <f>Frota!$C33</f>
        <v>Caminhão</v>
      </c>
      <c r="C33" s="22" t="str">
        <f>INDEX(Cronograma!B$5:B$11,MATCH($B33,Premissas!$A$39:$A$45,0))</f>
        <v/>
      </c>
      <c r="D33" s="22" t="str">
        <f>INDEX(Cronograma!C$5:C$11,MATCH($B33,Premissas!$A$39:$A$45,0))</f>
        <v/>
      </c>
      <c r="E33" s="22" t="str">
        <f>INDEX(Cronograma!D$5:D$11,MATCH($B33,Premissas!$A$39:$A$45,0))</f>
        <v/>
      </c>
      <c r="F33" s="22" t="str">
        <f>INDEX(Cronograma!E$5:E$11,MATCH($B33,Premissas!$A$39:$A$45,0))</f>
        <v/>
      </c>
      <c r="G33" s="22" t="str">
        <f>INDEX(Cronograma!F$5:F$11,MATCH($B33,Premissas!$A$39:$A$45,0))</f>
        <v/>
      </c>
      <c r="H33" s="22" t="str">
        <f>INDEX(Cronograma!G$5:G$11,MATCH($B33,Premissas!$A$39:$A$45,0))</f>
        <v/>
      </c>
      <c r="I33" s="22" t="str">
        <f>INDEX(Cronograma!H$5:H$11,MATCH($B33,Premissas!$A$39:$A$45,0))</f>
        <v>S</v>
      </c>
      <c r="J33" s="22" t="str">
        <f>INDEX(Cronograma!I$5:I$11,MATCH($B33,Premissas!$A$39:$A$45,0))</f>
        <v/>
      </c>
      <c r="K33" s="22" t="str">
        <f>INDEX(Cronograma!J$5:J$11,MATCH($B33,Premissas!$A$39:$A$45,0))</f>
        <v/>
      </c>
      <c r="L33" s="22" t="str">
        <f>INDEX(Cronograma!K$5:K$11,MATCH($B33,Premissas!$A$39:$A$45,0))</f>
        <v/>
      </c>
      <c r="M33" s="22" t="str">
        <f>INDEX(Cronograma!L$5:L$11,MATCH($B33,Premissas!$A$39:$A$45,0))</f>
        <v/>
      </c>
      <c r="N33" s="22" t="str">
        <f>INDEX(Cronograma!M$5:M$11,MATCH($B33,Premissas!$A$39:$A$45,0))</f>
        <v/>
      </c>
      <c r="O33" s="22" t="str">
        <f>INDEX(Cronograma!N$5:N$11,MATCH($B33,Premissas!$A$39:$A$45,0))</f>
        <v/>
      </c>
      <c r="P33" s="22" t="str">
        <f>INDEX(Cronograma!O$5:O$11,MATCH($B33,Premissas!$A$39:$A$45,0))</f>
        <v>A</v>
      </c>
      <c r="Q33" s="22" t="str">
        <f>INDEX(Cronograma!P$5:P$11,MATCH($B33,Premissas!$A$39:$A$45,0))</f>
        <v/>
      </c>
      <c r="R33" s="22" t="str">
        <f>INDEX(Cronograma!Q$5:Q$11,MATCH($B33,Premissas!$A$39:$A$45,0))</f>
        <v/>
      </c>
      <c r="S33" s="22" t="str">
        <f>INDEX(Cronograma!R$5:R$11,MATCH($B33,Premissas!$A$39:$A$45,0))</f>
        <v/>
      </c>
      <c r="T33" s="22" t="str">
        <f>INDEX(Cronograma!S$5:S$11,MATCH($B33,Premissas!$A$39:$A$45,0))</f>
        <v/>
      </c>
      <c r="U33" s="22" t="str">
        <f>INDEX(Cronograma!T$5:T$11,MATCH($B33,Premissas!$A$39:$A$45,0))</f>
        <v/>
      </c>
      <c r="V33" s="22" t="str">
        <f>INDEX(Cronograma!U$5:U$11,MATCH($B33,Premissas!$A$39:$A$45,0))</f>
        <v>S</v>
      </c>
      <c r="W33" s="22" t="str">
        <f>INDEX(Cronograma!V$5:V$11,MATCH($B33,Premissas!$A$39:$A$45,0))</f>
        <v/>
      </c>
      <c r="X33" s="22" t="str">
        <f>INDEX(Cronograma!W$5:W$11,MATCH($B33,Premissas!$A$39:$A$45,0))</f>
        <v/>
      </c>
      <c r="Y33" s="22" t="str">
        <f>INDEX(Cronograma!X$5:X$11,MATCH($B33,Premissas!$A$39:$A$45,0))</f>
        <v/>
      </c>
      <c r="Z33" s="22" t="str">
        <f>INDEX(Cronograma!Y$5:Y$11,MATCH($B33,Premissas!$A$39:$A$45,0))</f>
        <v/>
      </c>
      <c r="AA33" s="22" t="str">
        <f>INDEX(Cronograma!Z$5:Z$11,MATCH($B33,Premissas!$A$39:$A$45,0))</f>
        <v/>
      </c>
      <c r="AB33" s="22" t="str">
        <f>INDEX(Cronograma!AA$5:AA$11,MATCH($B33,Premissas!$A$39:$A$45,0))</f>
        <v/>
      </c>
      <c r="AC33" s="22" t="str">
        <f>INDEX(Cronograma!AB$5:AB$11,MATCH($B33,Premissas!$A$39:$A$45,0))</f>
        <v>B</v>
      </c>
      <c r="AD33" s="22" t="str">
        <f>INDEX(Cronograma!AC$5:AC$11,MATCH($B33,Premissas!$A$39:$A$45,0))</f>
        <v/>
      </c>
      <c r="AE33" s="22" t="str">
        <f>INDEX(Cronograma!AD$5:AD$11,MATCH($B33,Premissas!$A$39:$A$45,0))</f>
        <v/>
      </c>
      <c r="AF33" s="22" t="str">
        <f>INDEX(Cronograma!AE$5:AE$11,MATCH($B33,Premissas!$A$39:$A$45,0))</f>
        <v/>
      </c>
      <c r="AG33" s="22" t="str">
        <f>INDEX(Cronograma!AF$5:AF$11,MATCH($B33,Premissas!$A$39:$A$45,0))</f>
        <v/>
      </c>
      <c r="AH33" s="22" t="str">
        <f>INDEX(Cronograma!AG$5:AG$11,MATCH($B33,Premissas!$A$39:$A$45,0))</f>
        <v/>
      </c>
      <c r="AI33" s="22" t="str">
        <f>INDEX(Cronograma!AH$5:AH$11,MATCH($B33,Premissas!$A$39:$A$45,0))</f>
        <v/>
      </c>
      <c r="AJ33" s="22" t="str">
        <f>INDEX(Cronograma!AI$5:AI$11,MATCH($B33,Premissas!$A$39:$A$45,0))</f>
        <v/>
      </c>
      <c r="AK33" s="22" t="str">
        <f>INDEX(Cronograma!AJ$5:AJ$11,MATCH($B33,Premissas!$A$39:$A$45,0))</f>
        <v/>
      </c>
      <c r="AL33" s="22" t="str">
        <f>INDEX(Cronograma!AK$5:AK$11,MATCH($B33,Premissas!$A$39:$A$45,0))</f>
        <v/>
      </c>
      <c r="AM33" s="22" t="str">
        <f>INDEX(Cronograma!AL$5:AL$11,MATCH($B33,Premissas!$A$39:$A$45,0))</f>
        <v/>
      </c>
      <c r="AN33" s="22" t="str">
        <f>INDEX(Cronograma!AM$5:AM$11,MATCH($B33,Premissas!$A$39:$A$45,0))</f>
        <v/>
      </c>
      <c r="AO33" s="22" t="str">
        <f>INDEX(Cronograma!AN$5:AN$11,MATCH($B33,Premissas!$A$39:$A$45,0))</f>
        <v/>
      </c>
      <c r="AP33" s="22" t="str">
        <f>INDEX(Cronograma!AO$5:AO$11,MATCH($B33,Premissas!$A$39:$A$45,0))</f>
        <v>S</v>
      </c>
      <c r="AQ33" s="22" t="str">
        <f>INDEX(Cronograma!AP$5:AP$11,MATCH($B33,Premissas!$A$39:$A$45,0))</f>
        <v/>
      </c>
      <c r="AR33" s="22" t="str">
        <f>INDEX(Cronograma!AQ$5:AQ$11,MATCH($B33,Premissas!$A$39:$A$45,0))</f>
        <v/>
      </c>
      <c r="AS33" s="22" t="str">
        <f>INDEX(Cronograma!AR$5:AR$11,MATCH($B33,Premissas!$A$39:$A$45,0))</f>
        <v/>
      </c>
      <c r="AT33" s="22" t="str">
        <f>INDEX(Cronograma!AS$5:AS$11,MATCH($B33,Premissas!$A$39:$A$45,0))</f>
        <v/>
      </c>
      <c r="AU33" s="22" t="str">
        <f>INDEX(Cronograma!AT$5:AT$11,MATCH($B33,Premissas!$A$39:$A$45,0))</f>
        <v/>
      </c>
      <c r="AV33" s="22" t="str">
        <f>INDEX(Cronograma!AU$5:AU$11,MATCH($B33,Premissas!$A$39:$A$45,0))</f>
        <v/>
      </c>
      <c r="AW33" s="22" t="str">
        <f>INDEX(Cronograma!AV$5:AV$11,MATCH($B33,Premissas!$A$39:$A$45,0))</f>
        <v/>
      </c>
      <c r="AX33" s="22" t="str">
        <f>INDEX(Cronograma!AW$5:AW$11,MATCH($B33,Premissas!$A$39:$A$45,0))</f>
        <v/>
      </c>
      <c r="AY33" s="22" t="str">
        <f>INDEX(Cronograma!AX$5:AX$11,MATCH($B33,Premissas!$A$39:$A$45,0))</f>
        <v/>
      </c>
      <c r="AZ33" s="22" t="str">
        <f>INDEX(Cronograma!AY$5:AY$11,MATCH($B33,Premissas!$A$39:$A$45,0))</f>
        <v/>
      </c>
      <c r="BA33" s="22" t="str">
        <f>INDEX(Cronograma!AZ$5:AZ$11,MATCH($B33,Premissas!$A$39:$A$45,0))</f>
        <v/>
      </c>
      <c r="BB33" s="22" t="str">
        <f>INDEX(Cronograma!BA$5:BA$11,MATCH($B33,Premissas!$A$39:$A$45,0))</f>
        <v/>
      </c>
    </row>
    <row r="34" spans="1:54" ht="15" customHeight="1" x14ac:dyDescent="0.4">
      <c r="A34" s="15" t="str">
        <f>Frota!$B34&amp;" — "&amp;Frota!$A34</f>
        <v>MB 3344 6x4 — 101122</v>
      </c>
      <c r="B34" s="16" t="str">
        <f>Frota!$C34</f>
        <v>Caminhão</v>
      </c>
      <c r="C34" s="22" t="str">
        <f>INDEX(Cronograma!B$5:B$11,MATCH($B34,Premissas!$A$39:$A$45,0))</f>
        <v/>
      </c>
      <c r="D34" s="22" t="str">
        <f>INDEX(Cronograma!C$5:C$11,MATCH($B34,Premissas!$A$39:$A$45,0))</f>
        <v/>
      </c>
      <c r="E34" s="22" t="str">
        <f>INDEX(Cronograma!D$5:D$11,MATCH($B34,Premissas!$A$39:$A$45,0))</f>
        <v/>
      </c>
      <c r="F34" s="22" t="str">
        <f>INDEX(Cronograma!E$5:E$11,MATCH($B34,Premissas!$A$39:$A$45,0))</f>
        <v/>
      </c>
      <c r="G34" s="22" t="str">
        <f>INDEX(Cronograma!F$5:F$11,MATCH($B34,Premissas!$A$39:$A$45,0))</f>
        <v/>
      </c>
      <c r="H34" s="22" t="str">
        <f>INDEX(Cronograma!G$5:G$11,MATCH($B34,Premissas!$A$39:$A$45,0))</f>
        <v/>
      </c>
      <c r="I34" s="22" t="str">
        <f>INDEX(Cronograma!H$5:H$11,MATCH($B34,Premissas!$A$39:$A$45,0))</f>
        <v>S</v>
      </c>
      <c r="J34" s="22" t="str">
        <f>INDEX(Cronograma!I$5:I$11,MATCH($B34,Premissas!$A$39:$A$45,0))</f>
        <v/>
      </c>
      <c r="K34" s="22" t="str">
        <f>INDEX(Cronograma!J$5:J$11,MATCH($B34,Premissas!$A$39:$A$45,0))</f>
        <v/>
      </c>
      <c r="L34" s="22" t="str">
        <f>INDEX(Cronograma!K$5:K$11,MATCH($B34,Premissas!$A$39:$A$45,0))</f>
        <v/>
      </c>
      <c r="M34" s="22" t="str">
        <f>INDEX(Cronograma!L$5:L$11,MATCH($B34,Premissas!$A$39:$A$45,0))</f>
        <v/>
      </c>
      <c r="N34" s="22" t="str">
        <f>INDEX(Cronograma!M$5:M$11,MATCH($B34,Premissas!$A$39:$A$45,0))</f>
        <v/>
      </c>
      <c r="O34" s="22" t="str">
        <f>INDEX(Cronograma!N$5:N$11,MATCH($B34,Premissas!$A$39:$A$45,0))</f>
        <v/>
      </c>
      <c r="P34" s="22" t="str">
        <f>INDEX(Cronograma!O$5:O$11,MATCH($B34,Premissas!$A$39:$A$45,0))</f>
        <v>A</v>
      </c>
      <c r="Q34" s="22" t="str">
        <f>INDEX(Cronograma!P$5:P$11,MATCH($B34,Premissas!$A$39:$A$45,0))</f>
        <v/>
      </c>
      <c r="R34" s="22" t="str">
        <f>INDEX(Cronograma!Q$5:Q$11,MATCH($B34,Premissas!$A$39:$A$45,0))</f>
        <v/>
      </c>
      <c r="S34" s="22" t="str">
        <f>INDEX(Cronograma!R$5:R$11,MATCH($B34,Premissas!$A$39:$A$45,0))</f>
        <v/>
      </c>
      <c r="T34" s="22" t="str">
        <f>INDEX(Cronograma!S$5:S$11,MATCH($B34,Premissas!$A$39:$A$45,0))</f>
        <v/>
      </c>
      <c r="U34" s="22" t="str">
        <f>INDEX(Cronograma!T$5:T$11,MATCH($B34,Premissas!$A$39:$A$45,0))</f>
        <v/>
      </c>
      <c r="V34" s="22" t="str">
        <f>INDEX(Cronograma!U$5:U$11,MATCH($B34,Premissas!$A$39:$A$45,0))</f>
        <v>S</v>
      </c>
      <c r="W34" s="22" t="str">
        <f>INDEX(Cronograma!V$5:V$11,MATCH($B34,Premissas!$A$39:$A$45,0))</f>
        <v/>
      </c>
      <c r="X34" s="22" t="str">
        <f>INDEX(Cronograma!W$5:W$11,MATCH($B34,Premissas!$A$39:$A$45,0))</f>
        <v/>
      </c>
      <c r="Y34" s="22" t="str">
        <f>INDEX(Cronograma!X$5:X$11,MATCH($B34,Premissas!$A$39:$A$45,0))</f>
        <v/>
      </c>
      <c r="Z34" s="22" t="str">
        <f>INDEX(Cronograma!Y$5:Y$11,MATCH($B34,Premissas!$A$39:$A$45,0))</f>
        <v/>
      </c>
      <c r="AA34" s="22" t="str">
        <f>INDEX(Cronograma!Z$5:Z$11,MATCH($B34,Premissas!$A$39:$A$45,0))</f>
        <v/>
      </c>
      <c r="AB34" s="22" t="str">
        <f>INDEX(Cronograma!AA$5:AA$11,MATCH($B34,Premissas!$A$39:$A$45,0))</f>
        <v/>
      </c>
      <c r="AC34" s="22" t="str">
        <f>INDEX(Cronograma!AB$5:AB$11,MATCH($B34,Premissas!$A$39:$A$45,0))</f>
        <v>B</v>
      </c>
      <c r="AD34" s="22" t="str">
        <f>INDEX(Cronograma!AC$5:AC$11,MATCH($B34,Premissas!$A$39:$A$45,0))</f>
        <v/>
      </c>
      <c r="AE34" s="22" t="str">
        <f>INDEX(Cronograma!AD$5:AD$11,MATCH($B34,Premissas!$A$39:$A$45,0))</f>
        <v/>
      </c>
      <c r="AF34" s="22" t="str">
        <f>INDEX(Cronograma!AE$5:AE$11,MATCH($B34,Premissas!$A$39:$A$45,0))</f>
        <v/>
      </c>
      <c r="AG34" s="22" t="str">
        <f>INDEX(Cronograma!AF$5:AF$11,MATCH($B34,Premissas!$A$39:$A$45,0))</f>
        <v/>
      </c>
      <c r="AH34" s="22" t="str">
        <f>INDEX(Cronograma!AG$5:AG$11,MATCH($B34,Premissas!$A$39:$A$45,0))</f>
        <v/>
      </c>
      <c r="AI34" s="22" t="str">
        <f>INDEX(Cronograma!AH$5:AH$11,MATCH($B34,Premissas!$A$39:$A$45,0))</f>
        <v/>
      </c>
      <c r="AJ34" s="22" t="str">
        <f>INDEX(Cronograma!AI$5:AI$11,MATCH($B34,Premissas!$A$39:$A$45,0))</f>
        <v/>
      </c>
      <c r="AK34" s="22" t="str">
        <f>INDEX(Cronograma!AJ$5:AJ$11,MATCH($B34,Premissas!$A$39:$A$45,0))</f>
        <v/>
      </c>
      <c r="AL34" s="22" t="str">
        <f>INDEX(Cronograma!AK$5:AK$11,MATCH($B34,Premissas!$A$39:$A$45,0))</f>
        <v/>
      </c>
      <c r="AM34" s="22" t="str">
        <f>INDEX(Cronograma!AL$5:AL$11,MATCH($B34,Premissas!$A$39:$A$45,0))</f>
        <v/>
      </c>
      <c r="AN34" s="22" t="str">
        <f>INDEX(Cronograma!AM$5:AM$11,MATCH($B34,Premissas!$A$39:$A$45,0))</f>
        <v/>
      </c>
      <c r="AO34" s="22" t="str">
        <f>INDEX(Cronograma!AN$5:AN$11,MATCH($B34,Premissas!$A$39:$A$45,0))</f>
        <v/>
      </c>
      <c r="AP34" s="22" t="str">
        <f>INDEX(Cronograma!AO$5:AO$11,MATCH($B34,Premissas!$A$39:$A$45,0))</f>
        <v>S</v>
      </c>
      <c r="AQ34" s="22" t="str">
        <f>INDEX(Cronograma!AP$5:AP$11,MATCH($B34,Premissas!$A$39:$A$45,0))</f>
        <v/>
      </c>
      <c r="AR34" s="22" t="str">
        <f>INDEX(Cronograma!AQ$5:AQ$11,MATCH($B34,Premissas!$A$39:$A$45,0))</f>
        <v/>
      </c>
      <c r="AS34" s="22" t="str">
        <f>INDEX(Cronograma!AR$5:AR$11,MATCH($B34,Premissas!$A$39:$A$45,0))</f>
        <v/>
      </c>
      <c r="AT34" s="22" t="str">
        <f>INDEX(Cronograma!AS$5:AS$11,MATCH($B34,Premissas!$A$39:$A$45,0))</f>
        <v/>
      </c>
      <c r="AU34" s="22" t="str">
        <f>INDEX(Cronograma!AT$5:AT$11,MATCH($B34,Premissas!$A$39:$A$45,0))</f>
        <v/>
      </c>
      <c r="AV34" s="22" t="str">
        <f>INDEX(Cronograma!AU$5:AU$11,MATCH($B34,Premissas!$A$39:$A$45,0))</f>
        <v/>
      </c>
      <c r="AW34" s="22" t="str">
        <f>INDEX(Cronograma!AV$5:AV$11,MATCH($B34,Premissas!$A$39:$A$45,0))</f>
        <v/>
      </c>
      <c r="AX34" s="22" t="str">
        <f>INDEX(Cronograma!AW$5:AW$11,MATCH($B34,Premissas!$A$39:$A$45,0))</f>
        <v/>
      </c>
      <c r="AY34" s="22" t="str">
        <f>INDEX(Cronograma!AX$5:AX$11,MATCH($B34,Premissas!$A$39:$A$45,0))</f>
        <v/>
      </c>
      <c r="AZ34" s="22" t="str">
        <f>INDEX(Cronograma!AY$5:AY$11,MATCH($B34,Premissas!$A$39:$A$45,0))</f>
        <v/>
      </c>
      <c r="BA34" s="22" t="str">
        <f>INDEX(Cronograma!AZ$5:AZ$11,MATCH($B34,Premissas!$A$39:$A$45,0))</f>
        <v/>
      </c>
      <c r="BB34" s="22" t="str">
        <f>INDEX(Cronograma!BA$5:BA$11,MATCH($B34,Premissas!$A$39:$A$45,0))</f>
        <v/>
      </c>
    </row>
    <row r="35" spans="1:54" ht="15" customHeight="1" x14ac:dyDescent="0.4">
      <c r="A35" s="15" t="str">
        <f>Frota!$B35&amp;" — "&amp;Frota!$A35</f>
        <v>MB 3344 6x4 — 101123</v>
      </c>
      <c r="B35" s="16" t="str">
        <f>Frota!$C35</f>
        <v>Caminhão</v>
      </c>
      <c r="C35" s="22" t="str">
        <f>INDEX(Cronograma!B$5:B$11,MATCH($B35,Premissas!$A$39:$A$45,0))</f>
        <v/>
      </c>
      <c r="D35" s="22" t="str">
        <f>INDEX(Cronograma!C$5:C$11,MATCH($B35,Premissas!$A$39:$A$45,0))</f>
        <v/>
      </c>
      <c r="E35" s="22" t="str">
        <f>INDEX(Cronograma!D$5:D$11,MATCH($B35,Premissas!$A$39:$A$45,0))</f>
        <v/>
      </c>
      <c r="F35" s="22" t="str">
        <f>INDEX(Cronograma!E$5:E$11,MATCH($B35,Premissas!$A$39:$A$45,0))</f>
        <v/>
      </c>
      <c r="G35" s="22" t="str">
        <f>INDEX(Cronograma!F$5:F$11,MATCH($B35,Premissas!$A$39:$A$45,0))</f>
        <v/>
      </c>
      <c r="H35" s="22" t="str">
        <f>INDEX(Cronograma!G$5:G$11,MATCH($B35,Premissas!$A$39:$A$45,0))</f>
        <v/>
      </c>
      <c r="I35" s="22" t="str">
        <f>INDEX(Cronograma!H$5:H$11,MATCH($B35,Premissas!$A$39:$A$45,0))</f>
        <v>S</v>
      </c>
      <c r="J35" s="22" t="str">
        <f>INDEX(Cronograma!I$5:I$11,MATCH($B35,Premissas!$A$39:$A$45,0))</f>
        <v/>
      </c>
      <c r="K35" s="22" t="str">
        <f>INDEX(Cronograma!J$5:J$11,MATCH($B35,Premissas!$A$39:$A$45,0))</f>
        <v/>
      </c>
      <c r="L35" s="22" t="str">
        <f>INDEX(Cronograma!K$5:K$11,MATCH($B35,Premissas!$A$39:$A$45,0))</f>
        <v/>
      </c>
      <c r="M35" s="22" t="str">
        <f>INDEX(Cronograma!L$5:L$11,MATCH($B35,Premissas!$A$39:$A$45,0))</f>
        <v/>
      </c>
      <c r="N35" s="22" t="str">
        <f>INDEX(Cronograma!M$5:M$11,MATCH($B35,Premissas!$A$39:$A$45,0))</f>
        <v/>
      </c>
      <c r="O35" s="22" t="str">
        <f>INDEX(Cronograma!N$5:N$11,MATCH($B35,Premissas!$A$39:$A$45,0))</f>
        <v/>
      </c>
      <c r="P35" s="22" t="str">
        <f>INDEX(Cronograma!O$5:O$11,MATCH($B35,Premissas!$A$39:$A$45,0))</f>
        <v>A</v>
      </c>
      <c r="Q35" s="22" t="str">
        <f>INDEX(Cronograma!P$5:P$11,MATCH($B35,Premissas!$A$39:$A$45,0))</f>
        <v/>
      </c>
      <c r="R35" s="22" t="str">
        <f>INDEX(Cronograma!Q$5:Q$11,MATCH($B35,Premissas!$A$39:$A$45,0))</f>
        <v/>
      </c>
      <c r="S35" s="22" t="str">
        <f>INDEX(Cronograma!R$5:R$11,MATCH($B35,Premissas!$A$39:$A$45,0))</f>
        <v/>
      </c>
      <c r="T35" s="22" t="str">
        <f>INDEX(Cronograma!S$5:S$11,MATCH($B35,Premissas!$A$39:$A$45,0))</f>
        <v/>
      </c>
      <c r="U35" s="22" t="str">
        <f>INDEX(Cronograma!T$5:T$11,MATCH($B35,Premissas!$A$39:$A$45,0))</f>
        <v/>
      </c>
      <c r="V35" s="22" t="str">
        <f>INDEX(Cronograma!U$5:U$11,MATCH($B35,Premissas!$A$39:$A$45,0))</f>
        <v>S</v>
      </c>
      <c r="W35" s="22" t="str">
        <f>INDEX(Cronograma!V$5:V$11,MATCH($B35,Premissas!$A$39:$A$45,0))</f>
        <v/>
      </c>
      <c r="X35" s="22" t="str">
        <f>INDEX(Cronograma!W$5:W$11,MATCH($B35,Premissas!$A$39:$A$45,0))</f>
        <v/>
      </c>
      <c r="Y35" s="22" t="str">
        <f>INDEX(Cronograma!X$5:X$11,MATCH($B35,Premissas!$A$39:$A$45,0))</f>
        <v/>
      </c>
      <c r="Z35" s="22" t="str">
        <f>INDEX(Cronograma!Y$5:Y$11,MATCH($B35,Premissas!$A$39:$A$45,0))</f>
        <v/>
      </c>
      <c r="AA35" s="22" t="str">
        <f>INDEX(Cronograma!Z$5:Z$11,MATCH($B35,Premissas!$A$39:$A$45,0))</f>
        <v/>
      </c>
      <c r="AB35" s="22" t="str">
        <f>INDEX(Cronograma!AA$5:AA$11,MATCH($B35,Premissas!$A$39:$A$45,0))</f>
        <v/>
      </c>
      <c r="AC35" s="22" t="str">
        <f>INDEX(Cronograma!AB$5:AB$11,MATCH($B35,Premissas!$A$39:$A$45,0))</f>
        <v>B</v>
      </c>
      <c r="AD35" s="22" t="str">
        <f>INDEX(Cronograma!AC$5:AC$11,MATCH($B35,Premissas!$A$39:$A$45,0))</f>
        <v/>
      </c>
      <c r="AE35" s="22" t="str">
        <f>INDEX(Cronograma!AD$5:AD$11,MATCH($B35,Premissas!$A$39:$A$45,0))</f>
        <v/>
      </c>
      <c r="AF35" s="22" t="str">
        <f>INDEX(Cronograma!AE$5:AE$11,MATCH($B35,Premissas!$A$39:$A$45,0))</f>
        <v/>
      </c>
      <c r="AG35" s="22" t="str">
        <f>INDEX(Cronograma!AF$5:AF$11,MATCH($B35,Premissas!$A$39:$A$45,0))</f>
        <v/>
      </c>
      <c r="AH35" s="22" t="str">
        <f>INDEX(Cronograma!AG$5:AG$11,MATCH($B35,Premissas!$A$39:$A$45,0))</f>
        <v/>
      </c>
      <c r="AI35" s="22" t="str">
        <f>INDEX(Cronograma!AH$5:AH$11,MATCH($B35,Premissas!$A$39:$A$45,0))</f>
        <v/>
      </c>
      <c r="AJ35" s="22" t="str">
        <f>INDEX(Cronograma!AI$5:AI$11,MATCH($B35,Premissas!$A$39:$A$45,0))</f>
        <v/>
      </c>
      <c r="AK35" s="22" t="str">
        <f>INDEX(Cronograma!AJ$5:AJ$11,MATCH($B35,Premissas!$A$39:$A$45,0))</f>
        <v/>
      </c>
      <c r="AL35" s="22" t="str">
        <f>INDEX(Cronograma!AK$5:AK$11,MATCH($B35,Premissas!$A$39:$A$45,0))</f>
        <v/>
      </c>
      <c r="AM35" s="22" t="str">
        <f>INDEX(Cronograma!AL$5:AL$11,MATCH($B35,Premissas!$A$39:$A$45,0))</f>
        <v/>
      </c>
      <c r="AN35" s="22" t="str">
        <f>INDEX(Cronograma!AM$5:AM$11,MATCH($B35,Premissas!$A$39:$A$45,0))</f>
        <v/>
      </c>
      <c r="AO35" s="22" t="str">
        <f>INDEX(Cronograma!AN$5:AN$11,MATCH($B35,Premissas!$A$39:$A$45,0))</f>
        <v/>
      </c>
      <c r="AP35" s="22" t="str">
        <f>INDEX(Cronograma!AO$5:AO$11,MATCH($B35,Premissas!$A$39:$A$45,0))</f>
        <v>S</v>
      </c>
      <c r="AQ35" s="22" t="str">
        <f>INDEX(Cronograma!AP$5:AP$11,MATCH($B35,Premissas!$A$39:$A$45,0))</f>
        <v/>
      </c>
      <c r="AR35" s="22" t="str">
        <f>INDEX(Cronograma!AQ$5:AQ$11,MATCH($B35,Premissas!$A$39:$A$45,0))</f>
        <v/>
      </c>
      <c r="AS35" s="22" t="str">
        <f>INDEX(Cronograma!AR$5:AR$11,MATCH($B35,Premissas!$A$39:$A$45,0))</f>
        <v/>
      </c>
      <c r="AT35" s="22" t="str">
        <f>INDEX(Cronograma!AS$5:AS$11,MATCH($B35,Premissas!$A$39:$A$45,0))</f>
        <v/>
      </c>
      <c r="AU35" s="22" t="str">
        <f>INDEX(Cronograma!AT$5:AT$11,MATCH($B35,Premissas!$A$39:$A$45,0))</f>
        <v/>
      </c>
      <c r="AV35" s="22" t="str">
        <f>INDEX(Cronograma!AU$5:AU$11,MATCH($B35,Premissas!$A$39:$A$45,0))</f>
        <v/>
      </c>
      <c r="AW35" s="22" t="str">
        <f>INDEX(Cronograma!AV$5:AV$11,MATCH($B35,Premissas!$A$39:$A$45,0))</f>
        <v/>
      </c>
      <c r="AX35" s="22" t="str">
        <f>INDEX(Cronograma!AW$5:AW$11,MATCH($B35,Premissas!$A$39:$A$45,0))</f>
        <v/>
      </c>
      <c r="AY35" s="22" t="str">
        <f>INDEX(Cronograma!AX$5:AX$11,MATCH($B35,Premissas!$A$39:$A$45,0))</f>
        <v/>
      </c>
      <c r="AZ35" s="22" t="str">
        <f>INDEX(Cronograma!AY$5:AY$11,MATCH($B35,Premissas!$A$39:$A$45,0))</f>
        <v/>
      </c>
      <c r="BA35" s="22" t="str">
        <f>INDEX(Cronograma!AZ$5:AZ$11,MATCH($B35,Premissas!$A$39:$A$45,0))</f>
        <v/>
      </c>
      <c r="BB35" s="22" t="str">
        <f>INDEX(Cronograma!BA$5:BA$11,MATCH($B35,Premissas!$A$39:$A$45,0))</f>
        <v/>
      </c>
    </row>
    <row r="36" spans="1:54" ht="15" customHeight="1" x14ac:dyDescent="0.4">
      <c r="A36" s="15" t="str">
        <f>Frota!$B36&amp;" — "&amp;Frota!$A36</f>
        <v>MB 3344 6x4 — 101124</v>
      </c>
      <c r="B36" s="16" t="str">
        <f>Frota!$C36</f>
        <v>Caminhão</v>
      </c>
      <c r="C36" s="22" t="str">
        <f>INDEX(Cronograma!B$5:B$11,MATCH($B36,Premissas!$A$39:$A$45,0))</f>
        <v/>
      </c>
      <c r="D36" s="22" t="str">
        <f>INDEX(Cronograma!C$5:C$11,MATCH($B36,Premissas!$A$39:$A$45,0))</f>
        <v/>
      </c>
      <c r="E36" s="22" t="str">
        <f>INDEX(Cronograma!D$5:D$11,MATCH($B36,Premissas!$A$39:$A$45,0))</f>
        <v/>
      </c>
      <c r="F36" s="22" t="str">
        <f>INDEX(Cronograma!E$5:E$11,MATCH($B36,Premissas!$A$39:$A$45,0))</f>
        <v/>
      </c>
      <c r="G36" s="22" t="str">
        <f>INDEX(Cronograma!F$5:F$11,MATCH($B36,Premissas!$A$39:$A$45,0))</f>
        <v/>
      </c>
      <c r="H36" s="22" t="str">
        <f>INDEX(Cronograma!G$5:G$11,MATCH($B36,Premissas!$A$39:$A$45,0))</f>
        <v/>
      </c>
      <c r="I36" s="22" t="str">
        <f>INDEX(Cronograma!H$5:H$11,MATCH($B36,Premissas!$A$39:$A$45,0))</f>
        <v>S</v>
      </c>
      <c r="J36" s="22" t="str">
        <f>INDEX(Cronograma!I$5:I$11,MATCH($B36,Premissas!$A$39:$A$45,0))</f>
        <v/>
      </c>
      <c r="K36" s="22" t="str">
        <f>INDEX(Cronograma!J$5:J$11,MATCH($B36,Premissas!$A$39:$A$45,0))</f>
        <v/>
      </c>
      <c r="L36" s="22" t="str">
        <f>INDEX(Cronograma!K$5:K$11,MATCH($B36,Premissas!$A$39:$A$45,0))</f>
        <v/>
      </c>
      <c r="M36" s="22" t="str">
        <f>INDEX(Cronograma!L$5:L$11,MATCH($B36,Premissas!$A$39:$A$45,0))</f>
        <v/>
      </c>
      <c r="N36" s="22" t="str">
        <f>INDEX(Cronograma!M$5:M$11,MATCH($B36,Premissas!$A$39:$A$45,0))</f>
        <v/>
      </c>
      <c r="O36" s="22" t="str">
        <f>INDEX(Cronograma!N$5:N$11,MATCH($B36,Premissas!$A$39:$A$45,0))</f>
        <v/>
      </c>
      <c r="P36" s="22" t="str">
        <f>INDEX(Cronograma!O$5:O$11,MATCH($B36,Premissas!$A$39:$A$45,0))</f>
        <v>A</v>
      </c>
      <c r="Q36" s="22" t="str">
        <f>INDEX(Cronograma!P$5:P$11,MATCH($B36,Premissas!$A$39:$A$45,0))</f>
        <v/>
      </c>
      <c r="R36" s="22" t="str">
        <f>INDEX(Cronograma!Q$5:Q$11,MATCH($B36,Premissas!$A$39:$A$45,0))</f>
        <v/>
      </c>
      <c r="S36" s="22" t="str">
        <f>INDEX(Cronograma!R$5:R$11,MATCH($B36,Premissas!$A$39:$A$45,0))</f>
        <v/>
      </c>
      <c r="T36" s="22" t="str">
        <f>INDEX(Cronograma!S$5:S$11,MATCH($B36,Premissas!$A$39:$A$45,0))</f>
        <v/>
      </c>
      <c r="U36" s="22" t="str">
        <f>INDEX(Cronograma!T$5:T$11,MATCH($B36,Premissas!$A$39:$A$45,0))</f>
        <v/>
      </c>
      <c r="V36" s="22" t="str">
        <f>INDEX(Cronograma!U$5:U$11,MATCH($B36,Premissas!$A$39:$A$45,0))</f>
        <v>S</v>
      </c>
      <c r="W36" s="22" t="str">
        <f>INDEX(Cronograma!V$5:V$11,MATCH($B36,Premissas!$A$39:$A$45,0))</f>
        <v/>
      </c>
      <c r="X36" s="22" t="str">
        <f>INDEX(Cronograma!W$5:W$11,MATCH($B36,Premissas!$A$39:$A$45,0))</f>
        <v/>
      </c>
      <c r="Y36" s="22" t="str">
        <f>INDEX(Cronograma!X$5:X$11,MATCH($B36,Premissas!$A$39:$A$45,0))</f>
        <v/>
      </c>
      <c r="Z36" s="22" t="str">
        <f>INDEX(Cronograma!Y$5:Y$11,MATCH($B36,Premissas!$A$39:$A$45,0))</f>
        <v/>
      </c>
      <c r="AA36" s="22" t="str">
        <f>INDEX(Cronograma!Z$5:Z$11,MATCH($B36,Premissas!$A$39:$A$45,0))</f>
        <v/>
      </c>
      <c r="AB36" s="22" t="str">
        <f>INDEX(Cronograma!AA$5:AA$11,MATCH($B36,Premissas!$A$39:$A$45,0))</f>
        <v/>
      </c>
      <c r="AC36" s="22" t="str">
        <f>INDEX(Cronograma!AB$5:AB$11,MATCH($B36,Premissas!$A$39:$A$45,0))</f>
        <v>B</v>
      </c>
      <c r="AD36" s="22" t="str">
        <f>INDEX(Cronograma!AC$5:AC$11,MATCH($B36,Premissas!$A$39:$A$45,0))</f>
        <v/>
      </c>
      <c r="AE36" s="22" t="str">
        <f>INDEX(Cronograma!AD$5:AD$11,MATCH($B36,Premissas!$A$39:$A$45,0))</f>
        <v/>
      </c>
      <c r="AF36" s="22" t="str">
        <f>INDEX(Cronograma!AE$5:AE$11,MATCH($B36,Premissas!$A$39:$A$45,0))</f>
        <v/>
      </c>
      <c r="AG36" s="22" t="str">
        <f>INDEX(Cronograma!AF$5:AF$11,MATCH($B36,Premissas!$A$39:$A$45,0))</f>
        <v/>
      </c>
      <c r="AH36" s="22" t="str">
        <f>INDEX(Cronograma!AG$5:AG$11,MATCH($B36,Premissas!$A$39:$A$45,0))</f>
        <v/>
      </c>
      <c r="AI36" s="22" t="str">
        <f>INDEX(Cronograma!AH$5:AH$11,MATCH($B36,Premissas!$A$39:$A$45,0))</f>
        <v/>
      </c>
      <c r="AJ36" s="22" t="str">
        <f>INDEX(Cronograma!AI$5:AI$11,MATCH($B36,Premissas!$A$39:$A$45,0))</f>
        <v/>
      </c>
      <c r="AK36" s="22" t="str">
        <f>INDEX(Cronograma!AJ$5:AJ$11,MATCH($B36,Premissas!$A$39:$A$45,0))</f>
        <v/>
      </c>
      <c r="AL36" s="22" t="str">
        <f>INDEX(Cronograma!AK$5:AK$11,MATCH($B36,Premissas!$A$39:$A$45,0))</f>
        <v/>
      </c>
      <c r="AM36" s="22" t="str">
        <f>INDEX(Cronograma!AL$5:AL$11,MATCH($B36,Premissas!$A$39:$A$45,0))</f>
        <v/>
      </c>
      <c r="AN36" s="22" t="str">
        <f>INDEX(Cronograma!AM$5:AM$11,MATCH($B36,Premissas!$A$39:$A$45,0))</f>
        <v/>
      </c>
      <c r="AO36" s="22" t="str">
        <f>INDEX(Cronograma!AN$5:AN$11,MATCH($B36,Premissas!$A$39:$A$45,0))</f>
        <v/>
      </c>
      <c r="AP36" s="22" t="str">
        <f>INDEX(Cronograma!AO$5:AO$11,MATCH($B36,Premissas!$A$39:$A$45,0))</f>
        <v>S</v>
      </c>
      <c r="AQ36" s="22" t="str">
        <f>INDEX(Cronograma!AP$5:AP$11,MATCH($B36,Premissas!$A$39:$A$45,0))</f>
        <v/>
      </c>
      <c r="AR36" s="22" t="str">
        <f>INDEX(Cronograma!AQ$5:AQ$11,MATCH($B36,Premissas!$A$39:$A$45,0))</f>
        <v/>
      </c>
      <c r="AS36" s="22" t="str">
        <f>INDEX(Cronograma!AR$5:AR$11,MATCH($B36,Premissas!$A$39:$A$45,0))</f>
        <v/>
      </c>
      <c r="AT36" s="22" t="str">
        <f>INDEX(Cronograma!AS$5:AS$11,MATCH($B36,Premissas!$A$39:$A$45,0))</f>
        <v/>
      </c>
      <c r="AU36" s="22" t="str">
        <f>INDEX(Cronograma!AT$5:AT$11,MATCH($B36,Premissas!$A$39:$A$45,0))</f>
        <v/>
      </c>
      <c r="AV36" s="22" t="str">
        <f>INDEX(Cronograma!AU$5:AU$11,MATCH($B36,Premissas!$A$39:$A$45,0))</f>
        <v/>
      </c>
      <c r="AW36" s="22" t="str">
        <f>INDEX(Cronograma!AV$5:AV$11,MATCH($B36,Premissas!$A$39:$A$45,0))</f>
        <v/>
      </c>
      <c r="AX36" s="22" t="str">
        <f>INDEX(Cronograma!AW$5:AW$11,MATCH($B36,Premissas!$A$39:$A$45,0))</f>
        <v/>
      </c>
      <c r="AY36" s="22" t="str">
        <f>INDEX(Cronograma!AX$5:AX$11,MATCH($B36,Premissas!$A$39:$A$45,0))</f>
        <v/>
      </c>
      <c r="AZ36" s="22" t="str">
        <f>INDEX(Cronograma!AY$5:AY$11,MATCH($B36,Premissas!$A$39:$A$45,0))</f>
        <v/>
      </c>
      <c r="BA36" s="22" t="str">
        <f>INDEX(Cronograma!AZ$5:AZ$11,MATCH($B36,Premissas!$A$39:$A$45,0))</f>
        <v/>
      </c>
      <c r="BB36" s="22" t="str">
        <f>INDEX(Cronograma!BA$5:BA$11,MATCH($B36,Premissas!$A$39:$A$45,0))</f>
        <v/>
      </c>
    </row>
    <row r="37" spans="1:54" ht="15" customHeight="1" x14ac:dyDescent="0.4">
      <c r="A37" s="15" t="str">
        <f>Frota!$B37&amp;" — "&amp;Frota!$A37</f>
        <v>MB 1719-Atego — 101125</v>
      </c>
      <c r="B37" s="16" t="str">
        <f>Frota!$C37</f>
        <v>Caminhão</v>
      </c>
      <c r="C37" s="22" t="str">
        <f>INDEX(Cronograma!B$5:B$11,MATCH($B37,Premissas!$A$39:$A$45,0))</f>
        <v/>
      </c>
      <c r="D37" s="22" t="str">
        <f>INDEX(Cronograma!C$5:C$11,MATCH($B37,Premissas!$A$39:$A$45,0))</f>
        <v/>
      </c>
      <c r="E37" s="22" t="str">
        <f>INDEX(Cronograma!D$5:D$11,MATCH($B37,Premissas!$A$39:$A$45,0))</f>
        <v/>
      </c>
      <c r="F37" s="22" t="str">
        <f>INDEX(Cronograma!E$5:E$11,MATCH($B37,Premissas!$A$39:$A$45,0))</f>
        <v/>
      </c>
      <c r="G37" s="22" t="str">
        <f>INDEX(Cronograma!F$5:F$11,MATCH($B37,Premissas!$A$39:$A$45,0))</f>
        <v/>
      </c>
      <c r="H37" s="22" t="str">
        <f>INDEX(Cronograma!G$5:G$11,MATCH($B37,Premissas!$A$39:$A$45,0))</f>
        <v/>
      </c>
      <c r="I37" s="22" t="str">
        <f>INDEX(Cronograma!H$5:H$11,MATCH($B37,Premissas!$A$39:$A$45,0))</f>
        <v>S</v>
      </c>
      <c r="J37" s="22" t="str">
        <f>INDEX(Cronograma!I$5:I$11,MATCH($B37,Premissas!$A$39:$A$45,0))</f>
        <v/>
      </c>
      <c r="K37" s="22" t="str">
        <f>INDEX(Cronograma!J$5:J$11,MATCH($B37,Premissas!$A$39:$A$45,0))</f>
        <v/>
      </c>
      <c r="L37" s="22" t="str">
        <f>INDEX(Cronograma!K$5:K$11,MATCH($B37,Premissas!$A$39:$A$45,0))</f>
        <v/>
      </c>
      <c r="M37" s="22" t="str">
        <f>INDEX(Cronograma!L$5:L$11,MATCH($B37,Premissas!$A$39:$A$45,0))</f>
        <v/>
      </c>
      <c r="N37" s="22" t="str">
        <f>INDEX(Cronograma!M$5:M$11,MATCH($B37,Premissas!$A$39:$A$45,0))</f>
        <v/>
      </c>
      <c r="O37" s="22" t="str">
        <f>INDEX(Cronograma!N$5:N$11,MATCH($B37,Premissas!$A$39:$A$45,0))</f>
        <v/>
      </c>
      <c r="P37" s="22" t="str">
        <f>INDEX(Cronograma!O$5:O$11,MATCH($B37,Premissas!$A$39:$A$45,0))</f>
        <v>A</v>
      </c>
      <c r="Q37" s="22" t="str">
        <f>INDEX(Cronograma!P$5:P$11,MATCH($B37,Premissas!$A$39:$A$45,0))</f>
        <v/>
      </c>
      <c r="R37" s="22" t="str">
        <f>INDEX(Cronograma!Q$5:Q$11,MATCH($B37,Premissas!$A$39:$A$45,0))</f>
        <v/>
      </c>
      <c r="S37" s="22" t="str">
        <f>INDEX(Cronograma!R$5:R$11,MATCH($B37,Premissas!$A$39:$A$45,0))</f>
        <v/>
      </c>
      <c r="T37" s="22" t="str">
        <f>INDEX(Cronograma!S$5:S$11,MATCH($B37,Premissas!$A$39:$A$45,0))</f>
        <v/>
      </c>
      <c r="U37" s="22" t="str">
        <f>INDEX(Cronograma!T$5:T$11,MATCH($B37,Premissas!$A$39:$A$45,0))</f>
        <v/>
      </c>
      <c r="V37" s="22" t="str">
        <f>INDEX(Cronograma!U$5:U$11,MATCH($B37,Premissas!$A$39:$A$45,0))</f>
        <v>S</v>
      </c>
      <c r="W37" s="22" t="str">
        <f>INDEX(Cronograma!V$5:V$11,MATCH($B37,Premissas!$A$39:$A$45,0))</f>
        <v/>
      </c>
      <c r="X37" s="22" t="str">
        <f>INDEX(Cronograma!W$5:W$11,MATCH($B37,Premissas!$A$39:$A$45,0))</f>
        <v/>
      </c>
      <c r="Y37" s="22" t="str">
        <f>INDEX(Cronograma!X$5:X$11,MATCH($B37,Premissas!$A$39:$A$45,0))</f>
        <v/>
      </c>
      <c r="Z37" s="22" t="str">
        <f>INDEX(Cronograma!Y$5:Y$11,MATCH($B37,Premissas!$A$39:$A$45,0))</f>
        <v/>
      </c>
      <c r="AA37" s="22" t="str">
        <f>INDEX(Cronograma!Z$5:Z$11,MATCH($B37,Premissas!$A$39:$A$45,0))</f>
        <v/>
      </c>
      <c r="AB37" s="22" t="str">
        <f>INDEX(Cronograma!AA$5:AA$11,MATCH($B37,Premissas!$A$39:$A$45,0))</f>
        <v/>
      </c>
      <c r="AC37" s="22" t="str">
        <f>INDEX(Cronograma!AB$5:AB$11,MATCH($B37,Premissas!$A$39:$A$45,0))</f>
        <v>B</v>
      </c>
      <c r="AD37" s="22" t="str">
        <f>INDEX(Cronograma!AC$5:AC$11,MATCH($B37,Premissas!$A$39:$A$45,0))</f>
        <v/>
      </c>
      <c r="AE37" s="22" t="str">
        <f>INDEX(Cronograma!AD$5:AD$11,MATCH($B37,Premissas!$A$39:$A$45,0))</f>
        <v/>
      </c>
      <c r="AF37" s="22" t="str">
        <f>INDEX(Cronograma!AE$5:AE$11,MATCH($B37,Premissas!$A$39:$A$45,0))</f>
        <v/>
      </c>
      <c r="AG37" s="22" t="str">
        <f>INDEX(Cronograma!AF$5:AF$11,MATCH($B37,Premissas!$A$39:$A$45,0))</f>
        <v/>
      </c>
      <c r="AH37" s="22" t="str">
        <f>INDEX(Cronograma!AG$5:AG$11,MATCH($B37,Premissas!$A$39:$A$45,0))</f>
        <v/>
      </c>
      <c r="AI37" s="22" t="str">
        <f>INDEX(Cronograma!AH$5:AH$11,MATCH($B37,Premissas!$A$39:$A$45,0))</f>
        <v/>
      </c>
      <c r="AJ37" s="22" t="str">
        <f>INDEX(Cronograma!AI$5:AI$11,MATCH($B37,Premissas!$A$39:$A$45,0))</f>
        <v/>
      </c>
      <c r="AK37" s="22" t="str">
        <f>INDEX(Cronograma!AJ$5:AJ$11,MATCH($B37,Premissas!$A$39:$A$45,0))</f>
        <v/>
      </c>
      <c r="AL37" s="22" t="str">
        <f>INDEX(Cronograma!AK$5:AK$11,MATCH($B37,Premissas!$A$39:$A$45,0))</f>
        <v/>
      </c>
      <c r="AM37" s="22" t="str">
        <f>INDEX(Cronograma!AL$5:AL$11,MATCH($B37,Premissas!$A$39:$A$45,0))</f>
        <v/>
      </c>
      <c r="AN37" s="22" t="str">
        <f>INDEX(Cronograma!AM$5:AM$11,MATCH($B37,Premissas!$A$39:$A$45,0))</f>
        <v/>
      </c>
      <c r="AO37" s="22" t="str">
        <f>INDEX(Cronograma!AN$5:AN$11,MATCH($B37,Premissas!$A$39:$A$45,0))</f>
        <v/>
      </c>
      <c r="AP37" s="22" t="str">
        <f>INDEX(Cronograma!AO$5:AO$11,MATCH($B37,Premissas!$A$39:$A$45,0))</f>
        <v>S</v>
      </c>
      <c r="AQ37" s="22" t="str">
        <f>INDEX(Cronograma!AP$5:AP$11,MATCH($B37,Premissas!$A$39:$A$45,0))</f>
        <v/>
      </c>
      <c r="AR37" s="22" t="str">
        <f>INDEX(Cronograma!AQ$5:AQ$11,MATCH($B37,Premissas!$A$39:$A$45,0))</f>
        <v/>
      </c>
      <c r="AS37" s="22" t="str">
        <f>INDEX(Cronograma!AR$5:AR$11,MATCH($B37,Premissas!$A$39:$A$45,0))</f>
        <v/>
      </c>
      <c r="AT37" s="22" t="str">
        <f>INDEX(Cronograma!AS$5:AS$11,MATCH($B37,Premissas!$A$39:$A$45,0))</f>
        <v/>
      </c>
      <c r="AU37" s="22" t="str">
        <f>INDEX(Cronograma!AT$5:AT$11,MATCH($B37,Premissas!$A$39:$A$45,0))</f>
        <v/>
      </c>
      <c r="AV37" s="22" t="str">
        <f>INDEX(Cronograma!AU$5:AU$11,MATCH($B37,Premissas!$A$39:$A$45,0))</f>
        <v/>
      </c>
      <c r="AW37" s="22" t="str">
        <f>INDEX(Cronograma!AV$5:AV$11,MATCH($B37,Premissas!$A$39:$A$45,0))</f>
        <v/>
      </c>
      <c r="AX37" s="22" t="str">
        <f>INDEX(Cronograma!AW$5:AW$11,MATCH($B37,Premissas!$A$39:$A$45,0))</f>
        <v/>
      </c>
      <c r="AY37" s="22" t="str">
        <f>INDEX(Cronograma!AX$5:AX$11,MATCH($B37,Premissas!$A$39:$A$45,0))</f>
        <v/>
      </c>
      <c r="AZ37" s="22" t="str">
        <f>INDEX(Cronograma!AY$5:AY$11,MATCH($B37,Premissas!$A$39:$A$45,0))</f>
        <v/>
      </c>
      <c r="BA37" s="22" t="str">
        <f>INDEX(Cronograma!AZ$5:AZ$11,MATCH($B37,Premissas!$A$39:$A$45,0))</f>
        <v/>
      </c>
      <c r="BB37" s="22" t="str">
        <f>INDEX(Cronograma!BA$5:BA$11,MATCH($B37,Premissas!$A$39:$A$45,0))</f>
        <v/>
      </c>
    </row>
    <row r="38" spans="1:54" ht="15" customHeight="1" x14ac:dyDescent="0.4">
      <c r="A38" s="15" t="str">
        <f>Frota!$B38&amp;" — "&amp;Frota!$A38</f>
        <v>MB 1719-Atego — 101126</v>
      </c>
      <c r="B38" s="16" t="str">
        <f>Frota!$C38</f>
        <v>Caminhão</v>
      </c>
      <c r="C38" s="22" t="str">
        <f>INDEX(Cronograma!B$5:B$11,MATCH($B38,Premissas!$A$39:$A$45,0))</f>
        <v/>
      </c>
      <c r="D38" s="22" t="str">
        <f>INDEX(Cronograma!C$5:C$11,MATCH($B38,Premissas!$A$39:$A$45,0))</f>
        <v/>
      </c>
      <c r="E38" s="22" t="str">
        <f>INDEX(Cronograma!D$5:D$11,MATCH($B38,Premissas!$A$39:$A$45,0))</f>
        <v/>
      </c>
      <c r="F38" s="22" t="str">
        <f>INDEX(Cronograma!E$5:E$11,MATCH($B38,Premissas!$A$39:$A$45,0))</f>
        <v/>
      </c>
      <c r="G38" s="22" t="str">
        <f>INDEX(Cronograma!F$5:F$11,MATCH($B38,Premissas!$A$39:$A$45,0))</f>
        <v/>
      </c>
      <c r="H38" s="22" t="str">
        <f>INDEX(Cronograma!G$5:G$11,MATCH($B38,Premissas!$A$39:$A$45,0))</f>
        <v/>
      </c>
      <c r="I38" s="22" t="str">
        <f>INDEX(Cronograma!H$5:H$11,MATCH($B38,Premissas!$A$39:$A$45,0))</f>
        <v>S</v>
      </c>
      <c r="J38" s="22" t="str">
        <f>INDEX(Cronograma!I$5:I$11,MATCH($B38,Premissas!$A$39:$A$45,0))</f>
        <v/>
      </c>
      <c r="K38" s="22" t="str">
        <f>INDEX(Cronograma!J$5:J$11,MATCH($B38,Premissas!$A$39:$A$45,0))</f>
        <v/>
      </c>
      <c r="L38" s="22" t="str">
        <f>INDEX(Cronograma!K$5:K$11,MATCH($B38,Premissas!$A$39:$A$45,0))</f>
        <v/>
      </c>
      <c r="M38" s="22" t="str">
        <f>INDEX(Cronograma!L$5:L$11,MATCH($B38,Premissas!$A$39:$A$45,0))</f>
        <v/>
      </c>
      <c r="N38" s="22" t="str">
        <f>INDEX(Cronograma!M$5:M$11,MATCH($B38,Premissas!$A$39:$A$45,0))</f>
        <v/>
      </c>
      <c r="O38" s="22" t="str">
        <f>INDEX(Cronograma!N$5:N$11,MATCH($B38,Premissas!$A$39:$A$45,0))</f>
        <v/>
      </c>
      <c r="P38" s="22" t="str">
        <f>INDEX(Cronograma!O$5:O$11,MATCH($B38,Premissas!$A$39:$A$45,0))</f>
        <v>A</v>
      </c>
      <c r="Q38" s="22" t="str">
        <f>INDEX(Cronograma!P$5:P$11,MATCH($B38,Premissas!$A$39:$A$45,0))</f>
        <v/>
      </c>
      <c r="R38" s="22" t="str">
        <f>INDEX(Cronograma!Q$5:Q$11,MATCH($B38,Premissas!$A$39:$A$45,0))</f>
        <v/>
      </c>
      <c r="S38" s="22" t="str">
        <f>INDEX(Cronograma!R$5:R$11,MATCH($B38,Premissas!$A$39:$A$45,0))</f>
        <v/>
      </c>
      <c r="T38" s="22" t="str">
        <f>INDEX(Cronograma!S$5:S$11,MATCH($B38,Premissas!$A$39:$A$45,0))</f>
        <v/>
      </c>
      <c r="U38" s="22" t="str">
        <f>INDEX(Cronograma!T$5:T$11,MATCH($B38,Premissas!$A$39:$A$45,0))</f>
        <v/>
      </c>
      <c r="V38" s="22" t="str">
        <f>INDEX(Cronograma!U$5:U$11,MATCH($B38,Premissas!$A$39:$A$45,0))</f>
        <v>S</v>
      </c>
      <c r="W38" s="22" t="str">
        <f>INDEX(Cronograma!V$5:V$11,MATCH($B38,Premissas!$A$39:$A$45,0))</f>
        <v/>
      </c>
      <c r="X38" s="22" t="str">
        <f>INDEX(Cronograma!W$5:W$11,MATCH($B38,Premissas!$A$39:$A$45,0))</f>
        <v/>
      </c>
      <c r="Y38" s="22" t="str">
        <f>INDEX(Cronograma!X$5:X$11,MATCH($B38,Premissas!$A$39:$A$45,0))</f>
        <v/>
      </c>
      <c r="Z38" s="22" t="str">
        <f>INDEX(Cronograma!Y$5:Y$11,MATCH($B38,Premissas!$A$39:$A$45,0))</f>
        <v/>
      </c>
      <c r="AA38" s="22" t="str">
        <f>INDEX(Cronograma!Z$5:Z$11,MATCH($B38,Premissas!$A$39:$A$45,0))</f>
        <v/>
      </c>
      <c r="AB38" s="22" t="str">
        <f>INDEX(Cronograma!AA$5:AA$11,MATCH($B38,Premissas!$A$39:$A$45,0))</f>
        <v/>
      </c>
      <c r="AC38" s="22" t="str">
        <f>INDEX(Cronograma!AB$5:AB$11,MATCH($B38,Premissas!$A$39:$A$45,0))</f>
        <v>B</v>
      </c>
      <c r="AD38" s="22" t="str">
        <f>INDEX(Cronograma!AC$5:AC$11,MATCH($B38,Premissas!$A$39:$A$45,0))</f>
        <v/>
      </c>
      <c r="AE38" s="22" t="str">
        <f>INDEX(Cronograma!AD$5:AD$11,MATCH($B38,Premissas!$A$39:$A$45,0))</f>
        <v/>
      </c>
      <c r="AF38" s="22" t="str">
        <f>INDEX(Cronograma!AE$5:AE$11,MATCH($B38,Premissas!$A$39:$A$45,0))</f>
        <v/>
      </c>
      <c r="AG38" s="22" t="str">
        <f>INDEX(Cronograma!AF$5:AF$11,MATCH($B38,Premissas!$A$39:$A$45,0))</f>
        <v/>
      </c>
      <c r="AH38" s="22" t="str">
        <f>INDEX(Cronograma!AG$5:AG$11,MATCH($B38,Premissas!$A$39:$A$45,0))</f>
        <v/>
      </c>
      <c r="AI38" s="22" t="str">
        <f>INDEX(Cronograma!AH$5:AH$11,MATCH($B38,Premissas!$A$39:$A$45,0))</f>
        <v/>
      </c>
      <c r="AJ38" s="22" t="str">
        <f>INDEX(Cronograma!AI$5:AI$11,MATCH($B38,Premissas!$A$39:$A$45,0))</f>
        <v/>
      </c>
      <c r="AK38" s="22" t="str">
        <f>INDEX(Cronograma!AJ$5:AJ$11,MATCH($B38,Premissas!$A$39:$A$45,0))</f>
        <v/>
      </c>
      <c r="AL38" s="22" t="str">
        <f>INDEX(Cronograma!AK$5:AK$11,MATCH($B38,Premissas!$A$39:$A$45,0))</f>
        <v/>
      </c>
      <c r="AM38" s="22" t="str">
        <f>INDEX(Cronograma!AL$5:AL$11,MATCH($B38,Premissas!$A$39:$A$45,0))</f>
        <v/>
      </c>
      <c r="AN38" s="22" t="str">
        <f>INDEX(Cronograma!AM$5:AM$11,MATCH($B38,Premissas!$A$39:$A$45,0))</f>
        <v/>
      </c>
      <c r="AO38" s="22" t="str">
        <f>INDEX(Cronograma!AN$5:AN$11,MATCH($B38,Premissas!$A$39:$A$45,0))</f>
        <v/>
      </c>
      <c r="AP38" s="22" t="str">
        <f>INDEX(Cronograma!AO$5:AO$11,MATCH($B38,Premissas!$A$39:$A$45,0))</f>
        <v>S</v>
      </c>
      <c r="AQ38" s="22" t="str">
        <f>INDEX(Cronograma!AP$5:AP$11,MATCH($B38,Premissas!$A$39:$A$45,0))</f>
        <v/>
      </c>
      <c r="AR38" s="22" t="str">
        <f>INDEX(Cronograma!AQ$5:AQ$11,MATCH($B38,Premissas!$A$39:$A$45,0))</f>
        <v/>
      </c>
      <c r="AS38" s="22" t="str">
        <f>INDEX(Cronograma!AR$5:AR$11,MATCH($B38,Premissas!$A$39:$A$45,0))</f>
        <v/>
      </c>
      <c r="AT38" s="22" t="str">
        <f>INDEX(Cronograma!AS$5:AS$11,MATCH($B38,Premissas!$A$39:$A$45,0))</f>
        <v/>
      </c>
      <c r="AU38" s="22" t="str">
        <f>INDEX(Cronograma!AT$5:AT$11,MATCH($B38,Premissas!$A$39:$A$45,0))</f>
        <v/>
      </c>
      <c r="AV38" s="22" t="str">
        <f>INDEX(Cronograma!AU$5:AU$11,MATCH($B38,Premissas!$A$39:$A$45,0))</f>
        <v/>
      </c>
      <c r="AW38" s="22" t="str">
        <f>INDEX(Cronograma!AV$5:AV$11,MATCH($B38,Premissas!$A$39:$A$45,0))</f>
        <v/>
      </c>
      <c r="AX38" s="22" t="str">
        <f>INDEX(Cronograma!AW$5:AW$11,MATCH($B38,Premissas!$A$39:$A$45,0))</f>
        <v/>
      </c>
      <c r="AY38" s="22" t="str">
        <f>INDEX(Cronograma!AX$5:AX$11,MATCH($B38,Premissas!$A$39:$A$45,0))</f>
        <v/>
      </c>
      <c r="AZ38" s="22" t="str">
        <f>INDEX(Cronograma!AY$5:AY$11,MATCH($B38,Premissas!$A$39:$A$45,0))</f>
        <v/>
      </c>
      <c r="BA38" s="22" t="str">
        <f>INDEX(Cronograma!AZ$5:AZ$11,MATCH($B38,Premissas!$A$39:$A$45,0))</f>
        <v/>
      </c>
      <c r="BB38" s="22" t="str">
        <f>INDEX(Cronograma!BA$5:BA$11,MATCH($B38,Premissas!$A$39:$A$45,0))</f>
        <v/>
      </c>
    </row>
    <row r="39" spans="1:54" ht="15" customHeight="1" x14ac:dyDescent="0.4">
      <c r="A39" s="15" t="str">
        <f>Frota!$B39&amp;" — "&amp;Frota!$A39</f>
        <v>MB 1719-Atego — 101127</v>
      </c>
      <c r="B39" s="16" t="str">
        <f>Frota!$C39</f>
        <v>Caminhão</v>
      </c>
      <c r="C39" s="22" t="str">
        <f>INDEX(Cronograma!B$5:B$11,MATCH($B39,Premissas!$A$39:$A$45,0))</f>
        <v/>
      </c>
      <c r="D39" s="22" t="str">
        <f>INDEX(Cronograma!C$5:C$11,MATCH($B39,Premissas!$A$39:$A$45,0))</f>
        <v/>
      </c>
      <c r="E39" s="22" t="str">
        <f>INDEX(Cronograma!D$5:D$11,MATCH($B39,Premissas!$A$39:$A$45,0))</f>
        <v/>
      </c>
      <c r="F39" s="22" t="str">
        <f>INDEX(Cronograma!E$5:E$11,MATCH($B39,Premissas!$A$39:$A$45,0))</f>
        <v/>
      </c>
      <c r="G39" s="22" t="str">
        <f>INDEX(Cronograma!F$5:F$11,MATCH($B39,Premissas!$A$39:$A$45,0))</f>
        <v/>
      </c>
      <c r="H39" s="22" t="str">
        <f>INDEX(Cronograma!G$5:G$11,MATCH($B39,Premissas!$A$39:$A$45,0))</f>
        <v/>
      </c>
      <c r="I39" s="22" t="str">
        <f>INDEX(Cronograma!H$5:H$11,MATCH($B39,Premissas!$A$39:$A$45,0))</f>
        <v>S</v>
      </c>
      <c r="J39" s="22" t="str">
        <f>INDEX(Cronograma!I$5:I$11,MATCH($B39,Premissas!$A$39:$A$45,0))</f>
        <v/>
      </c>
      <c r="K39" s="22" t="str">
        <f>INDEX(Cronograma!J$5:J$11,MATCH($B39,Premissas!$A$39:$A$45,0))</f>
        <v/>
      </c>
      <c r="L39" s="22" t="str">
        <f>INDEX(Cronograma!K$5:K$11,MATCH($B39,Premissas!$A$39:$A$45,0))</f>
        <v/>
      </c>
      <c r="M39" s="22" t="str">
        <f>INDEX(Cronograma!L$5:L$11,MATCH($B39,Premissas!$A$39:$A$45,0))</f>
        <v/>
      </c>
      <c r="N39" s="22" t="str">
        <f>INDEX(Cronograma!M$5:M$11,MATCH($B39,Premissas!$A$39:$A$45,0))</f>
        <v/>
      </c>
      <c r="O39" s="22" t="str">
        <f>INDEX(Cronograma!N$5:N$11,MATCH($B39,Premissas!$A$39:$A$45,0))</f>
        <v/>
      </c>
      <c r="P39" s="22" t="str">
        <f>INDEX(Cronograma!O$5:O$11,MATCH($B39,Premissas!$A$39:$A$45,0))</f>
        <v>A</v>
      </c>
      <c r="Q39" s="22" t="str">
        <f>INDEX(Cronograma!P$5:P$11,MATCH($B39,Premissas!$A$39:$A$45,0))</f>
        <v/>
      </c>
      <c r="R39" s="22" t="str">
        <f>INDEX(Cronograma!Q$5:Q$11,MATCH($B39,Premissas!$A$39:$A$45,0))</f>
        <v/>
      </c>
      <c r="S39" s="22" t="str">
        <f>INDEX(Cronograma!R$5:R$11,MATCH($B39,Premissas!$A$39:$A$45,0))</f>
        <v/>
      </c>
      <c r="T39" s="22" t="str">
        <f>INDEX(Cronograma!S$5:S$11,MATCH($B39,Premissas!$A$39:$A$45,0))</f>
        <v/>
      </c>
      <c r="U39" s="22" t="str">
        <f>INDEX(Cronograma!T$5:T$11,MATCH($B39,Premissas!$A$39:$A$45,0))</f>
        <v/>
      </c>
      <c r="V39" s="22" t="str">
        <f>INDEX(Cronograma!U$5:U$11,MATCH($B39,Premissas!$A$39:$A$45,0))</f>
        <v>S</v>
      </c>
      <c r="W39" s="22" t="str">
        <f>INDEX(Cronograma!V$5:V$11,MATCH($B39,Premissas!$A$39:$A$45,0))</f>
        <v/>
      </c>
      <c r="X39" s="22" t="str">
        <f>INDEX(Cronograma!W$5:W$11,MATCH($B39,Premissas!$A$39:$A$45,0))</f>
        <v/>
      </c>
      <c r="Y39" s="22" t="str">
        <f>INDEX(Cronograma!X$5:X$11,MATCH($B39,Premissas!$A$39:$A$45,0))</f>
        <v/>
      </c>
      <c r="Z39" s="22" t="str">
        <f>INDEX(Cronograma!Y$5:Y$11,MATCH($B39,Premissas!$A$39:$A$45,0))</f>
        <v/>
      </c>
      <c r="AA39" s="22" t="str">
        <f>INDEX(Cronograma!Z$5:Z$11,MATCH($B39,Premissas!$A$39:$A$45,0))</f>
        <v/>
      </c>
      <c r="AB39" s="22" t="str">
        <f>INDEX(Cronograma!AA$5:AA$11,MATCH($B39,Premissas!$A$39:$A$45,0))</f>
        <v/>
      </c>
      <c r="AC39" s="22" t="str">
        <f>INDEX(Cronograma!AB$5:AB$11,MATCH($B39,Premissas!$A$39:$A$45,0))</f>
        <v>B</v>
      </c>
      <c r="AD39" s="22" t="str">
        <f>INDEX(Cronograma!AC$5:AC$11,MATCH($B39,Premissas!$A$39:$A$45,0))</f>
        <v/>
      </c>
      <c r="AE39" s="22" t="str">
        <f>INDEX(Cronograma!AD$5:AD$11,MATCH($B39,Premissas!$A$39:$A$45,0))</f>
        <v/>
      </c>
      <c r="AF39" s="22" t="str">
        <f>INDEX(Cronograma!AE$5:AE$11,MATCH($B39,Premissas!$A$39:$A$45,0))</f>
        <v/>
      </c>
      <c r="AG39" s="22" t="str">
        <f>INDEX(Cronograma!AF$5:AF$11,MATCH($B39,Premissas!$A$39:$A$45,0))</f>
        <v/>
      </c>
      <c r="AH39" s="22" t="str">
        <f>INDEX(Cronograma!AG$5:AG$11,MATCH($B39,Premissas!$A$39:$A$45,0))</f>
        <v/>
      </c>
      <c r="AI39" s="22" t="str">
        <f>INDEX(Cronograma!AH$5:AH$11,MATCH($B39,Premissas!$A$39:$A$45,0))</f>
        <v/>
      </c>
      <c r="AJ39" s="22" t="str">
        <f>INDEX(Cronograma!AI$5:AI$11,MATCH($B39,Premissas!$A$39:$A$45,0))</f>
        <v/>
      </c>
      <c r="AK39" s="22" t="str">
        <f>INDEX(Cronograma!AJ$5:AJ$11,MATCH($B39,Premissas!$A$39:$A$45,0))</f>
        <v/>
      </c>
      <c r="AL39" s="22" t="str">
        <f>INDEX(Cronograma!AK$5:AK$11,MATCH($B39,Premissas!$A$39:$A$45,0))</f>
        <v/>
      </c>
      <c r="AM39" s="22" t="str">
        <f>INDEX(Cronograma!AL$5:AL$11,MATCH($B39,Premissas!$A$39:$A$45,0))</f>
        <v/>
      </c>
      <c r="AN39" s="22" t="str">
        <f>INDEX(Cronograma!AM$5:AM$11,MATCH($B39,Premissas!$A$39:$A$45,0))</f>
        <v/>
      </c>
      <c r="AO39" s="22" t="str">
        <f>INDEX(Cronograma!AN$5:AN$11,MATCH($B39,Premissas!$A$39:$A$45,0))</f>
        <v/>
      </c>
      <c r="AP39" s="22" t="str">
        <f>INDEX(Cronograma!AO$5:AO$11,MATCH($B39,Premissas!$A$39:$A$45,0))</f>
        <v>S</v>
      </c>
      <c r="AQ39" s="22" t="str">
        <f>INDEX(Cronograma!AP$5:AP$11,MATCH($B39,Premissas!$A$39:$A$45,0))</f>
        <v/>
      </c>
      <c r="AR39" s="22" t="str">
        <f>INDEX(Cronograma!AQ$5:AQ$11,MATCH($B39,Premissas!$A$39:$A$45,0))</f>
        <v/>
      </c>
      <c r="AS39" s="22" t="str">
        <f>INDEX(Cronograma!AR$5:AR$11,MATCH($B39,Premissas!$A$39:$A$45,0))</f>
        <v/>
      </c>
      <c r="AT39" s="22" t="str">
        <f>INDEX(Cronograma!AS$5:AS$11,MATCH($B39,Premissas!$A$39:$A$45,0))</f>
        <v/>
      </c>
      <c r="AU39" s="22" t="str">
        <f>INDEX(Cronograma!AT$5:AT$11,MATCH($B39,Premissas!$A$39:$A$45,0))</f>
        <v/>
      </c>
      <c r="AV39" s="22" t="str">
        <f>INDEX(Cronograma!AU$5:AU$11,MATCH($B39,Premissas!$A$39:$A$45,0))</f>
        <v/>
      </c>
      <c r="AW39" s="22" t="str">
        <f>INDEX(Cronograma!AV$5:AV$11,MATCH($B39,Premissas!$A$39:$A$45,0))</f>
        <v/>
      </c>
      <c r="AX39" s="22" t="str">
        <f>INDEX(Cronograma!AW$5:AW$11,MATCH($B39,Premissas!$A$39:$A$45,0))</f>
        <v/>
      </c>
      <c r="AY39" s="22" t="str">
        <f>INDEX(Cronograma!AX$5:AX$11,MATCH($B39,Premissas!$A$39:$A$45,0))</f>
        <v/>
      </c>
      <c r="AZ39" s="22" t="str">
        <f>INDEX(Cronograma!AY$5:AY$11,MATCH($B39,Premissas!$A$39:$A$45,0))</f>
        <v/>
      </c>
      <c r="BA39" s="22" t="str">
        <f>INDEX(Cronograma!AZ$5:AZ$11,MATCH($B39,Premissas!$A$39:$A$45,0))</f>
        <v/>
      </c>
      <c r="BB39" s="22" t="str">
        <f>INDEX(Cronograma!BA$5:BA$11,MATCH($B39,Premissas!$A$39:$A$45,0))</f>
        <v/>
      </c>
    </row>
    <row r="40" spans="1:54" ht="15" customHeight="1" x14ac:dyDescent="0.4">
      <c r="A40" s="15" t="str">
        <f>Frota!$B40&amp;" — "&amp;Frota!$A40</f>
        <v>MB 1719-Atego — 101128</v>
      </c>
      <c r="B40" s="16" t="str">
        <f>Frota!$C40</f>
        <v>Caminhão</v>
      </c>
      <c r="C40" s="22" t="str">
        <f>INDEX(Cronograma!B$5:B$11,MATCH($B40,Premissas!$A$39:$A$45,0))</f>
        <v/>
      </c>
      <c r="D40" s="22" t="str">
        <f>INDEX(Cronograma!C$5:C$11,MATCH($B40,Premissas!$A$39:$A$45,0))</f>
        <v/>
      </c>
      <c r="E40" s="22" t="str">
        <f>INDEX(Cronograma!D$5:D$11,MATCH($B40,Premissas!$A$39:$A$45,0))</f>
        <v/>
      </c>
      <c r="F40" s="22" t="str">
        <f>INDEX(Cronograma!E$5:E$11,MATCH($B40,Premissas!$A$39:$A$45,0))</f>
        <v/>
      </c>
      <c r="G40" s="22" t="str">
        <f>INDEX(Cronograma!F$5:F$11,MATCH($B40,Premissas!$A$39:$A$45,0))</f>
        <v/>
      </c>
      <c r="H40" s="22" t="str">
        <f>INDEX(Cronograma!G$5:G$11,MATCH($B40,Premissas!$A$39:$A$45,0))</f>
        <v/>
      </c>
      <c r="I40" s="22" t="str">
        <f>INDEX(Cronograma!H$5:H$11,MATCH($B40,Premissas!$A$39:$A$45,0))</f>
        <v>S</v>
      </c>
      <c r="J40" s="22" t="str">
        <f>INDEX(Cronograma!I$5:I$11,MATCH($B40,Premissas!$A$39:$A$45,0))</f>
        <v/>
      </c>
      <c r="K40" s="22" t="str">
        <f>INDEX(Cronograma!J$5:J$11,MATCH($B40,Premissas!$A$39:$A$45,0))</f>
        <v/>
      </c>
      <c r="L40" s="22" t="str">
        <f>INDEX(Cronograma!K$5:K$11,MATCH($B40,Premissas!$A$39:$A$45,0))</f>
        <v/>
      </c>
      <c r="M40" s="22" t="str">
        <f>INDEX(Cronograma!L$5:L$11,MATCH($B40,Premissas!$A$39:$A$45,0))</f>
        <v/>
      </c>
      <c r="N40" s="22" t="str">
        <f>INDEX(Cronograma!M$5:M$11,MATCH($B40,Premissas!$A$39:$A$45,0))</f>
        <v/>
      </c>
      <c r="O40" s="22" t="str">
        <f>INDEX(Cronograma!N$5:N$11,MATCH($B40,Premissas!$A$39:$A$45,0))</f>
        <v/>
      </c>
      <c r="P40" s="22" t="str">
        <f>INDEX(Cronograma!O$5:O$11,MATCH($B40,Premissas!$A$39:$A$45,0))</f>
        <v>A</v>
      </c>
      <c r="Q40" s="22" t="str">
        <f>INDEX(Cronograma!P$5:P$11,MATCH($B40,Premissas!$A$39:$A$45,0))</f>
        <v/>
      </c>
      <c r="R40" s="22" t="str">
        <f>INDEX(Cronograma!Q$5:Q$11,MATCH($B40,Premissas!$A$39:$A$45,0))</f>
        <v/>
      </c>
      <c r="S40" s="22" t="str">
        <f>INDEX(Cronograma!R$5:R$11,MATCH($B40,Premissas!$A$39:$A$45,0))</f>
        <v/>
      </c>
      <c r="T40" s="22" t="str">
        <f>INDEX(Cronograma!S$5:S$11,MATCH($B40,Premissas!$A$39:$A$45,0))</f>
        <v/>
      </c>
      <c r="U40" s="22" t="str">
        <f>INDEX(Cronograma!T$5:T$11,MATCH($B40,Premissas!$A$39:$A$45,0))</f>
        <v/>
      </c>
      <c r="V40" s="22" t="str">
        <f>INDEX(Cronograma!U$5:U$11,MATCH($B40,Premissas!$A$39:$A$45,0))</f>
        <v>S</v>
      </c>
      <c r="W40" s="22" t="str">
        <f>INDEX(Cronograma!V$5:V$11,MATCH($B40,Premissas!$A$39:$A$45,0))</f>
        <v/>
      </c>
      <c r="X40" s="22" t="str">
        <f>INDEX(Cronograma!W$5:W$11,MATCH($B40,Premissas!$A$39:$A$45,0))</f>
        <v/>
      </c>
      <c r="Y40" s="22" t="str">
        <f>INDEX(Cronograma!X$5:X$11,MATCH($B40,Premissas!$A$39:$A$45,0))</f>
        <v/>
      </c>
      <c r="Z40" s="22" t="str">
        <f>INDEX(Cronograma!Y$5:Y$11,MATCH($B40,Premissas!$A$39:$A$45,0))</f>
        <v/>
      </c>
      <c r="AA40" s="22" t="str">
        <f>INDEX(Cronograma!Z$5:Z$11,MATCH($B40,Premissas!$A$39:$A$45,0))</f>
        <v/>
      </c>
      <c r="AB40" s="22" t="str">
        <f>INDEX(Cronograma!AA$5:AA$11,MATCH($B40,Premissas!$A$39:$A$45,0))</f>
        <v/>
      </c>
      <c r="AC40" s="22" t="str">
        <f>INDEX(Cronograma!AB$5:AB$11,MATCH($B40,Premissas!$A$39:$A$45,0))</f>
        <v>B</v>
      </c>
      <c r="AD40" s="22" t="str">
        <f>INDEX(Cronograma!AC$5:AC$11,MATCH($B40,Premissas!$A$39:$A$45,0))</f>
        <v/>
      </c>
      <c r="AE40" s="22" t="str">
        <f>INDEX(Cronograma!AD$5:AD$11,MATCH($B40,Premissas!$A$39:$A$45,0))</f>
        <v/>
      </c>
      <c r="AF40" s="22" t="str">
        <f>INDEX(Cronograma!AE$5:AE$11,MATCH($B40,Premissas!$A$39:$A$45,0))</f>
        <v/>
      </c>
      <c r="AG40" s="22" t="str">
        <f>INDEX(Cronograma!AF$5:AF$11,MATCH($B40,Premissas!$A$39:$A$45,0))</f>
        <v/>
      </c>
      <c r="AH40" s="22" t="str">
        <f>INDEX(Cronograma!AG$5:AG$11,MATCH($B40,Premissas!$A$39:$A$45,0))</f>
        <v/>
      </c>
      <c r="AI40" s="22" t="str">
        <f>INDEX(Cronograma!AH$5:AH$11,MATCH($B40,Premissas!$A$39:$A$45,0))</f>
        <v/>
      </c>
      <c r="AJ40" s="22" t="str">
        <f>INDEX(Cronograma!AI$5:AI$11,MATCH($B40,Premissas!$A$39:$A$45,0))</f>
        <v/>
      </c>
      <c r="AK40" s="22" t="str">
        <f>INDEX(Cronograma!AJ$5:AJ$11,MATCH($B40,Premissas!$A$39:$A$45,0))</f>
        <v/>
      </c>
      <c r="AL40" s="22" t="str">
        <f>INDEX(Cronograma!AK$5:AK$11,MATCH($B40,Premissas!$A$39:$A$45,0))</f>
        <v/>
      </c>
      <c r="AM40" s="22" t="str">
        <f>INDEX(Cronograma!AL$5:AL$11,MATCH($B40,Premissas!$A$39:$A$45,0))</f>
        <v/>
      </c>
      <c r="AN40" s="22" t="str">
        <f>INDEX(Cronograma!AM$5:AM$11,MATCH($B40,Premissas!$A$39:$A$45,0))</f>
        <v/>
      </c>
      <c r="AO40" s="22" t="str">
        <f>INDEX(Cronograma!AN$5:AN$11,MATCH($B40,Premissas!$A$39:$A$45,0))</f>
        <v/>
      </c>
      <c r="AP40" s="22" t="str">
        <f>INDEX(Cronograma!AO$5:AO$11,MATCH($B40,Premissas!$A$39:$A$45,0))</f>
        <v>S</v>
      </c>
      <c r="AQ40" s="22" t="str">
        <f>INDEX(Cronograma!AP$5:AP$11,MATCH($B40,Premissas!$A$39:$A$45,0))</f>
        <v/>
      </c>
      <c r="AR40" s="22" t="str">
        <f>INDEX(Cronograma!AQ$5:AQ$11,MATCH($B40,Premissas!$A$39:$A$45,0))</f>
        <v/>
      </c>
      <c r="AS40" s="22" t="str">
        <f>INDEX(Cronograma!AR$5:AR$11,MATCH($B40,Premissas!$A$39:$A$45,0))</f>
        <v/>
      </c>
      <c r="AT40" s="22" t="str">
        <f>INDEX(Cronograma!AS$5:AS$11,MATCH($B40,Premissas!$A$39:$A$45,0))</f>
        <v/>
      </c>
      <c r="AU40" s="22" t="str">
        <f>INDEX(Cronograma!AT$5:AT$11,MATCH($B40,Premissas!$A$39:$A$45,0))</f>
        <v/>
      </c>
      <c r="AV40" s="22" t="str">
        <f>INDEX(Cronograma!AU$5:AU$11,MATCH($B40,Premissas!$A$39:$A$45,0))</f>
        <v/>
      </c>
      <c r="AW40" s="22" t="str">
        <f>INDEX(Cronograma!AV$5:AV$11,MATCH($B40,Premissas!$A$39:$A$45,0))</f>
        <v/>
      </c>
      <c r="AX40" s="22" t="str">
        <f>INDEX(Cronograma!AW$5:AW$11,MATCH($B40,Premissas!$A$39:$A$45,0))</f>
        <v/>
      </c>
      <c r="AY40" s="22" t="str">
        <f>INDEX(Cronograma!AX$5:AX$11,MATCH($B40,Premissas!$A$39:$A$45,0))</f>
        <v/>
      </c>
      <c r="AZ40" s="22" t="str">
        <f>INDEX(Cronograma!AY$5:AY$11,MATCH($B40,Premissas!$A$39:$A$45,0))</f>
        <v/>
      </c>
      <c r="BA40" s="22" t="str">
        <f>INDEX(Cronograma!AZ$5:AZ$11,MATCH($B40,Premissas!$A$39:$A$45,0))</f>
        <v/>
      </c>
      <c r="BB40" s="22" t="str">
        <f>INDEX(Cronograma!BA$5:BA$11,MATCH($B40,Premissas!$A$39:$A$45,0))</f>
        <v/>
      </c>
    </row>
    <row r="41" spans="1:54" ht="15" customHeight="1" x14ac:dyDescent="0.4">
      <c r="A41" s="15" t="str">
        <f>Frota!$B41&amp;" — "&amp;Frota!$A41</f>
        <v>MB 1719-Atego — 101129</v>
      </c>
      <c r="B41" s="16" t="str">
        <f>Frota!$C41</f>
        <v>Caminhão</v>
      </c>
      <c r="C41" s="22" t="str">
        <f>INDEX(Cronograma!B$5:B$11,MATCH($B41,Premissas!$A$39:$A$45,0))</f>
        <v/>
      </c>
      <c r="D41" s="22" t="str">
        <f>INDEX(Cronograma!C$5:C$11,MATCH($B41,Premissas!$A$39:$A$45,0))</f>
        <v/>
      </c>
      <c r="E41" s="22" t="str">
        <f>INDEX(Cronograma!D$5:D$11,MATCH($B41,Premissas!$A$39:$A$45,0))</f>
        <v/>
      </c>
      <c r="F41" s="22" t="str">
        <f>INDEX(Cronograma!E$5:E$11,MATCH($B41,Premissas!$A$39:$A$45,0))</f>
        <v/>
      </c>
      <c r="G41" s="22" t="str">
        <f>INDEX(Cronograma!F$5:F$11,MATCH($B41,Premissas!$A$39:$A$45,0))</f>
        <v/>
      </c>
      <c r="H41" s="22" t="str">
        <f>INDEX(Cronograma!G$5:G$11,MATCH($B41,Premissas!$A$39:$A$45,0))</f>
        <v/>
      </c>
      <c r="I41" s="22" t="str">
        <f>INDEX(Cronograma!H$5:H$11,MATCH($B41,Premissas!$A$39:$A$45,0))</f>
        <v>S</v>
      </c>
      <c r="J41" s="22" t="str">
        <f>INDEX(Cronograma!I$5:I$11,MATCH($B41,Premissas!$A$39:$A$45,0))</f>
        <v/>
      </c>
      <c r="K41" s="22" t="str">
        <f>INDEX(Cronograma!J$5:J$11,MATCH($B41,Premissas!$A$39:$A$45,0))</f>
        <v/>
      </c>
      <c r="L41" s="22" t="str">
        <f>INDEX(Cronograma!K$5:K$11,MATCH($B41,Premissas!$A$39:$A$45,0))</f>
        <v/>
      </c>
      <c r="M41" s="22" t="str">
        <f>INDEX(Cronograma!L$5:L$11,MATCH($B41,Premissas!$A$39:$A$45,0))</f>
        <v/>
      </c>
      <c r="N41" s="22" t="str">
        <f>INDEX(Cronograma!M$5:M$11,MATCH($B41,Premissas!$A$39:$A$45,0))</f>
        <v/>
      </c>
      <c r="O41" s="22" t="str">
        <f>INDEX(Cronograma!N$5:N$11,MATCH($B41,Premissas!$A$39:$A$45,0))</f>
        <v/>
      </c>
      <c r="P41" s="22" t="str">
        <f>INDEX(Cronograma!O$5:O$11,MATCH($B41,Premissas!$A$39:$A$45,0))</f>
        <v>A</v>
      </c>
      <c r="Q41" s="22" t="str">
        <f>INDEX(Cronograma!P$5:P$11,MATCH($B41,Premissas!$A$39:$A$45,0))</f>
        <v/>
      </c>
      <c r="R41" s="22" t="str">
        <f>INDEX(Cronograma!Q$5:Q$11,MATCH($B41,Premissas!$A$39:$A$45,0))</f>
        <v/>
      </c>
      <c r="S41" s="22" t="str">
        <f>INDEX(Cronograma!R$5:R$11,MATCH($B41,Premissas!$A$39:$A$45,0))</f>
        <v/>
      </c>
      <c r="T41" s="22" t="str">
        <f>INDEX(Cronograma!S$5:S$11,MATCH($B41,Premissas!$A$39:$A$45,0))</f>
        <v/>
      </c>
      <c r="U41" s="22" t="str">
        <f>INDEX(Cronograma!T$5:T$11,MATCH($B41,Premissas!$A$39:$A$45,0))</f>
        <v/>
      </c>
      <c r="V41" s="22" t="str">
        <f>INDEX(Cronograma!U$5:U$11,MATCH($B41,Premissas!$A$39:$A$45,0))</f>
        <v>S</v>
      </c>
      <c r="W41" s="22" t="str">
        <f>INDEX(Cronograma!V$5:V$11,MATCH($B41,Premissas!$A$39:$A$45,0))</f>
        <v/>
      </c>
      <c r="X41" s="22" t="str">
        <f>INDEX(Cronograma!W$5:W$11,MATCH($B41,Premissas!$A$39:$A$45,0))</f>
        <v/>
      </c>
      <c r="Y41" s="22" t="str">
        <f>INDEX(Cronograma!X$5:X$11,MATCH($B41,Premissas!$A$39:$A$45,0))</f>
        <v/>
      </c>
      <c r="Z41" s="22" t="str">
        <f>INDEX(Cronograma!Y$5:Y$11,MATCH($B41,Premissas!$A$39:$A$45,0))</f>
        <v/>
      </c>
      <c r="AA41" s="22" t="str">
        <f>INDEX(Cronograma!Z$5:Z$11,MATCH($B41,Premissas!$A$39:$A$45,0))</f>
        <v/>
      </c>
      <c r="AB41" s="22" t="str">
        <f>INDEX(Cronograma!AA$5:AA$11,MATCH($B41,Premissas!$A$39:$A$45,0))</f>
        <v/>
      </c>
      <c r="AC41" s="22" t="str">
        <f>INDEX(Cronograma!AB$5:AB$11,MATCH($B41,Premissas!$A$39:$A$45,0))</f>
        <v>B</v>
      </c>
      <c r="AD41" s="22" t="str">
        <f>INDEX(Cronograma!AC$5:AC$11,MATCH($B41,Premissas!$A$39:$A$45,0))</f>
        <v/>
      </c>
      <c r="AE41" s="22" t="str">
        <f>INDEX(Cronograma!AD$5:AD$11,MATCH($B41,Premissas!$A$39:$A$45,0))</f>
        <v/>
      </c>
      <c r="AF41" s="22" t="str">
        <f>INDEX(Cronograma!AE$5:AE$11,MATCH($B41,Premissas!$A$39:$A$45,0))</f>
        <v/>
      </c>
      <c r="AG41" s="22" t="str">
        <f>INDEX(Cronograma!AF$5:AF$11,MATCH($B41,Premissas!$A$39:$A$45,0))</f>
        <v/>
      </c>
      <c r="AH41" s="22" t="str">
        <f>INDEX(Cronograma!AG$5:AG$11,MATCH($B41,Premissas!$A$39:$A$45,0))</f>
        <v/>
      </c>
      <c r="AI41" s="22" t="str">
        <f>INDEX(Cronograma!AH$5:AH$11,MATCH($B41,Premissas!$A$39:$A$45,0))</f>
        <v/>
      </c>
      <c r="AJ41" s="22" t="str">
        <f>INDEX(Cronograma!AI$5:AI$11,MATCH($B41,Premissas!$A$39:$A$45,0))</f>
        <v/>
      </c>
      <c r="AK41" s="22" t="str">
        <f>INDEX(Cronograma!AJ$5:AJ$11,MATCH($B41,Premissas!$A$39:$A$45,0))</f>
        <v/>
      </c>
      <c r="AL41" s="22" t="str">
        <f>INDEX(Cronograma!AK$5:AK$11,MATCH($B41,Premissas!$A$39:$A$45,0))</f>
        <v/>
      </c>
      <c r="AM41" s="22" t="str">
        <f>INDEX(Cronograma!AL$5:AL$11,MATCH($B41,Premissas!$A$39:$A$45,0))</f>
        <v/>
      </c>
      <c r="AN41" s="22" t="str">
        <f>INDEX(Cronograma!AM$5:AM$11,MATCH($B41,Premissas!$A$39:$A$45,0))</f>
        <v/>
      </c>
      <c r="AO41" s="22" t="str">
        <f>INDEX(Cronograma!AN$5:AN$11,MATCH($B41,Premissas!$A$39:$A$45,0))</f>
        <v/>
      </c>
      <c r="AP41" s="22" t="str">
        <f>INDEX(Cronograma!AO$5:AO$11,MATCH($B41,Premissas!$A$39:$A$45,0))</f>
        <v>S</v>
      </c>
      <c r="AQ41" s="22" t="str">
        <f>INDEX(Cronograma!AP$5:AP$11,MATCH($B41,Premissas!$A$39:$A$45,0))</f>
        <v/>
      </c>
      <c r="AR41" s="22" t="str">
        <f>INDEX(Cronograma!AQ$5:AQ$11,MATCH($B41,Premissas!$A$39:$A$45,0))</f>
        <v/>
      </c>
      <c r="AS41" s="22" t="str">
        <f>INDEX(Cronograma!AR$5:AR$11,MATCH($B41,Premissas!$A$39:$A$45,0))</f>
        <v/>
      </c>
      <c r="AT41" s="22" t="str">
        <f>INDEX(Cronograma!AS$5:AS$11,MATCH($B41,Premissas!$A$39:$A$45,0))</f>
        <v/>
      </c>
      <c r="AU41" s="22" t="str">
        <f>INDEX(Cronograma!AT$5:AT$11,MATCH($B41,Premissas!$A$39:$A$45,0))</f>
        <v/>
      </c>
      <c r="AV41" s="22" t="str">
        <f>INDEX(Cronograma!AU$5:AU$11,MATCH($B41,Premissas!$A$39:$A$45,0))</f>
        <v/>
      </c>
      <c r="AW41" s="22" t="str">
        <f>INDEX(Cronograma!AV$5:AV$11,MATCH($B41,Premissas!$A$39:$A$45,0))</f>
        <v/>
      </c>
      <c r="AX41" s="22" t="str">
        <f>INDEX(Cronograma!AW$5:AW$11,MATCH($B41,Premissas!$A$39:$A$45,0))</f>
        <v/>
      </c>
      <c r="AY41" s="22" t="str">
        <f>INDEX(Cronograma!AX$5:AX$11,MATCH($B41,Premissas!$A$39:$A$45,0))</f>
        <v/>
      </c>
      <c r="AZ41" s="22" t="str">
        <f>INDEX(Cronograma!AY$5:AY$11,MATCH($B41,Premissas!$A$39:$A$45,0))</f>
        <v/>
      </c>
      <c r="BA41" s="22" t="str">
        <f>INDEX(Cronograma!AZ$5:AZ$11,MATCH($B41,Premissas!$A$39:$A$45,0))</f>
        <v/>
      </c>
      <c r="BB41" s="22" t="str">
        <f>INDEX(Cronograma!BA$5:BA$11,MATCH($B41,Premissas!$A$39:$A$45,0))</f>
        <v/>
      </c>
    </row>
    <row r="42" spans="1:54" ht="15" customHeight="1" x14ac:dyDescent="0.4">
      <c r="A42" s="15" t="str">
        <f>Frota!$B42&amp;" — "&amp;Frota!$A42</f>
        <v>MB 1719-Atego — 101130</v>
      </c>
      <c r="B42" s="16" t="str">
        <f>Frota!$C42</f>
        <v>Caminhão</v>
      </c>
      <c r="C42" s="22" t="str">
        <f>INDEX(Cronograma!B$5:B$11,MATCH($B42,Premissas!$A$39:$A$45,0))</f>
        <v/>
      </c>
      <c r="D42" s="22" t="str">
        <f>INDEX(Cronograma!C$5:C$11,MATCH($B42,Premissas!$A$39:$A$45,0))</f>
        <v/>
      </c>
      <c r="E42" s="22" t="str">
        <f>INDEX(Cronograma!D$5:D$11,MATCH($B42,Premissas!$A$39:$A$45,0))</f>
        <v/>
      </c>
      <c r="F42" s="22" t="str">
        <f>INDEX(Cronograma!E$5:E$11,MATCH($B42,Premissas!$A$39:$A$45,0))</f>
        <v/>
      </c>
      <c r="G42" s="22" t="str">
        <f>INDEX(Cronograma!F$5:F$11,MATCH($B42,Premissas!$A$39:$A$45,0))</f>
        <v/>
      </c>
      <c r="H42" s="22" t="str">
        <f>INDEX(Cronograma!G$5:G$11,MATCH($B42,Premissas!$A$39:$A$45,0))</f>
        <v/>
      </c>
      <c r="I42" s="22" t="str">
        <f>INDEX(Cronograma!H$5:H$11,MATCH($B42,Premissas!$A$39:$A$45,0))</f>
        <v>S</v>
      </c>
      <c r="J42" s="22" t="str">
        <f>INDEX(Cronograma!I$5:I$11,MATCH($B42,Premissas!$A$39:$A$45,0))</f>
        <v/>
      </c>
      <c r="K42" s="22" t="str">
        <f>INDEX(Cronograma!J$5:J$11,MATCH($B42,Premissas!$A$39:$A$45,0))</f>
        <v/>
      </c>
      <c r="L42" s="22" t="str">
        <f>INDEX(Cronograma!K$5:K$11,MATCH($B42,Premissas!$A$39:$A$45,0))</f>
        <v/>
      </c>
      <c r="M42" s="22" t="str">
        <f>INDEX(Cronograma!L$5:L$11,MATCH($B42,Premissas!$A$39:$A$45,0))</f>
        <v/>
      </c>
      <c r="N42" s="22" t="str">
        <f>INDEX(Cronograma!M$5:M$11,MATCH($B42,Premissas!$A$39:$A$45,0))</f>
        <v/>
      </c>
      <c r="O42" s="22" t="str">
        <f>INDEX(Cronograma!N$5:N$11,MATCH($B42,Premissas!$A$39:$A$45,0))</f>
        <v/>
      </c>
      <c r="P42" s="22" t="str">
        <f>INDEX(Cronograma!O$5:O$11,MATCH($B42,Premissas!$A$39:$A$45,0))</f>
        <v>A</v>
      </c>
      <c r="Q42" s="22" t="str">
        <f>INDEX(Cronograma!P$5:P$11,MATCH($B42,Premissas!$A$39:$A$45,0))</f>
        <v/>
      </c>
      <c r="R42" s="22" t="str">
        <f>INDEX(Cronograma!Q$5:Q$11,MATCH($B42,Premissas!$A$39:$A$45,0))</f>
        <v/>
      </c>
      <c r="S42" s="22" t="str">
        <f>INDEX(Cronograma!R$5:R$11,MATCH($B42,Premissas!$A$39:$A$45,0))</f>
        <v/>
      </c>
      <c r="T42" s="22" t="str">
        <f>INDEX(Cronograma!S$5:S$11,MATCH($B42,Premissas!$A$39:$A$45,0))</f>
        <v/>
      </c>
      <c r="U42" s="22" t="str">
        <f>INDEX(Cronograma!T$5:T$11,MATCH($B42,Premissas!$A$39:$A$45,0))</f>
        <v/>
      </c>
      <c r="V42" s="22" t="str">
        <f>INDEX(Cronograma!U$5:U$11,MATCH($B42,Premissas!$A$39:$A$45,0))</f>
        <v>S</v>
      </c>
      <c r="W42" s="22" t="str">
        <f>INDEX(Cronograma!V$5:V$11,MATCH($B42,Premissas!$A$39:$A$45,0))</f>
        <v/>
      </c>
      <c r="X42" s="22" t="str">
        <f>INDEX(Cronograma!W$5:W$11,MATCH($B42,Premissas!$A$39:$A$45,0))</f>
        <v/>
      </c>
      <c r="Y42" s="22" t="str">
        <f>INDEX(Cronograma!X$5:X$11,MATCH($B42,Premissas!$A$39:$A$45,0))</f>
        <v/>
      </c>
      <c r="Z42" s="22" t="str">
        <f>INDEX(Cronograma!Y$5:Y$11,MATCH($B42,Premissas!$A$39:$A$45,0))</f>
        <v/>
      </c>
      <c r="AA42" s="22" t="str">
        <f>INDEX(Cronograma!Z$5:Z$11,MATCH($B42,Premissas!$A$39:$A$45,0))</f>
        <v/>
      </c>
      <c r="AB42" s="22" t="str">
        <f>INDEX(Cronograma!AA$5:AA$11,MATCH($B42,Premissas!$A$39:$A$45,0))</f>
        <v/>
      </c>
      <c r="AC42" s="22" t="str">
        <f>INDEX(Cronograma!AB$5:AB$11,MATCH($B42,Premissas!$A$39:$A$45,0))</f>
        <v>B</v>
      </c>
      <c r="AD42" s="22" t="str">
        <f>INDEX(Cronograma!AC$5:AC$11,MATCH($B42,Premissas!$A$39:$A$45,0))</f>
        <v/>
      </c>
      <c r="AE42" s="22" t="str">
        <f>INDEX(Cronograma!AD$5:AD$11,MATCH($B42,Premissas!$A$39:$A$45,0))</f>
        <v/>
      </c>
      <c r="AF42" s="22" t="str">
        <f>INDEX(Cronograma!AE$5:AE$11,MATCH($B42,Premissas!$A$39:$A$45,0))</f>
        <v/>
      </c>
      <c r="AG42" s="22" t="str">
        <f>INDEX(Cronograma!AF$5:AF$11,MATCH($B42,Premissas!$A$39:$A$45,0))</f>
        <v/>
      </c>
      <c r="AH42" s="22" t="str">
        <f>INDEX(Cronograma!AG$5:AG$11,MATCH($B42,Premissas!$A$39:$A$45,0))</f>
        <v/>
      </c>
      <c r="AI42" s="22" t="str">
        <f>INDEX(Cronograma!AH$5:AH$11,MATCH($B42,Premissas!$A$39:$A$45,0))</f>
        <v/>
      </c>
      <c r="AJ42" s="22" t="str">
        <f>INDEX(Cronograma!AI$5:AI$11,MATCH($B42,Premissas!$A$39:$A$45,0))</f>
        <v/>
      </c>
      <c r="AK42" s="22" t="str">
        <f>INDEX(Cronograma!AJ$5:AJ$11,MATCH($B42,Premissas!$A$39:$A$45,0))</f>
        <v/>
      </c>
      <c r="AL42" s="22" t="str">
        <f>INDEX(Cronograma!AK$5:AK$11,MATCH($B42,Premissas!$A$39:$A$45,0))</f>
        <v/>
      </c>
      <c r="AM42" s="22" t="str">
        <f>INDEX(Cronograma!AL$5:AL$11,MATCH($B42,Premissas!$A$39:$A$45,0))</f>
        <v/>
      </c>
      <c r="AN42" s="22" t="str">
        <f>INDEX(Cronograma!AM$5:AM$11,MATCH($B42,Premissas!$A$39:$A$45,0))</f>
        <v/>
      </c>
      <c r="AO42" s="22" t="str">
        <f>INDEX(Cronograma!AN$5:AN$11,MATCH($B42,Premissas!$A$39:$A$45,0))</f>
        <v/>
      </c>
      <c r="AP42" s="22" t="str">
        <f>INDEX(Cronograma!AO$5:AO$11,MATCH($B42,Premissas!$A$39:$A$45,0))</f>
        <v>S</v>
      </c>
      <c r="AQ42" s="22" t="str">
        <f>INDEX(Cronograma!AP$5:AP$11,MATCH($B42,Premissas!$A$39:$A$45,0))</f>
        <v/>
      </c>
      <c r="AR42" s="22" t="str">
        <f>INDEX(Cronograma!AQ$5:AQ$11,MATCH($B42,Premissas!$A$39:$A$45,0))</f>
        <v/>
      </c>
      <c r="AS42" s="22" t="str">
        <f>INDEX(Cronograma!AR$5:AR$11,MATCH($B42,Premissas!$A$39:$A$45,0))</f>
        <v/>
      </c>
      <c r="AT42" s="22" t="str">
        <f>INDEX(Cronograma!AS$5:AS$11,MATCH($B42,Premissas!$A$39:$A$45,0))</f>
        <v/>
      </c>
      <c r="AU42" s="22" t="str">
        <f>INDEX(Cronograma!AT$5:AT$11,MATCH($B42,Premissas!$A$39:$A$45,0))</f>
        <v/>
      </c>
      <c r="AV42" s="22" t="str">
        <f>INDEX(Cronograma!AU$5:AU$11,MATCH($B42,Premissas!$A$39:$A$45,0))</f>
        <v/>
      </c>
      <c r="AW42" s="22" t="str">
        <f>INDEX(Cronograma!AV$5:AV$11,MATCH($B42,Premissas!$A$39:$A$45,0))</f>
        <v/>
      </c>
      <c r="AX42" s="22" t="str">
        <f>INDEX(Cronograma!AW$5:AW$11,MATCH($B42,Premissas!$A$39:$A$45,0))</f>
        <v/>
      </c>
      <c r="AY42" s="22" t="str">
        <f>INDEX(Cronograma!AX$5:AX$11,MATCH($B42,Premissas!$A$39:$A$45,0))</f>
        <v/>
      </c>
      <c r="AZ42" s="22" t="str">
        <f>INDEX(Cronograma!AY$5:AY$11,MATCH($B42,Premissas!$A$39:$A$45,0))</f>
        <v/>
      </c>
      <c r="BA42" s="22" t="str">
        <f>INDEX(Cronograma!AZ$5:AZ$11,MATCH($B42,Premissas!$A$39:$A$45,0))</f>
        <v/>
      </c>
      <c r="BB42" s="22" t="str">
        <f>INDEX(Cronograma!BA$5:BA$11,MATCH($B42,Premissas!$A$39:$A$45,0))</f>
        <v/>
      </c>
    </row>
    <row r="43" spans="1:54" ht="15" customHeight="1" x14ac:dyDescent="0.4">
      <c r="A43" s="15" t="str">
        <f>Frota!$B43&amp;" — "&amp;Frota!$A43</f>
        <v>MB 1719-Atego — 101131</v>
      </c>
      <c r="B43" s="16" t="str">
        <f>Frota!$C43</f>
        <v>Caminhão</v>
      </c>
      <c r="C43" s="22" t="str">
        <f>INDEX(Cronograma!B$5:B$11,MATCH($B43,Premissas!$A$39:$A$45,0))</f>
        <v/>
      </c>
      <c r="D43" s="22" t="str">
        <f>INDEX(Cronograma!C$5:C$11,MATCH($B43,Premissas!$A$39:$A$45,0))</f>
        <v/>
      </c>
      <c r="E43" s="22" t="str">
        <f>INDEX(Cronograma!D$5:D$11,MATCH($B43,Premissas!$A$39:$A$45,0))</f>
        <v/>
      </c>
      <c r="F43" s="22" t="str">
        <f>INDEX(Cronograma!E$5:E$11,MATCH($B43,Premissas!$A$39:$A$45,0))</f>
        <v/>
      </c>
      <c r="G43" s="22" t="str">
        <f>INDEX(Cronograma!F$5:F$11,MATCH($B43,Premissas!$A$39:$A$45,0))</f>
        <v/>
      </c>
      <c r="H43" s="22" t="str">
        <f>INDEX(Cronograma!G$5:G$11,MATCH($B43,Premissas!$A$39:$A$45,0))</f>
        <v/>
      </c>
      <c r="I43" s="22" t="str">
        <f>INDEX(Cronograma!H$5:H$11,MATCH($B43,Premissas!$A$39:$A$45,0))</f>
        <v>S</v>
      </c>
      <c r="J43" s="22" t="str">
        <f>INDEX(Cronograma!I$5:I$11,MATCH($B43,Premissas!$A$39:$A$45,0))</f>
        <v/>
      </c>
      <c r="K43" s="22" t="str">
        <f>INDEX(Cronograma!J$5:J$11,MATCH($B43,Premissas!$A$39:$A$45,0))</f>
        <v/>
      </c>
      <c r="L43" s="22" t="str">
        <f>INDEX(Cronograma!K$5:K$11,MATCH($B43,Premissas!$A$39:$A$45,0))</f>
        <v/>
      </c>
      <c r="M43" s="22" t="str">
        <f>INDEX(Cronograma!L$5:L$11,MATCH($B43,Premissas!$A$39:$A$45,0))</f>
        <v/>
      </c>
      <c r="N43" s="22" t="str">
        <f>INDEX(Cronograma!M$5:M$11,MATCH($B43,Premissas!$A$39:$A$45,0))</f>
        <v/>
      </c>
      <c r="O43" s="22" t="str">
        <f>INDEX(Cronograma!N$5:N$11,MATCH($B43,Premissas!$A$39:$A$45,0))</f>
        <v/>
      </c>
      <c r="P43" s="22" t="str">
        <f>INDEX(Cronograma!O$5:O$11,MATCH($B43,Premissas!$A$39:$A$45,0))</f>
        <v>A</v>
      </c>
      <c r="Q43" s="22" t="str">
        <f>INDEX(Cronograma!P$5:P$11,MATCH($B43,Premissas!$A$39:$A$45,0))</f>
        <v/>
      </c>
      <c r="R43" s="22" t="str">
        <f>INDEX(Cronograma!Q$5:Q$11,MATCH($B43,Premissas!$A$39:$A$45,0))</f>
        <v/>
      </c>
      <c r="S43" s="22" t="str">
        <f>INDEX(Cronograma!R$5:R$11,MATCH($B43,Premissas!$A$39:$A$45,0))</f>
        <v/>
      </c>
      <c r="T43" s="22" t="str">
        <f>INDEX(Cronograma!S$5:S$11,MATCH($B43,Premissas!$A$39:$A$45,0))</f>
        <v/>
      </c>
      <c r="U43" s="22" t="str">
        <f>INDEX(Cronograma!T$5:T$11,MATCH($B43,Premissas!$A$39:$A$45,0))</f>
        <v/>
      </c>
      <c r="V43" s="22" t="str">
        <f>INDEX(Cronograma!U$5:U$11,MATCH($B43,Premissas!$A$39:$A$45,0))</f>
        <v>S</v>
      </c>
      <c r="W43" s="22" t="str">
        <f>INDEX(Cronograma!V$5:V$11,MATCH($B43,Premissas!$A$39:$A$45,0))</f>
        <v/>
      </c>
      <c r="X43" s="22" t="str">
        <f>INDEX(Cronograma!W$5:W$11,MATCH($B43,Premissas!$A$39:$A$45,0))</f>
        <v/>
      </c>
      <c r="Y43" s="22" t="str">
        <f>INDEX(Cronograma!X$5:X$11,MATCH($B43,Premissas!$A$39:$A$45,0))</f>
        <v/>
      </c>
      <c r="Z43" s="22" t="str">
        <f>INDEX(Cronograma!Y$5:Y$11,MATCH($B43,Premissas!$A$39:$A$45,0))</f>
        <v/>
      </c>
      <c r="AA43" s="22" t="str">
        <f>INDEX(Cronograma!Z$5:Z$11,MATCH($B43,Premissas!$A$39:$A$45,0))</f>
        <v/>
      </c>
      <c r="AB43" s="22" t="str">
        <f>INDEX(Cronograma!AA$5:AA$11,MATCH($B43,Premissas!$A$39:$A$45,0))</f>
        <v/>
      </c>
      <c r="AC43" s="22" t="str">
        <f>INDEX(Cronograma!AB$5:AB$11,MATCH($B43,Premissas!$A$39:$A$45,0))</f>
        <v>B</v>
      </c>
      <c r="AD43" s="22" t="str">
        <f>INDEX(Cronograma!AC$5:AC$11,MATCH($B43,Premissas!$A$39:$A$45,0))</f>
        <v/>
      </c>
      <c r="AE43" s="22" t="str">
        <f>INDEX(Cronograma!AD$5:AD$11,MATCH($B43,Premissas!$A$39:$A$45,0))</f>
        <v/>
      </c>
      <c r="AF43" s="22" t="str">
        <f>INDEX(Cronograma!AE$5:AE$11,MATCH($B43,Premissas!$A$39:$A$45,0))</f>
        <v/>
      </c>
      <c r="AG43" s="22" t="str">
        <f>INDEX(Cronograma!AF$5:AF$11,MATCH($B43,Premissas!$A$39:$A$45,0))</f>
        <v/>
      </c>
      <c r="AH43" s="22" t="str">
        <f>INDEX(Cronograma!AG$5:AG$11,MATCH($B43,Premissas!$A$39:$A$45,0))</f>
        <v/>
      </c>
      <c r="AI43" s="22" t="str">
        <f>INDEX(Cronograma!AH$5:AH$11,MATCH($B43,Premissas!$A$39:$A$45,0))</f>
        <v/>
      </c>
      <c r="AJ43" s="22" t="str">
        <f>INDEX(Cronograma!AI$5:AI$11,MATCH($B43,Premissas!$A$39:$A$45,0))</f>
        <v/>
      </c>
      <c r="AK43" s="22" t="str">
        <f>INDEX(Cronograma!AJ$5:AJ$11,MATCH($B43,Premissas!$A$39:$A$45,0))</f>
        <v/>
      </c>
      <c r="AL43" s="22" t="str">
        <f>INDEX(Cronograma!AK$5:AK$11,MATCH($B43,Premissas!$A$39:$A$45,0))</f>
        <v/>
      </c>
      <c r="AM43" s="22" t="str">
        <f>INDEX(Cronograma!AL$5:AL$11,MATCH($B43,Premissas!$A$39:$A$45,0))</f>
        <v/>
      </c>
      <c r="AN43" s="22" t="str">
        <f>INDEX(Cronograma!AM$5:AM$11,MATCH($B43,Premissas!$A$39:$A$45,0))</f>
        <v/>
      </c>
      <c r="AO43" s="22" t="str">
        <f>INDEX(Cronograma!AN$5:AN$11,MATCH($B43,Premissas!$A$39:$A$45,0))</f>
        <v/>
      </c>
      <c r="AP43" s="22" t="str">
        <f>INDEX(Cronograma!AO$5:AO$11,MATCH($B43,Premissas!$A$39:$A$45,0))</f>
        <v>S</v>
      </c>
      <c r="AQ43" s="22" t="str">
        <f>INDEX(Cronograma!AP$5:AP$11,MATCH($B43,Premissas!$A$39:$A$45,0))</f>
        <v/>
      </c>
      <c r="AR43" s="22" t="str">
        <f>INDEX(Cronograma!AQ$5:AQ$11,MATCH($B43,Premissas!$A$39:$A$45,0))</f>
        <v/>
      </c>
      <c r="AS43" s="22" t="str">
        <f>INDEX(Cronograma!AR$5:AR$11,MATCH($B43,Premissas!$A$39:$A$45,0))</f>
        <v/>
      </c>
      <c r="AT43" s="22" t="str">
        <f>INDEX(Cronograma!AS$5:AS$11,MATCH($B43,Premissas!$A$39:$A$45,0))</f>
        <v/>
      </c>
      <c r="AU43" s="22" t="str">
        <f>INDEX(Cronograma!AT$5:AT$11,MATCH($B43,Premissas!$A$39:$A$45,0))</f>
        <v/>
      </c>
      <c r="AV43" s="22" t="str">
        <f>INDEX(Cronograma!AU$5:AU$11,MATCH($B43,Premissas!$A$39:$A$45,0))</f>
        <v/>
      </c>
      <c r="AW43" s="22" t="str">
        <f>INDEX(Cronograma!AV$5:AV$11,MATCH($B43,Premissas!$A$39:$A$45,0))</f>
        <v/>
      </c>
      <c r="AX43" s="22" t="str">
        <f>INDEX(Cronograma!AW$5:AW$11,MATCH($B43,Premissas!$A$39:$A$45,0))</f>
        <v/>
      </c>
      <c r="AY43" s="22" t="str">
        <f>INDEX(Cronograma!AX$5:AX$11,MATCH($B43,Premissas!$A$39:$A$45,0))</f>
        <v/>
      </c>
      <c r="AZ43" s="22" t="str">
        <f>INDEX(Cronograma!AY$5:AY$11,MATCH($B43,Premissas!$A$39:$A$45,0))</f>
        <v/>
      </c>
      <c r="BA43" s="22" t="str">
        <f>INDEX(Cronograma!AZ$5:AZ$11,MATCH($B43,Premissas!$A$39:$A$45,0))</f>
        <v/>
      </c>
      <c r="BB43" s="22" t="str">
        <f>INDEX(Cronograma!BA$5:BA$11,MATCH($B43,Premissas!$A$39:$A$45,0))</f>
        <v/>
      </c>
    </row>
    <row r="44" spans="1:54" ht="15" customHeight="1" x14ac:dyDescent="0.4">
      <c r="A44" s="15" t="str">
        <f>Frota!$B44&amp;" — "&amp;Frota!$A44</f>
        <v>MB 1719-Atego — 101132</v>
      </c>
      <c r="B44" s="16" t="str">
        <f>Frota!$C44</f>
        <v>Caminhão</v>
      </c>
      <c r="C44" s="22" t="str">
        <f>INDEX(Cronograma!B$5:B$11,MATCH($B44,Premissas!$A$39:$A$45,0))</f>
        <v/>
      </c>
      <c r="D44" s="22" t="str">
        <f>INDEX(Cronograma!C$5:C$11,MATCH($B44,Premissas!$A$39:$A$45,0))</f>
        <v/>
      </c>
      <c r="E44" s="22" t="str">
        <f>INDEX(Cronograma!D$5:D$11,MATCH($B44,Premissas!$A$39:$A$45,0))</f>
        <v/>
      </c>
      <c r="F44" s="22" t="str">
        <f>INDEX(Cronograma!E$5:E$11,MATCH($B44,Premissas!$A$39:$A$45,0))</f>
        <v/>
      </c>
      <c r="G44" s="22" t="str">
        <f>INDEX(Cronograma!F$5:F$11,MATCH($B44,Premissas!$A$39:$A$45,0))</f>
        <v/>
      </c>
      <c r="H44" s="22" t="str">
        <f>INDEX(Cronograma!G$5:G$11,MATCH($B44,Premissas!$A$39:$A$45,0))</f>
        <v/>
      </c>
      <c r="I44" s="22" t="str">
        <f>INDEX(Cronograma!H$5:H$11,MATCH($B44,Premissas!$A$39:$A$45,0))</f>
        <v>S</v>
      </c>
      <c r="J44" s="22" t="str">
        <f>INDEX(Cronograma!I$5:I$11,MATCH($B44,Premissas!$A$39:$A$45,0))</f>
        <v/>
      </c>
      <c r="K44" s="22" t="str">
        <f>INDEX(Cronograma!J$5:J$11,MATCH($B44,Premissas!$A$39:$A$45,0))</f>
        <v/>
      </c>
      <c r="L44" s="22" t="str">
        <f>INDEX(Cronograma!K$5:K$11,MATCH($B44,Premissas!$A$39:$A$45,0))</f>
        <v/>
      </c>
      <c r="M44" s="22" t="str">
        <f>INDEX(Cronograma!L$5:L$11,MATCH($B44,Premissas!$A$39:$A$45,0))</f>
        <v/>
      </c>
      <c r="N44" s="22" t="str">
        <f>INDEX(Cronograma!M$5:M$11,MATCH($B44,Premissas!$A$39:$A$45,0))</f>
        <v/>
      </c>
      <c r="O44" s="22" t="str">
        <f>INDEX(Cronograma!N$5:N$11,MATCH($B44,Premissas!$A$39:$A$45,0))</f>
        <v/>
      </c>
      <c r="P44" s="22" t="str">
        <f>INDEX(Cronograma!O$5:O$11,MATCH($B44,Premissas!$A$39:$A$45,0))</f>
        <v>A</v>
      </c>
      <c r="Q44" s="22" t="str">
        <f>INDEX(Cronograma!P$5:P$11,MATCH($B44,Premissas!$A$39:$A$45,0))</f>
        <v/>
      </c>
      <c r="R44" s="22" t="str">
        <f>INDEX(Cronograma!Q$5:Q$11,MATCH($B44,Premissas!$A$39:$A$45,0))</f>
        <v/>
      </c>
      <c r="S44" s="22" t="str">
        <f>INDEX(Cronograma!R$5:R$11,MATCH($B44,Premissas!$A$39:$A$45,0))</f>
        <v/>
      </c>
      <c r="T44" s="22" t="str">
        <f>INDEX(Cronograma!S$5:S$11,MATCH($B44,Premissas!$A$39:$A$45,0))</f>
        <v/>
      </c>
      <c r="U44" s="22" t="str">
        <f>INDEX(Cronograma!T$5:T$11,MATCH($B44,Premissas!$A$39:$A$45,0))</f>
        <v/>
      </c>
      <c r="V44" s="22" t="str">
        <f>INDEX(Cronograma!U$5:U$11,MATCH($B44,Premissas!$A$39:$A$45,0))</f>
        <v>S</v>
      </c>
      <c r="W44" s="22" t="str">
        <f>INDEX(Cronograma!V$5:V$11,MATCH($B44,Premissas!$A$39:$A$45,0))</f>
        <v/>
      </c>
      <c r="X44" s="22" t="str">
        <f>INDEX(Cronograma!W$5:W$11,MATCH($B44,Premissas!$A$39:$A$45,0))</f>
        <v/>
      </c>
      <c r="Y44" s="22" t="str">
        <f>INDEX(Cronograma!X$5:X$11,MATCH($B44,Premissas!$A$39:$A$45,0))</f>
        <v/>
      </c>
      <c r="Z44" s="22" t="str">
        <f>INDEX(Cronograma!Y$5:Y$11,MATCH($B44,Premissas!$A$39:$A$45,0))</f>
        <v/>
      </c>
      <c r="AA44" s="22" t="str">
        <f>INDEX(Cronograma!Z$5:Z$11,MATCH($B44,Premissas!$A$39:$A$45,0))</f>
        <v/>
      </c>
      <c r="AB44" s="22" t="str">
        <f>INDEX(Cronograma!AA$5:AA$11,MATCH($B44,Premissas!$A$39:$A$45,0))</f>
        <v/>
      </c>
      <c r="AC44" s="22" t="str">
        <f>INDEX(Cronograma!AB$5:AB$11,MATCH($B44,Premissas!$A$39:$A$45,0))</f>
        <v>B</v>
      </c>
      <c r="AD44" s="22" t="str">
        <f>INDEX(Cronograma!AC$5:AC$11,MATCH($B44,Premissas!$A$39:$A$45,0))</f>
        <v/>
      </c>
      <c r="AE44" s="22" t="str">
        <f>INDEX(Cronograma!AD$5:AD$11,MATCH($B44,Premissas!$A$39:$A$45,0))</f>
        <v/>
      </c>
      <c r="AF44" s="22" t="str">
        <f>INDEX(Cronograma!AE$5:AE$11,MATCH($B44,Premissas!$A$39:$A$45,0))</f>
        <v/>
      </c>
      <c r="AG44" s="22" t="str">
        <f>INDEX(Cronograma!AF$5:AF$11,MATCH($B44,Premissas!$A$39:$A$45,0))</f>
        <v/>
      </c>
      <c r="AH44" s="22" t="str">
        <f>INDEX(Cronograma!AG$5:AG$11,MATCH($B44,Premissas!$A$39:$A$45,0))</f>
        <v/>
      </c>
      <c r="AI44" s="22" t="str">
        <f>INDEX(Cronograma!AH$5:AH$11,MATCH($B44,Premissas!$A$39:$A$45,0))</f>
        <v/>
      </c>
      <c r="AJ44" s="22" t="str">
        <f>INDEX(Cronograma!AI$5:AI$11,MATCH($B44,Premissas!$A$39:$A$45,0))</f>
        <v/>
      </c>
      <c r="AK44" s="22" t="str">
        <f>INDEX(Cronograma!AJ$5:AJ$11,MATCH($B44,Premissas!$A$39:$A$45,0))</f>
        <v/>
      </c>
      <c r="AL44" s="22" t="str">
        <f>INDEX(Cronograma!AK$5:AK$11,MATCH($B44,Premissas!$A$39:$A$45,0))</f>
        <v/>
      </c>
      <c r="AM44" s="22" t="str">
        <f>INDEX(Cronograma!AL$5:AL$11,MATCH($B44,Premissas!$A$39:$A$45,0))</f>
        <v/>
      </c>
      <c r="AN44" s="22" t="str">
        <f>INDEX(Cronograma!AM$5:AM$11,MATCH($B44,Premissas!$A$39:$A$45,0))</f>
        <v/>
      </c>
      <c r="AO44" s="22" t="str">
        <f>INDEX(Cronograma!AN$5:AN$11,MATCH($B44,Premissas!$A$39:$A$45,0))</f>
        <v/>
      </c>
      <c r="AP44" s="22" t="str">
        <f>INDEX(Cronograma!AO$5:AO$11,MATCH($B44,Premissas!$A$39:$A$45,0))</f>
        <v>S</v>
      </c>
      <c r="AQ44" s="22" t="str">
        <f>INDEX(Cronograma!AP$5:AP$11,MATCH($B44,Premissas!$A$39:$A$45,0))</f>
        <v/>
      </c>
      <c r="AR44" s="22" t="str">
        <f>INDEX(Cronograma!AQ$5:AQ$11,MATCH($B44,Premissas!$A$39:$A$45,0))</f>
        <v/>
      </c>
      <c r="AS44" s="22" t="str">
        <f>INDEX(Cronograma!AR$5:AR$11,MATCH($B44,Premissas!$A$39:$A$45,0))</f>
        <v/>
      </c>
      <c r="AT44" s="22" t="str">
        <f>INDEX(Cronograma!AS$5:AS$11,MATCH($B44,Premissas!$A$39:$A$45,0))</f>
        <v/>
      </c>
      <c r="AU44" s="22" t="str">
        <f>INDEX(Cronograma!AT$5:AT$11,MATCH($B44,Premissas!$A$39:$A$45,0))</f>
        <v/>
      </c>
      <c r="AV44" s="22" t="str">
        <f>INDEX(Cronograma!AU$5:AU$11,MATCH($B44,Premissas!$A$39:$A$45,0))</f>
        <v/>
      </c>
      <c r="AW44" s="22" t="str">
        <f>INDEX(Cronograma!AV$5:AV$11,MATCH($B44,Premissas!$A$39:$A$45,0))</f>
        <v/>
      </c>
      <c r="AX44" s="22" t="str">
        <f>INDEX(Cronograma!AW$5:AW$11,MATCH($B44,Premissas!$A$39:$A$45,0))</f>
        <v/>
      </c>
      <c r="AY44" s="22" t="str">
        <f>INDEX(Cronograma!AX$5:AX$11,MATCH($B44,Premissas!$A$39:$A$45,0))</f>
        <v/>
      </c>
      <c r="AZ44" s="22" t="str">
        <f>INDEX(Cronograma!AY$5:AY$11,MATCH($B44,Premissas!$A$39:$A$45,0))</f>
        <v/>
      </c>
      <c r="BA44" s="22" t="str">
        <f>INDEX(Cronograma!AZ$5:AZ$11,MATCH($B44,Premissas!$A$39:$A$45,0))</f>
        <v/>
      </c>
      <c r="BB44" s="22" t="str">
        <f>INDEX(Cronograma!BA$5:BA$11,MATCH($B44,Premissas!$A$39:$A$45,0))</f>
        <v/>
      </c>
    </row>
    <row r="45" spans="1:54" ht="15" customHeight="1" x14ac:dyDescent="0.4">
      <c r="A45" s="15" t="str">
        <f>Frota!$B45&amp;" — "&amp;Frota!$A45</f>
        <v>MB 1719-Atego — 101133</v>
      </c>
      <c r="B45" s="16" t="str">
        <f>Frota!$C45</f>
        <v>Caminhão</v>
      </c>
      <c r="C45" s="22" t="str">
        <f>INDEX(Cronograma!B$5:B$11,MATCH($B45,Premissas!$A$39:$A$45,0))</f>
        <v/>
      </c>
      <c r="D45" s="22" t="str">
        <f>INDEX(Cronograma!C$5:C$11,MATCH($B45,Premissas!$A$39:$A$45,0))</f>
        <v/>
      </c>
      <c r="E45" s="22" t="str">
        <f>INDEX(Cronograma!D$5:D$11,MATCH($B45,Premissas!$A$39:$A$45,0))</f>
        <v/>
      </c>
      <c r="F45" s="22" t="str">
        <f>INDEX(Cronograma!E$5:E$11,MATCH($B45,Premissas!$A$39:$A$45,0))</f>
        <v/>
      </c>
      <c r="G45" s="22" t="str">
        <f>INDEX(Cronograma!F$5:F$11,MATCH($B45,Premissas!$A$39:$A$45,0))</f>
        <v/>
      </c>
      <c r="H45" s="22" t="str">
        <f>INDEX(Cronograma!G$5:G$11,MATCH($B45,Premissas!$A$39:$A$45,0))</f>
        <v/>
      </c>
      <c r="I45" s="22" t="str">
        <f>INDEX(Cronograma!H$5:H$11,MATCH($B45,Premissas!$A$39:$A$45,0))</f>
        <v>S</v>
      </c>
      <c r="J45" s="22" t="str">
        <f>INDEX(Cronograma!I$5:I$11,MATCH($B45,Premissas!$A$39:$A$45,0))</f>
        <v/>
      </c>
      <c r="K45" s="22" t="str">
        <f>INDEX(Cronograma!J$5:J$11,MATCH($B45,Premissas!$A$39:$A$45,0))</f>
        <v/>
      </c>
      <c r="L45" s="22" t="str">
        <f>INDEX(Cronograma!K$5:K$11,MATCH($B45,Premissas!$A$39:$A$45,0))</f>
        <v/>
      </c>
      <c r="M45" s="22" t="str">
        <f>INDEX(Cronograma!L$5:L$11,MATCH($B45,Premissas!$A$39:$A$45,0))</f>
        <v/>
      </c>
      <c r="N45" s="22" t="str">
        <f>INDEX(Cronograma!M$5:M$11,MATCH($B45,Premissas!$A$39:$A$45,0))</f>
        <v/>
      </c>
      <c r="O45" s="22" t="str">
        <f>INDEX(Cronograma!N$5:N$11,MATCH($B45,Premissas!$A$39:$A$45,0))</f>
        <v/>
      </c>
      <c r="P45" s="22" t="str">
        <f>INDEX(Cronograma!O$5:O$11,MATCH($B45,Premissas!$A$39:$A$45,0))</f>
        <v>A</v>
      </c>
      <c r="Q45" s="22" t="str">
        <f>INDEX(Cronograma!P$5:P$11,MATCH($B45,Premissas!$A$39:$A$45,0))</f>
        <v/>
      </c>
      <c r="R45" s="22" t="str">
        <f>INDEX(Cronograma!Q$5:Q$11,MATCH($B45,Premissas!$A$39:$A$45,0))</f>
        <v/>
      </c>
      <c r="S45" s="22" t="str">
        <f>INDEX(Cronograma!R$5:R$11,MATCH($B45,Premissas!$A$39:$A$45,0))</f>
        <v/>
      </c>
      <c r="T45" s="22" t="str">
        <f>INDEX(Cronograma!S$5:S$11,MATCH($B45,Premissas!$A$39:$A$45,0))</f>
        <v/>
      </c>
      <c r="U45" s="22" t="str">
        <f>INDEX(Cronograma!T$5:T$11,MATCH($B45,Premissas!$A$39:$A$45,0))</f>
        <v/>
      </c>
      <c r="V45" s="22" t="str">
        <f>INDEX(Cronograma!U$5:U$11,MATCH($B45,Premissas!$A$39:$A$45,0))</f>
        <v>S</v>
      </c>
      <c r="W45" s="22" t="str">
        <f>INDEX(Cronograma!V$5:V$11,MATCH($B45,Premissas!$A$39:$A$45,0))</f>
        <v/>
      </c>
      <c r="X45" s="22" t="str">
        <f>INDEX(Cronograma!W$5:W$11,MATCH($B45,Premissas!$A$39:$A$45,0))</f>
        <v/>
      </c>
      <c r="Y45" s="22" t="str">
        <f>INDEX(Cronograma!X$5:X$11,MATCH($B45,Premissas!$A$39:$A$45,0))</f>
        <v/>
      </c>
      <c r="Z45" s="22" t="str">
        <f>INDEX(Cronograma!Y$5:Y$11,MATCH($B45,Premissas!$A$39:$A$45,0))</f>
        <v/>
      </c>
      <c r="AA45" s="22" t="str">
        <f>INDEX(Cronograma!Z$5:Z$11,MATCH($B45,Premissas!$A$39:$A$45,0))</f>
        <v/>
      </c>
      <c r="AB45" s="22" t="str">
        <f>INDEX(Cronograma!AA$5:AA$11,MATCH($B45,Premissas!$A$39:$A$45,0))</f>
        <v/>
      </c>
      <c r="AC45" s="22" t="str">
        <f>INDEX(Cronograma!AB$5:AB$11,MATCH($B45,Premissas!$A$39:$A$45,0))</f>
        <v>B</v>
      </c>
      <c r="AD45" s="22" t="str">
        <f>INDEX(Cronograma!AC$5:AC$11,MATCH($B45,Premissas!$A$39:$A$45,0))</f>
        <v/>
      </c>
      <c r="AE45" s="22" t="str">
        <f>INDEX(Cronograma!AD$5:AD$11,MATCH($B45,Premissas!$A$39:$A$45,0))</f>
        <v/>
      </c>
      <c r="AF45" s="22" t="str">
        <f>INDEX(Cronograma!AE$5:AE$11,MATCH($B45,Premissas!$A$39:$A$45,0))</f>
        <v/>
      </c>
      <c r="AG45" s="22" t="str">
        <f>INDEX(Cronograma!AF$5:AF$11,MATCH($B45,Premissas!$A$39:$A$45,0))</f>
        <v/>
      </c>
      <c r="AH45" s="22" t="str">
        <f>INDEX(Cronograma!AG$5:AG$11,MATCH($B45,Premissas!$A$39:$A$45,0))</f>
        <v/>
      </c>
      <c r="AI45" s="22" t="str">
        <f>INDEX(Cronograma!AH$5:AH$11,MATCH($B45,Premissas!$A$39:$A$45,0))</f>
        <v/>
      </c>
      <c r="AJ45" s="22" t="str">
        <f>INDEX(Cronograma!AI$5:AI$11,MATCH($B45,Premissas!$A$39:$A$45,0))</f>
        <v/>
      </c>
      <c r="AK45" s="22" t="str">
        <f>INDEX(Cronograma!AJ$5:AJ$11,MATCH($B45,Premissas!$A$39:$A$45,0))</f>
        <v/>
      </c>
      <c r="AL45" s="22" t="str">
        <f>INDEX(Cronograma!AK$5:AK$11,MATCH($B45,Premissas!$A$39:$A$45,0))</f>
        <v/>
      </c>
      <c r="AM45" s="22" t="str">
        <f>INDEX(Cronograma!AL$5:AL$11,MATCH($B45,Premissas!$A$39:$A$45,0))</f>
        <v/>
      </c>
      <c r="AN45" s="22" t="str">
        <f>INDEX(Cronograma!AM$5:AM$11,MATCH($B45,Premissas!$A$39:$A$45,0))</f>
        <v/>
      </c>
      <c r="AO45" s="22" t="str">
        <f>INDEX(Cronograma!AN$5:AN$11,MATCH($B45,Premissas!$A$39:$A$45,0))</f>
        <v/>
      </c>
      <c r="AP45" s="22" t="str">
        <f>INDEX(Cronograma!AO$5:AO$11,MATCH($B45,Premissas!$A$39:$A$45,0))</f>
        <v>S</v>
      </c>
      <c r="AQ45" s="22" t="str">
        <f>INDEX(Cronograma!AP$5:AP$11,MATCH($B45,Premissas!$A$39:$A$45,0))</f>
        <v/>
      </c>
      <c r="AR45" s="22" t="str">
        <f>INDEX(Cronograma!AQ$5:AQ$11,MATCH($B45,Premissas!$A$39:$A$45,0))</f>
        <v/>
      </c>
      <c r="AS45" s="22" t="str">
        <f>INDEX(Cronograma!AR$5:AR$11,MATCH($B45,Premissas!$A$39:$A$45,0))</f>
        <v/>
      </c>
      <c r="AT45" s="22" t="str">
        <f>INDEX(Cronograma!AS$5:AS$11,MATCH($B45,Premissas!$A$39:$A$45,0))</f>
        <v/>
      </c>
      <c r="AU45" s="22" t="str">
        <f>INDEX(Cronograma!AT$5:AT$11,MATCH($B45,Premissas!$A$39:$A$45,0))</f>
        <v/>
      </c>
      <c r="AV45" s="22" t="str">
        <f>INDEX(Cronograma!AU$5:AU$11,MATCH($B45,Premissas!$A$39:$A$45,0))</f>
        <v/>
      </c>
      <c r="AW45" s="22" t="str">
        <f>INDEX(Cronograma!AV$5:AV$11,MATCH($B45,Premissas!$A$39:$A$45,0))</f>
        <v/>
      </c>
      <c r="AX45" s="22" t="str">
        <f>INDEX(Cronograma!AW$5:AW$11,MATCH($B45,Premissas!$A$39:$A$45,0))</f>
        <v/>
      </c>
      <c r="AY45" s="22" t="str">
        <f>INDEX(Cronograma!AX$5:AX$11,MATCH($B45,Premissas!$A$39:$A$45,0))</f>
        <v/>
      </c>
      <c r="AZ45" s="22" t="str">
        <f>INDEX(Cronograma!AY$5:AY$11,MATCH($B45,Premissas!$A$39:$A$45,0))</f>
        <v/>
      </c>
      <c r="BA45" s="22" t="str">
        <f>INDEX(Cronograma!AZ$5:AZ$11,MATCH($B45,Premissas!$A$39:$A$45,0))</f>
        <v/>
      </c>
      <c r="BB45" s="22" t="str">
        <f>INDEX(Cronograma!BA$5:BA$11,MATCH($B45,Premissas!$A$39:$A$45,0))</f>
        <v/>
      </c>
    </row>
    <row r="46" spans="1:54" ht="15" customHeight="1" x14ac:dyDescent="0.4">
      <c r="A46" s="15" t="str">
        <f>Frota!$B46&amp;" — "&amp;Frota!$A46</f>
        <v>MB 1719-Atego — 101134</v>
      </c>
      <c r="B46" s="16" t="str">
        <f>Frota!$C46</f>
        <v>Caminhão</v>
      </c>
      <c r="C46" s="22" t="str">
        <f>INDEX(Cronograma!B$5:B$11,MATCH($B46,Premissas!$A$39:$A$45,0))</f>
        <v/>
      </c>
      <c r="D46" s="22" t="str">
        <f>INDEX(Cronograma!C$5:C$11,MATCH($B46,Premissas!$A$39:$A$45,0))</f>
        <v/>
      </c>
      <c r="E46" s="22" t="str">
        <f>INDEX(Cronograma!D$5:D$11,MATCH($B46,Premissas!$A$39:$A$45,0))</f>
        <v/>
      </c>
      <c r="F46" s="22" t="str">
        <f>INDEX(Cronograma!E$5:E$11,MATCH($B46,Premissas!$A$39:$A$45,0))</f>
        <v/>
      </c>
      <c r="G46" s="22" t="str">
        <f>INDEX(Cronograma!F$5:F$11,MATCH($B46,Premissas!$A$39:$A$45,0))</f>
        <v/>
      </c>
      <c r="H46" s="22" t="str">
        <f>INDEX(Cronograma!G$5:G$11,MATCH($B46,Premissas!$A$39:$A$45,0))</f>
        <v/>
      </c>
      <c r="I46" s="22" t="str">
        <f>INDEX(Cronograma!H$5:H$11,MATCH($B46,Premissas!$A$39:$A$45,0))</f>
        <v>S</v>
      </c>
      <c r="J46" s="22" t="str">
        <f>INDEX(Cronograma!I$5:I$11,MATCH($B46,Premissas!$A$39:$A$45,0))</f>
        <v/>
      </c>
      <c r="K46" s="22" t="str">
        <f>INDEX(Cronograma!J$5:J$11,MATCH($B46,Premissas!$A$39:$A$45,0))</f>
        <v/>
      </c>
      <c r="L46" s="22" t="str">
        <f>INDEX(Cronograma!K$5:K$11,MATCH($B46,Premissas!$A$39:$A$45,0))</f>
        <v/>
      </c>
      <c r="M46" s="22" t="str">
        <f>INDEX(Cronograma!L$5:L$11,MATCH($B46,Premissas!$A$39:$A$45,0))</f>
        <v/>
      </c>
      <c r="N46" s="22" t="str">
        <f>INDEX(Cronograma!M$5:M$11,MATCH($B46,Premissas!$A$39:$A$45,0))</f>
        <v/>
      </c>
      <c r="O46" s="22" t="str">
        <f>INDEX(Cronograma!N$5:N$11,MATCH($B46,Premissas!$A$39:$A$45,0))</f>
        <v/>
      </c>
      <c r="P46" s="22" t="str">
        <f>INDEX(Cronograma!O$5:O$11,MATCH($B46,Premissas!$A$39:$A$45,0))</f>
        <v>A</v>
      </c>
      <c r="Q46" s="22" t="str">
        <f>INDEX(Cronograma!P$5:P$11,MATCH($B46,Premissas!$A$39:$A$45,0))</f>
        <v/>
      </c>
      <c r="R46" s="22" t="str">
        <f>INDEX(Cronograma!Q$5:Q$11,MATCH($B46,Premissas!$A$39:$A$45,0))</f>
        <v/>
      </c>
      <c r="S46" s="22" t="str">
        <f>INDEX(Cronograma!R$5:R$11,MATCH($B46,Premissas!$A$39:$A$45,0))</f>
        <v/>
      </c>
      <c r="T46" s="22" t="str">
        <f>INDEX(Cronograma!S$5:S$11,MATCH($B46,Premissas!$A$39:$A$45,0))</f>
        <v/>
      </c>
      <c r="U46" s="22" t="str">
        <f>INDEX(Cronograma!T$5:T$11,MATCH($B46,Premissas!$A$39:$A$45,0))</f>
        <v/>
      </c>
      <c r="V46" s="22" t="str">
        <f>INDEX(Cronograma!U$5:U$11,MATCH($B46,Premissas!$A$39:$A$45,0))</f>
        <v>S</v>
      </c>
      <c r="W46" s="22" t="str">
        <f>INDEX(Cronograma!V$5:V$11,MATCH($B46,Premissas!$A$39:$A$45,0))</f>
        <v/>
      </c>
      <c r="X46" s="22" t="str">
        <f>INDEX(Cronograma!W$5:W$11,MATCH($B46,Premissas!$A$39:$A$45,0))</f>
        <v/>
      </c>
      <c r="Y46" s="22" t="str">
        <f>INDEX(Cronograma!X$5:X$11,MATCH($B46,Premissas!$A$39:$A$45,0))</f>
        <v/>
      </c>
      <c r="Z46" s="22" t="str">
        <f>INDEX(Cronograma!Y$5:Y$11,MATCH($B46,Premissas!$A$39:$A$45,0))</f>
        <v/>
      </c>
      <c r="AA46" s="22" t="str">
        <f>INDEX(Cronograma!Z$5:Z$11,MATCH($B46,Premissas!$A$39:$A$45,0))</f>
        <v/>
      </c>
      <c r="AB46" s="22" t="str">
        <f>INDEX(Cronograma!AA$5:AA$11,MATCH($B46,Premissas!$A$39:$A$45,0))</f>
        <v/>
      </c>
      <c r="AC46" s="22" t="str">
        <f>INDEX(Cronograma!AB$5:AB$11,MATCH($B46,Premissas!$A$39:$A$45,0))</f>
        <v>B</v>
      </c>
      <c r="AD46" s="22" t="str">
        <f>INDEX(Cronograma!AC$5:AC$11,MATCH($B46,Premissas!$A$39:$A$45,0))</f>
        <v/>
      </c>
      <c r="AE46" s="22" t="str">
        <f>INDEX(Cronograma!AD$5:AD$11,MATCH($B46,Premissas!$A$39:$A$45,0))</f>
        <v/>
      </c>
      <c r="AF46" s="22" t="str">
        <f>INDEX(Cronograma!AE$5:AE$11,MATCH($B46,Premissas!$A$39:$A$45,0))</f>
        <v/>
      </c>
      <c r="AG46" s="22" t="str">
        <f>INDEX(Cronograma!AF$5:AF$11,MATCH($B46,Premissas!$A$39:$A$45,0))</f>
        <v/>
      </c>
      <c r="AH46" s="22" t="str">
        <f>INDEX(Cronograma!AG$5:AG$11,MATCH($B46,Premissas!$A$39:$A$45,0))</f>
        <v/>
      </c>
      <c r="AI46" s="22" t="str">
        <f>INDEX(Cronograma!AH$5:AH$11,MATCH($B46,Premissas!$A$39:$A$45,0))</f>
        <v/>
      </c>
      <c r="AJ46" s="22" t="str">
        <f>INDEX(Cronograma!AI$5:AI$11,MATCH($B46,Premissas!$A$39:$A$45,0))</f>
        <v/>
      </c>
      <c r="AK46" s="22" t="str">
        <f>INDEX(Cronograma!AJ$5:AJ$11,MATCH($B46,Premissas!$A$39:$A$45,0))</f>
        <v/>
      </c>
      <c r="AL46" s="22" t="str">
        <f>INDEX(Cronograma!AK$5:AK$11,MATCH($B46,Premissas!$A$39:$A$45,0))</f>
        <v/>
      </c>
      <c r="AM46" s="22" t="str">
        <f>INDEX(Cronograma!AL$5:AL$11,MATCH($B46,Premissas!$A$39:$A$45,0))</f>
        <v/>
      </c>
      <c r="AN46" s="22" t="str">
        <f>INDEX(Cronograma!AM$5:AM$11,MATCH($B46,Premissas!$A$39:$A$45,0))</f>
        <v/>
      </c>
      <c r="AO46" s="22" t="str">
        <f>INDEX(Cronograma!AN$5:AN$11,MATCH($B46,Premissas!$A$39:$A$45,0))</f>
        <v/>
      </c>
      <c r="AP46" s="22" t="str">
        <f>INDEX(Cronograma!AO$5:AO$11,MATCH($B46,Premissas!$A$39:$A$45,0))</f>
        <v>S</v>
      </c>
      <c r="AQ46" s="22" t="str">
        <f>INDEX(Cronograma!AP$5:AP$11,MATCH($B46,Premissas!$A$39:$A$45,0))</f>
        <v/>
      </c>
      <c r="AR46" s="22" t="str">
        <f>INDEX(Cronograma!AQ$5:AQ$11,MATCH($B46,Premissas!$A$39:$A$45,0))</f>
        <v/>
      </c>
      <c r="AS46" s="22" t="str">
        <f>INDEX(Cronograma!AR$5:AR$11,MATCH($B46,Premissas!$A$39:$A$45,0))</f>
        <v/>
      </c>
      <c r="AT46" s="22" t="str">
        <f>INDEX(Cronograma!AS$5:AS$11,MATCH($B46,Premissas!$A$39:$A$45,0))</f>
        <v/>
      </c>
      <c r="AU46" s="22" t="str">
        <f>INDEX(Cronograma!AT$5:AT$11,MATCH($B46,Premissas!$A$39:$A$45,0))</f>
        <v/>
      </c>
      <c r="AV46" s="22" t="str">
        <f>INDEX(Cronograma!AU$5:AU$11,MATCH($B46,Premissas!$A$39:$A$45,0))</f>
        <v/>
      </c>
      <c r="AW46" s="22" t="str">
        <f>INDEX(Cronograma!AV$5:AV$11,MATCH($B46,Premissas!$A$39:$A$45,0))</f>
        <v/>
      </c>
      <c r="AX46" s="22" t="str">
        <f>INDEX(Cronograma!AW$5:AW$11,MATCH($B46,Premissas!$A$39:$A$45,0))</f>
        <v/>
      </c>
      <c r="AY46" s="22" t="str">
        <f>INDEX(Cronograma!AX$5:AX$11,MATCH($B46,Premissas!$A$39:$A$45,0))</f>
        <v/>
      </c>
      <c r="AZ46" s="22" t="str">
        <f>INDEX(Cronograma!AY$5:AY$11,MATCH($B46,Premissas!$A$39:$A$45,0))</f>
        <v/>
      </c>
      <c r="BA46" s="22" t="str">
        <f>INDEX(Cronograma!AZ$5:AZ$11,MATCH($B46,Premissas!$A$39:$A$45,0))</f>
        <v/>
      </c>
      <c r="BB46" s="22" t="str">
        <f>INDEX(Cronograma!BA$5:BA$11,MATCH($B46,Premissas!$A$39:$A$45,0))</f>
        <v/>
      </c>
    </row>
    <row r="47" spans="1:54" ht="15" customHeight="1" x14ac:dyDescent="0.4">
      <c r="A47" s="15" t="str">
        <f>Frota!$B47&amp;" — "&amp;Frota!$A47</f>
        <v>MB 1719-Atego — 101135</v>
      </c>
      <c r="B47" s="16" t="str">
        <f>Frota!$C47</f>
        <v>Caminhão</v>
      </c>
      <c r="C47" s="22" t="str">
        <f>INDEX(Cronograma!B$5:B$11,MATCH($B47,Premissas!$A$39:$A$45,0))</f>
        <v/>
      </c>
      <c r="D47" s="22" t="str">
        <f>INDEX(Cronograma!C$5:C$11,MATCH($B47,Premissas!$A$39:$A$45,0))</f>
        <v/>
      </c>
      <c r="E47" s="22" t="str">
        <f>INDEX(Cronograma!D$5:D$11,MATCH($B47,Premissas!$A$39:$A$45,0))</f>
        <v/>
      </c>
      <c r="F47" s="22" t="str">
        <f>INDEX(Cronograma!E$5:E$11,MATCH($B47,Premissas!$A$39:$A$45,0))</f>
        <v/>
      </c>
      <c r="G47" s="22" t="str">
        <f>INDEX(Cronograma!F$5:F$11,MATCH($B47,Premissas!$A$39:$A$45,0))</f>
        <v/>
      </c>
      <c r="H47" s="22" t="str">
        <f>INDEX(Cronograma!G$5:G$11,MATCH($B47,Premissas!$A$39:$A$45,0))</f>
        <v/>
      </c>
      <c r="I47" s="22" t="str">
        <f>INDEX(Cronograma!H$5:H$11,MATCH($B47,Premissas!$A$39:$A$45,0))</f>
        <v>S</v>
      </c>
      <c r="J47" s="22" t="str">
        <f>INDEX(Cronograma!I$5:I$11,MATCH($B47,Premissas!$A$39:$A$45,0))</f>
        <v/>
      </c>
      <c r="K47" s="22" t="str">
        <f>INDEX(Cronograma!J$5:J$11,MATCH($B47,Premissas!$A$39:$A$45,0))</f>
        <v/>
      </c>
      <c r="L47" s="22" t="str">
        <f>INDEX(Cronograma!K$5:K$11,MATCH($B47,Premissas!$A$39:$A$45,0))</f>
        <v/>
      </c>
      <c r="M47" s="22" t="str">
        <f>INDEX(Cronograma!L$5:L$11,MATCH($B47,Premissas!$A$39:$A$45,0))</f>
        <v/>
      </c>
      <c r="N47" s="22" t="str">
        <f>INDEX(Cronograma!M$5:M$11,MATCH($B47,Premissas!$A$39:$A$45,0))</f>
        <v/>
      </c>
      <c r="O47" s="22" t="str">
        <f>INDEX(Cronograma!N$5:N$11,MATCH($B47,Premissas!$A$39:$A$45,0))</f>
        <v/>
      </c>
      <c r="P47" s="22" t="str">
        <f>INDEX(Cronograma!O$5:O$11,MATCH($B47,Premissas!$A$39:$A$45,0))</f>
        <v>A</v>
      </c>
      <c r="Q47" s="22" t="str">
        <f>INDEX(Cronograma!P$5:P$11,MATCH($B47,Premissas!$A$39:$A$45,0))</f>
        <v/>
      </c>
      <c r="R47" s="22" t="str">
        <f>INDEX(Cronograma!Q$5:Q$11,MATCH($B47,Premissas!$A$39:$A$45,0))</f>
        <v/>
      </c>
      <c r="S47" s="22" t="str">
        <f>INDEX(Cronograma!R$5:R$11,MATCH($B47,Premissas!$A$39:$A$45,0))</f>
        <v/>
      </c>
      <c r="T47" s="22" t="str">
        <f>INDEX(Cronograma!S$5:S$11,MATCH($B47,Premissas!$A$39:$A$45,0))</f>
        <v/>
      </c>
      <c r="U47" s="22" t="str">
        <f>INDEX(Cronograma!T$5:T$11,MATCH($B47,Premissas!$A$39:$A$45,0))</f>
        <v/>
      </c>
      <c r="V47" s="22" t="str">
        <f>INDEX(Cronograma!U$5:U$11,MATCH($B47,Premissas!$A$39:$A$45,0))</f>
        <v>S</v>
      </c>
      <c r="W47" s="22" t="str">
        <f>INDEX(Cronograma!V$5:V$11,MATCH($B47,Premissas!$A$39:$A$45,0))</f>
        <v/>
      </c>
      <c r="X47" s="22" t="str">
        <f>INDEX(Cronograma!W$5:W$11,MATCH($B47,Premissas!$A$39:$A$45,0))</f>
        <v/>
      </c>
      <c r="Y47" s="22" t="str">
        <f>INDEX(Cronograma!X$5:X$11,MATCH($B47,Premissas!$A$39:$A$45,0))</f>
        <v/>
      </c>
      <c r="Z47" s="22" t="str">
        <f>INDEX(Cronograma!Y$5:Y$11,MATCH($B47,Premissas!$A$39:$A$45,0))</f>
        <v/>
      </c>
      <c r="AA47" s="22" t="str">
        <f>INDEX(Cronograma!Z$5:Z$11,MATCH($B47,Premissas!$A$39:$A$45,0))</f>
        <v/>
      </c>
      <c r="AB47" s="22" t="str">
        <f>INDEX(Cronograma!AA$5:AA$11,MATCH($B47,Premissas!$A$39:$A$45,0))</f>
        <v/>
      </c>
      <c r="AC47" s="22" t="str">
        <f>INDEX(Cronograma!AB$5:AB$11,MATCH($B47,Premissas!$A$39:$A$45,0))</f>
        <v>B</v>
      </c>
      <c r="AD47" s="22" t="str">
        <f>INDEX(Cronograma!AC$5:AC$11,MATCH($B47,Premissas!$A$39:$A$45,0))</f>
        <v/>
      </c>
      <c r="AE47" s="22" t="str">
        <f>INDEX(Cronograma!AD$5:AD$11,MATCH($B47,Premissas!$A$39:$A$45,0))</f>
        <v/>
      </c>
      <c r="AF47" s="22" t="str">
        <f>INDEX(Cronograma!AE$5:AE$11,MATCH($B47,Premissas!$A$39:$A$45,0))</f>
        <v/>
      </c>
      <c r="AG47" s="22" t="str">
        <f>INDEX(Cronograma!AF$5:AF$11,MATCH($B47,Premissas!$A$39:$A$45,0))</f>
        <v/>
      </c>
      <c r="AH47" s="22" t="str">
        <f>INDEX(Cronograma!AG$5:AG$11,MATCH($B47,Premissas!$A$39:$A$45,0))</f>
        <v/>
      </c>
      <c r="AI47" s="22" t="str">
        <f>INDEX(Cronograma!AH$5:AH$11,MATCH($B47,Premissas!$A$39:$A$45,0))</f>
        <v/>
      </c>
      <c r="AJ47" s="22" t="str">
        <f>INDEX(Cronograma!AI$5:AI$11,MATCH($B47,Premissas!$A$39:$A$45,0))</f>
        <v/>
      </c>
      <c r="AK47" s="22" t="str">
        <f>INDEX(Cronograma!AJ$5:AJ$11,MATCH($B47,Premissas!$A$39:$A$45,0))</f>
        <v/>
      </c>
      <c r="AL47" s="22" t="str">
        <f>INDEX(Cronograma!AK$5:AK$11,MATCH($B47,Premissas!$A$39:$A$45,0))</f>
        <v/>
      </c>
      <c r="AM47" s="22" t="str">
        <f>INDEX(Cronograma!AL$5:AL$11,MATCH($B47,Premissas!$A$39:$A$45,0))</f>
        <v/>
      </c>
      <c r="AN47" s="22" t="str">
        <f>INDEX(Cronograma!AM$5:AM$11,MATCH($B47,Premissas!$A$39:$A$45,0))</f>
        <v/>
      </c>
      <c r="AO47" s="22" t="str">
        <f>INDEX(Cronograma!AN$5:AN$11,MATCH($B47,Premissas!$A$39:$A$45,0))</f>
        <v/>
      </c>
      <c r="AP47" s="22" t="str">
        <f>INDEX(Cronograma!AO$5:AO$11,MATCH($B47,Premissas!$A$39:$A$45,0))</f>
        <v>S</v>
      </c>
      <c r="AQ47" s="22" t="str">
        <f>INDEX(Cronograma!AP$5:AP$11,MATCH($B47,Premissas!$A$39:$A$45,0))</f>
        <v/>
      </c>
      <c r="AR47" s="22" t="str">
        <f>INDEX(Cronograma!AQ$5:AQ$11,MATCH($B47,Premissas!$A$39:$A$45,0))</f>
        <v/>
      </c>
      <c r="AS47" s="22" t="str">
        <f>INDEX(Cronograma!AR$5:AR$11,MATCH($B47,Premissas!$A$39:$A$45,0))</f>
        <v/>
      </c>
      <c r="AT47" s="22" t="str">
        <f>INDEX(Cronograma!AS$5:AS$11,MATCH($B47,Premissas!$A$39:$A$45,0))</f>
        <v/>
      </c>
      <c r="AU47" s="22" t="str">
        <f>INDEX(Cronograma!AT$5:AT$11,MATCH($B47,Premissas!$A$39:$A$45,0))</f>
        <v/>
      </c>
      <c r="AV47" s="22" t="str">
        <f>INDEX(Cronograma!AU$5:AU$11,MATCH($B47,Premissas!$A$39:$A$45,0))</f>
        <v/>
      </c>
      <c r="AW47" s="22" t="str">
        <f>INDEX(Cronograma!AV$5:AV$11,MATCH($B47,Premissas!$A$39:$A$45,0))</f>
        <v/>
      </c>
      <c r="AX47" s="22" t="str">
        <f>INDEX(Cronograma!AW$5:AW$11,MATCH($B47,Premissas!$A$39:$A$45,0))</f>
        <v/>
      </c>
      <c r="AY47" s="22" t="str">
        <f>INDEX(Cronograma!AX$5:AX$11,MATCH($B47,Premissas!$A$39:$A$45,0))</f>
        <v/>
      </c>
      <c r="AZ47" s="22" t="str">
        <f>INDEX(Cronograma!AY$5:AY$11,MATCH($B47,Premissas!$A$39:$A$45,0))</f>
        <v/>
      </c>
      <c r="BA47" s="22" t="str">
        <f>INDEX(Cronograma!AZ$5:AZ$11,MATCH($B47,Premissas!$A$39:$A$45,0))</f>
        <v/>
      </c>
      <c r="BB47" s="22" t="str">
        <f>INDEX(Cronograma!BA$5:BA$11,MATCH($B47,Premissas!$A$39:$A$45,0))</f>
        <v/>
      </c>
    </row>
    <row r="48" spans="1:54" ht="15" customHeight="1" x14ac:dyDescent="0.4">
      <c r="A48" s="15" t="str">
        <f>Frota!$B48&amp;" — "&amp;Frota!$A48</f>
        <v>MB 1719-Atego — 101136</v>
      </c>
      <c r="B48" s="16" t="str">
        <f>Frota!$C48</f>
        <v>Caminhão</v>
      </c>
      <c r="C48" s="22" t="str">
        <f>INDEX(Cronograma!B$5:B$11,MATCH($B48,Premissas!$A$39:$A$45,0))</f>
        <v/>
      </c>
      <c r="D48" s="22" t="str">
        <f>INDEX(Cronograma!C$5:C$11,MATCH($B48,Premissas!$A$39:$A$45,0))</f>
        <v/>
      </c>
      <c r="E48" s="22" t="str">
        <f>INDEX(Cronograma!D$5:D$11,MATCH($B48,Premissas!$A$39:$A$45,0))</f>
        <v/>
      </c>
      <c r="F48" s="22" t="str">
        <f>INDEX(Cronograma!E$5:E$11,MATCH($B48,Premissas!$A$39:$A$45,0))</f>
        <v/>
      </c>
      <c r="G48" s="22" t="str">
        <f>INDEX(Cronograma!F$5:F$11,MATCH($B48,Premissas!$A$39:$A$45,0))</f>
        <v/>
      </c>
      <c r="H48" s="22" t="str">
        <f>INDEX(Cronograma!G$5:G$11,MATCH($B48,Premissas!$A$39:$A$45,0))</f>
        <v/>
      </c>
      <c r="I48" s="22" t="str">
        <f>INDEX(Cronograma!H$5:H$11,MATCH($B48,Premissas!$A$39:$A$45,0))</f>
        <v>S</v>
      </c>
      <c r="J48" s="22" t="str">
        <f>INDEX(Cronograma!I$5:I$11,MATCH($B48,Premissas!$A$39:$A$45,0))</f>
        <v/>
      </c>
      <c r="K48" s="22" t="str">
        <f>INDEX(Cronograma!J$5:J$11,MATCH($B48,Premissas!$A$39:$A$45,0))</f>
        <v/>
      </c>
      <c r="L48" s="22" t="str">
        <f>INDEX(Cronograma!K$5:K$11,MATCH($B48,Premissas!$A$39:$A$45,0))</f>
        <v/>
      </c>
      <c r="M48" s="22" t="str">
        <f>INDEX(Cronograma!L$5:L$11,MATCH($B48,Premissas!$A$39:$A$45,0))</f>
        <v/>
      </c>
      <c r="N48" s="22" t="str">
        <f>INDEX(Cronograma!M$5:M$11,MATCH($B48,Premissas!$A$39:$A$45,0))</f>
        <v/>
      </c>
      <c r="O48" s="22" t="str">
        <f>INDEX(Cronograma!N$5:N$11,MATCH($B48,Premissas!$A$39:$A$45,0))</f>
        <v/>
      </c>
      <c r="P48" s="22" t="str">
        <f>INDEX(Cronograma!O$5:O$11,MATCH($B48,Premissas!$A$39:$A$45,0))</f>
        <v>A</v>
      </c>
      <c r="Q48" s="22" t="str">
        <f>INDEX(Cronograma!P$5:P$11,MATCH($B48,Premissas!$A$39:$A$45,0))</f>
        <v/>
      </c>
      <c r="R48" s="22" t="str">
        <f>INDEX(Cronograma!Q$5:Q$11,MATCH($B48,Premissas!$A$39:$A$45,0))</f>
        <v/>
      </c>
      <c r="S48" s="22" t="str">
        <f>INDEX(Cronograma!R$5:R$11,MATCH($B48,Premissas!$A$39:$A$45,0))</f>
        <v/>
      </c>
      <c r="T48" s="22" t="str">
        <f>INDEX(Cronograma!S$5:S$11,MATCH($B48,Premissas!$A$39:$A$45,0))</f>
        <v/>
      </c>
      <c r="U48" s="22" t="str">
        <f>INDEX(Cronograma!T$5:T$11,MATCH($B48,Premissas!$A$39:$A$45,0))</f>
        <v/>
      </c>
      <c r="V48" s="22" t="str">
        <f>INDEX(Cronograma!U$5:U$11,MATCH($B48,Premissas!$A$39:$A$45,0))</f>
        <v>S</v>
      </c>
      <c r="W48" s="22" t="str">
        <f>INDEX(Cronograma!V$5:V$11,MATCH($B48,Premissas!$A$39:$A$45,0))</f>
        <v/>
      </c>
      <c r="X48" s="22" t="str">
        <f>INDEX(Cronograma!W$5:W$11,MATCH($B48,Premissas!$A$39:$A$45,0))</f>
        <v/>
      </c>
      <c r="Y48" s="22" t="str">
        <f>INDEX(Cronograma!X$5:X$11,MATCH($B48,Premissas!$A$39:$A$45,0))</f>
        <v/>
      </c>
      <c r="Z48" s="22" t="str">
        <f>INDEX(Cronograma!Y$5:Y$11,MATCH($B48,Premissas!$A$39:$A$45,0))</f>
        <v/>
      </c>
      <c r="AA48" s="22" t="str">
        <f>INDEX(Cronograma!Z$5:Z$11,MATCH($B48,Premissas!$A$39:$A$45,0))</f>
        <v/>
      </c>
      <c r="AB48" s="22" t="str">
        <f>INDEX(Cronograma!AA$5:AA$11,MATCH($B48,Premissas!$A$39:$A$45,0))</f>
        <v/>
      </c>
      <c r="AC48" s="22" t="str">
        <f>INDEX(Cronograma!AB$5:AB$11,MATCH($B48,Premissas!$A$39:$A$45,0))</f>
        <v>B</v>
      </c>
      <c r="AD48" s="22" t="str">
        <f>INDEX(Cronograma!AC$5:AC$11,MATCH($B48,Premissas!$A$39:$A$45,0))</f>
        <v/>
      </c>
      <c r="AE48" s="22" t="str">
        <f>INDEX(Cronograma!AD$5:AD$11,MATCH($B48,Premissas!$A$39:$A$45,0))</f>
        <v/>
      </c>
      <c r="AF48" s="22" t="str">
        <f>INDEX(Cronograma!AE$5:AE$11,MATCH($B48,Premissas!$A$39:$A$45,0))</f>
        <v/>
      </c>
      <c r="AG48" s="22" t="str">
        <f>INDEX(Cronograma!AF$5:AF$11,MATCH($B48,Premissas!$A$39:$A$45,0))</f>
        <v/>
      </c>
      <c r="AH48" s="22" t="str">
        <f>INDEX(Cronograma!AG$5:AG$11,MATCH($B48,Premissas!$A$39:$A$45,0))</f>
        <v/>
      </c>
      <c r="AI48" s="22" t="str">
        <f>INDEX(Cronograma!AH$5:AH$11,MATCH($B48,Premissas!$A$39:$A$45,0))</f>
        <v/>
      </c>
      <c r="AJ48" s="22" t="str">
        <f>INDEX(Cronograma!AI$5:AI$11,MATCH($B48,Premissas!$A$39:$A$45,0))</f>
        <v/>
      </c>
      <c r="AK48" s="22" t="str">
        <f>INDEX(Cronograma!AJ$5:AJ$11,MATCH($B48,Premissas!$A$39:$A$45,0))</f>
        <v/>
      </c>
      <c r="AL48" s="22" t="str">
        <f>INDEX(Cronograma!AK$5:AK$11,MATCH($B48,Premissas!$A$39:$A$45,0))</f>
        <v/>
      </c>
      <c r="AM48" s="22" t="str">
        <f>INDEX(Cronograma!AL$5:AL$11,MATCH($B48,Premissas!$A$39:$A$45,0))</f>
        <v/>
      </c>
      <c r="AN48" s="22" t="str">
        <f>INDEX(Cronograma!AM$5:AM$11,MATCH($B48,Premissas!$A$39:$A$45,0))</f>
        <v/>
      </c>
      <c r="AO48" s="22" t="str">
        <f>INDEX(Cronograma!AN$5:AN$11,MATCH($B48,Premissas!$A$39:$A$45,0))</f>
        <v/>
      </c>
      <c r="AP48" s="22" t="str">
        <f>INDEX(Cronograma!AO$5:AO$11,MATCH($B48,Premissas!$A$39:$A$45,0))</f>
        <v>S</v>
      </c>
      <c r="AQ48" s="22" t="str">
        <f>INDEX(Cronograma!AP$5:AP$11,MATCH($B48,Premissas!$A$39:$A$45,0))</f>
        <v/>
      </c>
      <c r="AR48" s="22" t="str">
        <f>INDEX(Cronograma!AQ$5:AQ$11,MATCH($B48,Premissas!$A$39:$A$45,0))</f>
        <v/>
      </c>
      <c r="AS48" s="22" t="str">
        <f>INDEX(Cronograma!AR$5:AR$11,MATCH($B48,Premissas!$A$39:$A$45,0))</f>
        <v/>
      </c>
      <c r="AT48" s="22" t="str">
        <f>INDEX(Cronograma!AS$5:AS$11,MATCH($B48,Premissas!$A$39:$A$45,0))</f>
        <v/>
      </c>
      <c r="AU48" s="22" t="str">
        <f>INDEX(Cronograma!AT$5:AT$11,MATCH($B48,Premissas!$A$39:$A$45,0))</f>
        <v/>
      </c>
      <c r="AV48" s="22" t="str">
        <f>INDEX(Cronograma!AU$5:AU$11,MATCH($B48,Premissas!$A$39:$A$45,0))</f>
        <v/>
      </c>
      <c r="AW48" s="22" t="str">
        <f>INDEX(Cronograma!AV$5:AV$11,MATCH($B48,Premissas!$A$39:$A$45,0))</f>
        <v/>
      </c>
      <c r="AX48" s="22" t="str">
        <f>INDEX(Cronograma!AW$5:AW$11,MATCH($B48,Premissas!$A$39:$A$45,0))</f>
        <v/>
      </c>
      <c r="AY48" s="22" t="str">
        <f>INDEX(Cronograma!AX$5:AX$11,MATCH($B48,Premissas!$A$39:$A$45,0))</f>
        <v/>
      </c>
      <c r="AZ48" s="22" t="str">
        <f>INDEX(Cronograma!AY$5:AY$11,MATCH($B48,Premissas!$A$39:$A$45,0))</f>
        <v/>
      </c>
      <c r="BA48" s="22" t="str">
        <f>INDEX(Cronograma!AZ$5:AZ$11,MATCH($B48,Premissas!$A$39:$A$45,0))</f>
        <v/>
      </c>
      <c r="BB48" s="22" t="str">
        <f>INDEX(Cronograma!BA$5:BA$11,MATCH($B48,Premissas!$A$39:$A$45,0))</f>
        <v/>
      </c>
    </row>
    <row r="49" spans="1:54" ht="15" customHeight="1" x14ac:dyDescent="0.4">
      <c r="A49" s="15" t="str">
        <f>Frota!$B49&amp;" — "&amp;Frota!$A49</f>
        <v>MB 1719-Atego — 101137</v>
      </c>
      <c r="B49" s="16" t="str">
        <f>Frota!$C49</f>
        <v>Caminhão</v>
      </c>
      <c r="C49" s="22" t="str">
        <f>INDEX(Cronograma!B$5:B$11,MATCH($B49,Premissas!$A$39:$A$45,0))</f>
        <v/>
      </c>
      <c r="D49" s="22" t="str">
        <f>INDEX(Cronograma!C$5:C$11,MATCH($B49,Premissas!$A$39:$A$45,0))</f>
        <v/>
      </c>
      <c r="E49" s="22" t="str">
        <f>INDEX(Cronograma!D$5:D$11,MATCH($B49,Premissas!$A$39:$A$45,0))</f>
        <v/>
      </c>
      <c r="F49" s="22" t="str">
        <f>INDEX(Cronograma!E$5:E$11,MATCH($B49,Premissas!$A$39:$A$45,0))</f>
        <v/>
      </c>
      <c r="G49" s="22" t="str">
        <f>INDEX(Cronograma!F$5:F$11,MATCH($B49,Premissas!$A$39:$A$45,0))</f>
        <v/>
      </c>
      <c r="H49" s="22" t="str">
        <f>INDEX(Cronograma!G$5:G$11,MATCH($B49,Premissas!$A$39:$A$45,0))</f>
        <v/>
      </c>
      <c r="I49" s="22" t="str">
        <f>INDEX(Cronograma!H$5:H$11,MATCH($B49,Premissas!$A$39:$A$45,0))</f>
        <v>S</v>
      </c>
      <c r="J49" s="22" t="str">
        <f>INDEX(Cronograma!I$5:I$11,MATCH($B49,Premissas!$A$39:$A$45,0))</f>
        <v/>
      </c>
      <c r="K49" s="22" t="str">
        <f>INDEX(Cronograma!J$5:J$11,MATCH($B49,Premissas!$A$39:$A$45,0))</f>
        <v/>
      </c>
      <c r="L49" s="22" t="str">
        <f>INDEX(Cronograma!K$5:K$11,MATCH($B49,Premissas!$A$39:$A$45,0))</f>
        <v/>
      </c>
      <c r="M49" s="22" t="str">
        <f>INDEX(Cronograma!L$5:L$11,MATCH($B49,Premissas!$A$39:$A$45,0))</f>
        <v/>
      </c>
      <c r="N49" s="22" t="str">
        <f>INDEX(Cronograma!M$5:M$11,MATCH($B49,Premissas!$A$39:$A$45,0))</f>
        <v/>
      </c>
      <c r="O49" s="22" t="str">
        <f>INDEX(Cronograma!N$5:N$11,MATCH($B49,Premissas!$A$39:$A$45,0))</f>
        <v/>
      </c>
      <c r="P49" s="22" t="str">
        <f>INDEX(Cronograma!O$5:O$11,MATCH($B49,Premissas!$A$39:$A$45,0))</f>
        <v>A</v>
      </c>
      <c r="Q49" s="22" t="str">
        <f>INDEX(Cronograma!P$5:P$11,MATCH($B49,Premissas!$A$39:$A$45,0))</f>
        <v/>
      </c>
      <c r="R49" s="22" t="str">
        <f>INDEX(Cronograma!Q$5:Q$11,MATCH($B49,Premissas!$A$39:$A$45,0))</f>
        <v/>
      </c>
      <c r="S49" s="22" t="str">
        <f>INDEX(Cronograma!R$5:R$11,MATCH($B49,Premissas!$A$39:$A$45,0))</f>
        <v/>
      </c>
      <c r="T49" s="22" t="str">
        <f>INDEX(Cronograma!S$5:S$11,MATCH($B49,Premissas!$A$39:$A$45,0))</f>
        <v/>
      </c>
      <c r="U49" s="22" t="str">
        <f>INDEX(Cronograma!T$5:T$11,MATCH($B49,Premissas!$A$39:$A$45,0))</f>
        <v/>
      </c>
      <c r="V49" s="22" t="str">
        <f>INDEX(Cronograma!U$5:U$11,MATCH($B49,Premissas!$A$39:$A$45,0))</f>
        <v>S</v>
      </c>
      <c r="W49" s="22" t="str">
        <f>INDEX(Cronograma!V$5:V$11,MATCH($B49,Premissas!$A$39:$A$45,0))</f>
        <v/>
      </c>
      <c r="X49" s="22" t="str">
        <f>INDEX(Cronograma!W$5:W$11,MATCH($B49,Premissas!$A$39:$A$45,0))</f>
        <v/>
      </c>
      <c r="Y49" s="22" t="str">
        <f>INDEX(Cronograma!X$5:X$11,MATCH($B49,Premissas!$A$39:$A$45,0))</f>
        <v/>
      </c>
      <c r="Z49" s="22" t="str">
        <f>INDEX(Cronograma!Y$5:Y$11,MATCH($B49,Premissas!$A$39:$A$45,0))</f>
        <v/>
      </c>
      <c r="AA49" s="22" t="str">
        <f>INDEX(Cronograma!Z$5:Z$11,MATCH($B49,Premissas!$A$39:$A$45,0))</f>
        <v/>
      </c>
      <c r="AB49" s="22" t="str">
        <f>INDEX(Cronograma!AA$5:AA$11,MATCH($B49,Premissas!$A$39:$A$45,0))</f>
        <v/>
      </c>
      <c r="AC49" s="22" t="str">
        <f>INDEX(Cronograma!AB$5:AB$11,MATCH($B49,Premissas!$A$39:$A$45,0))</f>
        <v>B</v>
      </c>
      <c r="AD49" s="22" t="str">
        <f>INDEX(Cronograma!AC$5:AC$11,MATCH($B49,Premissas!$A$39:$A$45,0))</f>
        <v/>
      </c>
      <c r="AE49" s="22" t="str">
        <f>INDEX(Cronograma!AD$5:AD$11,MATCH($B49,Premissas!$A$39:$A$45,0))</f>
        <v/>
      </c>
      <c r="AF49" s="22" t="str">
        <f>INDEX(Cronograma!AE$5:AE$11,MATCH($B49,Premissas!$A$39:$A$45,0))</f>
        <v/>
      </c>
      <c r="AG49" s="22" t="str">
        <f>INDEX(Cronograma!AF$5:AF$11,MATCH($B49,Premissas!$A$39:$A$45,0))</f>
        <v/>
      </c>
      <c r="AH49" s="22" t="str">
        <f>INDEX(Cronograma!AG$5:AG$11,MATCH($B49,Premissas!$A$39:$A$45,0))</f>
        <v/>
      </c>
      <c r="AI49" s="22" t="str">
        <f>INDEX(Cronograma!AH$5:AH$11,MATCH($B49,Premissas!$A$39:$A$45,0))</f>
        <v/>
      </c>
      <c r="AJ49" s="22" t="str">
        <f>INDEX(Cronograma!AI$5:AI$11,MATCH($B49,Premissas!$A$39:$A$45,0))</f>
        <v/>
      </c>
      <c r="AK49" s="22" t="str">
        <f>INDEX(Cronograma!AJ$5:AJ$11,MATCH($B49,Premissas!$A$39:$A$45,0))</f>
        <v/>
      </c>
      <c r="AL49" s="22" t="str">
        <f>INDEX(Cronograma!AK$5:AK$11,MATCH($B49,Premissas!$A$39:$A$45,0))</f>
        <v/>
      </c>
      <c r="AM49" s="22" t="str">
        <f>INDEX(Cronograma!AL$5:AL$11,MATCH($B49,Premissas!$A$39:$A$45,0))</f>
        <v/>
      </c>
      <c r="AN49" s="22" t="str">
        <f>INDEX(Cronograma!AM$5:AM$11,MATCH($B49,Premissas!$A$39:$A$45,0))</f>
        <v/>
      </c>
      <c r="AO49" s="22" t="str">
        <f>INDEX(Cronograma!AN$5:AN$11,MATCH($B49,Premissas!$A$39:$A$45,0))</f>
        <v/>
      </c>
      <c r="AP49" s="22" t="str">
        <f>INDEX(Cronograma!AO$5:AO$11,MATCH($B49,Premissas!$A$39:$A$45,0))</f>
        <v>S</v>
      </c>
      <c r="AQ49" s="22" t="str">
        <f>INDEX(Cronograma!AP$5:AP$11,MATCH($B49,Premissas!$A$39:$A$45,0))</f>
        <v/>
      </c>
      <c r="AR49" s="22" t="str">
        <f>INDEX(Cronograma!AQ$5:AQ$11,MATCH($B49,Premissas!$A$39:$A$45,0))</f>
        <v/>
      </c>
      <c r="AS49" s="22" t="str">
        <f>INDEX(Cronograma!AR$5:AR$11,MATCH($B49,Premissas!$A$39:$A$45,0))</f>
        <v/>
      </c>
      <c r="AT49" s="22" t="str">
        <f>INDEX(Cronograma!AS$5:AS$11,MATCH($B49,Premissas!$A$39:$A$45,0))</f>
        <v/>
      </c>
      <c r="AU49" s="22" t="str">
        <f>INDEX(Cronograma!AT$5:AT$11,MATCH($B49,Premissas!$A$39:$A$45,0))</f>
        <v/>
      </c>
      <c r="AV49" s="22" t="str">
        <f>INDEX(Cronograma!AU$5:AU$11,MATCH($B49,Premissas!$A$39:$A$45,0))</f>
        <v/>
      </c>
      <c r="AW49" s="22" t="str">
        <f>INDEX(Cronograma!AV$5:AV$11,MATCH($B49,Premissas!$A$39:$A$45,0))</f>
        <v/>
      </c>
      <c r="AX49" s="22" t="str">
        <f>INDEX(Cronograma!AW$5:AW$11,MATCH($B49,Premissas!$A$39:$A$45,0))</f>
        <v/>
      </c>
      <c r="AY49" s="22" t="str">
        <f>INDEX(Cronograma!AX$5:AX$11,MATCH($B49,Premissas!$A$39:$A$45,0))</f>
        <v/>
      </c>
      <c r="AZ49" s="22" t="str">
        <f>INDEX(Cronograma!AY$5:AY$11,MATCH($B49,Premissas!$A$39:$A$45,0))</f>
        <v/>
      </c>
      <c r="BA49" s="22" t="str">
        <f>INDEX(Cronograma!AZ$5:AZ$11,MATCH($B49,Premissas!$A$39:$A$45,0))</f>
        <v/>
      </c>
      <c r="BB49" s="22" t="str">
        <f>INDEX(Cronograma!BA$5:BA$11,MATCH($B49,Premissas!$A$39:$A$45,0))</f>
        <v/>
      </c>
    </row>
    <row r="50" spans="1:54" ht="15" customHeight="1" x14ac:dyDescent="0.4">
      <c r="A50" s="15" t="str">
        <f>Frota!$B50&amp;" — "&amp;Frota!$A50</f>
        <v>MB 1719-Atego — 101138</v>
      </c>
      <c r="B50" s="16" t="str">
        <f>Frota!$C50</f>
        <v>Caminhão</v>
      </c>
      <c r="C50" s="22" t="str">
        <f>INDEX(Cronograma!B$5:B$11,MATCH($B50,Premissas!$A$39:$A$45,0))</f>
        <v/>
      </c>
      <c r="D50" s="22" t="str">
        <f>INDEX(Cronograma!C$5:C$11,MATCH($B50,Premissas!$A$39:$A$45,0))</f>
        <v/>
      </c>
      <c r="E50" s="22" t="str">
        <f>INDEX(Cronograma!D$5:D$11,MATCH($B50,Premissas!$A$39:$A$45,0))</f>
        <v/>
      </c>
      <c r="F50" s="22" t="str">
        <f>INDEX(Cronograma!E$5:E$11,MATCH($B50,Premissas!$A$39:$A$45,0))</f>
        <v/>
      </c>
      <c r="G50" s="22" t="str">
        <f>INDEX(Cronograma!F$5:F$11,MATCH($B50,Premissas!$A$39:$A$45,0))</f>
        <v/>
      </c>
      <c r="H50" s="22" t="str">
        <f>INDEX(Cronograma!G$5:G$11,MATCH($B50,Premissas!$A$39:$A$45,0))</f>
        <v/>
      </c>
      <c r="I50" s="22" t="str">
        <f>INDEX(Cronograma!H$5:H$11,MATCH($B50,Premissas!$A$39:$A$45,0))</f>
        <v>S</v>
      </c>
      <c r="J50" s="22" t="str">
        <f>INDEX(Cronograma!I$5:I$11,MATCH($B50,Premissas!$A$39:$A$45,0))</f>
        <v/>
      </c>
      <c r="K50" s="22" t="str">
        <f>INDEX(Cronograma!J$5:J$11,MATCH($B50,Premissas!$A$39:$A$45,0))</f>
        <v/>
      </c>
      <c r="L50" s="22" t="str">
        <f>INDEX(Cronograma!K$5:K$11,MATCH($B50,Premissas!$A$39:$A$45,0))</f>
        <v/>
      </c>
      <c r="M50" s="22" t="str">
        <f>INDEX(Cronograma!L$5:L$11,MATCH($B50,Premissas!$A$39:$A$45,0))</f>
        <v/>
      </c>
      <c r="N50" s="22" t="str">
        <f>INDEX(Cronograma!M$5:M$11,MATCH($B50,Premissas!$A$39:$A$45,0))</f>
        <v/>
      </c>
      <c r="O50" s="22" t="str">
        <f>INDEX(Cronograma!N$5:N$11,MATCH($B50,Premissas!$A$39:$A$45,0))</f>
        <v/>
      </c>
      <c r="P50" s="22" t="str">
        <f>INDEX(Cronograma!O$5:O$11,MATCH($B50,Premissas!$A$39:$A$45,0))</f>
        <v>A</v>
      </c>
      <c r="Q50" s="22" t="str">
        <f>INDEX(Cronograma!P$5:P$11,MATCH($B50,Premissas!$A$39:$A$45,0))</f>
        <v/>
      </c>
      <c r="R50" s="22" t="str">
        <f>INDEX(Cronograma!Q$5:Q$11,MATCH($B50,Premissas!$A$39:$A$45,0))</f>
        <v/>
      </c>
      <c r="S50" s="22" t="str">
        <f>INDEX(Cronograma!R$5:R$11,MATCH($B50,Premissas!$A$39:$A$45,0))</f>
        <v/>
      </c>
      <c r="T50" s="22" t="str">
        <f>INDEX(Cronograma!S$5:S$11,MATCH($B50,Premissas!$A$39:$A$45,0))</f>
        <v/>
      </c>
      <c r="U50" s="22" t="str">
        <f>INDEX(Cronograma!T$5:T$11,MATCH($B50,Premissas!$A$39:$A$45,0))</f>
        <v/>
      </c>
      <c r="V50" s="22" t="str">
        <f>INDEX(Cronograma!U$5:U$11,MATCH($B50,Premissas!$A$39:$A$45,0))</f>
        <v>S</v>
      </c>
      <c r="W50" s="22" t="str">
        <f>INDEX(Cronograma!V$5:V$11,MATCH($B50,Premissas!$A$39:$A$45,0))</f>
        <v/>
      </c>
      <c r="X50" s="22" t="str">
        <f>INDEX(Cronograma!W$5:W$11,MATCH($B50,Premissas!$A$39:$A$45,0))</f>
        <v/>
      </c>
      <c r="Y50" s="22" t="str">
        <f>INDEX(Cronograma!X$5:X$11,MATCH($B50,Premissas!$A$39:$A$45,0))</f>
        <v/>
      </c>
      <c r="Z50" s="22" t="str">
        <f>INDEX(Cronograma!Y$5:Y$11,MATCH($B50,Premissas!$A$39:$A$45,0))</f>
        <v/>
      </c>
      <c r="AA50" s="22" t="str">
        <f>INDEX(Cronograma!Z$5:Z$11,MATCH($B50,Premissas!$A$39:$A$45,0))</f>
        <v/>
      </c>
      <c r="AB50" s="22" t="str">
        <f>INDEX(Cronograma!AA$5:AA$11,MATCH($B50,Premissas!$A$39:$A$45,0))</f>
        <v/>
      </c>
      <c r="AC50" s="22" t="str">
        <f>INDEX(Cronograma!AB$5:AB$11,MATCH($B50,Premissas!$A$39:$A$45,0))</f>
        <v>B</v>
      </c>
      <c r="AD50" s="22" t="str">
        <f>INDEX(Cronograma!AC$5:AC$11,MATCH($B50,Premissas!$A$39:$A$45,0))</f>
        <v/>
      </c>
      <c r="AE50" s="22" t="str">
        <f>INDEX(Cronograma!AD$5:AD$11,MATCH($B50,Premissas!$A$39:$A$45,0))</f>
        <v/>
      </c>
      <c r="AF50" s="22" t="str">
        <f>INDEX(Cronograma!AE$5:AE$11,MATCH($B50,Premissas!$A$39:$A$45,0))</f>
        <v/>
      </c>
      <c r="AG50" s="22" t="str">
        <f>INDEX(Cronograma!AF$5:AF$11,MATCH($B50,Premissas!$A$39:$A$45,0))</f>
        <v/>
      </c>
      <c r="AH50" s="22" t="str">
        <f>INDEX(Cronograma!AG$5:AG$11,MATCH($B50,Premissas!$A$39:$A$45,0))</f>
        <v/>
      </c>
      <c r="AI50" s="22" t="str">
        <f>INDEX(Cronograma!AH$5:AH$11,MATCH($B50,Premissas!$A$39:$A$45,0))</f>
        <v/>
      </c>
      <c r="AJ50" s="22" t="str">
        <f>INDEX(Cronograma!AI$5:AI$11,MATCH($B50,Premissas!$A$39:$A$45,0))</f>
        <v/>
      </c>
      <c r="AK50" s="22" t="str">
        <f>INDEX(Cronograma!AJ$5:AJ$11,MATCH($B50,Premissas!$A$39:$A$45,0))</f>
        <v/>
      </c>
      <c r="AL50" s="22" t="str">
        <f>INDEX(Cronograma!AK$5:AK$11,MATCH($B50,Premissas!$A$39:$A$45,0))</f>
        <v/>
      </c>
      <c r="AM50" s="22" t="str">
        <f>INDEX(Cronograma!AL$5:AL$11,MATCH($B50,Premissas!$A$39:$A$45,0))</f>
        <v/>
      </c>
      <c r="AN50" s="22" t="str">
        <f>INDEX(Cronograma!AM$5:AM$11,MATCH($B50,Premissas!$A$39:$A$45,0))</f>
        <v/>
      </c>
      <c r="AO50" s="22" t="str">
        <f>INDEX(Cronograma!AN$5:AN$11,MATCH($B50,Premissas!$A$39:$A$45,0))</f>
        <v/>
      </c>
      <c r="AP50" s="22" t="str">
        <f>INDEX(Cronograma!AO$5:AO$11,MATCH($B50,Premissas!$A$39:$A$45,0))</f>
        <v>S</v>
      </c>
      <c r="AQ50" s="22" t="str">
        <f>INDEX(Cronograma!AP$5:AP$11,MATCH($B50,Premissas!$A$39:$A$45,0))</f>
        <v/>
      </c>
      <c r="AR50" s="22" t="str">
        <f>INDEX(Cronograma!AQ$5:AQ$11,MATCH($B50,Premissas!$A$39:$A$45,0))</f>
        <v/>
      </c>
      <c r="AS50" s="22" t="str">
        <f>INDEX(Cronograma!AR$5:AR$11,MATCH($B50,Premissas!$A$39:$A$45,0))</f>
        <v/>
      </c>
      <c r="AT50" s="22" t="str">
        <f>INDEX(Cronograma!AS$5:AS$11,MATCH($B50,Premissas!$A$39:$A$45,0))</f>
        <v/>
      </c>
      <c r="AU50" s="22" t="str">
        <f>INDEX(Cronograma!AT$5:AT$11,MATCH($B50,Premissas!$A$39:$A$45,0))</f>
        <v/>
      </c>
      <c r="AV50" s="22" t="str">
        <f>INDEX(Cronograma!AU$5:AU$11,MATCH($B50,Premissas!$A$39:$A$45,0))</f>
        <v/>
      </c>
      <c r="AW50" s="22" t="str">
        <f>INDEX(Cronograma!AV$5:AV$11,MATCH($B50,Premissas!$A$39:$A$45,0))</f>
        <v/>
      </c>
      <c r="AX50" s="22" t="str">
        <f>INDEX(Cronograma!AW$5:AW$11,MATCH($B50,Premissas!$A$39:$A$45,0))</f>
        <v/>
      </c>
      <c r="AY50" s="22" t="str">
        <f>INDEX(Cronograma!AX$5:AX$11,MATCH($B50,Premissas!$A$39:$A$45,0))</f>
        <v/>
      </c>
      <c r="AZ50" s="22" t="str">
        <f>INDEX(Cronograma!AY$5:AY$11,MATCH($B50,Premissas!$A$39:$A$45,0))</f>
        <v/>
      </c>
      <c r="BA50" s="22" t="str">
        <f>INDEX(Cronograma!AZ$5:AZ$11,MATCH($B50,Premissas!$A$39:$A$45,0))</f>
        <v/>
      </c>
      <c r="BB50" s="22" t="str">
        <f>INDEX(Cronograma!BA$5:BA$11,MATCH($B50,Premissas!$A$39:$A$45,0))</f>
        <v/>
      </c>
    </row>
    <row r="51" spans="1:54" ht="15" customHeight="1" x14ac:dyDescent="0.4">
      <c r="A51" s="15" t="str">
        <f>Frota!$B51&amp;" — "&amp;Frota!$A51</f>
        <v>MB 1719-Atego — 101139</v>
      </c>
      <c r="B51" s="16" t="str">
        <f>Frota!$C51</f>
        <v>Caminhão</v>
      </c>
      <c r="C51" s="22" t="str">
        <f>INDEX(Cronograma!B$5:B$11,MATCH($B51,Premissas!$A$39:$A$45,0))</f>
        <v/>
      </c>
      <c r="D51" s="22" t="str">
        <f>INDEX(Cronograma!C$5:C$11,MATCH($B51,Premissas!$A$39:$A$45,0))</f>
        <v/>
      </c>
      <c r="E51" s="22" t="str">
        <f>INDEX(Cronograma!D$5:D$11,MATCH($B51,Premissas!$A$39:$A$45,0))</f>
        <v/>
      </c>
      <c r="F51" s="22" t="str">
        <f>INDEX(Cronograma!E$5:E$11,MATCH($B51,Premissas!$A$39:$A$45,0))</f>
        <v/>
      </c>
      <c r="G51" s="22" t="str">
        <f>INDEX(Cronograma!F$5:F$11,MATCH($B51,Premissas!$A$39:$A$45,0))</f>
        <v/>
      </c>
      <c r="H51" s="22" t="str">
        <f>INDEX(Cronograma!G$5:G$11,MATCH($B51,Premissas!$A$39:$A$45,0))</f>
        <v/>
      </c>
      <c r="I51" s="22" t="str">
        <f>INDEX(Cronograma!H$5:H$11,MATCH($B51,Premissas!$A$39:$A$45,0))</f>
        <v>S</v>
      </c>
      <c r="J51" s="22" t="str">
        <f>INDEX(Cronograma!I$5:I$11,MATCH($B51,Premissas!$A$39:$A$45,0))</f>
        <v/>
      </c>
      <c r="K51" s="22" t="str">
        <f>INDEX(Cronograma!J$5:J$11,MATCH($B51,Premissas!$A$39:$A$45,0))</f>
        <v/>
      </c>
      <c r="L51" s="22" t="str">
        <f>INDEX(Cronograma!K$5:K$11,MATCH($B51,Premissas!$A$39:$A$45,0))</f>
        <v/>
      </c>
      <c r="M51" s="22" t="str">
        <f>INDEX(Cronograma!L$5:L$11,MATCH($B51,Premissas!$A$39:$A$45,0))</f>
        <v/>
      </c>
      <c r="N51" s="22" t="str">
        <f>INDEX(Cronograma!M$5:M$11,MATCH($B51,Premissas!$A$39:$A$45,0))</f>
        <v/>
      </c>
      <c r="O51" s="22" t="str">
        <f>INDEX(Cronograma!N$5:N$11,MATCH($B51,Premissas!$A$39:$A$45,0))</f>
        <v/>
      </c>
      <c r="P51" s="22" t="str">
        <f>INDEX(Cronograma!O$5:O$11,MATCH($B51,Premissas!$A$39:$A$45,0))</f>
        <v>A</v>
      </c>
      <c r="Q51" s="22" t="str">
        <f>INDEX(Cronograma!P$5:P$11,MATCH($B51,Premissas!$A$39:$A$45,0))</f>
        <v/>
      </c>
      <c r="R51" s="22" t="str">
        <f>INDEX(Cronograma!Q$5:Q$11,MATCH($B51,Premissas!$A$39:$A$45,0))</f>
        <v/>
      </c>
      <c r="S51" s="22" t="str">
        <f>INDEX(Cronograma!R$5:R$11,MATCH($B51,Premissas!$A$39:$A$45,0))</f>
        <v/>
      </c>
      <c r="T51" s="22" t="str">
        <f>INDEX(Cronograma!S$5:S$11,MATCH($B51,Premissas!$A$39:$A$45,0))</f>
        <v/>
      </c>
      <c r="U51" s="22" t="str">
        <f>INDEX(Cronograma!T$5:T$11,MATCH($B51,Premissas!$A$39:$A$45,0))</f>
        <v/>
      </c>
      <c r="V51" s="22" t="str">
        <f>INDEX(Cronograma!U$5:U$11,MATCH($B51,Premissas!$A$39:$A$45,0))</f>
        <v>S</v>
      </c>
      <c r="W51" s="22" t="str">
        <f>INDEX(Cronograma!V$5:V$11,MATCH($B51,Premissas!$A$39:$A$45,0))</f>
        <v/>
      </c>
      <c r="X51" s="22" t="str">
        <f>INDEX(Cronograma!W$5:W$11,MATCH($B51,Premissas!$A$39:$A$45,0))</f>
        <v/>
      </c>
      <c r="Y51" s="22" t="str">
        <f>INDEX(Cronograma!X$5:X$11,MATCH($B51,Premissas!$A$39:$A$45,0))</f>
        <v/>
      </c>
      <c r="Z51" s="22" t="str">
        <f>INDEX(Cronograma!Y$5:Y$11,MATCH($B51,Premissas!$A$39:$A$45,0))</f>
        <v/>
      </c>
      <c r="AA51" s="22" t="str">
        <f>INDEX(Cronograma!Z$5:Z$11,MATCH($B51,Premissas!$A$39:$A$45,0))</f>
        <v/>
      </c>
      <c r="AB51" s="22" t="str">
        <f>INDEX(Cronograma!AA$5:AA$11,MATCH($B51,Premissas!$A$39:$A$45,0))</f>
        <v/>
      </c>
      <c r="AC51" s="22" t="str">
        <f>INDEX(Cronograma!AB$5:AB$11,MATCH($B51,Premissas!$A$39:$A$45,0))</f>
        <v>B</v>
      </c>
      <c r="AD51" s="22" t="str">
        <f>INDEX(Cronograma!AC$5:AC$11,MATCH($B51,Premissas!$A$39:$A$45,0))</f>
        <v/>
      </c>
      <c r="AE51" s="22" t="str">
        <f>INDEX(Cronograma!AD$5:AD$11,MATCH($B51,Premissas!$A$39:$A$45,0))</f>
        <v/>
      </c>
      <c r="AF51" s="22" t="str">
        <f>INDEX(Cronograma!AE$5:AE$11,MATCH($B51,Premissas!$A$39:$A$45,0))</f>
        <v/>
      </c>
      <c r="AG51" s="22" t="str">
        <f>INDEX(Cronograma!AF$5:AF$11,MATCH($B51,Premissas!$A$39:$A$45,0))</f>
        <v/>
      </c>
      <c r="AH51" s="22" t="str">
        <f>INDEX(Cronograma!AG$5:AG$11,MATCH($B51,Premissas!$A$39:$A$45,0))</f>
        <v/>
      </c>
      <c r="AI51" s="22" t="str">
        <f>INDEX(Cronograma!AH$5:AH$11,MATCH($B51,Premissas!$A$39:$A$45,0))</f>
        <v/>
      </c>
      <c r="AJ51" s="22" t="str">
        <f>INDEX(Cronograma!AI$5:AI$11,MATCH($B51,Premissas!$A$39:$A$45,0))</f>
        <v/>
      </c>
      <c r="AK51" s="22" t="str">
        <f>INDEX(Cronograma!AJ$5:AJ$11,MATCH($B51,Premissas!$A$39:$A$45,0))</f>
        <v/>
      </c>
      <c r="AL51" s="22" t="str">
        <f>INDEX(Cronograma!AK$5:AK$11,MATCH($B51,Premissas!$A$39:$A$45,0))</f>
        <v/>
      </c>
      <c r="AM51" s="22" t="str">
        <f>INDEX(Cronograma!AL$5:AL$11,MATCH($B51,Premissas!$A$39:$A$45,0))</f>
        <v/>
      </c>
      <c r="AN51" s="22" t="str">
        <f>INDEX(Cronograma!AM$5:AM$11,MATCH($B51,Premissas!$A$39:$A$45,0))</f>
        <v/>
      </c>
      <c r="AO51" s="22" t="str">
        <f>INDEX(Cronograma!AN$5:AN$11,MATCH($B51,Premissas!$A$39:$A$45,0))</f>
        <v/>
      </c>
      <c r="AP51" s="22" t="str">
        <f>INDEX(Cronograma!AO$5:AO$11,MATCH($B51,Premissas!$A$39:$A$45,0))</f>
        <v>S</v>
      </c>
      <c r="AQ51" s="22" t="str">
        <f>INDEX(Cronograma!AP$5:AP$11,MATCH($B51,Premissas!$A$39:$A$45,0))</f>
        <v/>
      </c>
      <c r="AR51" s="22" t="str">
        <f>INDEX(Cronograma!AQ$5:AQ$11,MATCH($B51,Premissas!$A$39:$A$45,0))</f>
        <v/>
      </c>
      <c r="AS51" s="22" t="str">
        <f>INDEX(Cronograma!AR$5:AR$11,MATCH($B51,Premissas!$A$39:$A$45,0))</f>
        <v/>
      </c>
      <c r="AT51" s="22" t="str">
        <f>INDEX(Cronograma!AS$5:AS$11,MATCH($B51,Premissas!$A$39:$A$45,0))</f>
        <v/>
      </c>
      <c r="AU51" s="22" t="str">
        <f>INDEX(Cronograma!AT$5:AT$11,MATCH($B51,Premissas!$A$39:$A$45,0))</f>
        <v/>
      </c>
      <c r="AV51" s="22" t="str">
        <f>INDEX(Cronograma!AU$5:AU$11,MATCH($B51,Premissas!$A$39:$A$45,0))</f>
        <v/>
      </c>
      <c r="AW51" s="22" t="str">
        <f>INDEX(Cronograma!AV$5:AV$11,MATCH($B51,Premissas!$A$39:$A$45,0))</f>
        <v/>
      </c>
      <c r="AX51" s="22" t="str">
        <f>INDEX(Cronograma!AW$5:AW$11,MATCH($B51,Premissas!$A$39:$A$45,0))</f>
        <v/>
      </c>
      <c r="AY51" s="22" t="str">
        <f>INDEX(Cronograma!AX$5:AX$11,MATCH($B51,Premissas!$A$39:$A$45,0))</f>
        <v/>
      </c>
      <c r="AZ51" s="22" t="str">
        <f>INDEX(Cronograma!AY$5:AY$11,MATCH($B51,Premissas!$A$39:$A$45,0))</f>
        <v/>
      </c>
      <c r="BA51" s="22" t="str">
        <f>INDEX(Cronograma!AZ$5:AZ$11,MATCH($B51,Premissas!$A$39:$A$45,0))</f>
        <v/>
      </c>
      <c r="BB51" s="22" t="str">
        <f>INDEX(Cronograma!BA$5:BA$11,MATCH($B51,Premissas!$A$39:$A$45,0))</f>
        <v/>
      </c>
    </row>
    <row r="52" spans="1:54" ht="15" customHeight="1" x14ac:dyDescent="0.4">
      <c r="A52" s="15" t="str">
        <f>Frota!$B52&amp;" — "&amp;Frota!$A52</f>
        <v>MB 1719-Atego — 101140</v>
      </c>
      <c r="B52" s="16" t="str">
        <f>Frota!$C52</f>
        <v>Caminhão</v>
      </c>
      <c r="C52" s="22" t="str">
        <f>INDEX(Cronograma!B$5:B$11,MATCH($B52,Premissas!$A$39:$A$45,0))</f>
        <v/>
      </c>
      <c r="D52" s="22" t="str">
        <f>INDEX(Cronograma!C$5:C$11,MATCH($B52,Premissas!$A$39:$A$45,0))</f>
        <v/>
      </c>
      <c r="E52" s="22" t="str">
        <f>INDEX(Cronograma!D$5:D$11,MATCH($B52,Premissas!$A$39:$A$45,0))</f>
        <v/>
      </c>
      <c r="F52" s="22" t="str">
        <f>INDEX(Cronograma!E$5:E$11,MATCH($B52,Premissas!$A$39:$A$45,0))</f>
        <v/>
      </c>
      <c r="G52" s="22" t="str">
        <f>INDEX(Cronograma!F$5:F$11,MATCH($B52,Premissas!$A$39:$A$45,0))</f>
        <v/>
      </c>
      <c r="H52" s="22" t="str">
        <f>INDEX(Cronograma!G$5:G$11,MATCH($B52,Premissas!$A$39:$A$45,0))</f>
        <v/>
      </c>
      <c r="I52" s="22" t="str">
        <f>INDEX(Cronograma!H$5:H$11,MATCH($B52,Premissas!$A$39:$A$45,0))</f>
        <v>S</v>
      </c>
      <c r="J52" s="22" t="str">
        <f>INDEX(Cronograma!I$5:I$11,MATCH($B52,Premissas!$A$39:$A$45,0))</f>
        <v/>
      </c>
      <c r="K52" s="22" t="str">
        <f>INDEX(Cronograma!J$5:J$11,MATCH($B52,Premissas!$A$39:$A$45,0))</f>
        <v/>
      </c>
      <c r="L52" s="22" t="str">
        <f>INDEX(Cronograma!K$5:K$11,MATCH($B52,Premissas!$A$39:$A$45,0))</f>
        <v/>
      </c>
      <c r="M52" s="22" t="str">
        <f>INDEX(Cronograma!L$5:L$11,MATCH($B52,Premissas!$A$39:$A$45,0))</f>
        <v/>
      </c>
      <c r="N52" s="22" t="str">
        <f>INDEX(Cronograma!M$5:M$11,MATCH($B52,Premissas!$A$39:$A$45,0))</f>
        <v/>
      </c>
      <c r="O52" s="22" t="str">
        <f>INDEX(Cronograma!N$5:N$11,MATCH($B52,Premissas!$A$39:$A$45,0))</f>
        <v/>
      </c>
      <c r="P52" s="22" t="str">
        <f>INDEX(Cronograma!O$5:O$11,MATCH($B52,Premissas!$A$39:$A$45,0))</f>
        <v>A</v>
      </c>
      <c r="Q52" s="22" t="str">
        <f>INDEX(Cronograma!P$5:P$11,MATCH($B52,Premissas!$A$39:$A$45,0))</f>
        <v/>
      </c>
      <c r="R52" s="22" t="str">
        <f>INDEX(Cronograma!Q$5:Q$11,MATCH($B52,Premissas!$A$39:$A$45,0))</f>
        <v/>
      </c>
      <c r="S52" s="22" t="str">
        <f>INDEX(Cronograma!R$5:R$11,MATCH($B52,Premissas!$A$39:$A$45,0))</f>
        <v/>
      </c>
      <c r="T52" s="22" t="str">
        <f>INDEX(Cronograma!S$5:S$11,MATCH($B52,Premissas!$A$39:$A$45,0))</f>
        <v/>
      </c>
      <c r="U52" s="22" t="str">
        <f>INDEX(Cronograma!T$5:T$11,MATCH($B52,Premissas!$A$39:$A$45,0))</f>
        <v/>
      </c>
      <c r="V52" s="22" t="str">
        <f>INDEX(Cronograma!U$5:U$11,MATCH($B52,Premissas!$A$39:$A$45,0))</f>
        <v>S</v>
      </c>
      <c r="W52" s="22" t="str">
        <f>INDEX(Cronograma!V$5:V$11,MATCH($B52,Premissas!$A$39:$A$45,0))</f>
        <v/>
      </c>
      <c r="X52" s="22" t="str">
        <f>INDEX(Cronograma!W$5:W$11,MATCH($B52,Premissas!$A$39:$A$45,0))</f>
        <v/>
      </c>
      <c r="Y52" s="22" t="str">
        <f>INDEX(Cronograma!X$5:X$11,MATCH($B52,Premissas!$A$39:$A$45,0))</f>
        <v/>
      </c>
      <c r="Z52" s="22" t="str">
        <f>INDEX(Cronograma!Y$5:Y$11,MATCH($B52,Premissas!$A$39:$A$45,0))</f>
        <v/>
      </c>
      <c r="AA52" s="22" t="str">
        <f>INDEX(Cronograma!Z$5:Z$11,MATCH($B52,Premissas!$A$39:$A$45,0))</f>
        <v/>
      </c>
      <c r="AB52" s="22" t="str">
        <f>INDEX(Cronograma!AA$5:AA$11,MATCH($B52,Premissas!$A$39:$A$45,0))</f>
        <v/>
      </c>
      <c r="AC52" s="22" t="str">
        <f>INDEX(Cronograma!AB$5:AB$11,MATCH($B52,Premissas!$A$39:$A$45,0))</f>
        <v>B</v>
      </c>
      <c r="AD52" s="22" t="str">
        <f>INDEX(Cronograma!AC$5:AC$11,MATCH($B52,Premissas!$A$39:$A$45,0))</f>
        <v/>
      </c>
      <c r="AE52" s="22" t="str">
        <f>INDEX(Cronograma!AD$5:AD$11,MATCH($B52,Premissas!$A$39:$A$45,0))</f>
        <v/>
      </c>
      <c r="AF52" s="22" t="str">
        <f>INDEX(Cronograma!AE$5:AE$11,MATCH($B52,Premissas!$A$39:$A$45,0))</f>
        <v/>
      </c>
      <c r="AG52" s="22" t="str">
        <f>INDEX(Cronograma!AF$5:AF$11,MATCH($B52,Premissas!$A$39:$A$45,0))</f>
        <v/>
      </c>
      <c r="AH52" s="22" t="str">
        <f>INDEX(Cronograma!AG$5:AG$11,MATCH($B52,Premissas!$A$39:$A$45,0))</f>
        <v/>
      </c>
      <c r="AI52" s="22" t="str">
        <f>INDEX(Cronograma!AH$5:AH$11,MATCH($B52,Premissas!$A$39:$A$45,0))</f>
        <v/>
      </c>
      <c r="AJ52" s="22" t="str">
        <f>INDEX(Cronograma!AI$5:AI$11,MATCH($B52,Premissas!$A$39:$A$45,0))</f>
        <v/>
      </c>
      <c r="AK52" s="22" t="str">
        <f>INDEX(Cronograma!AJ$5:AJ$11,MATCH($B52,Premissas!$A$39:$A$45,0))</f>
        <v/>
      </c>
      <c r="AL52" s="22" t="str">
        <f>INDEX(Cronograma!AK$5:AK$11,MATCH($B52,Premissas!$A$39:$A$45,0))</f>
        <v/>
      </c>
      <c r="AM52" s="22" t="str">
        <f>INDEX(Cronograma!AL$5:AL$11,MATCH($B52,Premissas!$A$39:$A$45,0))</f>
        <v/>
      </c>
      <c r="AN52" s="22" t="str">
        <f>INDEX(Cronograma!AM$5:AM$11,MATCH($B52,Premissas!$A$39:$A$45,0))</f>
        <v/>
      </c>
      <c r="AO52" s="22" t="str">
        <f>INDEX(Cronograma!AN$5:AN$11,MATCH($B52,Premissas!$A$39:$A$45,0))</f>
        <v/>
      </c>
      <c r="AP52" s="22" t="str">
        <f>INDEX(Cronograma!AO$5:AO$11,MATCH($B52,Premissas!$A$39:$A$45,0))</f>
        <v>S</v>
      </c>
      <c r="AQ52" s="22" t="str">
        <f>INDEX(Cronograma!AP$5:AP$11,MATCH($B52,Premissas!$A$39:$A$45,0))</f>
        <v/>
      </c>
      <c r="AR52" s="22" t="str">
        <f>INDEX(Cronograma!AQ$5:AQ$11,MATCH($B52,Premissas!$A$39:$A$45,0))</f>
        <v/>
      </c>
      <c r="AS52" s="22" t="str">
        <f>INDEX(Cronograma!AR$5:AR$11,MATCH($B52,Premissas!$A$39:$A$45,0))</f>
        <v/>
      </c>
      <c r="AT52" s="22" t="str">
        <f>INDEX(Cronograma!AS$5:AS$11,MATCH($B52,Premissas!$A$39:$A$45,0))</f>
        <v/>
      </c>
      <c r="AU52" s="22" t="str">
        <f>INDEX(Cronograma!AT$5:AT$11,MATCH($B52,Premissas!$A$39:$A$45,0))</f>
        <v/>
      </c>
      <c r="AV52" s="22" t="str">
        <f>INDEX(Cronograma!AU$5:AU$11,MATCH($B52,Premissas!$A$39:$A$45,0))</f>
        <v/>
      </c>
      <c r="AW52" s="22" t="str">
        <f>INDEX(Cronograma!AV$5:AV$11,MATCH($B52,Premissas!$A$39:$A$45,0))</f>
        <v/>
      </c>
      <c r="AX52" s="22" t="str">
        <f>INDEX(Cronograma!AW$5:AW$11,MATCH($B52,Premissas!$A$39:$A$45,0))</f>
        <v/>
      </c>
      <c r="AY52" s="22" t="str">
        <f>INDEX(Cronograma!AX$5:AX$11,MATCH($B52,Premissas!$A$39:$A$45,0))</f>
        <v/>
      </c>
      <c r="AZ52" s="22" t="str">
        <f>INDEX(Cronograma!AY$5:AY$11,MATCH($B52,Premissas!$A$39:$A$45,0))</f>
        <v/>
      </c>
      <c r="BA52" s="22" t="str">
        <f>INDEX(Cronograma!AZ$5:AZ$11,MATCH($B52,Premissas!$A$39:$A$45,0))</f>
        <v/>
      </c>
      <c r="BB52" s="22" t="str">
        <f>INDEX(Cronograma!BA$5:BA$11,MATCH($B52,Premissas!$A$39:$A$45,0))</f>
        <v/>
      </c>
    </row>
    <row r="53" spans="1:54" ht="15" customHeight="1" x14ac:dyDescent="0.4">
      <c r="A53" s="15" t="str">
        <f>Frota!$B53&amp;" — "&amp;Frota!$A53</f>
        <v>MB 1719-Atego — 101141</v>
      </c>
      <c r="B53" s="16" t="str">
        <f>Frota!$C53</f>
        <v>Caminhão</v>
      </c>
      <c r="C53" s="22" t="str">
        <f>INDEX(Cronograma!B$5:B$11,MATCH($B53,Premissas!$A$39:$A$45,0))</f>
        <v/>
      </c>
      <c r="D53" s="22" t="str">
        <f>INDEX(Cronograma!C$5:C$11,MATCH($B53,Premissas!$A$39:$A$45,0))</f>
        <v/>
      </c>
      <c r="E53" s="22" t="str">
        <f>INDEX(Cronograma!D$5:D$11,MATCH($B53,Premissas!$A$39:$A$45,0))</f>
        <v/>
      </c>
      <c r="F53" s="22" t="str">
        <f>INDEX(Cronograma!E$5:E$11,MATCH($B53,Premissas!$A$39:$A$45,0))</f>
        <v/>
      </c>
      <c r="G53" s="22" t="str">
        <f>INDEX(Cronograma!F$5:F$11,MATCH($B53,Premissas!$A$39:$A$45,0))</f>
        <v/>
      </c>
      <c r="H53" s="22" t="str">
        <f>INDEX(Cronograma!G$5:G$11,MATCH($B53,Premissas!$A$39:$A$45,0))</f>
        <v/>
      </c>
      <c r="I53" s="22" t="str">
        <f>INDEX(Cronograma!H$5:H$11,MATCH($B53,Premissas!$A$39:$A$45,0))</f>
        <v>S</v>
      </c>
      <c r="J53" s="22" t="str">
        <f>INDEX(Cronograma!I$5:I$11,MATCH($B53,Premissas!$A$39:$A$45,0))</f>
        <v/>
      </c>
      <c r="K53" s="22" t="str">
        <f>INDEX(Cronograma!J$5:J$11,MATCH($B53,Premissas!$A$39:$A$45,0))</f>
        <v/>
      </c>
      <c r="L53" s="22" t="str">
        <f>INDEX(Cronograma!K$5:K$11,MATCH($B53,Premissas!$A$39:$A$45,0))</f>
        <v/>
      </c>
      <c r="M53" s="22" t="str">
        <f>INDEX(Cronograma!L$5:L$11,MATCH($B53,Premissas!$A$39:$A$45,0))</f>
        <v/>
      </c>
      <c r="N53" s="22" t="str">
        <f>INDEX(Cronograma!M$5:M$11,MATCH($B53,Premissas!$A$39:$A$45,0))</f>
        <v/>
      </c>
      <c r="O53" s="22" t="str">
        <f>INDEX(Cronograma!N$5:N$11,MATCH($B53,Premissas!$A$39:$A$45,0))</f>
        <v/>
      </c>
      <c r="P53" s="22" t="str">
        <f>INDEX(Cronograma!O$5:O$11,MATCH($B53,Premissas!$A$39:$A$45,0))</f>
        <v>A</v>
      </c>
      <c r="Q53" s="22" t="str">
        <f>INDEX(Cronograma!P$5:P$11,MATCH($B53,Premissas!$A$39:$A$45,0))</f>
        <v/>
      </c>
      <c r="R53" s="22" t="str">
        <f>INDEX(Cronograma!Q$5:Q$11,MATCH($B53,Premissas!$A$39:$A$45,0))</f>
        <v/>
      </c>
      <c r="S53" s="22" t="str">
        <f>INDEX(Cronograma!R$5:R$11,MATCH($B53,Premissas!$A$39:$A$45,0))</f>
        <v/>
      </c>
      <c r="T53" s="22" t="str">
        <f>INDEX(Cronograma!S$5:S$11,MATCH($B53,Premissas!$A$39:$A$45,0))</f>
        <v/>
      </c>
      <c r="U53" s="22" t="str">
        <f>INDEX(Cronograma!T$5:T$11,MATCH($B53,Premissas!$A$39:$A$45,0))</f>
        <v/>
      </c>
      <c r="V53" s="22" t="str">
        <f>INDEX(Cronograma!U$5:U$11,MATCH($B53,Premissas!$A$39:$A$45,0))</f>
        <v>S</v>
      </c>
      <c r="W53" s="22" t="str">
        <f>INDEX(Cronograma!V$5:V$11,MATCH($B53,Premissas!$A$39:$A$45,0))</f>
        <v/>
      </c>
      <c r="X53" s="22" t="str">
        <f>INDEX(Cronograma!W$5:W$11,MATCH($B53,Premissas!$A$39:$A$45,0))</f>
        <v/>
      </c>
      <c r="Y53" s="22" t="str">
        <f>INDEX(Cronograma!X$5:X$11,MATCH($B53,Premissas!$A$39:$A$45,0))</f>
        <v/>
      </c>
      <c r="Z53" s="22" t="str">
        <f>INDEX(Cronograma!Y$5:Y$11,MATCH($B53,Premissas!$A$39:$A$45,0))</f>
        <v/>
      </c>
      <c r="AA53" s="22" t="str">
        <f>INDEX(Cronograma!Z$5:Z$11,MATCH($B53,Premissas!$A$39:$A$45,0))</f>
        <v/>
      </c>
      <c r="AB53" s="22" t="str">
        <f>INDEX(Cronograma!AA$5:AA$11,MATCH($B53,Premissas!$A$39:$A$45,0))</f>
        <v/>
      </c>
      <c r="AC53" s="22" t="str">
        <f>INDEX(Cronograma!AB$5:AB$11,MATCH($B53,Premissas!$A$39:$A$45,0))</f>
        <v>B</v>
      </c>
      <c r="AD53" s="22" t="str">
        <f>INDEX(Cronograma!AC$5:AC$11,MATCH($B53,Premissas!$A$39:$A$45,0))</f>
        <v/>
      </c>
      <c r="AE53" s="22" t="str">
        <f>INDEX(Cronograma!AD$5:AD$11,MATCH($B53,Premissas!$A$39:$A$45,0))</f>
        <v/>
      </c>
      <c r="AF53" s="22" t="str">
        <f>INDEX(Cronograma!AE$5:AE$11,MATCH($B53,Premissas!$A$39:$A$45,0))</f>
        <v/>
      </c>
      <c r="AG53" s="22" t="str">
        <f>INDEX(Cronograma!AF$5:AF$11,MATCH($B53,Premissas!$A$39:$A$45,0))</f>
        <v/>
      </c>
      <c r="AH53" s="22" t="str">
        <f>INDEX(Cronograma!AG$5:AG$11,MATCH($B53,Premissas!$A$39:$A$45,0))</f>
        <v/>
      </c>
      <c r="AI53" s="22" t="str">
        <f>INDEX(Cronograma!AH$5:AH$11,MATCH($B53,Premissas!$A$39:$A$45,0))</f>
        <v/>
      </c>
      <c r="AJ53" s="22" t="str">
        <f>INDEX(Cronograma!AI$5:AI$11,MATCH($B53,Premissas!$A$39:$A$45,0))</f>
        <v/>
      </c>
      <c r="AK53" s="22" t="str">
        <f>INDEX(Cronograma!AJ$5:AJ$11,MATCH($B53,Premissas!$A$39:$A$45,0))</f>
        <v/>
      </c>
      <c r="AL53" s="22" t="str">
        <f>INDEX(Cronograma!AK$5:AK$11,MATCH($B53,Premissas!$A$39:$A$45,0))</f>
        <v/>
      </c>
      <c r="AM53" s="22" t="str">
        <f>INDEX(Cronograma!AL$5:AL$11,MATCH($B53,Premissas!$A$39:$A$45,0))</f>
        <v/>
      </c>
      <c r="AN53" s="22" t="str">
        <f>INDEX(Cronograma!AM$5:AM$11,MATCH($B53,Premissas!$A$39:$A$45,0))</f>
        <v/>
      </c>
      <c r="AO53" s="22" t="str">
        <f>INDEX(Cronograma!AN$5:AN$11,MATCH($B53,Premissas!$A$39:$A$45,0))</f>
        <v/>
      </c>
      <c r="AP53" s="22" t="str">
        <f>INDEX(Cronograma!AO$5:AO$11,MATCH($B53,Premissas!$A$39:$A$45,0))</f>
        <v>S</v>
      </c>
      <c r="AQ53" s="22" t="str">
        <f>INDEX(Cronograma!AP$5:AP$11,MATCH($B53,Premissas!$A$39:$A$45,0))</f>
        <v/>
      </c>
      <c r="AR53" s="22" t="str">
        <f>INDEX(Cronograma!AQ$5:AQ$11,MATCH($B53,Premissas!$A$39:$A$45,0))</f>
        <v/>
      </c>
      <c r="AS53" s="22" t="str">
        <f>INDEX(Cronograma!AR$5:AR$11,MATCH($B53,Premissas!$A$39:$A$45,0))</f>
        <v/>
      </c>
      <c r="AT53" s="22" t="str">
        <f>INDEX(Cronograma!AS$5:AS$11,MATCH($B53,Premissas!$A$39:$A$45,0))</f>
        <v/>
      </c>
      <c r="AU53" s="22" t="str">
        <f>INDEX(Cronograma!AT$5:AT$11,MATCH($B53,Premissas!$A$39:$A$45,0))</f>
        <v/>
      </c>
      <c r="AV53" s="22" t="str">
        <f>INDEX(Cronograma!AU$5:AU$11,MATCH($B53,Premissas!$A$39:$A$45,0))</f>
        <v/>
      </c>
      <c r="AW53" s="22" t="str">
        <f>INDEX(Cronograma!AV$5:AV$11,MATCH($B53,Premissas!$A$39:$A$45,0))</f>
        <v/>
      </c>
      <c r="AX53" s="22" t="str">
        <f>INDEX(Cronograma!AW$5:AW$11,MATCH($B53,Premissas!$A$39:$A$45,0))</f>
        <v/>
      </c>
      <c r="AY53" s="22" t="str">
        <f>INDEX(Cronograma!AX$5:AX$11,MATCH($B53,Premissas!$A$39:$A$45,0))</f>
        <v/>
      </c>
      <c r="AZ53" s="22" t="str">
        <f>INDEX(Cronograma!AY$5:AY$11,MATCH($B53,Premissas!$A$39:$A$45,0))</f>
        <v/>
      </c>
      <c r="BA53" s="22" t="str">
        <f>INDEX(Cronograma!AZ$5:AZ$11,MATCH($B53,Premissas!$A$39:$A$45,0))</f>
        <v/>
      </c>
      <c r="BB53" s="22" t="str">
        <f>INDEX(Cronograma!BA$5:BA$11,MATCH($B53,Premissas!$A$39:$A$45,0))</f>
        <v/>
      </c>
    </row>
    <row r="54" spans="1:54" ht="15" customHeight="1" x14ac:dyDescent="0.4">
      <c r="A54" s="15" t="str">
        <f>Frota!$B54&amp;" — "&amp;Frota!$A54</f>
        <v>MB 2730 6X4 — 101142</v>
      </c>
      <c r="B54" s="16" t="str">
        <f>Frota!$C54</f>
        <v>Caminhão</v>
      </c>
      <c r="C54" s="22" t="str">
        <f>INDEX(Cronograma!B$5:B$11,MATCH($B54,Premissas!$A$39:$A$45,0))</f>
        <v/>
      </c>
      <c r="D54" s="22" t="str">
        <f>INDEX(Cronograma!C$5:C$11,MATCH($B54,Premissas!$A$39:$A$45,0))</f>
        <v/>
      </c>
      <c r="E54" s="22" t="str">
        <f>INDEX(Cronograma!D$5:D$11,MATCH($B54,Premissas!$A$39:$A$45,0))</f>
        <v/>
      </c>
      <c r="F54" s="22" t="str">
        <f>INDEX(Cronograma!E$5:E$11,MATCH($B54,Premissas!$A$39:$A$45,0))</f>
        <v/>
      </c>
      <c r="G54" s="22" t="str">
        <f>INDEX(Cronograma!F$5:F$11,MATCH($B54,Premissas!$A$39:$A$45,0))</f>
        <v/>
      </c>
      <c r="H54" s="22" t="str">
        <f>INDEX(Cronograma!G$5:G$11,MATCH($B54,Premissas!$A$39:$A$45,0))</f>
        <v/>
      </c>
      <c r="I54" s="22" t="str">
        <f>INDEX(Cronograma!H$5:H$11,MATCH($B54,Premissas!$A$39:$A$45,0))</f>
        <v>S</v>
      </c>
      <c r="J54" s="22" t="str">
        <f>INDEX(Cronograma!I$5:I$11,MATCH($B54,Premissas!$A$39:$A$45,0))</f>
        <v/>
      </c>
      <c r="K54" s="22" t="str">
        <f>INDEX(Cronograma!J$5:J$11,MATCH($B54,Premissas!$A$39:$A$45,0))</f>
        <v/>
      </c>
      <c r="L54" s="22" t="str">
        <f>INDEX(Cronograma!K$5:K$11,MATCH($B54,Premissas!$A$39:$A$45,0))</f>
        <v/>
      </c>
      <c r="M54" s="22" t="str">
        <f>INDEX(Cronograma!L$5:L$11,MATCH($B54,Premissas!$A$39:$A$45,0))</f>
        <v/>
      </c>
      <c r="N54" s="22" t="str">
        <f>INDEX(Cronograma!M$5:M$11,MATCH($B54,Premissas!$A$39:$A$45,0))</f>
        <v/>
      </c>
      <c r="O54" s="22" t="str">
        <f>INDEX(Cronograma!N$5:N$11,MATCH($B54,Premissas!$A$39:$A$45,0))</f>
        <v/>
      </c>
      <c r="P54" s="22" t="str">
        <f>INDEX(Cronograma!O$5:O$11,MATCH($B54,Premissas!$A$39:$A$45,0))</f>
        <v>A</v>
      </c>
      <c r="Q54" s="22" t="str">
        <f>INDEX(Cronograma!P$5:P$11,MATCH($B54,Premissas!$A$39:$A$45,0))</f>
        <v/>
      </c>
      <c r="R54" s="22" t="str">
        <f>INDEX(Cronograma!Q$5:Q$11,MATCH($B54,Premissas!$A$39:$A$45,0))</f>
        <v/>
      </c>
      <c r="S54" s="22" t="str">
        <f>INDEX(Cronograma!R$5:R$11,MATCH($B54,Premissas!$A$39:$A$45,0))</f>
        <v/>
      </c>
      <c r="T54" s="22" t="str">
        <f>INDEX(Cronograma!S$5:S$11,MATCH($B54,Premissas!$A$39:$A$45,0))</f>
        <v/>
      </c>
      <c r="U54" s="22" t="str">
        <f>INDEX(Cronograma!T$5:T$11,MATCH($B54,Premissas!$A$39:$A$45,0))</f>
        <v/>
      </c>
      <c r="V54" s="22" t="str">
        <f>INDEX(Cronograma!U$5:U$11,MATCH($B54,Premissas!$A$39:$A$45,0))</f>
        <v>S</v>
      </c>
      <c r="W54" s="22" t="str">
        <f>INDEX(Cronograma!V$5:V$11,MATCH($B54,Premissas!$A$39:$A$45,0))</f>
        <v/>
      </c>
      <c r="X54" s="22" t="str">
        <f>INDEX(Cronograma!W$5:W$11,MATCH($B54,Premissas!$A$39:$A$45,0))</f>
        <v/>
      </c>
      <c r="Y54" s="22" t="str">
        <f>INDEX(Cronograma!X$5:X$11,MATCH($B54,Premissas!$A$39:$A$45,0))</f>
        <v/>
      </c>
      <c r="Z54" s="22" t="str">
        <f>INDEX(Cronograma!Y$5:Y$11,MATCH($B54,Premissas!$A$39:$A$45,0))</f>
        <v/>
      </c>
      <c r="AA54" s="22" t="str">
        <f>INDEX(Cronograma!Z$5:Z$11,MATCH($B54,Premissas!$A$39:$A$45,0))</f>
        <v/>
      </c>
      <c r="AB54" s="22" t="str">
        <f>INDEX(Cronograma!AA$5:AA$11,MATCH($B54,Premissas!$A$39:$A$45,0))</f>
        <v/>
      </c>
      <c r="AC54" s="22" t="str">
        <f>INDEX(Cronograma!AB$5:AB$11,MATCH($B54,Premissas!$A$39:$A$45,0))</f>
        <v>B</v>
      </c>
      <c r="AD54" s="22" t="str">
        <f>INDEX(Cronograma!AC$5:AC$11,MATCH($B54,Premissas!$A$39:$A$45,0))</f>
        <v/>
      </c>
      <c r="AE54" s="22" t="str">
        <f>INDEX(Cronograma!AD$5:AD$11,MATCH($B54,Premissas!$A$39:$A$45,0))</f>
        <v/>
      </c>
      <c r="AF54" s="22" t="str">
        <f>INDEX(Cronograma!AE$5:AE$11,MATCH($B54,Premissas!$A$39:$A$45,0))</f>
        <v/>
      </c>
      <c r="AG54" s="22" t="str">
        <f>INDEX(Cronograma!AF$5:AF$11,MATCH($B54,Premissas!$A$39:$A$45,0))</f>
        <v/>
      </c>
      <c r="AH54" s="22" t="str">
        <f>INDEX(Cronograma!AG$5:AG$11,MATCH($B54,Premissas!$A$39:$A$45,0))</f>
        <v/>
      </c>
      <c r="AI54" s="22" t="str">
        <f>INDEX(Cronograma!AH$5:AH$11,MATCH($B54,Premissas!$A$39:$A$45,0))</f>
        <v/>
      </c>
      <c r="AJ54" s="22" t="str">
        <f>INDEX(Cronograma!AI$5:AI$11,MATCH($B54,Premissas!$A$39:$A$45,0))</f>
        <v/>
      </c>
      <c r="AK54" s="22" t="str">
        <f>INDEX(Cronograma!AJ$5:AJ$11,MATCH($B54,Premissas!$A$39:$A$45,0))</f>
        <v/>
      </c>
      <c r="AL54" s="22" t="str">
        <f>INDEX(Cronograma!AK$5:AK$11,MATCH($B54,Premissas!$A$39:$A$45,0))</f>
        <v/>
      </c>
      <c r="AM54" s="22" t="str">
        <f>INDEX(Cronograma!AL$5:AL$11,MATCH($B54,Premissas!$A$39:$A$45,0))</f>
        <v/>
      </c>
      <c r="AN54" s="22" t="str">
        <f>INDEX(Cronograma!AM$5:AM$11,MATCH($B54,Premissas!$A$39:$A$45,0))</f>
        <v/>
      </c>
      <c r="AO54" s="22" t="str">
        <f>INDEX(Cronograma!AN$5:AN$11,MATCH($B54,Premissas!$A$39:$A$45,0))</f>
        <v/>
      </c>
      <c r="AP54" s="22" t="str">
        <f>INDEX(Cronograma!AO$5:AO$11,MATCH($B54,Premissas!$A$39:$A$45,0))</f>
        <v>S</v>
      </c>
      <c r="AQ54" s="22" t="str">
        <f>INDEX(Cronograma!AP$5:AP$11,MATCH($B54,Premissas!$A$39:$A$45,0))</f>
        <v/>
      </c>
      <c r="AR54" s="22" t="str">
        <f>INDEX(Cronograma!AQ$5:AQ$11,MATCH($B54,Premissas!$A$39:$A$45,0))</f>
        <v/>
      </c>
      <c r="AS54" s="22" t="str">
        <f>INDEX(Cronograma!AR$5:AR$11,MATCH($B54,Premissas!$A$39:$A$45,0))</f>
        <v/>
      </c>
      <c r="AT54" s="22" t="str">
        <f>INDEX(Cronograma!AS$5:AS$11,MATCH($B54,Premissas!$A$39:$A$45,0))</f>
        <v/>
      </c>
      <c r="AU54" s="22" t="str">
        <f>INDEX(Cronograma!AT$5:AT$11,MATCH($B54,Premissas!$A$39:$A$45,0))</f>
        <v/>
      </c>
      <c r="AV54" s="22" t="str">
        <f>INDEX(Cronograma!AU$5:AU$11,MATCH($B54,Premissas!$A$39:$A$45,0))</f>
        <v/>
      </c>
      <c r="AW54" s="22" t="str">
        <f>INDEX(Cronograma!AV$5:AV$11,MATCH($B54,Premissas!$A$39:$A$45,0))</f>
        <v/>
      </c>
      <c r="AX54" s="22" t="str">
        <f>INDEX(Cronograma!AW$5:AW$11,MATCH($B54,Premissas!$A$39:$A$45,0))</f>
        <v/>
      </c>
      <c r="AY54" s="22" t="str">
        <f>INDEX(Cronograma!AX$5:AX$11,MATCH($B54,Premissas!$A$39:$A$45,0))</f>
        <v/>
      </c>
      <c r="AZ54" s="22" t="str">
        <f>INDEX(Cronograma!AY$5:AY$11,MATCH($B54,Premissas!$A$39:$A$45,0))</f>
        <v/>
      </c>
      <c r="BA54" s="22" t="str">
        <f>INDEX(Cronograma!AZ$5:AZ$11,MATCH($B54,Premissas!$A$39:$A$45,0))</f>
        <v/>
      </c>
      <c r="BB54" s="22" t="str">
        <f>INDEX(Cronograma!BA$5:BA$11,MATCH($B54,Premissas!$A$39:$A$45,0))</f>
        <v/>
      </c>
    </row>
    <row r="55" spans="1:54" ht="15" customHeight="1" x14ac:dyDescent="0.4">
      <c r="A55" s="15" t="str">
        <f>Frota!$B55&amp;" — "&amp;Frota!$A55</f>
        <v>MB 1719-Atego — 101143</v>
      </c>
      <c r="B55" s="16" t="str">
        <f>Frota!$C55</f>
        <v>Caminhão</v>
      </c>
      <c r="C55" s="22" t="str">
        <f>INDEX(Cronograma!B$5:B$11,MATCH($B55,Premissas!$A$39:$A$45,0))</f>
        <v/>
      </c>
      <c r="D55" s="22" t="str">
        <f>INDEX(Cronograma!C$5:C$11,MATCH($B55,Premissas!$A$39:$A$45,0))</f>
        <v/>
      </c>
      <c r="E55" s="22" t="str">
        <f>INDEX(Cronograma!D$5:D$11,MATCH($B55,Premissas!$A$39:$A$45,0))</f>
        <v/>
      </c>
      <c r="F55" s="22" t="str">
        <f>INDEX(Cronograma!E$5:E$11,MATCH($B55,Premissas!$A$39:$A$45,0))</f>
        <v/>
      </c>
      <c r="G55" s="22" t="str">
        <f>INDEX(Cronograma!F$5:F$11,MATCH($B55,Premissas!$A$39:$A$45,0))</f>
        <v/>
      </c>
      <c r="H55" s="22" t="str">
        <f>INDEX(Cronograma!G$5:G$11,MATCH($B55,Premissas!$A$39:$A$45,0))</f>
        <v/>
      </c>
      <c r="I55" s="22" t="str">
        <f>INDEX(Cronograma!H$5:H$11,MATCH($B55,Premissas!$A$39:$A$45,0))</f>
        <v>S</v>
      </c>
      <c r="J55" s="22" t="str">
        <f>INDEX(Cronograma!I$5:I$11,MATCH($B55,Premissas!$A$39:$A$45,0))</f>
        <v/>
      </c>
      <c r="K55" s="22" t="str">
        <f>INDEX(Cronograma!J$5:J$11,MATCH($B55,Premissas!$A$39:$A$45,0))</f>
        <v/>
      </c>
      <c r="L55" s="22" t="str">
        <f>INDEX(Cronograma!K$5:K$11,MATCH($B55,Premissas!$A$39:$A$45,0))</f>
        <v/>
      </c>
      <c r="M55" s="22" t="str">
        <f>INDEX(Cronograma!L$5:L$11,MATCH($B55,Premissas!$A$39:$A$45,0))</f>
        <v/>
      </c>
      <c r="N55" s="22" t="str">
        <f>INDEX(Cronograma!M$5:M$11,MATCH($B55,Premissas!$A$39:$A$45,0))</f>
        <v/>
      </c>
      <c r="O55" s="22" t="str">
        <f>INDEX(Cronograma!N$5:N$11,MATCH($B55,Premissas!$A$39:$A$45,0))</f>
        <v/>
      </c>
      <c r="P55" s="22" t="str">
        <f>INDEX(Cronograma!O$5:O$11,MATCH($B55,Premissas!$A$39:$A$45,0))</f>
        <v>A</v>
      </c>
      <c r="Q55" s="22" t="str">
        <f>INDEX(Cronograma!P$5:P$11,MATCH($B55,Premissas!$A$39:$A$45,0))</f>
        <v/>
      </c>
      <c r="R55" s="22" t="str">
        <f>INDEX(Cronograma!Q$5:Q$11,MATCH($B55,Premissas!$A$39:$A$45,0))</f>
        <v/>
      </c>
      <c r="S55" s="22" t="str">
        <f>INDEX(Cronograma!R$5:R$11,MATCH($B55,Premissas!$A$39:$A$45,0))</f>
        <v/>
      </c>
      <c r="T55" s="22" t="str">
        <f>INDEX(Cronograma!S$5:S$11,MATCH($B55,Premissas!$A$39:$A$45,0))</f>
        <v/>
      </c>
      <c r="U55" s="22" t="str">
        <f>INDEX(Cronograma!T$5:T$11,MATCH($B55,Premissas!$A$39:$A$45,0))</f>
        <v/>
      </c>
      <c r="V55" s="22" t="str">
        <f>INDEX(Cronograma!U$5:U$11,MATCH($B55,Premissas!$A$39:$A$45,0))</f>
        <v>S</v>
      </c>
      <c r="W55" s="22" t="str">
        <f>INDEX(Cronograma!V$5:V$11,MATCH($B55,Premissas!$A$39:$A$45,0))</f>
        <v/>
      </c>
      <c r="X55" s="22" t="str">
        <f>INDEX(Cronograma!W$5:W$11,MATCH($B55,Premissas!$A$39:$A$45,0))</f>
        <v/>
      </c>
      <c r="Y55" s="22" t="str">
        <f>INDEX(Cronograma!X$5:X$11,MATCH($B55,Premissas!$A$39:$A$45,0))</f>
        <v/>
      </c>
      <c r="Z55" s="22" t="str">
        <f>INDEX(Cronograma!Y$5:Y$11,MATCH($B55,Premissas!$A$39:$A$45,0))</f>
        <v/>
      </c>
      <c r="AA55" s="22" t="str">
        <f>INDEX(Cronograma!Z$5:Z$11,MATCH($B55,Premissas!$A$39:$A$45,0))</f>
        <v/>
      </c>
      <c r="AB55" s="22" t="str">
        <f>INDEX(Cronograma!AA$5:AA$11,MATCH($B55,Premissas!$A$39:$A$45,0))</f>
        <v/>
      </c>
      <c r="AC55" s="22" t="str">
        <f>INDEX(Cronograma!AB$5:AB$11,MATCH($B55,Premissas!$A$39:$A$45,0))</f>
        <v>B</v>
      </c>
      <c r="AD55" s="22" t="str">
        <f>INDEX(Cronograma!AC$5:AC$11,MATCH($B55,Premissas!$A$39:$A$45,0))</f>
        <v/>
      </c>
      <c r="AE55" s="22" t="str">
        <f>INDEX(Cronograma!AD$5:AD$11,MATCH($B55,Premissas!$A$39:$A$45,0))</f>
        <v/>
      </c>
      <c r="AF55" s="22" t="str">
        <f>INDEX(Cronograma!AE$5:AE$11,MATCH($B55,Premissas!$A$39:$A$45,0))</f>
        <v/>
      </c>
      <c r="AG55" s="22" t="str">
        <f>INDEX(Cronograma!AF$5:AF$11,MATCH($B55,Premissas!$A$39:$A$45,0))</f>
        <v/>
      </c>
      <c r="AH55" s="22" t="str">
        <f>INDEX(Cronograma!AG$5:AG$11,MATCH($B55,Premissas!$A$39:$A$45,0))</f>
        <v/>
      </c>
      <c r="AI55" s="22" t="str">
        <f>INDEX(Cronograma!AH$5:AH$11,MATCH($B55,Premissas!$A$39:$A$45,0))</f>
        <v/>
      </c>
      <c r="AJ55" s="22" t="str">
        <f>INDEX(Cronograma!AI$5:AI$11,MATCH($B55,Premissas!$A$39:$A$45,0))</f>
        <v/>
      </c>
      <c r="AK55" s="22" t="str">
        <f>INDEX(Cronograma!AJ$5:AJ$11,MATCH($B55,Premissas!$A$39:$A$45,0))</f>
        <v/>
      </c>
      <c r="AL55" s="22" t="str">
        <f>INDEX(Cronograma!AK$5:AK$11,MATCH($B55,Premissas!$A$39:$A$45,0))</f>
        <v/>
      </c>
      <c r="AM55" s="22" t="str">
        <f>INDEX(Cronograma!AL$5:AL$11,MATCH($B55,Premissas!$A$39:$A$45,0))</f>
        <v/>
      </c>
      <c r="AN55" s="22" t="str">
        <f>INDEX(Cronograma!AM$5:AM$11,MATCH($B55,Premissas!$A$39:$A$45,0))</f>
        <v/>
      </c>
      <c r="AO55" s="22" t="str">
        <f>INDEX(Cronograma!AN$5:AN$11,MATCH($B55,Premissas!$A$39:$A$45,0))</f>
        <v/>
      </c>
      <c r="AP55" s="22" t="str">
        <f>INDEX(Cronograma!AO$5:AO$11,MATCH($B55,Premissas!$A$39:$A$45,0))</f>
        <v>S</v>
      </c>
      <c r="AQ55" s="22" t="str">
        <f>INDEX(Cronograma!AP$5:AP$11,MATCH($B55,Premissas!$A$39:$A$45,0))</f>
        <v/>
      </c>
      <c r="AR55" s="22" t="str">
        <f>INDEX(Cronograma!AQ$5:AQ$11,MATCH($B55,Premissas!$A$39:$A$45,0))</f>
        <v/>
      </c>
      <c r="AS55" s="22" t="str">
        <f>INDEX(Cronograma!AR$5:AR$11,MATCH($B55,Premissas!$A$39:$A$45,0))</f>
        <v/>
      </c>
      <c r="AT55" s="22" t="str">
        <f>INDEX(Cronograma!AS$5:AS$11,MATCH($B55,Premissas!$A$39:$A$45,0))</f>
        <v/>
      </c>
      <c r="AU55" s="22" t="str">
        <f>INDEX(Cronograma!AT$5:AT$11,MATCH($B55,Premissas!$A$39:$A$45,0))</f>
        <v/>
      </c>
      <c r="AV55" s="22" t="str">
        <f>INDEX(Cronograma!AU$5:AU$11,MATCH($B55,Premissas!$A$39:$A$45,0))</f>
        <v/>
      </c>
      <c r="AW55" s="22" t="str">
        <f>INDEX(Cronograma!AV$5:AV$11,MATCH($B55,Premissas!$A$39:$A$45,0))</f>
        <v/>
      </c>
      <c r="AX55" s="22" t="str">
        <f>INDEX(Cronograma!AW$5:AW$11,MATCH($B55,Premissas!$A$39:$A$45,0))</f>
        <v/>
      </c>
      <c r="AY55" s="22" t="str">
        <f>INDEX(Cronograma!AX$5:AX$11,MATCH($B55,Premissas!$A$39:$A$45,0))</f>
        <v/>
      </c>
      <c r="AZ55" s="22" t="str">
        <f>INDEX(Cronograma!AY$5:AY$11,MATCH($B55,Premissas!$A$39:$A$45,0))</f>
        <v/>
      </c>
      <c r="BA55" s="22" t="str">
        <f>INDEX(Cronograma!AZ$5:AZ$11,MATCH($B55,Premissas!$A$39:$A$45,0))</f>
        <v/>
      </c>
      <c r="BB55" s="22" t="str">
        <f>INDEX(Cronograma!BA$5:BA$11,MATCH($B55,Premissas!$A$39:$A$45,0))</f>
        <v/>
      </c>
    </row>
    <row r="56" spans="1:54" ht="15" customHeight="1" x14ac:dyDescent="0.4">
      <c r="A56" s="15" t="str">
        <f>Frota!$B56&amp;" — "&amp;Frota!$A56</f>
        <v>MB 1719-Atego — 101144</v>
      </c>
      <c r="B56" s="16" t="str">
        <f>Frota!$C56</f>
        <v>Caminhão</v>
      </c>
      <c r="C56" s="22" t="str">
        <f>INDEX(Cronograma!B$5:B$11,MATCH($B56,Premissas!$A$39:$A$45,0))</f>
        <v/>
      </c>
      <c r="D56" s="22" t="str">
        <f>INDEX(Cronograma!C$5:C$11,MATCH($B56,Premissas!$A$39:$A$45,0))</f>
        <v/>
      </c>
      <c r="E56" s="22" t="str">
        <f>INDEX(Cronograma!D$5:D$11,MATCH($B56,Premissas!$A$39:$A$45,0))</f>
        <v/>
      </c>
      <c r="F56" s="22" t="str">
        <f>INDEX(Cronograma!E$5:E$11,MATCH($B56,Premissas!$A$39:$A$45,0))</f>
        <v/>
      </c>
      <c r="G56" s="22" t="str">
        <f>INDEX(Cronograma!F$5:F$11,MATCH($B56,Premissas!$A$39:$A$45,0))</f>
        <v/>
      </c>
      <c r="H56" s="22" t="str">
        <f>INDEX(Cronograma!G$5:G$11,MATCH($B56,Premissas!$A$39:$A$45,0))</f>
        <v/>
      </c>
      <c r="I56" s="22" t="str">
        <f>INDEX(Cronograma!H$5:H$11,MATCH($B56,Premissas!$A$39:$A$45,0))</f>
        <v>S</v>
      </c>
      <c r="J56" s="22" t="str">
        <f>INDEX(Cronograma!I$5:I$11,MATCH($B56,Premissas!$A$39:$A$45,0))</f>
        <v/>
      </c>
      <c r="K56" s="22" t="str">
        <f>INDEX(Cronograma!J$5:J$11,MATCH($B56,Premissas!$A$39:$A$45,0))</f>
        <v/>
      </c>
      <c r="L56" s="22" t="str">
        <f>INDEX(Cronograma!K$5:K$11,MATCH($B56,Premissas!$A$39:$A$45,0))</f>
        <v/>
      </c>
      <c r="M56" s="22" t="str">
        <f>INDEX(Cronograma!L$5:L$11,MATCH($B56,Premissas!$A$39:$A$45,0))</f>
        <v/>
      </c>
      <c r="N56" s="22" t="str">
        <f>INDEX(Cronograma!M$5:M$11,MATCH($B56,Premissas!$A$39:$A$45,0))</f>
        <v/>
      </c>
      <c r="O56" s="22" t="str">
        <f>INDEX(Cronograma!N$5:N$11,MATCH($B56,Premissas!$A$39:$A$45,0))</f>
        <v/>
      </c>
      <c r="P56" s="22" t="str">
        <f>INDEX(Cronograma!O$5:O$11,MATCH($B56,Premissas!$A$39:$A$45,0))</f>
        <v>A</v>
      </c>
      <c r="Q56" s="22" t="str">
        <f>INDEX(Cronograma!P$5:P$11,MATCH($B56,Premissas!$A$39:$A$45,0))</f>
        <v/>
      </c>
      <c r="R56" s="22" t="str">
        <f>INDEX(Cronograma!Q$5:Q$11,MATCH($B56,Premissas!$A$39:$A$45,0))</f>
        <v/>
      </c>
      <c r="S56" s="22" t="str">
        <f>INDEX(Cronograma!R$5:R$11,MATCH($B56,Premissas!$A$39:$A$45,0))</f>
        <v/>
      </c>
      <c r="T56" s="22" t="str">
        <f>INDEX(Cronograma!S$5:S$11,MATCH($B56,Premissas!$A$39:$A$45,0))</f>
        <v/>
      </c>
      <c r="U56" s="22" t="str">
        <f>INDEX(Cronograma!T$5:T$11,MATCH($B56,Premissas!$A$39:$A$45,0))</f>
        <v/>
      </c>
      <c r="V56" s="22" t="str">
        <f>INDEX(Cronograma!U$5:U$11,MATCH($B56,Premissas!$A$39:$A$45,0))</f>
        <v>S</v>
      </c>
      <c r="W56" s="22" t="str">
        <f>INDEX(Cronograma!V$5:V$11,MATCH($B56,Premissas!$A$39:$A$45,0))</f>
        <v/>
      </c>
      <c r="X56" s="22" t="str">
        <f>INDEX(Cronograma!W$5:W$11,MATCH($B56,Premissas!$A$39:$A$45,0))</f>
        <v/>
      </c>
      <c r="Y56" s="22" t="str">
        <f>INDEX(Cronograma!X$5:X$11,MATCH($B56,Premissas!$A$39:$A$45,0))</f>
        <v/>
      </c>
      <c r="Z56" s="22" t="str">
        <f>INDEX(Cronograma!Y$5:Y$11,MATCH($B56,Premissas!$A$39:$A$45,0))</f>
        <v/>
      </c>
      <c r="AA56" s="22" t="str">
        <f>INDEX(Cronograma!Z$5:Z$11,MATCH($B56,Premissas!$A$39:$A$45,0))</f>
        <v/>
      </c>
      <c r="AB56" s="22" t="str">
        <f>INDEX(Cronograma!AA$5:AA$11,MATCH($B56,Premissas!$A$39:$A$45,0))</f>
        <v/>
      </c>
      <c r="AC56" s="22" t="str">
        <f>INDEX(Cronograma!AB$5:AB$11,MATCH($B56,Premissas!$A$39:$A$45,0))</f>
        <v>B</v>
      </c>
      <c r="AD56" s="22" t="str">
        <f>INDEX(Cronograma!AC$5:AC$11,MATCH($B56,Premissas!$A$39:$A$45,0))</f>
        <v/>
      </c>
      <c r="AE56" s="22" t="str">
        <f>INDEX(Cronograma!AD$5:AD$11,MATCH($B56,Premissas!$A$39:$A$45,0))</f>
        <v/>
      </c>
      <c r="AF56" s="22" t="str">
        <f>INDEX(Cronograma!AE$5:AE$11,MATCH($B56,Premissas!$A$39:$A$45,0))</f>
        <v/>
      </c>
      <c r="AG56" s="22" t="str">
        <f>INDEX(Cronograma!AF$5:AF$11,MATCH($B56,Premissas!$A$39:$A$45,0))</f>
        <v/>
      </c>
      <c r="AH56" s="22" t="str">
        <f>INDEX(Cronograma!AG$5:AG$11,MATCH($B56,Premissas!$A$39:$A$45,0))</f>
        <v/>
      </c>
      <c r="AI56" s="22" t="str">
        <f>INDEX(Cronograma!AH$5:AH$11,MATCH($B56,Premissas!$A$39:$A$45,0))</f>
        <v/>
      </c>
      <c r="AJ56" s="22" t="str">
        <f>INDEX(Cronograma!AI$5:AI$11,MATCH($B56,Premissas!$A$39:$A$45,0))</f>
        <v/>
      </c>
      <c r="AK56" s="22" t="str">
        <f>INDEX(Cronograma!AJ$5:AJ$11,MATCH($B56,Premissas!$A$39:$A$45,0))</f>
        <v/>
      </c>
      <c r="AL56" s="22" t="str">
        <f>INDEX(Cronograma!AK$5:AK$11,MATCH($B56,Premissas!$A$39:$A$45,0))</f>
        <v/>
      </c>
      <c r="AM56" s="22" t="str">
        <f>INDEX(Cronograma!AL$5:AL$11,MATCH($B56,Premissas!$A$39:$A$45,0))</f>
        <v/>
      </c>
      <c r="AN56" s="22" t="str">
        <f>INDEX(Cronograma!AM$5:AM$11,MATCH($B56,Premissas!$A$39:$A$45,0))</f>
        <v/>
      </c>
      <c r="AO56" s="22" t="str">
        <f>INDEX(Cronograma!AN$5:AN$11,MATCH($B56,Premissas!$A$39:$A$45,0))</f>
        <v/>
      </c>
      <c r="AP56" s="22" t="str">
        <f>INDEX(Cronograma!AO$5:AO$11,MATCH($B56,Premissas!$A$39:$A$45,0))</f>
        <v>S</v>
      </c>
      <c r="AQ56" s="22" t="str">
        <f>INDEX(Cronograma!AP$5:AP$11,MATCH($B56,Premissas!$A$39:$A$45,0))</f>
        <v/>
      </c>
      <c r="AR56" s="22" t="str">
        <f>INDEX(Cronograma!AQ$5:AQ$11,MATCH($B56,Premissas!$A$39:$A$45,0))</f>
        <v/>
      </c>
      <c r="AS56" s="22" t="str">
        <f>INDEX(Cronograma!AR$5:AR$11,MATCH($B56,Premissas!$A$39:$A$45,0))</f>
        <v/>
      </c>
      <c r="AT56" s="22" t="str">
        <f>INDEX(Cronograma!AS$5:AS$11,MATCH($B56,Premissas!$A$39:$A$45,0))</f>
        <v/>
      </c>
      <c r="AU56" s="22" t="str">
        <f>INDEX(Cronograma!AT$5:AT$11,MATCH($B56,Premissas!$A$39:$A$45,0))</f>
        <v/>
      </c>
      <c r="AV56" s="22" t="str">
        <f>INDEX(Cronograma!AU$5:AU$11,MATCH($B56,Premissas!$A$39:$A$45,0))</f>
        <v/>
      </c>
      <c r="AW56" s="22" t="str">
        <f>INDEX(Cronograma!AV$5:AV$11,MATCH($B56,Premissas!$A$39:$A$45,0))</f>
        <v/>
      </c>
      <c r="AX56" s="22" t="str">
        <f>INDEX(Cronograma!AW$5:AW$11,MATCH($B56,Premissas!$A$39:$A$45,0))</f>
        <v/>
      </c>
      <c r="AY56" s="22" t="str">
        <f>INDEX(Cronograma!AX$5:AX$11,MATCH($B56,Premissas!$A$39:$A$45,0))</f>
        <v/>
      </c>
      <c r="AZ56" s="22" t="str">
        <f>INDEX(Cronograma!AY$5:AY$11,MATCH($B56,Premissas!$A$39:$A$45,0))</f>
        <v/>
      </c>
      <c r="BA56" s="22" t="str">
        <f>INDEX(Cronograma!AZ$5:AZ$11,MATCH($B56,Premissas!$A$39:$A$45,0))</f>
        <v/>
      </c>
      <c r="BB56" s="22" t="str">
        <f>INDEX(Cronograma!BA$5:BA$11,MATCH($B56,Premissas!$A$39:$A$45,0))</f>
        <v/>
      </c>
    </row>
    <row r="57" spans="1:54" ht="15" customHeight="1" x14ac:dyDescent="0.4">
      <c r="A57" s="15" t="str">
        <f>Frota!$B57&amp;" — "&amp;Frota!$A57</f>
        <v>MB 3344 6x4 — 101145</v>
      </c>
      <c r="B57" s="16" t="str">
        <f>Frota!$C57</f>
        <v>Caminhão</v>
      </c>
      <c r="C57" s="22" t="str">
        <f>INDEX(Cronograma!B$5:B$11,MATCH($B57,Premissas!$A$39:$A$45,0))</f>
        <v/>
      </c>
      <c r="D57" s="22" t="str">
        <f>INDEX(Cronograma!C$5:C$11,MATCH($B57,Premissas!$A$39:$A$45,0))</f>
        <v/>
      </c>
      <c r="E57" s="22" t="str">
        <f>INDEX(Cronograma!D$5:D$11,MATCH($B57,Premissas!$A$39:$A$45,0))</f>
        <v/>
      </c>
      <c r="F57" s="22" t="str">
        <f>INDEX(Cronograma!E$5:E$11,MATCH($B57,Premissas!$A$39:$A$45,0))</f>
        <v/>
      </c>
      <c r="G57" s="22" t="str">
        <f>INDEX(Cronograma!F$5:F$11,MATCH($B57,Premissas!$A$39:$A$45,0))</f>
        <v/>
      </c>
      <c r="H57" s="22" t="str">
        <f>INDEX(Cronograma!G$5:G$11,MATCH($B57,Premissas!$A$39:$A$45,0))</f>
        <v/>
      </c>
      <c r="I57" s="22" t="str">
        <f>INDEX(Cronograma!H$5:H$11,MATCH($B57,Premissas!$A$39:$A$45,0))</f>
        <v>S</v>
      </c>
      <c r="J57" s="22" t="str">
        <f>INDEX(Cronograma!I$5:I$11,MATCH($B57,Premissas!$A$39:$A$45,0))</f>
        <v/>
      </c>
      <c r="K57" s="22" t="str">
        <f>INDEX(Cronograma!J$5:J$11,MATCH($B57,Premissas!$A$39:$A$45,0))</f>
        <v/>
      </c>
      <c r="L57" s="22" t="str">
        <f>INDEX(Cronograma!K$5:K$11,MATCH($B57,Premissas!$A$39:$A$45,0))</f>
        <v/>
      </c>
      <c r="M57" s="22" t="str">
        <f>INDEX(Cronograma!L$5:L$11,MATCH($B57,Premissas!$A$39:$A$45,0))</f>
        <v/>
      </c>
      <c r="N57" s="22" t="str">
        <f>INDEX(Cronograma!M$5:M$11,MATCH($B57,Premissas!$A$39:$A$45,0))</f>
        <v/>
      </c>
      <c r="O57" s="22" t="str">
        <f>INDEX(Cronograma!N$5:N$11,MATCH($B57,Premissas!$A$39:$A$45,0))</f>
        <v/>
      </c>
      <c r="P57" s="22" t="str">
        <f>INDEX(Cronograma!O$5:O$11,MATCH($B57,Premissas!$A$39:$A$45,0))</f>
        <v>A</v>
      </c>
      <c r="Q57" s="22" t="str">
        <f>INDEX(Cronograma!P$5:P$11,MATCH($B57,Premissas!$A$39:$A$45,0))</f>
        <v/>
      </c>
      <c r="R57" s="22" t="str">
        <f>INDEX(Cronograma!Q$5:Q$11,MATCH($B57,Premissas!$A$39:$A$45,0))</f>
        <v/>
      </c>
      <c r="S57" s="22" t="str">
        <f>INDEX(Cronograma!R$5:R$11,MATCH($B57,Premissas!$A$39:$A$45,0))</f>
        <v/>
      </c>
      <c r="T57" s="22" t="str">
        <f>INDEX(Cronograma!S$5:S$11,MATCH($B57,Premissas!$A$39:$A$45,0))</f>
        <v/>
      </c>
      <c r="U57" s="22" t="str">
        <f>INDEX(Cronograma!T$5:T$11,MATCH($B57,Premissas!$A$39:$A$45,0))</f>
        <v/>
      </c>
      <c r="V57" s="22" t="str">
        <f>INDEX(Cronograma!U$5:U$11,MATCH($B57,Premissas!$A$39:$A$45,0))</f>
        <v>S</v>
      </c>
      <c r="W57" s="22" t="str">
        <f>INDEX(Cronograma!V$5:V$11,MATCH($B57,Premissas!$A$39:$A$45,0))</f>
        <v/>
      </c>
      <c r="X57" s="22" t="str">
        <f>INDEX(Cronograma!W$5:W$11,MATCH($B57,Premissas!$A$39:$A$45,0))</f>
        <v/>
      </c>
      <c r="Y57" s="22" t="str">
        <f>INDEX(Cronograma!X$5:X$11,MATCH($B57,Premissas!$A$39:$A$45,0))</f>
        <v/>
      </c>
      <c r="Z57" s="22" t="str">
        <f>INDEX(Cronograma!Y$5:Y$11,MATCH($B57,Premissas!$A$39:$A$45,0))</f>
        <v/>
      </c>
      <c r="AA57" s="22" t="str">
        <f>INDEX(Cronograma!Z$5:Z$11,MATCH($B57,Premissas!$A$39:$A$45,0))</f>
        <v/>
      </c>
      <c r="AB57" s="22" t="str">
        <f>INDEX(Cronograma!AA$5:AA$11,MATCH($B57,Premissas!$A$39:$A$45,0))</f>
        <v/>
      </c>
      <c r="AC57" s="22" t="str">
        <f>INDEX(Cronograma!AB$5:AB$11,MATCH($B57,Premissas!$A$39:$A$45,0))</f>
        <v>B</v>
      </c>
      <c r="AD57" s="22" t="str">
        <f>INDEX(Cronograma!AC$5:AC$11,MATCH($B57,Premissas!$A$39:$A$45,0))</f>
        <v/>
      </c>
      <c r="AE57" s="22" t="str">
        <f>INDEX(Cronograma!AD$5:AD$11,MATCH($B57,Premissas!$A$39:$A$45,0))</f>
        <v/>
      </c>
      <c r="AF57" s="22" t="str">
        <f>INDEX(Cronograma!AE$5:AE$11,MATCH($B57,Premissas!$A$39:$A$45,0))</f>
        <v/>
      </c>
      <c r="AG57" s="22" t="str">
        <f>INDEX(Cronograma!AF$5:AF$11,MATCH($B57,Premissas!$A$39:$A$45,0))</f>
        <v/>
      </c>
      <c r="AH57" s="22" t="str">
        <f>INDEX(Cronograma!AG$5:AG$11,MATCH($B57,Premissas!$A$39:$A$45,0))</f>
        <v/>
      </c>
      <c r="AI57" s="22" t="str">
        <f>INDEX(Cronograma!AH$5:AH$11,MATCH($B57,Premissas!$A$39:$A$45,0))</f>
        <v/>
      </c>
      <c r="AJ57" s="22" t="str">
        <f>INDEX(Cronograma!AI$5:AI$11,MATCH($B57,Premissas!$A$39:$A$45,0))</f>
        <v/>
      </c>
      <c r="AK57" s="22" t="str">
        <f>INDEX(Cronograma!AJ$5:AJ$11,MATCH($B57,Premissas!$A$39:$A$45,0))</f>
        <v/>
      </c>
      <c r="AL57" s="22" t="str">
        <f>INDEX(Cronograma!AK$5:AK$11,MATCH($B57,Premissas!$A$39:$A$45,0))</f>
        <v/>
      </c>
      <c r="AM57" s="22" t="str">
        <f>INDEX(Cronograma!AL$5:AL$11,MATCH($B57,Premissas!$A$39:$A$45,0))</f>
        <v/>
      </c>
      <c r="AN57" s="22" t="str">
        <f>INDEX(Cronograma!AM$5:AM$11,MATCH($B57,Premissas!$A$39:$A$45,0))</f>
        <v/>
      </c>
      <c r="AO57" s="22" t="str">
        <f>INDEX(Cronograma!AN$5:AN$11,MATCH($B57,Premissas!$A$39:$A$45,0))</f>
        <v/>
      </c>
      <c r="AP57" s="22" t="str">
        <f>INDEX(Cronograma!AO$5:AO$11,MATCH($B57,Premissas!$A$39:$A$45,0))</f>
        <v>S</v>
      </c>
      <c r="AQ57" s="22" t="str">
        <f>INDEX(Cronograma!AP$5:AP$11,MATCH($B57,Premissas!$A$39:$A$45,0))</f>
        <v/>
      </c>
      <c r="AR57" s="22" t="str">
        <f>INDEX(Cronograma!AQ$5:AQ$11,MATCH($B57,Premissas!$A$39:$A$45,0))</f>
        <v/>
      </c>
      <c r="AS57" s="22" t="str">
        <f>INDEX(Cronograma!AR$5:AR$11,MATCH($B57,Premissas!$A$39:$A$45,0))</f>
        <v/>
      </c>
      <c r="AT57" s="22" t="str">
        <f>INDEX(Cronograma!AS$5:AS$11,MATCH($B57,Premissas!$A$39:$A$45,0))</f>
        <v/>
      </c>
      <c r="AU57" s="22" t="str">
        <f>INDEX(Cronograma!AT$5:AT$11,MATCH($B57,Premissas!$A$39:$A$45,0))</f>
        <v/>
      </c>
      <c r="AV57" s="22" t="str">
        <f>INDEX(Cronograma!AU$5:AU$11,MATCH($B57,Premissas!$A$39:$A$45,0))</f>
        <v/>
      </c>
      <c r="AW57" s="22" t="str">
        <f>INDEX(Cronograma!AV$5:AV$11,MATCH($B57,Premissas!$A$39:$A$45,0))</f>
        <v/>
      </c>
      <c r="AX57" s="22" t="str">
        <f>INDEX(Cronograma!AW$5:AW$11,MATCH($B57,Premissas!$A$39:$A$45,0))</f>
        <v/>
      </c>
      <c r="AY57" s="22" t="str">
        <f>INDEX(Cronograma!AX$5:AX$11,MATCH($B57,Premissas!$A$39:$A$45,0))</f>
        <v/>
      </c>
      <c r="AZ57" s="22" t="str">
        <f>INDEX(Cronograma!AY$5:AY$11,MATCH($B57,Premissas!$A$39:$A$45,0))</f>
        <v/>
      </c>
      <c r="BA57" s="22" t="str">
        <f>INDEX(Cronograma!AZ$5:AZ$11,MATCH($B57,Premissas!$A$39:$A$45,0))</f>
        <v/>
      </c>
      <c r="BB57" s="22" t="str">
        <f>INDEX(Cronograma!BA$5:BA$11,MATCH($B57,Premissas!$A$39:$A$45,0))</f>
        <v/>
      </c>
    </row>
    <row r="58" spans="1:54" ht="15" customHeight="1" x14ac:dyDescent="0.4">
      <c r="A58" s="15" t="str">
        <f>Frota!$B58&amp;" — "&amp;Frota!$A58</f>
        <v>MB 3344 6x4 — 101146</v>
      </c>
      <c r="B58" s="16" t="str">
        <f>Frota!$C58</f>
        <v>Caminhão</v>
      </c>
      <c r="C58" s="22" t="str">
        <f>INDEX(Cronograma!B$5:B$11,MATCH($B58,Premissas!$A$39:$A$45,0))</f>
        <v/>
      </c>
      <c r="D58" s="22" t="str">
        <f>INDEX(Cronograma!C$5:C$11,MATCH($B58,Premissas!$A$39:$A$45,0))</f>
        <v/>
      </c>
      <c r="E58" s="22" t="str">
        <f>INDEX(Cronograma!D$5:D$11,MATCH($B58,Premissas!$A$39:$A$45,0))</f>
        <v/>
      </c>
      <c r="F58" s="22" t="str">
        <f>INDEX(Cronograma!E$5:E$11,MATCH($B58,Premissas!$A$39:$A$45,0))</f>
        <v/>
      </c>
      <c r="G58" s="22" t="str">
        <f>INDEX(Cronograma!F$5:F$11,MATCH($B58,Premissas!$A$39:$A$45,0))</f>
        <v/>
      </c>
      <c r="H58" s="22" t="str">
        <f>INDEX(Cronograma!G$5:G$11,MATCH($B58,Premissas!$A$39:$A$45,0))</f>
        <v/>
      </c>
      <c r="I58" s="22" t="str">
        <f>INDEX(Cronograma!H$5:H$11,MATCH($B58,Premissas!$A$39:$A$45,0))</f>
        <v>S</v>
      </c>
      <c r="J58" s="22" t="str">
        <f>INDEX(Cronograma!I$5:I$11,MATCH($B58,Premissas!$A$39:$A$45,0))</f>
        <v/>
      </c>
      <c r="K58" s="22" t="str">
        <f>INDEX(Cronograma!J$5:J$11,MATCH($B58,Premissas!$A$39:$A$45,0))</f>
        <v/>
      </c>
      <c r="L58" s="22" t="str">
        <f>INDEX(Cronograma!K$5:K$11,MATCH($B58,Premissas!$A$39:$A$45,0))</f>
        <v/>
      </c>
      <c r="M58" s="22" t="str">
        <f>INDEX(Cronograma!L$5:L$11,MATCH($B58,Premissas!$A$39:$A$45,0))</f>
        <v/>
      </c>
      <c r="N58" s="22" t="str">
        <f>INDEX(Cronograma!M$5:M$11,MATCH($B58,Premissas!$A$39:$A$45,0))</f>
        <v/>
      </c>
      <c r="O58" s="22" t="str">
        <f>INDEX(Cronograma!N$5:N$11,MATCH($B58,Premissas!$A$39:$A$45,0))</f>
        <v/>
      </c>
      <c r="P58" s="22" t="str">
        <f>INDEX(Cronograma!O$5:O$11,MATCH($B58,Premissas!$A$39:$A$45,0))</f>
        <v>A</v>
      </c>
      <c r="Q58" s="22" t="str">
        <f>INDEX(Cronograma!P$5:P$11,MATCH($B58,Premissas!$A$39:$A$45,0))</f>
        <v/>
      </c>
      <c r="R58" s="22" t="str">
        <f>INDEX(Cronograma!Q$5:Q$11,MATCH($B58,Premissas!$A$39:$A$45,0))</f>
        <v/>
      </c>
      <c r="S58" s="22" t="str">
        <f>INDEX(Cronograma!R$5:R$11,MATCH($B58,Premissas!$A$39:$A$45,0))</f>
        <v/>
      </c>
      <c r="T58" s="22" t="str">
        <f>INDEX(Cronograma!S$5:S$11,MATCH($B58,Premissas!$A$39:$A$45,0))</f>
        <v/>
      </c>
      <c r="U58" s="22" t="str">
        <f>INDEX(Cronograma!T$5:T$11,MATCH($B58,Premissas!$A$39:$A$45,0))</f>
        <v/>
      </c>
      <c r="V58" s="22" t="str">
        <f>INDEX(Cronograma!U$5:U$11,MATCH($B58,Premissas!$A$39:$A$45,0))</f>
        <v>S</v>
      </c>
      <c r="W58" s="22" t="str">
        <f>INDEX(Cronograma!V$5:V$11,MATCH($B58,Premissas!$A$39:$A$45,0))</f>
        <v/>
      </c>
      <c r="X58" s="22" t="str">
        <f>INDEX(Cronograma!W$5:W$11,MATCH($B58,Premissas!$A$39:$A$45,0))</f>
        <v/>
      </c>
      <c r="Y58" s="22" t="str">
        <f>INDEX(Cronograma!X$5:X$11,MATCH($B58,Premissas!$A$39:$A$45,0))</f>
        <v/>
      </c>
      <c r="Z58" s="22" t="str">
        <f>INDEX(Cronograma!Y$5:Y$11,MATCH($B58,Premissas!$A$39:$A$45,0))</f>
        <v/>
      </c>
      <c r="AA58" s="22" t="str">
        <f>INDEX(Cronograma!Z$5:Z$11,MATCH($B58,Premissas!$A$39:$A$45,0))</f>
        <v/>
      </c>
      <c r="AB58" s="22" t="str">
        <f>INDEX(Cronograma!AA$5:AA$11,MATCH($B58,Premissas!$A$39:$A$45,0))</f>
        <v/>
      </c>
      <c r="AC58" s="22" t="str">
        <f>INDEX(Cronograma!AB$5:AB$11,MATCH($B58,Premissas!$A$39:$A$45,0))</f>
        <v>B</v>
      </c>
      <c r="AD58" s="22" t="str">
        <f>INDEX(Cronograma!AC$5:AC$11,MATCH($B58,Premissas!$A$39:$A$45,0))</f>
        <v/>
      </c>
      <c r="AE58" s="22" t="str">
        <f>INDEX(Cronograma!AD$5:AD$11,MATCH($B58,Premissas!$A$39:$A$45,0))</f>
        <v/>
      </c>
      <c r="AF58" s="22" t="str">
        <f>INDEX(Cronograma!AE$5:AE$11,MATCH($B58,Premissas!$A$39:$A$45,0))</f>
        <v/>
      </c>
      <c r="AG58" s="22" t="str">
        <f>INDEX(Cronograma!AF$5:AF$11,MATCH($B58,Premissas!$A$39:$A$45,0))</f>
        <v/>
      </c>
      <c r="AH58" s="22" t="str">
        <f>INDEX(Cronograma!AG$5:AG$11,MATCH($B58,Premissas!$A$39:$A$45,0))</f>
        <v/>
      </c>
      <c r="AI58" s="22" t="str">
        <f>INDEX(Cronograma!AH$5:AH$11,MATCH($B58,Premissas!$A$39:$A$45,0))</f>
        <v/>
      </c>
      <c r="AJ58" s="22" t="str">
        <f>INDEX(Cronograma!AI$5:AI$11,MATCH($B58,Premissas!$A$39:$A$45,0))</f>
        <v/>
      </c>
      <c r="AK58" s="22" t="str">
        <f>INDEX(Cronograma!AJ$5:AJ$11,MATCH($B58,Premissas!$A$39:$A$45,0))</f>
        <v/>
      </c>
      <c r="AL58" s="22" t="str">
        <f>INDEX(Cronograma!AK$5:AK$11,MATCH($B58,Premissas!$A$39:$A$45,0))</f>
        <v/>
      </c>
      <c r="AM58" s="22" t="str">
        <f>INDEX(Cronograma!AL$5:AL$11,MATCH($B58,Premissas!$A$39:$A$45,0))</f>
        <v/>
      </c>
      <c r="AN58" s="22" t="str">
        <f>INDEX(Cronograma!AM$5:AM$11,MATCH($B58,Premissas!$A$39:$A$45,0))</f>
        <v/>
      </c>
      <c r="AO58" s="22" t="str">
        <f>INDEX(Cronograma!AN$5:AN$11,MATCH($B58,Premissas!$A$39:$A$45,0))</f>
        <v/>
      </c>
      <c r="AP58" s="22" t="str">
        <f>INDEX(Cronograma!AO$5:AO$11,MATCH($B58,Premissas!$A$39:$A$45,0))</f>
        <v>S</v>
      </c>
      <c r="AQ58" s="22" t="str">
        <f>INDEX(Cronograma!AP$5:AP$11,MATCH($B58,Premissas!$A$39:$A$45,0))</f>
        <v/>
      </c>
      <c r="AR58" s="22" t="str">
        <f>INDEX(Cronograma!AQ$5:AQ$11,MATCH($B58,Premissas!$A$39:$A$45,0))</f>
        <v/>
      </c>
      <c r="AS58" s="22" t="str">
        <f>INDEX(Cronograma!AR$5:AR$11,MATCH($B58,Premissas!$A$39:$A$45,0))</f>
        <v/>
      </c>
      <c r="AT58" s="22" t="str">
        <f>INDEX(Cronograma!AS$5:AS$11,MATCH($B58,Premissas!$A$39:$A$45,0))</f>
        <v/>
      </c>
      <c r="AU58" s="22" t="str">
        <f>INDEX(Cronograma!AT$5:AT$11,MATCH($B58,Premissas!$A$39:$A$45,0))</f>
        <v/>
      </c>
      <c r="AV58" s="22" t="str">
        <f>INDEX(Cronograma!AU$5:AU$11,MATCH($B58,Premissas!$A$39:$A$45,0))</f>
        <v/>
      </c>
      <c r="AW58" s="22" t="str">
        <f>INDEX(Cronograma!AV$5:AV$11,MATCH($B58,Premissas!$A$39:$A$45,0))</f>
        <v/>
      </c>
      <c r="AX58" s="22" t="str">
        <f>INDEX(Cronograma!AW$5:AW$11,MATCH($B58,Premissas!$A$39:$A$45,0))</f>
        <v/>
      </c>
      <c r="AY58" s="22" t="str">
        <f>INDEX(Cronograma!AX$5:AX$11,MATCH($B58,Premissas!$A$39:$A$45,0))</f>
        <v/>
      </c>
      <c r="AZ58" s="22" t="str">
        <f>INDEX(Cronograma!AY$5:AY$11,MATCH($B58,Premissas!$A$39:$A$45,0))</f>
        <v/>
      </c>
      <c r="BA58" s="22" t="str">
        <f>INDEX(Cronograma!AZ$5:AZ$11,MATCH($B58,Premissas!$A$39:$A$45,0))</f>
        <v/>
      </c>
      <c r="BB58" s="22" t="str">
        <f>INDEX(Cronograma!BA$5:BA$11,MATCH($B58,Premissas!$A$39:$A$45,0))</f>
        <v/>
      </c>
    </row>
    <row r="59" spans="1:54" ht="15" customHeight="1" x14ac:dyDescent="0.4">
      <c r="A59" s="15" t="str">
        <f>Frota!$B59&amp;" — "&amp;Frota!$A59</f>
        <v>MB 3344 6x4 — 101147</v>
      </c>
      <c r="B59" s="16" t="str">
        <f>Frota!$C59</f>
        <v>Caminhão</v>
      </c>
      <c r="C59" s="22" t="str">
        <f>INDEX(Cronograma!B$5:B$11,MATCH($B59,Premissas!$A$39:$A$45,0))</f>
        <v/>
      </c>
      <c r="D59" s="22" t="str">
        <f>INDEX(Cronograma!C$5:C$11,MATCH($B59,Premissas!$A$39:$A$45,0))</f>
        <v/>
      </c>
      <c r="E59" s="22" t="str">
        <f>INDEX(Cronograma!D$5:D$11,MATCH($B59,Premissas!$A$39:$A$45,0))</f>
        <v/>
      </c>
      <c r="F59" s="22" t="str">
        <f>INDEX(Cronograma!E$5:E$11,MATCH($B59,Premissas!$A$39:$A$45,0))</f>
        <v/>
      </c>
      <c r="G59" s="22" t="str">
        <f>INDEX(Cronograma!F$5:F$11,MATCH($B59,Premissas!$A$39:$A$45,0))</f>
        <v/>
      </c>
      <c r="H59" s="22" t="str">
        <f>INDEX(Cronograma!G$5:G$11,MATCH($B59,Premissas!$A$39:$A$45,0))</f>
        <v/>
      </c>
      <c r="I59" s="22" t="str">
        <f>INDEX(Cronograma!H$5:H$11,MATCH($B59,Premissas!$A$39:$A$45,0))</f>
        <v>S</v>
      </c>
      <c r="J59" s="22" t="str">
        <f>INDEX(Cronograma!I$5:I$11,MATCH($B59,Premissas!$A$39:$A$45,0))</f>
        <v/>
      </c>
      <c r="K59" s="22" t="str">
        <f>INDEX(Cronograma!J$5:J$11,MATCH($B59,Premissas!$A$39:$A$45,0))</f>
        <v/>
      </c>
      <c r="L59" s="22" t="str">
        <f>INDEX(Cronograma!K$5:K$11,MATCH($B59,Premissas!$A$39:$A$45,0))</f>
        <v/>
      </c>
      <c r="M59" s="22" t="str">
        <f>INDEX(Cronograma!L$5:L$11,MATCH($B59,Premissas!$A$39:$A$45,0))</f>
        <v/>
      </c>
      <c r="N59" s="22" t="str">
        <f>INDEX(Cronograma!M$5:M$11,MATCH($B59,Premissas!$A$39:$A$45,0))</f>
        <v/>
      </c>
      <c r="O59" s="22" t="str">
        <f>INDEX(Cronograma!N$5:N$11,MATCH($B59,Premissas!$A$39:$A$45,0))</f>
        <v/>
      </c>
      <c r="P59" s="22" t="str">
        <f>INDEX(Cronograma!O$5:O$11,MATCH($B59,Premissas!$A$39:$A$45,0))</f>
        <v>A</v>
      </c>
      <c r="Q59" s="22" t="str">
        <f>INDEX(Cronograma!P$5:P$11,MATCH($B59,Premissas!$A$39:$A$45,0))</f>
        <v/>
      </c>
      <c r="R59" s="22" t="str">
        <f>INDEX(Cronograma!Q$5:Q$11,MATCH($B59,Premissas!$A$39:$A$45,0))</f>
        <v/>
      </c>
      <c r="S59" s="22" t="str">
        <f>INDEX(Cronograma!R$5:R$11,MATCH($B59,Premissas!$A$39:$A$45,0))</f>
        <v/>
      </c>
      <c r="T59" s="22" t="str">
        <f>INDEX(Cronograma!S$5:S$11,MATCH($B59,Premissas!$A$39:$A$45,0))</f>
        <v/>
      </c>
      <c r="U59" s="22" t="str">
        <f>INDEX(Cronograma!T$5:T$11,MATCH($B59,Premissas!$A$39:$A$45,0))</f>
        <v/>
      </c>
      <c r="V59" s="22" t="str">
        <f>INDEX(Cronograma!U$5:U$11,MATCH($B59,Premissas!$A$39:$A$45,0))</f>
        <v>S</v>
      </c>
      <c r="W59" s="22" t="str">
        <f>INDEX(Cronograma!V$5:V$11,MATCH($B59,Premissas!$A$39:$A$45,0))</f>
        <v/>
      </c>
      <c r="X59" s="22" t="str">
        <f>INDEX(Cronograma!W$5:W$11,MATCH($B59,Premissas!$A$39:$A$45,0))</f>
        <v/>
      </c>
      <c r="Y59" s="22" t="str">
        <f>INDEX(Cronograma!X$5:X$11,MATCH($B59,Premissas!$A$39:$A$45,0))</f>
        <v/>
      </c>
      <c r="Z59" s="22" t="str">
        <f>INDEX(Cronograma!Y$5:Y$11,MATCH($B59,Premissas!$A$39:$A$45,0))</f>
        <v/>
      </c>
      <c r="AA59" s="22" t="str">
        <f>INDEX(Cronograma!Z$5:Z$11,MATCH($B59,Premissas!$A$39:$A$45,0))</f>
        <v/>
      </c>
      <c r="AB59" s="22" t="str">
        <f>INDEX(Cronograma!AA$5:AA$11,MATCH($B59,Premissas!$A$39:$A$45,0))</f>
        <v/>
      </c>
      <c r="AC59" s="22" t="str">
        <f>INDEX(Cronograma!AB$5:AB$11,MATCH($B59,Premissas!$A$39:$A$45,0))</f>
        <v>B</v>
      </c>
      <c r="AD59" s="22" t="str">
        <f>INDEX(Cronograma!AC$5:AC$11,MATCH($B59,Premissas!$A$39:$A$45,0))</f>
        <v/>
      </c>
      <c r="AE59" s="22" t="str">
        <f>INDEX(Cronograma!AD$5:AD$11,MATCH($B59,Premissas!$A$39:$A$45,0))</f>
        <v/>
      </c>
      <c r="AF59" s="22" t="str">
        <f>INDEX(Cronograma!AE$5:AE$11,MATCH($B59,Premissas!$A$39:$A$45,0))</f>
        <v/>
      </c>
      <c r="AG59" s="22" t="str">
        <f>INDEX(Cronograma!AF$5:AF$11,MATCH($B59,Premissas!$A$39:$A$45,0))</f>
        <v/>
      </c>
      <c r="AH59" s="22" t="str">
        <f>INDEX(Cronograma!AG$5:AG$11,MATCH($B59,Premissas!$A$39:$A$45,0))</f>
        <v/>
      </c>
      <c r="AI59" s="22" t="str">
        <f>INDEX(Cronograma!AH$5:AH$11,MATCH($B59,Premissas!$A$39:$A$45,0))</f>
        <v/>
      </c>
      <c r="AJ59" s="22" t="str">
        <f>INDEX(Cronograma!AI$5:AI$11,MATCH($B59,Premissas!$A$39:$A$45,0))</f>
        <v/>
      </c>
      <c r="AK59" s="22" t="str">
        <f>INDEX(Cronograma!AJ$5:AJ$11,MATCH($B59,Premissas!$A$39:$A$45,0))</f>
        <v/>
      </c>
      <c r="AL59" s="22" t="str">
        <f>INDEX(Cronograma!AK$5:AK$11,MATCH($B59,Premissas!$A$39:$A$45,0))</f>
        <v/>
      </c>
      <c r="AM59" s="22" t="str">
        <f>INDEX(Cronograma!AL$5:AL$11,MATCH($B59,Premissas!$A$39:$A$45,0))</f>
        <v/>
      </c>
      <c r="AN59" s="22" t="str">
        <f>INDEX(Cronograma!AM$5:AM$11,MATCH($B59,Premissas!$A$39:$A$45,0))</f>
        <v/>
      </c>
      <c r="AO59" s="22" t="str">
        <f>INDEX(Cronograma!AN$5:AN$11,MATCH($B59,Premissas!$A$39:$A$45,0))</f>
        <v/>
      </c>
      <c r="AP59" s="22" t="str">
        <f>INDEX(Cronograma!AO$5:AO$11,MATCH($B59,Premissas!$A$39:$A$45,0))</f>
        <v>S</v>
      </c>
      <c r="AQ59" s="22" t="str">
        <f>INDEX(Cronograma!AP$5:AP$11,MATCH($B59,Premissas!$A$39:$A$45,0))</f>
        <v/>
      </c>
      <c r="AR59" s="22" t="str">
        <f>INDEX(Cronograma!AQ$5:AQ$11,MATCH($B59,Premissas!$A$39:$A$45,0))</f>
        <v/>
      </c>
      <c r="AS59" s="22" t="str">
        <f>INDEX(Cronograma!AR$5:AR$11,MATCH($B59,Premissas!$A$39:$A$45,0))</f>
        <v/>
      </c>
      <c r="AT59" s="22" t="str">
        <f>INDEX(Cronograma!AS$5:AS$11,MATCH($B59,Premissas!$A$39:$A$45,0))</f>
        <v/>
      </c>
      <c r="AU59" s="22" t="str">
        <f>INDEX(Cronograma!AT$5:AT$11,MATCH($B59,Premissas!$A$39:$A$45,0))</f>
        <v/>
      </c>
      <c r="AV59" s="22" t="str">
        <f>INDEX(Cronograma!AU$5:AU$11,MATCH($B59,Premissas!$A$39:$A$45,0))</f>
        <v/>
      </c>
      <c r="AW59" s="22" t="str">
        <f>INDEX(Cronograma!AV$5:AV$11,MATCH($B59,Premissas!$A$39:$A$45,0))</f>
        <v/>
      </c>
      <c r="AX59" s="22" t="str">
        <f>INDEX(Cronograma!AW$5:AW$11,MATCH($B59,Premissas!$A$39:$A$45,0))</f>
        <v/>
      </c>
      <c r="AY59" s="22" t="str">
        <f>INDEX(Cronograma!AX$5:AX$11,MATCH($B59,Premissas!$A$39:$A$45,0))</f>
        <v/>
      </c>
      <c r="AZ59" s="22" t="str">
        <f>INDEX(Cronograma!AY$5:AY$11,MATCH($B59,Premissas!$A$39:$A$45,0))</f>
        <v/>
      </c>
      <c r="BA59" s="22" t="str">
        <f>INDEX(Cronograma!AZ$5:AZ$11,MATCH($B59,Premissas!$A$39:$A$45,0))</f>
        <v/>
      </c>
      <c r="BB59" s="22" t="str">
        <f>INDEX(Cronograma!BA$5:BA$11,MATCH($B59,Premissas!$A$39:$A$45,0))</f>
        <v/>
      </c>
    </row>
    <row r="60" spans="1:54" ht="15" customHeight="1" x14ac:dyDescent="0.4">
      <c r="A60" s="15" t="str">
        <f>Frota!$B60&amp;" — "&amp;Frota!$A60</f>
        <v>MB 3344 6x4 — 101148</v>
      </c>
      <c r="B60" s="16" t="str">
        <f>Frota!$C60</f>
        <v>Caminhão</v>
      </c>
      <c r="C60" s="22" t="str">
        <f>INDEX(Cronograma!B$5:B$11,MATCH($B60,Premissas!$A$39:$A$45,0))</f>
        <v/>
      </c>
      <c r="D60" s="22" t="str">
        <f>INDEX(Cronograma!C$5:C$11,MATCH($B60,Premissas!$A$39:$A$45,0))</f>
        <v/>
      </c>
      <c r="E60" s="22" t="str">
        <f>INDEX(Cronograma!D$5:D$11,MATCH($B60,Premissas!$A$39:$A$45,0))</f>
        <v/>
      </c>
      <c r="F60" s="22" t="str">
        <f>INDEX(Cronograma!E$5:E$11,MATCH($B60,Premissas!$A$39:$A$45,0))</f>
        <v/>
      </c>
      <c r="G60" s="22" t="str">
        <f>INDEX(Cronograma!F$5:F$11,MATCH($B60,Premissas!$A$39:$A$45,0))</f>
        <v/>
      </c>
      <c r="H60" s="22" t="str">
        <f>INDEX(Cronograma!G$5:G$11,MATCH($B60,Premissas!$A$39:$A$45,0))</f>
        <v/>
      </c>
      <c r="I60" s="22" t="str">
        <f>INDEX(Cronograma!H$5:H$11,MATCH($B60,Premissas!$A$39:$A$45,0))</f>
        <v>S</v>
      </c>
      <c r="J60" s="22" t="str">
        <f>INDEX(Cronograma!I$5:I$11,MATCH($B60,Premissas!$A$39:$A$45,0))</f>
        <v/>
      </c>
      <c r="K60" s="22" t="str">
        <f>INDEX(Cronograma!J$5:J$11,MATCH($B60,Premissas!$A$39:$A$45,0))</f>
        <v/>
      </c>
      <c r="L60" s="22" t="str">
        <f>INDEX(Cronograma!K$5:K$11,MATCH($B60,Premissas!$A$39:$A$45,0))</f>
        <v/>
      </c>
      <c r="M60" s="22" t="str">
        <f>INDEX(Cronograma!L$5:L$11,MATCH($B60,Premissas!$A$39:$A$45,0))</f>
        <v/>
      </c>
      <c r="N60" s="22" t="str">
        <f>INDEX(Cronograma!M$5:M$11,MATCH($B60,Premissas!$A$39:$A$45,0))</f>
        <v/>
      </c>
      <c r="O60" s="22" t="str">
        <f>INDEX(Cronograma!N$5:N$11,MATCH($B60,Premissas!$A$39:$A$45,0))</f>
        <v/>
      </c>
      <c r="P60" s="22" t="str">
        <f>INDEX(Cronograma!O$5:O$11,MATCH($B60,Premissas!$A$39:$A$45,0))</f>
        <v>A</v>
      </c>
      <c r="Q60" s="22" t="str">
        <f>INDEX(Cronograma!P$5:P$11,MATCH($B60,Premissas!$A$39:$A$45,0))</f>
        <v/>
      </c>
      <c r="R60" s="22" t="str">
        <f>INDEX(Cronograma!Q$5:Q$11,MATCH($B60,Premissas!$A$39:$A$45,0))</f>
        <v/>
      </c>
      <c r="S60" s="22" t="str">
        <f>INDEX(Cronograma!R$5:R$11,MATCH($B60,Premissas!$A$39:$A$45,0))</f>
        <v/>
      </c>
      <c r="T60" s="22" t="str">
        <f>INDEX(Cronograma!S$5:S$11,MATCH($B60,Premissas!$A$39:$A$45,0))</f>
        <v/>
      </c>
      <c r="U60" s="22" t="str">
        <f>INDEX(Cronograma!T$5:T$11,MATCH($B60,Premissas!$A$39:$A$45,0))</f>
        <v/>
      </c>
      <c r="V60" s="22" t="str">
        <f>INDEX(Cronograma!U$5:U$11,MATCH($B60,Premissas!$A$39:$A$45,0))</f>
        <v>S</v>
      </c>
      <c r="W60" s="22" t="str">
        <f>INDEX(Cronograma!V$5:V$11,MATCH($B60,Premissas!$A$39:$A$45,0))</f>
        <v/>
      </c>
      <c r="X60" s="22" t="str">
        <f>INDEX(Cronograma!W$5:W$11,MATCH($B60,Premissas!$A$39:$A$45,0))</f>
        <v/>
      </c>
      <c r="Y60" s="22" t="str">
        <f>INDEX(Cronograma!X$5:X$11,MATCH($B60,Premissas!$A$39:$A$45,0))</f>
        <v/>
      </c>
      <c r="Z60" s="22" t="str">
        <f>INDEX(Cronograma!Y$5:Y$11,MATCH($B60,Premissas!$A$39:$A$45,0))</f>
        <v/>
      </c>
      <c r="AA60" s="22" t="str">
        <f>INDEX(Cronograma!Z$5:Z$11,MATCH($B60,Premissas!$A$39:$A$45,0))</f>
        <v/>
      </c>
      <c r="AB60" s="22" t="str">
        <f>INDEX(Cronograma!AA$5:AA$11,MATCH($B60,Premissas!$A$39:$A$45,0))</f>
        <v/>
      </c>
      <c r="AC60" s="22" t="str">
        <f>INDEX(Cronograma!AB$5:AB$11,MATCH($B60,Premissas!$A$39:$A$45,0))</f>
        <v>B</v>
      </c>
      <c r="AD60" s="22" t="str">
        <f>INDEX(Cronograma!AC$5:AC$11,MATCH($B60,Premissas!$A$39:$A$45,0))</f>
        <v/>
      </c>
      <c r="AE60" s="22" t="str">
        <f>INDEX(Cronograma!AD$5:AD$11,MATCH($B60,Premissas!$A$39:$A$45,0))</f>
        <v/>
      </c>
      <c r="AF60" s="22" t="str">
        <f>INDEX(Cronograma!AE$5:AE$11,MATCH($B60,Premissas!$A$39:$A$45,0))</f>
        <v/>
      </c>
      <c r="AG60" s="22" t="str">
        <f>INDEX(Cronograma!AF$5:AF$11,MATCH($B60,Premissas!$A$39:$A$45,0))</f>
        <v/>
      </c>
      <c r="AH60" s="22" t="str">
        <f>INDEX(Cronograma!AG$5:AG$11,MATCH($B60,Premissas!$A$39:$A$45,0))</f>
        <v/>
      </c>
      <c r="AI60" s="22" t="str">
        <f>INDEX(Cronograma!AH$5:AH$11,MATCH($B60,Premissas!$A$39:$A$45,0))</f>
        <v/>
      </c>
      <c r="AJ60" s="22" t="str">
        <f>INDEX(Cronograma!AI$5:AI$11,MATCH($B60,Premissas!$A$39:$A$45,0))</f>
        <v/>
      </c>
      <c r="AK60" s="22" t="str">
        <f>INDEX(Cronograma!AJ$5:AJ$11,MATCH($B60,Premissas!$A$39:$A$45,0))</f>
        <v/>
      </c>
      <c r="AL60" s="22" t="str">
        <f>INDEX(Cronograma!AK$5:AK$11,MATCH($B60,Premissas!$A$39:$A$45,0))</f>
        <v/>
      </c>
      <c r="AM60" s="22" t="str">
        <f>INDEX(Cronograma!AL$5:AL$11,MATCH($B60,Premissas!$A$39:$A$45,0))</f>
        <v/>
      </c>
      <c r="AN60" s="22" t="str">
        <f>INDEX(Cronograma!AM$5:AM$11,MATCH($B60,Premissas!$A$39:$A$45,0))</f>
        <v/>
      </c>
      <c r="AO60" s="22" t="str">
        <f>INDEX(Cronograma!AN$5:AN$11,MATCH($B60,Premissas!$A$39:$A$45,0))</f>
        <v/>
      </c>
      <c r="AP60" s="22" t="str">
        <f>INDEX(Cronograma!AO$5:AO$11,MATCH($B60,Premissas!$A$39:$A$45,0))</f>
        <v>S</v>
      </c>
      <c r="AQ60" s="22" t="str">
        <f>INDEX(Cronograma!AP$5:AP$11,MATCH($B60,Premissas!$A$39:$A$45,0))</f>
        <v/>
      </c>
      <c r="AR60" s="22" t="str">
        <f>INDEX(Cronograma!AQ$5:AQ$11,MATCH($B60,Premissas!$A$39:$A$45,0))</f>
        <v/>
      </c>
      <c r="AS60" s="22" t="str">
        <f>INDEX(Cronograma!AR$5:AR$11,MATCH($B60,Premissas!$A$39:$A$45,0))</f>
        <v/>
      </c>
      <c r="AT60" s="22" t="str">
        <f>INDEX(Cronograma!AS$5:AS$11,MATCH($B60,Premissas!$A$39:$A$45,0))</f>
        <v/>
      </c>
      <c r="AU60" s="22" t="str">
        <f>INDEX(Cronograma!AT$5:AT$11,MATCH($B60,Premissas!$A$39:$A$45,0))</f>
        <v/>
      </c>
      <c r="AV60" s="22" t="str">
        <f>INDEX(Cronograma!AU$5:AU$11,MATCH($B60,Premissas!$A$39:$A$45,0))</f>
        <v/>
      </c>
      <c r="AW60" s="22" t="str">
        <f>INDEX(Cronograma!AV$5:AV$11,MATCH($B60,Premissas!$A$39:$A$45,0))</f>
        <v/>
      </c>
      <c r="AX60" s="22" t="str">
        <f>INDEX(Cronograma!AW$5:AW$11,MATCH($B60,Premissas!$A$39:$A$45,0))</f>
        <v/>
      </c>
      <c r="AY60" s="22" t="str">
        <f>INDEX(Cronograma!AX$5:AX$11,MATCH($B60,Premissas!$A$39:$A$45,0))</f>
        <v/>
      </c>
      <c r="AZ60" s="22" t="str">
        <f>INDEX(Cronograma!AY$5:AY$11,MATCH($B60,Premissas!$A$39:$A$45,0))</f>
        <v/>
      </c>
      <c r="BA60" s="22" t="str">
        <f>INDEX(Cronograma!AZ$5:AZ$11,MATCH($B60,Premissas!$A$39:$A$45,0))</f>
        <v/>
      </c>
      <c r="BB60" s="22" t="str">
        <f>INDEX(Cronograma!BA$5:BA$11,MATCH($B60,Premissas!$A$39:$A$45,0))</f>
        <v/>
      </c>
    </row>
    <row r="61" spans="1:54" ht="15" customHeight="1" x14ac:dyDescent="0.4">
      <c r="A61" s="15" t="str">
        <f>Frota!$B61&amp;" — "&amp;Frota!$A61</f>
        <v>MB 2730 6X4 — 101149</v>
      </c>
      <c r="B61" s="16" t="str">
        <f>Frota!$C61</f>
        <v>Caminhão</v>
      </c>
      <c r="C61" s="22" t="str">
        <f>INDEX(Cronograma!B$5:B$11,MATCH($B61,Premissas!$A$39:$A$45,0))</f>
        <v/>
      </c>
      <c r="D61" s="22" t="str">
        <f>INDEX(Cronograma!C$5:C$11,MATCH($B61,Premissas!$A$39:$A$45,0))</f>
        <v/>
      </c>
      <c r="E61" s="22" t="str">
        <f>INDEX(Cronograma!D$5:D$11,MATCH($B61,Premissas!$A$39:$A$45,0))</f>
        <v/>
      </c>
      <c r="F61" s="22" t="str">
        <f>INDEX(Cronograma!E$5:E$11,MATCH($B61,Premissas!$A$39:$A$45,0))</f>
        <v/>
      </c>
      <c r="G61" s="22" t="str">
        <f>INDEX(Cronograma!F$5:F$11,MATCH($B61,Premissas!$A$39:$A$45,0))</f>
        <v/>
      </c>
      <c r="H61" s="22" t="str">
        <f>INDEX(Cronograma!G$5:G$11,MATCH($B61,Premissas!$A$39:$A$45,0))</f>
        <v/>
      </c>
      <c r="I61" s="22" t="str">
        <f>INDEX(Cronograma!H$5:H$11,MATCH($B61,Premissas!$A$39:$A$45,0))</f>
        <v>S</v>
      </c>
      <c r="J61" s="22" t="str">
        <f>INDEX(Cronograma!I$5:I$11,MATCH($B61,Premissas!$A$39:$A$45,0))</f>
        <v/>
      </c>
      <c r="K61" s="22" t="str">
        <f>INDEX(Cronograma!J$5:J$11,MATCH($B61,Premissas!$A$39:$A$45,0))</f>
        <v/>
      </c>
      <c r="L61" s="22" t="str">
        <f>INDEX(Cronograma!K$5:K$11,MATCH($B61,Premissas!$A$39:$A$45,0))</f>
        <v/>
      </c>
      <c r="M61" s="22" t="str">
        <f>INDEX(Cronograma!L$5:L$11,MATCH($B61,Premissas!$A$39:$A$45,0))</f>
        <v/>
      </c>
      <c r="N61" s="22" t="str">
        <f>INDEX(Cronograma!M$5:M$11,MATCH($B61,Premissas!$A$39:$A$45,0))</f>
        <v/>
      </c>
      <c r="O61" s="22" t="str">
        <f>INDEX(Cronograma!N$5:N$11,MATCH($B61,Premissas!$A$39:$A$45,0))</f>
        <v/>
      </c>
      <c r="P61" s="22" t="str">
        <f>INDEX(Cronograma!O$5:O$11,MATCH($B61,Premissas!$A$39:$A$45,0))</f>
        <v>A</v>
      </c>
      <c r="Q61" s="22" t="str">
        <f>INDEX(Cronograma!P$5:P$11,MATCH($B61,Premissas!$A$39:$A$45,0))</f>
        <v/>
      </c>
      <c r="R61" s="22" t="str">
        <f>INDEX(Cronograma!Q$5:Q$11,MATCH($B61,Premissas!$A$39:$A$45,0))</f>
        <v/>
      </c>
      <c r="S61" s="22" t="str">
        <f>INDEX(Cronograma!R$5:R$11,MATCH($B61,Premissas!$A$39:$A$45,0))</f>
        <v/>
      </c>
      <c r="T61" s="22" t="str">
        <f>INDEX(Cronograma!S$5:S$11,MATCH($B61,Premissas!$A$39:$A$45,0))</f>
        <v/>
      </c>
      <c r="U61" s="22" t="str">
        <f>INDEX(Cronograma!T$5:T$11,MATCH($B61,Premissas!$A$39:$A$45,0))</f>
        <v/>
      </c>
      <c r="V61" s="22" t="str">
        <f>INDEX(Cronograma!U$5:U$11,MATCH($B61,Premissas!$A$39:$A$45,0))</f>
        <v>S</v>
      </c>
      <c r="W61" s="22" t="str">
        <f>INDEX(Cronograma!V$5:V$11,MATCH($B61,Premissas!$A$39:$A$45,0))</f>
        <v/>
      </c>
      <c r="X61" s="22" t="str">
        <f>INDEX(Cronograma!W$5:W$11,MATCH($B61,Premissas!$A$39:$A$45,0))</f>
        <v/>
      </c>
      <c r="Y61" s="22" t="str">
        <f>INDEX(Cronograma!X$5:X$11,MATCH($B61,Premissas!$A$39:$A$45,0))</f>
        <v/>
      </c>
      <c r="Z61" s="22" t="str">
        <f>INDEX(Cronograma!Y$5:Y$11,MATCH($B61,Premissas!$A$39:$A$45,0))</f>
        <v/>
      </c>
      <c r="AA61" s="22" t="str">
        <f>INDEX(Cronograma!Z$5:Z$11,MATCH($B61,Premissas!$A$39:$A$45,0))</f>
        <v/>
      </c>
      <c r="AB61" s="22" t="str">
        <f>INDEX(Cronograma!AA$5:AA$11,MATCH($B61,Premissas!$A$39:$A$45,0))</f>
        <v/>
      </c>
      <c r="AC61" s="22" t="str">
        <f>INDEX(Cronograma!AB$5:AB$11,MATCH($B61,Premissas!$A$39:$A$45,0))</f>
        <v>B</v>
      </c>
      <c r="AD61" s="22" t="str">
        <f>INDEX(Cronograma!AC$5:AC$11,MATCH($B61,Premissas!$A$39:$A$45,0))</f>
        <v/>
      </c>
      <c r="AE61" s="22" t="str">
        <f>INDEX(Cronograma!AD$5:AD$11,MATCH($B61,Premissas!$A$39:$A$45,0))</f>
        <v/>
      </c>
      <c r="AF61" s="22" t="str">
        <f>INDEX(Cronograma!AE$5:AE$11,MATCH($B61,Premissas!$A$39:$A$45,0))</f>
        <v/>
      </c>
      <c r="AG61" s="22" t="str">
        <f>INDEX(Cronograma!AF$5:AF$11,MATCH($B61,Premissas!$A$39:$A$45,0))</f>
        <v/>
      </c>
      <c r="AH61" s="22" t="str">
        <f>INDEX(Cronograma!AG$5:AG$11,MATCH($B61,Premissas!$A$39:$A$45,0))</f>
        <v/>
      </c>
      <c r="AI61" s="22" t="str">
        <f>INDEX(Cronograma!AH$5:AH$11,MATCH($B61,Premissas!$A$39:$A$45,0))</f>
        <v/>
      </c>
      <c r="AJ61" s="22" t="str">
        <f>INDEX(Cronograma!AI$5:AI$11,MATCH($B61,Premissas!$A$39:$A$45,0))</f>
        <v/>
      </c>
      <c r="AK61" s="22" t="str">
        <f>INDEX(Cronograma!AJ$5:AJ$11,MATCH($B61,Premissas!$A$39:$A$45,0))</f>
        <v/>
      </c>
      <c r="AL61" s="22" t="str">
        <f>INDEX(Cronograma!AK$5:AK$11,MATCH($B61,Premissas!$A$39:$A$45,0))</f>
        <v/>
      </c>
      <c r="AM61" s="22" t="str">
        <f>INDEX(Cronograma!AL$5:AL$11,MATCH($B61,Premissas!$A$39:$A$45,0))</f>
        <v/>
      </c>
      <c r="AN61" s="22" t="str">
        <f>INDEX(Cronograma!AM$5:AM$11,MATCH($B61,Premissas!$A$39:$A$45,0))</f>
        <v/>
      </c>
      <c r="AO61" s="22" t="str">
        <f>INDEX(Cronograma!AN$5:AN$11,MATCH($B61,Premissas!$A$39:$A$45,0))</f>
        <v/>
      </c>
      <c r="AP61" s="22" t="str">
        <f>INDEX(Cronograma!AO$5:AO$11,MATCH($B61,Premissas!$A$39:$A$45,0))</f>
        <v>S</v>
      </c>
      <c r="AQ61" s="22" t="str">
        <f>INDEX(Cronograma!AP$5:AP$11,MATCH($B61,Premissas!$A$39:$A$45,0))</f>
        <v/>
      </c>
      <c r="AR61" s="22" t="str">
        <f>INDEX(Cronograma!AQ$5:AQ$11,MATCH($B61,Premissas!$A$39:$A$45,0))</f>
        <v/>
      </c>
      <c r="AS61" s="22" t="str">
        <f>INDEX(Cronograma!AR$5:AR$11,MATCH($B61,Premissas!$A$39:$A$45,0))</f>
        <v/>
      </c>
      <c r="AT61" s="22" t="str">
        <f>INDEX(Cronograma!AS$5:AS$11,MATCH($B61,Premissas!$A$39:$A$45,0))</f>
        <v/>
      </c>
      <c r="AU61" s="22" t="str">
        <f>INDEX(Cronograma!AT$5:AT$11,MATCH($B61,Premissas!$A$39:$A$45,0))</f>
        <v/>
      </c>
      <c r="AV61" s="22" t="str">
        <f>INDEX(Cronograma!AU$5:AU$11,MATCH($B61,Premissas!$A$39:$A$45,0))</f>
        <v/>
      </c>
      <c r="AW61" s="22" t="str">
        <f>INDEX(Cronograma!AV$5:AV$11,MATCH($B61,Premissas!$A$39:$A$45,0))</f>
        <v/>
      </c>
      <c r="AX61" s="22" t="str">
        <f>INDEX(Cronograma!AW$5:AW$11,MATCH($B61,Premissas!$A$39:$A$45,0))</f>
        <v/>
      </c>
      <c r="AY61" s="22" t="str">
        <f>INDEX(Cronograma!AX$5:AX$11,MATCH($B61,Premissas!$A$39:$A$45,0))</f>
        <v/>
      </c>
      <c r="AZ61" s="22" t="str">
        <f>INDEX(Cronograma!AY$5:AY$11,MATCH($B61,Premissas!$A$39:$A$45,0))</f>
        <v/>
      </c>
      <c r="BA61" s="22" t="str">
        <f>INDEX(Cronograma!AZ$5:AZ$11,MATCH($B61,Premissas!$A$39:$A$45,0))</f>
        <v/>
      </c>
      <c r="BB61" s="22" t="str">
        <f>INDEX(Cronograma!BA$5:BA$11,MATCH($B61,Premissas!$A$39:$A$45,0))</f>
        <v/>
      </c>
    </row>
    <row r="62" spans="1:54" ht="15" customHeight="1" x14ac:dyDescent="0.4">
      <c r="A62" s="15" t="str">
        <f>Frota!$B62&amp;" — "&amp;Frota!$A62</f>
        <v>MB 2730 6X4 — 101150</v>
      </c>
      <c r="B62" s="16" t="str">
        <f>Frota!$C62</f>
        <v>Caminhão</v>
      </c>
      <c r="C62" s="22" t="str">
        <f>INDEX(Cronograma!B$5:B$11,MATCH($B62,Premissas!$A$39:$A$45,0))</f>
        <v/>
      </c>
      <c r="D62" s="22" t="str">
        <f>INDEX(Cronograma!C$5:C$11,MATCH($B62,Premissas!$A$39:$A$45,0))</f>
        <v/>
      </c>
      <c r="E62" s="22" t="str">
        <f>INDEX(Cronograma!D$5:D$11,MATCH($B62,Premissas!$A$39:$A$45,0))</f>
        <v/>
      </c>
      <c r="F62" s="22" t="str">
        <f>INDEX(Cronograma!E$5:E$11,MATCH($B62,Premissas!$A$39:$A$45,0))</f>
        <v/>
      </c>
      <c r="G62" s="22" t="str">
        <f>INDEX(Cronograma!F$5:F$11,MATCH($B62,Premissas!$A$39:$A$45,0))</f>
        <v/>
      </c>
      <c r="H62" s="22" t="str">
        <f>INDEX(Cronograma!G$5:G$11,MATCH($B62,Premissas!$A$39:$A$45,0))</f>
        <v/>
      </c>
      <c r="I62" s="22" t="str">
        <f>INDEX(Cronograma!H$5:H$11,MATCH($B62,Premissas!$A$39:$A$45,0))</f>
        <v>S</v>
      </c>
      <c r="J62" s="22" t="str">
        <f>INDEX(Cronograma!I$5:I$11,MATCH($B62,Premissas!$A$39:$A$45,0))</f>
        <v/>
      </c>
      <c r="K62" s="22" t="str">
        <f>INDEX(Cronograma!J$5:J$11,MATCH($B62,Premissas!$A$39:$A$45,0))</f>
        <v/>
      </c>
      <c r="L62" s="22" t="str">
        <f>INDEX(Cronograma!K$5:K$11,MATCH($B62,Premissas!$A$39:$A$45,0))</f>
        <v/>
      </c>
      <c r="M62" s="22" t="str">
        <f>INDEX(Cronograma!L$5:L$11,MATCH($B62,Premissas!$A$39:$A$45,0))</f>
        <v/>
      </c>
      <c r="N62" s="22" t="str">
        <f>INDEX(Cronograma!M$5:M$11,MATCH($B62,Premissas!$A$39:$A$45,0))</f>
        <v/>
      </c>
      <c r="O62" s="22" t="str">
        <f>INDEX(Cronograma!N$5:N$11,MATCH($B62,Premissas!$A$39:$A$45,0))</f>
        <v/>
      </c>
      <c r="P62" s="22" t="str">
        <f>INDEX(Cronograma!O$5:O$11,MATCH($B62,Premissas!$A$39:$A$45,0))</f>
        <v>A</v>
      </c>
      <c r="Q62" s="22" t="str">
        <f>INDEX(Cronograma!P$5:P$11,MATCH($B62,Premissas!$A$39:$A$45,0))</f>
        <v/>
      </c>
      <c r="R62" s="22" t="str">
        <f>INDEX(Cronograma!Q$5:Q$11,MATCH($B62,Premissas!$A$39:$A$45,0))</f>
        <v/>
      </c>
      <c r="S62" s="22" t="str">
        <f>INDEX(Cronograma!R$5:R$11,MATCH($B62,Premissas!$A$39:$A$45,0))</f>
        <v/>
      </c>
      <c r="T62" s="22" t="str">
        <f>INDEX(Cronograma!S$5:S$11,MATCH($B62,Premissas!$A$39:$A$45,0))</f>
        <v/>
      </c>
      <c r="U62" s="22" t="str">
        <f>INDEX(Cronograma!T$5:T$11,MATCH($B62,Premissas!$A$39:$A$45,0))</f>
        <v/>
      </c>
      <c r="V62" s="22" t="str">
        <f>INDEX(Cronograma!U$5:U$11,MATCH($B62,Premissas!$A$39:$A$45,0))</f>
        <v>S</v>
      </c>
      <c r="W62" s="22" t="str">
        <f>INDEX(Cronograma!V$5:V$11,MATCH($B62,Premissas!$A$39:$A$45,0))</f>
        <v/>
      </c>
      <c r="X62" s="22" t="str">
        <f>INDEX(Cronograma!W$5:W$11,MATCH($B62,Premissas!$A$39:$A$45,0))</f>
        <v/>
      </c>
      <c r="Y62" s="22" t="str">
        <f>INDEX(Cronograma!X$5:X$11,MATCH($B62,Premissas!$A$39:$A$45,0))</f>
        <v/>
      </c>
      <c r="Z62" s="22" t="str">
        <f>INDEX(Cronograma!Y$5:Y$11,MATCH($B62,Premissas!$A$39:$A$45,0))</f>
        <v/>
      </c>
      <c r="AA62" s="22" t="str">
        <f>INDEX(Cronograma!Z$5:Z$11,MATCH($B62,Premissas!$A$39:$A$45,0))</f>
        <v/>
      </c>
      <c r="AB62" s="22" t="str">
        <f>INDEX(Cronograma!AA$5:AA$11,MATCH($B62,Premissas!$A$39:$A$45,0))</f>
        <v/>
      </c>
      <c r="AC62" s="22" t="str">
        <f>INDEX(Cronograma!AB$5:AB$11,MATCH($B62,Premissas!$A$39:$A$45,0))</f>
        <v>B</v>
      </c>
      <c r="AD62" s="22" t="str">
        <f>INDEX(Cronograma!AC$5:AC$11,MATCH($B62,Premissas!$A$39:$A$45,0))</f>
        <v/>
      </c>
      <c r="AE62" s="22" t="str">
        <f>INDEX(Cronograma!AD$5:AD$11,MATCH($B62,Premissas!$A$39:$A$45,0))</f>
        <v/>
      </c>
      <c r="AF62" s="22" t="str">
        <f>INDEX(Cronograma!AE$5:AE$11,MATCH($B62,Premissas!$A$39:$A$45,0))</f>
        <v/>
      </c>
      <c r="AG62" s="22" t="str">
        <f>INDEX(Cronograma!AF$5:AF$11,MATCH($B62,Premissas!$A$39:$A$45,0))</f>
        <v/>
      </c>
      <c r="AH62" s="22" t="str">
        <f>INDEX(Cronograma!AG$5:AG$11,MATCH($B62,Premissas!$A$39:$A$45,0))</f>
        <v/>
      </c>
      <c r="AI62" s="22" t="str">
        <f>INDEX(Cronograma!AH$5:AH$11,MATCH($B62,Premissas!$A$39:$A$45,0))</f>
        <v/>
      </c>
      <c r="AJ62" s="22" t="str">
        <f>INDEX(Cronograma!AI$5:AI$11,MATCH($B62,Premissas!$A$39:$A$45,0))</f>
        <v/>
      </c>
      <c r="AK62" s="22" t="str">
        <f>INDEX(Cronograma!AJ$5:AJ$11,MATCH($B62,Premissas!$A$39:$A$45,0))</f>
        <v/>
      </c>
      <c r="AL62" s="22" t="str">
        <f>INDEX(Cronograma!AK$5:AK$11,MATCH($B62,Premissas!$A$39:$A$45,0))</f>
        <v/>
      </c>
      <c r="AM62" s="22" t="str">
        <f>INDEX(Cronograma!AL$5:AL$11,MATCH($B62,Premissas!$A$39:$A$45,0))</f>
        <v/>
      </c>
      <c r="AN62" s="22" t="str">
        <f>INDEX(Cronograma!AM$5:AM$11,MATCH($B62,Premissas!$A$39:$A$45,0))</f>
        <v/>
      </c>
      <c r="AO62" s="22" t="str">
        <f>INDEX(Cronograma!AN$5:AN$11,MATCH($B62,Premissas!$A$39:$A$45,0))</f>
        <v/>
      </c>
      <c r="AP62" s="22" t="str">
        <f>INDEX(Cronograma!AO$5:AO$11,MATCH($B62,Premissas!$A$39:$A$45,0))</f>
        <v>S</v>
      </c>
      <c r="AQ62" s="22" t="str">
        <f>INDEX(Cronograma!AP$5:AP$11,MATCH($B62,Premissas!$A$39:$A$45,0))</f>
        <v/>
      </c>
      <c r="AR62" s="22" t="str">
        <f>INDEX(Cronograma!AQ$5:AQ$11,MATCH($B62,Premissas!$A$39:$A$45,0))</f>
        <v/>
      </c>
      <c r="AS62" s="22" t="str">
        <f>INDEX(Cronograma!AR$5:AR$11,MATCH($B62,Premissas!$A$39:$A$45,0))</f>
        <v/>
      </c>
      <c r="AT62" s="22" t="str">
        <f>INDEX(Cronograma!AS$5:AS$11,MATCH($B62,Premissas!$A$39:$A$45,0))</f>
        <v/>
      </c>
      <c r="AU62" s="22" t="str">
        <f>INDEX(Cronograma!AT$5:AT$11,MATCH($B62,Premissas!$A$39:$A$45,0))</f>
        <v/>
      </c>
      <c r="AV62" s="22" t="str">
        <f>INDEX(Cronograma!AU$5:AU$11,MATCH($B62,Premissas!$A$39:$A$45,0))</f>
        <v/>
      </c>
      <c r="AW62" s="22" t="str">
        <f>INDEX(Cronograma!AV$5:AV$11,MATCH($B62,Premissas!$A$39:$A$45,0))</f>
        <v/>
      </c>
      <c r="AX62" s="22" t="str">
        <f>INDEX(Cronograma!AW$5:AW$11,MATCH($B62,Premissas!$A$39:$A$45,0))</f>
        <v/>
      </c>
      <c r="AY62" s="22" t="str">
        <f>INDEX(Cronograma!AX$5:AX$11,MATCH($B62,Premissas!$A$39:$A$45,0))</f>
        <v/>
      </c>
      <c r="AZ62" s="22" t="str">
        <f>INDEX(Cronograma!AY$5:AY$11,MATCH($B62,Premissas!$A$39:$A$45,0))</f>
        <v/>
      </c>
      <c r="BA62" s="22" t="str">
        <f>INDEX(Cronograma!AZ$5:AZ$11,MATCH($B62,Premissas!$A$39:$A$45,0))</f>
        <v/>
      </c>
      <c r="BB62" s="22" t="str">
        <f>INDEX(Cronograma!BA$5:BA$11,MATCH($B62,Premissas!$A$39:$A$45,0))</f>
        <v/>
      </c>
    </row>
    <row r="63" spans="1:54" ht="15" customHeight="1" x14ac:dyDescent="0.4">
      <c r="A63" s="15" t="str">
        <f>Frota!$B63&amp;" — "&amp;Frota!$A63</f>
        <v>MB 2730 6X4 — 101151</v>
      </c>
      <c r="B63" s="16" t="str">
        <f>Frota!$C63</f>
        <v>Caminhão</v>
      </c>
      <c r="C63" s="22" t="str">
        <f>INDEX(Cronograma!B$5:B$11,MATCH($B63,Premissas!$A$39:$A$45,0))</f>
        <v/>
      </c>
      <c r="D63" s="22" t="str">
        <f>INDEX(Cronograma!C$5:C$11,MATCH($B63,Premissas!$A$39:$A$45,0))</f>
        <v/>
      </c>
      <c r="E63" s="22" t="str">
        <f>INDEX(Cronograma!D$5:D$11,MATCH($B63,Premissas!$A$39:$A$45,0))</f>
        <v/>
      </c>
      <c r="F63" s="22" t="str">
        <f>INDEX(Cronograma!E$5:E$11,MATCH($B63,Premissas!$A$39:$A$45,0))</f>
        <v/>
      </c>
      <c r="G63" s="22" t="str">
        <f>INDEX(Cronograma!F$5:F$11,MATCH($B63,Premissas!$A$39:$A$45,0))</f>
        <v/>
      </c>
      <c r="H63" s="22" t="str">
        <f>INDEX(Cronograma!G$5:G$11,MATCH($B63,Premissas!$A$39:$A$45,0))</f>
        <v/>
      </c>
      <c r="I63" s="22" t="str">
        <f>INDEX(Cronograma!H$5:H$11,MATCH($B63,Premissas!$A$39:$A$45,0))</f>
        <v>S</v>
      </c>
      <c r="J63" s="22" t="str">
        <f>INDEX(Cronograma!I$5:I$11,MATCH($B63,Premissas!$A$39:$A$45,0))</f>
        <v/>
      </c>
      <c r="K63" s="22" t="str">
        <f>INDEX(Cronograma!J$5:J$11,MATCH($B63,Premissas!$A$39:$A$45,0))</f>
        <v/>
      </c>
      <c r="L63" s="22" t="str">
        <f>INDEX(Cronograma!K$5:K$11,MATCH($B63,Premissas!$A$39:$A$45,0))</f>
        <v/>
      </c>
      <c r="M63" s="22" t="str">
        <f>INDEX(Cronograma!L$5:L$11,MATCH($B63,Premissas!$A$39:$A$45,0))</f>
        <v/>
      </c>
      <c r="N63" s="22" t="str">
        <f>INDEX(Cronograma!M$5:M$11,MATCH($B63,Premissas!$A$39:$A$45,0))</f>
        <v/>
      </c>
      <c r="O63" s="22" t="str">
        <f>INDEX(Cronograma!N$5:N$11,MATCH($B63,Premissas!$A$39:$A$45,0))</f>
        <v/>
      </c>
      <c r="P63" s="22" t="str">
        <f>INDEX(Cronograma!O$5:O$11,MATCH($B63,Premissas!$A$39:$A$45,0))</f>
        <v>A</v>
      </c>
      <c r="Q63" s="22" t="str">
        <f>INDEX(Cronograma!P$5:P$11,MATCH($B63,Premissas!$A$39:$A$45,0))</f>
        <v/>
      </c>
      <c r="R63" s="22" t="str">
        <f>INDEX(Cronograma!Q$5:Q$11,MATCH($B63,Premissas!$A$39:$A$45,0))</f>
        <v/>
      </c>
      <c r="S63" s="22" t="str">
        <f>INDEX(Cronograma!R$5:R$11,MATCH($B63,Premissas!$A$39:$A$45,0))</f>
        <v/>
      </c>
      <c r="T63" s="22" t="str">
        <f>INDEX(Cronograma!S$5:S$11,MATCH($B63,Premissas!$A$39:$A$45,0))</f>
        <v/>
      </c>
      <c r="U63" s="22" t="str">
        <f>INDEX(Cronograma!T$5:T$11,MATCH($B63,Premissas!$A$39:$A$45,0))</f>
        <v/>
      </c>
      <c r="V63" s="22" t="str">
        <f>INDEX(Cronograma!U$5:U$11,MATCH($B63,Premissas!$A$39:$A$45,0))</f>
        <v>S</v>
      </c>
      <c r="W63" s="22" t="str">
        <f>INDEX(Cronograma!V$5:V$11,MATCH($B63,Premissas!$A$39:$A$45,0))</f>
        <v/>
      </c>
      <c r="X63" s="22" t="str">
        <f>INDEX(Cronograma!W$5:W$11,MATCH($B63,Premissas!$A$39:$A$45,0))</f>
        <v/>
      </c>
      <c r="Y63" s="22" t="str">
        <f>INDEX(Cronograma!X$5:X$11,MATCH($B63,Premissas!$A$39:$A$45,0))</f>
        <v/>
      </c>
      <c r="Z63" s="22" t="str">
        <f>INDEX(Cronograma!Y$5:Y$11,MATCH($B63,Premissas!$A$39:$A$45,0))</f>
        <v/>
      </c>
      <c r="AA63" s="22" t="str">
        <f>INDEX(Cronograma!Z$5:Z$11,MATCH($B63,Premissas!$A$39:$A$45,0))</f>
        <v/>
      </c>
      <c r="AB63" s="22" t="str">
        <f>INDEX(Cronograma!AA$5:AA$11,MATCH($B63,Premissas!$A$39:$A$45,0))</f>
        <v/>
      </c>
      <c r="AC63" s="22" t="str">
        <f>INDEX(Cronograma!AB$5:AB$11,MATCH($B63,Premissas!$A$39:$A$45,0))</f>
        <v>B</v>
      </c>
      <c r="AD63" s="22" t="str">
        <f>INDEX(Cronograma!AC$5:AC$11,MATCH($B63,Premissas!$A$39:$A$45,0))</f>
        <v/>
      </c>
      <c r="AE63" s="22" t="str">
        <f>INDEX(Cronograma!AD$5:AD$11,MATCH($B63,Premissas!$A$39:$A$45,0))</f>
        <v/>
      </c>
      <c r="AF63" s="22" t="str">
        <f>INDEX(Cronograma!AE$5:AE$11,MATCH($B63,Premissas!$A$39:$A$45,0))</f>
        <v/>
      </c>
      <c r="AG63" s="22" t="str">
        <f>INDEX(Cronograma!AF$5:AF$11,MATCH($B63,Premissas!$A$39:$A$45,0))</f>
        <v/>
      </c>
      <c r="AH63" s="22" t="str">
        <f>INDEX(Cronograma!AG$5:AG$11,MATCH($B63,Premissas!$A$39:$A$45,0))</f>
        <v/>
      </c>
      <c r="AI63" s="22" t="str">
        <f>INDEX(Cronograma!AH$5:AH$11,MATCH($B63,Premissas!$A$39:$A$45,0))</f>
        <v/>
      </c>
      <c r="AJ63" s="22" t="str">
        <f>INDEX(Cronograma!AI$5:AI$11,MATCH($B63,Premissas!$A$39:$A$45,0))</f>
        <v/>
      </c>
      <c r="AK63" s="22" t="str">
        <f>INDEX(Cronograma!AJ$5:AJ$11,MATCH($B63,Premissas!$A$39:$A$45,0))</f>
        <v/>
      </c>
      <c r="AL63" s="22" t="str">
        <f>INDEX(Cronograma!AK$5:AK$11,MATCH($B63,Premissas!$A$39:$A$45,0))</f>
        <v/>
      </c>
      <c r="AM63" s="22" t="str">
        <f>INDEX(Cronograma!AL$5:AL$11,MATCH($B63,Premissas!$A$39:$A$45,0))</f>
        <v/>
      </c>
      <c r="AN63" s="22" t="str">
        <f>INDEX(Cronograma!AM$5:AM$11,MATCH($B63,Premissas!$A$39:$A$45,0))</f>
        <v/>
      </c>
      <c r="AO63" s="22" t="str">
        <f>INDEX(Cronograma!AN$5:AN$11,MATCH($B63,Premissas!$A$39:$A$45,0))</f>
        <v/>
      </c>
      <c r="AP63" s="22" t="str">
        <f>INDEX(Cronograma!AO$5:AO$11,MATCH($B63,Premissas!$A$39:$A$45,0))</f>
        <v>S</v>
      </c>
      <c r="AQ63" s="22" t="str">
        <f>INDEX(Cronograma!AP$5:AP$11,MATCH($B63,Premissas!$A$39:$A$45,0))</f>
        <v/>
      </c>
      <c r="AR63" s="22" t="str">
        <f>INDEX(Cronograma!AQ$5:AQ$11,MATCH($B63,Premissas!$A$39:$A$45,0))</f>
        <v/>
      </c>
      <c r="AS63" s="22" t="str">
        <f>INDEX(Cronograma!AR$5:AR$11,MATCH($B63,Premissas!$A$39:$A$45,0))</f>
        <v/>
      </c>
      <c r="AT63" s="22" t="str">
        <f>INDEX(Cronograma!AS$5:AS$11,MATCH($B63,Premissas!$A$39:$A$45,0))</f>
        <v/>
      </c>
      <c r="AU63" s="22" t="str">
        <f>INDEX(Cronograma!AT$5:AT$11,MATCH($B63,Premissas!$A$39:$A$45,0))</f>
        <v/>
      </c>
      <c r="AV63" s="22" t="str">
        <f>INDEX(Cronograma!AU$5:AU$11,MATCH($B63,Premissas!$A$39:$A$45,0))</f>
        <v/>
      </c>
      <c r="AW63" s="22" t="str">
        <f>INDEX(Cronograma!AV$5:AV$11,MATCH($B63,Premissas!$A$39:$A$45,0))</f>
        <v/>
      </c>
      <c r="AX63" s="22" t="str">
        <f>INDEX(Cronograma!AW$5:AW$11,MATCH($B63,Premissas!$A$39:$A$45,0))</f>
        <v/>
      </c>
      <c r="AY63" s="22" t="str">
        <f>INDEX(Cronograma!AX$5:AX$11,MATCH($B63,Premissas!$A$39:$A$45,0))</f>
        <v/>
      </c>
      <c r="AZ63" s="22" t="str">
        <f>INDEX(Cronograma!AY$5:AY$11,MATCH($B63,Premissas!$A$39:$A$45,0))</f>
        <v/>
      </c>
      <c r="BA63" s="22" t="str">
        <f>INDEX(Cronograma!AZ$5:AZ$11,MATCH($B63,Premissas!$A$39:$A$45,0))</f>
        <v/>
      </c>
      <c r="BB63" s="22" t="str">
        <f>INDEX(Cronograma!BA$5:BA$11,MATCH($B63,Premissas!$A$39:$A$45,0))</f>
        <v/>
      </c>
    </row>
    <row r="64" spans="1:54" ht="15" customHeight="1" x14ac:dyDescent="0.4">
      <c r="A64" s="15" t="str">
        <f>Frota!$B64&amp;" — "&amp;Frota!$A64</f>
        <v>MB 2730 6X4 — 101152</v>
      </c>
      <c r="B64" s="16" t="str">
        <f>Frota!$C64</f>
        <v>Caminhão</v>
      </c>
      <c r="C64" s="22" t="str">
        <f>INDEX(Cronograma!B$5:B$11,MATCH($B64,Premissas!$A$39:$A$45,0))</f>
        <v/>
      </c>
      <c r="D64" s="22" t="str">
        <f>INDEX(Cronograma!C$5:C$11,MATCH($B64,Premissas!$A$39:$A$45,0))</f>
        <v/>
      </c>
      <c r="E64" s="22" t="str">
        <f>INDEX(Cronograma!D$5:D$11,MATCH($B64,Premissas!$A$39:$A$45,0))</f>
        <v/>
      </c>
      <c r="F64" s="22" t="str">
        <f>INDEX(Cronograma!E$5:E$11,MATCH($B64,Premissas!$A$39:$A$45,0))</f>
        <v/>
      </c>
      <c r="G64" s="22" t="str">
        <f>INDEX(Cronograma!F$5:F$11,MATCH($B64,Premissas!$A$39:$A$45,0))</f>
        <v/>
      </c>
      <c r="H64" s="22" t="str">
        <f>INDEX(Cronograma!G$5:G$11,MATCH($B64,Premissas!$A$39:$A$45,0))</f>
        <v/>
      </c>
      <c r="I64" s="22" t="str">
        <f>INDEX(Cronograma!H$5:H$11,MATCH($B64,Premissas!$A$39:$A$45,0))</f>
        <v>S</v>
      </c>
      <c r="J64" s="22" t="str">
        <f>INDEX(Cronograma!I$5:I$11,MATCH($B64,Premissas!$A$39:$A$45,0))</f>
        <v/>
      </c>
      <c r="K64" s="22" t="str">
        <f>INDEX(Cronograma!J$5:J$11,MATCH($B64,Premissas!$A$39:$A$45,0))</f>
        <v/>
      </c>
      <c r="L64" s="22" t="str">
        <f>INDEX(Cronograma!K$5:K$11,MATCH($B64,Premissas!$A$39:$A$45,0))</f>
        <v/>
      </c>
      <c r="M64" s="22" t="str">
        <f>INDEX(Cronograma!L$5:L$11,MATCH($B64,Premissas!$A$39:$A$45,0))</f>
        <v/>
      </c>
      <c r="N64" s="22" t="str">
        <f>INDEX(Cronograma!M$5:M$11,MATCH($B64,Premissas!$A$39:$A$45,0))</f>
        <v/>
      </c>
      <c r="O64" s="22" t="str">
        <f>INDEX(Cronograma!N$5:N$11,MATCH($B64,Premissas!$A$39:$A$45,0))</f>
        <v/>
      </c>
      <c r="P64" s="22" t="str">
        <f>INDEX(Cronograma!O$5:O$11,MATCH($B64,Premissas!$A$39:$A$45,0))</f>
        <v>A</v>
      </c>
      <c r="Q64" s="22" t="str">
        <f>INDEX(Cronograma!P$5:P$11,MATCH($B64,Premissas!$A$39:$A$45,0))</f>
        <v/>
      </c>
      <c r="R64" s="22" t="str">
        <f>INDEX(Cronograma!Q$5:Q$11,MATCH($B64,Premissas!$A$39:$A$45,0))</f>
        <v/>
      </c>
      <c r="S64" s="22" t="str">
        <f>INDEX(Cronograma!R$5:R$11,MATCH($B64,Premissas!$A$39:$A$45,0))</f>
        <v/>
      </c>
      <c r="T64" s="22" t="str">
        <f>INDEX(Cronograma!S$5:S$11,MATCH($B64,Premissas!$A$39:$A$45,0))</f>
        <v/>
      </c>
      <c r="U64" s="22" t="str">
        <f>INDEX(Cronograma!T$5:T$11,MATCH($B64,Premissas!$A$39:$A$45,0))</f>
        <v/>
      </c>
      <c r="V64" s="22" t="str">
        <f>INDEX(Cronograma!U$5:U$11,MATCH($B64,Premissas!$A$39:$A$45,0))</f>
        <v>S</v>
      </c>
      <c r="W64" s="22" t="str">
        <f>INDEX(Cronograma!V$5:V$11,MATCH($B64,Premissas!$A$39:$A$45,0))</f>
        <v/>
      </c>
      <c r="X64" s="22" t="str">
        <f>INDEX(Cronograma!W$5:W$11,MATCH($B64,Premissas!$A$39:$A$45,0))</f>
        <v/>
      </c>
      <c r="Y64" s="22" t="str">
        <f>INDEX(Cronograma!X$5:X$11,MATCH($B64,Premissas!$A$39:$A$45,0))</f>
        <v/>
      </c>
      <c r="Z64" s="22" t="str">
        <f>INDEX(Cronograma!Y$5:Y$11,MATCH($B64,Premissas!$A$39:$A$45,0))</f>
        <v/>
      </c>
      <c r="AA64" s="22" t="str">
        <f>INDEX(Cronograma!Z$5:Z$11,MATCH($B64,Premissas!$A$39:$A$45,0))</f>
        <v/>
      </c>
      <c r="AB64" s="22" t="str">
        <f>INDEX(Cronograma!AA$5:AA$11,MATCH($B64,Premissas!$A$39:$A$45,0))</f>
        <v/>
      </c>
      <c r="AC64" s="22" t="str">
        <f>INDEX(Cronograma!AB$5:AB$11,MATCH($B64,Premissas!$A$39:$A$45,0))</f>
        <v>B</v>
      </c>
      <c r="AD64" s="22" t="str">
        <f>INDEX(Cronograma!AC$5:AC$11,MATCH($B64,Premissas!$A$39:$A$45,0))</f>
        <v/>
      </c>
      <c r="AE64" s="22" t="str">
        <f>INDEX(Cronograma!AD$5:AD$11,MATCH($B64,Premissas!$A$39:$A$45,0))</f>
        <v/>
      </c>
      <c r="AF64" s="22" t="str">
        <f>INDEX(Cronograma!AE$5:AE$11,MATCH($B64,Premissas!$A$39:$A$45,0))</f>
        <v/>
      </c>
      <c r="AG64" s="22" t="str">
        <f>INDEX(Cronograma!AF$5:AF$11,MATCH($B64,Premissas!$A$39:$A$45,0))</f>
        <v/>
      </c>
      <c r="AH64" s="22" t="str">
        <f>INDEX(Cronograma!AG$5:AG$11,MATCH($B64,Premissas!$A$39:$A$45,0))</f>
        <v/>
      </c>
      <c r="AI64" s="22" t="str">
        <f>INDEX(Cronograma!AH$5:AH$11,MATCH($B64,Premissas!$A$39:$A$45,0))</f>
        <v/>
      </c>
      <c r="AJ64" s="22" t="str">
        <f>INDEX(Cronograma!AI$5:AI$11,MATCH($B64,Premissas!$A$39:$A$45,0))</f>
        <v/>
      </c>
      <c r="AK64" s="22" t="str">
        <f>INDEX(Cronograma!AJ$5:AJ$11,MATCH($B64,Premissas!$A$39:$A$45,0))</f>
        <v/>
      </c>
      <c r="AL64" s="22" t="str">
        <f>INDEX(Cronograma!AK$5:AK$11,MATCH($B64,Premissas!$A$39:$A$45,0))</f>
        <v/>
      </c>
      <c r="AM64" s="22" t="str">
        <f>INDEX(Cronograma!AL$5:AL$11,MATCH($B64,Premissas!$A$39:$A$45,0))</f>
        <v/>
      </c>
      <c r="AN64" s="22" t="str">
        <f>INDEX(Cronograma!AM$5:AM$11,MATCH($B64,Premissas!$A$39:$A$45,0))</f>
        <v/>
      </c>
      <c r="AO64" s="22" t="str">
        <f>INDEX(Cronograma!AN$5:AN$11,MATCH($B64,Premissas!$A$39:$A$45,0))</f>
        <v/>
      </c>
      <c r="AP64" s="22" t="str">
        <f>INDEX(Cronograma!AO$5:AO$11,MATCH($B64,Premissas!$A$39:$A$45,0))</f>
        <v>S</v>
      </c>
      <c r="AQ64" s="22" t="str">
        <f>INDEX(Cronograma!AP$5:AP$11,MATCH($B64,Premissas!$A$39:$A$45,0))</f>
        <v/>
      </c>
      <c r="AR64" s="22" t="str">
        <f>INDEX(Cronograma!AQ$5:AQ$11,MATCH($B64,Premissas!$A$39:$A$45,0))</f>
        <v/>
      </c>
      <c r="AS64" s="22" t="str">
        <f>INDEX(Cronograma!AR$5:AR$11,MATCH($B64,Premissas!$A$39:$A$45,0))</f>
        <v/>
      </c>
      <c r="AT64" s="22" t="str">
        <f>INDEX(Cronograma!AS$5:AS$11,MATCH($B64,Premissas!$A$39:$A$45,0))</f>
        <v/>
      </c>
      <c r="AU64" s="22" t="str">
        <f>INDEX(Cronograma!AT$5:AT$11,MATCH($B64,Premissas!$A$39:$A$45,0))</f>
        <v/>
      </c>
      <c r="AV64" s="22" t="str">
        <f>INDEX(Cronograma!AU$5:AU$11,MATCH($B64,Premissas!$A$39:$A$45,0))</f>
        <v/>
      </c>
      <c r="AW64" s="22" t="str">
        <f>INDEX(Cronograma!AV$5:AV$11,MATCH($B64,Premissas!$A$39:$A$45,0))</f>
        <v/>
      </c>
      <c r="AX64" s="22" t="str">
        <f>INDEX(Cronograma!AW$5:AW$11,MATCH($B64,Premissas!$A$39:$A$45,0))</f>
        <v/>
      </c>
      <c r="AY64" s="22" t="str">
        <f>INDEX(Cronograma!AX$5:AX$11,MATCH($B64,Premissas!$A$39:$A$45,0))</f>
        <v/>
      </c>
      <c r="AZ64" s="22" t="str">
        <f>INDEX(Cronograma!AY$5:AY$11,MATCH($B64,Premissas!$A$39:$A$45,0))</f>
        <v/>
      </c>
      <c r="BA64" s="22" t="str">
        <f>INDEX(Cronograma!AZ$5:AZ$11,MATCH($B64,Premissas!$A$39:$A$45,0))</f>
        <v/>
      </c>
      <c r="BB64" s="22" t="str">
        <f>INDEX(Cronograma!BA$5:BA$11,MATCH($B64,Premissas!$A$39:$A$45,0))</f>
        <v/>
      </c>
    </row>
    <row r="65" spans="1:54" ht="15" customHeight="1" x14ac:dyDescent="0.4">
      <c r="A65" s="15" t="str">
        <f>Frota!$B65&amp;" — "&amp;Frota!$A65</f>
        <v>MB 2730 6X4 — 101153</v>
      </c>
      <c r="B65" s="16" t="str">
        <f>Frota!$C65</f>
        <v>Caminhão</v>
      </c>
      <c r="C65" s="22" t="str">
        <f>INDEX(Cronograma!B$5:B$11,MATCH($B65,Premissas!$A$39:$A$45,0))</f>
        <v/>
      </c>
      <c r="D65" s="22" t="str">
        <f>INDEX(Cronograma!C$5:C$11,MATCH($B65,Premissas!$A$39:$A$45,0))</f>
        <v/>
      </c>
      <c r="E65" s="22" t="str">
        <f>INDEX(Cronograma!D$5:D$11,MATCH($B65,Premissas!$A$39:$A$45,0))</f>
        <v/>
      </c>
      <c r="F65" s="22" t="str">
        <f>INDEX(Cronograma!E$5:E$11,MATCH($B65,Premissas!$A$39:$A$45,0))</f>
        <v/>
      </c>
      <c r="G65" s="22" t="str">
        <f>INDEX(Cronograma!F$5:F$11,MATCH($B65,Premissas!$A$39:$A$45,0))</f>
        <v/>
      </c>
      <c r="H65" s="22" t="str">
        <f>INDEX(Cronograma!G$5:G$11,MATCH($B65,Premissas!$A$39:$A$45,0))</f>
        <v/>
      </c>
      <c r="I65" s="22" t="str">
        <f>INDEX(Cronograma!H$5:H$11,MATCH($B65,Premissas!$A$39:$A$45,0))</f>
        <v>S</v>
      </c>
      <c r="J65" s="22" t="str">
        <f>INDEX(Cronograma!I$5:I$11,MATCH($B65,Premissas!$A$39:$A$45,0))</f>
        <v/>
      </c>
      <c r="K65" s="22" t="str">
        <f>INDEX(Cronograma!J$5:J$11,MATCH($B65,Premissas!$A$39:$A$45,0))</f>
        <v/>
      </c>
      <c r="L65" s="22" t="str">
        <f>INDEX(Cronograma!K$5:K$11,MATCH($B65,Premissas!$A$39:$A$45,0))</f>
        <v/>
      </c>
      <c r="M65" s="22" t="str">
        <f>INDEX(Cronograma!L$5:L$11,MATCH($B65,Premissas!$A$39:$A$45,0))</f>
        <v/>
      </c>
      <c r="N65" s="22" t="str">
        <f>INDEX(Cronograma!M$5:M$11,MATCH($B65,Premissas!$A$39:$A$45,0))</f>
        <v/>
      </c>
      <c r="O65" s="22" t="str">
        <f>INDEX(Cronograma!N$5:N$11,MATCH($B65,Premissas!$A$39:$A$45,0))</f>
        <v/>
      </c>
      <c r="P65" s="22" t="str">
        <f>INDEX(Cronograma!O$5:O$11,MATCH($B65,Premissas!$A$39:$A$45,0))</f>
        <v>A</v>
      </c>
      <c r="Q65" s="22" t="str">
        <f>INDEX(Cronograma!P$5:P$11,MATCH($B65,Premissas!$A$39:$A$45,0))</f>
        <v/>
      </c>
      <c r="R65" s="22" t="str">
        <f>INDEX(Cronograma!Q$5:Q$11,MATCH($B65,Premissas!$A$39:$A$45,0))</f>
        <v/>
      </c>
      <c r="S65" s="22" t="str">
        <f>INDEX(Cronograma!R$5:R$11,MATCH($B65,Premissas!$A$39:$A$45,0))</f>
        <v/>
      </c>
      <c r="T65" s="22" t="str">
        <f>INDEX(Cronograma!S$5:S$11,MATCH($B65,Premissas!$A$39:$A$45,0))</f>
        <v/>
      </c>
      <c r="U65" s="22" t="str">
        <f>INDEX(Cronograma!T$5:T$11,MATCH($B65,Premissas!$A$39:$A$45,0))</f>
        <v/>
      </c>
      <c r="V65" s="22" t="str">
        <f>INDEX(Cronograma!U$5:U$11,MATCH($B65,Premissas!$A$39:$A$45,0))</f>
        <v>S</v>
      </c>
      <c r="W65" s="22" t="str">
        <f>INDEX(Cronograma!V$5:V$11,MATCH($B65,Premissas!$A$39:$A$45,0))</f>
        <v/>
      </c>
      <c r="X65" s="22" t="str">
        <f>INDEX(Cronograma!W$5:W$11,MATCH($B65,Premissas!$A$39:$A$45,0))</f>
        <v/>
      </c>
      <c r="Y65" s="22" t="str">
        <f>INDEX(Cronograma!X$5:X$11,MATCH($B65,Premissas!$A$39:$A$45,0))</f>
        <v/>
      </c>
      <c r="Z65" s="22" t="str">
        <f>INDEX(Cronograma!Y$5:Y$11,MATCH($B65,Premissas!$A$39:$A$45,0))</f>
        <v/>
      </c>
      <c r="AA65" s="22" t="str">
        <f>INDEX(Cronograma!Z$5:Z$11,MATCH($B65,Premissas!$A$39:$A$45,0))</f>
        <v/>
      </c>
      <c r="AB65" s="22" t="str">
        <f>INDEX(Cronograma!AA$5:AA$11,MATCH($B65,Premissas!$A$39:$A$45,0))</f>
        <v/>
      </c>
      <c r="AC65" s="22" t="str">
        <f>INDEX(Cronograma!AB$5:AB$11,MATCH($B65,Premissas!$A$39:$A$45,0))</f>
        <v>B</v>
      </c>
      <c r="AD65" s="22" t="str">
        <f>INDEX(Cronograma!AC$5:AC$11,MATCH($B65,Premissas!$A$39:$A$45,0))</f>
        <v/>
      </c>
      <c r="AE65" s="22" t="str">
        <f>INDEX(Cronograma!AD$5:AD$11,MATCH($B65,Premissas!$A$39:$A$45,0))</f>
        <v/>
      </c>
      <c r="AF65" s="22" t="str">
        <f>INDEX(Cronograma!AE$5:AE$11,MATCH($B65,Premissas!$A$39:$A$45,0))</f>
        <v/>
      </c>
      <c r="AG65" s="22" t="str">
        <f>INDEX(Cronograma!AF$5:AF$11,MATCH($B65,Premissas!$A$39:$A$45,0))</f>
        <v/>
      </c>
      <c r="AH65" s="22" t="str">
        <f>INDEX(Cronograma!AG$5:AG$11,MATCH($B65,Premissas!$A$39:$A$45,0))</f>
        <v/>
      </c>
      <c r="AI65" s="22" t="str">
        <f>INDEX(Cronograma!AH$5:AH$11,MATCH($B65,Premissas!$A$39:$A$45,0))</f>
        <v/>
      </c>
      <c r="AJ65" s="22" t="str">
        <f>INDEX(Cronograma!AI$5:AI$11,MATCH($B65,Premissas!$A$39:$A$45,0))</f>
        <v/>
      </c>
      <c r="AK65" s="22" t="str">
        <f>INDEX(Cronograma!AJ$5:AJ$11,MATCH($B65,Premissas!$A$39:$A$45,0))</f>
        <v/>
      </c>
      <c r="AL65" s="22" t="str">
        <f>INDEX(Cronograma!AK$5:AK$11,MATCH($B65,Premissas!$A$39:$A$45,0))</f>
        <v/>
      </c>
      <c r="AM65" s="22" t="str">
        <f>INDEX(Cronograma!AL$5:AL$11,MATCH($B65,Premissas!$A$39:$A$45,0))</f>
        <v/>
      </c>
      <c r="AN65" s="22" t="str">
        <f>INDEX(Cronograma!AM$5:AM$11,MATCH($B65,Premissas!$A$39:$A$45,0))</f>
        <v/>
      </c>
      <c r="AO65" s="22" t="str">
        <f>INDEX(Cronograma!AN$5:AN$11,MATCH($B65,Premissas!$A$39:$A$45,0))</f>
        <v/>
      </c>
      <c r="AP65" s="22" t="str">
        <f>INDEX(Cronograma!AO$5:AO$11,MATCH($B65,Premissas!$A$39:$A$45,0))</f>
        <v>S</v>
      </c>
      <c r="AQ65" s="22" t="str">
        <f>INDEX(Cronograma!AP$5:AP$11,MATCH($B65,Premissas!$A$39:$A$45,0))</f>
        <v/>
      </c>
      <c r="AR65" s="22" t="str">
        <f>INDEX(Cronograma!AQ$5:AQ$11,MATCH($B65,Premissas!$A$39:$A$45,0))</f>
        <v/>
      </c>
      <c r="AS65" s="22" t="str">
        <f>INDEX(Cronograma!AR$5:AR$11,MATCH($B65,Premissas!$A$39:$A$45,0))</f>
        <v/>
      </c>
      <c r="AT65" s="22" t="str">
        <f>INDEX(Cronograma!AS$5:AS$11,MATCH($B65,Premissas!$A$39:$A$45,0))</f>
        <v/>
      </c>
      <c r="AU65" s="22" t="str">
        <f>INDEX(Cronograma!AT$5:AT$11,MATCH($B65,Premissas!$A$39:$A$45,0))</f>
        <v/>
      </c>
      <c r="AV65" s="22" t="str">
        <f>INDEX(Cronograma!AU$5:AU$11,MATCH($B65,Premissas!$A$39:$A$45,0))</f>
        <v/>
      </c>
      <c r="AW65" s="22" t="str">
        <f>INDEX(Cronograma!AV$5:AV$11,MATCH($B65,Premissas!$A$39:$A$45,0))</f>
        <v/>
      </c>
      <c r="AX65" s="22" t="str">
        <f>INDEX(Cronograma!AW$5:AW$11,MATCH($B65,Premissas!$A$39:$A$45,0))</f>
        <v/>
      </c>
      <c r="AY65" s="22" t="str">
        <f>INDEX(Cronograma!AX$5:AX$11,MATCH($B65,Premissas!$A$39:$A$45,0))</f>
        <v/>
      </c>
      <c r="AZ65" s="22" t="str">
        <f>INDEX(Cronograma!AY$5:AY$11,MATCH($B65,Premissas!$A$39:$A$45,0))</f>
        <v/>
      </c>
      <c r="BA65" s="22" t="str">
        <f>INDEX(Cronograma!AZ$5:AZ$11,MATCH($B65,Premissas!$A$39:$A$45,0))</f>
        <v/>
      </c>
      <c r="BB65" s="22" t="str">
        <f>INDEX(Cronograma!BA$5:BA$11,MATCH($B65,Premissas!$A$39:$A$45,0))</f>
        <v/>
      </c>
    </row>
    <row r="66" spans="1:54" ht="15" customHeight="1" x14ac:dyDescent="0.4">
      <c r="A66" s="15" t="str">
        <f>Frota!$B66&amp;" — "&amp;Frota!$A66</f>
        <v>MB 2730 6X4 — 101154</v>
      </c>
      <c r="B66" s="16" t="str">
        <f>Frota!$C66</f>
        <v>Caminhão</v>
      </c>
      <c r="C66" s="22" t="str">
        <f>INDEX(Cronograma!B$5:B$11,MATCH($B66,Premissas!$A$39:$A$45,0))</f>
        <v/>
      </c>
      <c r="D66" s="22" t="str">
        <f>INDEX(Cronograma!C$5:C$11,MATCH($B66,Premissas!$A$39:$A$45,0))</f>
        <v/>
      </c>
      <c r="E66" s="22" t="str">
        <f>INDEX(Cronograma!D$5:D$11,MATCH($B66,Premissas!$A$39:$A$45,0))</f>
        <v/>
      </c>
      <c r="F66" s="22" t="str">
        <f>INDEX(Cronograma!E$5:E$11,MATCH($B66,Premissas!$A$39:$A$45,0))</f>
        <v/>
      </c>
      <c r="G66" s="22" t="str">
        <f>INDEX(Cronograma!F$5:F$11,MATCH($B66,Premissas!$A$39:$A$45,0))</f>
        <v/>
      </c>
      <c r="H66" s="22" t="str">
        <f>INDEX(Cronograma!G$5:G$11,MATCH($B66,Premissas!$A$39:$A$45,0))</f>
        <v/>
      </c>
      <c r="I66" s="22" t="str">
        <f>INDEX(Cronograma!H$5:H$11,MATCH($B66,Premissas!$A$39:$A$45,0))</f>
        <v>S</v>
      </c>
      <c r="J66" s="22" t="str">
        <f>INDEX(Cronograma!I$5:I$11,MATCH($B66,Premissas!$A$39:$A$45,0))</f>
        <v/>
      </c>
      <c r="K66" s="22" t="str">
        <f>INDEX(Cronograma!J$5:J$11,MATCH($B66,Premissas!$A$39:$A$45,0))</f>
        <v/>
      </c>
      <c r="L66" s="22" t="str">
        <f>INDEX(Cronograma!K$5:K$11,MATCH($B66,Premissas!$A$39:$A$45,0))</f>
        <v/>
      </c>
      <c r="M66" s="22" t="str">
        <f>INDEX(Cronograma!L$5:L$11,MATCH($B66,Premissas!$A$39:$A$45,0))</f>
        <v/>
      </c>
      <c r="N66" s="22" t="str">
        <f>INDEX(Cronograma!M$5:M$11,MATCH($B66,Premissas!$A$39:$A$45,0))</f>
        <v/>
      </c>
      <c r="O66" s="22" t="str">
        <f>INDEX(Cronograma!N$5:N$11,MATCH($B66,Premissas!$A$39:$A$45,0))</f>
        <v/>
      </c>
      <c r="P66" s="22" t="str">
        <f>INDEX(Cronograma!O$5:O$11,MATCH($B66,Premissas!$A$39:$A$45,0))</f>
        <v>A</v>
      </c>
      <c r="Q66" s="22" t="str">
        <f>INDEX(Cronograma!P$5:P$11,MATCH($B66,Premissas!$A$39:$A$45,0))</f>
        <v/>
      </c>
      <c r="R66" s="22" t="str">
        <f>INDEX(Cronograma!Q$5:Q$11,MATCH($B66,Premissas!$A$39:$A$45,0))</f>
        <v/>
      </c>
      <c r="S66" s="22" t="str">
        <f>INDEX(Cronograma!R$5:R$11,MATCH($B66,Premissas!$A$39:$A$45,0))</f>
        <v/>
      </c>
      <c r="T66" s="22" t="str">
        <f>INDEX(Cronograma!S$5:S$11,MATCH($B66,Premissas!$A$39:$A$45,0))</f>
        <v/>
      </c>
      <c r="U66" s="22" t="str">
        <f>INDEX(Cronograma!T$5:T$11,MATCH($B66,Premissas!$A$39:$A$45,0))</f>
        <v/>
      </c>
      <c r="V66" s="22" t="str">
        <f>INDEX(Cronograma!U$5:U$11,MATCH($B66,Premissas!$A$39:$A$45,0))</f>
        <v>S</v>
      </c>
      <c r="W66" s="22" t="str">
        <f>INDEX(Cronograma!V$5:V$11,MATCH($B66,Premissas!$A$39:$A$45,0))</f>
        <v/>
      </c>
      <c r="X66" s="22" t="str">
        <f>INDEX(Cronograma!W$5:W$11,MATCH($B66,Premissas!$A$39:$A$45,0))</f>
        <v/>
      </c>
      <c r="Y66" s="22" t="str">
        <f>INDEX(Cronograma!X$5:X$11,MATCH($B66,Premissas!$A$39:$A$45,0))</f>
        <v/>
      </c>
      <c r="Z66" s="22" t="str">
        <f>INDEX(Cronograma!Y$5:Y$11,MATCH($B66,Premissas!$A$39:$A$45,0))</f>
        <v/>
      </c>
      <c r="AA66" s="22" t="str">
        <f>INDEX(Cronograma!Z$5:Z$11,MATCH($B66,Premissas!$A$39:$A$45,0))</f>
        <v/>
      </c>
      <c r="AB66" s="22" t="str">
        <f>INDEX(Cronograma!AA$5:AA$11,MATCH($B66,Premissas!$A$39:$A$45,0))</f>
        <v/>
      </c>
      <c r="AC66" s="22" t="str">
        <f>INDEX(Cronograma!AB$5:AB$11,MATCH($B66,Premissas!$A$39:$A$45,0))</f>
        <v>B</v>
      </c>
      <c r="AD66" s="22" t="str">
        <f>INDEX(Cronograma!AC$5:AC$11,MATCH($B66,Premissas!$A$39:$A$45,0))</f>
        <v/>
      </c>
      <c r="AE66" s="22" t="str">
        <f>INDEX(Cronograma!AD$5:AD$11,MATCH($B66,Premissas!$A$39:$A$45,0))</f>
        <v/>
      </c>
      <c r="AF66" s="22" t="str">
        <f>INDEX(Cronograma!AE$5:AE$11,MATCH($B66,Premissas!$A$39:$A$45,0))</f>
        <v/>
      </c>
      <c r="AG66" s="22" t="str">
        <f>INDEX(Cronograma!AF$5:AF$11,MATCH($B66,Premissas!$A$39:$A$45,0))</f>
        <v/>
      </c>
      <c r="AH66" s="22" t="str">
        <f>INDEX(Cronograma!AG$5:AG$11,MATCH($B66,Premissas!$A$39:$A$45,0))</f>
        <v/>
      </c>
      <c r="AI66" s="22" t="str">
        <f>INDEX(Cronograma!AH$5:AH$11,MATCH($B66,Premissas!$A$39:$A$45,0))</f>
        <v/>
      </c>
      <c r="AJ66" s="22" t="str">
        <f>INDEX(Cronograma!AI$5:AI$11,MATCH($B66,Premissas!$A$39:$A$45,0))</f>
        <v/>
      </c>
      <c r="AK66" s="22" t="str">
        <f>INDEX(Cronograma!AJ$5:AJ$11,MATCH($B66,Premissas!$A$39:$A$45,0))</f>
        <v/>
      </c>
      <c r="AL66" s="22" t="str">
        <f>INDEX(Cronograma!AK$5:AK$11,MATCH($B66,Premissas!$A$39:$A$45,0))</f>
        <v/>
      </c>
      <c r="AM66" s="22" t="str">
        <f>INDEX(Cronograma!AL$5:AL$11,MATCH($B66,Premissas!$A$39:$A$45,0))</f>
        <v/>
      </c>
      <c r="AN66" s="22" t="str">
        <f>INDEX(Cronograma!AM$5:AM$11,MATCH($B66,Premissas!$A$39:$A$45,0))</f>
        <v/>
      </c>
      <c r="AO66" s="22" t="str">
        <f>INDEX(Cronograma!AN$5:AN$11,MATCH($B66,Premissas!$A$39:$A$45,0))</f>
        <v/>
      </c>
      <c r="AP66" s="22" t="str">
        <f>INDEX(Cronograma!AO$5:AO$11,MATCH($B66,Premissas!$A$39:$A$45,0))</f>
        <v>S</v>
      </c>
      <c r="AQ66" s="22" t="str">
        <f>INDEX(Cronograma!AP$5:AP$11,MATCH($B66,Premissas!$A$39:$A$45,0))</f>
        <v/>
      </c>
      <c r="AR66" s="22" t="str">
        <f>INDEX(Cronograma!AQ$5:AQ$11,MATCH($B66,Premissas!$A$39:$A$45,0))</f>
        <v/>
      </c>
      <c r="AS66" s="22" t="str">
        <f>INDEX(Cronograma!AR$5:AR$11,MATCH($B66,Premissas!$A$39:$A$45,0))</f>
        <v/>
      </c>
      <c r="AT66" s="22" t="str">
        <f>INDEX(Cronograma!AS$5:AS$11,MATCH($B66,Premissas!$A$39:$A$45,0))</f>
        <v/>
      </c>
      <c r="AU66" s="22" t="str">
        <f>INDEX(Cronograma!AT$5:AT$11,MATCH($B66,Premissas!$A$39:$A$45,0))</f>
        <v/>
      </c>
      <c r="AV66" s="22" t="str">
        <f>INDEX(Cronograma!AU$5:AU$11,MATCH($B66,Premissas!$A$39:$A$45,0))</f>
        <v/>
      </c>
      <c r="AW66" s="22" t="str">
        <f>INDEX(Cronograma!AV$5:AV$11,MATCH($B66,Premissas!$A$39:$A$45,0))</f>
        <v/>
      </c>
      <c r="AX66" s="22" t="str">
        <f>INDEX(Cronograma!AW$5:AW$11,MATCH($B66,Premissas!$A$39:$A$45,0))</f>
        <v/>
      </c>
      <c r="AY66" s="22" t="str">
        <f>INDEX(Cronograma!AX$5:AX$11,MATCH($B66,Premissas!$A$39:$A$45,0))</f>
        <v/>
      </c>
      <c r="AZ66" s="22" t="str">
        <f>INDEX(Cronograma!AY$5:AY$11,MATCH($B66,Premissas!$A$39:$A$45,0))</f>
        <v/>
      </c>
      <c r="BA66" s="22" t="str">
        <f>INDEX(Cronograma!AZ$5:AZ$11,MATCH($B66,Premissas!$A$39:$A$45,0))</f>
        <v/>
      </c>
      <c r="BB66" s="22" t="str">
        <f>INDEX(Cronograma!BA$5:BA$11,MATCH($B66,Premissas!$A$39:$A$45,0))</f>
        <v/>
      </c>
    </row>
    <row r="67" spans="1:54" ht="15" customHeight="1" x14ac:dyDescent="0.4">
      <c r="A67" s="15" t="str">
        <f>Frota!$B67&amp;" — "&amp;Frota!$A67</f>
        <v>MB 1719-Atego — 101155</v>
      </c>
      <c r="B67" s="16" t="str">
        <f>Frota!$C67</f>
        <v>Caminhão</v>
      </c>
      <c r="C67" s="22" t="str">
        <f>INDEX(Cronograma!B$5:B$11,MATCH($B67,Premissas!$A$39:$A$45,0))</f>
        <v/>
      </c>
      <c r="D67" s="22" t="str">
        <f>INDEX(Cronograma!C$5:C$11,MATCH($B67,Premissas!$A$39:$A$45,0))</f>
        <v/>
      </c>
      <c r="E67" s="22" t="str">
        <f>INDEX(Cronograma!D$5:D$11,MATCH($B67,Premissas!$A$39:$A$45,0))</f>
        <v/>
      </c>
      <c r="F67" s="22" t="str">
        <f>INDEX(Cronograma!E$5:E$11,MATCH($B67,Premissas!$A$39:$A$45,0))</f>
        <v/>
      </c>
      <c r="G67" s="22" t="str">
        <f>INDEX(Cronograma!F$5:F$11,MATCH($B67,Premissas!$A$39:$A$45,0))</f>
        <v/>
      </c>
      <c r="H67" s="22" t="str">
        <f>INDEX(Cronograma!G$5:G$11,MATCH($B67,Premissas!$A$39:$A$45,0))</f>
        <v/>
      </c>
      <c r="I67" s="22" t="str">
        <f>INDEX(Cronograma!H$5:H$11,MATCH($B67,Premissas!$A$39:$A$45,0))</f>
        <v>S</v>
      </c>
      <c r="J67" s="22" t="str">
        <f>INDEX(Cronograma!I$5:I$11,MATCH($B67,Premissas!$A$39:$A$45,0))</f>
        <v/>
      </c>
      <c r="K67" s="22" t="str">
        <f>INDEX(Cronograma!J$5:J$11,MATCH($B67,Premissas!$A$39:$A$45,0))</f>
        <v/>
      </c>
      <c r="L67" s="22" t="str">
        <f>INDEX(Cronograma!K$5:K$11,MATCH($B67,Premissas!$A$39:$A$45,0))</f>
        <v/>
      </c>
      <c r="M67" s="22" t="str">
        <f>INDEX(Cronograma!L$5:L$11,MATCH($B67,Premissas!$A$39:$A$45,0))</f>
        <v/>
      </c>
      <c r="N67" s="22" t="str">
        <f>INDEX(Cronograma!M$5:M$11,MATCH($B67,Premissas!$A$39:$A$45,0))</f>
        <v/>
      </c>
      <c r="O67" s="22" t="str">
        <f>INDEX(Cronograma!N$5:N$11,MATCH($B67,Premissas!$A$39:$A$45,0))</f>
        <v/>
      </c>
      <c r="P67" s="22" t="str">
        <f>INDEX(Cronograma!O$5:O$11,MATCH($B67,Premissas!$A$39:$A$45,0))</f>
        <v>A</v>
      </c>
      <c r="Q67" s="22" t="str">
        <f>INDEX(Cronograma!P$5:P$11,MATCH($B67,Premissas!$A$39:$A$45,0))</f>
        <v/>
      </c>
      <c r="R67" s="22" t="str">
        <f>INDEX(Cronograma!Q$5:Q$11,MATCH($B67,Premissas!$A$39:$A$45,0))</f>
        <v/>
      </c>
      <c r="S67" s="22" t="str">
        <f>INDEX(Cronograma!R$5:R$11,MATCH($B67,Premissas!$A$39:$A$45,0))</f>
        <v/>
      </c>
      <c r="T67" s="22" t="str">
        <f>INDEX(Cronograma!S$5:S$11,MATCH($B67,Premissas!$A$39:$A$45,0))</f>
        <v/>
      </c>
      <c r="U67" s="22" t="str">
        <f>INDEX(Cronograma!T$5:T$11,MATCH($B67,Premissas!$A$39:$A$45,0))</f>
        <v/>
      </c>
      <c r="V67" s="22" t="str">
        <f>INDEX(Cronograma!U$5:U$11,MATCH($B67,Premissas!$A$39:$A$45,0))</f>
        <v>S</v>
      </c>
      <c r="W67" s="22" t="str">
        <f>INDEX(Cronograma!V$5:V$11,MATCH($B67,Premissas!$A$39:$A$45,0))</f>
        <v/>
      </c>
      <c r="X67" s="22" t="str">
        <f>INDEX(Cronograma!W$5:W$11,MATCH($B67,Premissas!$A$39:$A$45,0))</f>
        <v/>
      </c>
      <c r="Y67" s="22" t="str">
        <f>INDEX(Cronograma!X$5:X$11,MATCH($B67,Premissas!$A$39:$A$45,0))</f>
        <v/>
      </c>
      <c r="Z67" s="22" t="str">
        <f>INDEX(Cronograma!Y$5:Y$11,MATCH($B67,Premissas!$A$39:$A$45,0))</f>
        <v/>
      </c>
      <c r="AA67" s="22" t="str">
        <f>INDEX(Cronograma!Z$5:Z$11,MATCH($B67,Premissas!$A$39:$A$45,0))</f>
        <v/>
      </c>
      <c r="AB67" s="22" t="str">
        <f>INDEX(Cronograma!AA$5:AA$11,MATCH($B67,Premissas!$A$39:$A$45,0))</f>
        <v/>
      </c>
      <c r="AC67" s="22" t="str">
        <f>INDEX(Cronograma!AB$5:AB$11,MATCH($B67,Premissas!$A$39:$A$45,0))</f>
        <v>B</v>
      </c>
      <c r="AD67" s="22" t="str">
        <f>INDEX(Cronograma!AC$5:AC$11,MATCH($B67,Premissas!$A$39:$A$45,0))</f>
        <v/>
      </c>
      <c r="AE67" s="22" t="str">
        <f>INDEX(Cronograma!AD$5:AD$11,MATCH($B67,Premissas!$A$39:$A$45,0))</f>
        <v/>
      </c>
      <c r="AF67" s="22" t="str">
        <f>INDEX(Cronograma!AE$5:AE$11,MATCH($B67,Premissas!$A$39:$A$45,0))</f>
        <v/>
      </c>
      <c r="AG67" s="22" t="str">
        <f>INDEX(Cronograma!AF$5:AF$11,MATCH($B67,Premissas!$A$39:$A$45,0))</f>
        <v/>
      </c>
      <c r="AH67" s="22" t="str">
        <f>INDEX(Cronograma!AG$5:AG$11,MATCH($B67,Premissas!$A$39:$A$45,0))</f>
        <v/>
      </c>
      <c r="AI67" s="22" t="str">
        <f>INDEX(Cronograma!AH$5:AH$11,MATCH($B67,Premissas!$A$39:$A$45,0))</f>
        <v/>
      </c>
      <c r="AJ67" s="22" t="str">
        <f>INDEX(Cronograma!AI$5:AI$11,MATCH($B67,Premissas!$A$39:$A$45,0))</f>
        <v/>
      </c>
      <c r="AK67" s="22" t="str">
        <f>INDEX(Cronograma!AJ$5:AJ$11,MATCH($B67,Premissas!$A$39:$A$45,0))</f>
        <v/>
      </c>
      <c r="AL67" s="22" t="str">
        <f>INDEX(Cronograma!AK$5:AK$11,MATCH($B67,Premissas!$A$39:$A$45,0))</f>
        <v/>
      </c>
      <c r="AM67" s="22" t="str">
        <f>INDEX(Cronograma!AL$5:AL$11,MATCH($B67,Premissas!$A$39:$A$45,0))</f>
        <v/>
      </c>
      <c r="AN67" s="22" t="str">
        <f>INDEX(Cronograma!AM$5:AM$11,MATCH($B67,Premissas!$A$39:$A$45,0))</f>
        <v/>
      </c>
      <c r="AO67" s="22" t="str">
        <f>INDEX(Cronograma!AN$5:AN$11,MATCH($B67,Premissas!$A$39:$A$45,0))</f>
        <v/>
      </c>
      <c r="AP67" s="22" t="str">
        <f>INDEX(Cronograma!AO$5:AO$11,MATCH($B67,Premissas!$A$39:$A$45,0))</f>
        <v>S</v>
      </c>
      <c r="AQ67" s="22" t="str">
        <f>INDEX(Cronograma!AP$5:AP$11,MATCH($B67,Premissas!$A$39:$A$45,0))</f>
        <v/>
      </c>
      <c r="AR67" s="22" t="str">
        <f>INDEX(Cronograma!AQ$5:AQ$11,MATCH($B67,Premissas!$A$39:$A$45,0))</f>
        <v/>
      </c>
      <c r="AS67" s="22" t="str">
        <f>INDEX(Cronograma!AR$5:AR$11,MATCH($B67,Premissas!$A$39:$A$45,0))</f>
        <v/>
      </c>
      <c r="AT67" s="22" t="str">
        <f>INDEX(Cronograma!AS$5:AS$11,MATCH($B67,Premissas!$A$39:$A$45,0))</f>
        <v/>
      </c>
      <c r="AU67" s="22" t="str">
        <f>INDEX(Cronograma!AT$5:AT$11,MATCH($B67,Premissas!$A$39:$A$45,0))</f>
        <v/>
      </c>
      <c r="AV67" s="22" t="str">
        <f>INDEX(Cronograma!AU$5:AU$11,MATCH($B67,Premissas!$A$39:$A$45,0))</f>
        <v/>
      </c>
      <c r="AW67" s="22" t="str">
        <f>INDEX(Cronograma!AV$5:AV$11,MATCH($B67,Premissas!$A$39:$A$45,0))</f>
        <v/>
      </c>
      <c r="AX67" s="22" t="str">
        <f>INDEX(Cronograma!AW$5:AW$11,MATCH($B67,Premissas!$A$39:$A$45,0))</f>
        <v/>
      </c>
      <c r="AY67" s="22" t="str">
        <f>INDEX(Cronograma!AX$5:AX$11,MATCH($B67,Premissas!$A$39:$A$45,0))</f>
        <v/>
      </c>
      <c r="AZ67" s="22" t="str">
        <f>INDEX(Cronograma!AY$5:AY$11,MATCH($B67,Premissas!$A$39:$A$45,0))</f>
        <v/>
      </c>
      <c r="BA67" s="22" t="str">
        <f>INDEX(Cronograma!AZ$5:AZ$11,MATCH($B67,Premissas!$A$39:$A$45,0))</f>
        <v/>
      </c>
      <c r="BB67" s="22" t="str">
        <f>INDEX(Cronograma!BA$5:BA$11,MATCH($B67,Premissas!$A$39:$A$45,0))</f>
        <v/>
      </c>
    </row>
    <row r="68" spans="1:54" ht="15" customHeight="1" x14ac:dyDescent="0.4">
      <c r="A68" s="15" t="str">
        <f>Frota!$B68&amp;" — "&amp;Frota!$A68</f>
        <v>MB 2730 6X4 — 101156</v>
      </c>
      <c r="B68" s="16" t="str">
        <f>Frota!$C68</f>
        <v>Caminhão</v>
      </c>
      <c r="C68" s="22" t="str">
        <f>INDEX(Cronograma!B$5:B$11,MATCH($B68,Premissas!$A$39:$A$45,0))</f>
        <v/>
      </c>
      <c r="D68" s="22" t="str">
        <f>INDEX(Cronograma!C$5:C$11,MATCH($B68,Premissas!$A$39:$A$45,0))</f>
        <v/>
      </c>
      <c r="E68" s="22" t="str">
        <f>INDEX(Cronograma!D$5:D$11,MATCH($B68,Premissas!$A$39:$A$45,0))</f>
        <v/>
      </c>
      <c r="F68" s="22" t="str">
        <f>INDEX(Cronograma!E$5:E$11,MATCH($B68,Premissas!$A$39:$A$45,0))</f>
        <v/>
      </c>
      <c r="G68" s="22" t="str">
        <f>INDEX(Cronograma!F$5:F$11,MATCH($B68,Premissas!$A$39:$A$45,0))</f>
        <v/>
      </c>
      <c r="H68" s="22" t="str">
        <f>INDEX(Cronograma!G$5:G$11,MATCH($B68,Premissas!$A$39:$A$45,0))</f>
        <v/>
      </c>
      <c r="I68" s="22" t="str">
        <f>INDEX(Cronograma!H$5:H$11,MATCH($B68,Premissas!$A$39:$A$45,0))</f>
        <v>S</v>
      </c>
      <c r="J68" s="22" t="str">
        <f>INDEX(Cronograma!I$5:I$11,MATCH($B68,Premissas!$A$39:$A$45,0))</f>
        <v/>
      </c>
      <c r="K68" s="22" t="str">
        <f>INDEX(Cronograma!J$5:J$11,MATCH($B68,Premissas!$A$39:$A$45,0))</f>
        <v/>
      </c>
      <c r="L68" s="22" t="str">
        <f>INDEX(Cronograma!K$5:K$11,MATCH($B68,Premissas!$A$39:$A$45,0))</f>
        <v/>
      </c>
      <c r="M68" s="22" t="str">
        <f>INDEX(Cronograma!L$5:L$11,MATCH($B68,Premissas!$A$39:$A$45,0))</f>
        <v/>
      </c>
      <c r="N68" s="22" t="str">
        <f>INDEX(Cronograma!M$5:M$11,MATCH($B68,Premissas!$A$39:$A$45,0))</f>
        <v/>
      </c>
      <c r="O68" s="22" t="str">
        <f>INDEX(Cronograma!N$5:N$11,MATCH($B68,Premissas!$A$39:$A$45,0))</f>
        <v/>
      </c>
      <c r="P68" s="22" t="str">
        <f>INDEX(Cronograma!O$5:O$11,MATCH($B68,Premissas!$A$39:$A$45,0))</f>
        <v>A</v>
      </c>
      <c r="Q68" s="22" t="str">
        <f>INDEX(Cronograma!P$5:P$11,MATCH($B68,Premissas!$A$39:$A$45,0))</f>
        <v/>
      </c>
      <c r="R68" s="22" t="str">
        <f>INDEX(Cronograma!Q$5:Q$11,MATCH($B68,Premissas!$A$39:$A$45,0))</f>
        <v/>
      </c>
      <c r="S68" s="22" t="str">
        <f>INDEX(Cronograma!R$5:R$11,MATCH($B68,Premissas!$A$39:$A$45,0))</f>
        <v/>
      </c>
      <c r="T68" s="22" t="str">
        <f>INDEX(Cronograma!S$5:S$11,MATCH($B68,Premissas!$A$39:$A$45,0))</f>
        <v/>
      </c>
      <c r="U68" s="22" t="str">
        <f>INDEX(Cronograma!T$5:T$11,MATCH($B68,Premissas!$A$39:$A$45,0))</f>
        <v/>
      </c>
      <c r="V68" s="22" t="str">
        <f>INDEX(Cronograma!U$5:U$11,MATCH($B68,Premissas!$A$39:$A$45,0))</f>
        <v>S</v>
      </c>
      <c r="W68" s="22" t="str">
        <f>INDEX(Cronograma!V$5:V$11,MATCH($B68,Premissas!$A$39:$A$45,0))</f>
        <v/>
      </c>
      <c r="X68" s="22" t="str">
        <f>INDEX(Cronograma!W$5:W$11,MATCH($B68,Premissas!$A$39:$A$45,0))</f>
        <v/>
      </c>
      <c r="Y68" s="22" t="str">
        <f>INDEX(Cronograma!X$5:X$11,MATCH($B68,Premissas!$A$39:$A$45,0))</f>
        <v/>
      </c>
      <c r="Z68" s="22" t="str">
        <f>INDEX(Cronograma!Y$5:Y$11,MATCH($B68,Premissas!$A$39:$A$45,0))</f>
        <v/>
      </c>
      <c r="AA68" s="22" t="str">
        <f>INDEX(Cronograma!Z$5:Z$11,MATCH($B68,Premissas!$A$39:$A$45,0))</f>
        <v/>
      </c>
      <c r="AB68" s="22" t="str">
        <f>INDEX(Cronograma!AA$5:AA$11,MATCH($B68,Premissas!$A$39:$A$45,0))</f>
        <v/>
      </c>
      <c r="AC68" s="22" t="str">
        <f>INDEX(Cronograma!AB$5:AB$11,MATCH($B68,Premissas!$A$39:$A$45,0))</f>
        <v>B</v>
      </c>
      <c r="AD68" s="22" t="str">
        <f>INDEX(Cronograma!AC$5:AC$11,MATCH($B68,Premissas!$A$39:$A$45,0))</f>
        <v/>
      </c>
      <c r="AE68" s="22" t="str">
        <f>INDEX(Cronograma!AD$5:AD$11,MATCH($B68,Premissas!$A$39:$A$45,0))</f>
        <v/>
      </c>
      <c r="AF68" s="22" t="str">
        <f>INDEX(Cronograma!AE$5:AE$11,MATCH($B68,Premissas!$A$39:$A$45,0))</f>
        <v/>
      </c>
      <c r="AG68" s="22" t="str">
        <f>INDEX(Cronograma!AF$5:AF$11,MATCH($B68,Premissas!$A$39:$A$45,0))</f>
        <v/>
      </c>
      <c r="AH68" s="22" t="str">
        <f>INDEX(Cronograma!AG$5:AG$11,MATCH($B68,Premissas!$A$39:$A$45,0))</f>
        <v/>
      </c>
      <c r="AI68" s="22" t="str">
        <f>INDEX(Cronograma!AH$5:AH$11,MATCH($B68,Premissas!$A$39:$A$45,0))</f>
        <v/>
      </c>
      <c r="AJ68" s="22" t="str">
        <f>INDEX(Cronograma!AI$5:AI$11,MATCH($B68,Premissas!$A$39:$A$45,0))</f>
        <v/>
      </c>
      <c r="AK68" s="22" t="str">
        <f>INDEX(Cronograma!AJ$5:AJ$11,MATCH($B68,Premissas!$A$39:$A$45,0))</f>
        <v/>
      </c>
      <c r="AL68" s="22" t="str">
        <f>INDEX(Cronograma!AK$5:AK$11,MATCH($B68,Premissas!$A$39:$A$45,0))</f>
        <v/>
      </c>
      <c r="AM68" s="22" t="str">
        <f>INDEX(Cronograma!AL$5:AL$11,MATCH($B68,Premissas!$A$39:$A$45,0))</f>
        <v/>
      </c>
      <c r="AN68" s="22" t="str">
        <f>INDEX(Cronograma!AM$5:AM$11,MATCH($B68,Premissas!$A$39:$A$45,0))</f>
        <v/>
      </c>
      <c r="AO68" s="22" t="str">
        <f>INDEX(Cronograma!AN$5:AN$11,MATCH($B68,Premissas!$A$39:$A$45,0))</f>
        <v/>
      </c>
      <c r="AP68" s="22" t="str">
        <f>INDEX(Cronograma!AO$5:AO$11,MATCH($B68,Premissas!$A$39:$A$45,0))</f>
        <v>S</v>
      </c>
      <c r="AQ68" s="22" t="str">
        <f>INDEX(Cronograma!AP$5:AP$11,MATCH($B68,Premissas!$A$39:$A$45,0))</f>
        <v/>
      </c>
      <c r="AR68" s="22" t="str">
        <f>INDEX(Cronograma!AQ$5:AQ$11,MATCH($B68,Premissas!$A$39:$A$45,0))</f>
        <v/>
      </c>
      <c r="AS68" s="22" t="str">
        <f>INDEX(Cronograma!AR$5:AR$11,MATCH($B68,Premissas!$A$39:$A$45,0))</f>
        <v/>
      </c>
      <c r="AT68" s="22" t="str">
        <f>INDEX(Cronograma!AS$5:AS$11,MATCH($B68,Premissas!$A$39:$A$45,0))</f>
        <v/>
      </c>
      <c r="AU68" s="22" t="str">
        <f>INDEX(Cronograma!AT$5:AT$11,MATCH($B68,Premissas!$A$39:$A$45,0))</f>
        <v/>
      </c>
      <c r="AV68" s="22" t="str">
        <f>INDEX(Cronograma!AU$5:AU$11,MATCH($B68,Premissas!$A$39:$A$45,0))</f>
        <v/>
      </c>
      <c r="AW68" s="22" t="str">
        <f>INDEX(Cronograma!AV$5:AV$11,MATCH($B68,Premissas!$A$39:$A$45,0))</f>
        <v/>
      </c>
      <c r="AX68" s="22" t="str">
        <f>INDEX(Cronograma!AW$5:AW$11,MATCH($B68,Premissas!$A$39:$A$45,0))</f>
        <v/>
      </c>
      <c r="AY68" s="22" t="str">
        <f>INDEX(Cronograma!AX$5:AX$11,MATCH($B68,Premissas!$A$39:$A$45,0))</f>
        <v/>
      </c>
      <c r="AZ68" s="22" t="str">
        <f>INDEX(Cronograma!AY$5:AY$11,MATCH($B68,Premissas!$A$39:$A$45,0))</f>
        <v/>
      </c>
      <c r="BA68" s="22" t="str">
        <f>INDEX(Cronograma!AZ$5:AZ$11,MATCH($B68,Premissas!$A$39:$A$45,0))</f>
        <v/>
      </c>
      <c r="BB68" s="22" t="str">
        <f>INDEX(Cronograma!BA$5:BA$11,MATCH($B68,Premissas!$A$39:$A$45,0))</f>
        <v/>
      </c>
    </row>
    <row r="69" spans="1:54" ht="15" customHeight="1" x14ac:dyDescent="0.4">
      <c r="A69" s="15" t="str">
        <f>Frota!$B69&amp;" — "&amp;Frota!$A69</f>
        <v>MB 2730 6X4 — 101157</v>
      </c>
      <c r="B69" s="16" t="str">
        <f>Frota!$C69</f>
        <v>Caminhão</v>
      </c>
      <c r="C69" s="22" t="str">
        <f>INDEX(Cronograma!B$5:B$11,MATCH($B69,Premissas!$A$39:$A$45,0))</f>
        <v/>
      </c>
      <c r="D69" s="22" t="str">
        <f>INDEX(Cronograma!C$5:C$11,MATCH($B69,Premissas!$A$39:$A$45,0))</f>
        <v/>
      </c>
      <c r="E69" s="22" t="str">
        <f>INDEX(Cronograma!D$5:D$11,MATCH($B69,Premissas!$A$39:$A$45,0))</f>
        <v/>
      </c>
      <c r="F69" s="22" t="str">
        <f>INDEX(Cronograma!E$5:E$11,MATCH($B69,Premissas!$A$39:$A$45,0))</f>
        <v/>
      </c>
      <c r="G69" s="22" t="str">
        <f>INDEX(Cronograma!F$5:F$11,MATCH($B69,Premissas!$A$39:$A$45,0))</f>
        <v/>
      </c>
      <c r="H69" s="22" t="str">
        <f>INDEX(Cronograma!G$5:G$11,MATCH($B69,Premissas!$A$39:$A$45,0))</f>
        <v/>
      </c>
      <c r="I69" s="22" t="str">
        <f>INDEX(Cronograma!H$5:H$11,MATCH($B69,Premissas!$A$39:$A$45,0))</f>
        <v>S</v>
      </c>
      <c r="J69" s="22" t="str">
        <f>INDEX(Cronograma!I$5:I$11,MATCH($B69,Premissas!$A$39:$A$45,0))</f>
        <v/>
      </c>
      <c r="K69" s="22" t="str">
        <f>INDEX(Cronograma!J$5:J$11,MATCH($B69,Premissas!$A$39:$A$45,0))</f>
        <v/>
      </c>
      <c r="L69" s="22" t="str">
        <f>INDEX(Cronograma!K$5:K$11,MATCH($B69,Premissas!$A$39:$A$45,0))</f>
        <v/>
      </c>
      <c r="M69" s="22" t="str">
        <f>INDEX(Cronograma!L$5:L$11,MATCH($B69,Premissas!$A$39:$A$45,0))</f>
        <v/>
      </c>
      <c r="N69" s="22" t="str">
        <f>INDEX(Cronograma!M$5:M$11,MATCH($B69,Premissas!$A$39:$A$45,0))</f>
        <v/>
      </c>
      <c r="O69" s="22" t="str">
        <f>INDEX(Cronograma!N$5:N$11,MATCH($B69,Premissas!$A$39:$A$45,0))</f>
        <v/>
      </c>
      <c r="P69" s="22" t="str">
        <f>INDEX(Cronograma!O$5:O$11,MATCH($B69,Premissas!$A$39:$A$45,0))</f>
        <v>A</v>
      </c>
      <c r="Q69" s="22" t="str">
        <f>INDEX(Cronograma!P$5:P$11,MATCH($B69,Premissas!$A$39:$A$45,0))</f>
        <v/>
      </c>
      <c r="R69" s="22" t="str">
        <f>INDEX(Cronograma!Q$5:Q$11,MATCH($B69,Premissas!$A$39:$A$45,0))</f>
        <v/>
      </c>
      <c r="S69" s="22" t="str">
        <f>INDEX(Cronograma!R$5:R$11,MATCH($B69,Premissas!$A$39:$A$45,0))</f>
        <v/>
      </c>
      <c r="T69" s="22" t="str">
        <f>INDEX(Cronograma!S$5:S$11,MATCH($B69,Premissas!$A$39:$A$45,0))</f>
        <v/>
      </c>
      <c r="U69" s="22" t="str">
        <f>INDEX(Cronograma!T$5:T$11,MATCH($B69,Premissas!$A$39:$A$45,0))</f>
        <v/>
      </c>
      <c r="V69" s="22" t="str">
        <f>INDEX(Cronograma!U$5:U$11,MATCH($B69,Premissas!$A$39:$A$45,0))</f>
        <v>S</v>
      </c>
      <c r="W69" s="22" t="str">
        <f>INDEX(Cronograma!V$5:V$11,MATCH($B69,Premissas!$A$39:$A$45,0))</f>
        <v/>
      </c>
      <c r="X69" s="22" t="str">
        <f>INDEX(Cronograma!W$5:W$11,MATCH($B69,Premissas!$A$39:$A$45,0))</f>
        <v/>
      </c>
      <c r="Y69" s="22" t="str">
        <f>INDEX(Cronograma!X$5:X$11,MATCH($B69,Premissas!$A$39:$A$45,0))</f>
        <v/>
      </c>
      <c r="Z69" s="22" t="str">
        <f>INDEX(Cronograma!Y$5:Y$11,MATCH($B69,Premissas!$A$39:$A$45,0))</f>
        <v/>
      </c>
      <c r="AA69" s="22" t="str">
        <f>INDEX(Cronograma!Z$5:Z$11,MATCH($B69,Premissas!$A$39:$A$45,0))</f>
        <v/>
      </c>
      <c r="AB69" s="22" t="str">
        <f>INDEX(Cronograma!AA$5:AA$11,MATCH($B69,Premissas!$A$39:$A$45,0))</f>
        <v/>
      </c>
      <c r="AC69" s="22" t="str">
        <f>INDEX(Cronograma!AB$5:AB$11,MATCH($B69,Premissas!$A$39:$A$45,0))</f>
        <v>B</v>
      </c>
      <c r="AD69" s="22" t="str">
        <f>INDEX(Cronograma!AC$5:AC$11,MATCH($B69,Premissas!$A$39:$A$45,0))</f>
        <v/>
      </c>
      <c r="AE69" s="22" t="str">
        <f>INDEX(Cronograma!AD$5:AD$11,MATCH($B69,Premissas!$A$39:$A$45,0))</f>
        <v/>
      </c>
      <c r="AF69" s="22" t="str">
        <f>INDEX(Cronograma!AE$5:AE$11,MATCH($B69,Premissas!$A$39:$A$45,0))</f>
        <v/>
      </c>
      <c r="AG69" s="22" t="str">
        <f>INDEX(Cronograma!AF$5:AF$11,MATCH($B69,Premissas!$A$39:$A$45,0))</f>
        <v/>
      </c>
      <c r="AH69" s="22" t="str">
        <f>INDEX(Cronograma!AG$5:AG$11,MATCH($B69,Premissas!$A$39:$A$45,0))</f>
        <v/>
      </c>
      <c r="AI69" s="22" t="str">
        <f>INDEX(Cronograma!AH$5:AH$11,MATCH($B69,Premissas!$A$39:$A$45,0))</f>
        <v/>
      </c>
      <c r="AJ69" s="22" t="str">
        <f>INDEX(Cronograma!AI$5:AI$11,MATCH($B69,Premissas!$A$39:$A$45,0))</f>
        <v/>
      </c>
      <c r="AK69" s="22" t="str">
        <f>INDEX(Cronograma!AJ$5:AJ$11,MATCH($B69,Premissas!$A$39:$A$45,0))</f>
        <v/>
      </c>
      <c r="AL69" s="22" t="str">
        <f>INDEX(Cronograma!AK$5:AK$11,MATCH($B69,Premissas!$A$39:$A$45,0))</f>
        <v/>
      </c>
      <c r="AM69" s="22" t="str">
        <f>INDEX(Cronograma!AL$5:AL$11,MATCH($B69,Premissas!$A$39:$A$45,0))</f>
        <v/>
      </c>
      <c r="AN69" s="22" t="str">
        <f>INDEX(Cronograma!AM$5:AM$11,MATCH($B69,Premissas!$A$39:$A$45,0))</f>
        <v/>
      </c>
      <c r="AO69" s="22" t="str">
        <f>INDEX(Cronograma!AN$5:AN$11,MATCH($B69,Premissas!$A$39:$A$45,0))</f>
        <v/>
      </c>
      <c r="AP69" s="22" t="str">
        <f>INDEX(Cronograma!AO$5:AO$11,MATCH($B69,Premissas!$A$39:$A$45,0))</f>
        <v>S</v>
      </c>
      <c r="AQ69" s="22" t="str">
        <f>INDEX(Cronograma!AP$5:AP$11,MATCH($B69,Premissas!$A$39:$A$45,0))</f>
        <v/>
      </c>
      <c r="AR69" s="22" t="str">
        <f>INDEX(Cronograma!AQ$5:AQ$11,MATCH($B69,Premissas!$A$39:$A$45,0))</f>
        <v/>
      </c>
      <c r="AS69" s="22" t="str">
        <f>INDEX(Cronograma!AR$5:AR$11,MATCH($B69,Premissas!$A$39:$A$45,0))</f>
        <v/>
      </c>
      <c r="AT69" s="22" t="str">
        <f>INDEX(Cronograma!AS$5:AS$11,MATCH($B69,Premissas!$A$39:$A$45,0))</f>
        <v/>
      </c>
      <c r="AU69" s="22" t="str">
        <f>INDEX(Cronograma!AT$5:AT$11,MATCH($B69,Premissas!$A$39:$A$45,0))</f>
        <v/>
      </c>
      <c r="AV69" s="22" t="str">
        <f>INDEX(Cronograma!AU$5:AU$11,MATCH($B69,Premissas!$A$39:$A$45,0))</f>
        <v/>
      </c>
      <c r="AW69" s="22" t="str">
        <f>INDEX(Cronograma!AV$5:AV$11,MATCH($B69,Premissas!$A$39:$A$45,0))</f>
        <v/>
      </c>
      <c r="AX69" s="22" t="str">
        <f>INDEX(Cronograma!AW$5:AW$11,MATCH($B69,Premissas!$A$39:$A$45,0))</f>
        <v/>
      </c>
      <c r="AY69" s="22" t="str">
        <f>INDEX(Cronograma!AX$5:AX$11,MATCH($B69,Premissas!$A$39:$A$45,0))</f>
        <v/>
      </c>
      <c r="AZ69" s="22" t="str">
        <f>INDEX(Cronograma!AY$5:AY$11,MATCH($B69,Premissas!$A$39:$A$45,0))</f>
        <v/>
      </c>
      <c r="BA69" s="22" t="str">
        <f>INDEX(Cronograma!AZ$5:AZ$11,MATCH($B69,Premissas!$A$39:$A$45,0))</f>
        <v/>
      </c>
      <c r="BB69" s="22" t="str">
        <f>INDEX(Cronograma!BA$5:BA$11,MATCH($B69,Premissas!$A$39:$A$45,0))</f>
        <v/>
      </c>
    </row>
    <row r="70" spans="1:54" ht="15" customHeight="1" x14ac:dyDescent="0.4">
      <c r="A70" s="15" t="str">
        <f>Frota!$B70&amp;" — "&amp;Frota!$A70</f>
        <v>Volvo FM 480 — 101158</v>
      </c>
      <c r="B70" s="16" t="str">
        <f>Frota!$C70</f>
        <v>Caminhão</v>
      </c>
      <c r="C70" s="22" t="str">
        <f>INDEX(Cronograma!B$5:B$11,MATCH($B70,Premissas!$A$39:$A$45,0))</f>
        <v/>
      </c>
      <c r="D70" s="22" t="str">
        <f>INDEX(Cronograma!C$5:C$11,MATCH($B70,Premissas!$A$39:$A$45,0))</f>
        <v/>
      </c>
      <c r="E70" s="22" t="str">
        <f>INDEX(Cronograma!D$5:D$11,MATCH($B70,Premissas!$A$39:$A$45,0))</f>
        <v/>
      </c>
      <c r="F70" s="22" t="str">
        <f>INDEX(Cronograma!E$5:E$11,MATCH($B70,Premissas!$A$39:$A$45,0))</f>
        <v/>
      </c>
      <c r="G70" s="22" t="str">
        <f>INDEX(Cronograma!F$5:F$11,MATCH($B70,Premissas!$A$39:$A$45,0))</f>
        <v/>
      </c>
      <c r="H70" s="22" t="str">
        <f>INDEX(Cronograma!G$5:G$11,MATCH($B70,Premissas!$A$39:$A$45,0))</f>
        <v/>
      </c>
      <c r="I70" s="22" t="str">
        <f>INDEX(Cronograma!H$5:H$11,MATCH($B70,Premissas!$A$39:$A$45,0))</f>
        <v>S</v>
      </c>
      <c r="J70" s="22" t="str">
        <f>INDEX(Cronograma!I$5:I$11,MATCH($B70,Premissas!$A$39:$A$45,0))</f>
        <v/>
      </c>
      <c r="K70" s="22" t="str">
        <f>INDEX(Cronograma!J$5:J$11,MATCH($B70,Premissas!$A$39:$A$45,0))</f>
        <v/>
      </c>
      <c r="L70" s="22" t="str">
        <f>INDEX(Cronograma!K$5:K$11,MATCH($B70,Premissas!$A$39:$A$45,0))</f>
        <v/>
      </c>
      <c r="M70" s="22" t="str">
        <f>INDEX(Cronograma!L$5:L$11,MATCH($B70,Premissas!$A$39:$A$45,0))</f>
        <v/>
      </c>
      <c r="N70" s="22" t="str">
        <f>INDEX(Cronograma!M$5:M$11,MATCH($B70,Premissas!$A$39:$A$45,0))</f>
        <v/>
      </c>
      <c r="O70" s="22" t="str">
        <f>INDEX(Cronograma!N$5:N$11,MATCH($B70,Premissas!$A$39:$A$45,0))</f>
        <v/>
      </c>
      <c r="P70" s="22" t="str">
        <f>INDEX(Cronograma!O$5:O$11,MATCH($B70,Premissas!$A$39:$A$45,0))</f>
        <v>A</v>
      </c>
      <c r="Q70" s="22" t="str">
        <f>INDEX(Cronograma!P$5:P$11,MATCH($B70,Premissas!$A$39:$A$45,0))</f>
        <v/>
      </c>
      <c r="R70" s="22" t="str">
        <f>INDEX(Cronograma!Q$5:Q$11,MATCH($B70,Premissas!$A$39:$A$45,0))</f>
        <v/>
      </c>
      <c r="S70" s="22" t="str">
        <f>INDEX(Cronograma!R$5:R$11,MATCH($B70,Premissas!$A$39:$A$45,0))</f>
        <v/>
      </c>
      <c r="T70" s="22" t="str">
        <f>INDEX(Cronograma!S$5:S$11,MATCH($B70,Premissas!$A$39:$A$45,0))</f>
        <v/>
      </c>
      <c r="U70" s="22" t="str">
        <f>INDEX(Cronograma!T$5:T$11,MATCH($B70,Premissas!$A$39:$A$45,0))</f>
        <v/>
      </c>
      <c r="V70" s="22" t="str">
        <f>INDEX(Cronograma!U$5:U$11,MATCH($B70,Premissas!$A$39:$A$45,0))</f>
        <v>S</v>
      </c>
      <c r="W70" s="22" t="str">
        <f>INDEX(Cronograma!V$5:V$11,MATCH($B70,Premissas!$A$39:$A$45,0))</f>
        <v/>
      </c>
      <c r="X70" s="22" t="str">
        <f>INDEX(Cronograma!W$5:W$11,MATCH($B70,Premissas!$A$39:$A$45,0))</f>
        <v/>
      </c>
      <c r="Y70" s="22" t="str">
        <f>INDEX(Cronograma!X$5:X$11,MATCH($B70,Premissas!$A$39:$A$45,0))</f>
        <v/>
      </c>
      <c r="Z70" s="22" t="str">
        <f>INDEX(Cronograma!Y$5:Y$11,MATCH($B70,Premissas!$A$39:$A$45,0))</f>
        <v/>
      </c>
      <c r="AA70" s="22" t="str">
        <f>INDEX(Cronograma!Z$5:Z$11,MATCH($B70,Premissas!$A$39:$A$45,0))</f>
        <v/>
      </c>
      <c r="AB70" s="22" t="str">
        <f>INDEX(Cronograma!AA$5:AA$11,MATCH($B70,Premissas!$A$39:$A$45,0))</f>
        <v/>
      </c>
      <c r="AC70" s="22" t="str">
        <f>INDEX(Cronograma!AB$5:AB$11,MATCH($B70,Premissas!$A$39:$A$45,0))</f>
        <v>B</v>
      </c>
      <c r="AD70" s="22" t="str">
        <f>INDEX(Cronograma!AC$5:AC$11,MATCH($B70,Premissas!$A$39:$A$45,0))</f>
        <v/>
      </c>
      <c r="AE70" s="22" t="str">
        <f>INDEX(Cronograma!AD$5:AD$11,MATCH($B70,Premissas!$A$39:$A$45,0))</f>
        <v/>
      </c>
      <c r="AF70" s="22" t="str">
        <f>INDEX(Cronograma!AE$5:AE$11,MATCH($B70,Premissas!$A$39:$A$45,0))</f>
        <v/>
      </c>
      <c r="AG70" s="22" t="str">
        <f>INDEX(Cronograma!AF$5:AF$11,MATCH($B70,Premissas!$A$39:$A$45,0))</f>
        <v/>
      </c>
      <c r="AH70" s="22" t="str">
        <f>INDEX(Cronograma!AG$5:AG$11,MATCH($B70,Premissas!$A$39:$A$45,0))</f>
        <v/>
      </c>
      <c r="AI70" s="22" t="str">
        <f>INDEX(Cronograma!AH$5:AH$11,MATCH($B70,Premissas!$A$39:$A$45,0))</f>
        <v/>
      </c>
      <c r="AJ70" s="22" t="str">
        <f>INDEX(Cronograma!AI$5:AI$11,MATCH($B70,Premissas!$A$39:$A$45,0))</f>
        <v/>
      </c>
      <c r="AK70" s="22" t="str">
        <f>INDEX(Cronograma!AJ$5:AJ$11,MATCH($B70,Premissas!$A$39:$A$45,0))</f>
        <v/>
      </c>
      <c r="AL70" s="22" t="str">
        <f>INDEX(Cronograma!AK$5:AK$11,MATCH($B70,Premissas!$A$39:$A$45,0))</f>
        <v/>
      </c>
      <c r="AM70" s="22" t="str">
        <f>INDEX(Cronograma!AL$5:AL$11,MATCH($B70,Premissas!$A$39:$A$45,0))</f>
        <v/>
      </c>
      <c r="AN70" s="22" t="str">
        <f>INDEX(Cronograma!AM$5:AM$11,MATCH($B70,Premissas!$A$39:$A$45,0))</f>
        <v/>
      </c>
      <c r="AO70" s="22" t="str">
        <f>INDEX(Cronograma!AN$5:AN$11,MATCH($B70,Premissas!$A$39:$A$45,0))</f>
        <v/>
      </c>
      <c r="AP70" s="22" t="str">
        <f>INDEX(Cronograma!AO$5:AO$11,MATCH($B70,Premissas!$A$39:$A$45,0))</f>
        <v>S</v>
      </c>
      <c r="AQ70" s="22" t="str">
        <f>INDEX(Cronograma!AP$5:AP$11,MATCH($B70,Premissas!$A$39:$A$45,0))</f>
        <v/>
      </c>
      <c r="AR70" s="22" t="str">
        <f>INDEX(Cronograma!AQ$5:AQ$11,MATCH($B70,Premissas!$A$39:$A$45,0))</f>
        <v/>
      </c>
      <c r="AS70" s="22" t="str">
        <f>INDEX(Cronograma!AR$5:AR$11,MATCH($B70,Premissas!$A$39:$A$45,0))</f>
        <v/>
      </c>
      <c r="AT70" s="22" t="str">
        <f>INDEX(Cronograma!AS$5:AS$11,MATCH($B70,Premissas!$A$39:$A$45,0))</f>
        <v/>
      </c>
      <c r="AU70" s="22" t="str">
        <f>INDEX(Cronograma!AT$5:AT$11,MATCH($B70,Premissas!$A$39:$A$45,0))</f>
        <v/>
      </c>
      <c r="AV70" s="22" t="str">
        <f>INDEX(Cronograma!AU$5:AU$11,MATCH($B70,Premissas!$A$39:$A$45,0))</f>
        <v/>
      </c>
      <c r="AW70" s="22" t="str">
        <f>INDEX(Cronograma!AV$5:AV$11,MATCH($B70,Premissas!$A$39:$A$45,0))</f>
        <v/>
      </c>
      <c r="AX70" s="22" t="str">
        <f>INDEX(Cronograma!AW$5:AW$11,MATCH($B70,Premissas!$A$39:$A$45,0))</f>
        <v/>
      </c>
      <c r="AY70" s="22" t="str">
        <f>INDEX(Cronograma!AX$5:AX$11,MATCH($B70,Premissas!$A$39:$A$45,0))</f>
        <v/>
      </c>
      <c r="AZ70" s="22" t="str">
        <f>INDEX(Cronograma!AY$5:AY$11,MATCH($B70,Premissas!$A$39:$A$45,0))</f>
        <v/>
      </c>
      <c r="BA70" s="22" t="str">
        <f>INDEX(Cronograma!AZ$5:AZ$11,MATCH($B70,Premissas!$A$39:$A$45,0))</f>
        <v/>
      </c>
      <c r="BB70" s="22" t="str">
        <f>INDEX(Cronograma!BA$5:BA$11,MATCH($B70,Premissas!$A$39:$A$45,0))</f>
        <v/>
      </c>
    </row>
    <row r="71" spans="1:54" ht="15" customHeight="1" x14ac:dyDescent="0.4">
      <c r="A71" s="15" t="str">
        <f>Frota!$B71&amp;" — "&amp;Frota!$A71</f>
        <v>Volvo FM 480 — 101159</v>
      </c>
      <c r="B71" s="16" t="str">
        <f>Frota!$C71</f>
        <v>Caminhão</v>
      </c>
      <c r="C71" s="22" t="str">
        <f>INDEX(Cronograma!B$5:B$11,MATCH($B71,Premissas!$A$39:$A$45,0))</f>
        <v/>
      </c>
      <c r="D71" s="22" t="str">
        <f>INDEX(Cronograma!C$5:C$11,MATCH($B71,Premissas!$A$39:$A$45,0))</f>
        <v/>
      </c>
      <c r="E71" s="22" t="str">
        <f>INDEX(Cronograma!D$5:D$11,MATCH($B71,Premissas!$A$39:$A$45,0))</f>
        <v/>
      </c>
      <c r="F71" s="22" t="str">
        <f>INDEX(Cronograma!E$5:E$11,MATCH($B71,Premissas!$A$39:$A$45,0))</f>
        <v/>
      </c>
      <c r="G71" s="22" t="str">
        <f>INDEX(Cronograma!F$5:F$11,MATCH($B71,Premissas!$A$39:$A$45,0))</f>
        <v/>
      </c>
      <c r="H71" s="22" t="str">
        <f>INDEX(Cronograma!G$5:G$11,MATCH($B71,Premissas!$A$39:$A$45,0))</f>
        <v/>
      </c>
      <c r="I71" s="22" t="str">
        <f>INDEX(Cronograma!H$5:H$11,MATCH($B71,Premissas!$A$39:$A$45,0))</f>
        <v>S</v>
      </c>
      <c r="J71" s="22" t="str">
        <f>INDEX(Cronograma!I$5:I$11,MATCH($B71,Premissas!$A$39:$A$45,0))</f>
        <v/>
      </c>
      <c r="K71" s="22" t="str">
        <f>INDEX(Cronograma!J$5:J$11,MATCH($B71,Premissas!$A$39:$A$45,0))</f>
        <v/>
      </c>
      <c r="L71" s="22" t="str">
        <f>INDEX(Cronograma!K$5:K$11,MATCH($B71,Premissas!$A$39:$A$45,0))</f>
        <v/>
      </c>
      <c r="M71" s="22" t="str">
        <f>INDEX(Cronograma!L$5:L$11,MATCH($B71,Premissas!$A$39:$A$45,0))</f>
        <v/>
      </c>
      <c r="N71" s="22" t="str">
        <f>INDEX(Cronograma!M$5:M$11,MATCH($B71,Premissas!$A$39:$A$45,0))</f>
        <v/>
      </c>
      <c r="O71" s="22" t="str">
        <f>INDEX(Cronograma!N$5:N$11,MATCH($B71,Premissas!$A$39:$A$45,0))</f>
        <v/>
      </c>
      <c r="P71" s="22" t="str">
        <f>INDEX(Cronograma!O$5:O$11,MATCH($B71,Premissas!$A$39:$A$45,0))</f>
        <v>A</v>
      </c>
      <c r="Q71" s="22" t="str">
        <f>INDEX(Cronograma!P$5:P$11,MATCH($B71,Premissas!$A$39:$A$45,0))</f>
        <v/>
      </c>
      <c r="R71" s="22" t="str">
        <f>INDEX(Cronograma!Q$5:Q$11,MATCH($B71,Premissas!$A$39:$A$45,0))</f>
        <v/>
      </c>
      <c r="S71" s="22" t="str">
        <f>INDEX(Cronograma!R$5:R$11,MATCH($B71,Premissas!$A$39:$A$45,0))</f>
        <v/>
      </c>
      <c r="T71" s="22" t="str">
        <f>INDEX(Cronograma!S$5:S$11,MATCH($B71,Premissas!$A$39:$A$45,0))</f>
        <v/>
      </c>
      <c r="U71" s="22" t="str">
        <f>INDEX(Cronograma!T$5:T$11,MATCH($B71,Premissas!$A$39:$A$45,0))</f>
        <v/>
      </c>
      <c r="V71" s="22" t="str">
        <f>INDEX(Cronograma!U$5:U$11,MATCH($B71,Premissas!$A$39:$A$45,0))</f>
        <v>S</v>
      </c>
      <c r="W71" s="22" t="str">
        <f>INDEX(Cronograma!V$5:V$11,MATCH($B71,Premissas!$A$39:$A$45,0))</f>
        <v/>
      </c>
      <c r="X71" s="22" t="str">
        <f>INDEX(Cronograma!W$5:W$11,MATCH($B71,Premissas!$A$39:$A$45,0))</f>
        <v/>
      </c>
      <c r="Y71" s="22" t="str">
        <f>INDEX(Cronograma!X$5:X$11,MATCH($B71,Premissas!$A$39:$A$45,0))</f>
        <v/>
      </c>
      <c r="Z71" s="22" t="str">
        <f>INDEX(Cronograma!Y$5:Y$11,MATCH($B71,Premissas!$A$39:$A$45,0))</f>
        <v/>
      </c>
      <c r="AA71" s="22" t="str">
        <f>INDEX(Cronograma!Z$5:Z$11,MATCH($B71,Premissas!$A$39:$A$45,0))</f>
        <v/>
      </c>
      <c r="AB71" s="22" t="str">
        <f>INDEX(Cronograma!AA$5:AA$11,MATCH($B71,Premissas!$A$39:$A$45,0))</f>
        <v/>
      </c>
      <c r="AC71" s="22" t="str">
        <f>INDEX(Cronograma!AB$5:AB$11,MATCH($B71,Premissas!$A$39:$A$45,0))</f>
        <v>B</v>
      </c>
      <c r="AD71" s="22" t="str">
        <f>INDEX(Cronograma!AC$5:AC$11,MATCH($B71,Premissas!$A$39:$A$45,0))</f>
        <v/>
      </c>
      <c r="AE71" s="22" t="str">
        <f>INDEX(Cronograma!AD$5:AD$11,MATCH($B71,Premissas!$A$39:$A$45,0))</f>
        <v/>
      </c>
      <c r="AF71" s="22" t="str">
        <f>INDEX(Cronograma!AE$5:AE$11,MATCH($B71,Premissas!$A$39:$A$45,0))</f>
        <v/>
      </c>
      <c r="AG71" s="22" t="str">
        <f>INDEX(Cronograma!AF$5:AF$11,MATCH($B71,Premissas!$A$39:$A$45,0))</f>
        <v/>
      </c>
      <c r="AH71" s="22" t="str">
        <f>INDEX(Cronograma!AG$5:AG$11,MATCH($B71,Premissas!$A$39:$A$45,0))</f>
        <v/>
      </c>
      <c r="AI71" s="22" t="str">
        <f>INDEX(Cronograma!AH$5:AH$11,MATCH($B71,Premissas!$A$39:$A$45,0))</f>
        <v/>
      </c>
      <c r="AJ71" s="22" t="str">
        <f>INDEX(Cronograma!AI$5:AI$11,MATCH($B71,Premissas!$A$39:$A$45,0))</f>
        <v/>
      </c>
      <c r="AK71" s="22" t="str">
        <f>INDEX(Cronograma!AJ$5:AJ$11,MATCH($B71,Premissas!$A$39:$A$45,0))</f>
        <v/>
      </c>
      <c r="AL71" s="22" t="str">
        <f>INDEX(Cronograma!AK$5:AK$11,MATCH($B71,Premissas!$A$39:$A$45,0))</f>
        <v/>
      </c>
      <c r="AM71" s="22" t="str">
        <f>INDEX(Cronograma!AL$5:AL$11,MATCH($B71,Premissas!$A$39:$A$45,0))</f>
        <v/>
      </c>
      <c r="AN71" s="22" t="str">
        <f>INDEX(Cronograma!AM$5:AM$11,MATCH($B71,Premissas!$A$39:$A$45,0))</f>
        <v/>
      </c>
      <c r="AO71" s="22" t="str">
        <f>INDEX(Cronograma!AN$5:AN$11,MATCH($B71,Premissas!$A$39:$A$45,0))</f>
        <v/>
      </c>
      <c r="AP71" s="22" t="str">
        <f>INDEX(Cronograma!AO$5:AO$11,MATCH($B71,Premissas!$A$39:$A$45,0))</f>
        <v>S</v>
      </c>
      <c r="AQ71" s="22" t="str">
        <f>INDEX(Cronograma!AP$5:AP$11,MATCH($B71,Premissas!$A$39:$A$45,0))</f>
        <v/>
      </c>
      <c r="AR71" s="22" t="str">
        <f>INDEX(Cronograma!AQ$5:AQ$11,MATCH($B71,Premissas!$A$39:$A$45,0))</f>
        <v/>
      </c>
      <c r="AS71" s="22" t="str">
        <f>INDEX(Cronograma!AR$5:AR$11,MATCH($B71,Premissas!$A$39:$A$45,0))</f>
        <v/>
      </c>
      <c r="AT71" s="22" t="str">
        <f>INDEX(Cronograma!AS$5:AS$11,MATCH($B71,Premissas!$A$39:$A$45,0))</f>
        <v/>
      </c>
      <c r="AU71" s="22" t="str">
        <f>INDEX(Cronograma!AT$5:AT$11,MATCH($B71,Premissas!$A$39:$A$45,0))</f>
        <v/>
      </c>
      <c r="AV71" s="22" t="str">
        <f>INDEX(Cronograma!AU$5:AU$11,MATCH($B71,Premissas!$A$39:$A$45,0))</f>
        <v/>
      </c>
      <c r="AW71" s="22" t="str">
        <f>INDEX(Cronograma!AV$5:AV$11,MATCH($B71,Premissas!$A$39:$A$45,0))</f>
        <v/>
      </c>
      <c r="AX71" s="22" t="str">
        <f>INDEX(Cronograma!AW$5:AW$11,MATCH($B71,Premissas!$A$39:$A$45,0))</f>
        <v/>
      </c>
      <c r="AY71" s="22" t="str">
        <f>INDEX(Cronograma!AX$5:AX$11,MATCH($B71,Premissas!$A$39:$A$45,0))</f>
        <v/>
      </c>
      <c r="AZ71" s="22" t="str">
        <f>INDEX(Cronograma!AY$5:AY$11,MATCH($B71,Premissas!$A$39:$A$45,0))</f>
        <v/>
      </c>
      <c r="BA71" s="22" t="str">
        <f>INDEX(Cronograma!AZ$5:AZ$11,MATCH($B71,Premissas!$A$39:$A$45,0))</f>
        <v/>
      </c>
      <c r="BB71" s="22" t="str">
        <f>INDEX(Cronograma!BA$5:BA$11,MATCH($B71,Premissas!$A$39:$A$45,0))</f>
        <v/>
      </c>
    </row>
    <row r="72" spans="1:54" ht="15" customHeight="1" x14ac:dyDescent="0.4">
      <c r="A72" s="15" t="str">
        <f>Frota!$B72&amp;" — "&amp;Frota!$A72</f>
        <v>MB 2318 6x2 — 101160</v>
      </c>
      <c r="B72" s="16" t="str">
        <f>Frota!$C72</f>
        <v>Caminhão</v>
      </c>
      <c r="C72" s="22" t="str">
        <f>INDEX(Cronograma!B$5:B$11,MATCH($B72,Premissas!$A$39:$A$45,0))</f>
        <v/>
      </c>
      <c r="D72" s="22" t="str">
        <f>INDEX(Cronograma!C$5:C$11,MATCH($B72,Premissas!$A$39:$A$45,0))</f>
        <v/>
      </c>
      <c r="E72" s="22" t="str">
        <f>INDEX(Cronograma!D$5:D$11,MATCH($B72,Premissas!$A$39:$A$45,0))</f>
        <v/>
      </c>
      <c r="F72" s="22" t="str">
        <f>INDEX(Cronograma!E$5:E$11,MATCH($B72,Premissas!$A$39:$A$45,0))</f>
        <v/>
      </c>
      <c r="G72" s="22" t="str">
        <f>INDEX(Cronograma!F$5:F$11,MATCH($B72,Premissas!$A$39:$A$45,0))</f>
        <v/>
      </c>
      <c r="H72" s="22" t="str">
        <f>INDEX(Cronograma!G$5:G$11,MATCH($B72,Premissas!$A$39:$A$45,0))</f>
        <v/>
      </c>
      <c r="I72" s="22" t="str">
        <f>INDEX(Cronograma!H$5:H$11,MATCH($B72,Premissas!$A$39:$A$45,0))</f>
        <v>S</v>
      </c>
      <c r="J72" s="22" t="str">
        <f>INDEX(Cronograma!I$5:I$11,MATCH($B72,Premissas!$A$39:$A$45,0))</f>
        <v/>
      </c>
      <c r="K72" s="22" t="str">
        <f>INDEX(Cronograma!J$5:J$11,MATCH($B72,Premissas!$A$39:$A$45,0))</f>
        <v/>
      </c>
      <c r="L72" s="22" t="str">
        <f>INDEX(Cronograma!K$5:K$11,MATCH($B72,Premissas!$A$39:$A$45,0))</f>
        <v/>
      </c>
      <c r="M72" s="22" t="str">
        <f>INDEX(Cronograma!L$5:L$11,MATCH($B72,Premissas!$A$39:$A$45,0))</f>
        <v/>
      </c>
      <c r="N72" s="22" t="str">
        <f>INDEX(Cronograma!M$5:M$11,MATCH($B72,Premissas!$A$39:$A$45,0))</f>
        <v/>
      </c>
      <c r="O72" s="22" t="str">
        <f>INDEX(Cronograma!N$5:N$11,MATCH($B72,Premissas!$A$39:$A$45,0))</f>
        <v/>
      </c>
      <c r="P72" s="22" t="str">
        <f>INDEX(Cronograma!O$5:O$11,MATCH($B72,Premissas!$A$39:$A$45,0))</f>
        <v>A</v>
      </c>
      <c r="Q72" s="22" t="str">
        <f>INDEX(Cronograma!P$5:P$11,MATCH($B72,Premissas!$A$39:$A$45,0))</f>
        <v/>
      </c>
      <c r="R72" s="22" t="str">
        <f>INDEX(Cronograma!Q$5:Q$11,MATCH($B72,Premissas!$A$39:$A$45,0))</f>
        <v/>
      </c>
      <c r="S72" s="22" t="str">
        <f>INDEX(Cronograma!R$5:R$11,MATCH($B72,Premissas!$A$39:$A$45,0))</f>
        <v/>
      </c>
      <c r="T72" s="22" t="str">
        <f>INDEX(Cronograma!S$5:S$11,MATCH($B72,Premissas!$A$39:$A$45,0))</f>
        <v/>
      </c>
      <c r="U72" s="22" t="str">
        <f>INDEX(Cronograma!T$5:T$11,MATCH($B72,Premissas!$A$39:$A$45,0))</f>
        <v/>
      </c>
      <c r="V72" s="22" t="str">
        <f>INDEX(Cronograma!U$5:U$11,MATCH($B72,Premissas!$A$39:$A$45,0))</f>
        <v>S</v>
      </c>
      <c r="W72" s="22" t="str">
        <f>INDEX(Cronograma!V$5:V$11,MATCH($B72,Premissas!$A$39:$A$45,0))</f>
        <v/>
      </c>
      <c r="X72" s="22" t="str">
        <f>INDEX(Cronograma!W$5:W$11,MATCH($B72,Premissas!$A$39:$A$45,0))</f>
        <v/>
      </c>
      <c r="Y72" s="22" t="str">
        <f>INDEX(Cronograma!X$5:X$11,MATCH($B72,Premissas!$A$39:$A$45,0))</f>
        <v/>
      </c>
      <c r="Z72" s="22" t="str">
        <f>INDEX(Cronograma!Y$5:Y$11,MATCH($B72,Premissas!$A$39:$A$45,0))</f>
        <v/>
      </c>
      <c r="AA72" s="22" t="str">
        <f>INDEX(Cronograma!Z$5:Z$11,MATCH($B72,Premissas!$A$39:$A$45,0))</f>
        <v/>
      </c>
      <c r="AB72" s="22" t="str">
        <f>INDEX(Cronograma!AA$5:AA$11,MATCH($B72,Premissas!$A$39:$A$45,0))</f>
        <v/>
      </c>
      <c r="AC72" s="22" t="str">
        <f>INDEX(Cronograma!AB$5:AB$11,MATCH($B72,Premissas!$A$39:$A$45,0))</f>
        <v>B</v>
      </c>
      <c r="AD72" s="22" t="str">
        <f>INDEX(Cronograma!AC$5:AC$11,MATCH($B72,Premissas!$A$39:$A$45,0))</f>
        <v/>
      </c>
      <c r="AE72" s="22" t="str">
        <f>INDEX(Cronograma!AD$5:AD$11,MATCH($B72,Premissas!$A$39:$A$45,0))</f>
        <v/>
      </c>
      <c r="AF72" s="22" t="str">
        <f>INDEX(Cronograma!AE$5:AE$11,MATCH($B72,Premissas!$A$39:$A$45,0))</f>
        <v/>
      </c>
      <c r="AG72" s="22" t="str">
        <f>INDEX(Cronograma!AF$5:AF$11,MATCH($B72,Premissas!$A$39:$A$45,0))</f>
        <v/>
      </c>
      <c r="AH72" s="22" t="str">
        <f>INDEX(Cronograma!AG$5:AG$11,MATCH($B72,Premissas!$A$39:$A$45,0))</f>
        <v/>
      </c>
      <c r="AI72" s="22" t="str">
        <f>INDEX(Cronograma!AH$5:AH$11,MATCH($B72,Premissas!$A$39:$A$45,0))</f>
        <v/>
      </c>
      <c r="AJ72" s="22" t="str">
        <f>INDEX(Cronograma!AI$5:AI$11,MATCH($B72,Premissas!$A$39:$A$45,0))</f>
        <v/>
      </c>
      <c r="AK72" s="22" t="str">
        <f>INDEX(Cronograma!AJ$5:AJ$11,MATCH($B72,Premissas!$A$39:$A$45,0))</f>
        <v/>
      </c>
      <c r="AL72" s="22" t="str">
        <f>INDEX(Cronograma!AK$5:AK$11,MATCH($B72,Premissas!$A$39:$A$45,0))</f>
        <v/>
      </c>
      <c r="AM72" s="22" t="str">
        <f>INDEX(Cronograma!AL$5:AL$11,MATCH($B72,Premissas!$A$39:$A$45,0))</f>
        <v/>
      </c>
      <c r="AN72" s="22" t="str">
        <f>INDEX(Cronograma!AM$5:AM$11,MATCH($B72,Premissas!$A$39:$A$45,0))</f>
        <v/>
      </c>
      <c r="AO72" s="22" t="str">
        <f>INDEX(Cronograma!AN$5:AN$11,MATCH($B72,Premissas!$A$39:$A$45,0))</f>
        <v/>
      </c>
      <c r="AP72" s="22" t="str">
        <f>INDEX(Cronograma!AO$5:AO$11,MATCH($B72,Premissas!$A$39:$A$45,0))</f>
        <v>S</v>
      </c>
      <c r="AQ72" s="22" t="str">
        <f>INDEX(Cronograma!AP$5:AP$11,MATCH($B72,Premissas!$A$39:$A$45,0))</f>
        <v/>
      </c>
      <c r="AR72" s="22" t="str">
        <f>INDEX(Cronograma!AQ$5:AQ$11,MATCH($B72,Premissas!$A$39:$A$45,0))</f>
        <v/>
      </c>
      <c r="AS72" s="22" t="str">
        <f>INDEX(Cronograma!AR$5:AR$11,MATCH($B72,Premissas!$A$39:$A$45,0))</f>
        <v/>
      </c>
      <c r="AT72" s="22" t="str">
        <f>INDEX(Cronograma!AS$5:AS$11,MATCH($B72,Premissas!$A$39:$A$45,0))</f>
        <v/>
      </c>
      <c r="AU72" s="22" t="str">
        <f>INDEX(Cronograma!AT$5:AT$11,MATCH($B72,Premissas!$A$39:$A$45,0))</f>
        <v/>
      </c>
      <c r="AV72" s="22" t="str">
        <f>INDEX(Cronograma!AU$5:AU$11,MATCH($B72,Premissas!$A$39:$A$45,0))</f>
        <v/>
      </c>
      <c r="AW72" s="22" t="str">
        <f>INDEX(Cronograma!AV$5:AV$11,MATCH($B72,Premissas!$A$39:$A$45,0))</f>
        <v/>
      </c>
      <c r="AX72" s="22" t="str">
        <f>INDEX(Cronograma!AW$5:AW$11,MATCH($B72,Premissas!$A$39:$A$45,0))</f>
        <v/>
      </c>
      <c r="AY72" s="22" t="str">
        <f>INDEX(Cronograma!AX$5:AX$11,MATCH($B72,Premissas!$A$39:$A$45,0))</f>
        <v/>
      </c>
      <c r="AZ72" s="22" t="str">
        <f>INDEX(Cronograma!AY$5:AY$11,MATCH($B72,Premissas!$A$39:$A$45,0))</f>
        <v/>
      </c>
      <c r="BA72" s="22" t="str">
        <f>INDEX(Cronograma!AZ$5:AZ$11,MATCH($B72,Premissas!$A$39:$A$45,0))</f>
        <v/>
      </c>
      <c r="BB72" s="22" t="str">
        <f>INDEX(Cronograma!BA$5:BA$11,MATCH($B72,Premissas!$A$39:$A$45,0))</f>
        <v/>
      </c>
    </row>
    <row r="73" spans="1:54" ht="15" customHeight="1" x14ac:dyDescent="0.4">
      <c r="A73" s="15" t="str">
        <f>Frota!$B73&amp;" — "&amp;Frota!$A73</f>
        <v>MB 3344 6x4 — 101162</v>
      </c>
      <c r="B73" s="16" t="str">
        <f>Frota!$C73</f>
        <v>Caminhão</v>
      </c>
      <c r="C73" s="22" t="str">
        <f>INDEX(Cronograma!B$5:B$11,MATCH($B73,Premissas!$A$39:$A$45,0))</f>
        <v/>
      </c>
      <c r="D73" s="22" t="str">
        <f>INDEX(Cronograma!C$5:C$11,MATCH($B73,Premissas!$A$39:$A$45,0))</f>
        <v/>
      </c>
      <c r="E73" s="22" t="str">
        <f>INDEX(Cronograma!D$5:D$11,MATCH($B73,Premissas!$A$39:$A$45,0))</f>
        <v/>
      </c>
      <c r="F73" s="22" t="str">
        <f>INDEX(Cronograma!E$5:E$11,MATCH($B73,Premissas!$A$39:$A$45,0))</f>
        <v/>
      </c>
      <c r="G73" s="22" t="str">
        <f>INDEX(Cronograma!F$5:F$11,MATCH($B73,Premissas!$A$39:$A$45,0))</f>
        <v/>
      </c>
      <c r="H73" s="22" t="str">
        <f>INDEX(Cronograma!G$5:G$11,MATCH($B73,Premissas!$A$39:$A$45,0))</f>
        <v/>
      </c>
      <c r="I73" s="22" t="str">
        <f>INDEX(Cronograma!H$5:H$11,MATCH($B73,Premissas!$A$39:$A$45,0))</f>
        <v>S</v>
      </c>
      <c r="J73" s="22" t="str">
        <f>INDEX(Cronograma!I$5:I$11,MATCH($B73,Premissas!$A$39:$A$45,0))</f>
        <v/>
      </c>
      <c r="K73" s="22" t="str">
        <f>INDEX(Cronograma!J$5:J$11,MATCH($B73,Premissas!$A$39:$A$45,0))</f>
        <v/>
      </c>
      <c r="L73" s="22" t="str">
        <f>INDEX(Cronograma!K$5:K$11,MATCH($B73,Premissas!$A$39:$A$45,0))</f>
        <v/>
      </c>
      <c r="M73" s="22" t="str">
        <f>INDEX(Cronograma!L$5:L$11,MATCH($B73,Premissas!$A$39:$A$45,0))</f>
        <v/>
      </c>
      <c r="N73" s="22" t="str">
        <f>INDEX(Cronograma!M$5:M$11,MATCH($B73,Premissas!$A$39:$A$45,0))</f>
        <v/>
      </c>
      <c r="O73" s="22" t="str">
        <f>INDEX(Cronograma!N$5:N$11,MATCH($B73,Premissas!$A$39:$A$45,0))</f>
        <v/>
      </c>
      <c r="P73" s="22" t="str">
        <f>INDEX(Cronograma!O$5:O$11,MATCH($B73,Premissas!$A$39:$A$45,0))</f>
        <v>A</v>
      </c>
      <c r="Q73" s="22" t="str">
        <f>INDEX(Cronograma!P$5:P$11,MATCH($B73,Premissas!$A$39:$A$45,0))</f>
        <v/>
      </c>
      <c r="R73" s="22" t="str">
        <f>INDEX(Cronograma!Q$5:Q$11,MATCH($B73,Premissas!$A$39:$A$45,0))</f>
        <v/>
      </c>
      <c r="S73" s="22" t="str">
        <f>INDEX(Cronograma!R$5:R$11,MATCH($B73,Premissas!$A$39:$A$45,0))</f>
        <v/>
      </c>
      <c r="T73" s="22" t="str">
        <f>INDEX(Cronograma!S$5:S$11,MATCH($B73,Premissas!$A$39:$A$45,0))</f>
        <v/>
      </c>
      <c r="U73" s="22" t="str">
        <f>INDEX(Cronograma!T$5:T$11,MATCH($B73,Premissas!$A$39:$A$45,0))</f>
        <v/>
      </c>
      <c r="V73" s="22" t="str">
        <f>INDEX(Cronograma!U$5:U$11,MATCH($B73,Premissas!$A$39:$A$45,0))</f>
        <v>S</v>
      </c>
      <c r="W73" s="22" t="str">
        <f>INDEX(Cronograma!V$5:V$11,MATCH($B73,Premissas!$A$39:$A$45,0))</f>
        <v/>
      </c>
      <c r="X73" s="22" t="str">
        <f>INDEX(Cronograma!W$5:W$11,MATCH($B73,Premissas!$A$39:$A$45,0))</f>
        <v/>
      </c>
      <c r="Y73" s="22" t="str">
        <f>INDEX(Cronograma!X$5:X$11,MATCH($B73,Premissas!$A$39:$A$45,0))</f>
        <v/>
      </c>
      <c r="Z73" s="22" t="str">
        <f>INDEX(Cronograma!Y$5:Y$11,MATCH($B73,Premissas!$A$39:$A$45,0))</f>
        <v/>
      </c>
      <c r="AA73" s="22" t="str">
        <f>INDEX(Cronograma!Z$5:Z$11,MATCH($B73,Premissas!$A$39:$A$45,0))</f>
        <v/>
      </c>
      <c r="AB73" s="22" t="str">
        <f>INDEX(Cronograma!AA$5:AA$11,MATCH($B73,Premissas!$A$39:$A$45,0))</f>
        <v/>
      </c>
      <c r="AC73" s="22" t="str">
        <f>INDEX(Cronograma!AB$5:AB$11,MATCH($B73,Premissas!$A$39:$A$45,0))</f>
        <v>B</v>
      </c>
      <c r="AD73" s="22" t="str">
        <f>INDEX(Cronograma!AC$5:AC$11,MATCH($B73,Premissas!$A$39:$A$45,0))</f>
        <v/>
      </c>
      <c r="AE73" s="22" t="str">
        <f>INDEX(Cronograma!AD$5:AD$11,MATCH($B73,Premissas!$A$39:$A$45,0))</f>
        <v/>
      </c>
      <c r="AF73" s="22" t="str">
        <f>INDEX(Cronograma!AE$5:AE$11,MATCH($B73,Premissas!$A$39:$A$45,0))</f>
        <v/>
      </c>
      <c r="AG73" s="22" t="str">
        <f>INDEX(Cronograma!AF$5:AF$11,MATCH($B73,Premissas!$A$39:$A$45,0))</f>
        <v/>
      </c>
      <c r="AH73" s="22" t="str">
        <f>INDEX(Cronograma!AG$5:AG$11,MATCH($B73,Premissas!$A$39:$A$45,0))</f>
        <v/>
      </c>
      <c r="AI73" s="22" t="str">
        <f>INDEX(Cronograma!AH$5:AH$11,MATCH($B73,Premissas!$A$39:$A$45,0))</f>
        <v/>
      </c>
      <c r="AJ73" s="22" t="str">
        <f>INDEX(Cronograma!AI$5:AI$11,MATCH($B73,Premissas!$A$39:$A$45,0))</f>
        <v/>
      </c>
      <c r="AK73" s="22" t="str">
        <f>INDEX(Cronograma!AJ$5:AJ$11,MATCH($B73,Premissas!$A$39:$A$45,0))</f>
        <v/>
      </c>
      <c r="AL73" s="22" t="str">
        <f>INDEX(Cronograma!AK$5:AK$11,MATCH($B73,Premissas!$A$39:$A$45,0))</f>
        <v/>
      </c>
      <c r="AM73" s="22" t="str">
        <f>INDEX(Cronograma!AL$5:AL$11,MATCH($B73,Premissas!$A$39:$A$45,0))</f>
        <v/>
      </c>
      <c r="AN73" s="22" t="str">
        <f>INDEX(Cronograma!AM$5:AM$11,MATCH($B73,Premissas!$A$39:$A$45,0))</f>
        <v/>
      </c>
      <c r="AO73" s="22" t="str">
        <f>INDEX(Cronograma!AN$5:AN$11,MATCH($B73,Premissas!$A$39:$A$45,0))</f>
        <v/>
      </c>
      <c r="AP73" s="22" t="str">
        <f>INDEX(Cronograma!AO$5:AO$11,MATCH($B73,Premissas!$A$39:$A$45,0))</f>
        <v>S</v>
      </c>
      <c r="AQ73" s="22" t="str">
        <f>INDEX(Cronograma!AP$5:AP$11,MATCH($B73,Premissas!$A$39:$A$45,0))</f>
        <v/>
      </c>
      <c r="AR73" s="22" t="str">
        <f>INDEX(Cronograma!AQ$5:AQ$11,MATCH($B73,Premissas!$A$39:$A$45,0))</f>
        <v/>
      </c>
      <c r="AS73" s="22" t="str">
        <f>INDEX(Cronograma!AR$5:AR$11,MATCH($B73,Premissas!$A$39:$A$45,0))</f>
        <v/>
      </c>
      <c r="AT73" s="22" t="str">
        <f>INDEX(Cronograma!AS$5:AS$11,MATCH($B73,Premissas!$A$39:$A$45,0))</f>
        <v/>
      </c>
      <c r="AU73" s="22" t="str">
        <f>INDEX(Cronograma!AT$5:AT$11,MATCH($B73,Premissas!$A$39:$A$45,0))</f>
        <v/>
      </c>
      <c r="AV73" s="22" t="str">
        <f>INDEX(Cronograma!AU$5:AU$11,MATCH($B73,Premissas!$A$39:$A$45,0))</f>
        <v/>
      </c>
      <c r="AW73" s="22" t="str">
        <f>INDEX(Cronograma!AV$5:AV$11,MATCH($B73,Premissas!$A$39:$A$45,0))</f>
        <v/>
      </c>
      <c r="AX73" s="22" t="str">
        <f>INDEX(Cronograma!AW$5:AW$11,MATCH($B73,Premissas!$A$39:$A$45,0))</f>
        <v/>
      </c>
      <c r="AY73" s="22" t="str">
        <f>INDEX(Cronograma!AX$5:AX$11,MATCH($B73,Premissas!$A$39:$A$45,0))</f>
        <v/>
      </c>
      <c r="AZ73" s="22" t="str">
        <f>INDEX(Cronograma!AY$5:AY$11,MATCH($B73,Premissas!$A$39:$A$45,0))</f>
        <v/>
      </c>
      <c r="BA73" s="22" t="str">
        <f>INDEX(Cronograma!AZ$5:AZ$11,MATCH($B73,Premissas!$A$39:$A$45,0))</f>
        <v/>
      </c>
      <c r="BB73" s="22" t="str">
        <f>INDEX(Cronograma!BA$5:BA$11,MATCH($B73,Premissas!$A$39:$A$45,0))</f>
        <v/>
      </c>
    </row>
    <row r="74" spans="1:54" ht="15" customHeight="1" x14ac:dyDescent="0.4">
      <c r="A74" s="15" t="str">
        <f>Frota!$B74&amp;" — "&amp;Frota!$A74</f>
        <v>MB 3344 6x4 — 101163</v>
      </c>
      <c r="B74" s="16" t="str">
        <f>Frota!$C74</f>
        <v>Caminhão</v>
      </c>
      <c r="C74" s="22" t="str">
        <f>INDEX(Cronograma!B$5:B$11,MATCH($B74,Premissas!$A$39:$A$45,0))</f>
        <v/>
      </c>
      <c r="D74" s="22" t="str">
        <f>INDEX(Cronograma!C$5:C$11,MATCH($B74,Premissas!$A$39:$A$45,0))</f>
        <v/>
      </c>
      <c r="E74" s="22" t="str">
        <f>INDEX(Cronograma!D$5:D$11,MATCH($B74,Premissas!$A$39:$A$45,0))</f>
        <v/>
      </c>
      <c r="F74" s="22" t="str">
        <f>INDEX(Cronograma!E$5:E$11,MATCH($B74,Premissas!$A$39:$A$45,0))</f>
        <v/>
      </c>
      <c r="G74" s="22" t="str">
        <f>INDEX(Cronograma!F$5:F$11,MATCH($B74,Premissas!$A$39:$A$45,0))</f>
        <v/>
      </c>
      <c r="H74" s="22" t="str">
        <f>INDEX(Cronograma!G$5:G$11,MATCH($B74,Premissas!$A$39:$A$45,0))</f>
        <v/>
      </c>
      <c r="I74" s="22" t="str">
        <f>INDEX(Cronograma!H$5:H$11,MATCH($B74,Premissas!$A$39:$A$45,0))</f>
        <v>S</v>
      </c>
      <c r="J74" s="22" t="str">
        <f>INDEX(Cronograma!I$5:I$11,MATCH($B74,Premissas!$A$39:$A$45,0))</f>
        <v/>
      </c>
      <c r="K74" s="22" t="str">
        <f>INDEX(Cronograma!J$5:J$11,MATCH($B74,Premissas!$A$39:$A$45,0))</f>
        <v/>
      </c>
      <c r="L74" s="22" t="str">
        <f>INDEX(Cronograma!K$5:K$11,MATCH($B74,Premissas!$A$39:$A$45,0))</f>
        <v/>
      </c>
      <c r="M74" s="22" t="str">
        <f>INDEX(Cronograma!L$5:L$11,MATCH($B74,Premissas!$A$39:$A$45,0))</f>
        <v/>
      </c>
      <c r="N74" s="22" t="str">
        <f>INDEX(Cronograma!M$5:M$11,MATCH($B74,Premissas!$A$39:$A$45,0))</f>
        <v/>
      </c>
      <c r="O74" s="22" t="str">
        <f>INDEX(Cronograma!N$5:N$11,MATCH($B74,Premissas!$A$39:$A$45,0))</f>
        <v/>
      </c>
      <c r="P74" s="22" t="str">
        <f>INDEX(Cronograma!O$5:O$11,MATCH($B74,Premissas!$A$39:$A$45,0))</f>
        <v>A</v>
      </c>
      <c r="Q74" s="22" t="str">
        <f>INDEX(Cronograma!P$5:P$11,MATCH($B74,Premissas!$A$39:$A$45,0))</f>
        <v/>
      </c>
      <c r="R74" s="22" t="str">
        <f>INDEX(Cronograma!Q$5:Q$11,MATCH($B74,Premissas!$A$39:$A$45,0))</f>
        <v/>
      </c>
      <c r="S74" s="22" t="str">
        <f>INDEX(Cronograma!R$5:R$11,MATCH($B74,Premissas!$A$39:$A$45,0))</f>
        <v/>
      </c>
      <c r="T74" s="22" t="str">
        <f>INDEX(Cronograma!S$5:S$11,MATCH($B74,Premissas!$A$39:$A$45,0))</f>
        <v/>
      </c>
      <c r="U74" s="22" t="str">
        <f>INDEX(Cronograma!T$5:T$11,MATCH($B74,Premissas!$A$39:$A$45,0))</f>
        <v/>
      </c>
      <c r="V74" s="22" t="str">
        <f>INDEX(Cronograma!U$5:U$11,MATCH($B74,Premissas!$A$39:$A$45,0))</f>
        <v>S</v>
      </c>
      <c r="W74" s="22" t="str">
        <f>INDEX(Cronograma!V$5:V$11,MATCH($B74,Premissas!$A$39:$A$45,0))</f>
        <v/>
      </c>
      <c r="X74" s="22" t="str">
        <f>INDEX(Cronograma!W$5:W$11,MATCH($B74,Premissas!$A$39:$A$45,0))</f>
        <v/>
      </c>
      <c r="Y74" s="22" t="str">
        <f>INDEX(Cronograma!X$5:X$11,MATCH($B74,Premissas!$A$39:$A$45,0))</f>
        <v/>
      </c>
      <c r="Z74" s="22" t="str">
        <f>INDEX(Cronograma!Y$5:Y$11,MATCH($B74,Premissas!$A$39:$A$45,0))</f>
        <v/>
      </c>
      <c r="AA74" s="22" t="str">
        <f>INDEX(Cronograma!Z$5:Z$11,MATCH($B74,Premissas!$A$39:$A$45,0))</f>
        <v/>
      </c>
      <c r="AB74" s="22" t="str">
        <f>INDEX(Cronograma!AA$5:AA$11,MATCH($B74,Premissas!$A$39:$A$45,0))</f>
        <v/>
      </c>
      <c r="AC74" s="22" t="str">
        <f>INDEX(Cronograma!AB$5:AB$11,MATCH($B74,Premissas!$A$39:$A$45,0))</f>
        <v>B</v>
      </c>
      <c r="AD74" s="22" t="str">
        <f>INDEX(Cronograma!AC$5:AC$11,MATCH($B74,Premissas!$A$39:$A$45,0))</f>
        <v/>
      </c>
      <c r="AE74" s="22" t="str">
        <f>INDEX(Cronograma!AD$5:AD$11,MATCH($B74,Premissas!$A$39:$A$45,0))</f>
        <v/>
      </c>
      <c r="AF74" s="22" t="str">
        <f>INDEX(Cronograma!AE$5:AE$11,MATCH($B74,Premissas!$A$39:$A$45,0))</f>
        <v/>
      </c>
      <c r="AG74" s="22" t="str">
        <f>INDEX(Cronograma!AF$5:AF$11,MATCH($B74,Premissas!$A$39:$A$45,0))</f>
        <v/>
      </c>
      <c r="AH74" s="22" t="str">
        <f>INDEX(Cronograma!AG$5:AG$11,MATCH($B74,Premissas!$A$39:$A$45,0))</f>
        <v/>
      </c>
      <c r="AI74" s="22" t="str">
        <f>INDEX(Cronograma!AH$5:AH$11,MATCH($B74,Premissas!$A$39:$A$45,0))</f>
        <v/>
      </c>
      <c r="AJ74" s="22" t="str">
        <f>INDEX(Cronograma!AI$5:AI$11,MATCH($B74,Premissas!$A$39:$A$45,0))</f>
        <v/>
      </c>
      <c r="AK74" s="22" t="str">
        <f>INDEX(Cronograma!AJ$5:AJ$11,MATCH($B74,Premissas!$A$39:$A$45,0))</f>
        <v/>
      </c>
      <c r="AL74" s="22" t="str">
        <f>INDEX(Cronograma!AK$5:AK$11,MATCH($B74,Premissas!$A$39:$A$45,0))</f>
        <v/>
      </c>
      <c r="AM74" s="22" t="str">
        <f>INDEX(Cronograma!AL$5:AL$11,MATCH($B74,Premissas!$A$39:$A$45,0))</f>
        <v/>
      </c>
      <c r="AN74" s="22" t="str">
        <f>INDEX(Cronograma!AM$5:AM$11,MATCH($B74,Premissas!$A$39:$A$45,0))</f>
        <v/>
      </c>
      <c r="AO74" s="22" t="str">
        <f>INDEX(Cronograma!AN$5:AN$11,MATCH($B74,Premissas!$A$39:$A$45,0))</f>
        <v/>
      </c>
      <c r="AP74" s="22" t="str">
        <f>INDEX(Cronograma!AO$5:AO$11,MATCH($B74,Premissas!$A$39:$A$45,0))</f>
        <v>S</v>
      </c>
      <c r="AQ74" s="22" t="str">
        <f>INDEX(Cronograma!AP$5:AP$11,MATCH($B74,Premissas!$A$39:$A$45,0))</f>
        <v/>
      </c>
      <c r="AR74" s="22" t="str">
        <f>INDEX(Cronograma!AQ$5:AQ$11,MATCH($B74,Premissas!$A$39:$A$45,0))</f>
        <v/>
      </c>
      <c r="AS74" s="22" t="str">
        <f>INDEX(Cronograma!AR$5:AR$11,MATCH($B74,Premissas!$A$39:$A$45,0))</f>
        <v/>
      </c>
      <c r="AT74" s="22" t="str">
        <f>INDEX(Cronograma!AS$5:AS$11,MATCH($B74,Premissas!$A$39:$A$45,0))</f>
        <v/>
      </c>
      <c r="AU74" s="22" t="str">
        <f>INDEX(Cronograma!AT$5:AT$11,MATCH($B74,Premissas!$A$39:$A$45,0))</f>
        <v/>
      </c>
      <c r="AV74" s="22" t="str">
        <f>INDEX(Cronograma!AU$5:AU$11,MATCH($B74,Premissas!$A$39:$A$45,0))</f>
        <v/>
      </c>
      <c r="AW74" s="22" t="str">
        <f>INDEX(Cronograma!AV$5:AV$11,MATCH($B74,Premissas!$A$39:$A$45,0))</f>
        <v/>
      </c>
      <c r="AX74" s="22" t="str">
        <f>INDEX(Cronograma!AW$5:AW$11,MATCH($B74,Premissas!$A$39:$A$45,0))</f>
        <v/>
      </c>
      <c r="AY74" s="22" t="str">
        <f>INDEX(Cronograma!AX$5:AX$11,MATCH($B74,Premissas!$A$39:$A$45,0))</f>
        <v/>
      </c>
      <c r="AZ74" s="22" t="str">
        <f>INDEX(Cronograma!AY$5:AY$11,MATCH($B74,Premissas!$A$39:$A$45,0))</f>
        <v/>
      </c>
      <c r="BA74" s="22" t="str">
        <f>INDEX(Cronograma!AZ$5:AZ$11,MATCH($B74,Premissas!$A$39:$A$45,0))</f>
        <v/>
      </c>
      <c r="BB74" s="22" t="str">
        <f>INDEX(Cronograma!BA$5:BA$11,MATCH($B74,Premissas!$A$39:$A$45,0))</f>
        <v/>
      </c>
    </row>
    <row r="75" spans="1:54" ht="15" customHeight="1" x14ac:dyDescent="0.4">
      <c r="A75" s="15" t="str">
        <f>Frota!$B75&amp;" — "&amp;Frota!$A75</f>
        <v>MB 3344 6x4 — 101164</v>
      </c>
      <c r="B75" s="16" t="str">
        <f>Frota!$C75</f>
        <v>Caminhão</v>
      </c>
      <c r="C75" s="22" t="str">
        <f>INDEX(Cronograma!B$5:B$11,MATCH($B75,Premissas!$A$39:$A$45,0))</f>
        <v/>
      </c>
      <c r="D75" s="22" t="str">
        <f>INDEX(Cronograma!C$5:C$11,MATCH($B75,Premissas!$A$39:$A$45,0))</f>
        <v/>
      </c>
      <c r="E75" s="22" t="str">
        <f>INDEX(Cronograma!D$5:D$11,MATCH($B75,Premissas!$A$39:$A$45,0))</f>
        <v/>
      </c>
      <c r="F75" s="22" t="str">
        <f>INDEX(Cronograma!E$5:E$11,MATCH($B75,Premissas!$A$39:$A$45,0))</f>
        <v/>
      </c>
      <c r="G75" s="22" t="str">
        <f>INDEX(Cronograma!F$5:F$11,MATCH($B75,Premissas!$A$39:$A$45,0))</f>
        <v/>
      </c>
      <c r="H75" s="22" t="str">
        <f>INDEX(Cronograma!G$5:G$11,MATCH($B75,Premissas!$A$39:$A$45,0))</f>
        <v/>
      </c>
      <c r="I75" s="22" t="str">
        <f>INDEX(Cronograma!H$5:H$11,MATCH($B75,Premissas!$A$39:$A$45,0))</f>
        <v>S</v>
      </c>
      <c r="J75" s="22" t="str">
        <f>INDEX(Cronograma!I$5:I$11,MATCH($B75,Premissas!$A$39:$A$45,0))</f>
        <v/>
      </c>
      <c r="K75" s="22" t="str">
        <f>INDEX(Cronograma!J$5:J$11,MATCH($B75,Premissas!$A$39:$A$45,0))</f>
        <v/>
      </c>
      <c r="L75" s="22" t="str">
        <f>INDEX(Cronograma!K$5:K$11,MATCH($B75,Premissas!$A$39:$A$45,0))</f>
        <v/>
      </c>
      <c r="M75" s="22" t="str">
        <f>INDEX(Cronograma!L$5:L$11,MATCH($B75,Premissas!$A$39:$A$45,0))</f>
        <v/>
      </c>
      <c r="N75" s="22" t="str">
        <f>INDEX(Cronograma!M$5:M$11,MATCH($B75,Premissas!$A$39:$A$45,0))</f>
        <v/>
      </c>
      <c r="O75" s="22" t="str">
        <f>INDEX(Cronograma!N$5:N$11,MATCH($B75,Premissas!$A$39:$A$45,0))</f>
        <v/>
      </c>
      <c r="P75" s="22" t="str">
        <f>INDEX(Cronograma!O$5:O$11,MATCH($B75,Premissas!$A$39:$A$45,0))</f>
        <v>A</v>
      </c>
      <c r="Q75" s="22" t="str">
        <f>INDEX(Cronograma!P$5:P$11,MATCH($B75,Premissas!$A$39:$A$45,0))</f>
        <v/>
      </c>
      <c r="R75" s="22" t="str">
        <f>INDEX(Cronograma!Q$5:Q$11,MATCH($B75,Premissas!$A$39:$A$45,0))</f>
        <v/>
      </c>
      <c r="S75" s="22" t="str">
        <f>INDEX(Cronograma!R$5:R$11,MATCH($B75,Premissas!$A$39:$A$45,0))</f>
        <v/>
      </c>
      <c r="T75" s="22" t="str">
        <f>INDEX(Cronograma!S$5:S$11,MATCH($B75,Premissas!$A$39:$A$45,0))</f>
        <v/>
      </c>
      <c r="U75" s="22" t="str">
        <f>INDEX(Cronograma!T$5:T$11,MATCH($B75,Premissas!$A$39:$A$45,0))</f>
        <v/>
      </c>
      <c r="V75" s="22" t="str">
        <f>INDEX(Cronograma!U$5:U$11,MATCH($B75,Premissas!$A$39:$A$45,0))</f>
        <v>S</v>
      </c>
      <c r="W75" s="22" t="str">
        <f>INDEX(Cronograma!V$5:V$11,MATCH($B75,Premissas!$A$39:$A$45,0))</f>
        <v/>
      </c>
      <c r="X75" s="22" t="str">
        <f>INDEX(Cronograma!W$5:W$11,MATCH($B75,Premissas!$A$39:$A$45,0))</f>
        <v/>
      </c>
      <c r="Y75" s="22" t="str">
        <f>INDEX(Cronograma!X$5:X$11,MATCH($B75,Premissas!$A$39:$A$45,0))</f>
        <v/>
      </c>
      <c r="Z75" s="22" t="str">
        <f>INDEX(Cronograma!Y$5:Y$11,MATCH($B75,Premissas!$A$39:$A$45,0))</f>
        <v/>
      </c>
      <c r="AA75" s="22" t="str">
        <f>INDEX(Cronograma!Z$5:Z$11,MATCH($B75,Premissas!$A$39:$A$45,0))</f>
        <v/>
      </c>
      <c r="AB75" s="22" t="str">
        <f>INDEX(Cronograma!AA$5:AA$11,MATCH($B75,Premissas!$A$39:$A$45,0))</f>
        <v/>
      </c>
      <c r="AC75" s="22" t="str">
        <f>INDEX(Cronograma!AB$5:AB$11,MATCH($B75,Premissas!$A$39:$A$45,0))</f>
        <v>B</v>
      </c>
      <c r="AD75" s="22" t="str">
        <f>INDEX(Cronograma!AC$5:AC$11,MATCH($B75,Premissas!$A$39:$A$45,0))</f>
        <v/>
      </c>
      <c r="AE75" s="22" t="str">
        <f>INDEX(Cronograma!AD$5:AD$11,MATCH($B75,Premissas!$A$39:$A$45,0))</f>
        <v/>
      </c>
      <c r="AF75" s="22" t="str">
        <f>INDEX(Cronograma!AE$5:AE$11,MATCH($B75,Premissas!$A$39:$A$45,0))</f>
        <v/>
      </c>
      <c r="AG75" s="22" t="str">
        <f>INDEX(Cronograma!AF$5:AF$11,MATCH($B75,Premissas!$A$39:$A$45,0))</f>
        <v/>
      </c>
      <c r="AH75" s="22" t="str">
        <f>INDEX(Cronograma!AG$5:AG$11,MATCH($B75,Premissas!$A$39:$A$45,0))</f>
        <v/>
      </c>
      <c r="AI75" s="22" t="str">
        <f>INDEX(Cronograma!AH$5:AH$11,MATCH($B75,Premissas!$A$39:$A$45,0))</f>
        <v/>
      </c>
      <c r="AJ75" s="22" t="str">
        <f>INDEX(Cronograma!AI$5:AI$11,MATCH($B75,Premissas!$A$39:$A$45,0))</f>
        <v/>
      </c>
      <c r="AK75" s="22" t="str">
        <f>INDEX(Cronograma!AJ$5:AJ$11,MATCH($B75,Premissas!$A$39:$A$45,0))</f>
        <v/>
      </c>
      <c r="AL75" s="22" t="str">
        <f>INDEX(Cronograma!AK$5:AK$11,MATCH($B75,Premissas!$A$39:$A$45,0))</f>
        <v/>
      </c>
      <c r="AM75" s="22" t="str">
        <f>INDEX(Cronograma!AL$5:AL$11,MATCH($B75,Premissas!$A$39:$A$45,0))</f>
        <v/>
      </c>
      <c r="AN75" s="22" t="str">
        <f>INDEX(Cronograma!AM$5:AM$11,MATCH($B75,Premissas!$A$39:$A$45,0))</f>
        <v/>
      </c>
      <c r="AO75" s="22" t="str">
        <f>INDEX(Cronograma!AN$5:AN$11,MATCH($B75,Premissas!$A$39:$A$45,0))</f>
        <v/>
      </c>
      <c r="AP75" s="22" t="str">
        <f>INDEX(Cronograma!AO$5:AO$11,MATCH($B75,Premissas!$A$39:$A$45,0))</f>
        <v>S</v>
      </c>
      <c r="AQ75" s="22" t="str">
        <f>INDEX(Cronograma!AP$5:AP$11,MATCH($B75,Premissas!$A$39:$A$45,0))</f>
        <v/>
      </c>
      <c r="AR75" s="22" t="str">
        <f>INDEX(Cronograma!AQ$5:AQ$11,MATCH($B75,Premissas!$A$39:$A$45,0))</f>
        <v/>
      </c>
      <c r="AS75" s="22" t="str">
        <f>INDEX(Cronograma!AR$5:AR$11,MATCH($B75,Premissas!$A$39:$A$45,0))</f>
        <v/>
      </c>
      <c r="AT75" s="22" t="str">
        <f>INDEX(Cronograma!AS$5:AS$11,MATCH($B75,Premissas!$A$39:$A$45,0))</f>
        <v/>
      </c>
      <c r="AU75" s="22" t="str">
        <f>INDEX(Cronograma!AT$5:AT$11,MATCH($B75,Premissas!$A$39:$A$45,0))</f>
        <v/>
      </c>
      <c r="AV75" s="22" t="str">
        <f>INDEX(Cronograma!AU$5:AU$11,MATCH($B75,Premissas!$A$39:$A$45,0))</f>
        <v/>
      </c>
      <c r="AW75" s="22" t="str">
        <f>INDEX(Cronograma!AV$5:AV$11,MATCH($B75,Premissas!$A$39:$A$45,0))</f>
        <v/>
      </c>
      <c r="AX75" s="22" t="str">
        <f>INDEX(Cronograma!AW$5:AW$11,MATCH($B75,Premissas!$A$39:$A$45,0))</f>
        <v/>
      </c>
      <c r="AY75" s="22" t="str">
        <f>INDEX(Cronograma!AX$5:AX$11,MATCH($B75,Premissas!$A$39:$A$45,0))</f>
        <v/>
      </c>
      <c r="AZ75" s="22" t="str">
        <f>INDEX(Cronograma!AY$5:AY$11,MATCH($B75,Premissas!$A$39:$A$45,0))</f>
        <v/>
      </c>
      <c r="BA75" s="22" t="str">
        <f>INDEX(Cronograma!AZ$5:AZ$11,MATCH($B75,Premissas!$A$39:$A$45,0))</f>
        <v/>
      </c>
      <c r="BB75" s="22" t="str">
        <f>INDEX(Cronograma!BA$5:BA$11,MATCH($B75,Premissas!$A$39:$A$45,0))</f>
        <v/>
      </c>
    </row>
    <row r="76" spans="1:54" ht="15" customHeight="1" x14ac:dyDescent="0.4">
      <c r="A76" s="15" t="str">
        <f>Frota!$B76&amp;" — "&amp;Frota!$A76</f>
        <v>MB 3344 6x4 — 101165</v>
      </c>
      <c r="B76" s="16" t="str">
        <f>Frota!$C76</f>
        <v>Caminhão</v>
      </c>
      <c r="C76" s="22" t="str">
        <f>INDEX(Cronograma!B$5:B$11,MATCH($B76,Premissas!$A$39:$A$45,0))</f>
        <v/>
      </c>
      <c r="D76" s="22" t="str">
        <f>INDEX(Cronograma!C$5:C$11,MATCH($B76,Premissas!$A$39:$A$45,0))</f>
        <v/>
      </c>
      <c r="E76" s="22" t="str">
        <f>INDEX(Cronograma!D$5:D$11,MATCH($B76,Premissas!$A$39:$A$45,0))</f>
        <v/>
      </c>
      <c r="F76" s="22" t="str">
        <f>INDEX(Cronograma!E$5:E$11,MATCH($B76,Premissas!$A$39:$A$45,0))</f>
        <v/>
      </c>
      <c r="G76" s="22" t="str">
        <f>INDEX(Cronograma!F$5:F$11,MATCH($B76,Premissas!$A$39:$A$45,0))</f>
        <v/>
      </c>
      <c r="H76" s="22" t="str">
        <f>INDEX(Cronograma!G$5:G$11,MATCH($B76,Premissas!$A$39:$A$45,0))</f>
        <v/>
      </c>
      <c r="I76" s="22" t="str">
        <f>INDEX(Cronograma!H$5:H$11,MATCH($B76,Premissas!$A$39:$A$45,0))</f>
        <v>S</v>
      </c>
      <c r="J76" s="22" t="str">
        <f>INDEX(Cronograma!I$5:I$11,MATCH($B76,Premissas!$A$39:$A$45,0))</f>
        <v/>
      </c>
      <c r="K76" s="22" t="str">
        <f>INDEX(Cronograma!J$5:J$11,MATCH($B76,Premissas!$A$39:$A$45,0))</f>
        <v/>
      </c>
      <c r="L76" s="22" t="str">
        <f>INDEX(Cronograma!K$5:K$11,MATCH($B76,Premissas!$A$39:$A$45,0))</f>
        <v/>
      </c>
      <c r="M76" s="22" t="str">
        <f>INDEX(Cronograma!L$5:L$11,MATCH($B76,Premissas!$A$39:$A$45,0))</f>
        <v/>
      </c>
      <c r="N76" s="22" t="str">
        <f>INDEX(Cronograma!M$5:M$11,MATCH($B76,Premissas!$A$39:$A$45,0))</f>
        <v/>
      </c>
      <c r="O76" s="22" t="str">
        <f>INDEX(Cronograma!N$5:N$11,MATCH($B76,Premissas!$A$39:$A$45,0))</f>
        <v/>
      </c>
      <c r="P76" s="22" t="str">
        <f>INDEX(Cronograma!O$5:O$11,MATCH($B76,Premissas!$A$39:$A$45,0))</f>
        <v>A</v>
      </c>
      <c r="Q76" s="22" t="str">
        <f>INDEX(Cronograma!P$5:P$11,MATCH($B76,Premissas!$A$39:$A$45,0))</f>
        <v/>
      </c>
      <c r="R76" s="22" t="str">
        <f>INDEX(Cronograma!Q$5:Q$11,MATCH($B76,Premissas!$A$39:$A$45,0))</f>
        <v/>
      </c>
      <c r="S76" s="22" t="str">
        <f>INDEX(Cronograma!R$5:R$11,MATCH($B76,Premissas!$A$39:$A$45,0))</f>
        <v/>
      </c>
      <c r="T76" s="22" t="str">
        <f>INDEX(Cronograma!S$5:S$11,MATCH($B76,Premissas!$A$39:$A$45,0))</f>
        <v/>
      </c>
      <c r="U76" s="22" t="str">
        <f>INDEX(Cronograma!T$5:T$11,MATCH($B76,Premissas!$A$39:$A$45,0))</f>
        <v/>
      </c>
      <c r="V76" s="22" t="str">
        <f>INDEX(Cronograma!U$5:U$11,MATCH($B76,Premissas!$A$39:$A$45,0))</f>
        <v>S</v>
      </c>
      <c r="W76" s="22" t="str">
        <f>INDEX(Cronograma!V$5:V$11,MATCH($B76,Premissas!$A$39:$A$45,0))</f>
        <v/>
      </c>
      <c r="X76" s="22" t="str">
        <f>INDEX(Cronograma!W$5:W$11,MATCH($B76,Premissas!$A$39:$A$45,0))</f>
        <v/>
      </c>
      <c r="Y76" s="22" t="str">
        <f>INDEX(Cronograma!X$5:X$11,MATCH($B76,Premissas!$A$39:$A$45,0))</f>
        <v/>
      </c>
      <c r="Z76" s="22" t="str">
        <f>INDEX(Cronograma!Y$5:Y$11,MATCH($B76,Premissas!$A$39:$A$45,0))</f>
        <v/>
      </c>
      <c r="AA76" s="22" t="str">
        <f>INDEX(Cronograma!Z$5:Z$11,MATCH($B76,Premissas!$A$39:$A$45,0))</f>
        <v/>
      </c>
      <c r="AB76" s="22" t="str">
        <f>INDEX(Cronograma!AA$5:AA$11,MATCH($B76,Premissas!$A$39:$A$45,0))</f>
        <v/>
      </c>
      <c r="AC76" s="22" t="str">
        <f>INDEX(Cronograma!AB$5:AB$11,MATCH($B76,Premissas!$A$39:$A$45,0))</f>
        <v>B</v>
      </c>
      <c r="AD76" s="22" t="str">
        <f>INDEX(Cronograma!AC$5:AC$11,MATCH($B76,Premissas!$A$39:$A$45,0))</f>
        <v/>
      </c>
      <c r="AE76" s="22" t="str">
        <f>INDEX(Cronograma!AD$5:AD$11,MATCH($B76,Premissas!$A$39:$A$45,0))</f>
        <v/>
      </c>
      <c r="AF76" s="22" t="str">
        <f>INDEX(Cronograma!AE$5:AE$11,MATCH($B76,Premissas!$A$39:$A$45,0))</f>
        <v/>
      </c>
      <c r="AG76" s="22" t="str">
        <f>INDEX(Cronograma!AF$5:AF$11,MATCH($B76,Premissas!$A$39:$A$45,0))</f>
        <v/>
      </c>
      <c r="AH76" s="22" t="str">
        <f>INDEX(Cronograma!AG$5:AG$11,MATCH($B76,Premissas!$A$39:$A$45,0))</f>
        <v/>
      </c>
      <c r="AI76" s="22" t="str">
        <f>INDEX(Cronograma!AH$5:AH$11,MATCH($B76,Premissas!$A$39:$A$45,0))</f>
        <v/>
      </c>
      <c r="AJ76" s="22" t="str">
        <f>INDEX(Cronograma!AI$5:AI$11,MATCH($B76,Premissas!$A$39:$A$45,0))</f>
        <v/>
      </c>
      <c r="AK76" s="22" t="str">
        <f>INDEX(Cronograma!AJ$5:AJ$11,MATCH($B76,Premissas!$A$39:$A$45,0))</f>
        <v/>
      </c>
      <c r="AL76" s="22" t="str">
        <f>INDEX(Cronograma!AK$5:AK$11,MATCH($B76,Premissas!$A$39:$A$45,0))</f>
        <v/>
      </c>
      <c r="AM76" s="22" t="str">
        <f>INDEX(Cronograma!AL$5:AL$11,MATCH($B76,Premissas!$A$39:$A$45,0))</f>
        <v/>
      </c>
      <c r="AN76" s="22" t="str">
        <f>INDEX(Cronograma!AM$5:AM$11,MATCH($B76,Premissas!$A$39:$A$45,0))</f>
        <v/>
      </c>
      <c r="AO76" s="22" t="str">
        <f>INDEX(Cronograma!AN$5:AN$11,MATCH($B76,Premissas!$A$39:$A$45,0))</f>
        <v/>
      </c>
      <c r="AP76" s="22" t="str">
        <f>INDEX(Cronograma!AO$5:AO$11,MATCH($B76,Premissas!$A$39:$A$45,0))</f>
        <v>S</v>
      </c>
      <c r="AQ76" s="22" t="str">
        <f>INDEX(Cronograma!AP$5:AP$11,MATCH($B76,Premissas!$A$39:$A$45,0))</f>
        <v/>
      </c>
      <c r="AR76" s="22" t="str">
        <f>INDEX(Cronograma!AQ$5:AQ$11,MATCH($B76,Premissas!$A$39:$A$45,0))</f>
        <v/>
      </c>
      <c r="AS76" s="22" t="str">
        <f>INDEX(Cronograma!AR$5:AR$11,MATCH($B76,Premissas!$A$39:$A$45,0))</f>
        <v/>
      </c>
      <c r="AT76" s="22" t="str">
        <f>INDEX(Cronograma!AS$5:AS$11,MATCH($B76,Premissas!$A$39:$A$45,0))</f>
        <v/>
      </c>
      <c r="AU76" s="22" t="str">
        <f>INDEX(Cronograma!AT$5:AT$11,MATCH($B76,Premissas!$A$39:$A$45,0))</f>
        <v/>
      </c>
      <c r="AV76" s="22" t="str">
        <f>INDEX(Cronograma!AU$5:AU$11,MATCH($B76,Premissas!$A$39:$A$45,0))</f>
        <v/>
      </c>
      <c r="AW76" s="22" t="str">
        <f>INDEX(Cronograma!AV$5:AV$11,MATCH($B76,Premissas!$A$39:$A$45,0))</f>
        <v/>
      </c>
      <c r="AX76" s="22" t="str">
        <f>INDEX(Cronograma!AW$5:AW$11,MATCH($B76,Premissas!$A$39:$A$45,0))</f>
        <v/>
      </c>
      <c r="AY76" s="22" t="str">
        <f>INDEX(Cronograma!AX$5:AX$11,MATCH($B76,Premissas!$A$39:$A$45,0))</f>
        <v/>
      </c>
      <c r="AZ76" s="22" t="str">
        <f>INDEX(Cronograma!AY$5:AY$11,MATCH($B76,Premissas!$A$39:$A$45,0))</f>
        <v/>
      </c>
      <c r="BA76" s="22" t="str">
        <f>INDEX(Cronograma!AZ$5:AZ$11,MATCH($B76,Premissas!$A$39:$A$45,0))</f>
        <v/>
      </c>
      <c r="BB76" s="22" t="str">
        <f>INDEX(Cronograma!BA$5:BA$11,MATCH($B76,Premissas!$A$39:$A$45,0))</f>
        <v/>
      </c>
    </row>
    <row r="77" spans="1:54" ht="15" customHeight="1" x14ac:dyDescent="0.4">
      <c r="A77" s="15" t="str">
        <f>Frota!$B77&amp;" — "&amp;Frota!$A77</f>
        <v>MB 3344 6x4 — 101166</v>
      </c>
      <c r="B77" s="16" t="str">
        <f>Frota!$C77</f>
        <v>Caminhão</v>
      </c>
      <c r="C77" s="22" t="str">
        <f>INDEX(Cronograma!B$5:B$11,MATCH($B77,Premissas!$A$39:$A$45,0))</f>
        <v/>
      </c>
      <c r="D77" s="22" t="str">
        <f>INDEX(Cronograma!C$5:C$11,MATCH($B77,Premissas!$A$39:$A$45,0))</f>
        <v/>
      </c>
      <c r="E77" s="22" t="str">
        <f>INDEX(Cronograma!D$5:D$11,MATCH($B77,Premissas!$A$39:$A$45,0))</f>
        <v/>
      </c>
      <c r="F77" s="22" t="str">
        <f>INDEX(Cronograma!E$5:E$11,MATCH($B77,Premissas!$A$39:$A$45,0))</f>
        <v/>
      </c>
      <c r="G77" s="22" t="str">
        <f>INDEX(Cronograma!F$5:F$11,MATCH($B77,Premissas!$A$39:$A$45,0))</f>
        <v/>
      </c>
      <c r="H77" s="22" t="str">
        <f>INDEX(Cronograma!G$5:G$11,MATCH($B77,Premissas!$A$39:$A$45,0))</f>
        <v/>
      </c>
      <c r="I77" s="22" t="str">
        <f>INDEX(Cronograma!H$5:H$11,MATCH($B77,Premissas!$A$39:$A$45,0))</f>
        <v>S</v>
      </c>
      <c r="J77" s="22" t="str">
        <f>INDEX(Cronograma!I$5:I$11,MATCH($B77,Premissas!$A$39:$A$45,0))</f>
        <v/>
      </c>
      <c r="K77" s="22" t="str">
        <f>INDEX(Cronograma!J$5:J$11,MATCH($B77,Premissas!$A$39:$A$45,0))</f>
        <v/>
      </c>
      <c r="L77" s="22" t="str">
        <f>INDEX(Cronograma!K$5:K$11,MATCH($B77,Premissas!$A$39:$A$45,0))</f>
        <v/>
      </c>
      <c r="M77" s="22" t="str">
        <f>INDEX(Cronograma!L$5:L$11,MATCH($B77,Premissas!$A$39:$A$45,0))</f>
        <v/>
      </c>
      <c r="N77" s="22" t="str">
        <f>INDEX(Cronograma!M$5:M$11,MATCH($B77,Premissas!$A$39:$A$45,0))</f>
        <v/>
      </c>
      <c r="O77" s="22" t="str">
        <f>INDEX(Cronograma!N$5:N$11,MATCH($B77,Premissas!$A$39:$A$45,0))</f>
        <v/>
      </c>
      <c r="P77" s="22" t="str">
        <f>INDEX(Cronograma!O$5:O$11,MATCH($B77,Premissas!$A$39:$A$45,0))</f>
        <v>A</v>
      </c>
      <c r="Q77" s="22" t="str">
        <f>INDEX(Cronograma!P$5:P$11,MATCH($B77,Premissas!$A$39:$A$45,0))</f>
        <v/>
      </c>
      <c r="R77" s="22" t="str">
        <f>INDEX(Cronograma!Q$5:Q$11,MATCH($B77,Premissas!$A$39:$A$45,0))</f>
        <v/>
      </c>
      <c r="S77" s="22" t="str">
        <f>INDEX(Cronograma!R$5:R$11,MATCH($B77,Premissas!$A$39:$A$45,0))</f>
        <v/>
      </c>
      <c r="T77" s="22" t="str">
        <f>INDEX(Cronograma!S$5:S$11,MATCH($B77,Premissas!$A$39:$A$45,0))</f>
        <v/>
      </c>
      <c r="U77" s="22" t="str">
        <f>INDEX(Cronograma!T$5:T$11,MATCH($B77,Premissas!$A$39:$A$45,0))</f>
        <v/>
      </c>
      <c r="V77" s="22" t="str">
        <f>INDEX(Cronograma!U$5:U$11,MATCH($B77,Premissas!$A$39:$A$45,0))</f>
        <v>S</v>
      </c>
      <c r="W77" s="22" t="str">
        <f>INDEX(Cronograma!V$5:V$11,MATCH($B77,Premissas!$A$39:$A$45,0))</f>
        <v/>
      </c>
      <c r="X77" s="22" t="str">
        <f>INDEX(Cronograma!W$5:W$11,MATCH($B77,Premissas!$A$39:$A$45,0))</f>
        <v/>
      </c>
      <c r="Y77" s="22" t="str">
        <f>INDEX(Cronograma!X$5:X$11,MATCH($B77,Premissas!$A$39:$A$45,0))</f>
        <v/>
      </c>
      <c r="Z77" s="22" t="str">
        <f>INDEX(Cronograma!Y$5:Y$11,MATCH($B77,Premissas!$A$39:$A$45,0))</f>
        <v/>
      </c>
      <c r="AA77" s="22" t="str">
        <f>INDEX(Cronograma!Z$5:Z$11,MATCH($B77,Premissas!$A$39:$A$45,0))</f>
        <v/>
      </c>
      <c r="AB77" s="22" t="str">
        <f>INDEX(Cronograma!AA$5:AA$11,MATCH($B77,Premissas!$A$39:$A$45,0))</f>
        <v/>
      </c>
      <c r="AC77" s="22" t="str">
        <f>INDEX(Cronograma!AB$5:AB$11,MATCH($B77,Premissas!$A$39:$A$45,0))</f>
        <v>B</v>
      </c>
      <c r="AD77" s="22" t="str">
        <f>INDEX(Cronograma!AC$5:AC$11,MATCH($B77,Premissas!$A$39:$A$45,0))</f>
        <v/>
      </c>
      <c r="AE77" s="22" t="str">
        <f>INDEX(Cronograma!AD$5:AD$11,MATCH($B77,Premissas!$A$39:$A$45,0))</f>
        <v/>
      </c>
      <c r="AF77" s="22" t="str">
        <f>INDEX(Cronograma!AE$5:AE$11,MATCH($B77,Premissas!$A$39:$A$45,0))</f>
        <v/>
      </c>
      <c r="AG77" s="22" t="str">
        <f>INDEX(Cronograma!AF$5:AF$11,MATCH($B77,Premissas!$A$39:$A$45,0))</f>
        <v/>
      </c>
      <c r="AH77" s="22" t="str">
        <f>INDEX(Cronograma!AG$5:AG$11,MATCH($B77,Premissas!$A$39:$A$45,0))</f>
        <v/>
      </c>
      <c r="AI77" s="22" t="str">
        <f>INDEX(Cronograma!AH$5:AH$11,MATCH($B77,Premissas!$A$39:$A$45,0))</f>
        <v/>
      </c>
      <c r="AJ77" s="22" t="str">
        <f>INDEX(Cronograma!AI$5:AI$11,MATCH($B77,Premissas!$A$39:$A$45,0))</f>
        <v/>
      </c>
      <c r="AK77" s="22" t="str">
        <f>INDEX(Cronograma!AJ$5:AJ$11,MATCH($B77,Premissas!$A$39:$A$45,0))</f>
        <v/>
      </c>
      <c r="AL77" s="22" t="str">
        <f>INDEX(Cronograma!AK$5:AK$11,MATCH($B77,Premissas!$A$39:$A$45,0))</f>
        <v/>
      </c>
      <c r="AM77" s="22" t="str">
        <f>INDEX(Cronograma!AL$5:AL$11,MATCH($B77,Premissas!$A$39:$A$45,0))</f>
        <v/>
      </c>
      <c r="AN77" s="22" t="str">
        <f>INDEX(Cronograma!AM$5:AM$11,MATCH($B77,Premissas!$A$39:$A$45,0))</f>
        <v/>
      </c>
      <c r="AO77" s="22" t="str">
        <f>INDEX(Cronograma!AN$5:AN$11,MATCH($B77,Premissas!$A$39:$A$45,0))</f>
        <v/>
      </c>
      <c r="AP77" s="22" t="str">
        <f>INDEX(Cronograma!AO$5:AO$11,MATCH($B77,Premissas!$A$39:$A$45,0))</f>
        <v>S</v>
      </c>
      <c r="AQ77" s="22" t="str">
        <f>INDEX(Cronograma!AP$5:AP$11,MATCH($B77,Premissas!$A$39:$A$45,0))</f>
        <v/>
      </c>
      <c r="AR77" s="22" t="str">
        <f>INDEX(Cronograma!AQ$5:AQ$11,MATCH($B77,Premissas!$A$39:$A$45,0))</f>
        <v/>
      </c>
      <c r="AS77" s="22" t="str">
        <f>INDEX(Cronograma!AR$5:AR$11,MATCH($B77,Premissas!$A$39:$A$45,0))</f>
        <v/>
      </c>
      <c r="AT77" s="22" t="str">
        <f>INDEX(Cronograma!AS$5:AS$11,MATCH($B77,Premissas!$A$39:$A$45,0))</f>
        <v/>
      </c>
      <c r="AU77" s="22" t="str">
        <f>INDEX(Cronograma!AT$5:AT$11,MATCH($B77,Premissas!$A$39:$A$45,0))</f>
        <v/>
      </c>
      <c r="AV77" s="22" t="str">
        <f>INDEX(Cronograma!AU$5:AU$11,MATCH($B77,Premissas!$A$39:$A$45,0))</f>
        <v/>
      </c>
      <c r="AW77" s="22" t="str">
        <f>INDEX(Cronograma!AV$5:AV$11,MATCH($B77,Premissas!$A$39:$A$45,0))</f>
        <v/>
      </c>
      <c r="AX77" s="22" t="str">
        <f>INDEX(Cronograma!AW$5:AW$11,MATCH($B77,Premissas!$A$39:$A$45,0))</f>
        <v/>
      </c>
      <c r="AY77" s="22" t="str">
        <f>INDEX(Cronograma!AX$5:AX$11,MATCH($B77,Premissas!$A$39:$A$45,0))</f>
        <v/>
      </c>
      <c r="AZ77" s="22" t="str">
        <f>INDEX(Cronograma!AY$5:AY$11,MATCH($B77,Premissas!$A$39:$A$45,0))</f>
        <v/>
      </c>
      <c r="BA77" s="22" t="str">
        <f>INDEX(Cronograma!AZ$5:AZ$11,MATCH($B77,Premissas!$A$39:$A$45,0))</f>
        <v/>
      </c>
      <c r="BB77" s="22" t="str">
        <f>INDEX(Cronograma!BA$5:BA$11,MATCH($B77,Premissas!$A$39:$A$45,0))</f>
        <v/>
      </c>
    </row>
    <row r="78" spans="1:54" ht="15" customHeight="1" x14ac:dyDescent="0.4">
      <c r="A78" s="15" t="str">
        <f>Frota!$B78&amp;" — "&amp;Frota!$A78</f>
        <v>MB 3344 6x4 — 101167</v>
      </c>
      <c r="B78" s="16" t="str">
        <f>Frota!$C78</f>
        <v>Caminhão</v>
      </c>
      <c r="C78" s="22" t="str">
        <f>INDEX(Cronograma!B$5:B$11,MATCH($B78,Premissas!$A$39:$A$45,0))</f>
        <v/>
      </c>
      <c r="D78" s="22" t="str">
        <f>INDEX(Cronograma!C$5:C$11,MATCH($B78,Premissas!$A$39:$A$45,0))</f>
        <v/>
      </c>
      <c r="E78" s="22" t="str">
        <f>INDEX(Cronograma!D$5:D$11,MATCH($B78,Premissas!$A$39:$A$45,0))</f>
        <v/>
      </c>
      <c r="F78" s="22" t="str">
        <f>INDEX(Cronograma!E$5:E$11,MATCH($B78,Premissas!$A$39:$A$45,0))</f>
        <v/>
      </c>
      <c r="G78" s="22" t="str">
        <f>INDEX(Cronograma!F$5:F$11,MATCH($B78,Premissas!$A$39:$A$45,0))</f>
        <v/>
      </c>
      <c r="H78" s="22" t="str">
        <f>INDEX(Cronograma!G$5:G$11,MATCH($B78,Premissas!$A$39:$A$45,0))</f>
        <v/>
      </c>
      <c r="I78" s="22" t="str">
        <f>INDEX(Cronograma!H$5:H$11,MATCH($B78,Premissas!$A$39:$A$45,0))</f>
        <v>S</v>
      </c>
      <c r="J78" s="22" t="str">
        <f>INDEX(Cronograma!I$5:I$11,MATCH($B78,Premissas!$A$39:$A$45,0))</f>
        <v/>
      </c>
      <c r="K78" s="22" t="str">
        <f>INDEX(Cronograma!J$5:J$11,MATCH($B78,Premissas!$A$39:$A$45,0))</f>
        <v/>
      </c>
      <c r="L78" s="22" t="str">
        <f>INDEX(Cronograma!K$5:K$11,MATCH($B78,Premissas!$A$39:$A$45,0))</f>
        <v/>
      </c>
      <c r="M78" s="22" t="str">
        <f>INDEX(Cronograma!L$5:L$11,MATCH($B78,Premissas!$A$39:$A$45,0))</f>
        <v/>
      </c>
      <c r="N78" s="22" t="str">
        <f>INDEX(Cronograma!M$5:M$11,MATCH($B78,Premissas!$A$39:$A$45,0))</f>
        <v/>
      </c>
      <c r="O78" s="22" t="str">
        <f>INDEX(Cronograma!N$5:N$11,MATCH($B78,Premissas!$A$39:$A$45,0))</f>
        <v/>
      </c>
      <c r="P78" s="22" t="str">
        <f>INDEX(Cronograma!O$5:O$11,MATCH($B78,Premissas!$A$39:$A$45,0))</f>
        <v>A</v>
      </c>
      <c r="Q78" s="22" t="str">
        <f>INDEX(Cronograma!P$5:P$11,MATCH($B78,Premissas!$A$39:$A$45,0))</f>
        <v/>
      </c>
      <c r="R78" s="22" t="str">
        <f>INDEX(Cronograma!Q$5:Q$11,MATCH($B78,Premissas!$A$39:$A$45,0))</f>
        <v/>
      </c>
      <c r="S78" s="22" t="str">
        <f>INDEX(Cronograma!R$5:R$11,MATCH($B78,Premissas!$A$39:$A$45,0))</f>
        <v/>
      </c>
      <c r="T78" s="22" t="str">
        <f>INDEX(Cronograma!S$5:S$11,MATCH($B78,Premissas!$A$39:$A$45,0))</f>
        <v/>
      </c>
      <c r="U78" s="22" t="str">
        <f>INDEX(Cronograma!T$5:T$11,MATCH($B78,Premissas!$A$39:$A$45,0))</f>
        <v/>
      </c>
      <c r="V78" s="22" t="str">
        <f>INDEX(Cronograma!U$5:U$11,MATCH($B78,Premissas!$A$39:$A$45,0))</f>
        <v>S</v>
      </c>
      <c r="W78" s="22" t="str">
        <f>INDEX(Cronograma!V$5:V$11,MATCH($B78,Premissas!$A$39:$A$45,0))</f>
        <v/>
      </c>
      <c r="X78" s="22" t="str">
        <f>INDEX(Cronograma!W$5:W$11,MATCH($B78,Premissas!$A$39:$A$45,0))</f>
        <v/>
      </c>
      <c r="Y78" s="22" t="str">
        <f>INDEX(Cronograma!X$5:X$11,MATCH($B78,Premissas!$A$39:$A$45,0))</f>
        <v/>
      </c>
      <c r="Z78" s="22" t="str">
        <f>INDEX(Cronograma!Y$5:Y$11,MATCH($B78,Premissas!$A$39:$A$45,0))</f>
        <v/>
      </c>
      <c r="AA78" s="22" t="str">
        <f>INDEX(Cronograma!Z$5:Z$11,MATCH($B78,Premissas!$A$39:$A$45,0))</f>
        <v/>
      </c>
      <c r="AB78" s="22" t="str">
        <f>INDEX(Cronograma!AA$5:AA$11,MATCH($B78,Premissas!$A$39:$A$45,0))</f>
        <v/>
      </c>
      <c r="AC78" s="22" t="str">
        <f>INDEX(Cronograma!AB$5:AB$11,MATCH($B78,Premissas!$A$39:$A$45,0))</f>
        <v>B</v>
      </c>
      <c r="AD78" s="22" t="str">
        <f>INDEX(Cronograma!AC$5:AC$11,MATCH($B78,Premissas!$A$39:$A$45,0))</f>
        <v/>
      </c>
      <c r="AE78" s="22" t="str">
        <f>INDEX(Cronograma!AD$5:AD$11,MATCH($B78,Premissas!$A$39:$A$45,0))</f>
        <v/>
      </c>
      <c r="AF78" s="22" t="str">
        <f>INDEX(Cronograma!AE$5:AE$11,MATCH($B78,Premissas!$A$39:$A$45,0))</f>
        <v/>
      </c>
      <c r="AG78" s="22" t="str">
        <f>INDEX(Cronograma!AF$5:AF$11,MATCH($B78,Premissas!$A$39:$A$45,0))</f>
        <v/>
      </c>
      <c r="AH78" s="22" t="str">
        <f>INDEX(Cronograma!AG$5:AG$11,MATCH($B78,Premissas!$A$39:$A$45,0))</f>
        <v/>
      </c>
      <c r="AI78" s="22" t="str">
        <f>INDEX(Cronograma!AH$5:AH$11,MATCH($B78,Premissas!$A$39:$A$45,0))</f>
        <v/>
      </c>
      <c r="AJ78" s="22" t="str">
        <f>INDEX(Cronograma!AI$5:AI$11,MATCH($B78,Premissas!$A$39:$A$45,0))</f>
        <v/>
      </c>
      <c r="AK78" s="22" t="str">
        <f>INDEX(Cronograma!AJ$5:AJ$11,MATCH($B78,Premissas!$A$39:$A$45,0))</f>
        <v/>
      </c>
      <c r="AL78" s="22" t="str">
        <f>INDEX(Cronograma!AK$5:AK$11,MATCH($B78,Premissas!$A$39:$A$45,0))</f>
        <v/>
      </c>
      <c r="AM78" s="22" t="str">
        <f>INDEX(Cronograma!AL$5:AL$11,MATCH($B78,Premissas!$A$39:$A$45,0))</f>
        <v/>
      </c>
      <c r="AN78" s="22" t="str">
        <f>INDEX(Cronograma!AM$5:AM$11,MATCH($B78,Premissas!$A$39:$A$45,0))</f>
        <v/>
      </c>
      <c r="AO78" s="22" t="str">
        <f>INDEX(Cronograma!AN$5:AN$11,MATCH($B78,Premissas!$A$39:$A$45,0))</f>
        <v/>
      </c>
      <c r="AP78" s="22" t="str">
        <f>INDEX(Cronograma!AO$5:AO$11,MATCH($B78,Premissas!$A$39:$A$45,0))</f>
        <v>S</v>
      </c>
      <c r="AQ78" s="22" t="str">
        <f>INDEX(Cronograma!AP$5:AP$11,MATCH($B78,Premissas!$A$39:$A$45,0))</f>
        <v/>
      </c>
      <c r="AR78" s="22" t="str">
        <f>INDEX(Cronograma!AQ$5:AQ$11,MATCH($B78,Premissas!$A$39:$A$45,0))</f>
        <v/>
      </c>
      <c r="AS78" s="22" t="str">
        <f>INDEX(Cronograma!AR$5:AR$11,MATCH($B78,Premissas!$A$39:$A$45,0))</f>
        <v/>
      </c>
      <c r="AT78" s="22" t="str">
        <f>INDEX(Cronograma!AS$5:AS$11,MATCH($B78,Premissas!$A$39:$A$45,0))</f>
        <v/>
      </c>
      <c r="AU78" s="22" t="str">
        <f>INDEX(Cronograma!AT$5:AT$11,MATCH($B78,Premissas!$A$39:$A$45,0))</f>
        <v/>
      </c>
      <c r="AV78" s="22" t="str">
        <f>INDEX(Cronograma!AU$5:AU$11,MATCH($B78,Premissas!$A$39:$A$45,0))</f>
        <v/>
      </c>
      <c r="AW78" s="22" t="str">
        <f>INDEX(Cronograma!AV$5:AV$11,MATCH($B78,Premissas!$A$39:$A$45,0))</f>
        <v/>
      </c>
      <c r="AX78" s="22" t="str">
        <f>INDEX(Cronograma!AW$5:AW$11,MATCH($B78,Premissas!$A$39:$A$45,0))</f>
        <v/>
      </c>
      <c r="AY78" s="22" t="str">
        <f>INDEX(Cronograma!AX$5:AX$11,MATCH($B78,Premissas!$A$39:$A$45,0))</f>
        <v/>
      </c>
      <c r="AZ78" s="22" t="str">
        <f>INDEX(Cronograma!AY$5:AY$11,MATCH($B78,Premissas!$A$39:$A$45,0))</f>
        <v/>
      </c>
      <c r="BA78" s="22" t="str">
        <f>INDEX(Cronograma!AZ$5:AZ$11,MATCH($B78,Premissas!$A$39:$A$45,0))</f>
        <v/>
      </c>
      <c r="BB78" s="22" t="str">
        <f>INDEX(Cronograma!BA$5:BA$11,MATCH($B78,Premissas!$A$39:$A$45,0))</f>
        <v/>
      </c>
    </row>
    <row r="79" spans="1:54" ht="15" customHeight="1" x14ac:dyDescent="0.4">
      <c r="A79" s="15" t="str">
        <f>Frota!$B79&amp;" — "&amp;Frota!$A79</f>
        <v>MB 3344 6x4 — 101168</v>
      </c>
      <c r="B79" s="16" t="str">
        <f>Frota!$C79</f>
        <v>Caminhão</v>
      </c>
      <c r="C79" s="22" t="str">
        <f>INDEX(Cronograma!B$5:B$11,MATCH($B79,Premissas!$A$39:$A$45,0))</f>
        <v/>
      </c>
      <c r="D79" s="22" t="str">
        <f>INDEX(Cronograma!C$5:C$11,MATCH($B79,Premissas!$A$39:$A$45,0))</f>
        <v/>
      </c>
      <c r="E79" s="22" t="str">
        <f>INDEX(Cronograma!D$5:D$11,MATCH($B79,Premissas!$A$39:$A$45,0))</f>
        <v/>
      </c>
      <c r="F79" s="22" t="str">
        <f>INDEX(Cronograma!E$5:E$11,MATCH($B79,Premissas!$A$39:$A$45,0))</f>
        <v/>
      </c>
      <c r="G79" s="22" t="str">
        <f>INDEX(Cronograma!F$5:F$11,MATCH($B79,Premissas!$A$39:$A$45,0))</f>
        <v/>
      </c>
      <c r="H79" s="22" t="str">
        <f>INDEX(Cronograma!G$5:G$11,MATCH($B79,Premissas!$A$39:$A$45,0))</f>
        <v/>
      </c>
      <c r="I79" s="22" t="str">
        <f>INDEX(Cronograma!H$5:H$11,MATCH($B79,Premissas!$A$39:$A$45,0))</f>
        <v>S</v>
      </c>
      <c r="J79" s="22" t="str">
        <f>INDEX(Cronograma!I$5:I$11,MATCH($B79,Premissas!$A$39:$A$45,0))</f>
        <v/>
      </c>
      <c r="K79" s="22" t="str">
        <f>INDEX(Cronograma!J$5:J$11,MATCH($B79,Premissas!$A$39:$A$45,0))</f>
        <v/>
      </c>
      <c r="L79" s="22" t="str">
        <f>INDEX(Cronograma!K$5:K$11,MATCH($B79,Premissas!$A$39:$A$45,0))</f>
        <v/>
      </c>
      <c r="M79" s="22" t="str">
        <f>INDEX(Cronograma!L$5:L$11,MATCH($B79,Premissas!$A$39:$A$45,0))</f>
        <v/>
      </c>
      <c r="N79" s="22" t="str">
        <f>INDEX(Cronograma!M$5:M$11,MATCH($B79,Premissas!$A$39:$A$45,0))</f>
        <v/>
      </c>
      <c r="O79" s="22" t="str">
        <f>INDEX(Cronograma!N$5:N$11,MATCH($B79,Premissas!$A$39:$A$45,0))</f>
        <v/>
      </c>
      <c r="P79" s="22" t="str">
        <f>INDEX(Cronograma!O$5:O$11,MATCH($B79,Premissas!$A$39:$A$45,0))</f>
        <v>A</v>
      </c>
      <c r="Q79" s="22" t="str">
        <f>INDEX(Cronograma!P$5:P$11,MATCH($B79,Premissas!$A$39:$A$45,0))</f>
        <v/>
      </c>
      <c r="R79" s="22" t="str">
        <f>INDEX(Cronograma!Q$5:Q$11,MATCH($B79,Premissas!$A$39:$A$45,0))</f>
        <v/>
      </c>
      <c r="S79" s="22" t="str">
        <f>INDEX(Cronograma!R$5:R$11,MATCH($B79,Premissas!$A$39:$A$45,0))</f>
        <v/>
      </c>
      <c r="T79" s="22" t="str">
        <f>INDEX(Cronograma!S$5:S$11,MATCH($B79,Premissas!$A$39:$A$45,0))</f>
        <v/>
      </c>
      <c r="U79" s="22" t="str">
        <f>INDEX(Cronograma!T$5:T$11,MATCH($B79,Premissas!$A$39:$A$45,0))</f>
        <v/>
      </c>
      <c r="V79" s="22" t="str">
        <f>INDEX(Cronograma!U$5:U$11,MATCH($B79,Premissas!$A$39:$A$45,0))</f>
        <v>S</v>
      </c>
      <c r="W79" s="22" t="str">
        <f>INDEX(Cronograma!V$5:V$11,MATCH($B79,Premissas!$A$39:$A$45,0))</f>
        <v/>
      </c>
      <c r="X79" s="22" t="str">
        <f>INDEX(Cronograma!W$5:W$11,MATCH($B79,Premissas!$A$39:$A$45,0))</f>
        <v/>
      </c>
      <c r="Y79" s="22" t="str">
        <f>INDEX(Cronograma!X$5:X$11,MATCH($B79,Premissas!$A$39:$A$45,0))</f>
        <v/>
      </c>
      <c r="Z79" s="22" t="str">
        <f>INDEX(Cronograma!Y$5:Y$11,MATCH($B79,Premissas!$A$39:$A$45,0))</f>
        <v/>
      </c>
      <c r="AA79" s="22" t="str">
        <f>INDEX(Cronograma!Z$5:Z$11,MATCH($B79,Premissas!$A$39:$A$45,0))</f>
        <v/>
      </c>
      <c r="AB79" s="22" t="str">
        <f>INDEX(Cronograma!AA$5:AA$11,MATCH($B79,Premissas!$A$39:$A$45,0))</f>
        <v/>
      </c>
      <c r="AC79" s="22" t="str">
        <f>INDEX(Cronograma!AB$5:AB$11,MATCH($B79,Premissas!$A$39:$A$45,0))</f>
        <v>B</v>
      </c>
      <c r="AD79" s="22" t="str">
        <f>INDEX(Cronograma!AC$5:AC$11,MATCH($B79,Premissas!$A$39:$A$45,0))</f>
        <v/>
      </c>
      <c r="AE79" s="22" t="str">
        <f>INDEX(Cronograma!AD$5:AD$11,MATCH($B79,Premissas!$A$39:$A$45,0))</f>
        <v/>
      </c>
      <c r="AF79" s="22" t="str">
        <f>INDEX(Cronograma!AE$5:AE$11,MATCH($B79,Premissas!$A$39:$A$45,0))</f>
        <v/>
      </c>
      <c r="AG79" s="22" t="str">
        <f>INDEX(Cronograma!AF$5:AF$11,MATCH($B79,Premissas!$A$39:$A$45,0))</f>
        <v/>
      </c>
      <c r="AH79" s="22" t="str">
        <f>INDEX(Cronograma!AG$5:AG$11,MATCH($B79,Premissas!$A$39:$A$45,0))</f>
        <v/>
      </c>
      <c r="AI79" s="22" t="str">
        <f>INDEX(Cronograma!AH$5:AH$11,MATCH($B79,Premissas!$A$39:$A$45,0))</f>
        <v/>
      </c>
      <c r="AJ79" s="22" t="str">
        <f>INDEX(Cronograma!AI$5:AI$11,MATCH($B79,Premissas!$A$39:$A$45,0))</f>
        <v/>
      </c>
      <c r="AK79" s="22" t="str">
        <f>INDEX(Cronograma!AJ$5:AJ$11,MATCH($B79,Premissas!$A$39:$A$45,0))</f>
        <v/>
      </c>
      <c r="AL79" s="22" t="str">
        <f>INDEX(Cronograma!AK$5:AK$11,MATCH($B79,Premissas!$A$39:$A$45,0))</f>
        <v/>
      </c>
      <c r="AM79" s="22" t="str">
        <f>INDEX(Cronograma!AL$5:AL$11,MATCH($B79,Premissas!$A$39:$A$45,0))</f>
        <v/>
      </c>
      <c r="AN79" s="22" t="str">
        <f>INDEX(Cronograma!AM$5:AM$11,MATCH($B79,Premissas!$A$39:$A$45,0))</f>
        <v/>
      </c>
      <c r="AO79" s="22" t="str">
        <f>INDEX(Cronograma!AN$5:AN$11,MATCH($B79,Premissas!$A$39:$A$45,0))</f>
        <v/>
      </c>
      <c r="AP79" s="22" t="str">
        <f>INDEX(Cronograma!AO$5:AO$11,MATCH($B79,Premissas!$A$39:$A$45,0))</f>
        <v>S</v>
      </c>
      <c r="AQ79" s="22" t="str">
        <f>INDEX(Cronograma!AP$5:AP$11,MATCH($B79,Premissas!$A$39:$A$45,0))</f>
        <v/>
      </c>
      <c r="AR79" s="22" t="str">
        <f>INDEX(Cronograma!AQ$5:AQ$11,MATCH($B79,Premissas!$A$39:$A$45,0))</f>
        <v/>
      </c>
      <c r="AS79" s="22" t="str">
        <f>INDEX(Cronograma!AR$5:AR$11,MATCH($B79,Premissas!$A$39:$A$45,0))</f>
        <v/>
      </c>
      <c r="AT79" s="22" t="str">
        <f>INDEX(Cronograma!AS$5:AS$11,MATCH($B79,Premissas!$A$39:$A$45,0))</f>
        <v/>
      </c>
      <c r="AU79" s="22" t="str">
        <f>INDEX(Cronograma!AT$5:AT$11,MATCH($B79,Premissas!$A$39:$A$45,0))</f>
        <v/>
      </c>
      <c r="AV79" s="22" t="str">
        <f>INDEX(Cronograma!AU$5:AU$11,MATCH($B79,Premissas!$A$39:$A$45,0))</f>
        <v/>
      </c>
      <c r="AW79" s="22" t="str">
        <f>INDEX(Cronograma!AV$5:AV$11,MATCH($B79,Premissas!$A$39:$A$45,0))</f>
        <v/>
      </c>
      <c r="AX79" s="22" t="str">
        <f>INDEX(Cronograma!AW$5:AW$11,MATCH($B79,Premissas!$A$39:$A$45,0))</f>
        <v/>
      </c>
      <c r="AY79" s="22" t="str">
        <f>INDEX(Cronograma!AX$5:AX$11,MATCH($B79,Premissas!$A$39:$A$45,0))</f>
        <v/>
      </c>
      <c r="AZ79" s="22" t="str">
        <f>INDEX(Cronograma!AY$5:AY$11,MATCH($B79,Premissas!$A$39:$A$45,0))</f>
        <v/>
      </c>
      <c r="BA79" s="22" t="str">
        <f>INDEX(Cronograma!AZ$5:AZ$11,MATCH($B79,Premissas!$A$39:$A$45,0))</f>
        <v/>
      </c>
      <c r="BB79" s="22" t="str">
        <f>INDEX(Cronograma!BA$5:BA$11,MATCH($B79,Premissas!$A$39:$A$45,0))</f>
        <v/>
      </c>
    </row>
    <row r="80" spans="1:54" ht="15" customHeight="1" x14ac:dyDescent="0.4">
      <c r="A80" s="15" t="str">
        <f>Frota!$B80&amp;" — "&amp;Frota!$A80</f>
        <v>MB 3344 6x4 — 101169</v>
      </c>
      <c r="B80" s="16" t="str">
        <f>Frota!$C80</f>
        <v>Caminhão</v>
      </c>
      <c r="C80" s="22" t="str">
        <f>INDEX(Cronograma!B$5:B$11,MATCH($B80,Premissas!$A$39:$A$45,0))</f>
        <v/>
      </c>
      <c r="D80" s="22" t="str">
        <f>INDEX(Cronograma!C$5:C$11,MATCH($B80,Premissas!$A$39:$A$45,0))</f>
        <v/>
      </c>
      <c r="E80" s="22" t="str">
        <f>INDEX(Cronograma!D$5:D$11,MATCH($B80,Premissas!$A$39:$A$45,0))</f>
        <v/>
      </c>
      <c r="F80" s="22" t="str">
        <f>INDEX(Cronograma!E$5:E$11,MATCH($B80,Premissas!$A$39:$A$45,0))</f>
        <v/>
      </c>
      <c r="G80" s="22" t="str">
        <f>INDEX(Cronograma!F$5:F$11,MATCH($B80,Premissas!$A$39:$A$45,0))</f>
        <v/>
      </c>
      <c r="H80" s="22" t="str">
        <f>INDEX(Cronograma!G$5:G$11,MATCH($B80,Premissas!$A$39:$A$45,0))</f>
        <v/>
      </c>
      <c r="I80" s="22" t="str">
        <f>INDEX(Cronograma!H$5:H$11,MATCH($B80,Premissas!$A$39:$A$45,0))</f>
        <v>S</v>
      </c>
      <c r="J80" s="22" t="str">
        <f>INDEX(Cronograma!I$5:I$11,MATCH($B80,Premissas!$A$39:$A$45,0))</f>
        <v/>
      </c>
      <c r="K80" s="22" t="str">
        <f>INDEX(Cronograma!J$5:J$11,MATCH($B80,Premissas!$A$39:$A$45,0))</f>
        <v/>
      </c>
      <c r="L80" s="22" t="str">
        <f>INDEX(Cronograma!K$5:K$11,MATCH($B80,Premissas!$A$39:$A$45,0))</f>
        <v/>
      </c>
      <c r="M80" s="22" t="str">
        <f>INDEX(Cronograma!L$5:L$11,MATCH($B80,Premissas!$A$39:$A$45,0))</f>
        <v/>
      </c>
      <c r="N80" s="22" t="str">
        <f>INDEX(Cronograma!M$5:M$11,MATCH($B80,Premissas!$A$39:$A$45,0))</f>
        <v/>
      </c>
      <c r="O80" s="22" t="str">
        <f>INDEX(Cronograma!N$5:N$11,MATCH($B80,Premissas!$A$39:$A$45,0))</f>
        <v/>
      </c>
      <c r="P80" s="22" t="str">
        <f>INDEX(Cronograma!O$5:O$11,MATCH($B80,Premissas!$A$39:$A$45,0))</f>
        <v>A</v>
      </c>
      <c r="Q80" s="22" t="str">
        <f>INDEX(Cronograma!P$5:P$11,MATCH($B80,Premissas!$A$39:$A$45,0))</f>
        <v/>
      </c>
      <c r="R80" s="22" t="str">
        <f>INDEX(Cronograma!Q$5:Q$11,MATCH($B80,Premissas!$A$39:$A$45,0))</f>
        <v/>
      </c>
      <c r="S80" s="22" t="str">
        <f>INDEX(Cronograma!R$5:R$11,MATCH($B80,Premissas!$A$39:$A$45,0))</f>
        <v/>
      </c>
      <c r="T80" s="22" t="str">
        <f>INDEX(Cronograma!S$5:S$11,MATCH($B80,Premissas!$A$39:$A$45,0))</f>
        <v/>
      </c>
      <c r="U80" s="22" t="str">
        <f>INDEX(Cronograma!T$5:T$11,MATCH($B80,Premissas!$A$39:$A$45,0))</f>
        <v/>
      </c>
      <c r="V80" s="22" t="str">
        <f>INDEX(Cronograma!U$5:U$11,MATCH($B80,Premissas!$A$39:$A$45,0))</f>
        <v>S</v>
      </c>
      <c r="W80" s="22" t="str">
        <f>INDEX(Cronograma!V$5:V$11,MATCH($B80,Premissas!$A$39:$A$45,0))</f>
        <v/>
      </c>
      <c r="X80" s="22" t="str">
        <f>INDEX(Cronograma!W$5:W$11,MATCH($B80,Premissas!$A$39:$A$45,0))</f>
        <v/>
      </c>
      <c r="Y80" s="22" t="str">
        <f>INDEX(Cronograma!X$5:X$11,MATCH($B80,Premissas!$A$39:$A$45,0))</f>
        <v/>
      </c>
      <c r="Z80" s="22" t="str">
        <f>INDEX(Cronograma!Y$5:Y$11,MATCH($B80,Premissas!$A$39:$A$45,0))</f>
        <v/>
      </c>
      <c r="AA80" s="22" t="str">
        <f>INDEX(Cronograma!Z$5:Z$11,MATCH($B80,Premissas!$A$39:$A$45,0))</f>
        <v/>
      </c>
      <c r="AB80" s="22" t="str">
        <f>INDEX(Cronograma!AA$5:AA$11,MATCH($B80,Premissas!$A$39:$A$45,0))</f>
        <v/>
      </c>
      <c r="AC80" s="22" t="str">
        <f>INDEX(Cronograma!AB$5:AB$11,MATCH($B80,Premissas!$A$39:$A$45,0))</f>
        <v>B</v>
      </c>
      <c r="AD80" s="22" t="str">
        <f>INDEX(Cronograma!AC$5:AC$11,MATCH($B80,Premissas!$A$39:$A$45,0))</f>
        <v/>
      </c>
      <c r="AE80" s="22" t="str">
        <f>INDEX(Cronograma!AD$5:AD$11,MATCH($B80,Premissas!$A$39:$A$45,0))</f>
        <v/>
      </c>
      <c r="AF80" s="22" t="str">
        <f>INDEX(Cronograma!AE$5:AE$11,MATCH($B80,Premissas!$A$39:$A$45,0))</f>
        <v/>
      </c>
      <c r="AG80" s="22" t="str">
        <f>INDEX(Cronograma!AF$5:AF$11,MATCH($B80,Premissas!$A$39:$A$45,0))</f>
        <v/>
      </c>
      <c r="AH80" s="22" t="str">
        <f>INDEX(Cronograma!AG$5:AG$11,MATCH($B80,Premissas!$A$39:$A$45,0))</f>
        <v/>
      </c>
      <c r="AI80" s="22" t="str">
        <f>INDEX(Cronograma!AH$5:AH$11,MATCH($B80,Premissas!$A$39:$A$45,0))</f>
        <v/>
      </c>
      <c r="AJ80" s="22" t="str">
        <f>INDEX(Cronograma!AI$5:AI$11,MATCH($B80,Premissas!$A$39:$A$45,0))</f>
        <v/>
      </c>
      <c r="AK80" s="22" t="str">
        <f>INDEX(Cronograma!AJ$5:AJ$11,MATCH($B80,Premissas!$A$39:$A$45,0))</f>
        <v/>
      </c>
      <c r="AL80" s="22" t="str">
        <f>INDEX(Cronograma!AK$5:AK$11,MATCH($B80,Premissas!$A$39:$A$45,0))</f>
        <v/>
      </c>
      <c r="AM80" s="22" t="str">
        <f>INDEX(Cronograma!AL$5:AL$11,MATCH($B80,Premissas!$A$39:$A$45,0))</f>
        <v/>
      </c>
      <c r="AN80" s="22" t="str">
        <f>INDEX(Cronograma!AM$5:AM$11,MATCH($B80,Premissas!$A$39:$A$45,0))</f>
        <v/>
      </c>
      <c r="AO80" s="22" t="str">
        <f>INDEX(Cronograma!AN$5:AN$11,MATCH($B80,Premissas!$A$39:$A$45,0))</f>
        <v/>
      </c>
      <c r="AP80" s="22" t="str">
        <f>INDEX(Cronograma!AO$5:AO$11,MATCH($B80,Premissas!$A$39:$A$45,0))</f>
        <v>S</v>
      </c>
      <c r="AQ80" s="22" t="str">
        <f>INDEX(Cronograma!AP$5:AP$11,MATCH($B80,Premissas!$A$39:$A$45,0))</f>
        <v/>
      </c>
      <c r="AR80" s="22" t="str">
        <f>INDEX(Cronograma!AQ$5:AQ$11,MATCH($B80,Premissas!$A$39:$A$45,0))</f>
        <v/>
      </c>
      <c r="AS80" s="22" t="str">
        <f>INDEX(Cronograma!AR$5:AR$11,MATCH($B80,Premissas!$A$39:$A$45,0))</f>
        <v/>
      </c>
      <c r="AT80" s="22" t="str">
        <f>INDEX(Cronograma!AS$5:AS$11,MATCH($B80,Premissas!$A$39:$A$45,0))</f>
        <v/>
      </c>
      <c r="AU80" s="22" t="str">
        <f>INDEX(Cronograma!AT$5:AT$11,MATCH($B80,Premissas!$A$39:$A$45,0))</f>
        <v/>
      </c>
      <c r="AV80" s="22" t="str">
        <f>INDEX(Cronograma!AU$5:AU$11,MATCH($B80,Premissas!$A$39:$A$45,0))</f>
        <v/>
      </c>
      <c r="AW80" s="22" t="str">
        <f>INDEX(Cronograma!AV$5:AV$11,MATCH($B80,Premissas!$A$39:$A$45,0))</f>
        <v/>
      </c>
      <c r="AX80" s="22" t="str">
        <f>INDEX(Cronograma!AW$5:AW$11,MATCH($B80,Premissas!$A$39:$A$45,0))</f>
        <v/>
      </c>
      <c r="AY80" s="22" t="str">
        <f>INDEX(Cronograma!AX$5:AX$11,MATCH($B80,Premissas!$A$39:$A$45,0))</f>
        <v/>
      </c>
      <c r="AZ80" s="22" t="str">
        <f>INDEX(Cronograma!AY$5:AY$11,MATCH($B80,Premissas!$A$39:$A$45,0))</f>
        <v/>
      </c>
      <c r="BA80" s="22" t="str">
        <f>INDEX(Cronograma!AZ$5:AZ$11,MATCH($B80,Premissas!$A$39:$A$45,0))</f>
        <v/>
      </c>
      <c r="BB80" s="22" t="str">
        <f>INDEX(Cronograma!BA$5:BA$11,MATCH($B80,Premissas!$A$39:$A$45,0))</f>
        <v/>
      </c>
    </row>
    <row r="81" spans="1:54" ht="15" customHeight="1" x14ac:dyDescent="0.4">
      <c r="A81" s="15" t="str">
        <f>Frota!$B81&amp;" — "&amp;Frota!$A81</f>
        <v>MB 3344 6x4 — 101170</v>
      </c>
      <c r="B81" s="16" t="str">
        <f>Frota!$C81</f>
        <v>Caminhão</v>
      </c>
      <c r="C81" s="22" t="str">
        <f>INDEX(Cronograma!B$5:B$11,MATCH($B81,Premissas!$A$39:$A$45,0))</f>
        <v/>
      </c>
      <c r="D81" s="22" t="str">
        <f>INDEX(Cronograma!C$5:C$11,MATCH($B81,Premissas!$A$39:$A$45,0))</f>
        <v/>
      </c>
      <c r="E81" s="22" t="str">
        <f>INDEX(Cronograma!D$5:D$11,MATCH($B81,Premissas!$A$39:$A$45,0))</f>
        <v/>
      </c>
      <c r="F81" s="22" t="str">
        <f>INDEX(Cronograma!E$5:E$11,MATCH($B81,Premissas!$A$39:$A$45,0))</f>
        <v/>
      </c>
      <c r="G81" s="22" t="str">
        <f>INDEX(Cronograma!F$5:F$11,MATCH($B81,Premissas!$A$39:$A$45,0))</f>
        <v/>
      </c>
      <c r="H81" s="22" t="str">
        <f>INDEX(Cronograma!G$5:G$11,MATCH($B81,Premissas!$A$39:$A$45,0))</f>
        <v/>
      </c>
      <c r="I81" s="22" t="str">
        <f>INDEX(Cronograma!H$5:H$11,MATCH($B81,Premissas!$A$39:$A$45,0))</f>
        <v>S</v>
      </c>
      <c r="J81" s="22" t="str">
        <f>INDEX(Cronograma!I$5:I$11,MATCH($B81,Premissas!$A$39:$A$45,0))</f>
        <v/>
      </c>
      <c r="K81" s="22" t="str">
        <f>INDEX(Cronograma!J$5:J$11,MATCH($B81,Premissas!$A$39:$A$45,0))</f>
        <v/>
      </c>
      <c r="L81" s="22" t="str">
        <f>INDEX(Cronograma!K$5:K$11,MATCH($B81,Premissas!$A$39:$A$45,0))</f>
        <v/>
      </c>
      <c r="M81" s="22" t="str">
        <f>INDEX(Cronograma!L$5:L$11,MATCH($B81,Premissas!$A$39:$A$45,0))</f>
        <v/>
      </c>
      <c r="N81" s="22" t="str">
        <f>INDEX(Cronograma!M$5:M$11,MATCH($B81,Premissas!$A$39:$A$45,0))</f>
        <v/>
      </c>
      <c r="O81" s="22" t="str">
        <f>INDEX(Cronograma!N$5:N$11,MATCH($B81,Premissas!$A$39:$A$45,0))</f>
        <v/>
      </c>
      <c r="P81" s="22" t="str">
        <f>INDEX(Cronograma!O$5:O$11,MATCH($B81,Premissas!$A$39:$A$45,0))</f>
        <v>A</v>
      </c>
      <c r="Q81" s="22" t="str">
        <f>INDEX(Cronograma!P$5:P$11,MATCH($B81,Premissas!$A$39:$A$45,0))</f>
        <v/>
      </c>
      <c r="R81" s="22" t="str">
        <f>INDEX(Cronograma!Q$5:Q$11,MATCH($B81,Premissas!$A$39:$A$45,0))</f>
        <v/>
      </c>
      <c r="S81" s="22" t="str">
        <f>INDEX(Cronograma!R$5:R$11,MATCH($B81,Premissas!$A$39:$A$45,0))</f>
        <v/>
      </c>
      <c r="T81" s="22" t="str">
        <f>INDEX(Cronograma!S$5:S$11,MATCH($B81,Premissas!$A$39:$A$45,0))</f>
        <v/>
      </c>
      <c r="U81" s="22" t="str">
        <f>INDEX(Cronograma!T$5:T$11,MATCH($B81,Premissas!$A$39:$A$45,0))</f>
        <v/>
      </c>
      <c r="V81" s="22" t="str">
        <f>INDEX(Cronograma!U$5:U$11,MATCH($B81,Premissas!$A$39:$A$45,0))</f>
        <v>S</v>
      </c>
      <c r="W81" s="22" t="str">
        <f>INDEX(Cronograma!V$5:V$11,MATCH($B81,Premissas!$A$39:$A$45,0))</f>
        <v/>
      </c>
      <c r="X81" s="22" t="str">
        <f>INDEX(Cronograma!W$5:W$11,MATCH($B81,Premissas!$A$39:$A$45,0))</f>
        <v/>
      </c>
      <c r="Y81" s="22" t="str">
        <f>INDEX(Cronograma!X$5:X$11,MATCH($B81,Premissas!$A$39:$A$45,0))</f>
        <v/>
      </c>
      <c r="Z81" s="22" t="str">
        <f>INDEX(Cronograma!Y$5:Y$11,MATCH($B81,Premissas!$A$39:$A$45,0))</f>
        <v/>
      </c>
      <c r="AA81" s="22" t="str">
        <f>INDEX(Cronograma!Z$5:Z$11,MATCH($B81,Premissas!$A$39:$A$45,0))</f>
        <v/>
      </c>
      <c r="AB81" s="22" t="str">
        <f>INDEX(Cronograma!AA$5:AA$11,MATCH($B81,Premissas!$A$39:$A$45,0))</f>
        <v/>
      </c>
      <c r="AC81" s="22" t="str">
        <f>INDEX(Cronograma!AB$5:AB$11,MATCH($B81,Premissas!$A$39:$A$45,0))</f>
        <v>B</v>
      </c>
      <c r="AD81" s="22" t="str">
        <f>INDEX(Cronograma!AC$5:AC$11,MATCH($B81,Premissas!$A$39:$A$45,0))</f>
        <v/>
      </c>
      <c r="AE81" s="22" t="str">
        <f>INDEX(Cronograma!AD$5:AD$11,MATCH($B81,Premissas!$A$39:$A$45,0))</f>
        <v/>
      </c>
      <c r="AF81" s="22" t="str">
        <f>INDEX(Cronograma!AE$5:AE$11,MATCH($B81,Premissas!$A$39:$A$45,0))</f>
        <v/>
      </c>
      <c r="AG81" s="22" t="str">
        <f>INDEX(Cronograma!AF$5:AF$11,MATCH($B81,Premissas!$A$39:$A$45,0))</f>
        <v/>
      </c>
      <c r="AH81" s="22" t="str">
        <f>INDEX(Cronograma!AG$5:AG$11,MATCH($B81,Premissas!$A$39:$A$45,0))</f>
        <v/>
      </c>
      <c r="AI81" s="22" t="str">
        <f>INDEX(Cronograma!AH$5:AH$11,MATCH($B81,Premissas!$A$39:$A$45,0))</f>
        <v/>
      </c>
      <c r="AJ81" s="22" t="str">
        <f>INDEX(Cronograma!AI$5:AI$11,MATCH($B81,Premissas!$A$39:$A$45,0))</f>
        <v/>
      </c>
      <c r="AK81" s="22" t="str">
        <f>INDEX(Cronograma!AJ$5:AJ$11,MATCH($B81,Premissas!$A$39:$A$45,0))</f>
        <v/>
      </c>
      <c r="AL81" s="22" t="str">
        <f>INDEX(Cronograma!AK$5:AK$11,MATCH($B81,Premissas!$A$39:$A$45,0))</f>
        <v/>
      </c>
      <c r="AM81" s="22" t="str">
        <f>INDEX(Cronograma!AL$5:AL$11,MATCH($B81,Premissas!$A$39:$A$45,0))</f>
        <v/>
      </c>
      <c r="AN81" s="22" t="str">
        <f>INDEX(Cronograma!AM$5:AM$11,MATCH($B81,Premissas!$A$39:$A$45,0))</f>
        <v/>
      </c>
      <c r="AO81" s="22" t="str">
        <f>INDEX(Cronograma!AN$5:AN$11,MATCH($B81,Premissas!$A$39:$A$45,0))</f>
        <v/>
      </c>
      <c r="AP81" s="22" t="str">
        <f>INDEX(Cronograma!AO$5:AO$11,MATCH($B81,Premissas!$A$39:$A$45,0))</f>
        <v>S</v>
      </c>
      <c r="AQ81" s="22" t="str">
        <f>INDEX(Cronograma!AP$5:AP$11,MATCH($B81,Premissas!$A$39:$A$45,0))</f>
        <v/>
      </c>
      <c r="AR81" s="22" t="str">
        <f>INDEX(Cronograma!AQ$5:AQ$11,MATCH($B81,Premissas!$A$39:$A$45,0))</f>
        <v/>
      </c>
      <c r="AS81" s="22" t="str">
        <f>INDEX(Cronograma!AR$5:AR$11,MATCH($B81,Premissas!$A$39:$A$45,0))</f>
        <v/>
      </c>
      <c r="AT81" s="22" t="str">
        <f>INDEX(Cronograma!AS$5:AS$11,MATCH($B81,Premissas!$A$39:$A$45,0))</f>
        <v/>
      </c>
      <c r="AU81" s="22" t="str">
        <f>INDEX(Cronograma!AT$5:AT$11,MATCH($B81,Premissas!$A$39:$A$45,0))</f>
        <v/>
      </c>
      <c r="AV81" s="22" t="str">
        <f>INDEX(Cronograma!AU$5:AU$11,MATCH($B81,Premissas!$A$39:$A$45,0))</f>
        <v/>
      </c>
      <c r="AW81" s="22" t="str">
        <f>INDEX(Cronograma!AV$5:AV$11,MATCH($B81,Premissas!$A$39:$A$45,0))</f>
        <v/>
      </c>
      <c r="AX81" s="22" t="str">
        <f>INDEX(Cronograma!AW$5:AW$11,MATCH($B81,Premissas!$A$39:$A$45,0))</f>
        <v/>
      </c>
      <c r="AY81" s="22" t="str">
        <f>INDEX(Cronograma!AX$5:AX$11,MATCH($B81,Premissas!$A$39:$A$45,0))</f>
        <v/>
      </c>
      <c r="AZ81" s="22" t="str">
        <f>INDEX(Cronograma!AY$5:AY$11,MATCH($B81,Premissas!$A$39:$A$45,0))</f>
        <v/>
      </c>
      <c r="BA81" s="22" t="str">
        <f>INDEX(Cronograma!AZ$5:AZ$11,MATCH($B81,Premissas!$A$39:$A$45,0))</f>
        <v/>
      </c>
      <c r="BB81" s="22" t="str">
        <f>INDEX(Cronograma!BA$5:BA$11,MATCH($B81,Premissas!$A$39:$A$45,0))</f>
        <v/>
      </c>
    </row>
    <row r="82" spans="1:54" ht="15" customHeight="1" x14ac:dyDescent="0.4">
      <c r="A82" s="15" t="str">
        <f>Frota!$B82&amp;" — "&amp;Frota!$A82</f>
        <v>MB 3344 6x4 — 101171</v>
      </c>
      <c r="B82" s="16" t="str">
        <f>Frota!$C82</f>
        <v>Caminhão</v>
      </c>
      <c r="C82" s="22" t="str">
        <f>INDEX(Cronograma!B$5:B$11,MATCH($B82,Premissas!$A$39:$A$45,0))</f>
        <v/>
      </c>
      <c r="D82" s="22" t="str">
        <f>INDEX(Cronograma!C$5:C$11,MATCH($B82,Premissas!$A$39:$A$45,0))</f>
        <v/>
      </c>
      <c r="E82" s="22" t="str">
        <f>INDEX(Cronograma!D$5:D$11,MATCH($B82,Premissas!$A$39:$A$45,0))</f>
        <v/>
      </c>
      <c r="F82" s="22" t="str">
        <f>INDEX(Cronograma!E$5:E$11,MATCH($B82,Premissas!$A$39:$A$45,0))</f>
        <v/>
      </c>
      <c r="G82" s="22" t="str">
        <f>INDEX(Cronograma!F$5:F$11,MATCH($B82,Premissas!$A$39:$A$45,0))</f>
        <v/>
      </c>
      <c r="H82" s="22" t="str">
        <f>INDEX(Cronograma!G$5:G$11,MATCH($B82,Premissas!$A$39:$A$45,0))</f>
        <v/>
      </c>
      <c r="I82" s="22" t="str">
        <f>INDEX(Cronograma!H$5:H$11,MATCH($B82,Premissas!$A$39:$A$45,0))</f>
        <v>S</v>
      </c>
      <c r="J82" s="22" t="str">
        <f>INDEX(Cronograma!I$5:I$11,MATCH($B82,Premissas!$A$39:$A$45,0))</f>
        <v/>
      </c>
      <c r="K82" s="22" t="str">
        <f>INDEX(Cronograma!J$5:J$11,MATCH($B82,Premissas!$A$39:$A$45,0))</f>
        <v/>
      </c>
      <c r="L82" s="22" t="str">
        <f>INDEX(Cronograma!K$5:K$11,MATCH($B82,Premissas!$A$39:$A$45,0))</f>
        <v/>
      </c>
      <c r="M82" s="22" t="str">
        <f>INDEX(Cronograma!L$5:L$11,MATCH($B82,Premissas!$A$39:$A$45,0))</f>
        <v/>
      </c>
      <c r="N82" s="22" t="str">
        <f>INDEX(Cronograma!M$5:M$11,MATCH($B82,Premissas!$A$39:$A$45,0))</f>
        <v/>
      </c>
      <c r="O82" s="22" t="str">
        <f>INDEX(Cronograma!N$5:N$11,MATCH($B82,Premissas!$A$39:$A$45,0))</f>
        <v/>
      </c>
      <c r="P82" s="22" t="str">
        <f>INDEX(Cronograma!O$5:O$11,MATCH($B82,Premissas!$A$39:$A$45,0))</f>
        <v>A</v>
      </c>
      <c r="Q82" s="22" t="str">
        <f>INDEX(Cronograma!P$5:P$11,MATCH($B82,Premissas!$A$39:$A$45,0))</f>
        <v/>
      </c>
      <c r="R82" s="22" t="str">
        <f>INDEX(Cronograma!Q$5:Q$11,MATCH($B82,Premissas!$A$39:$A$45,0))</f>
        <v/>
      </c>
      <c r="S82" s="22" t="str">
        <f>INDEX(Cronograma!R$5:R$11,MATCH($B82,Premissas!$A$39:$A$45,0))</f>
        <v/>
      </c>
      <c r="T82" s="22" t="str">
        <f>INDEX(Cronograma!S$5:S$11,MATCH($B82,Premissas!$A$39:$A$45,0))</f>
        <v/>
      </c>
      <c r="U82" s="22" t="str">
        <f>INDEX(Cronograma!T$5:T$11,MATCH($B82,Premissas!$A$39:$A$45,0))</f>
        <v/>
      </c>
      <c r="V82" s="22" t="str">
        <f>INDEX(Cronograma!U$5:U$11,MATCH($B82,Premissas!$A$39:$A$45,0))</f>
        <v>S</v>
      </c>
      <c r="W82" s="22" t="str">
        <f>INDEX(Cronograma!V$5:V$11,MATCH($B82,Premissas!$A$39:$A$45,0))</f>
        <v/>
      </c>
      <c r="X82" s="22" t="str">
        <f>INDEX(Cronograma!W$5:W$11,MATCH($B82,Premissas!$A$39:$A$45,0))</f>
        <v/>
      </c>
      <c r="Y82" s="22" t="str">
        <f>INDEX(Cronograma!X$5:X$11,MATCH($B82,Premissas!$A$39:$A$45,0))</f>
        <v/>
      </c>
      <c r="Z82" s="22" t="str">
        <f>INDEX(Cronograma!Y$5:Y$11,MATCH($B82,Premissas!$A$39:$A$45,0))</f>
        <v/>
      </c>
      <c r="AA82" s="22" t="str">
        <f>INDEX(Cronograma!Z$5:Z$11,MATCH($B82,Premissas!$A$39:$A$45,0))</f>
        <v/>
      </c>
      <c r="AB82" s="22" t="str">
        <f>INDEX(Cronograma!AA$5:AA$11,MATCH($B82,Premissas!$A$39:$A$45,0))</f>
        <v/>
      </c>
      <c r="AC82" s="22" t="str">
        <f>INDEX(Cronograma!AB$5:AB$11,MATCH($B82,Premissas!$A$39:$A$45,0))</f>
        <v>B</v>
      </c>
      <c r="AD82" s="22" t="str">
        <f>INDEX(Cronograma!AC$5:AC$11,MATCH($B82,Premissas!$A$39:$A$45,0))</f>
        <v/>
      </c>
      <c r="AE82" s="22" t="str">
        <f>INDEX(Cronograma!AD$5:AD$11,MATCH($B82,Premissas!$A$39:$A$45,0))</f>
        <v/>
      </c>
      <c r="AF82" s="22" t="str">
        <f>INDEX(Cronograma!AE$5:AE$11,MATCH($B82,Premissas!$A$39:$A$45,0))</f>
        <v/>
      </c>
      <c r="AG82" s="22" t="str">
        <f>INDEX(Cronograma!AF$5:AF$11,MATCH($B82,Premissas!$A$39:$A$45,0))</f>
        <v/>
      </c>
      <c r="AH82" s="22" t="str">
        <f>INDEX(Cronograma!AG$5:AG$11,MATCH($B82,Premissas!$A$39:$A$45,0))</f>
        <v/>
      </c>
      <c r="AI82" s="22" t="str">
        <f>INDEX(Cronograma!AH$5:AH$11,MATCH($B82,Premissas!$A$39:$A$45,0))</f>
        <v/>
      </c>
      <c r="AJ82" s="22" t="str">
        <f>INDEX(Cronograma!AI$5:AI$11,MATCH($B82,Premissas!$A$39:$A$45,0))</f>
        <v/>
      </c>
      <c r="AK82" s="22" t="str">
        <f>INDEX(Cronograma!AJ$5:AJ$11,MATCH($B82,Premissas!$A$39:$A$45,0))</f>
        <v/>
      </c>
      <c r="AL82" s="22" t="str">
        <f>INDEX(Cronograma!AK$5:AK$11,MATCH($B82,Premissas!$A$39:$A$45,0))</f>
        <v/>
      </c>
      <c r="AM82" s="22" t="str">
        <f>INDEX(Cronograma!AL$5:AL$11,MATCH($B82,Premissas!$A$39:$A$45,0))</f>
        <v/>
      </c>
      <c r="AN82" s="22" t="str">
        <f>INDEX(Cronograma!AM$5:AM$11,MATCH($B82,Premissas!$A$39:$A$45,0))</f>
        <v/>
      </c>
      <c r="AO82" s="22" t="str">
        <f>INDEX(Cronograma!AN$5:AN$11,MATCH($B82,Premissas!$A$39:$A$45,0))</f>
        <v/>
      </c>
      <c r="AP82" s="22" t="str">
        <f>INDEX(Cronograma!AO$5:AO$11,MATCH($B82,Premissas!$A$39:$A$45,0))</f>
        <v>S</v>
      </c>
      <c r="AQ82" s="22" t="str">
        <f>INDEX(Cronograma!AP$5:AP$11,MATCH($B82,Premissas!$A$39:$A$45,0))</f>
        <v/>
      </c>
      <c r="AR82" s="22" t="str">
        <f>INDEX(Cronograma!AQ$5:AQ$11,MATCH($B82,Premissas!$A$39:$A$45,0))</f>
        <v/>
      </c>
      <c r="AS82" s="22" t="str">
        <f>INDEX(Cronograma!AR$5:AR$11,MATCH($B82,Premissas!$A$39:$A$45,0))</f>
        <v/>
      </c>
      <c r="AT82" s="22" t="str">
        <f>INDEX(Cronograma!AS$5:AS$11,MATCH($B82,Premissas!$A$39:$A$45,0))</f>
        <v/>
      </c>
      <c r="AU82" s="22" t="str">
        <f>INDEX(Cronograma!AT$5:AT$11,MATCH($B82,Premissas!$A$39:$A$45,0))</f>
        <v/>
      </c>
      <c r="AV82" s="22" t="str">
        <f>INDEX(Cronograma!AU$5:AU$11,MATCH($B82,Premissas!$A$39:$A$45,0))</f>
        <v/>
      </c>
      <c r="AW82" s="22" t="str">
        <f>INDEX(Cronograma!AV$5:AV$11,MATCH($B82,Premissas!$A$39:$A$45,0))</f>
        <v/>
      </c>
      <c r="AX82" s="22" t="str">
        <f>INDEX(Cronograma!AW$5:AW$11,MATCH($B82,Premissas!$A$39:$A$45,0))</f>
        <v/>
      </c>
      <c r="AY82" s="22" t="str">
        <f>INDEX(Cronograma!AX$5:AX$11,MATCH($B82,Premissas!$A$39:$A$45,0))</f>
        <v/>
      </c>
      <c r="AZ82" s="22" t="str">
        <f>INDEX(Cronograma!AY$5:AY$11,MATCH($B82,Premissas!$A$39:$A$45,0))</f>
        <v/>
      </c>
      <c r="BA82" s="22" t="str">
        <f>INDEX(Cronograma!AZ$5:AZ$11,MATCH($B82,Premissas!$A$39:$A$45,0))</f>
        <v/>
      </c>
      <c r="BB82" s="22" t="str">
        <f>INDEX(Cronograma!BA$5:BA$11,MATCH($B82,Premissas!$A$39:$A$45,0))</f>
        <v/>
      </c>
    </row>
    <row r="83" spans="1:54" ht="15" customHeight="1" x14ac:dyDescent="0.4">
      <c r="A83" s="15" t="str">
        <f>Frota!$B83&amp;" — "&amp;Frota!$A83</f>
        <v>MB 3344 6x4 — 101172</v>
      </c>
      <c r="B83" s="16" t="str">
        <f>Frota!$C83</f>
        <v>Caminhão</v>
      </c>
      <c r="C83" s="22" t="str">
        <f>INDEX(Cronograma!B$5:B$11,MATCH($B83,Premissas!$A$39:$A$45,0))</f>
        <v/>
      </c>
      <c r="D83" s="22" t="str">
        <f>INDEX(Cronograma!C$5:C$11,MATCH($B83,Premissas!$A$39:$A$45,0))</f>
        <v/>
      </c>
      <c r="E83" s="22" t="str">
        <f>INDEX(Cronograma!D$5:D$11,MATCH($B83,Premissas!$A$39:$A$45,0))</f>
        <v/>
      </c>
      <c r="F83" s="22" t="str">
        <f>INDEX(Cronograma!E$5:E$11,MATCH($B83,Premissas!$A$39:$A$45,0))</f>
        <v/>
      </c>
      <c r="G83" s="22" t="str">
        <f>INDEX(Cronograma!F$5:F$11,MATCH($B83,Premissas!$A$39:$A$45,0))</f>
        <v/>
      </c>
      <c r="H83" s="22" t="str">
        <f>INDEX(Cronograma!G$5:G$11,MATCH($B83,Premissas!$A$39:$A$45,0))</f>
        <v/>
      </c>
      <c r="I83" s="22" t="str">
        <f>INDEX(Cronograma!H$5:H$11,MATCH($B83,Premissas!$A$39:$A$45,0))</f>
        <v>S</v>
      </c>
      <c r="J83" s="22" t="str">
        <f>INDEX(Cronograma!I$5:I$11,MATCH($B83,Premissas!$A$39:$A$45,0))</f>
        <v/>
      </c>
      <c r="K83" s="22" t="str">
        <f>INDEX(Cronograma!J$5:J$11,MATCH($B83,Premissas!$A$39:$A$45,0))</f>
        <v/>
      </c>
      <c r="L83" s="22" t="str">
        <f>INDEX(Cronograma!K$5:K$11,MATCH($B83,Premissas!$A$39:$A$45,0))</f>
        <v/>
      </c>
      <c r="M83" s="22" t="str">
        <f>INDEX(Cronograma!L$5:L$11,MATCH($B83,Premissas!$A$39:$A$45,0))</f>
        <v/>
      </c>
      <c r="N83" s="22" t="str">
        <f>INDEX(Cronograma!M$5:M$11,MATCH($B83,Premissas!$A$39:$A$45,0))</f>
        <v/>
      </c>
      <c r="O83" s="22" t="str">
        <f>INDEX(Cronograma!N$5:N$11,MATCH($B83,Premissas!$A$39:$A$45,0))</f>
        <v/>
      </c>
      <c r="P83" s="22" t="str">
        <f>INDEX(Cronograma!O$5:O$11,MATCH($B83,Premissas!$A$39:$A$45,0))</f>
        <v>A</v>
      </c>
      <c r="Q83" s="22" t="str">
        <f>INDEX(Cronograma!P$5:P$11,MATCH($B83,Premissas!$A$39:$A$45,0))</f>
        <v/>
      </c>
      <c r="R83" s="22" t="str">
        <f>INDEX(Cronograma!Q$5:Q$11,MATCH($B83,Premissas!$A$39:$A$45,0))</f>
        <v/>
      </c>
      <c r="S83" s="22" t="str">
        <f>INDEX(Cronograma!R$5:R$11,MATCH($B83,Premissas!$A$39:$A$45,0))</f>
        <v/>
      </c>
      <c r="T83" s="22" t="str">
        <f>INDEX(Cronograma!S$5:S$11,MATCH($B83,Premissas!$A$39:$A$45,0))</f>
        <v/>
      </c>
      <c r="U83" s="22" t="str">
        <f>INDEX(Cronograma!T$5:T$11,MATCH($B83,Premissas!$A$39:$A$45,0))</f>
        <v/>
      </c>
      <c r="V83" s="22" t="str">
        <f>INDEX(Cronograma!U$5:U$11,MATCH($B83,Premissas!$A$39:$A$45,0))</f>
        <v>S</v>
      </c>
      <c r="W83" s="22" t="str">
        <f>INDEX(Cronograma!V$5:V$11,MATCH($B83,Premissas!$A$39:$A$45,0))</f>
        <v/>
      </c>
      <c r="X83" s="22" t="str">
        <f>INDEX(Cronograma!W$5:W$11,MATCH($B83,Premissas!$A$39:$A$45,0))</f>
        <v/>
      </c>
      <c r="Y83" s="22" t="str">
        <f>INDEX(Cronograma!X$5:X$11,MATCH($B83,Premissas!$A$39:$A$45,0))</f>
        <v/>
      </c>
      <c r="Z83" s="22" t="str">
        <f>INDEX(Cronograma!Y$5:Y$11,MATCH($B83,Premissas!$A$39:$A$45,0))</f>
        <v/>
      </c>
      <c r="AA83" s="22" t="str">
        <f>INDEX(Cronograma!Z$5:Z$11,MATCH($B83,Premissas!$A$39:$A$45,0))</f>
        <v/>
      </c>
      <c r="AB83" s="22" t="str">
        <f>INDEX(Cronograma!AA$5:AA$11,MATCH($B83,Premissas!$A$39:$A$45,0))</f>
        <v/>
      </c>
      <c r="AC83" s="22" t="str">
        <f>INDEX(Cronograma!AB$5:AB$11,MATCH($B83,Premissas!$A$39:$A$45,0))</f>
        <v>B</v>
      </c>
      <c r="AD83" s="22" t="str">
        <f>INDEX(Cronograma!AC$5:AC$11,MATCH($B83,Premissas!$A$39:$A$45,0))</f>
        <v/>
      </c>
      <c r="AE83" s="22" t="str">
        <f>INDEX(Cronograma!AD$5:AD$11,MATCH($B83,Premissas!$A$39:$A$45,0))</f>
        <v/>
      </c>
      <c r="AF83" s="22" t="str">
        <f>INDEX(Cronograma!AE$5:AE$11,MATCH($B83,Premissas!$A$39:$A$45,0))</f>
        <v/>
      </c>
      <c r="AG83" s="22" t="str">
        <f>INDEX(Cronograma!AF$5:AF$11,MATCH($B83,Premissas!$A$39:$A$45,0))</f>
        <v/>
      </c>
      <c r="AH83" s="22" t="str">
        <f>INDEX(Cronograma!AG$5:AG$11,MATCH($B83,Premissas!$A$39:$A$45,0))</f>
        <v/>
      </c>
      <c r="AI83" s="22" t="str">
        <f>INDEX(Cronograma!AH$5:AH$11,MATCH($B83,Premissas!$A$39:$A$45,0))</f>
        <v/>
      </c>
      <c r="AJ83" s="22" t="str">
        <f>INDEX(Cronograma!AI$5:AI$11,MATCH($B83,Premissas!$A$39:$A$45,0))</f>
        <v/>
      </c>
      <c r="AK83" s="22" t="str">
        <f>INDEX(Cronograma!AJ$5:AJ$11,MATCH($B83,Premissas!$A$39:$A$45,0))</f>
        <v/>
      </c>
      <c r="AL83" s="22" t="str">
        <f>INDEX(Cronograma!AK$5:AK$11,MATCH($B83,Premissas!$A$39:$A$45,0))</f>
        <v/>
      </c>
      <c r="AM83" s="22" t="str">
        <f>INDEX(Cronograma!AL$5:AL$11,MATCH($B83,Premissas!$A$39:$A$45,0))</f>
        <v/>
      </c>
      <c r="AN83" s="22" t="str">
        <f>INDEX(Cronograma!AM$5:AM$11,MATCH($B83,Premissas!$A$39:$A$45,0))</f>
        <v/>
      </c>
      <c r="AO83" s="22" t="str">
        <f>INDEX(Cronograma!AN$5:AN$11,MATCH($B83,Premissas!$A$39:$A$45,0))</f>
        <v/>
      </c>
      <c r="AP83" s="22" t="str">
        <f>INDEX(Cronograma!AO$5:AO$11,MATCH($B83,Premissas!$A$39:$A$45,0))</f>
        <v>S</v>
      </c>
      <c r="AQ83" s="22" t="str">
        <f>INDEX(Cronograma!AP$5:AP$11,MATCH($B83,Premissas!$A$39:$A$45,0))</f>
        <v/>
      </c>
      <c r="AR83" s="22" t="str">
        <f>INDEX(Cronograma!AQ$5:AQ$11,MATCH($B83,Premissas!$A$39:$A$45,0))</f>
        <v/>
      </c>
      <c r="AS83" s="22" t="str">
        <f>INDEX(Cronograma!AR$5:AR$11,MATCH($B83,Premissas!$A$39:$A$45,0))</f>
        <v/>
      </c>
      <c r="AT83" s="22" t="str">
        <f>INDEX(Cronograma!AS$5:AS$11,MATCH($B83,Premissas!$A$39:$A$45,0))</f>
        <v/>
      </c>
      <c r="AU83" s="22" t="str">
        <f>INDEX(Cronograma!AT$5:AT$11,MATCH($B83,Premissas!$A$39:$A$45,0))</f>
        <v/>
      </c>
      <c r="AV83" s="22" t="str">
        <f>INDEX(Cronograma!AU$5:AU$11,MATCH($B83,Premissas!$A$39:$A$45,0))</f>
        <v/>
      </c>
      <c r="AW83" s="22" t="str">
        <f>INDEX(Cronograma!AV$5:AV$11,MATCH($B83,Premissas!$A$39:$A$45,0))</f>
        <v/>
      </c>
      <c r="AX83" s="22" t="str">
        <f>INDEX(Cronograma!AW$5:AW$11,MATCH($B83,Premissas!$A$39:$A$45,0))</f>
        <v/>
      </c>
      <c r="AY83" s="22" t="str">
        <f>INDEX(Cronograma!AX$5:AX$11,MATCH($B83,Premissas!$A$39:$A$45,0))</f>
        <v/>
      </c>
      <c r="AZ83" s="22" t="str">
        <f>INDEX(Cronograma!AY$5:AY$11,MATCH($B83,Premissas!$A$39:$A$45,0))</f>
        <v/>
      </c>
      <c r="BA83" s="22" t="str">
        <f>INDEX(Cronograma!AZ$5:AZ$11,MATCH($B83,Premissas!$A$39:$A$45,0))</f>
        <v/>
      </c>
      <c r="BB83" s="22" t="str">
        <f>INDEX(Cronograma!BA$5:BA$11,MATCH($B83,Premissas!$A$39:$A$45,0))</f>
        <v/>
      </c>
    </row>
    <row r="84" spans="1:54" ht="15" customHeight="1" x14ac:dyDescent="0.4">
      <c r="A84" s="15" t="str">
        <f>Frota!$B84&amp;" — "&amp;Frota!$A84</f>
        <v>MB 3344 6x4 — 101173</v>
      </c>
      <c r="B84" s="16" t="str">
        <f>Frota!$C84</f>
        <v>Caminhão</v>
      </c>
      <c r="C84" s="22" t="str">
        <f>INDEX(Cronograma!B$5:B$11,MATCH($B84,Premissas!$A$39:$A$45,0))</f>
        <v/>
      </c>
      <c r="D84" s="22" t="str">
        <f>INDEX(Cronograma!C$5:C$11,MATCH($B84,Premissas!$A$39:$A$45,0))</f>
        <v/>
      </c>
      <c r="E84" s="22" t="str">
        <f>INDEX(Cronograma!D$5:D$11,MATCH($B84,Premissas!$A$39:$A$45,0))</f>
        <v/>
      </c>
      <c r="F84" s="22" t="str">
        <f>INDEX(Cronograma!E$5:E$11,MATCH($B84,Premissas!$A$39:$A$45,0))</f>
        <v/>
      </c>
      <c r="G84" s="22" t="str">
        <f>INDEX(Cronograma!F$5:F$11,MATCH($B84,Premissas!$A$39:$A$45,0))</f>
        <v/>
      </c>
      <c r="H84" s="22" t="str">
        <f>INDEX(Cronograma!G$5:G$11,MATCH($B84,Premissas!$A$39:$A$45,0))</f>
        <v/>
      </c>
      <c r="I84" s="22" t="str">
        <f>INDEX(Cronograma!H$5:H$11,MATCH($B84,Premissas!$A$39:$A$45,0))</f>
        <v>S</v>
      </c>
      <c r="J84" s="22" t="str">
        <f>INDEX(Cronograma!I$5:I$11,MATCH($B84,Premissas!$A$39:$A$45,0))</f>
        <v/>
      </c>
      <c r="K84" s="22" t="str">
        <f>INDEX(Cronograma!J$5:J$11,MATCH($B84,Premissas!$A$39:$A$45,0))</f>
        <v/>
      </c>
      <c r="L84" s="22" t="str">
        <f>INDEX(Cronograma!K$5:K$11,MATCH($B84,Premissas!$A$39:$A$45,0))</f>
        <v/>
      </c>
      <c r="M84" s="22" t="str">
        <f>INDEX(Cronograma!L$5:L$11,MATCH($B84,Premissas!$A$39:$A$45,0))</f>
        <v/>
      </c>
      <c r="N84" s="22" t="str">
        <f>INDEX(Cronograma!M$5:M$11,MATCH($B84,Premissas!$A$39:$A$45,0))</f>
        <v/>
      </c>
      <c r="O84" s="22" t="str">
        <f>INDEX(Cronograma!N$5:N$11,MATCH($B84,Premissas!$A$39:$A$45,0))</f>
        <v/>
      </c>
      <c r="P84" s="22" t="str">
        <f>INDEX(Cronograma!O$5:O$11,MATCH($B84,Premissas!$A$39:$A$45,0))</f>
        <v>A</v>
      </c>
      <c r="Q84" s="22" t="str">
        <f>INDEX(Cronograma!P$5:P$11,MATCH($B84,Premissas!$A$39:$A$45,0))</f>
        <v/>
      </c>
      <c r="R84" s="22" t="str">
        <f>INDEX(Cronograma!Q$5:Q$11,MATCH($B84,Premissas!$A$39:$A$45,0))</f>
        <v/>
      </c>
      <c r="S84" s="22" t="str">
        <f>INDEX(Cronograma!R$5:R$11,MATCH($B84,Premissas!$A$39:$A$45,0))</f>
        <v/>
      </c>
      <c r="T84" s="22" t="str">
        <f>INDEX(Cronograma!S$5:S$11,MATCH($B84,Premissas!$A$39:$A$45,0))</f>
        <v/>
      </c>
      <c r="U84" s="22" t="str">
        <f>INDEX(Cronograma!T$5:T$11,MATCH($B84,Premissas!$A$39:$A$45,0))</f>
        <v/>
      </c>
      <c r="V84" s="22" t="str">
        <f>INDEX(Cronograma!U$5:U$11,MATCH($B84,Premissas!$A$39:$A$45,0))</f>
        <v>S</v>
      </c>
      <c r="W84" s="22" t="str">
        <f>INDEX(Cronograma!V$5:V$11,MATCH($B84,Premissas!$A$39:$A$45,0))</f>
        <v/>
      </c>
      <c r="X84" s="22" t="str">
        <f>INDEX(Cronograma!W$5:W$11,MATCH($B84,Premissas!$A$39:$A$45,0))</f>
        <v/>
      </c>
      <c r="Y84" s="22" t="str">
        <f>INDEX(Cronograma!X$5:X$11,MATCH($B84,Premissas!$A$39:$A$45,0))</f>
        <v/>
      </c>
      <c r="Z84" s="22" t="str">
        <f>INDEX(Cronograma!Y$5:Y$11,MATCH($B84,Premissas!$A$39:$A$45,0))</f>
        <v/>
      </c>
      <c r="AA84" s="22" t="str">
        <f>INDEX(Cronograma!Z$5:Z$11,MATCH($B84,Premissas!$A$39:$A$45,0))</f>
        <v/>
      </c>
      <c r="AB84" s="22" t="str">
        <f>INDEX(Cronograma!AA$5:AA$11,MATCH($B84,Premissas!$A$39:$A$45,0))</f>
        <v/>
      </c>
      <c r="AC84" s="22" t="str">
        <f>INDEX(Cronograma!AB$5:AB$11,MATCH($B84,Premissas!$A$39:$A$45,0))</f>
        <v>B</v>
      </c>
      <c r="AD84" s="22" t="str">
        <f>INDEX(Cronograma!AC$5:AC$11,MATCH($B84,Premissas!$A$39:$A$45,0))</f>
        <v/>
      </c>
      <c r="AE84" s="22" t="str">
        <f>INDEX(Cronograma!AD$5:AD$11,MATCH($B84,Premissas!$A$39:$A$45,0))</f>
        <v/>
      </c>
      <c r="AF84" s="22" t="str">
        <f>INDEX(Cronograma!AE$5:AE$11,MATCH($B84,Premissas!$A$39:$A$45,0))</f>
        <v/>
      </c>
      <c r="AG84" s="22" t="str">
        <f>INDEX(Cronograma!AF$5:AF$11,MATCH($B84,Premissas!$A$39:$A$45,0))</f>
        <v/>
      </c>
      <c r="AH84" s="22" t="str">
        <f>INDEX(Cronograma!AG$5:AG$11,MATCH($B84,Premissas!$A$39:$A$45,0))</f>
        <v/>
      </c>
      <c r="AI84" s="22" t="str">
        <f>INDEX(Cronograma!AH$5:AH$11,MATCH($B84,Premissas!$A$39:$A$45,0))</f>
        <v/>
      </c>
      <c r="AJ84" s="22" t="str">
        <f>INDEX(Cronograma!AI$5:AI$11,MATCH($B84,Premissas!$A$39:$A$45,0))</f>
        <v/>
      </c>
      <c r="AK84" s="22" t="str">
        <f>INDEX(Cronograma!AJ$5:AJ$11,MATCH($B84,Premissas!$A$39:$A$45,0))</f>
        <v/>
      </c>
      <c r="AL84" s="22" t="str">
        <f>INDEX(Cronograma!AK$5:AK$11,MATCH($B84,Premissas!$A$39:$A$45,0))</f>
        <v/>
      </c>
      <c r="AM84" s="22" t="str">
        <f>INDEX(Cronograma!AL$5:AL$11,MATCH($B84,Premissas!$A$39:$A$45,0))</f>
        <v/>
      </c>
      <c r="AN84" s="22" t="str">
        <f>INDEX(Cronograma!AM$5:AM$11,MATCH($B84,Premissas!$A$39:$A$45,0))</f>
        <v/>
      </c>
      <c r="AO84" s="22" t="str">
        <f>INDEX(Cronograma!AN$5:AN$11,MATCH($B84,Premissas!$A$39:$A$45,0))</f>
        <v/>
      </c>
      <c r="AP84" s="22" t="str">
        <f>INDEX(Cronograma!AO$5:AO$11,MATCH($B84,Premissas!$A$39:$A$45,0))</f>
        <v>S</v>
      </c>
      <c r="AQ84" s="22" t="str">
        <f>INDEX(Cronograma!AP$5:AP$11,MATCH($B84,Premissas!$A$39:$A$45,0))</f>
        <v/>
      </c>
      <c r="AR84" s="22" t="str">
        <f>INDEX(Cronograma!AQ$5:AQ$11,MATCH($B84,Premissas!$A$39:$A$45,0))</f>
        <v/>
      </c>
      <c r="AS84" s="22" t="str">
        <f>INDEX(Cronograma!AR$5:AR$11,MATCH($B84,Premissas!$A$39:$A$45,0))</f>
        <v/>
      </c>
      <c r="AT84" s="22" t="str">
        <f>INDEX(Cronograma!AS$5:AS$11,MATCH($B84,Premissas!$A$39:$A$45,0))</f>
        <v/>
      </c>
      <c r="AU84" s="22" t="str">
        <f>INDEX(Cronograma!AT$5:AT$11,MATCH($B84,Premissas!$A$39:$A$45,0))</f>
        <v/>
      </c>
      <c r="AV84" s="22" t="str">
        <f>INDEX(Cronograma!AU$5:AU$11,MATCH($B84,Premissas!$A$39:$A$45,0))</f>
        <v/>
      </c>
      <c r="AW84" s="22" t="str">
        <f>INDEX(Cronograma!AV$5:AV$11,MATCH($B84,Premissas!$A$39:$A$45,0))</f>
        <v/>
      </c>
      <c r="AX84" s="22" t="str">
        <f>INDEX(Cronograma!AW$5:AW$11,MATCH($B84,Premissas!$A$39:$A$45,0))</f>
        <v/>
      </c>
      <c r="AY84" s="22" t="str">
        <f>INDEX(Cronograma!AX$5:AX$11,MATCH($B84,Premissas!$A$39:$A$45,0))</f>
        <v/>
      </c>
      <c r="AZ84" s="22" t="str">
        <f>INDEX(Cronograma!AY$5:AY$11,MATCH($B84,Premissas!$A$39:$A$45,0))</f>
        <v/>
      </c>
      <c r="BA84" s="22" t="str">
        <f>INDEX(Cronograma!AZ$5:AZ$11,MATCH($B84,Premissas!$A$39:$A$45,0))</f>
        <v/>
      </c>
      <c r="BB84" s="22" t="str">
        <f>INDEX(Cronograma!BA$5:BA$11,MATCH($B84,Premissas!$A$39:$A$45,0))</f>
        <v/>
      </c>
    </row>
    <row r="85" spans="1:54" ht="15" customHeight="1" x14ac:dyDescent="0.4">
      <c r="A85" s="15" t="str">
        <f>Frota!$B85&amp;" — "&amp;Frota!$A85</f>
        <v>MB 3344 6x4 — 101174</v>
      </c>
      <c r="B85" s="16" t="str">
        <f>Frota!$C85</f>
        <v>Caminhão</v>
      </c>
      <c r="C85" s="22" t="str">
        <f>INDEX(Cronograma!B$5:B$11,MATCH($B85,Premissas!$A$39:$A$45,0))</f>
        <v/>
      </c>
      <c r="D85" s="22" t="str">
        <f>INDEX(Cronograma!C$5:C$11,MATCH($B85,Premissas!$A$39:$A$45,0))</f>
        <v/>
      </c>
      <c r="E85" s="22" t="str">
        <f>INDEX(Cronograma!D$5:D$11,MATCH($B85,Premissas!$A$39:$A$45,0))</f>
        <v/>
      </c>
      <c r="F85" s="22" t="str">
        <f>INDEX(Cronograma!E$5:E$11,MATCH($B85,Premissas!$A$39:$A$45,0))</f>
        <v/>
      </c>
      <c r="G85" s="22" t="str">
        <f>INDEX(Cronograma!F$5:F$11,MATCH($B85,Premissas!$A$39:$A$45,0))</f>
        <v/>
      </c>
      <c r="H85" s="22" t="str">
        <f>INDEX(Cronograma!G$5:G$11,MATCH($B85,Premissas!$A$39:$A$45,0))</f>
        <v/>
      </c>
      <c r="I85" s="22" t="str">
        <f>INDEX(Cronograma!H$5:H$11,MATCH($B85,Premissas!$A$39:$A$45,0))</f>
        <v>S</v>
      </c>
      <c r="J85" s="22" t="str">
        <f>INDEX(Cronograma!I$5:I$11,MATCH($B85,Premissas!$A$39:$A$45,0))</f>
        <v/>
      </c>
      <c r="K85" s="22" t="str">
        <f>INDEX(Cronograma!J$5:J$11,MATCH($B85,Premissas!$A$39:$A$45,0))</f>
        <v/>
      </c>
      <c r="L85" s="22" t="str">
        <f>INDEX(Cronograma!K$5:K$11,MATCH($B85,Premissas!$A$39:$A$45,0))</f>
        <v/>
      </c>
      <c r="M85" s="22" t="str">
        <f>INDEX(Cronograma!L$5:L$11,MATCH($B85,Premissas!$A$39:$A$45,0))</f>
        <v/>
      </c>
      <c r="N85" s="22" t="str">
        <f>INDEX(Cronograma!M$5:M$11,MATCH($B85,Premissas!$A$39:$A$45,0))</f>
        <v/>
      </c>
      <c r="O85" s="22" t="str">
        <f>INDEX(Cronograma!N$5:N$11,MATCH($B85,Premissas!$A$39:$A$45,0))</f>
        <v/>
      </c>
      <c r="P85" s="22" t="str">
        <f>INDEX(Cronograma!O$5:O$11,MATCH($B85,Premissas!$A$39:$A$45,0))</f>
        <v>A</v>
      </c>
      <c r="Q85" s="22" t="str">
        <f>INDEX(Cronograma!P$5:P$11,MATCH($B85,Premissas!$A$39:$A$45,0))</f>
        <v/>
      </c>
      <c r="R85" s="22" t="str">
        <f>INDEX(Cronograma!Q$5:Q$11,MATCH($B85,Premissas!$A$39:$A$45,0))</f>
        <v/>
      </c>
      <c r="S85" s="22" t="str">
        <f>INDEX(Cronograma!R$5:R$11,MATCH($B85,Premissas!$A$39:$A$45,0))</f>
        <v/>
      </c>
      <c r="T85" s="22" t="str">
        <f>INDEX(Cronograma!S$5:S$11,MATCH($B85,Premissas!$A$39:$A$45,0))</f>
        <v/>
      </c>
      <c r="U85" s="22" t="str">
        <f>INDEX(Cronograma!T$5:T$11,MATCH($B85,Premissas!$A$39:$A$45,0))</f>
        <v/>
      </c>
      <c r="V85" s="22" t="str">
        <f>INDEX(Cronograma!U$5:U$11,MATCH($B85,Premissas!$A$39:$A$45,0))</f>
        <v>S</v>
      </c>
      <c r="W85" s="22" t="str">
        <f>INDEX(Cronograma!V$5:V$11,MATCH($B85,Premissas!$A$39:$A$45,0))</f>
        <v/>
      </c>
      <c r="X85" s="22" t="str">
        <f>INDEX(Cronograma!W$5:W$11,MATCH($B85,Premissas!$A$39:$A$45,0))</f>
        <v/>
      </c>
      <c r="Y85" s="22" t="str">
        <f>INDEX(Cronograma!X$5:X$11,MATCH($B85,Premissas!$A$39:$A$45,0))</f>
        <v/>
      </c>
      <c r="Z85" s="22" t="str">
        <f>INDEX(Cronograma!Y$5:Y$11,MATCH($B85,Premissas!$A$39:$A$45,0))</f>
        <v/>
      </c>
      <c r="AA85" s="22" t="str">
        <f>INDEX(Cronograma!Z$5:Z$11,MATCH($B85,Premissas!$A$39:$A$45,0))</f>
        <v/>
      </c>
      <c r="AB85" s="22" t="str">
        <f>INDEX(Cronograma!AA$5:AA$11,MATCH($B85,Premissas!$A$39:$A$45,0))</f>
        <v/>
      </c>
      <c r="AC85" s="22" t="str">
        <f>INDEX(Cronograma!AB$5:AB$11,MATCH($B85,Premissas!$A$39:$A$45,0))</f>
        <v>B</v>
      </c>
      <c r="AD85" s="22" t="str">
        <f>INDEX(Cronograma!AC$5:AC$11,MATCH($B85,Premissas!$A$39:$A$45,0))</f>
        <v/>
      </c>
      <c r="AE85" s="22" t="str">
        <f>INDEX(Cronograma!AD$5:AD$11,MATCH($B85,Premissas!$A$39:$A$45,0))</f>
        <v/>
      </c>
      <c r="AF85" s="22" t="str">
        <f>INDEX(Cronograma!AE$5:AE$11,MATCH($B85,Premissas!$A$39:$A$45,0))</f>
        <v/>
      </c>
      <c r="AG85" s="22" t="str">
        <f>INDEX(Cronograma!AF$5:AF$11,MATCH($B85,Premissas!$A$39:$A$45,0))</f>
        <v/>
      </c>
      <c r="AH85" s="22" t="str">
        <f>INDEX(Cronograma!AG$5:AG$11,MATCH($B85,Premissas!$A$39:$A$45,0))</f>
        <v/>
      </c>
      <c r="AI85" s="22" t="str">
        <f>INDEX(Cronograma!AH$5:AH$11,MATCH($B85,Premissas!$A$39:$A$45,0))</f>
        <v/>
      </c>
      <c r="AJ85" s="22" t="str">
        <f>INDEX(Cronograma!AI$5:AI$11,MATCH($B85,Premissas!$A$39:$A$45,0))</f>
        <v/>
      </c>
      <c r="AK85" s="22" t="str">
        <f>INDEX(Cronograma!AJ$5:AJ$11,MATCH($B85,Premissas!$A$39:$A$45,0))</f>
        <v/>
      </c>
      <c r="AL85" s="22" t="str">
        <f>INDEX(Cronograma!AK$5:AK$11,MATCH($B85,Premissas!$A$39:$A$45,0))</f>
        <v/>
      </c>
      <c r="AM85" s="22" t="str">
        <f>INDEX(Cronograma!AL$5:AL$11,MATCH($B85,Premissas!$A$39:$A$45,0))</f>
        <v/>
      </c>
      <c r="AN85" s="22" t="str">
        <f>INDEX(Cronograma!AM$5:AM$11,MATCH($B85,Premissas!$A$39:$A$45,0))</f>
        <v/>
      </c>
      <c r="AO85" s="22" t="str">
        <f>INDEX(Cronograma!AN$5:AN$11,MATCH($B85,Premissas!$A$39:$A$45,0))</f>
        <v/>
      </c>
      <c r="AP85" s="22" t="str">
        <f>INDEX(Cronograma!AO$5:AO$11,MATCH($B85,Premissas!$A$39:$A$45,0))</f>
        <v>S</v>
      </c>
      <c r="AQ85" s="22" t="str">
        <f>INDEX(Cronograma!AP$5:AP$11,MATCH($B85,Premissas!$A$39:$A$45,0))</f>
        <v/>
      </c>
      <c r="AR85" s="22" t="str">
        <f>INDEX(Cronograma!AQ$5:AQ$11,MATCH($B85,Premissas!$A$39:$A$45,0))</f>
        <v/>
      </c>
      <c r="AS85" s="22" t="str">
        <f>INDEX(Cronograma!AR$5:AR$11,MATCH($B85,Premissas!$A$39:$A$45,0))</f>
        <v/>
      </c>
      <c r="AT85" s="22" t="str">
        <f>INDEX(Cronograma!AS$5:AS$11,MATCH($B85,Premissas!$A$39:$A$45,0))</f>
        <v/>
      </c>
      <c r="AU85" s="22" t="str">
        <f>INDEX(Cronograma!AT$5:AT$11,MATCH($B85,Premissas!$A$39:$A$45,0))</f>
        <v/>
      </c>
      <c r="AV85" s="22" t="str">
        <f>INDEX(Cronograma!AU$5:AU$11,MATCH($B85,Premissas!$A$39:$A$45,0))</f>
        <v/>
      </c>
      <c r="AW85" s="22" t="str">
        <f>INDEX(Cronograma!AV$5:AV$11,MATCH($B85,Premissas!$A$39:$A$45,0))</f>
        <v/>
      </c>
      <c r="AX85" s="22" t="str">
        <f>INDEX(Cronograma!AW$5:AW$11,MATCH($B85,Premissas!$A$39:$A$45,0))</f>
        <v/>
      </c>
      <c r="AY85" s="22" t="str">
        <f>INDEX(Cronograma!AX$5:AX$11,MATCH($B85,Premissas!$A$39:$A$45,0))</f>
        <v/>
      </c>
      <c r="AZ85" s="22" t="str">
        <f>INDEX(Cronograma!AY$5:AY$11,MATCH($B85,Premissas!$A$39:$A$45,0))</f>
        <v/>
      </c>
      <c r="BA85" s="22" t="str">
        <f>INDEX(Cronograma!AZ$5:AZ$11,MATCH($B85,Premissas!$A$39:$A$45,0))</f>
        <v/>
      </c>
      <c r="BB85" s="22" t="str">
        <f>INDEX(Cronograma!BA$5:BA$11,MATCH($B85,Premissas!$A$39:$A$45,0))</f>
        <v/>
      </c>
    </row>
    <row r="86" spans="1:54" ht="15" customHeight="1" x14ac:dyDescent="0.4">
      <c r="A86" s="15" t="str">
        <f>Frota!$B86&amp;" — "&amp;Frota!$A86</f>
        <v>MB 3344 6x4 — 101175</v>
      </c>
      <c r="B86" s="16" t="str">
        <f>Frota!$C86</f>
        <v>Caminhão</v>
      </c>
      <c r="C86" s="22" t="str">
        <f>INDEX(Cronograma!B$5:B$11,MATCH($B86,Premissas!$A$39:$A$45,0))</f>
        <v/>
      </c>
      <c r="D86" s="22" t="str">
        <f>INDEX(Cronograma!C$5:C$11,MATCH($B86,Premissas!$A$39:$A$45,0))</f>
        <v/>
      </c>
      <c r="E86" s="22" t="str">
        <f>INDEX(Cronograma!D$5:D$11,MATCH($B86,Premissas!$A$39:$A$45,0))</f>
        <v/>
      </c>
      <c r="F86" s="22" t="str">
        <f>INDEX(Cronograma!E$5:E$11,MATCH($B86,Premissas!$A$39:$A$45,0))</f>
        <v/>
      </c>
      <c r="G86" s="22" t="str">
        <f>INDEX(Cronograma!F$5:F$11,MATCH($B86,Premissas!$A$39:$A$45,0))</f>
        <v/>
      </c>
      <c r="H86" s="22" t="str">
        <f>INDEX(Cronograma!G$5:G$11,MATCH($B86,Premissas!$A$39:$A$45,0))</f>
        <v/>
      </c>
      <c r="I86" s="22" t="str">
        <f>INDEX(Cronograma!H$5:H$11,MATCH($B86,Premissas!$A$39:$A$45,0))</f>
        <v>S</v>
      </c>
      <c r="J86" s="22" t="str">
        <f>INDEX(Cronograma!I$5:I$11,MATCH($B86,Premissas!$A$39:$A$45,0))</f>
        <v/>
      </c>
      <c r="K86" s="22" t="str">
        <f>INDEX(Cronograma!J$5:J$11,MATCH($B86,Premissas!$A$39:$A$45,0))</f>
        <v/>
      </c>
      <c r="L86" s="22" t="str">
        <f>INDEX(Cronograma!K$5:K$11,MATCH($B86,Premissas!$A$39:$A$45,0))</f>
        <v/>
      </c>
      <c r="M86" s="22" t="str">
        <f>INDEX(Cronograma!L$5:L$11,MATCH($B86,Premissas!$A$39:$A$45,0))</f>
        <v/>
      </c>
      <c r="N86" s="22" t="str">
        <f>INDEX(Cronograma!M$5:M$11,MATCH($B86,Premissas!$A$39:$A$45,0))</f>
        <v/>
      </c>
      <c r="O86" s="22" t="str">
        <f>INDEX(Cronograma!N$5:N$11,MATCH($B86,Premissas!$A$39:$A$45,0))</f>
        <v/>
      </c>
      <c r="P86" s="22" t="str">
        <f>INDEX(Cronograma!O$5:O$11,MATCH($B86,Premissas!$A$39:$A$45,0))</f>
        <v>A</v>
      </c>
      <c r="Q86" s="22" t="str">
        <f>INDEX(Cronograma!P$5:P$11,MATCH($B86,Premissas!$A$39:$A$45,0))</f>
        <v/>
      </c>
      <c r="R86" s="22" t="str">
        <f>INDEX(Cronograma!Q$5:Q$11,MATCH($B86,Premissas!$A$39:$A$45,0))</f>
        <v/>
      </c>
      <c r="S86" s="22" t="str">
        <f>INDEX(Cronograma!R$5:R$11,MATCH($B86,Premissas!$A$39:$A$45,0))</f>
        <v/>
      </c>
      <c r="T86" s="22" t="str">
        <f>INDEX(Cronograma!S$5:S$11,MATCH($B86,Premissas!$A$39:$A$45,0))</f>
        <v/>
      </c>
      <c r="U86" s="22" t="str">
        <f>INDEX(Cronograma!T$5:T$11,MATCH($B86,Premissas!$A$39:$A$45,0))</f>
        <v/>
      </c>
      <c r="V86" s="22" t="str">
        <f>INDEX(Cronograma!U$5:U$11,MATCH($B86,Premissas!$A$39:$A$45,0))</f>
        <v>S</v>
      </c>
      <c r="W86" s="22" t="str">
        <f>INDEX(Cronograma!V$5:V$11,MATCH($B86,Premissas!$A$39:$A$45,0))</f>
        <v/>
      </c>
      <c r="X86" s="22" t="str">
        <f>INDEX(Cronograma!W$5:W$11,MATCH($B86,Premissas!$A$39:$A$45,0))</f>
        <v/>
      </c>
      <c r="Y86" s="22" t="str">
        <f>INDEX(Cronograma!X$5:X$11,MATCH($B86,Premissas!$A$39:$A$45,0))</f>
        <v/>
      </c>
      <c r="Z86" s="22" t="str">
        <f>INDEX(Cronograma!Y$5:Y$11,MATCH($B86,Premissas!$A$39:$A$45,0))</f>
        <v/>
      </c>
      <c r="AA86" s="22" t="str">
        <f>INDEX(Cronograma!Z$5:Z$11,MATCH($B86,Premissas!$A$39:$A$45,0))</f>
        <v/>
      </c>
      <c r="AB86" s="22" t="str">
        <f>INDEX(Cronograma!AA$5:AA$11,MATCH($B86,Premissas!$A$39:$A$45,0))</f>
        <v/>
      </c>
      <c r="AC86" s="22" t="str">
        <f>INDEX(Cronograma!AB$5:AB$11,MATCH($B86,Premissas!$A$39:$A$45,0))</f>
        <v>B</v>
      </c>
      <c r="AD86" s="22" t="str">
        <f>INDEX(Cronograma!AC$5:AC$11,MATCH($B86,Premissas!$A$39:$A$45,0))</f>
        <v/>
      </c>
      <c r="AE86" s="22" t="str">
        <f>INDEX(Cronograma!AD$5:AD$11,MATCH($B86,Premissas!$A$39:$A$45,0))</f>
        <v/>
      </c>
      <c r="AF86" s="22" t="str">
        <f>INDEX(Cronograma!AE$5:AE$11,MATCH($B86,Premissas!$A$39:$A$45,0))</f>
        <v/>
      </c>
      <c r="AG86" s="22" t="str">
        <f>INDEX(Cronograma!AF$5:AF$11,MATCH($B86,Premissas!$A$39:$A$45,0))</f>
        <v/>
      </c>
      <c r="AH86" s="22" t="str">
        <f>INDEX(Cronograma!AG$5:AG$11,MATCH($B86,Premissas!$A$39:$A$45,0))</f>
        <v/>
      </c>
      <c r="AI86" s="22" t="str">
        <f>INDEX(Cronograma!AH$5:AH$11,MATCH($B86,Premissas!$A$39:$A$45,0))</f>
        <v/>
      </c>
      <c r="AJ86" s="22" t="str">
        <f>INDEX(Cronograma!AI$5:AI$11,MATCH($B86,Premissas!$A$39:$A$45,0))</f>
        <v/>
      </c>
      <c r="AK86" s="22" t="str">
        <f>INDEX(Cronograma!AJ$5:AJ$11,MATCH($B86,Premissas!$A$39:$A$45,0))</f>
        <v/>
      </c>
      <c r="AL86" s="22" t="str">
        <f>INDEX(Cronograma!AK$5:AK$11,MATCH($B86,Premissas!$A$39:$A$45,0))</f>
        <v/>
      </c>
      <c r="AM86" s="22" t="str">
        <f>INDEX(Cronograma!AL$5:AL$11,MATCH($B86,Premissas!$A$39:$A$45,0))</f>
        <v/>
      </c>
      <c r="AN86" s="22" t="str">
        <f>INDEX(Cronograma!AM$5:AM$11,MATCH($B86,Premissas!$A$39:$A$45,0))</f>
        <v/>
      </c>
      <c r="AO86" s="22" t="str">
        <f>INDEX(Cronograma!AN$5:AN$11,MATCH($B86,Premissas!$A$39:$A$45,0))</f>
        <v/>
      </c>
      <c r="AP86" s="22" t="str">
        <f>INDEX(Cronograma!AO$5:AO$11,MATCH($B86,Premissas!$A$39:$A$45,0))</f>
        <v>S</v>
      </c>
      <c r="AQ86" s="22" t="str">
        <f>INDEX(Cronograma!AP$5:AP$11,MATCH($B86,Premissas!$A$39:$A$45,0))</f>
        <v/>
      </c>
      <c r="AR86" s="22" t="str">
        <f>INDEX(Cronograma!AQ$5:AQ$11,MATCH($B86,Premissas!$A$39:$A$45,0))</f>
        <v/>
      </c>
      <c r="AS86" s="22" t="str">
        <f>INDEX(Cronograma!AR$5:AR$11,MATCH($B86,Premissas!$A$39:$A$45,0))</f>
        <v/>
      </c>
      <c r="AT86" s="22" t="str">
        <f>INDEX(Cronograma!AS$5:AS$11,MATCH($B86,Premissas!$A$39:$A$45,0))</f>
        <v/>
      </c>
      <c r="AU86" s="22" t="str">
        <f>INDEX(Cronograma!AT$5:AT$11,MATCH($B86,Premissas!$A$39:$A$45,0))</f>
        <v/>
      </c>
      <c r="AV86" s="22" t="str">
        <f>INDEX(Cronograma!AU$5:AU$11,MATCH($B86,Premissas!$A$39:$A$45,0))</f>
        <v/>
      </c>
      <c r="AW86" s="22" t="str">
        <f>INDEX(Cronograma!AV$5:AV$11,MATCH($B86,Premissas!$A$39:$A$45,0))</f>
        <v/>
      </c>
      <c r="AX86" s="22" t="str">
        <f>INDEX(Cronograma!AW$5:AW$11,MATCH($B86,Premissas!$A$39:$A$45,0))</f>
        <v/>
      </c>
      <c r="AY86" s="22" t="str">
        <f>INDEX(Cronograma!AX$5:AX$11,MATCH($B86,Premissas!$A$39:$A$45,0))</f>
        <v/>
      </c>
      <c r="AZ86" s="22" t="str">
        <f>INDEX(Cronograma!AY$5:AY$11,MATCH($B86,Premissas!$A$39:$A$45,0))</f>
        <v/>
      </c>
      <c r="BA86" s="22" t="str">
        <f>INDEX(Cronograma!AZ$5:AZ$11,MATCH($B86,Premissas!$A$39:$A$45,0))</f>
        <v/>
      </c>
      <c r="BB86" s="22" t="str">
        <f>INDEX(Cronograma!BA$5:BA$11,MATCH($B86,Premissas!$A$39:$A$45,0))</f>
        <v/>
      </c>
    </row>
    <row r="87" spans="1:54" ht="15" customHeight="1" x14ac:dyDescent="0.4">
      <c r="A87" s="15" t="str">
        <f>Frota!$B87&amp;" — "&amp;Frota!$A87</f>
        <v>MB 3344 6x4 — 101176</v>
      </c>
      <c r="B87" s="16" t="str">
        <f>Frota!$C87</f>
        <v>Caminhão</v>
      </c>
      <c r="C87" s="22" t="str">
        <f>INDEX(Cronograma!B$5:B$11,MATCH($B87,Premissas!$A$39:$A$45,0))</f>
        <v/>
      </c>
      <c r="D87" s="22" t="str">
        <f>INDEX(Cronograma!C$5:C$11,MATCH($B87,Premissas!$A$39:$A$45,0))</f>
        <v/>
      </c>
      <c r="E87" s="22" t="str">
        <f>INDEX(Cronograma!D$5:D$11,MATCH($B87,Premissas!$A$39:$A$45,0))</f>
        <v/>
      </c>
      <c r="F87" s="22" t="str">
        <f>INDEX(Cronograma!E$5:E$11,MATCH($B87,Premissas!$A$39:$A$45,0))</f>
        <v/>
      </c>
      <c r="G87" s="22" t="str">
        <f>INDEX(Cronograma!F$5:F$11,MATCH($B87,Premissas!$A$39:$A$45,0))</f>
        <v/>
      </c>
      <c r="H87" s="22" t="str">
        <f>INDEX(Cronograma!G$5:G$11,MATCH($B87,Premissas!$A$39:$A$45,0))</f>
        <v/>
      </c>
      <c r="I87" s="22" t="str">
        <f>INDEX(Cronograma!H$5:H$11,MATCH($B87,Premissas!$A$39:$A$45,0))</f>
        <v>S</v>
      </c>
      <c r="J87" s="22" t="str">
        <f>INDEX(Cronograma!I$5:I$11,MATCH($B87,Premissas!$A$39:$A$45,0))</f>
        <v/>
      </c>
      <c r="K87" s="22" t="str">
        <f>INDEX(Cronograma!J$5:J$11,MATCH($B87,Premissas!$A$39:$A$45,0))</f>
        <v/>
      </c>
      <c r="L87" s="22" t="str">
        <f>INDEX(Cronograma!K$5:K$11,MATCH($B87,Premissas!$A$39:$A$45,0))</f>
        <v/>
      </c>
      <c r="M87" s="22" t="str">
        <f>INDEX(Cronograma!L$5:L$11,MATCH($B87,Premissas!$A$39:$A$45,0))</f>
        <v/>
      </c>
      <c r="N87" s="22" t="str">
        <f>INDEX(Cronograma!M$5:M$11,MATCH($B87,Premissas!$A$39:$A$45,0))</f>
        <v/>
      </c>
      <c r="O87" s="22" t="str">
        <f>INDEX(Cronograma!N$5:N$11,MATCH($B87,Premissas!$A$39:$A$45,0))</f>
        <v/>
      </c>
      <c r="P87" s="22" t="str">
        <f>INDEX(Cronograma!O$5:O$11,MATCH($B87,Premissas!$A$39:$A$45,0))</f>
        <v>A</v>
      </c>
      <c r="Q87" s="22" t="str">
        <f>INDEX(Cronograma!P$5:P$11,MATCH($B87,Premissas!$A$39:$A$45,0))</f>
        <v/>
      </c>
      <c r="R87" s="22" t="str">
        <f>INDEX(Cronograma!Q$5:Q$11,MATCH($B87,Premissas!$A$39:$A$45,0))</f>
        <v/>
      </c>
      <c r="S87" s="22" t="str">
        <f>INDEX(Cronograma!R$5:R$11,MATCH($B87,Premissas!$A$39:$A$45,0))</f>
        <v/>
      </c>
      <c r="T87" s="22" t="str">
        <f>INDEX(Cronograma!S$5:S$11,MATCH($B87,Premissas!$A$39:$A$45,0))</f>
        <v/>
      </c>
      <c r="U87" s="22" t="str">
        <f>INDEX(Cronograma!T$5:T$11,MATCH($B87,Premissas!$A$39:$A$45,0))</f>
        <v/>
      </c>
      <c r="V87" s="22" t="str">
        <f>INDEX(Cronograma!U$5:U$11,MATCH($B87,Premissas!$A$39:$A$45,0))</f>
        <v>S</v>
      </c>
      <c r="W87" s="22" t="str">
        <f>INDEX(Cronograma!V$5:V$11,MATCH($B87,Premissas!$A$39:$A$45,0))</f>
        <v/>
      </c>
      <c r="X87" s="22" t="str">
        <f>INDEX(Cronograma!W$5:W$11,MATCH($B87,Premissas!$A$39:$A$45,0))</f>
        <v/>
      </c>
      <c r="Y87" s="22" t="str">
        <f>INDEX(Cronograma!X$5:X$11,MATCH($B87,Premissas!$A$39:$A$45,0))</f>
        <v/>
      </c>
      <c r="Z87" s="22" t="str">
        <f>INDEX(Cronograma!Y$5:Y$11,MATCH($B87,Premissas!$A$39:$A$45,0))</f>
        <v/>
      </c>
      <c r="AA87" s="22" t="str">
        <f>INDEX(Cronograma!Z$5:Z$11,MATCH($B87,Premissas!$A$39:$A$45,0))</f>
        <v/>
      </c>
      <c r="AB87" s="22" t="str">
        <f>INDEX(Cronograma!AA$5:AA$11,MATCH($B87,Premissas!$A$39:$A$45,0))</f>
        <v/>
      </c>
      <c r="AC87" s="22" t="str">
        <f>INDEX(Cronograma!AB$5:AB$11,MATCH($B87,Premissas!$A$39:$A$45,0))</f>
        <v>B</v>
      </c>
      <c r="AD87" s="22" t="str">
        <f>INDEX(Cronograma!AC$5:AC$11,MATCH($B87,Premissas!$A$39:$A$45,0))</f>
        <v/>
      </c>
      <c r="AE87" s="22" t="str">
        <f>INDEX(Cronograma!AD$5:AD$11,MATCH($B87,Premissas!$A$39:$A$45,0))</f>
        <v/>
      </c>
      <c r="AF87" s="22" t="str">
        <f>INDEX(Cronograma!AE$5:AE$11,MATCH($B87,Premissas!$A$39:$A$45,0))</f>
        <v/>
      </c>
      <c r="AG87" s="22" t="str">
        <f>INDEX(Cronograma!AF$5:AF$11,MATCH($B87,Premissas!$A$39:$A$45,0))</f>
        <v/>
      </c>
      <c r="AH87" s="22" t="str">
        <f>INDEX(Cronograma!AG$5:AG$11,MATCH($B87,Premissas!$A$39:$A$45,0))</f>
        <v/>
      </c>
      <c r="AI87" s="22" t="str">
        <f>INDEX(Cronograma!AH$5:AH$11,MATCH($B87,Premissas!$A$39:$A$45,0))</f>
        <v/>
      </c>
      <c r="AJ87" s="22" t="str">
        <f>INDEX(Cronograma!AI$5:AI$11,MATCH($B87,Premissas!$A$39:$A$45,0))</f>
        <v/>
      </c>
      <c r="AK87" s="22" t="str">
        <f>INDEX(Cronograma!AJ$5:AJ$11,MATCH($B87,Premissas!$A$39:$A$45,0))</f>
        <v/>
      </c>
      <c r="AL87" s="22" t="str">
        <f>INDEX(Cronograma!AK$5:AK$11,MATCH($B87,Premissas!$A$39:$A$45,0))</f>
        <v/>
      </c>
      <c r="AM87" s="22" t="str">
        <f>INDEX(Cronograma!AL$5:AL$11,MATCH($B87,Premissas!$A$39:$A$45,0))</f>
        <v/>
      </c>
      <c r="AN87" s="22" t="str">
        <f>INDEX(Cronograma!AM$5:AM$11,MATCH($B87,Premissas!$A$39:$A$45,0))</f>
        <v/>
      </c>
      <c r="AO87" s="22" t="str">
        <f>INDEX(Cronograma!AN$5:AN$11,MATCH($B87,Premissas!$A$39:$A$45,0))</f>
        <v/>
      </c>
      <c r="AP87" s="22" t="str">
        <f>INDEX(Cronograma!AO$5:AO$11,MATCH($B87,Premissas!$A$39:$A$45,0))</f>
        <v>S</v>
      </c>
      <c r="AQ87" s="22" t="str">
        <f>INDEX(Cronograma!AP$5:AP$11,MATCH($B87,Premissas!$A$39:$A$45,0))</f>
        <v/>
      </c>
      <c r="AR87" s="22" t="str">
        <f>INDEX(Cronograma!AQ$5:AQ$11,MATCH($B87,Premissas!$A$39:$A$45,0))</f>
        <v/>
      </c>
      <c r="AS87" s="22" t="str">
        <f>INDEX(Cronograma!AR$5:AR$11,MATCH($B87,Premissas!$A$39:$A$45,0))</f>
        <v/>
      </c>
      <c r="AT87" s="22" t="str">
        <f>INDEX(Cronograma!AS$5:AS$11,MATCH($B87,Premissas!$A$39:$A$45,0))</f>
        <v/>
      </c>
      <c r="AU87" s="22" t="str">
        <f>INDEX(Cronograma!AT$5:AT$11,MATCH($B87,Premissas!$A$39:$A$45,0))</f>
        <v/>
      </c>
      <c r="AV87" s="22" t="str">
        <f>INDEX(Cronograma!AU$5:AU$11,MATCH($B87,Premissas!$A$39:$A$45,0))</f>
        <v/>
      </c>
      <c r="AW87" s="22" t="str">
        <f>INDEX(Cronograma!AV$5:AV$11,MATCH($B87,Premissas!$A$39:$A$45,0))</f>
        <v/>
      </c>
      <c r="AX87" s="22" t="str">
        <f>INDEX(Cronograma!AW$5:AW$11,MATCH($B87,Premissas!$A$39:$A$45,0))</f>
        <v/>
      </c>
      <c r="AY87" s="22" t="str">
        <f>INDEX(Cronograma!AX$5:AX$11,MATCH($B87,Premissas!$A$39:$A$45,0))</f>
        <v/>
      </c>
      <c r="AZ87" s="22" t="str">
        <f>INDEX(Cronograma!AY$5:AY$11,MATCH($B87,Premissas!$A$39:$A$45,0))</f>
        <v/>
      </c>
      <c r="BA87" s="22" t="str">
        <f>INDEX(Cronograma!AZ$5:AZ$11,MATCH($B87,Premissas!$A$39:$A$45,0))</f>
        <v/>
      </c>
      <c r="BB87" s="22" t="str">
        <f>INDEX(Cronograma!BA$5:BA$11,MATCH($B87,Premissas!$A$39:$A$45,0))</f>
        <v/>
      </c>
    </row>
    <row r="88" spans="1:54" ht="15" customHeight="1" x14ac:dyDescent="0.4">
      <c r="A88" s="15" t="str">
        <f>Frota!$B88&amp;" — "&amp;Frota!$A88</f>
        <v>MB 3344 6x4 — 101179</v>
      </c>
      <c r="B88" s="16" t="str">
        <f>Frota!$C88</f>
        <v>Caminhão</v>
      </c>
      <c r="C88" s="22" t="str">
        <f>INDEX(Cronograma!B$5:B$11,MATCH($B88,Premissas!$A$39:$A$45,0))</f>
        <v/>
      </c>
      <c r="D88" s="22" t="str">
        <f>INDEX(Cronograma!C$5:C$11,MATCH($B88,Premissas!$A$39:$A$45,0))</f>
        <v/>
      </c>
      <c r="E88" s="22" t="str">
        <f>INDEX(Cronograma!D$5:D$11,MATCH($B88,Premissas!$A$39:$A$45,0))</f>
        <v/>
      </c>
      <c r="F88" s="22" t="str">
        <f>INDEX(Cronograma!E$5:E$11,MATCH($B88,Premissas!$A$39:$A$45,0))</f>
        <v/>
      </c>
      <c r="G88" s="22" t="str">
        <f>INDEX(Cronograma!F$5:F$11,MATCH($B88,Premissas!$A$39:$A$45,0))</f>
        <v/>
      </c>
      <c r="H88" s="22" t="str">
        <f>INDEX(Cronograma!G$5:G$11,MATCH($B88,Premissas!$A$39:$A$45,0))</f>
        <v/>
      </c>
      <c r="I88" s="22" t="str">
        <f>INDEX(Cronograma!H$5:H$11,MATCH($B88,Premissas!$A$39:$A$45,0))</f>
        <v>S</v>
      </c>
      <c r="J88" s="22" t="str">
        <f>INDEX(Cronograma!I$5:I$11,MATCH($B88,Premissas!$A$39:$A$45,0))</f>
        <v/>
      </c>
      <c r="K88" s="22" t="str">
        <f>INDEX(Cronograma!J$5:J$11,MATCH($B88,Premissas!$A$39:$A$45,0))</f>
        <v/>
      </c>
      <c r="L88" s="22" t="str">
        <f>INDEX(Cronograma!K$5:K$11,MATCH($B88,Premissas!$A$39:$A$45,0))</f>
        <v/>
      </c>
      <c r="M88" s="22" t="str">
        <f>INDEX(Cronograma!L$5:L$11,MATCH($B88,Premissas!$A$39:$A$45,0))</f>
        <v/>
      </c>
      <c r="N88" s="22" t="str">
        <f>INDEX(Cronograma!M$5:M$11,MATCH($B88,Premissas!$A$39:$A$45,0))</f>
        <v/>
      </c>
      <c r="O88" s="22" t="str">
        <f>INDEX(Cronograma!N$5:N$11,MATCH($B88,Premissas!$A$39:$A$45,0))</f>
        <v/>
      </c>
      <c r="P88" s="22" t="str">
        <f>INDEX(Cronograma!O$5:O$11,MATCH($B88,Premissas!$A$39:$A$45,0))</f>
        <v>A</v>
      </c>
      <c r="Q88" s="22" t="str">
        <f>INDEX(Cronograma!P$5:P$11,MATCH($B88,Premissas!$A$39:$A$45,0))</f>
        <v/>
      </c>
      <c r="R88" s="22" t="str">
        <f>INDEX(Cronograma!Q$5:Q$11,MATCH($B88,Premissas!$A$39:$A$45,0))</f>
        <v/>
      </c>
      <c r="S88" s="22" t="str">
        <f>INDEX(Cronograma!R$5:R$11,MATCH($B88,Premissas!$A$39:$A$45,0))</f>
        <v/>
      </c>
      <c r="T88" s="22" t="str">
        <f>INDEX(Cronograma!S$5:S$11,MATCH($B88,Premissas!$A$39:$A$45,0))</f>
        <v/>
      </c>
      <c r="U88" s="22" t="str">
        <f>INDEX(Cronograma!T$5:T$11,MATCH($B88,Premissas!$A$39:$A$45,0))</f>
        <v/>
      </c>
      <c r="V88" s="22" t="str">
        <f>INDEX(Cronograma!U$5:U$11,MATCH($B88,Premissas!$A$39:$A$45,0))</f>
        <v>S</v>
      </c>
      <c r="W88" s="22" t="str">
        <f>INDEX(Cronograma!V$5:V$11,MATCH($B88,Premissas!$A$39:$A$45,0))</f>
        <v/>
      </c>
      <c r="X88" s="22" t="str">
        <f>INDEX(Cronograma!W$5:W$11,MATCH($B88,Premissas!$A$39:$A$45,0))</f>
        <v/>
      </c>
      <c r="Y88" s="22" t="str">
        <f>INDEX(Cronograma!X$5:X$11,MATCH($B88,Premissas!$A$39:$A$45,0))</f>
        <v/>
      </c>
      <c r="Z88" s="22" t="str">
        <f>INDEX(Cronograma!Y$5:Y$11,MATCH($B88,Premissas!$A$39:$A$45,0))</f>
        <v/>
      </c>
      <c r="AA88" s="22" t="str">
        <f>INDEX(Cronograma!Z$5:Z$11,MATCH($B88,Premissas!$A$39:$A$45,0))</f>
        <v/>
      </c>
      <c r="AB88" s="22" t="str">
        <f>INDEX(Cronograma!AA$5:AA$11,MATCH($B88,Premissas!$A$39:$A$45,0))</f>
        <v/>
      </c>
      <c r="AC88" s="22" t="str">
        <f>INDEX(Cronograma!AB$5:AB$11,MATCH($B88,Premissas!$A$39:$A$45,0))</f>
        <v>B</v>
      </c>
      <c r="AD88" s="22" t="str">
        <f>INDEX(Cronograma!AC$5:AC$11,MATCH($B88,Premissas!$A$39:$A$45,0))</f>
        <v/>
      </c>
      <c r="AE88" s="22" t="str">
        <f>INDEX(Cronograma!AD$5:AD$11,MATCH($B88,Premissas!$A$39:$A$45,0))</f>
        <v/>
      </c>
      <c r="AF88" s="22" t="str">
        <f>INDEX(Cronograma!AE$5:AE$11,MATCH($B88,Premissas!$A$39:$A$45,0))</f>
        <v/>
      </c>
      <c r="AG88" s="22" t="str">
        <f>INDEX(Cronograma!AF$5:AF$11,MATCH($B88,Premissas!$A$39:$A$45,0))</f>
        <v/>
      </c>
      <c r="AH88" s="22" t="str">
        <f>INDEX(Cronograma!AG$5:AG$11,MATCH($B88,Premissas!$A$39:$A$45,0))</f>
        <v/>
      </c>
      <c r="AI88" s="22" t="str">
        <f>INDEX(Cronograma!AH$5:AH$11,MATCH($B88,Premissas!$A$39:$A$45,0))</f>
        <v/>
      </c>
      <c r="AJ88" s="22" t="str">
        <f>INDEX(Cronograma!AI$5:AI$11,MATCH($B88,Premissas!$A$39:$A$45,0))</f>
        <v/>
      </c>
      <c r="AK88" s="22" t="str">
        <f>INDEX(Cronograma!AJ$5:AJ$11,MATCH($B88,Premissas!$A$39:$A$45,0))</f>
        <v/>
      </c>
      <c r="AL88" s="22" t="str">
        <f>INDEX(Cronograma!AK$5:AK$11,MATCH($B88,Premissas!$A$39:$A$45,0))</f>
        <v/>
      </c>
      <c r="AM88" s="22" t="str">
        <f>INDEX(Cronograma!AL$5:AL$11,MATCH($B88,Premissas!$A$39:$A$45,0))</f>
        <v/>
      </c>
      <c r="AN88" s="22" t="str">
        <f>INDEX(Cronograma!AM$5:AM$11,MATCH($B88,Premissas!$A$39:$A$45,0))</f>
        <v/>
      </c>
      <c r="AO88" s="22" t="str">
        <f>INDEX(Cronograma!AN$5:AN$11,MATCH($B88,Premissas!$A$39:$A$45,0))</f>
        <v/>
      </c>
      <c r="AP88" s="22" t="str">
        <f>INDEX(Cronograma!AO$5:AO$11,MATCH($B88,Premissas!$A$39:$A$45,0))</f>
        <v>S</v>
      </c>
      <c r="AQ88" s="22" t="str">
        <f>INDEX(Cronograma!AP$5:AP$11,MATCH($B88,Premissas!$A$39:$A$45,0))</f>
        <v/>
      </c>
      <c r="AR88" s="22" t="str">
        <f>INDEX(Cronograma!AQ$5:AQ$11,MATCH($B88,Premissas!$A$39:$A$45,0))</f>
        <v/>
      </c>
      <c r="AS88" s="22" t="str">
        <f>INDEX(Cronograma!AR$5:AR$11,MATCH($B88,Premissas!$A$39:$A$45,0))</f>
        <v/>
      </c>
      <c r="AT88" s="22" t="str">
        <f>INDEX(Cronograma!AS$5:AS$11,MATCH($B88,Premissas!$A$39:$A$45,0))</f>
        <v/>
      </c>
      <c r="AU88" s="22" t="str">
        <f>INDEX(Cronograma!AT$5:AT$11,MATCH($B88,Premissas!$A$39:$A$45,0))</f>
        <v/>
      </c>
      <c r="AV88" s="22" t="str">
        <f>INDEX(Cronograma!AU$5:AU$11,MATCH($B88,Premissas!$A$39:$A$45,0))</f>
        <v/>
      </c>
      <c r="AW88" s="22" t="str">
        <f>INDEX(Cronograma!AV$5:AV$11,MATCH($B88,Premissas!$A$39:$A$45,0))</f>
        <v/>
      </c>
      <c r="AX88" s="22" t="str">
        <f>INDEX(Cronograma!AW$5:AW$11,MATCH($B88,Premissas!$A$39:$A$45,0))</f>
        <v/>
      </c>
      <c r="AY88" s="22" t="str">
        <f>INDEX(Cronograma!AX$5:AX$11,MATCH($B88,Premissas!$A$39:$A$45,0))</f>
        <v/>
      </c>
      <c r="AZ88" s="22" t="str">
        <f>INDEX(Cronograma!AY$5:AY$11,MATCH($B88,Premissas!$A$39:$A$45,0))</f>
        <v/>
      </c>
      <c r="BA88" s="22" t="str">
        <f>INDEX(Cronograma!AZ$5:AZ$11,MATCH($B88,Premissas!$A$39:$A$45,0))</f>
        <v/>
      </c>
      <c r="BB88" s="22" t="str">
        <f>INDEX(Cronograma!BA$5:BA$11,MATCH($B88,Premissas!$A$39:$A$45,0))</f>
        <v/>
      </c>
    </row>
    <row r="89" spans="1:54" ht="15" customHeight="1" x14ac:dyDescent="0.4">
      <c r="A89" s="15" t="str">
        <f>Frota!$B89&amp;" — "&amp;Frota!$A89</f>
        <v>MB 3344 6x4 — 101180</v>
      </c>
      <c r="B89" s="16" t="str">
        <f>Frota!$C89</f>
        <v>Caminhão</v>
      </c>
      <c r="C89" s="22" t="str">
        <f>INDEX(Cronograma!B$5:B$11,MATCH($B89,Premissas!$A$39:$A$45,0))</f>
        <v/>
      </c>
      <c r="D89" s="22" t="str">
        <f>INDEX(Cronograma!C$5:C$11,MATCH($B89,Premissas!$A$39:$A$45,0))</f>
        <v/>
      </c>
      <c r="E89" s="22" t="str">
        <f>INDEX(Cronograma!D$5:D$11,MATCH($B89,Premissas!$A$39:$A$45,0))</f>
        <v/>
      </c>
      <c r="F89" s="22" t="str">
        <f>INDEX(Cronograma!E$5:E$11,MATCH($B89,Premissas!$A$39:$A$45,0))</f>
        <v/>
      </c>
      <c r="G89" s="22" t="str">
        <f>INDEX(Cronograma!F$5:F$11,MATCH($B89,Premissas!$A$39:$A$45,0))</f>
        <v/>
      </c>
      <c r="H89" s="22" t="str">
        <f>INDEX(Cronograma!G$5:G$11,MATCH($B89,Premissas!$A$39:$A$45,0))</f>
        <v/>
      </c>
      <c r="I89" s="22" t="str">
        <f>INDEX(Cronograma!H$5:H$11,MATCH($B89,Premissas!$A$39:$A$45,0))</f>
        <v>S</v>
      </c>
      <c r="J89" s="22" t="str">
        <f>INDEX(Cronograma!I$5:I$11,MATCH($B89,Premissas!$A$39:$A$45,0))</f>
        <v/>
      </c>
      <c r="K89" s="22" t="str">
        <f>INDEX(Cronograma!J$5:J$11,MATCH($B89,Premissas!$A$39:$A$45,0))</f>
        <v/>
      </c>
      <c r="L89" s="22" t="str">
        <f>INDEX(Cronograma!K$5:K$11,MATCH($B89,Premissas!$A$39:$A$45,0))</f>
        <v/>
      </c>
      <c r="M89" s="22" t="str">
        <f>INDEX(Cronograma!L$5:L$11,MATCH($B89,Premissas!$A$39:$A$45,0))</f>
        <v/>
      </c>
      <c r="N89" s="22" t="str">
        <f>INDEX(Cronograma!M$5:M$11,MATCH($B89,Premissas!$A$39:$A$45,0))</f>
        <v/>
      </c>
      <c r="O89" s="22" t="str">
        <f>INDEX(Cronograma!N$5:N$11,MATCH($B89,Premissas!$A$39:$A$45,0))</f>
        <v/>
      </c>
      <c r="P89" s="22" t="str">
        <f>INDEX(Cronograma!O$5:O$11,MATCH($B89,Premissas!$A$39:$A$45,0))</f>
        <v>A</v>
      </c>
      <c r="Q89" s="22" t="str">
        <f>INDEX(Cronograma!P$5:P$11,MATCH($B89,Premissas!$A$39:$A$45,0))</f>
        <v/>
      </c>
      <c r="R89" s="22" t="str">
        <f>INDEX(Cronograma!Q$5:Q$11,MATCH($B89,Premissas!$A$39:$A$45,0))</f>
        <v/>
      </c>
      <c r="S89" s="22" t="str">
        <f>INDEX(Cronograma!R$5:R$11,MATCH($B89,Premissas!$A$39:$A$45,0))</f>
        <v/>
      </c>
      <c r="T89" s="22" t="str">
        <f>INDEX(Cronograma!S$5:S$11,MATCH($B89,Premissas!$A$39:$A$45,0))</f>
        <v/>
      </c>
      <c r="U89" s="22" t="str">
        <f>INDEX(Cronograma!T$5:T$11,MATCH($B89,Premissas!$A$39:$A$45,0))</f>
        <v/>
      </c>
      <c r="V89" s="22" t="str">
        <f>INDEX(Cronograma!U$5:U$11,MATCH($B89,Premissas!$A$39:$A$45,0))</f>
        <v>S</v>
      </c>
      <c r="W89" s="22" t="str">
        <f>INDEX(Cronograma!V$5:V$11,MATCH($B89,Premissas!$A$39:$A$45,0))</f>
        <v/>
      </c>
      <c r="X89" s="22" t="str">
        <f>INDEX(Cronograma!W$5:W$11,MATCH($B89,Premissas!$A$39:$A$45,0))</f>
        <v/>
      </c>
      <c r="Y89" s="22" t="str">
        <f>INDEX(Cronograma!X$5:X$11,MATCH($B89,Premissas!$A$39:$A$45,0))</f>
        <v/>
      </c>
      <c r="Z89" s="22" t="str">
        <f>INDEX(Cronograma!Y$5:Y$11,MATCH($B89,Premissas!$A$39:$A$45,0))</f>
        <v/>
      </c>
      <c r="AA89" s="22" t="str">
        <f>INDEX(Cronograma!Z$5:Z$11,MATCH($B89,Premissas!$A$39:$A$45,0))</f>
        <v/>
      </c>
      <c r="AB89" s="22" t="str">
        <f>INDEX(Cronograma!AA$5:AA$11,MATCH($B89,Premissas!$A$39:$A$45,0))</f>
        <v/>
      </c>
      <c r="AC89" s="22" t="str">
        <f>INDEX(Cronograma!AB$5:AB$11,MATCH($B89,Premissas!$A$39:$A$45,0))</f>
        <v>B</v>
      </c>
      <c r="AD89" s="22" t="str">
        <f>INDEX(Cronograma!AC$5:AC$11,MATCH($B89,Premissas!$A$39:$A$45,0))</f>
        <v/>
      </c>
      <c r="AE89" s="22" t="str">
        <f>INDEX(Cronograma!AD$5:AD$11,MATCH($B89,Premissas!$A$39:$A$45,0))</f>
        <v/>
      </c>
      <c r="AF89" s="22" t="str">
        <f>INDEX(Cronograma!AE$5:AE$11,MATCH($B89,Premissas!$A$39:$A$45,0))</f>
        <v/>
      </c>
      <c r="AG89" s="22" t="str">
        <f>INDEX(Cronograma!AF$5:AF$11,MATCH($B89,Premissas!$A$39:$A$45,0))</f>
        <v/>
      </c>
      <c r="AH89" s="22" t="str">
        <f>INDEX(Cronograma!AG$5:AG$11,MATCH($B89,Premissas!$A$39:$A$45,0))</f>
        <v/>
      </c>
      <c r="AI89" s="22" t="str">
        <f>INDEX(Cronograma!AH$5:AH$11,MATCH($B89,Premissas!$A$39:$A$45,0))</f>
        <v/>
      </c>
      <c r="AJ89" s="22" t="str">
        <f>INDEX(Cronograma!AI$5:AI$11,MATCH($B89,Premissas!$A$39:$A$45,0))</f>
        <v/>
      </c>
      <c r="AK89" s="22" t="str">
        <f>INDEX(Cronograma!AJ$5:AJ$11,MATCH($B89,Premissas!$A$39:$A$45,0))</f>
        <v/>
      </c>
      <c r="AL89" s="22" t="str">
        <f>INDEX(Cronograma!AK$5:AK$11,MATCH($B89,Premissas!$A$39:$A$45,0))</f>
        <v/>
      </c>
      <c r="AM89" s="22" t="str">
        <f>INDEX(Cronograma!AL$5:AL$11,MATCH($B89,Premissas!$A$39:$A$45,0))</f>
        <v/>
      </c>
      <c r="AN89" s="22" t="str">
        <f>INDEX(Cronograma!AM$5:AM$11,MATCH($B89,Premissas!$A$39:$A$45,0))</f>
        <v/>
      </c>
      <c r="AO89" s="22" t="str">
        <f>INDEX(Cronograma!AN$5:AN$11,MATCH($B89,Premissas!$A$39:$A$45,0))</f>
        <v/>
      </c>
      <c r="AP89" s="22" t="str">
        <f>INDEX(Cronograma!AO$5:AO$11,MATCH($B89,Premissas!$A$39:$A$45,0))</f>
        <v>S</v>
      </c>
      <c r="AQ89" s="22" t="str">
        <f>INDEX(Cronograma!AP$5:AP$11,MATCH($B89,Premissas!$A$39:$A$45,0))</f>
        <v/>
      </c>
      <c r="AR89" s="22" t="str">
        <f>INDEX(Cronograma!AQ$5:AQ$11,MATCH($B89,Premissas!$A$39:$A$45,0))</f>
        <v/>
      </c>
      <c r="AS89" s="22" t="str">
        <f>INDEX(Cronograma!AR$5:AR$11,MATCH($B89,Premissas!$A$39:$A$45,0))</f>
        <v/>
      </c>
      <c r="AT89" s="22" t="str">
        <f>INDEX(Cronograma!AS$5:AS$11,MATCH($B89,Premissas!$A$39:$A$45,0))</f>
        <v/>
      </c>
      <c r="AU89" s="22" t="str">
        <f>INDEX(Cronograma!AT$5:AT$11,MATCH($B89,Premissas!$A$39:$A$45,0))</f>
        <v/>
      </c>
      <c r="AV89" s="22" t="str">
        <f>INDEX(Cronograma!AU$5:AU$11,MATCH($B89,Premissas!$A$39:$A$45,0))</f>
        <v/>
      </c>
      <c r="AW89" s="22" t="str">
        <f>INDEX(Cronograma!AV$5:AV$11,MATCH($B89,Premissas!$A$39:$A$45,0))</f>
        <v/>
      </c>
      <c r="AX89" s="22" t="str">
        <f>INDEX(Cronograma!AW$5:AW$11,MATCH($B89,Premissas!$A$39:$A$45,0))</f>
        <v/>
      </c>
      <c r="AY89" s="22" t="str">
        <f>INDEX(Cronograma!AX$5:AX$11,MATCH($B89,Premissas!$A$39:$A$45,0))</f>
        <v/>
      </c>
      <c r="AZ89" s="22" t="str">
        <f>INDEX(Cronograma!AY$5:AY$11,MATCH($B89,Premissas!$A$39:$A$45,0))</f>
        <v/>
      </c>
      <c r="BA89" s="22" t="str">
        <f>INDEX(Cronograma!AZ$5:AZ$11,MATCH($B89,Premissas!$A$39:$A$45,0))</f>
        <v/>
      </c>
      <c r="BB89" s="22" t="str">
        <f>INDEX(Cronograma!BA$5:BA$11,MATCH($B89,Premissas!$A$39:$A$45,0))</f>
        <v/>
      </c>
    </row>
    <row r="90" spans="1:54" ht="15" customHeight="1" x14ac:dyDescent="0.4">
      <c r="A90" s="15" t="str">
        <f>Frota!$B90&amp;" — "&amp;Frota!$A90</f>
        <v>ACCELO 815/46 — 101182</v>
      </c>
      <c r="B90" s="16" t="str">
        <f>Frota!$C90</f>
        <v>Caminhão</v>
      </c>
      <c r="C90" s="22" t="str">
        <f>INDEX(Cronograma!B$5:B$11,MATCH($B90,Premissas!$A$39:$A$45,0))</f>
        <v/>
      </c>
      <c r="D90" s="22" t="str">
        <f>INDEX(Cronograma!C$5:C$11,MATCH($B90,Premissas!$A$39:$A$45,0))</f>
        <v/>
      </c>
      <c r="E90" s="22" t="str">
        <f>INDEX(Cronograma!D$5:D$11,MATCH($B90,Premissas!$A$39:$A$45,0))</f>
        <v/>
      </c>
      <c r="F90" s="22" t="str">
        <f>INDEX(Cronograma!E$5:E$11,MATCH($B90,Premissas!$A$39:$A$45,0))</f>
        <v/>
      </c>
      <c r="G90" s="22" t="str">
        <f>INDEX(Cronograma!F$5:F$11,MATCH($B90,Premissas!$A$39:$A$45,0))</f>
        <v/>
      </c>
      <c r="H90" s="22" t="str">
        <f>INDEX(Cronograma!G$5:G$11,MATCH($B90,Premissas!$A$39:$A$45,0))</f>
        <v/>
      </c>
      <c r="I90" s="22" t="str">
        <f>INDEX(Cronograma!H$5:H$11,MATCH($B90,Premissas!$A$39:$A$45,0))</f>
        <v>S</v>
      </c>
      <c r="J90" s="22" t="str">
        <f>INDEX(Cronograma!I$5:I$11,MATCH($B90,Premissas!$A$39:$A$45,0))</f>
        <v/>
      </c>
      <c r="K90" s="22" t="str">
        <f>INDEX(Cronograma!J$5:J$11,MATCH($B90,Premissas!$A$39:$A$45,0))</f>
        <v/>
      </c>
      <c r="L90" s="22" t="str">
        <f>INDEX(Cronograma!K$5:K$11,MATCH($B90,Premissas!$A$39:$A$45,0))</f>
        <v/>
      </c>
      <c r="M90" s="22" t="str">
        <f>INDEX(Cronograma!L$5:L$11,MATCH($B90,Premissas!$A$39:$A$45,0))</f>
        <v/>
      </c>
      <c r="N90" s="22" t="str">
        <f>INDEX(Cronograma!M$5:M$11,MATCH($B90,Premissas!$A$39:$A$45,0))</f>
        <v/>
      </c>
      <c r="O90" s="22" t="str">
        <f>INDEX(Cronograma!N$5:N$11,MATCH($B90,Premissas!$A$39:$A$45,0))</f>
        <v/>
      </c>
      <c r="P90" s="22" t="str">
        <f>INDEX(Cronograma!O$5:O$11,MATCH($B90,Premissas!$A$39:$A$45,0))</f>
        <v>A</v>
      </c>
      <c r="Q90" s="22" t="str">
        <f>INDEX(Cronograma!P$5:P$11,MATCH($B90,Premissas!$A$39:$A$45,0))</f>
        <v/>
      </c>
      <c r="R90" s="22" t="str">
        <f>INDEX(Cronograma!Q$5:Q$11,MATCH($B90,Premissas!$A$39:$A$45,0))</f>
        <v/>
      </c>
      <c r="S90" s="22" t="str">
        <f>INDEX(Cronograma!R$5:R$11,MATCH($B90,Premissas!$A$39:$A$45,0))</f>
        <v/>
      </c>
      <c r="T90" s="22" t="str">
        <f>INDEX(Cronograma!S$5:S$11,MATCH($B90,Premissas!$A$39:$A$45,0))</f>
        <v/>
      </c>
      <c r="U90" s="22" t="str">
        <f>INDEX(Cronograma!T$5:T$11,MATCH($B90,Premissas!$A$39:$A$45,0))</f>
        <v/>
      </c>
      <c r="V90" s="22" t="str">
        <f>INDEX(Cronograma!U$5:U$11,MATCH($B90,Premissas!$A$39:$A$45,0))</f>
        <v>S</v>
      </c>
      <c r="W90" s="22" t="str">
        <f>INDEX(Cronograma!V$5:V$11,MATCH($B90,Premissas!$A$39:$A$45,0))</f>
        <v/>
      </c>
      <c r="X90" s="22" t="str">
        <f>INDEX(Cronograma!W$5:W$11,MATCH($B90,Premissas!$A$39:$A$45,0))</f>
        <v/>
      </c>
      <c r="Y90" s="22" t="str">
        <f>INDEX(Cronograma!X$5:X$11,MATCH($B90,Premissas!$A$39:$A$45,0))</f>
        <v/>
      </c>
      <c r="Z90" s="22" t="str">
        <f>INDEX(Cronograma!Y$5:Y$11,MATCH($B90,Premissas!$A$39:$A$45,0))</f>
        <v/>
      </c>
      <c r="AA90" s="22" t="str">
        <f>INDEX(Cronograma!Z$5:Z$11,MATCH($B90,Premissas!$A$39:$A$45,0))</f>
        <v/>
      </c>
      <c r="AB90" s="22" t="str">
        <f>INDEX(Cronograma!AA$5:AA$11,MATCH($B90,Premissas!$A$39:$A$45,0))</f>
        <v/>
      </c>
      <c r="AC90" s="22" t="str">
        <f>INDEX(Cronograma!AB$5:AB$11,MATCH($B90,Premissas!$A$39:$A$45,0))</f>
        <v>B</v>
      </c>
      <c r="AD90" s="22" t="str">
        <f>INDEX(Cronograma!AC$5:AC$11,MATCH($B90,Premissas!$A$39:$A$45,0))</f>
        <v/>
      </c>
      <c r="AE90" s="22" t="str">
        <f>INDEX(Cronograma!AD$5:AD$11,MATCH($B90,Premissas!$A$39:$A$45,0))</f>
        <v/>
      </c>
      <c r="AF90" s="22" t="str">
        <f>INDEX(Cronograma!AE$5:AE$11,MATCH($B90,Premissas!$A$39:$A$45,0))</f>
        <v/>
      </c>
      <c r="AG90" s="22" t="str">
        <f>INDEX(Cronograma!AF$5:AF$11,MATCH($B90,Premissas!$A$39:$A$45,0))</f>
        <v/>
      </c>
      <c r="AH90" s="22" t="str">
        <f>INDEX(Cronograma!AG$5:AG$11,MATCH($B90,Premissas!$A$39:$A$45,0))</f>
        <v/>
      </c>
      <c r="AI90" s="22" t="str">
        <f>INDEX(Cronograma!AH$5:AH$11,MATCH($B90,Premissas!$A$39:$A$45,0))</f>
        <v/>
      </c>
      <c r="AJ90" s="22" t="str">
        <f>INDEX(Cronograma!AI$5:AI$11,MATCH($B90,Premissas!$A$39:$A$45,0))</f>
        <v/>
      </c>
      <c r="AK90" s="22" t="str">
        <f>INDEX(Cronograma!AJ$5:AJ$11,MATCH($B90,Premissas!$A$39:$A$45,0))</f>
        <v/>
      </c>
      <c r="AL90" s="22" t="str">
        <f>INDEX(Cronograma!AK$5:AK$11,MATCH($B90,Premissas!$A$39:$A$45,0))</f>
        <v/>
      </c>
      <c r="AM90" s="22" t="str">
        <f>INDEX(Cronograma!AL$5:AL$11,MATCH($B90,Premissas!$A$39:$A$45,0))</f>
        <v/>
      </c>
      <c r="AN90" s="22" t="str">
        <f>INDEX(Cronograma!AM$5:AM$11,MATCH($B90,Premissas!$A$39:$A$45,0))</f>
        <v/>
      </c>
      <c r="AO90" s="22" t="str">
        <f>INDEX(Cronograma!AN$5:AN$11,MATCH($B90,Premissas!$A$39:$A$45,0))</f>
        <v/>
      </c>
      <c r="AP90" s="22" t="str">
        <f>INDEX(Cronograma!AO$5:AO$11,MATCH($B90,Premissas!$A$39:$A$45,0))</f>
        <v>S</v>
      </c>
      <c r="AQ90" s="22" t="str">
        <f>INDEX(Cronograma!AP$5:AP$11,MATCH($B90,Premissas!$A$39:$A$45,0))</f>
        <v/>
      </c>
      <c r="AR90" s="22" t="str">
        <f>INDEX(Cronograma!AQ$5:AQ$11,MATCH($B90,Premissas!$A$39:$A$45,0))</f>
        <v/>
      </c>
      <c r="AS90" s="22" t="str">
        <f>INDEX(Cronograma!AR$5:AR$11,MATCH($B90,Premissas!$A$39:$A$45,0))</f>
        <v/>
      </c>
      <c r="AT90" s="22" t="str">
        <f>INDEX(Cronograma!AS$5:AS$11,MATCH($B90,Premissas!$A$39:$A$45,0))</f>
        <v/>
      </c>
      <c r="AU90" s="22" t="str">
        <f>INDEX(Cronograma!AT$5:AT$11,MATCH($B90,Premissas!$A$39:$A$45,0))</f>
        <v/>
      </c>
      <c r="AV90" s="22" t="str">
        <f>INDEX(Cronograma!AU$5:AU$11,MATCH($B90,Premissas!$A$39:$A$45,0))</f>
        <v/>
      </c>
      <c r="AW90" s="22" t="str">
        <f>INDEX(Cronograma!AV$5:AV$11,MATCH($B90,Premissas!$A$39:$A$45,0))</f>
        <v/>
      </c>
      <c r="AX90" s="22" t="str">
        <f>INDEX(Cronograma!AW$5:AW$11,MATCH($B90,Premissas!$A$39:$A$45,0))</f>
        <v/>
      </c>
      <c r="AY90" s="22" t="str">
        <f>INDEX(Cronograma!AX$5:AX$11,MATCH($B90,Premissas!$A$39:$A$45,0))</f>
        <v/>
      </c>
      <c r="AZ90" s="22" t="str">
        <f>INDEX(Cronograma!AY$5:AY$11,MATCH($B90,Premissas!$A$39:$A$45,0))</f>
        <v/>
      </c>
      <c r="BA90" s="22" t="str">
        <f>INDEX(Cronograma!AZ$5:AZ$11,MATCH($B90,Premissas!$A$39:$A$45,0))</f>
        <v/>
      </c>
      <c r="BB90" s="22" t="str">
        <f>INDEX(Cronograma!BA$5:BA$11,MATCH($B90,Premissas!$A$39:$A$45,0))</f>
        <v/>
      </c>
    </row>
    <row r="91" spans="1:54" ht="15" customHeight="1" x14ac:dyDescent="0.4">
      <c r="A91" s="15" t="str">
        <f>Frota!$B91&amp;" — "&amp;Frota!$A91</f>
        <v>MB 3344 6x4 — 101183</v>
      </c>
      <c r="B91" s="16" t="str">
        <f>Frota!$C91</f>
        <v>Caminhão</v>
      </c>
      <c r="C91" s="22" t="str">
        <f>INDEX(Cronograma!B$5:B$11,MATCH($B91,Premissas!$A$39:$A$45,0))</f>
        <v/>
      </c>
      <c r="D91" s="22" t="str">
        <f>INDEX(Cronograma!C$5:C$11,MATCH($B91,Premissas!$A$39:$A$45,0))</f>
        <v/>
      </c>
      <c r="E91" s="22" t="str">
        <f>INDEX(Cronograma!D$5:D$11,MATCH($B91,Premissas!$A$39:$A$45,0))</f>
        <v/>
      </c>
      <c r="F91" s="22" t="str">
        <f>INDEX(Cronograma!E$5:E$11,MATCH($B91,Premissas!$A$39:$A$45,0))</f>
        <v/>
      </c>
      <c r="G91" s="22" t="str">
        <f>INDEX(Cronograma!F$5:F$11,MATCH($B91,Premissas!$A$39:$A$45,0))</f>
        <v/>
      </c>
      <c r="H91" s="22" t="str">
        <f>INDEX(Cronograma!G$5:G$11,MATCH($B91,Premissas!$A$39:$A$45,0))</f>
        <v/>
      </c>
      <c r="I91" s="22" t="str">
        <f>INDEX(Cronograma!H$5:H$11,MATCH($B91,Premissas!$A$39:$A$45,0))</f>
        <v>S</v>
      </c>
      <c r="J91" s="22" t="str">
        <f>INDEX(Cronograma!I$5:I$11,MATCH($B91,Premissas!$A$39:$A$45,0))</f>
        <v/>
      </c>
      <c r="K91" s="22" t="str">
        <f>INDEX(Cronograma!J$5:J$11,MATCH($B91,Premissas!$A$39:$A$45,0))</f>
        <v/>
      </c>
      <c r="L91" s="22" t="str">
        <f>INDEX(Cronograma!K$5:K$11,MATCH($B91,Premissas!$A$39:$A$45,0))</f>
        <v/>
      </c>
      <c r="M91" s="22" t="str">
        <f>INDEX(Cronograma!L$5:L$11,MATCH($B91,Premissas!$A$39:$A$45,0))</f>
        <v/>
      </c>
      <c r="N91" s="22" t="str">
        <f>INDEX(Cronograma!M$5:M$11,MATCH($B91,Premissas!$A$39:$A$45,0))</f>
        <v/>
      </c>
      <c r="O91" s="22" t="str">
        <f>INDEX(Cronograma!N$5:N$11,MATCH($B91,Premissas!$A$39:$A$45,0))</f>
        <v/>
      </c>
      <c r="P91" s="22" t="str">
        <f>INDEX(Cronograma!O$5:O$11,MATCH($B91,Premissas!$A$39:$A$45,0))</f>
        <v>A</v>
      </c>
      <c r="Q91" s="22" t="str">
        <f>INDEX(Cronograma!P$5:P$11,MATCH($B91,Premissas!$A$39:$A$45,0))</f>
        <v/>
      </c>
      <c r="R91" s="22" t="str">
        <f>INDEX(Cronograma!Q$5:Q$11,MATCH($B91,Premissas!$A$39:$A$45,0))</f>
        <v/>
      </c>
      <c r="S91" s="22" t="str">
        <f>INDEX(Cronograma!R$5:R$11,MATCH($B91,Premissas!$A$39:$A$45,0))</f>
        <v/>
      </c>
      <c r="T91" s="22" t="str">
        <f>INDEX(Cronograma!S$5:S$11,MATCH($B91,Premissas!$A$39:$A$45,0))</f>
        <v/>
      </c>
      <c r="U91" s="22" t="str">
        <f>INDEX(Cronograma!T$5:T$11,MATCH($B91,Premissas!$A$39:$A$45,0))</f>
        <v/>
      </c>
      <c r="V91" s="22" t="str">
        <f>INDEX(Cronograma!U$5:U$11,MATCH($B91,Premissas!$A$39:$A$45,0))</f>
        <v>S</v>
      </c>
      <c r="W91" s="22" t="str">
        <f>INDEX(Cronograma!V$5:V$11,MATCH($B91,Premissas!$A$39:$A$45,0))</f>
        <v/>
      </c>
      <c r="X91" s="22" t="str">
        <f>INDEX(Cronograma!W$5:W$11,MATCH($B91,Premissas!$A$39:$A$45,0))</f>
        <v/>
      </c>
      <c r="Y91" s="22" t="str">
        <f>INDEX(Cronograma!X$5:X$11,MATCH($B91,Premissas!$A$39:$A$45,0))</f>
        <v/>
      </c>
      <c r="Z91" s="22" t="str">
        <f>INDEX(Cronograma!Y$5:Y$11,MATCH($B91,Premissas!$A$39:$A$45,0))</f>
        <v/>
      </c>
      <c r="AA91" s="22" t="str">
        <f>INDEX(Cronograma!Z$5:Z$11,MATCH($B91,Premissas!$A$39:$A$45,0))</f>
        <v/>
      </c>
      <c r="AB91" s="22" t="str">
        <f>INDEX(Cronograma!AA$5:AA$11,MATCH($B91,Premissas!$A$39:$A$45,0))</f>
        <v/>
      </c>
      <c r="AC91" s="22" t="str">
        <f>INDEX(Cronograma!AB$5:AB$11,MATCH($B91,Premissas!$A$39:$A$45,0))</f>
        <v>B</v>
      </c>
      <c r="AD91" s="22" t="str">
        <f>INDEX(Cronograma!AC$5:AC$11,MATCH($B91,Premissas!$A$39:$A$45,0))</f>
        <v/>
      </c>
      <c r="AE91" s="22" t="str">
        <f>INDEX(Cronograma!AD$5:AD$11,MATCH($B91,Premissas!$A$39:$A$45,0))</f>
        <v/>
      </c>
      <c r="AF91" s="22" t="str">
        <f>INDEX(Cronograma!AE$5:AE$11,MATCH($B91,Premissas!$A$39:$A$45,0))</f>
        <v/>
      </c>
      <c r="AG91" s="22" t="str">
        <f>INDEX(Cronograma!AF$5:AF$11,MATCH($B91,Premissas!$A$39:$A$45,0))</f>
        <v/>
      </c>
      <c r="AH91" s="22" t="str">
        <f>INDEX(Cronograma!AG$5:AG$11,MATCH($B91,Premissas!$A$39:$A$45,0))</f>
        <v/>
      </c>
      <c r="AI91" s="22" t="str">
        <f>INDEX(Cronograma!AH$5:AH$11,MATCH($B91,Premissas!$A$39:$A$45,0))</f>
        <v/>
      </c>
      <c r="AJ91" s="22" t="str">
        <f>INDEX(Cronograma!AI$5:AI$11,MATCH($B91,Premissas!$A$39:$A$45,0))</f>
        <v/>
      </c>
      <c r="AK91" s="22" t="str">
        <f>INDEX(Cronograma!AJ$5:AJ$11,MATCH($B91,Premissas!$A$39:$A$45,0))</f>
        <v/>
      </c>
      <c r="AL91" s="22" t="str">
        <f>INDEX(Cronograma!AK$5:AK$11,MATCH($B91,Premissas!$A$39:$A$45,0))</f>
        <v/>
      </c>
      <c r="AM91" s="22" t="str">
        <f>INDEX(Cronograma!AL$5:AL$11,MATCH($B91,Premissas!$A$39:$A$45,0))</f>
        <v/>
      </c>
      <c r="AN91" s="22" t="str">
        <f>INDEX(Cronograma!AM$5:AM$11,MATCH($B91,Premissas!$A$39:$A$45,0))</f>
        <v/>
      </c>
      <c r="AO91" s="22" t="str">
        <f>INDEX(Cronograma!AN$5:AN$11,MATCH($B91,Premissas!$A$39:$A$45,0))</f>
        <v/>
      </c>
      <c r="AP91" s="22" t="str">
        <f>INDEX(Cronograma!AO$5:AO$11,MATCH($B91,Premissas!$A$39:$A$45,0))</f>
        <v>S</v>
      </c>
      <c r="AQ91" s="22" t="str">
        <f>INDEX(Cronograma!AP$5:AP$11,MATCH($B91,Premissas!$A$39:$A$45,0))</f>
        <v/>
      </c>
      <c r="AR91" s="22" t="str">
        <f>INDEX(Cronograma!AQ$5:AQ$11,MATCH($B91,Premissas!$A$39:$A$45,0))</f>
        <v/>
      </c>
      <c r="AS91" s="22" t="str">
        <f>INDEX(Cronograma!AR$5:AR$11,MATCH($B91,Premissas!$A$39:$A$45,0))</f>
        <v/>
      </c>
      <c r="AT91" s="22" t="str">
        <f>INDEX(Cronograma!AS$5:AS$11,MATCH($B91,Premissas!$A$39:$A$45,0))</f>
        <v/>
      </c>
      <c r="AU91" s="22" t="str">
        <f>INDEX(Cronograma!AT$5:AT$11,MATCH($B91,Premissas!$A$39:$A$45,0))</f>
        <v/>
      </c>
      <c r="AV91" s="22" t="str">
        <f>INDEX(Cronograma!AU$5:AU$11,MATCH($B91,Premissas!$A$39:$A$45,0))</f>
        <v/>
      </c>
      <c r="AW91" s="22" t="str">
        <f>INDEX(Cronograma!AV$5:AV$11,MATCH($B91,Premissas!$A$39:$A$45,0))</f>
        <v/>
      </c>
      <c r="AX91" s="22" t="str">
        <f>INDEX(Cronograma!AW$5:AW$11,MATCH($B91,Premissas!$A$39:$A$45,0))</f>
        <v/>
      </c>
      <c r="AY91" s="22" t="str">
        <f>INDEX(Cronograma!AX$5:AX$11,MATCH($B91,Premissas!$A$39:$A$45,0))</f>
        <v/>
      </c>
      <c r="AZ91" s="22" t="str">
        <f>INDEX(Cronograma!AY$5:AY$11,MATCH($B91,Premissas!$A$39:$A$45,0))</f>
        <v/>
      </c>
      <c r="BA91" s="22" t="str">
        <f>INDEX(Cronograma!AZ$5:AZ$11,MATCH($B91,Premissas!$A$39:$A$45,0))</f>
        <v/>
      </c>
      <c r="BB91" s="22" t="str">
        <f>INDEX(Cronograma!BA$5:BA$11,MATCH($B91,Premissas!$A$39:$A$45,0))</f>
        <v/>
      </c>
    </row>
    <row r="92" spans="1:54" ht="15" customHeight="1" x14ac:dyDescent="0.4">
      <c r="A92" s="15" t="str">
        <f>Frota!$B92&amp;" — "&amp;Frota!$A92</f>
        <v>MB 3344 6x4 — 101184</v>
      </c>
      <c r="B92" s="16" t="str">
        <f>Frota!$C92</f>
        <v>Caminhão</v>
      </c>
      <c r="C92" s="22" t="str">
        <f>INDEX(Cronograma!B$5:B$11,MATCH($B92,Premissas!$A$39:$A$45,0))</f>
        <v/>
      </c>
      <c r="D92" s="22" t="str">
        <f>INDEX(Cronograma!C$5:C$11,MATCH($B92,Premissas!$A$39:$A$45,0))</f>
        <v/>
      </c>
      <c r="E92" s="22" t="str">
        <f>INDEX(Cronograma!D$5:D$11,MATCH($B92,Premissas!$A$39:$A$45,0))</f>
        <v/>
      </c>
      <c r="F92" s="22" t="str">
        <f>INDEX(Cronograma!E$5:E$11,MATCH($B92,Premissas!$A$39:$A$45,0))</f>
        <v/>
      </c>
      <c r="G92" s="22" t="str">
        <f>INDEX(Cronograma!F$5:F$11,MATCH($B92,Premissas!$A$39:$A$45,0))</f>
        <v/>
      </c>
      <c r="H92" s="22" t="str">
        <f>INDEX(Cronograma!G$5:G$11,MATCH($B92,Premissas!$A$39:$A$45,0))</f>
        <v/>
      </c>
      <c r="I92" s="22" t="str">
        <f>INDEX(Cronograma!H$5:H$11,MATCH($B92,Premissas!$A$39:$A$45,0))</f>
        <v>S</v>
      </c>
      <c r="J92" s="22" t="str">
        <f>INDEX(Cronograma!I$5:I$11,MATCH($B92,Premissas!$A$39:$A$45,0))</f>
        <v/>
      </c>
      <c r="K92" s="22" t="str">
        <f>INDEX(Cronograma!J$5:J$11,MATCH($B92,Premissas!$A$39:$A$45,0))</f>
        <v/>
      </c>
      <c r="L92" s="22" t="str">
        <f>INDEX(Cronograma!K$5:K$11,MATCH($B92,Premissas!$A$39:$A$45,0))</f>
        <v/>
      </c>
      <c r="M92" s="22" t="str">
        <f>INDEX(Cronograma!L$5:L$11,MATCH($B92,Premissas!$A$39:$A$45,0))</f>
        <v/>
      </c>
      <c r="N92" s="22" t="str">
        <f>INDEX(Cronograma!M$5:M$11,MATCH($B92,Premissas!$A$39:$A$45,0))</f>
        <v/>
      </c>
      <c r="O92" s="22" t="str">
        <f>INDEX(Cronograma!N$5:N$11,MATCH($B92,Premissas!$A$39:$A$45,0))</f>
        <v/>
      </c>
      <c r="P92" s="22" t="str">
        <f>INDEX(Cronograma!O$5:O$11,MATCH($B92,Premissas!$A$39:$A$45,0))</f>
        <v>A</v>
      </c>
      <c r="Q92" s="22" t="str">
        <f>INDEX(Cronograma!P$5:P$11,MATCH($B92,Premissas!$A$39:$A$45,0))</f>
        <v/>
      </c>
      <c r="R92" s="22" t="str">
        <f>INDEX(Cronograma!Q$5:Q$11,MATCH($B92,Premissas!$A$39:$A$45,0))</f>
        <v/>
      </c>
      <c r="S92" s="22" t="str">
        <f>INDEX(Cronograma!R$5:R$11,MATCH($B92,Premissas!$A$39:$A$45,0))</f>
        <v/>
      </c>
      <c r="T92" s="22" t="str">
        <f>INDEX(Cronograma!S$5:S$11,MATCH($B92,Premissas!$A$39:$A$45,0))</f>
        <v/>
      </c>
      <c r="U92" s="22" t="str">
        <f>INDEX(Cronograma!T$5:T$11,MATCH($B92,Premissas!$A$39:$A$45,0))</f>
        <v/>
      </c>
      <c r="V92" s="22" t="str">
        <f>INDEX(Cronograma!U$5:U$11,MATCH($B92,Premissas!$A$39:$A$45,0))</f>
        <v>S</v>
      </c>
      <c r="W92" s="22" t="str">
        <f>INDEX(Cronograma!V$5:V$11,MATCH($B92,Premissas!$A$39:$A$45,0))</f>
        <v/>
      </c>
      <c r="X92" s="22" t="str">
        <f>INDEX(Cronograma!W$5:W$11,MATCH($B92,Premissas!$A$39:$A$45,0))</f>
        <v/>
      </c>
      <c r="Y92" s="22" t="str">
        <f>INDEX(Cronograma!X$5:X$11,MATCH($B92,Premissas!$A$39:$A$45,0))</f>
        <v/>
      </c>
      <c r="Z92" s="22" t="str">
        <f>INDEX(Cronograma!Y$5:Y$11,MATCH($B92,Premissas!$A$39:$A$45,0))</f>
        <v/>
      </c>
      <c r="AA92" s="22" t="str">
        <f>INDEX(Cronograma!Z$5:Z$11,MATCH($B92,Premissas!$A$39:$A$45,0))</f>
        <v/>
      </c>
      <c r="AB92" s="22" t="str">
        <f>INDEX(Cronograma!AA$5:AA$11,MATCH($B92,Premissas!$A$39:$A$45,0))</f>
        <v/>
      </c>
      <c r="AC92" s="22" t="str">
        <f>INDEX(Cronograma!AB$5:AB$11,MATCH($B92,Premissas!$A$39:$A$45,0))</f>
        <v>B</v>
      </c>
      <c r="AD92" s="22" t="str">
        <f>INDEX(Cronograma!AC$5:AC$11,MATCH($B92,Premissas!$A$39:$A$45,0))</f>
        <v/>
      </c>
      <c r="AE92" s="22" t="str">
        <f>INDEX(Cronograma!AD$5:AD$11,MATCH($B92,Premissas!$A$39:$A$45,0))</f>
        <v/>
      </c>
      <c r="AF92" s="22" t="str">
        <f>INDEX(Cronograma!AE$5:AE$11,MATCH($B92,Premissas!$A$39:$A$45,0))</f>
        <v/>
      </c>
      <c r="AG92" s="22" t="str">
        <f>INDEX(Cronograma!AF$5:AF$11,MATCH($B92,Premissas!$A$39:$A$45,0))</f>
        <v/>
      </c>
      <c r="AH92" s="22" t="str">
        <f>INDEX(Cronograma!AG$5:AG$11,MATCH($B92,Premissas!$A$39:$A$45,0))</f>
        <v/>
      </c>
      <c r="AI92" s="22" t="str">
        <f>INDEX(Cronograma!AH$5:AH$11,MATCH($B92,Premissas!$A$39:$A$45,0))</f>
        <v/>
      </c>
      <c r="AJ92" s="22" t="str">
        <f>INDEX(Cronograma!AI$5:AI$11,MATCH($B92,Premissas!$A$39:$A$45,0))</f>
        <v/>
      </c>
      <c r="AK92" s="22" t="str">
        <f>INDEX(Cronograma!AJ$5:AJ$11,MATCH($B92,Premissas!$A$39:$A$45,0))</f>
        <v/>
      </c>
      <c r="AL92" s="22" t="str">
        <f>INDEX(Cronograma!AK$5:AK$11,MATCH($B92,Premissas!$A$39:$A$45,0))</f>
        <v/>
      </c>
      <c r="AM92" s="22" t="str">
        <f>INDEX(Cronograma!AL$5:AL$11,MATCH($B92,Premissas!$A$39:$A$45,0))</f>
        <v/>
      </c>
      <c r="AN92" s="22" t="str">
        <f>INDEX(Cronograma!AM$5:AM$11,MATCH($B92,Premissas!$A$39:$A$45,0))</f>
        <v/>
      </c>
      <c r="AO92" s="22" t="str">
        <f>INDEX(Cronograma!AN$5:AN$11,MATCH($B92,Premissas!$A$39:$A$45,0))</f>
        <v/>
      </c>
      <c r="AP92" s="22" t="str">
        <f>INDEX(Cronograma!AO$5:AO$11,MATCH($B92,Premissas!$A$39:$A$45,0))</f>
        <v>S</v>
      </c>
      <c r="AQ92" s="22" t="str">
        <f>INDEX(Cronograma!AP$5:AP$11,MATCH($B92,Premissas!$A$39:$A$45,0))</f>
        <v/>
      </c>
      <c r="AR92" s="22" t="str">
        <f>INDEX(Cronograma!AQ$5:AQ$11,MATCH($B92,Premissas!$A$39:$A$45,0))</f>
        <v/>
      </c>
      <c r="AS92" s="22" t="str">
        <f>INDEX(Cronograma!AR$5:AR$11,MATCH($B92,Premissas!$A$39:$A$45,0))</f>
        <v/>
      </c>
      <c r="AT92" s="22" t="str">
        <f>INDEX(Cronograma!AS$5:AS$11,MATCH($B92,Premissas!$A$39:$A$45,0))</f>
        <v/>
      </c>
      <c r="AU92" s="22" t="str">
        <f>INDEX(Cronograma!AT$5:AT$11,MATCH($B92,Premissas!$A$39:$A$45,0))</f>
        <v/>
      </c>
      <c r="AV92" s="22" t="str">
        <f>INDEX(Cronograma!AU$5:AU$11,MATCH($B92,Premissas!$A$39:$A$45,0))</f>
        <v/>
      </c>
      <c r="AW92" s="22" t="str">
        <f>INDEX(Cronograma!AV$5:AV$11,MATCH($B92,Premissas!$A$39:$A$45,0))</f>
        <v/>
      </c>
      <c r="AX92" s="22" t="str">
        <f>INDEX(Cronograma!AW$5:AW$11,MATCH($B92,Premissas!$A$39:$A$45,0))</f>
        <v/>
      </c>
      <c r="AY92" s="22" t="str">
        <f>INDEX(Cronograma!AX$5:AX$11,MATCH($B92,Premissas!$A$39:$A$45,0))</f>
        <v/>
      </c>
      <c r="AZ92" s="22" t="str">
        <f>INDEX(Cronograma!AY$5:AY$11,MATCH($B92,Premissas!$A$39:$A$45,0))</f>
        <v/>
      </c>
      <c r="BA92" s="22" t="str">
        <f>INDEX(Cronograma!AZ$5:AZ$11,MATCH($B92,Premissas!$A$39:$A$45,0))</f>
        <v/>
      </c>
      <c r="BB92" s="22" t="str">
        <f>INDEX(Cronograma!BA$5:BA$11,MATCH($B92,Premissas!$A$39:$A$45,0))</f>
        <v/>
      </c>
    </row>
    <row r="93" spans="1:54" ht="15" customHeight="1" x14ac:dyDescent="0.4">
      <c r="A93" s="15" t="str">
        <f>Frota!$B93&amp;" — "&amp;Frota!$A93</f>
        <v>MB 2730 6X4 — 101185</v>
      </c>
      <c r="B93" s="16" t="str">
        <f>Frota!$C93</f>
        <v>Caminhão</v>
      </c>
      <c r="C93" s="22" t="str">
        <f>INDEX(Cronograma!B$5:B$11,MATCH($B93,Premissas!$A$39:$A$45,0))</f>
        <v/>
      </c>
      <c r="D93" s="22" t="str">
        <f>INDEX(Cronograma!C$5:C$11,MATCH($B93,Premissas!$A$39:$A$45,0))</f>
        <v/>
      </c>
      <c r="E93" s="22" t="str">
        <f>INDEX(Cronograma!D$5:D$11,MATCH($B93,Premissas!$A$39:$A$45,0))</f>
        <v/>
      </c>
      <c r="F93" s="22" t="str">
        <f>INDEX(Cronograma!E$5:E$11,MATCH($B93,Premissas!$A$39:$A$45,0))</f>
        <v/>
      </c>
      <c r="G93" s="22" t="str">
        <f>INDEX(Cronograma!F$5:F$11,MATCH($B93,Premissas!$A$39:$A$45,0))</f>
        <v/>
      </c>
      <c r="H93" s="22" t="str">
        <f>INDEX(Cronograma!G$5:G$11,MATCH($B93,Premissas!$A$39:$A$45,0))</f>
        <v/>
      </c>
      <c r="I93" s="22" t="str">
        <f>INDEX(Cronograma!H$5:H$11,MATCH($B93,Premissas!$A$39:$A$45,0))</f>
        <v>S</v>
      </c>
      <c r="J93" s="22" t="str">
        <f>INDEX(Cronograma!I$5:I$11,MATCH($B93,Premissas!$A$39:$A$45,0))</f>
        <v/>
      </c>
      <c r="K93" s="22" t="str">
        <f>INDEX(Cronograma!J$5:J$11,MATCH($B93,Premissas!$A$39:$A$45,0))</f>
        <v/>
      </c>
      <c r="L93" s="22" t="str">
        <f>INDEX(Cronograma!K$5:K$11,MATCH($B93,Premissas!$A$39:$A$45,0))</f>
        <v/>
      </c>
      <c r="M93" s="22" t="str">
        <f>INDEX(Cronograma!L$5:L$11,MATCH($B93,Premissas!$A$39:$A$45,0))</f>
        <v/>
      </c>
      <c r="N93" s="22" t="str">
        <f>INDEX(Cronograma!M$5:M$11,MATCH($B93,Premissas!$A$39:$A$45,0))</f>
        <v/>
      </c>
      <c r="O93" s="22" t="str">
        <f>INDEX(Cronograma!N$5:N$11,MATCH($B93,Premissas!$A$39:$A$45,0))</f>
        <v/>
      </c>
      <c r="P93" s="22" t="str">
        <f>INDEX(Cronograma!O$5:O$11,MATCH($B93,Premissas!$A$39:$A$45,0))</f>
        <v>A</v>
      </c>
      <c r="Q93" s="22" t="str">
        <f>INDEX(Cronograma!P$5:P$11,MATCH($B93,Premissas!$A$39:$A$45,0))</f>
        <v/>
      </c>
      <c r="R93" s="22" t="str">
        <f>INDEX(Cronograma!Q$5:Q$11,MATCH($B93,Premissas!$A$39:$A$45,0))</f>
        <v/>
      </c>
      <c r="S93" s="22" t="str">
        <f>INDEX(Cronograma!R$5:R$11,MATCH($B93,Premissas!$A$39:$A$45,0))</f>
        <v/>
      </c>
      <c r="T93" s="22" t="str">
        <f>INDEX(Cronograma!S$5:S$11,MATCH($B93,Premissas!$A$39:$A$45,0))</f>
        <v/>
      </c>
      <c r="U93" s="22" t="str">
        <f>INDEX(Cronograma!T$5:T$11,MATCH($B93,Premissas!$A$39:$A$45,0))</f>
        <v/>
      </c>
      <c r="V93" s="22" t="str">
        <f>INDEX(Cronograma!U$5:U$11,MATCH($B93,Premissas!$A$39:$A$45,0))</f>
        <v>S</v>
      </c>
      <c r="W93" s="22" t="str">
        <f>INDEX(Cronograma!V$5:V$11,MATCH($B93,Premissas!$A$39:$A$45,0))</f>
        <v/>
      </c>
      <c r="X93" s="22" t="str">
        <f>INDEX(Cronograma!W$5:W$11,MATCH($B93,Premissas!$A$39:$A$45,0))</f>
        <v/>
      </c>
      <c r="Y93" s="22" t="str">
        <f>INDEX(Cronograma!X$5:X$11,MATCH($B93,Premissas!$A$39:$A$45,0))</f>
        <v/>
      </c>
      <c r="Z93" s="22" t="str">
        <f>INDEX(Cronograma!Y$5:Y$11,MATCH($B93,Premissas!$A$39:$A$45,0))</f>
        <v/>
      </c>
      <c r="AA93" s="22" t="str">
        <f>INDEX(Cronograma!Z$5:Z$11,MATCH($B93,Premissas!$A$39:$A$45,0))</f>
        <v/>
      </c>
      <c r="AB93" s="22" t="str">
        <f>INDEX(Cronograma!AA$5:AA$11,MATCH($B93,Premissas!$A$39:$A$45,0))</f>
        <v/>
      </c>
      <c r="AC93" s="22" t="str">
        <f>INDEX(Cronograma!AB$5:AB$11,MATCH($B93,Premissas!$A$39:$A$45,0))</f>
        <v>B</v>
      </c>
      <c r="AD93" s="22" t="str">
        <f>INDEX(Cronograma!AC$5:AC$11,MATCH($B93,Premissas!$A$39:$A$45,0))</f>
        <v/>
      </c>
      <c r="AE93" s="22" t="str">
        <f>INDEX(Cronograma!AD$5:AD$11,MATCH($B93,Premissas!$A$39:$A$45,0))</f>
        <v/>
      </c>
      <c r="AF93" s="22" t="str">
        <f>INDEX(Cronograma!AE$5:AE$11,MATCH($B93,Premissas!$A$39:$A$45,0))</f>
        <v/>
      </c>
      <c r="AG93" s="22" t="str">
        <f>INDEX(Cronograma!AF$5:AF$11,MATCH($B93,Premissas!$A$39:$A$45,0))</f>
        <v/>
      </c>
      <c r="AH93" s="22" t="str">
        <f>INDEX(Cronograma!AG$5:AG$11,MATCH($B93,Premissas!$A$39:$A$45,0))</f>
        <v/>
      </c>
      <c r="AI93" s="22" t="str">
        <f>INDEX(Cronograma!AH$5:AH$11,MATCH($B93,Premissas!$A$39:$A$45,0))</f>
        <v/>
      </c>
      <c r="AJ93" s="22" t="str">
        <f>INDEX(Cronograma!AI$5:AI$11,MATCH($B93,Premissas!$A$39:$A$45,0))</f>
        <v/>
      </c>
      <c r="AK93" s="22" t="str">
        <f>INDEX(Cronograma!AJ$5:AJ$11,MATCH($B93,Premissas!$A$39:$A$45,0))</f>
        <v/>
      </c>
      <c r="AL93" s="22" t="str">
        <f>INDEX(Cronograma!AK$5:AK$11,MATCH($B93,Premissas!$A$39:$A$45,0))</f>
        <v/>
      </c>
      <c r="AM93" s="22" t="str">
        <f>INDEX(Cronograma!AL$5:AL$11,MATCH($B93,Premissas!$A$39:$A$45,0))</f>
        <v/>
      </c>
      <c r="AN93" s="22" t="str">
        <f>INDEX(Cronograma!AM$5:AM$11,MATCH($B93,Premissas!$A$39:$A$45,0))</f>
        <v/>
      </c>
      <c r="AO93" s="22" t="str">
        <f>INDEX(Cronograma!AN$5:AN$11,MATCH($B93,Premissas!$A$39:$A$45,0))</f>
        <v/>
      </c>
      <c r="AP93" s="22" t="str">
        <f>INDEX(Cronograma!AO$5:AO$11,MATCH($B93,Premissas!$A$39:$A$45,0))</f>
        <v>S</v>
      </c>
      <c r="AQ93" s="22" t="str">
        <f>INDEX(Cronograma!AP$5:AP$11,MATCH($B93,Premissas!$A$39:$A$45,0))</f>
        <v/>
      </c>
      <c r="AR93" s="22" t="str">
        <f>INDEX(Cronograma!AQ$5:AQ$11,MATCH($B93,Premissas!$A$39:$A$45,0))</f>
        <v/>
      </c>
      <c r="AS93" s="22" t="str">
        <f>INDEX(Cronograma!AR$5:AR$11,MATCH($B93,Premissas!$A$39:$A$45,0))</f>
        <v/>
      </c>
      <c r="AT93" s="22" t="str">
        <f>INDEX(Cronograma!AS$5:AS$11,MATCH($B93,Premissas!$A$39:$A$45,0))</f>
        <v/>
      </c>
      <c r="AU93" s="22" t="str">
        <f>INDEX(Cronograma!AT$5:AT$11,MATCH($B93,Premissas!$A$39:$A$45,0))</f>
        <v/>
      </c>
      <c r="AV93" s="22" t="str">
        <f>INDEX(Cronograma!AU$5:AU$11,MATCH($B93,Premissas!$A$39:$A$45,0))</f>
        <v/>
      </c>
      <c r="AW93" s="22" t="str">
        <f>INDEX(Cronograma!AV$5:AV$11,MATCH($B93,Premissas!$A$39:$A$45,0))</f>
        <v/>
      </c>
      <c r="AX93" s="22" t="str">
        <f>INDEX(Cronograma!AW$5:AW$11,MATCH($B93,Premissas!$A$39:$A$45,0))</f>
        <v/>
      </c>
      <c r="AY93" s="22" t="str">
        <f>INDEX(Cronograma!AX$5:AX$11,MATCH($B93,Premissas!$A$39:$A$45,0))</f>
        <v/>
      </c>
      <c r="AZ93" s="22" t="str">
        <f>INDEX(Cronograma!AY$5:AY$11,MATCH($B93,Premissas!$A$39:$A$45,0))</f>
        <v/>
      </c>
      <c r="BA93" s="22" t="str">
        <f>INDEX(Cronograma!AZ$5:AZ$11,MATCH($B93,Premissas!$A$39:$A$45,0))</f>
        <v/>
      </c>
      <c r="BB93" s="22" t="str">
        <f>INDEX(Cronograma!BA$5:BA$11,MATCH($B93,Premissas!$A$39:$A$45,0))</f>
        <v/>
      </c>
    </row>
    <row r="94" spans="1:54" ht="15" customHeight="1" x14ac:dyDescent="0.4">
      <c r="A94" s="15" t="str">
        <f>Frota!$B94&amp;" — "&amp;Frota!$A94</f>
        <v>MB 2730 6X4 — 101186</v>
      </c>
      <c r="B94" s="16" t="str">
        <f>Frota!$C94</f>
        <v>Caminhão</v>
      </c>
      <c r="C94" s="22" t="str">
        <f>INDEX(Cronograma!B$5:B$11,MATCH($B94,Premissas!$A$39:$A$45,0))</f>
        <v/>
      </c>
      <c r="D94" s="22" t="str">
        <f>INDEX(Cronograma!C$5:C$11,MATCH($B94,Premissas!$A$39:$A$45,0))</f>
        <v/>
      </c>
      <c r="E94" s="22" t="str">
        <f>INDEX(Cronograma!D$5:D$11,MATCH($B94,Premissas!$A$39:$A$45,0))</f>
        <v/>
      </c>
      <c r="F94" s="22" t="str">
        <f>INDEX(Cronograma!E$5:E$11,MATCH($B94,Premissas!$A$39:$A$45,0))</f>
        <v/>
      </c>
      <c r="G94" s="22" t="str">
        <f>INDEX(Cronograma!F$5:F$11,MATCH($B94,Premissas!$A$39:$A$45,0))</f>
        <v/>
      </c>
      <c r="H94" s="22" t="str">
        <f>INDEX(Cronograma!G$5:G$11,MATCH($B94,Premissas!$A$39:$A$45,0))</f>
        <v/>
      </c>
      <c r="I94" s="22" t="str">
        <f>INDEX(Cronograma!H$5:H$11,MATCH($B94,Premissas!$A$39:$A$45,0))</f>
        <v>S</v>
      </c>
      <c r="J94" s="22" t="str">
        <f>INDEX(Cronograma!I$5:I$11,MATCH($B94,Premissas!$A$39:$A$45,0))</f>
        <v/>
      </c>
      <c r="K94" s="22" t="str">
        <f>INDEX(Cronograma!J$5:J$11,MATCH($B94,Premissas!$A$39:$A$45,0))</f>
        <v/>
      </c>
      <c r="L94" s="22" t="str">
        <f>INDEX(Cronograma!K$5:K$11,MATCH($B94,Premissas!$A$39:$A$45,0))</f>
        <v/>
      </c>
      <c r="M94" s="22" t="str">
        <f>INDEX(Cronograma!L$5:L$11,MATCH($B94,Premissas!$A$39:$A$45,0))</f>
        <v/>
      </c>
      <c r="N94" s="22" t="str">
        <f>INDEX(Cronograma!M$5:M$11,MATCH($B94,Premissas!$A$39:$A$45,0))</f>
        <v/>
      </c>
      <c r="O94" s="22" t="str">
        <f>INDEX(Cronograma!N$5:N$11,MATCH($B94,Premissas!$A$39:$A$45,0))</f>
        <v/>
      </c>
      <c r="P94" s="22" t="str">
        <f>INDEX(Cronograma!O$5:O$11,MATCH($B94,Premissas!$A$39:$A$45,0))</f>
        <v>A</v>
      </c>
      <c r="Q94" s="22" t="str">
        <f>INDEX(Cronograma!P$5:P$11,MATCH($B94,Premissas!$A$39:$A$45,0))</f>
        <v/>
      </c>
      <c r="R94" s="22" t="str">
        <f>INDEX(Cronograma!Q$5:Q$11,MATCH($B94,Premissas!$A$39:$A$45,0))</f>
        <v/>
      </c>
      <c r="S94" s="22" t="str">
        <f>INDEX(Cronograma!R$5:R$11,MATCH($B94,Premissas!$A$39:$A$45,0))</f>
        <v/>
      </c>
      <c r="T94" s="22" t="str">
        <f>INDEX(Cronograma!S$5:S$11,MATCH($B94,Premissas!$A$39:$A$45,0))</f>
        <v/>
      </c>
      <c r="U94" s="22" t="str">
        <f>INDEX(Cronograma!T$5:T$11,MATCH($B94,Premissas!$A$39:$A$45,0))</f>
        <v/>
      </c>
      <c r="V94" s="22" t="str">
        <f>INDEX(Cronograma!U$5:U$11,MATCH($B94,Premissas!$A$39:$A$45,0))</f>
        <v>S</v>
      </c>
      <c r="W94" s="22" t="str">
        <f>INDEX(Cronograma!V$5:V$11,MATCH($B94,Premissas!$A$39:$A$45,0))</f>
        <v/>
      </c>
      <c r="X94" s="22" t="str">
        <f>INDEX(Cronograma!W$5:W$11,MATCH($B94,Premissas!$A$39:$A$45,0))</f>
        <v/>
      </c>
      <c r="Y94" s="22" t="str">
        <f>INDEX(Cronograma!X$5:X$11,MATCH($B94,Premissas!$A$39:$A$45,0))</f>
        <v/>
      </c>
      <c r="Z94" s="22" t="str">
        <f>INDEX(Cronograma!Y$5:Y$11,MATCH($B94,Premissas!$A$39:$A$45,0))</f>
        <v/>
      </c>
      <c r="AA94" s="22" t="str">
        <f>INDEX(Cronograma!Z$5:Z$11,MATCH($B94,Premissas!$A$39:$A$45,0))</f>
        <v/>
      </c>
      <c r="AB94" s="22" t="str">
        <f>INDEX(Cronograma!AA$5:AA$11,MATCH($B94,Premissas!$A$39:$A$45,0))</f>
        <v/>
      </c>
      <c r="AC94" s="22" t="str">
        <f>INDEX(Cronograma!AB$5:AB$11,MATCH($B94,Premissas!$A$39:$A$45,0))</f>
        <v>B</v>
      </c>
      <c r="AD94" s="22" t="str">
        <f>INDEX(Cronograma!AC$5:AC$11,MATCH($B94,Premissas!$A$39:$A$45,0))</f>
        <v/>
      </c>
      <c r="AE94" s="22" t="str">
        <f>INDEX(Cronograma!AD$5:AD$11,MATCH($B94,Premissas!$A$39:$A$45,0))</f>
        <v/>
      </c>
      <c r="AF94" s="22" t="str">
        <f>INDEX(Cronograma!AE$5:AE$11,MATCH($B94,Premissas!$A$39:$A$45,0))</f>
        <v/>
      </c>
      <c r="AG94" s="22" t="str">
        <f>INDEX(Cronograma!AF$5:AF$11,MATCH($B94,Premissas!$A$39:$A$45,0))</f>
        <v/>
      </c>
      <c r="AH94" s="22" t="str">
        <f>INDEX(Cronograma!AG$5:AG$11,MATCH($B94,Premissas!$A$39:$A$45,0))</f>
        <v/>
      </c>
      <c r="AI94" s="22" t="str">
        <f>INDEX(Cronograma!AH$5:AH$11,MATCH($B94,Premissas!$A$39:$A$45,0))</f>
        <v/>
      </c>
      <c r="AJ94" s="22" t="str">
        <f>INDEX(Cronograma!AI$5:AI$11,MATCH($B94,Premissas!$A$39:$A$45,0))</f>
        <v/>
      </c>
      <c r="AK94" s="22" t="str">
        <f>INDEX(Cronograma!AJ$5:AJ$11,MATCH($B94,Premissas!$A$39:$A$45,0))</f>
        <v/>
      </c>
      <c r="AL94" s="22" t="str">
        <f>INDEX(Cronograma!AK$5:AK$11,MATCH($B94,Premissas!$A$39:$A$45,0))</f>
        <v/>
      </c>
      <c r="AM94" s="22" t="str">
        <f>INDEX(Cronograma!AL$5:AL$11,MATCH($B94,Premissas!$A$39:$A$45,0))</f>
        <v/>
      </c>
      <c r="AN94" s="22" t="str">
        <f>INDEX(Cronograma!AM$5:AM$11,MATCH($B94,Premissas!$A$39:$A$45,0))</f>
        <v/>
      </c>
      <c r="AO94" s="22" t="str">
        <f>INDEX(Cronograma!AN$5:AN$11,MATCH($B94,Premissas!$A$39:$A$45,0))</f>
        <v/>
      </c>
      <c r="AP94" s="22" t="str">
        <f>INDEX(Cronograma!AO$5:AO$11,MATCH($B94,Premissas!$A$39:$A$45,0))</f>
        <v>S</v>
      </c>
      <c r="AQ94" s="22" t="str">
        <f>INDEX(Cronograma!AP$5:AP$11,MATCH($B94,Premissas!$A$39:$A$45,0))</f>
        <v/>
      </c>
      <c r="AR94" s="22" t="str">
        <f>INDEX(Cronograma!AQ$5:AQ$11,MATCH($B94,Premissas!$A$39:$A$45,0))</f>
        <v/>
      </c>
      <c r="AS94" s="22" t="str">
        <f>INDEX(Cronograma!AR$5:AR$11,MATCH($B94,Premissas!$A$39:$A$45,0))</f>
        <v/>
      </c>
      <c r="AT94" s="22" t="str">
        <f>INDEX(Cronograma!AS$5:AS$11,MATCH($B94,Premissas!$A$39:$A$45,0))</f>
        <v/>
      </c>
      <c r="AU94" s="22" t="str">
        <f>INDEX(Cronograma!AT$5:AT$11,MATCH($B94,Premissas!$A$39:$A$45,0))</f>
        <v/>
      </c>
      <c r="AV94" s="22" t="str">
        <f>INDEX(Cronograma!AU$5:AU$11,MATCH($B94,Premissas!$A$39:$A$45,0))</f>
        <v/>
      </c>
      <c r="AW94" s="22" t="str">
        <f>INDEX(Cronograma!AV$5:AV$11,MATCH($B94,Premissas!$A$39:$A$45,0))</f>
        <v/>
      </c>
      <c r="AX94" s="22" t="str">
        <f>INDEX(Cronograma!AW$5:AW$11,MATCH($B94,Premissas!$A$39:$A$45,0))</f>
        <v/>
      </c>
      <c r="AY94" s="22" t="str">
        <f>INDEX(Cronograma!AX$5:AX$11,MATCH($B94,Premissas!$A$39:$A$45,0))</f>
        <v/>
      </c>
      <c r="AZ94" s="22" t="str">
        <f>INDEX(Cronograma!AY$5:AY$11,MATCH($B94,Premissas!$A$39:$A$45,0))</f>
        <v/>
      </c>
      <c r="BA94" s="22" t="str">
        <f>INDEX(Cronograma!AZ$5:AZ$11,MATCH($B94,Premissas!$A$39:$A$45,0))</f>
        <v/>
      </c>
      <c r="BB94" s="22" t="str">
        <f>INDEX(Cronograma!BA$5:BA$11,MATCH($B94,Premissas!$A$39:$A$45,0))</f>
        <v/>
      </c>
    </row>
    <row r="95" spans="1:54" ht="15" customHeight="1" x14ac:dyDescent="0.4">
      <c r="A95" s="15" t="str">
        <f>Frota!$B95&amp;" — "&amp;Frota!$A95</f>
        <v>MB 2730 6X4 — 101187</v>
      </c>
      <c r="B95" s="16" t="str">
        <f>Frota!$C95</f>
        <v>Caminhão</v>
      </c>
      <c r="C95" s="22" t="str">
        <f>INDEX(Cronograma!B$5:B$11,MATCH($B95,Premissas!$A$39:$A$45,0))</f>
        <v/>
      </c>
      <c r="D95" s="22" t="str">
        <f>INDEX(Cronograma!C$5:C$11,MATCH($B95,Premissas!$A$39:$A$45,0))</f>
        <v/>
      </c>
      <c r="E95" s="22" t="str">
        <f>INDEX(Cronograma!D$5:D$11,MATCH($B95,Premissas!$A$39:$A$45,0))</f>
        <v/>
      </c>
      <c r="F95" s="22" t="str">
        <f>INDEX(Cronograma!E$5:E$11,MATCH($B95,Premissas!$A$39:$A$45,0))</f>
        <v/>
      </c>
      <c r="G95" s="22" t="str">
        <f>INDEX(Cronograma!F$5:F$11,MATCH($B95,Premissas!$A$39:$A$45,0))</f>
        <v/>
      </c>
      <c r="H95" s="22" t="str">
        <f>INDEX(Cronograma!G$5:G$11,MATCH($B95,Premissas!$A$39:$A$45,0))</f>
        <v/>
      </c>
      <c r="I95" s="22" t="str">
        <f>INDEX(Cronograma!H$5:H$11,MATCH($B95,Premissas!$A$39:$A$45,0))</f>
        <v>S</v>
      </c>
      <c r="J95" s="22" t="str">
        <f>INDEX(Cronograma!I$5:I$11,MATCH($B95,Premissas!$A$39:$A$45,0))</f>
        <v/>
      </c>
      <c r="K95" s="22" t="str">
        <f>INDEX(Cronograma!J$5:J$11,MATCH($B95,Premissas!$A$39:$A$45,0))</f>
        <v/>
      </c>
      <c r="L95" s="22" t="str">
        <f>INDEX(Cronograma!K$5:K$11,MATCH($B95,Premissas!$A$39:$A$45,0))</f>
        <v/>
      </c>
      <c r="M95" s="22" t="str">
        <f>INDEX(Cronograma!L$5:L$11,MATCH($B95,Premissas!$A$39:$A$45,0))</f>
        <v/>
      </c>
      <c r="N95" s="22" t="str">
        <f>INDEX(Cronograma!M$5:M$11,MATCH($B95,Premissas!$A$39:$A$45,0))</f>
        <v/>
      </c>
      <c r="O95" s="22" t="str">
        <f>INDEX(Cronograma!N$5:N$11,MATCH($B95,Premissas!$A$39:$A$45,0))</f>
        <v/>
      </c>
      <c r="P95" s="22" t="str">
        <f>INDEX(Cronograma!O$5:O$11,MATCH($B95,Premissas!$A$39:$A$45,0))</f>
        <v>A</v>
      </c>
      <c r="Q95" s="22" t="str">
        <f>INDEX(Cronograma!P$5:P$11,MATCH($B95,Premissas!$A$39:$A$45,0))</f>
        <v/>
      </c>
      <c r="R95" s="22" t="str">
        <f>INDEX(Cronograma!Q$5:Q$11,MATCH($B95,Premissas!$A$39:$A$45,0))</f>
        <v/>
      </c>
      <c r="S95" s="22" t="str">
        <f>INDEX(Cronograma!R$5:R$11,MATCH($B95,Premissas!$A$39:$A$45,0))</f>
        <v/>
      </c>
      <c r="T95" s="22" t="str">
        <f>INDEX(Cronograma!S$5:S$11,MATCH($B95,Premissas!$A$39:$A$45,0))</f>
        <v/>
      </c>
      <c r="U95" s="22" t="str">
        <f>INDEX(Cronograma!T$5:T$11,MATCH($B95,Premissas!$A$39:$A$45,0))</f>
        <v/>
      </c>
      <c r="V95" s="22" t="str">
        <f>INDEX(Cronograma!U$5:U$11,MATCH($B95,Premissas!$A$39:$A$45,0))</f>
        <v>S</v>
      </c>
      <c r="W95" s="22" t="str">
        <f>INDEX(Cronograma!V$5:V$11,MATCH($B95,Premissas!$A$39:$A$45,0))</f>
        <v/>
      </c>
      <c r="X95" s="22" t="str">
        <f>INDEX(Cronograma!W$5:W$11,MATCH($B95,Premissas!$A$39:$A$45,0))</f>
        <v/>
      </c>
      <c r="Y95" s="22" t="str">
        <f>INDEX(Cronograma!X$5:X$11,MATCH($B95,Premissas!$A$39:$A$45,0))</f>
        <v/>
      </c>
      <c r="Z95" s="22" t="str">
        <f>INDEX(Cronograma!Y$5:Y$11,MATCH($B95,Premissas!$A$39:$A$45,0))</f>
        <v/>
      </c>
      <c r="AA95" s="22" t="str">
        <f>INDEX(Cronograma!Z$5:Z$11,MATCH($B95,Premissas!$A$39:$A$45,0))</f>
        <v/>
      </c>
      <c r="AB95" s="22" t="str">
        <f>INDEX(Cronograma!AA$5:AA$11,MATCH($B95,Premissas!$A$39:$A$45,0))</f>
        <v/>
      </c>
      <c r="AC95" s="22" t="str">
        <f>INDEX(Cronograma!AB$5:AB$11,MATCH($B95,Premissas!$A$39:$A$45,0))</f>
        <v>B</v>
      </c>
      <c r="AD95" s="22" t="str">
        <f>INDEX(Cronograma!AC$5:AC$11,MATCH($B95,Premissas!$A$39:$A$45,0))</f>
        <v/>
      </c>
      <c r="AE95" s="22" t="str">
        <f>INDEX(Cronograma!AD$5:AD$11,MATCH($B95,Premissas!$A$39:$A$45,0))</f>
        <v/>
      </c>
      <c r="AF95" s="22" t="str">
        <f>INDEX(Cronograma!AE$5:AE$11,MATCH($B95,Premissas!$A$39:$A$45,0))</f>
        <v/>
      </c>
      <c r="AG95" s="22" t="str">
        <f>INDEX(Cronograma!AF$5:AF$11,MATCH($B95,Premissas!$A$39:$A$45,0))</f>
        <v/>
      </c>
      <c r="AH95" s="22" t="str">
        <f>INDEX(Cronograma!AG$5:AG$11,MATCH($B95,Premissas!$A$39:$A$45,0))</f>
        <v/>
      </c>
      <c r="AI95" s="22" t="str">
        <f>INDEX(Cronograma!AH$5:AH$11,MATCH($B95,Premissas!$A$39:$A$45,0))</f>
        <v/>
      </c>
      <c r="AJ95" s="22" t="str">
        <f>INDEX(Cronograma!AI$5:AI$11,MATCH($B95,Premissas!$A$39:$A$45,0))</f>
        <v/>
      </c>
      <c r="AK95" s="22" t="str">
        <f>INDEX(Cronograma!AJ$5:AJ$11,MATCH($B95,Premissas!$A$39:$A$45,0))</f>
        <v/>
      </c>
      <c r="AL95" s="22" t="str">
        <f>INDEX(Cronograma!AK$5:AK$11,MATCH($B95,Premissas!$A$39:$A$45,0))</f>
        <v/>
      </c>
      <c r="AM95" s="22" t="str">
        <f>INDEX(Cronograma!AL$5:AL$11,MATCH($B95,Premissas!$A$39:$A$45,0))</f>
        <v/>
      </c>
      <c r="AN95" s="22" t="str">
        <f>INDEX(Cronograma!AM$5:AM$11,MATCH($B95,Premissas!$A$39:$A$45,0))</f>
        <v/>
      </c>
      <c r="AO95" s="22" t="str">
        <f>INDEX(Cronograma!AN$5:AN$11,MATCH($B95,Premissas!$A$39:$A$45,0))</f>
        <v/>
      </c>
      <c r="AP95" s="22" t="str">
        <f>INDEX(Cronograma!AO$5:AO$11,MATCH($B95,Premissas!$A$39:$A$45,0))</f>
        <v>S</v>
      </c>
      <c r="AQ95" s="22" t="str">
        <f>INDEX(Cronograma!AP$5:AP$11,MATCH($B95,Premissas!$A$39:$A$45,0))</f>
        <v/>
      </c>
      <c r="AR95" s="22" t="str">
        <f>INDEX(Cronograma!AQ$5:AQ$11,MATCH($B95,Premissas!$A$39:$A$45,0))</f>
        <v/>
      </c>
      <c r="AS95" s="22" t="str">
        <f>INDEX(Cronograma!AR$5:AR$11,MATCH($B95,Premissas!$A$39:$A$45,0))</f>
        <v/>
      </c>
      <c r="AT95" s="22" t="str">
        <f>INDEX(Cronograma!AS$5:AS$11,MATCH($B95,Premissas!$A$39:$A$45,0))</f>
        <v/>
      </c>
      <c r="AU95" s="22" t="str">
        <f>INDEX(Cronograma!AT$5:AT$11,MATCH($B95,Premissas!$A$39:$A$45,0))</f>
        <v/>
      </c>
      <c r="AV95" s="22" t="str">
        <f>INDEX(Cronograma!AU$5:AU$11,MATCH($B95,Premissas!$A$39:$A$45,0))</f>
        <v/>
      </c>
      <c r="AW95" s="22" t="str">
        <f>INDEX(Cronograma!AV$5:AV$11,MATCH($B95,Premissas!$A$39:$A$45,0))</f>
        <v/>
      </c>
      <c r="AX95" s="22" t="str">
        <f>INDEX(Cronograma!AW$5:AW$11,MATCH($B95,Premissas!$A$39:$A$45,0))</f>
        <v/>
      </c>
      <c r="AY95" s="22" t="str">
        <f>INDEX(Cronograma!AX$5:AX$11,MATCH($B95,Premissas!$A$39:$A$45,0))</f>
        <v/>
      </c>
      <c r="AZ95" s="22" t="str">
        <f>INDEX(Cronograma!AY$5:AY$11,MATCH($B95,Premissas!$A$39:$A$45,0))</f>
        <v/>
      </c>
      <c r="BA95" s="22" t="str">
        <f>INDEX(Cronograma!AZ$5:AZ$11,MATCH($B95,Premissas!$A$39:$A$45,0))</f>
        <v/>
      </c>
      <c r="BB95" s="22" t="str">
        <f>INDEX(Cronograma!BA$5:BA$11,MATCH($B95,Premissas!$A$39:$A$45,0))</f>
        <v/>
      </c>
    </row>
    <row r="96" spans="1:54" ht="15" customHeight="1" x14ac:dyDescent="0.4">
      <c r="A96" s="15" t="str">
        <f>Frota!$B96&amp;" — "&amp;Frota!$A96</f>
        <v>VW 17.210 — 101188</v>
      </c>
      <c r="B96" s="16" t="str">
        <f>Frota!$C96</f>
        <v>Caminhão</v>
      </c>
      <c r="C96" s="22" t="str">
        <f>INDEX(Cronograma!B$5:B$11,MATCH($B96,Premissas!$A$39:$A$45,0))</f>
        <v/>
      </c>
      <c r="D96" s="22" t="str">
        <f>INDEX(Cronograma!C$5:C$11,MATCH($B96,Premissas!$A$39:$A$45,0))</f>
        <v/>
      </c>
      <c r="E96" s="22" t="str">
        <f>INDEX(Cronograma!D$5:D$11,MATCH($B96,Premissas!$A$39:$A$45,0))</f>
        <v/>
      </c>
      <c r="F96" s="22" t="str">
        <f>INDEX(Cronograma!E$5:E$11,MATCH($B96,Premissas!$A$39:$A$45,0))</f>
        <v/>
      </c>
      <c r="G96" s="22" t="str">
        <f>INDEX(Cronograma!F$5:F$11,MATCH($B96,Premissas!$A$39:$A$45,0))</f>
        <v/>
      </c>
      <c r="H96" s="22" t="str">
        <f>INDEX(Cronograma!G$5:G$11,MATCH($B96,Premissas!$A$39:$A$45,0))</f>
        <v/>
      </c>
      <c r="I96" s="22" t="str">
        <f>INDEX(Cronograma!H$5:H$11,MATCH($B96,Premissas!$A$39:$A$45,0))</f>
        <v>S</v>
      </c>
      <c r="J96" s="22" t="str">
        <f>INDEX(Cronograma!I$5:I$11,MATCH($B96,Premissas!$A$39:$A$45,0))</f>
        <v/>
      </c>
      <c r="K96" s="22" t="str">
        <f>INDEX(Cronograma!J$5:J$11,MATCH($B96,Premissas!$A$39:$A$45,0))</f>
        <v/>
      </c>
      <c r="L96" s="22" t="str">
        <f>INDEX(Cronograma!K$5:K$11,MATCH($B96,Premissas!$A$39:$A$45,0))</f>
        <v/>
      </c>
      <c r="M96" s="22" t="str">
        <f>INDEX(Cronograma!L$5:L$11,MATCH($B96,Premissas!$A$39:$A$45,0))</f>
        <v/>
      </c>
      <c r="N96" s="22" t="str">
        <f>INDEX(Cronograma!M$5:M$11,MATCH($B96,Premissas!$A$39:$A$45,0))</f>
        <v/>
      </c>
      <c r="O96" s="22" t="str">
        <f>INDEX(Cronograma!N$5:N$11,MATCH($B96,Premissas!$A$39:$A$45,0))</f>
        <v/>
      </c>
      <c r="P96" s="22" t="str">
        <f>INDEX(Cronograma!O$5:O$11,MATCH($B96,Premissas!$A$39:$A$45,0))</f>
        <v>A</v>
      </c>
      <c r="Q96" s="22" t="str">
        <f>INDEX(Cronograma!P$5:P$11,MATCH($B96,Premissas!$A$39:$A$45,0))</f>
        <v/>
      </c>
      <c r="R96" s="22" t="str">
        <f>INDEX(Cronograma!Q$5:Q$11,MATCH($B96,Premissas!$A$39:$A$45,0))</f>
        <v/>
      </c>
      <c r="S96" s="22" t="str">
        <f>INDEX(Cronograma!R$5:R$11,MATCH($B96,Premissas!$A$39:$A$45,0))</f>
        <v/>
      </c>
      <c r="T96" s="22" t="str">
        <f>INDEX(Cronograma!S$5:S$11,MATCH($B96,Premissas!$A$39:$A$45,0))</f>
        <v/>
      </c>
      <c r="U96" s="22" t="str">
        <f>INDEX(Cronograma!T$5:T$11,MATCH($B96,Premissas!$A$39:$A$45,0))</f>
        <v/>
      </c>
      <c r="V96" s="22" t="str">
        <f>INDEX(Cronograma!U$5:U$11,MATCH($B96,Premissas!$A$39:$A$45,0))</f>
        <v>S</v>
      </c>
      <c r="W96" s="22" t="str">
        <f>INDEX(Cronograma!V$5:V$11,MATCH($B96,Premissas!$A$39:$A$45,0))</f>
        <v/>
      </c>
      <c r="X96" s="22" t="str">
        <f>INDEX(Cronograma!W$5:W$11,MATCH($B96,Premissas!$A$39:$A$45,0))</f>
        <v/>
      </c>
      <c r="Y96" s="22" t="str">
        <f>INDEX(Cronograma!X$5:X$11,MATCH($B96,Premissas!$A$39:$A$45,0))</f>
        <v/>
      </c>
      <c r="Z96" s="22" t="str">
        <f>INDEX(Cronograma!Y$5:Y$11,MATCH($B96,Premissas!$A$39:$A$45,0))</f>
        <v/>
      </c>
      <c r="AA96" s="22" t="str">
        <f>INDEX(Cronograma!Z$5:Z$11,MATCH($B96,Premissas!$A$39:$A$45,0))</f>
        <v/>
      </c>
      <c r="AB96" s="22" t="str">
        <f>INDEX(Cronograma!AA$5:AA$11,MATCH($B96,Premissas!$A$39:$A$45,0))</f>
        <v/>
      </c>
      <c r="AC96" s="22" t="str">
        <f>INDEX(Cronograma!AB$5:AB$11,MATCH($B96,Premissas!$A$39:$A$45,0))</f>
        <v>B</v>
      </c>
      <c r="AD96" s="22" t="str">
        <f>INDEX(Cronograma!AC$5:AC$11,MATCH($B96,Premissas!$A$39:$A$45,0))</f>
        <v/>
      </c>
      <c r="AE96" s="22" t="str">
        <f>INDEX(Cronograma!AD$5:AD$11,MATCH($B96,Premissas!$A$39:$A$45,0))</f>
        <v/>
      </c>
      <c r="AF96" s="22" t="str">
        <f>INDEX(Cronograma!AE$5:AE$11,MATCH($B96,Premissas!$A$39:$A$45,0))</f>
        <v/>
      </c>
      <c r="AG96" s="22" t="str">
        <f>INDEX(Cronograma!AF$5:AF$11,MATCH($B96,Premissas!$A$39:$A$45,0))</f>
        <v/>
      </c>
      <c r="AH96" s="22" t="str">
        <f>INDEX(Cronograma!AG$5:AG$11,MATCH($B96,Premissas!$A$39:$A$45,0))</f>
        <v/>
      </c>
      <c r="AI96" s="22" t="str">
        <f>INDEX(Cronograma!AH$5:AH$11,MATCH($B96,Premissas!$A$39:$A$45,0))</f>
        <v/>
      </c>
      <c r="AJ96" s="22" t="str">
        <f>INDEX(Cronograma!AI$5:AI$11,MATCH($B96,Premissas!$A$39:$A$45,0))</f>
        <v/>
      </c>
      <c r="AK96" s="22" t="str">
        <f>INDEX(Cronograma!AJ$5:AJ$11,MATCH($B96,Premissas!$A$39:$A$45,0))</f>
        <v/>
      </c>
      <c r="AL96" s="22" t="str">
        <f>INDEX(Cronograma!AK$5:AK$11,MATCH($B96,Premissas!$A$39:$A$45,0))</f>
        <v/>
      </c>
      <c r="AM96" s="22" t="str">
        <f>INDEX(Cronograma!AL$5:AL$11,MATCH($B96,Premissas!$A$39:$A$45,0))</f>
        <v/>
      </c>
      <c r="AN96" s="22" t="str">
        <f>INDEX(Cronograma!AM$5:AM$11,MATCH($B96,Premissas!$A$39:$A$45,0))</f>
        <v/>
      </c>
      <c r="AO96" s="22" t="str">
        <f>INDEX(Cronograma!AN$5:AN$11,MATCH($B96,Premissas!$A$39:$A$45,0))</f>
        <v/>
      </c>
      <c r="AP96" s="22" t="str">
        <f>INDEX(Cronograma!AO$5:AO$11,MATCH($B96,Premissas!$A$39:$A$45,0))</f>
        <v>S</v>
      </c>
      <c r="AQ96" s="22" t="str">
        <f>INDEX(Cronograma!AP$5:AP$11,MATCH($B96,Premissas!$A$39:$A$45,0))</f>
        <v/>
      </c>
      <c r="AR96" s="22" t="str">
        <f>INDEX(Cronograma!AQ$5:AQ$11,MATCH($B96,Premissas!$A$39:$A$45,0))</f>
        <v/>
      </c>
      <c r="AS96" s="22" t="str">
        <f>INDEX(Cronograma!AR$5:AR$11,MATCH($B96,Premissas!$A$39:$A$45,0))</f>
        <v/>
      </c>
      <c r="AT96" s="22" t="str">
        <f>INDEX(Cronograma!AS$5:AS$11,MATCH($B96,Premissas!$A$39:$A$45,0))</f>
        <v/>
      </c>
      <c r="AU96" s="22" t="str">
        <f>INDEX(Cronograma!AT$5:AT$11,MATCH($B96,Premissas!$A$39:$A$45,0))</f>
        <v/>
      </c>
      <c r="AV96" s="22" t="str">
        <f>INDEX(Cronograma!AU$5:AU$11,MATCH($B96,Premissas!$A$39:$A$45,0))</f>
        <v/>
      </c>
      <c r="AW96" s="22" t="str">
        <f>INDEX(Cronograma!AV$5:AV$11,MATCH($B96,Premissas!$A$39:$A$45,0))</f>
        <v/>
      </c>
      <c r="AX96" s="22" t="str">
        <f>INDEX(Cronograma!AW$5:AW$11,MATCH($B96,Premissas!$A$39:$A$45,0))</f>
        <v/>
      </c>
      <c r="AY96" s="22" t="str">
        <f>INDEX(Cronograma!AX$5:AX$11,MATCH($B96,Premissas!$A$39:$A$45,0))</f>
        <v/>
      </c>
      <c r="AZ96" s="22" t="str">
        <f>INDEX(Cronograma!AY$5:AY$11,MATCH($B96,Premissas!$A$39:$A$45,0))</f>
        <v/>
      </c>
      <c r="BA96" s="22" t="str">
        <f>INDEX(Cronograma!AZ$5:AZ$11,MATCH($B96,Premissas!$A$39:$A$45,0))</f>
        <v/>
      </c>
      <c r="BB96" s="22" t="str">
        <f>INDEX(Cronograma!BA$5:BA$11,MATCH($B96,Premissas!$A$39:$A$45,0))</f>
        <v/>
      </c>
    </row>
    <row r="97" spans="1:54" ht="15" customHeight="1" x14ac:dyDescent="0.4">
      <c r="A97" s="15" t="str">
        <f>Frota!$B97&amp;" — "&amp;Frota!$A97</f>
        <v>VW 27.260 — 101189</v>
      </c>
      <c r="B97" s="16" t="str">
        <f>Frota!$C97</f>
        <v>Caminhão</v>
      </c>
      <c r="C97" s="22" t="str">
        <f>INDEX(Cronograma!B$5:B$11,MATCH($B97,Premissas!$A$39:$A$45,0))</f>
        <v/>
      </c>
      <c r="D97" s="22" t="str">
        <f>INDEX(Cronograma!C$5:C$11,MATCH($B97,Premissas!$A$39:$A$45,0))</f>
        <v/>
      </c>
      <c r="E97" s="22" t="str">
        <f>INDEX(Cronograma!D$5:D$11,MATCH($B97,Premissas!$A$39:$A$45,0))</f>
        <v/>
      </c>
      <c r="F97" s="22" t="str">
        <f>INDEX(Cronograma!E$5:E$11,MATCH($B97,Premissas!$A$39:$A$45,0))</f>
        <v/>
      </c>
      <c r="G97" s="22" t="str">
        <f>INDEX(Cronograma!F$5:F$11,MATCH($B97,Premissas!$A$39:$A$45,0))</f>
        <v/>
      </c>
      <c r="H97" s="22" t="str">
        <f>INDEX(Cronograma!G$5:G$11,MATCH($B97,Premissas!$A$39:$A$45,0))</f>
        <v/>
      </c>
      <c r="I97" s="22" t="str">
        <f>INDEX(Cronograma!H$5:H$11,MATCH($B97,Premissas!$A$39:$A$45,0))</f>
        <v>S</v>
      </c>
      <c r="J97" s="22" t="str">
        <f>INDEX(Cronograma!I$5:I$11,MATCH($B97,Premissas!$A$39:$A$45,0))</f>
        <v/>
      </c>
      <c r="K97" s="22" t="str">
        <f>INDEX(Cronograma!J$5:J$11,MATCH($B97,Premissas!$A$39:$A$45,0))</f>
        <v/>
      </c>
      <c r="L97" s="22" t="str">
        <f>INDEX(Cronograma!K$5:K$11,MATCH($B97,Premissas!$A$39:$A$45,0))</f>
        <v/>
      </c>
      <c r="M97" s="22" t="str">
        <f>INDEX(Cronograma!L$5:L$11,MATCH($B97,Premissas!$A$39:$A$45,0))</f>
        <v/>
      </c>
      <c r="N97" s="22" t="str">
        <f>INDEX(Cronograma!M$5:M$11,MATCH($B97,Premissas!$A$39:$A$45,0))</f>
        <v/>
      </c>
      <c r="O97" s="22" t="str">
        <f>INDEX(Cronograma!N$5:N$11,MATCH($B97,Premissas!$A$39:$A$45,0))</f>
        <v/>
      </c>
      <c r="P97" s="22" t="str">
        <f>INDEX(Cronograma!O$5:O$11,MATCH($B97,Premissas!$A$39:$A$45,0))</f>
        <v>A</v>
      </c>
      <c r="Q97" s="22" t="str">
        <f>INDEX(Cronograma!P$5:P$11,MATCH($B97,Premissas!$A$39:$A$45,0))</f>
        <v/>
      </c>
      <c r="R97" s="22" t="str">
        <f>INDEX(Cronograma!Q$5:Q$11,MATCH($B97,Premissas!$A$39:$A$45,0))</f>
        <v/>
      </c>
      <c r="S97" s="22" t="str">
        <f>INDEX(Cronograma!R$5:R$11,MATCH($B97,Premissas!$A$39:$A$45,0))</f>
        <v/>
      </c>
      <c r="T97" s="22" t="str">
        <f>INDEX(Cronograma!S$5:S$11,MATCH($B97,Premissas!$A$39:$A$45,0))</f>
        <v/>
      </c>
      <c r="U97" s="22" t="str">
        <f>INDEX(Cronograma!T$5:T$11,MATCH($B97,Premissas!$A$39:$A$45,0))</f>
        <v/>
      </c>
      <c r="V97" s="22" t="str">
        <f>INDEX(Cronograma!U$5:U$11,MATCH($B97,Premissas!$A$39:$A$45,0))</f>
        <v>S</v>
      </c>
      <c r="W97" s="22" t="str">
        <f>INDEX(Cronograma!V$5:V$11,MATCH($B97,Premissas!$A$39:$A$45,0))</f>
        <v/>
      </c>
      <c r="X97" s="22" t="str">
        <f>INDEX(Cronograma!W$5:W$11,MATCH($B97,Premissas!$A$39:$A$45,0))</f>
        <v/>
      </c>
      <c r="Y97" s="22" t="str">
        <f>INDEX(Cronograma!X$5:X$11,MATCH($B97,Premissas!$A$39:$A$45,0))</f>
        <v/>
      </c>
      <c r="Z97" s="22" t="str">
        <f>INDEX(Cronograma!Y$5:Y$11,MATCH($B97,Premissas!$A$39:$A$45,0))</f>
        <v/>
      </c>
      <c r="AA97" s="22" t="str">
        <f>INDEX(Cronograma!Z$5:Z$11,MATCH($B97,Premissas!$A$39:$A$45,0))</f>
        <v/>
      </c>
      <c r="AB97" s="22" t="str">
        <f>INDEX(Cronograma!AA$5:AA$11,MATCH($B97,Premissas!$A$39:$A$45,0))</f>
        <v/>
      </c>
      <c r="AC97" s="22" t="str">
        <f>INDEX(Cronograma!AB$5:AB$11,MATCH($B97,Premissas!$A$39:$A$45,0))</f>
        <v>B</v>
      </c>
      <c r="AD97" s="22" t="str">
        <f>INDEX(Cronograma!AC$5:AC$11,MATCH($B97,Premissas!$A$39:$A$45,0))</f>
        <v/>
      </c>
      <c r="AE97" s="22" t="str">
        <f>INDEX(Cronograma!AD$5:AD$11,MATCH($B97,Premissas!$A$39:$A$45,0))</f>
        <v/>
      </c>
      <c r="AF97" s="22" t="str">
        <f>INDEX(Cronograma!AE$5:AE$11,MATCH($B97,Premissas!$A$39:$A$45,0))</f>
        <v/>
      </c>
      <c r="AG97" s="22" t="str">
        <f>INDEX(Cronograma!AF$5:AF$11,MATCH($B97,Premissas!$A$39:$A$45,0))</f>
        <v/>
      </c>
      <c r="AH97" s="22" t="str">
        <f>INDEX(Cronograma!AG$5:AG$11,MATCH($B97,Premissas!$A$39:$A$45,0))</f>
        <v/>
      </c>
      <c r="AI97" s="22" t="str">
        <f>INDEX(Cronograma!AH$5:AH$11,MATCH($B97,Premissas!$A$39:$A$45,0))</f>
        <v/>
      </c>
      <c r="AJ97" s="22" t="str">
        <f>INDEX(Cronograma!AI$5:AI$11,MATCH($B97,Premissas!$A$39:$A$45,0))</f>
        <v/>
      </c>
      <c r="AK97" s="22" t="str">
        <f>INDEX(Cronograma!AJ$5:AJ$11,MATCH($B97,Premissas!$A$39:$A$45,0))</f>
        <v/>
      </c>
      <c r="AL97" s="22" t="str">
        <f>INDEX(Cronograma!AK$5:AK$11,MATCH($B97,Premissas!$A$39:$A$45,0))</f>
        <v/>
      </c>
      <c r="AM97" s="22" t="str">
        <f>INDEX(Cronograma!AL$5:AL$11,MATCH($B97,Premissas!$A$39:$A$45,0))</f>
        <v/>
      </c>
      <c r="AN97" s="22" t="str">
        <f>INDEX(Cronograma!AM$5:AM$11,MATCH($B97,Premissas!$A$39:$A$45,0))</f>
        <v/>
      </c>
      <c r="AO97" s="22" t="str">
        <f>INDEX(Cronograma!AN$5:AN$11,MATCH($B97,Premissas!$A$39:$A$45,0))</f>
        <v/>
      </c>
      <c r="AP97" s="22" t="str">
        <f>INDEX(Cronograma!AO$5:AO$11,MATCH($B97,Premissas!$A$39:$A$45,0))</f>
        <v>S</v>
      </c>
      <c r="AQ97" s="22" t="str">
        <f>INDEX(Cronograma!AP$5:AP$11,MATCH($B97,Premissas!$A$39:$A$45,0))</f>
        <v/>
      </c>
      <c r="AR97" s="22" t="str">
        <f>INDEX(Cronograma!AQ$5:AQ$11,MATCH($B97,Premissas!$A$39:$A$45,0))</f>
        <v/>
      </c>
      <c r="AS97" s="22" t="str">
        <f>INDEX(Cronograma!AR$5:AR$11,MATCH($B97,Premissas!$A$39:$A$45,0))</f>
        <v/>
      </c>
      <c r="AT97" s="22" t="str">
        <f>INDEX(Cronograma!AS$5:AS$11,MATCH($B97,Premissas!$A$39:$A$45,0))</f>
        <v/>
      </c>
      <c r="AU97" s="22" t="str">
        <f>INDEX(Cronograma!AT$5:AT$11,MATCH($B97,Premissas!$A$39:$A$45,0))</f>
        <v/>
      </c>
      <c r="AV97" s="22" t="str">
        <f>INDEX(Cronograma!AU$5:AU$11,MATCH($B97,Premissas!$A$39:$A$45,0))</f>
        <v/>
      </c>
      <c r="AW97" s="22" t="str">
        <f>INDEX(Cronograma!AV$5:AV$11,MATCH($B97,Premissas!$A$39:$A$45,0))</f>
        <v/>
      </c>
      <c r="AX97" s="22" t="str">
        <f>INDEX(Cronograma!AW$5:AW$11,MATCH($B97,Premissas!$A$39:$A$45,0))</f>
        <v/>
      </c>
      <c r="AY97" s="22" t="str">
        <f>INDEX(Cronograma!AX$5:AX$11,MATCH($B97,Premissas!$A$39:$A$45,0))</f>
        <v/>
      </c>
      <c r="AZ97" s="22" t="str">
        <f>INDEX(Cronograma!AY$5:AY$11,MATCH($B97,Premissas!$A$39:$A$45,0))</f>
        <v/>
      </c>
      <c r="BA97" s="22" t="str">
        <f>INDEX(Cronograma!AZ$5:AZ$11,MATCH($B97,Premissas!$A$39:$A$45,0))</f>
        <v/>
      </c>
      <c r="BB97" s="22" t="str">
        <f>INDEX(Cronograma!BA$5:BA$11,MATCH($B97,Premissas!$A$39:$A$45,0))</f>
        <v/>
      </c>
    </row>
    <row r="98" spans="1:54" ht="15" customHeight="1" x14ac:dyDescent="0.4">
      <c r="A98" s="15" t="str">
        <f>Frota!$B98&amp;" — "&amp;Frota!$A98</f>
        <v>VW 33-480 — 101190</v>
      </c>
      <c r="B98" s="16" t="str">
        <f>Frota!$C98</f>
        <v>Caminhão</v>
      </c>
      <c r="C98" s="22" t="str">
        <f>INDEX(Cronograma!B$5:B$11,MATCH($B98,Premissas!$A$39:$A$45,0))</f>
        <v/>
      </c>
      <c r="D98" s="22" t="str">
        <f>INDEX(Cronograma!C$5:C$11,MATCH($B98,Premissas!$A$39:$A$45,0))</f>
        <v/>
      </c>
      <c r="E98" s="22" t="str">
        <f>INDEX(Cronograma!D$5:D$11,MATCH($B98,Premissas!$A$39:$A$45,0))</f>
        <v/>
      </c>
      <c r="F98" s="22" t="str">
        <f>INDEX(Cronograma!E$5:E$11,MATCH($B98,Premissas!$A$39:$A$45,0))</f>
        <v/>
      </c>
      <c r="G98" s="22" t="str">
        <f>INDEX(Cronograma!F$5:F$11,MATCH($B98,Premissas!$A$39:$A$45,0))</f>
        <v/>
      </c>
      <c r="H98" s="22" t="str">
        <f>INDEX(Cronograma!G$5:G$11,MATCH($B98,Premissas!$A$39:$A$45,0))</f>
        <v/>
      </c>
      <c r="I98" s="22" t="str">
        <f>INDEX(Cronograma!H$5:H$11,MATCH($B98,Premissas!$A$39:$A$45,0))</f>
        <v>S</v>
      </c>
      <c r="J98" s="22" t="str">
        <f>INDEX(Cronograma!I$5:I$11,MATCH($B98,Premissas!$A$39:$A$45,0))</f>
        <v/>
      </c>
      <c r="K98" s="22" t="str">
        <f>INDEX(Cronograma!J$5:J$11,MATCH($B98,Premissas!$A$39:$A$45,0))</f>
        <v/>
      </c>
      <c r="L98" s="22" t="str">
        <f>INDEX(Cronograma!K$5:K$11,MATCH($B98,Premissas!$A$39:$A$45,0))</f>
        <v/>
      </c>
      <c r="M98" s="22" t="str">
        <f>INDEX(Cronograma!L$5:L$11,MATCH($B98,Premissas!$A$39:$A$45,0))</f>
        <v/>
      </c>
      <c r="N98" s="22" t="str">
        <f>INDEX(Cronograma!M$5:M$11,MATCH($B98,Premissas!$A$39:$A$45,0))</f>
        <v/>
      </c>
      <c r="O98" s="22" t="str">
        <f>INDEX(Cronograma!N$5:N$11,MATCH($B98,Premissas!$A$39:$A$45,0))</f>
        <v/>
      </c>
      <c r="P98" s="22" t="str">
        <f>INDEX(Cronograma!O$5:O$11,MATCH($B98,Premissas!$A$39:$A$45,0))</f>
        <v>A</v>
      </c>
      <c r="Q98" s="22" t="str">
        <f>INDEX(Cronograma!P$5:P$11,MATCH($B98,Premissas!$A$39:$A$45,0))</f>
        <v/>
      </c>
      <c r="R98" s="22" t="str">
        <f>INDEX(Cronograma!Q$5:Q$11,MATCH($B98,Premissas!$A$39:$A$45,0))</f>
        <v/>
      </c>
      <c r="S98" s="22" t="str">
        <f>INDEX(Cronograma!R$5:R$11,MATCH($B98,Premissas!$A$39:$A$45,0))</f>
        <v/>
      </c>
      <c r="T98" s="22" t="str">
        <f>INDEX(Cronograma!S$5:S$11,MATCH($B98,Premissas!$A$39:$A$45,0))</f>
        <v/>
      </c>
      <c r="U98" s="22" t="str">
        <f>INDEX(Cronograma!T$5:T$11,MATCH($B98,Premissas!$A$39:$A$45,0))</f>
        <v/>
      </c>
      <c r="V98" s="22" t="str">
        <f>INDEX(Cronograma!U$5:U$11,MATCH($B98,Premissas!$A$39:$A$45,0))</f>
        <v>S</v>
      </c>
      <c r="W98" s="22" t="str">
        <f>INDEX(Cronograma!V$5:V$11,MATCH($B98,Premissas!$A$39:$A$45,0))</f>
        <v/>
      </c>
      <c r="X98" s="22" t="str">
        <f>INDEX(Cronograma!W$5:W$11,MATCH($B98,Premissas!$A$39:$A$45,0))</f>
        <v/>
      </c>
      <c r="Y98" s="22" t="str">
        <f>INDEX(Cronograma!X$5:X$11,MATCH($B98,Premissas!$A$39:$A$45,0))</f>
        <v/>
      </c>
      <c r="Z98" s="22" t="str">
        <f>INDEX(Cronograma!Y$5:Y$11,MATCH($B98,Premissas!$A$39:$A$45,0))</f>
        <v/>
      </c>
      <c r="AA98" s="22" t="str">
        <f>INDEX(Cronograma!Z$5:Z$11,MATCH($B98,Premissas!$A$39:$A$45,0))</f>
        <v/>
      </c>
      <c r="AB98" s="22" t="str">
        <f>INDEX(Cronograma!AA$5:AA$11,MATCH($B98,Premissas!$A$39:$A$45,0))</f>
        <v/>
      </c>
      <c r="AC98" s="22" t="str">
        <f>INDEX(Cronograma!AB$5:AB$11,MATCH($B98,Premissas!$A$39:$A$45,0))</f>
        <v>B</v>
      </c>
      <c r="AD98" s="22" t="str">
        <f>INDEX(Cronograma!AC$5:AC$11,MATCH($B98,Premissas!$A$39:$A$45,0))</f>
        <v/>
      </c>
      <c r="AE98" s="22" t="str">
        <f>INDEX(Cronograma!AD$5:AD$11,MATCH($B98,Premissas!$A$39:$A$45,0))</f>
        <v/>
      </c>
      <c r="AF98" s="22" t="str">
        <f>INDEX(Cronograma!AE$5:AE$11,MATCH($B98,Premissas!$A$39:$A$45,0))</f>
        <v/>
      </c>
      <c r="AG98" s="22" t="str">
        <f>INDEX(Cronograma!AF$5:AF$11,MATCH($B98,Premissas!$A$39:$A$45,0))</f>
        <v/>
      </c>
      <c r="AH98" s="22" t="str">
        <f>INDEX(Cronograma!AG$5:AG$11,MATCH($B98,Premissas!$A$39:$A$45,0))</f>
        <v/>
      </c>
      <c r="AI98" s="22" t="str">
        <f>INDEX(Cronograma!AH$5:AH$11,MATCH($B98,Premissas!$A$39:$A$45,0))</f>
        <v/>
      </c>
      <c r="AJ98" s="22" t="str">
        <f>INDEX(Cronograma!AI$5:AI$11,MATCH($B98,Premissas!$A$39:$A$45,0))</f>
        <v/>
      </c>
      <c r="AK98" s="22" t="str">
        <f>INDEX(Cronograma!AJ$5:AJ$11,MATCH($B98,Premissas!$A$39:$A$45,0))</f>
        <v/>
      </c>
      <c r="AL98" s="22" t="str">
        <f>INDEX(Cronograma!AK$5:AK$11,MATCH($B98,Premissas!$A$39:$A$45,0))</f>
        <v/>
      </c>
      <c r="AM98" s="22" t="str">
        <f>INDEX(Cronograma!AL$5:AL$11,MATCH($B98,Premissas!$A$39:$A$45,0))</f>
        <v/>
      </c>
      <c r="AN98" s="22" t="str">
        <f>INDEX(Cronograma!AM$5:AM$11,MATCH($B98,Premissas!$A$39:$A$45,0))</f>
        <v/>
      </c>
      <c r="AO98" s="22" t="str">
        <f>INDEX(Cronograma!AN$5:AN$11,MATCH($B98,Premissas!$A$39:$A$45,0))</f>
        <v/>
      </c>
      <c r="AP98" s="22" t="str">
        <f>INDEX(Cronograma!AO$5:AO$11,MATCH($B98,Premissas!$A$39:$A$45,0))</f>
        <v>S</v>
      </c>
      <c r="AQ98" s="22" t="str">
        <f>INDEX(Cronograma!AP$5:AP$11,MATCH($B98,Premissas!$A$39:$A$45,0))</f>
        <v/>
      </c>
      <c r="AR98" s="22" t="str">
        <f>INDEX(Cronograma!AQ$5:AQ$11,MATCH($B98,Premissas!$A$39:$A$45,0))</f>
        <v/>
      </c>
      <c r="AS98" s="22" t="str">
        <f>INDEX(Cronograma!AR$5:AR$11,MATCH($B98,Premissas!$A$39:$A$45,0))</f>
        <v/>
      </c>
      <c r="AT98" s="22" t="str">
        <f>INDEX(Cronograma!AS$5:AS$11,MATCH($B98,Premissas!$A$39:$A$45,0))</f>
        <v/>
      </c>
      <c r="AU98" s="22" t="str">
        <f>INDEX(Cronograma!AT$5:AT$11,MATCH($B98,Premissas!$A$39:$A$45,0))</f>
        <v/>
      </c>
      <c r="AV98" s="22" t="str">
        <f>INDEX(Cronograma!AU$5:AU$11,MATCH($B98,Premissas!$A$39:$A$45,0))</f>
        <v/>
      </c>
      <c r="AW98" s="22" t="str">
        <f>INDEX(Cronograma!AV$5:AV$11,MATCH($B98,Premissas!$A$39:$A$45,0))</f>
        <v/>
      </c>
      <c r="AX98" s="22" t="str">
        <f>INDEX(Cronograma!AW$5:AW$11,MATCH($B98,Premissas!$A$39:$A$45,0))</f>
        <v/>
      </c>
      <c r="AY98" s="22" t="str">
        <f>INDEX(Cronograma!AX$5:AX$11,MATCH($B98,Premissas!$A$39:$A$45,0))</f>
        <v/>
      </c>
      <c r="AZ98" s="22" t="str">
        <f>INDEX(Cronograma!AY$5:AY$11,MATCH($B98,Premissas!$A$39:$A$45,0))</f>
        <v/>
      </c>
      <c r="BA98" s="22" t="str">
        <f>INDEX(Cronograma!AZ$5:AZ$11,MATCH($B98,Premissas!$A$39:$A$45,0))</f>
        <v/>
      </c>
      <c r="BB98" s="22" t="str">
        <f>INDEX(Cronograma!BA$5:BA$11,MATCH($B98,Premissas!$A$39:$A$45,0))</f>
        <v/>
      </c>
    </row>
    <row r="99" spans="1:54" ht="15" customHeight="1" x14ac:dyDescent="0.4">
      <c r="A99" s="15" t="str">
        <f>Frota!$B99&amp;" — "&amp;Frota!$A99</f>
        <v>MB 3351 Arocs 6x4 — 101200</v>
      </c>
      <c r="B99" s="16" t="str">
        <f>Frota!$C99</f>
        <v>Caminhão</v>
      </c>
      <c r="C99" s="22" t="str">
        <f>INDEX(Cronograma!B$5:B$11,MATCH($B99,Premissas!$A$39:$A$45,0))</f>
        <v/>
      </c>
      <c r="D99" s="22" t="str">
        <f>INDEX(Cronograma!C$5:C$11,MATCH($B99,Premissas!$A$39:$A$45,0))</f>
        <v/>
      </c>
      <c r="E99" s="22" t="str">
        <f>INDEX(Cronograma!D$5:D$11,MATCH($B99,Premissas!$A$39:$A$45,0))</f>
        <v/>
      </c>
      <c r="F99" s="22" t="str">
        <f>INDEX(Cronograma!E$5:E$11,MATCH($B99,Premissas!$A$39:$A$45,0))</f>
        <v/>
      </c>
      <c r="G99" s="22" t="str">
        <f>INDEX(Cronograma!F$5:F$11,MATCH($B99,Premissas!$A$39:$A$45,0))</f>
        <v/>
      </c>
      <c r="H99" s="22" t="str">
        <f>INDEX(Cronograma!G$5:G$11,MATCH($B99,Premissas!$A$39:$A$45,0))</f>
        <v/>
      </c>
      <c r="I99" s="22" t="str">
        <f>INDEX(Cronograma!H$5:H$11,MATCH($B99,Premissas!$A$39:$A$45,0))</f>
        <v>S</v>
      </c>
      <c r="J99" s="22" t="str">
        <f>INDEX(Cronograma!I$5:I$11,MATCH($B99,Premissas!$A$39:$A$45,0))</f>
        <v/>
      </c>
      <c r="K99" s="22" t="str">
        <f>INDEX(Cronograma!J$5:J$11,MATCH($B99,Premissas!$A$39:$A$45,0))</f>
        <v/>
      </c>
      <c r="L99" s="22" t="str">
        <f>INDEX(Cronograma!K$5:K$11,MATCH($B99,Premissas!$A$39:$A$45,0))</f>
        <v/>
      </c>
      <c r="M99" s="22" t="str">
        <f>INDEX(Cronograma!L$5:L$11,MATCH($B99,Premissas!$A$39:$A$45,0))</f>
        <v/>
      </c>
      <c r="N99" s="22" t="str">
        <f>INDEX(Cronograma!M$5:M$11,MATCH($B99,Premissas!$A$39:$A$45,0))</f>
        <v/>
      </c>
      <c r="O99" s="22" t="str">
        <f>INDEX(Cronograma!N$5:N$11,MATCH($B99,Premissas!$A$39:$A$45,0))</f>
        <v/>
      </c>
      <c r="P99" s="22" t="str">
        <f>INDEX(Cronograma!O$5:O$11,MATCH($B99,Premissas!$A$39:$A$45,0))</f>
        <v>A</v>
      </c>
      <c r="Q99" s="22" t="str">
        <f>INDEX(Cronograma!P$5:P$11,MATCH($B99,Premissas!$A$39:$A$45,0))</f>
        <v/>
      </c>
      <c r="R99" s="22" t="str">
        <f>INDEX(Cronograma!Q$5:Q$11,MATCH($B99,Premissas!$A$39:$A$45,0))</f>
        <v/>
      </c>
      <c r="S99" s="22" t="str">
        <f>INDEX(Cronograma!R$5:R$11,MATCH($B99,Premissas!$A$39:$A$45,0))</f>
        <v/>
      </c>
      <c r="T99" s="22" t="str">
        <f>INDEX(Cronograma!S$5:S$11,MATCH($B99,Premissas!$A$39:$A$45,0))</f>
        <v/>
      </c>
      <c r="U99" s="22" t="str">
        <f>INDEX(Cronograma!T$5:T$11,MATCH($B99,Premissas!$A$39:$A$45,0))</f>
        <v/>
      </c>
      <c r="V99" s="22" t="str">
        <f>INDEX(Cronograma!U$5:U$11,MATCH($B99,Premissas!$A$39:$A$45,0))</f>
        <v>S</v>
      </c>
      <c r="W99" s="22" t="str">
        <f>INDEX(Cronograma!V$5:V$11,MATCH($B99,Premissas!$A$39:$A$45,0))</f>
        <v/>
      </c>
      <c r="X99" s="22" t="str">
        <f>INDEX(Cronograma!W$5:W$11,MATCH($B99,Premissas!$A$39:$A$45,0))</f>
        <v/>
      </c>
      <c r="Y99" s="22" t="str">
        <f>INDEX(Cronograma!X$5:X$11,MATCH($B99,Premissas!$A$39:$A$45,0))</f>
        <v/>
      </c>
      <c r="Z99" s="22" t="str">
        <f>INDEX(Cronograma!Y$5:Y$11,MATCH($B99,Premissas!$A$39:$A$45,0))</f>
        <v/>
      </c>
      <c r="AA99" s="22" t="str">
        <f>INDEX(Cronograma!Z$5:Z$11,MATCH($B99,Premissas!$A$39:$A$45,0))</f>
        <v/>
      </c>
      <c r="AB99" s="22" t="str">
        <f>INDEX(Cronograma!AA$5:AA$11,MATCH($B99,Premissas!$A$39:$A$45,0))</f>
        <v/>
      </c>
      <c r="AC99" s="22" t="str">
        <f>INDEX(Cronograma!AB$5:AB$11,MATCH($B99,Premissas!$A$39:$A$45,0))</f>
        <v>B</v>
      </c>
      <c r="AD99" s="22" t="str">
        <f>INDEX(Cronograma!AC$5:AC$11,MATCH($B99,Premissas!$A$39:$A$45,0))</f>
        <v/>
      </c>
      <c r="AE99" s="22" t="str">
        <f>INDEX(Cronograma!AD$5:AD$11,MATCH($B99,Premissas!$A$39:$A$45,0))</f>
        <v/>
      </c>
      <c r="AF99" s="22" t="str">
        <f>INDEX(Cronograma!AE$5:AE$11,MATCH($B99,Premissas!$A$39:$A$45,0))</f>
        <v/>
      </c>
      <c r="AG99" s="22" t="str">
        <f>INDEX(Cronograma!AF$5:AF$11,MATCH($B99,Premissas!$A$39:$A$45,0))</f>
        <v/>
      </c>
      <c r="AH99" s="22" t="str">
        <f>INDEX(Cronograma!AG$5:AG$11,MATCH($B99,Premissas!$A$39:$A$45,0))</f>
        <v/>
      </c>
      <c r="AI99" s="22" t="str">
        <f>INDEX(Cronograma!AH$5:AH$11,MATCH($B99,Premissas!$A$39:$A$45,0))</f>
        <v/>
      </c>
      <c r="AJ99" s="22" t="str">
        <f>INDEX(Cronograma!AI$5:AI$11,MATCH($B99,Premissas!$A$39:$A$45,0))</f>
        <v/>
      </c>
      <c r="AK99" s="22" t="str">
        <f>INDEX(Cronograma!AJ$5:AJ$11,MATCH($B99,Premissas!$A$39:$A$45,0))</f>
        <v/>
      </c>
      <c r="AL99" s="22" t="str">
        <f>INDEX(Cronograma!AK$5:AK$11,MATCH($B99,Premissas!$A$39:$A$45,0))</f>
        <v/>
      </c>
      <c r="AM99" s="22" t="str">
        <f>INDEX(Cronograma!AL$5:AL$11,MATCH($B99,Premissas!$A$39:$A$45,0))</f>
        <v/>
      </c>
      <c r="AN99" s="22" t="str">
        <f>INDEX(Cronograma!AM$5:AM$11,MATCH($B99,Premissas!$A$39:$A$45,0))</f>
        <v/>
      </c>
      <c r="AO99" s="22" t="str">
        <f>INDEX(Cronograma!AN$5:AN$11,MATCH($B99,Premissas!$A$39:$A$45,0))</f>
        <v/>
      </c>
      <c r="AP99" s="22" t="str">
        <f>INDEX(Cronograma!AO$5:AO$11,MATCH($B99,Premissas!$A$39:$A$45,0))</f>
        <v>S</v>
      </c>
      <c r="AQ99" s="22" t="str">
        <f>INDEX(Cronograma!AP$5:AP$11,MATCH($B99,Premissas!$A$39:$A$45,0))</f>
        <v/>
      </c>
      <c r="AR99" s="22" t="str">
        <f>INDEX(Cronograma!AQ$5:AQ$11,MATCH($B99,Premissas!$A$39:$A$45,0))</f>
        <v/>
      </c>
      <c r="AS99" s="22" t="str">
        <f>INDEX(Cronograma!AR$5:AR$11,MATCH($B99,Premissas!$A$39:$A$45,0))</f>
        <v/>
      </c>
      <c r="AT99" s="22" t="str">
        <f>INDEX(Cronograma!AS$5:AS$11,MATCH($B99,Premissas!$A$39:$A$45,0))</f>
        <v/>
      </c>
      <c r="AU99" s="22" t="str">
        <f>INDEX(Cronograma!AT$5:AT$11,MATCH($B99,Premissas!$A$39:$A$45,0))</f>
        <v/>
      </c>
      <c r="AV99" s="22" t="str">
        <f>INDEX(Cronograma!AU$5:AU$11,MATCH($B99,Premissas!$A$39:$A$45,0))</f>
        <v/>
      </c>
      <c r="AW99" s="22" t="str">
        <f>INDEX(Cronograma!AV$5:AV$11,MATCH($B99,Premissas!$A$39:$A$45,0))</f>
        <v/>
      </c>
      <c r="AX99" s="22" t="str">
        <f>INDEX(Cronograma!AW$5:AW$11,MATCH($B99,Premissas!$A$39:$A$45,0))</f>
        <v/>
      </c>
      <c r="AY99" s="22" t="str">
        <f>INDEX(Cronograma!AX$5:AX$11,MATCH($B99,Premissas!$A$39:$A$45,0))</f>
        <v/>
      </c>
      <c r="AZ99" s="22" t="str">
        <f>INDEX(Cronograma!AY$5:AY$11,MATCH($B99,Premissas!$A$39:$A$45,0))</f>
        <v/>
      </c>
      <c r="BA99" s="22" t="str">
        <f>INDEX(Cronograma!AZ$5:AZ$11,MATCH($B99,Premissas!$A$39:$A$45,0))</f>
        <v/>
      </c>
      <c r="BB99" s="22" t="str">
        <f>INDEX(Cronograma!BA$5:BA$11,MATCH($B99,Premissas!$A$39:$A$45,0))</f>
        <v/>
      </c>
    </row>
    <row r="100" spans="1:54" ht="15" customHeight="1" x14ac:dyDescent="0.4">
      <c r="A100" s="15" t="str">
        <f>Frota!$B100&amp;" — "&amp;Frota!$A100</f>
        <v>MB 3351 Arocs 6x4 — 101201</v>
      </c>
      <c r="B100" s="16" t="str">
        <f>Frota!$C100</f>
        <v>Caminhão</v>
      </c>
      <c r="C100" s="22" t="str">
        <f>INDEX(Cronograma!B$5:B$11,MATCH($B100,Premissas!$A$39:$A$45,0))</f>
        <v/>
      </c>
      <c r="D100" s="22" t="str">
        <f>INDEX(Cronograma!C$5:C$11,MATCH($B100,Premissas!$A$39:$A$45,0))</f>
        <v/>
      </c>
      <c r="E100" s="22" t="str">
        <f>INDEX(Cronograma!D$5:D$11,MATCH($B100,Premissas!$A$39:$A$45,0))</f>
        <v/>
      </c>
      <c r="F100" s="22" t="str">
        <f>INDEX(Cronograma!E$5:E$11,MATCH($B100,Premissas!$A$39:$A$45,0))</f>
        <v/>
      </c>
      <c r="G100" s="22" t="str">
        <f>INDEX(Cronograma!F$5:F$11,MATCH($B100,Premissas!$A$39:$A$45,0))</f>
        <v/>
      </c>
      <c r="H100" s="22" t="str">
        <f>INDEX(Cronograma!G$5:G$11,MATCH($B100,Premissas!$A$39:$A$45,0))</f>
        <v/>
      </c>
      <c r="I100" s="22" t="str">
        <f>INDEX(Cronograma!H$5:H$11,MATCH($B100,Premissas!$A$39:$A$45,0))</f>
        <v>S</v>
      </c>
      <c r="J100" s="22" t="str">
        <f>INDEX(Cronograma!I$5:I$11,MATCH($B100,Premissas!$A$39:$A$45,0))</f>
        <v/>
      </c>
      <c r="K100" s="22" t="str">
        <f>INDEX(Cronograma!J$5:J$11,MATCH($B100,Premissas!$A$39:$A$45,0))</f>
        <v/>
      </c>
      <c r="L100" s="22" t="str">
        <f>INDEX(Cronograma!K$5:K$11,MATCH($B100,Premissas!$A$39:$A$45,0))</f>
        <v/>
      </c>
      <c r="M100" s="22" t="str">
        <f>INDEX(Cronograma!L$5:L$11,MATCH($B100,Premissas!$A$39:$A$45,0))</f>
        <v/>
      </c>
      <c r="N100" s="22" t="str">
        <f>INDEX(Cronograma!M$5:M$11,MATCH($B100,Premissas!$A$39:$A$45,0))</f>
        <v/>
      </c>
      <c r="O100" s="22" t="str">
        <f>INDEX(Cronograma!N$5:N$11,MATCH($B100,Premissas!$A$39:$A$45,0))</f>
        <v/>
      </c>
      <c r="P100" s="22" t="str">
        <f>INDEX(Cronograma!O$5:O$11,MATCH($B100,Premissas!$A$39:$A$45,0))</f>
        <v>A</v>
      </c>
      <c r="Q100" s="22" t="str">
        <f>INDEX(Cronograma!P$5:P$11,MATCH($B100,Premissas!$A$39:$A$45,0))</f>
        <v/>
      </c>
      <c r="R100" s="22" t="str">
        <f>INDEX(Cronograma!Q$5:Q$11,MATCH($B100,Premissas!$A$39:$A$45,0))</f>
        <v/>
      </c>
      <c r="S100" s="22" t="str">
        <f>INDEX(Cronograma!R$5:R$11,MATCH($B100,Premissas!$A$39:$A$45,0))</f>
        <v/>
      </c>
      <c r="T100" s="22" t="str">
        <f>INDEX(Cronograma!S$5:S$11,MATCH($B100,Premissas!$A$39:$A$45,0))</f>
        <v/>
      </c>
      <c r="U100" s="22" t="str">
        <f>INDEX(Cronograma!T$5:T$11,MATCH($B100,Premissas!$A$39:$A$45,0))</f>
        <v/>
      </c>
      <c r="V100" s="22" t="str">
        <f>INDEX(Cronograma!U$5:U$11,MATCH($B100,Premissas!$A$39:$A$45,0))</f>
        <v>S</v>
      </c>
      <c r="W100" s="22" t="str">
        <f>INDEX(Cronograma!V$5:V$11,MATCH($B100,Premissas!$A$39:$A$45,0))</f>
        <v/>
      </c>
      <c r="X100" s="22" t="str">
        <f>INDEX(Cronograma!W$5:W$11,MATCH($B100,Premissas!$A$39:$A$45,0))</f>
        <v/>
      </c>
      <c r="Y100" s="22" t="str">
        <f>INDEX(Cronograma!X$5:X$11,MATCH($B100,Premissas!$A$39:$A$45,0))</f>
        <v/>
      </c>
      <c r="Z100" s="22" t="str">
        <f>INDEX(Cronograma!Y$5:Y$11,MATCH($B100,Premissas!$A$39:$A$45,0))</f>
        <v/>
      </c>
      <c r="AA100" s="22" t="str">
        <f>INDEX(Cronograma!Z$5:Z$11,MATCH($B100,Premissas!$A$39:$A$45,0))</f>
        <v/>
      </c>
      <c r="AB100" s="22" t="str">
        <f>INDEX(Cronograma!AA$5:AA$11,MATCH($B100,Premissas!$A$39:$A$45,0))</f>
        <v/>
      </c>
      <c r="AC100" s="22" t="str">
        <f>INDEX(Cronograma!AB$5:AB$11,MATCH($B100,Premissas!$A$39:$A$45,0))</f>
        <v>B</v>
      </c>
      <c r="AD100" s="22" t="str">
        <f>INDEX(Cronograma!AC$5:AC$11,MATCH($B100,Premissas!$A$39:$A$45,0))</f>
        <v/>
      </c>
      <c r="AE100" s="22" t="str">
        <f>INDEX(Cronograma!AD$5:AD$11,MATCH($B100,Premissas!$A$39:$A$45,0))</f>
        <v/>
      </c>
      <c r="AF100" s="22" t="str">
        <f>INDEX(Cronograma!AE$5:AE$11,MATCH($B100,Premissas!$A$39:$A$45,0))</f>
        <v/>
      </c>
      <c r="AG100" s="22" t="str">
        <f>INDEX(Cronograma!AF$5:AF$11,MATCH($B100,Premissas!$A$39:$A$45,0))</f>
        <v/>
      </c>
      <c r="AH100" s="22" t="str">
        <f>INDEX(Cronograma!AG$5:AG$11,MATCH($B100,Premissas!$A$39:$A$45,0))</f>
        <v/>
      </c>
      <c r="AI100" s="22" t="str">
        <f>INDEX(Cronograma!AH$5:AH$11,MATCH($B100,Premissas!$A$39:$A$45,0))</f>
        <v/>
      </c>
      <c r="AJ100" s="22" t="str">
        <f>INDEX(Cronograma!AI$5:AI$11,MATCH($B100,Premissas!$A$39:$A$45,0))</f>
        <v/>
      </c>
      <c r="AK100" s="22" t="str">
        <f>INDEX(Cronograma!AJ$5:AJ$11,MATCH($B100,Premissas!$A$39:$A$45,0))</f>
        <v/>
      </c>
      <c r="AL100" s="22" t="str">
        <f>INDEX(Cronograma!AK$5:AK$11,MATCH($B100,Premissas!$A$39:$A$45,0))</f>
        <v/>
      </c>
      <c r="AM100" s="22" t="str">
        <f>INDEX(Cronograma!AL$5:AL$11,MATCH($B100,Premissas!$A$39:$A$45,0))</f>
        <v/>
      </c>
      <c r="AN100" s="22" t="str">
        <f>INDEX(Cronograma!AM$5:AM$11,MATCH($B100,Premissas!$A$39:$A$45,0))</f>
        <v/>
      </c>
      <c r="AO100" s="22" t="str">
        <f>INDEX(Cronograma!AN$5:AN$11,MATCH($B100,Premissas!$A$39:$A$45,0))</f>
        <v/>
      </c>
      <c r="AP100" s="22" t="str">
        <f>INDEX(Cronograma!AO$5:AO$11,MATCH($B100,Premissas!$A$39:$A$45,0))</f>
        <v>S</v>
      </c>
      <c r="AQ100" s="22" t="str">
        <f>INDEX(Cronograma!AP$5:AP$11,MATCH($B100,Premissas!$A$39:$A$45,0))</f>
        <v/>
      </c>
      <c r="AR100" s="22" t="str">
        <f>INDEX(Cronograma!AQ$5:AQ$11,MATCH($B100,Premissas!$A$39:$A$45,0))</f>
        <v/>
      </c>
      <c r="AS100" s="22" t="str">
        <f>INDEX(Cronograma!AR$5:AR$11,MATCH($B100,Premissas!$A$39:$A$45,0))</f>
        <v/>
      </c>
      <c r="AT100" s="22" t="str">
        <f>INDEX(Cronograma!AS$5:AS$11,MATCH($B100,Premissas!$A$39:$A$45,0))</f>
        <v/>
      </c>
      <c r="AU100" s="22" t="str">
        <f>INDEX(Cronograma!AT$5:AT$11,MATCH($B100,Premissas!$A$39:$A$45,0))</f>
        <v/>
      </c>
      <c r="AV100" s="22" t="str">
        <f>INDEX(Cronograma!AU$5:AU$11,MATCH($B100,Premissas!$A$39:$A$45,0))</f>
        <v/>
      </c>
      <c r="AW100" s="22" t="str">
        <f>INDEX(Cronograma!AV$5:AV$11,MATCH($B100,Premissas!$A$39:$A$45,0))</f>
        <v/>
      </c>
      <c r="AX100" s="22" t="str">
        <f>INDEX(Cronograma!AW$5:AW$11,MATCH($B100,Premissas!$A$39:$A$45,0))</f>
        <v/>
      </c>
      <c r="AY100" s="22" t="str">
        <f>INDEX(Cronograma!AX$5:AX$11,MATCH($B100,Premissas!$A$39:$A$45,0))</f>
        <v/>
      </c>
      <c r="AZ100" s="22" t="str">
        <f>INDEX(Cronograma!AY$5:AY$11,MATCH($B100,Premissas!$A$39:$A$45,0))</f>
        <v/>
      </c>
      <c r="BA100" s="22" t="str">
        <f>INDEX(Cronograma!AZ$5:AZ$11,MATCH($B100,Premissas!$A$39:$A$45,0))</f>
        <v/>
      </c>
      <c r="BB100" s="22" t="str">
        <f>INDEX(Cronograma!BA$5:BA$11,MATCH($B100,Premissas!$A$39:$A$45,0))</f>
        <v/>
      </c>
    </row>
    <row r="101" spans="1:54" ht="15" customHeight="1" x14ac:dyDescent="0.4">
      <c r="A101" s="15" t="str">
        <f>Frota!$B101&amp;" — "&amp;Frota!$A101</f>
        <v>MB 3351 Arocs 6x4 — 101202</v>
      </c>
      <c r="B101" s="16" t="str">
        <f>Frota!$C101</f>
        <v>Caminhão</v>
      </c>
      <c r="C101" s="22" t="str">
        <f>INDEX(Cronograma!B$5:B$11,MATCH($B101,Premissas!$A$39:$A$45,0))</f>
        <v/>
      </c>
      <c r="D101" s="22" t="str">
        <f>INDEX(Cronograma!C$5:C$11,MATCH($B101,Premissas!$A$39:$A$45,0))</f>
        <v/>
      </c>
      <c r="E101" s="22" t="str">
        <f>INDEX(Cronograma!D$5:D$11,MATCH($B101,Premissas!$A$39:$A$45,0))</f>
        <v/>
      </c>
      <c r="F101" s="22" t="str">
        <f>INDEX(Cronograma!E$5:E$11,MATCH($B101,Premissas!$A$39:$A$45,0))</f>
        <v/>
      </c>
      <c r="G101" s="22" t="str">
        <f>INDEX(Cronograma!F$5:F$11,MATCH($B101,Premissas!$A$39:$A$45,0))</f>
        <v/>
      </c>
      <c r="H101" s="22" t="str">
        <f>INDEX(Cronograma!G$5:G$11,MATCH($B101,Premissas!$A$39:$A$45,0))</f>
        <v/>
      </c>
      <c r="I101" s="22" t="str">
        <f>INDEX(Cronograma!H$5:H$11,MATCH($B101,Premissas!$A$39:$A$45,0))</f>
        <v>S</v>
      </c>
      <c r="J101" s="22" t="str">
        <f>INDEX(Cronograma!I$5:I$11,MATCH($B101,Premissas!$A$39:$A$45,0))</f>
        <v/>
      </c>
      <c r="K101" s="22" t="str">
        <f>INDEX(Cronograma!J$5:J$11,MATCH($B101,Premissas!$A$39:$A$45,0))</f>
        <v/>
      </c>
      <c r="L101" s="22" t="str">
        <f>INDEX(Cronograma!K$5:K$11,MATCH($B101,Premissas!$A$39:$A$45,0))</f>
        <v/>
      </c>
      <c r="M101" s="22" t="str">
        <f>INDEX(Cronograma!L$5:L$11,MATCH($B101,Premissas!$A$39:$A$45,0))</f>
        <v/>
      </c>
      <c r="N101" s="22" t="str">
        <f>INDEX(Cronograma!M$5:M$11,MATCH($B101,Premissas!$A$39:$A$45,0))</f>
        <v/>
      </c>
      <c r="O101" s="22" t="str">
        <f>INDEX(Cronograma!N$5:N$11,MATCH($B101,Premissas!$A$39:$A$45,0))</f>
        <v/>
      </c>
      <c r="P101" s="22" t="str">
        <f>INDEX(Cronograma!O$5:O$11,MATCH($B101,Premissas!$A$39:$A$45,0))</f>
        <v>A</v>
      </c>
      <c r="Q101" s="22" t="str">
        <f>INDEX(Cronograma!P$5:P$11,MATCH($B101,Premissas!$A$39:$A$45,0))</f>
        <v/>
      </c>
      <c r="R101" s="22" t="str">
        <f>INDEX(Cronograma!Q$5:Q$11,MATCH($B101,Premissas!$A$39:$A$45,0))</f>
        <v/>
      </c>
      <c r="S101" s="22" t="str">
        <f>INDEX(Cronograma!R$5:R$11,MATCH($B101,Premissas!$A$39:$A$45,0))</f>
        <v/>
      </c>
      <c r="T101" s="22" t="str">
        <f>INDEX(Cronograma!S$5:S$11,MATCH($B101,Premissas!$A$39:$A$45,0))</f>
        <v/>
      </c>
      <c r="U101" s="22" t="str">
        <f>INDEX(Cronograma!T$5:T$11,MATCH($B101,Premissas!$A$39:$A$45,0))</f>
        <v/>
      </c>
      <c r="V101" s="22" t="str">
        <f>INDEX(Cronograma!U$5:U$11,MATCH($B101,Premissas!$A$39:$A$45,0))</f>
        <v>S</v>
      </c>
      <c r="W101" s="22" t="str">
        <f>INDEX(Cronograma!V$5:V$11,MATCH($B101,Premissas!$A$39:$A$45,0))</f>
        <v/>
      </c>
      <c r="X101" s="22" t="str">
        <f>INDEX(Cronograma!W$5:W$11,MATCH($B101,Premissas!$A$39:$A$45,0))</f>
        <v/>
      </c>
      <c r="Y101" s="22" t="str">
        <f>INDEX(Cronograma!X$5:X$11,MATCH($B101,Premissas!$A$39:$A$45,0))</f>
        <v/>
      </c>
      <c r="Z101" s="22" t="str">
        <f>INDEX(Cronograma!Y$5:Y$11,MATCH($B101,Premissas!$A$39:$A$45,0))</f>
        <v/>
      </c>
      <c r="AA101" s="22" t="str">
        <f>INDEX(Cronograma!Z$5:Z$11,MATCH($B101,Premissas!$A$39:$A$45,0))</f>
        <v/>
      </c>
      <c r="AB101" s="22" t="str">
        <f>INDEX(Cronograma!AA$5:AA$11,MATCH($B101,Premissas!$A$39:$A$45,0))</f>
        <v/>
      </c>
      <c r="AC101" s="22" t="str">
        <f>INDEX(Cronograma!AB$5:AB$11,MATCH($B101,Premissas!$A$39:$A$45,0))</f>
        <v>B</v>
      </c>
      <c r="AD101" s="22" t="str">
        <f>INDEX(Cronograma!AC$5:AC$11,MATCH($B101,Premissas!$A$39:$A$45,0))</f>
        <v/>
      </c>
      <c r="AE101" s="22" t="str">
        <f>INDEX(Cronograma!AD$5:AD$11,MATCH($B101,Premissas!$A$39:$A$45,0))</f>
        <v/>
      </c>
      <c r="AF101" s="22" t="str">
        <f>INDEX(Cronograma!AE$5:AE$11,MATCH($B101,Premissas!$A$39:$A$45,0))</f>
        <v/>
      </c>
      <c r="AG101" s="22" t="str">
        <f>INDEX(Cronograma!AF$5:AF$11,MATCH($B101,Premissas!$A$39:$A$45,0))</f>
        <v/>
      </c>
      <c r="AH101" s="22" t="str">
        <f>INDEX(Cronograma!AG$5:AG$11,MATCH($B101,Premissas!$A$39:$A$45,0))</f>
        <v/>
      </c>
      <c r="AI101" s="22" t="str">
        <f>INDEX(Cronograma!AH$5:AH$11,MATCH($B101,Premissas!$A$39:$A$45,0))</f>
        <v/>
      </c>
      <c r="AJ101" s="22" t="str">
        <f>INDEX(Cronograma!AI$5:AI$11,MATCH($B101,Premissas!$A$39:$A$45,0))</f>
        <v/>
      </c>
      <c r="AK101" s="22" t="str">
        <f>INDEX(Cronograma!AJ$5:AJ$11,MATCH($B101,Premissas!$A$39:$A$45,0))</f>
        <v/>
      </c>
      <c r="AL101" s="22" t="str">
        <f>INDEX(Cronograma!AK$5:AK$11,MATCH($B101,Premissas!$A$39:$A$45,0))</f>
        <v/>
      </c>
      <c r="AM101" s="22" t="str">
        <f>INDEX(Cronograma!AL$5:AL$11,MATCH($B101,Premissas!$A$39:$A$45,0))</f>
        <v/>
      </c>
      <c r="AN101" s="22" t="str">
        <f>INDEX(Cronograma!AM$5:AM$11,MATCH($B101,Premissas!$A$39:$A$45,0))</f>
        <v/>
      </c>
      <c r="AO101" s="22" t="str">
        <f>INDEX(Cronograma!AN$5:AN$11,MATCH($B101,Premissas!$A$39:$A$45,0))</f>
        <v/>
      </c>
      <c r="AP101" s="22" t="str">
        <f>INDEX(Cronograma!AO$5:AO$11,MATCH($B101,Premissas!$A$39:$A$45,0))</f>
        <v>S</v>
      </c>
      <c r="AQ101" s="22" t="str">
        <f>INDEX(Cronograma!AP$5:AP$11,MATCH($B101,Premissas!$A$39:$A$45,0))</f>
        <v/>
      </c>
      <c r="AR101" s="22" t="str">
        <f>INDEX(Cronograma!AQ$5:AQ$11,MATCH($B101,Premissas!$A$39:$A$45,0))</f>
        <v/>
      </c>
      <c r="AS101" s="22" t="str">
        <f>INDEX(Cronograma!AR$5:AR$11,MATCH($B101,Premissas!$A$39:$A$45,0))</f>
        <v/>
      </c>
      <c r="AT101" s="22" t="str">
        <f>INDEX(Cronograma!AS$5:AS$11,MATCH($B101,Premissas!$A$39:$A$45,0))</f>
        <v/>
      </c>
      <c r="AU101" s="22" t="str">
        <f>INDEX(Cronograma!AT$5:AT$11,MATCH($B101,Premissas!$A$39:$A$45,0))</f>
        <v/>
      </c>
      <c r="AV101" s="22" t="str">
        <f>INDEX(Cronograma!AU$5:AU$11,MATCH($B101,Premissas!$A$39:$A$45,0))</f>
        <v/>
      </c>
      <c r="AW101" s="22" t="str">
        <f>INDEX(Cronograma!AV$5:AV$11,MATCH($B101,Premissas!$A$39:$A$45,0))</f>
        <v/>
      </c>
      <c r="AX101" s="22" t="str">
        <f>INDEX(Cronograma!AW$5:AW$11,MATCH($B101,Premissas!$A$39:$A$45,0))</f>
        <v/>
      </c>
      <c r="AY101" s="22" t="str">
        <f>INDEX(Cronograma!AX$5:AX$11,MATCH($B101,Premissas!$A$39:$A$45,0))</f>
        <v/>
      </c>
      <c r="AZ101" s="22" t="str">
        <f>INDEX(Cronograma!AY$5:AY$11,MATCH($B101,Premissas!$A$39:$A$45,0))</f>
        <v/>
      </c>
      <c r="BA101" s="22" t="str">
        <f>INDEX(Cronograma!AZ$5:AZ$11,MATCH($B101,Premissas!$A$39:$A$45,0))</f>
        <v/>
      </c>
      <c r="BB101" s="22" t="str">
        <f>INDEX(Cronograma!BA$5:BA$11,MATCH($B101,Premissas!$A$39:$A$45,0))</f>
        <v/>
      </c>
    </row>
    <row r="102" spans="1:54" ht="15" customHeight="1" x14ac:dyDescent="0.4">
      <c r="A102" s="15" t="str">
        <f>Frota!$B102&amp;" — "&amp;Frota!$A102</f>
        <v>MB 3351 Arocs 6x4 — 101203</v>
      </c>
      <c r="B102" s="16" t="str">
        <f>Frota!$C102</f>
        <v>Caminhão</v>
      </c>
      <c r="C102" s="22" t="str">
        <f>INDEX(Cronograma!B$5:B$11,MATCH($B102,Premissas!$A$39:$A$45,0))</f>
        <v/>
      </c>
      <c r="D102" s="22" t="str">
        <f>INDEX(Cronograma!C$5:C$11,MATCH($B102,Premissas!$A$39:$A$45,0))</f>
        <v/>
      </c>
      <c r="E102" s="22" t="str">
        <f>INDEX(Cronograma!D$5:D$11,MATCH($B102,Premissas!$A$39:$A$45,0))</f>
        <v/>
      </c>
      <c r="F102" s="22" t="str">
        <f>INDEX(Cronograma!E$5:E$11,MATCH($B102,Premissas!$A$39:$A$45,0))</f>
        <v/>
      </c>
      <c r="G102" s="22" t="str">
        <f>INDEX(Cronograma!F$5:F$11,MATCH($B102,Premissas!$A$39:$A$45,0))</f>
        <v/>
      </c>
      <c r="H102" s="22" t="str">
        <f>INDEX(Cronograma!G$5:G$11,MATCH($B102,Premissas!$A$39:$A$45,0))</f>
        <v/>
      </c>
      <c r="I102" s="22" t="str">
        <f>INDEX(Cronograma!H$5:H$11,MATCH($B102,Premissas!$A$39:$A$45,0))</f>
        <v>S</v>
      </c>
      <c r="J102" s="22" t="str">
        <f>INDEX(Cronograma!I$5:I$11,MATCH($B102,Premissas!$A$39:$A$45,0))</f>
        <v/>
      </c>
      <c r="K102" s="22" t="str">
        <f>INDEX(Cronograma!J$5:J$11,MATCH($B102,Premissas!$A$39:$A$45,0))</f>
        <v/>
      </c>
      <c r="L102" s="22" t="str">
        <f>INDEX(Cronograma!K$5:K$11,MATCH($B102,Premissas!$A$39:$A$45,0))</f>
        <v/>
      </c>
      <c r="M102" s="22" t="str">
        <f>INDEX(Cronograma!L$5:L$11,MATCH($B102,Premissas!$A$39:$A$45,0))</f>
        <v/>
      </c>
      <c r="N102" s="22" t="str">
        <f>INDEX(Cronograma!M$5:M$11,MATCH($B102,Premissas!$A$39:$A$45,0))</f>
        <v/>
      </c>
      <c r="O102" s="22" t="str">
        <f>INDEX(Cronograma!N$5:N$11,MATCH($B102,Premissas!$A$39:$A$45,0))</f>
        <v/>
      </c>
      <c r="P102" s="22" t="str">
        <f>INDEX(Cronograma!O$5:O$11,MATCH($B102,Premissas!$A$39:$A$45,0))</f>
        <v>A</v>
      </c>
      <c r="Q102" s="22" t="str">
        <f>INDEX(Cronograma!P$5:P$11,MATCH($B102,Premissas!$A$39:$A$45,0))</f>
        <v/>
      </c>
      <c r="R102" s="22" t="str">
        <f>INDEX(Cronograma!Q$5:Q$11,MATCH($B102,Premissas!$A$39:$A$45,0))</f>
        <v/>
      </c>
      <c r="S102" s="22" t="str">
        <f>INDEX(Cronograma!R$5:R$11,MATCH($B102,Premissas!$A$39:$A$45,0))</f>
        <v/>
      </c>
      <c r="T102" s="22" t="str">
        <f>INDEX(Cronograma!S$5:S$11,MATCH($B102,Premissas!$A$39:$A$45,0))</f>
        <v/>
      </c>
      <c r="U102" s="22" t="str">
        <f>INDEX(Cronograma!T$5:T$11,MATCH($B102,Premissas!$A$39:$A$45,0))</f>
        <v/>
      </c>
      <c r="V102" s="22" t="str">
        <f>INDEX(Cronograma!U$5:U$11,MATCH($B102,Premissas!$A$39:$A$45,0))</f>
        <v>S</v>
      </c>
      <c r="W102" s="22" t="str">
        <f>INDEX(Cronograma!V$5:V$11,MATCH($B102,Premissas!$A$39:$A$45,0))</f>
        <v/>
      </c>
      <c r="X102" s="22" t="str">
        <f>INDEX(Cronograma!W$5:W$11,MATCH($B102,Premissas!$A$39:$A$45,0))</f>
        <v/>
      </c>
      <c r="Y102" s="22" t="str">
        <f>INDEX(Cronograma!X$5:X$11,MATCH($B102,Premissas!$A$39:$A$45,0))</f>
        <v/>
      </c>
      <c r="Z102" s="22" t="str">
        <f>INDEX(Cronograma!Y$5:Y$11,MATCH($B102,Premissas!$A$39:$A$45,0))</f>
        <v/>
      </c>
      <c r="AA102" s="22" t="str">
        <f>INDEX(Cronograma!Z$5:Z$11,MATCH($B102,Premissas!$A$39:$A$45,0))</f>
        <v/>
      </c>
      <c r="AB102" s="22" t="str">
        <f>INDEX(Cronograma!AA$5:AA$11,MATCH($B102,Premissas!$A$39:$A$45,0))</f>
        <v/>
      </c>
      <c r="AC102" s="22" t="str">
        <f>INDEX(Cronograma!AB$5:AB$11,MATCH($B102,Premissas!$A$39:$A$45,0))</f>
        <v>B</v>
      </c>
      <c r="AD102" s="22" t="str">
        <f>INDEX(Cronograma!AC$5:AC$11,MATCH($B102,Premissas!$A$39:$A$45,0))</f>
        <v/>
      </c>
      <c r="AE102" s="22" t="str">
        <f>INDEX(Cronograma!AD$5:AD$11,MATCH($B102,Premissas!$A$39:$A$45,0))</f>
        <v/>
      </c>
      <c r="AF102" s="22" t="str">
        <f>INDEX(Cronograma!AE$5:AE$11,MATCH($B102,Premissas!$A$39:$A$45,0))</f>
        <v/>
      </c>
      <c r="AG102" s="22" t="str">
        <f>INDEX(Cronograma!AF$5:AF$11,MATCH($B102,Premissas!$A$39:$A$45,0))</f>
        <v/>
      </c>
      <c r="AH102" s="22" t="str">
        <f>INDEX(Cronograma!AG$5:AG$11,MATCH($B102,Premissas!$A$39:$A$45,0))</f>
        <v/>
      </c>
      <c r="AI102" s="22" t="str">
        <f>INDEX(Cronograma!AH$5:AH$11,MATCH($B102,Premissas!$A$39:$A$45,0))</f>
        <v/>
      </c>
      <c r="AJ102" s="22" t="str">
        <f>INDEX(Cronograma!AI$5:AI$11,MATCH($B102,Premissas!$A$39:$A$45,0))</f>
        <v/>
      </c>
      <c r="AK102" s="22" t="str">
        <f>INDEX(Cronograma!AJ$5:AJ$11,MATCH($B102,Premissas!$A$39:$A$45,0))</f>
        <v/>
      </c>
      <c r="AL102" s="22" t="str">
        <f>INDEX(Cronograma!AK$5:AK$11,MATCH($B102,Premissas!$A$39:$A$45,0))</f>
        <v/>
      </c>
      <c r="AM102" s="22" t="str">
        <f>INDEX(Cronograma!AL$5:AL$11,MATCH($B102,Premissas!$A$39:$A$45,0))</f>
        <v/>
      </c>
      <c r="AN102" s="22" t="str">
        <f>INDEX(Cronograma!AM$5:AM$11,MATCH($B102,Premissas!$A$39:$A$45,0))</f>
        <v/>
      </c>
      <c r="AO102" s="22" t="str">
        <f>INDEX(Cronograma!AN$5:AN$11,MATCH($B102,Premissas!$A$39:$A$45,0))</f>
        <v/>
      </c>
      <c r="AP102" s="22" t="str">
        <f>INDEX(Cronograma!AO$5:AO$11,MATCH($B102,Premissas!$A$39:$A$45,0))</f>
        <v>S</v>
      </c>
      <c r="AQ102" s="22" t="str">
        <f>INDEX(Cronograma!AP$5:AP$11,MATCH($B102,Premissas!$A$39:$A$45,0))</f>
        <v/>
      </c>
      <c r="AR102" s="22" t="str">
        <f>INDEX(Cronograma!AQ$5:AQ$11,MATCH($B102,Premissas!$A$39:$A$45,0))</f>
        <v/>
      </c>
      <c r="AS102" s="22" t="str">
        <f>INDEX(Cronograma!AR$5:AR$11,MATCH($B102,Premissas!$A$39:$A$45,0))</f>
        <v/>
      </c>
      <c r="AT102" s="22" t="str">
        <f>INDEX(Cronograma!AS$5:AS$11,MATCH($B102,Premissas!$A$39:$A$45,0))</f>
        <v/>
      </c>
      <c r="AU102" s="22" t="str">
        <f>INDEX(Cronograma!AT$5:AT$11,MATCH($B102,Premissas!$A$39:$A$45,0))</f>
        <v/>
      </c>
      <c r="AV102" s="22" t="str">
        <f>INDEX(Cronograma!AU$5:AU$11,MATCH($B102,Premissas!$A$39:$A$45,0))</f>
        <v/>
      </c>
      <c r="AW102" s="22" t="str">
        <f>INDEX(Cronograma!AV$5:AV$11,MATCH($B102,Premissas!$A$39:$A$45,0))</f>
        <v/>
      </c>
      <c r="AX102" s="22" t="str">
        <f>INDEX(Cronograma!AW$5:AW$11,MATCH($B102,Premissas!$A$39:$A$45,0))</f>
        <v/>
      </c>
      <c r="AY102" s="22" t="str">
        <f>INDEX(Cronograma!AX$5:AX$11,MATCH($B102,Premissas!$A$39:$A$45,0))</f>
        <v/>
      </c>
      <c r="AZ102" s="22" t="str">
        <f>INDEX(Cronograma!AY$5:AY$11,MATCH($B102,Premissas!$A$39:$A$45,0))</f>
        <v/>
      </c>
      <c r="BA102" s="22" t="str">
        <f>INDEX(Cronograma!AZ$5:AZ$11,MATCH($B102,Premissas!$A$39:$A$45,0))</f>
        <v/>
      </c>
      <c r="BB102" s="22" t="str">
        <f>INDEX(Cronograma!BA$5:BA$11,MATCH($B102,Premissas!$A$39:$A$45,0))</f>
        <v/>
      </c>
    </row>
    <row r="103" spans="1:54" ht="15" customHeight="1" x14ac:dyDescent="0.4">
      <c r="A103" s="15" t="str">
        <f>Frota!$B103&amp;" — "&amp;Frota!$A103</f>
        <v>MB 3351 Arocs 6x4 — 101204</v>
      </c>
      <c r="B103" s="16" t="str">
        <f>Frota!$C103</f>
        <v>Caminhão</v>
      </c>
      <c r="C103" s="22" t="str">
        <f>INDEX(Cronograma!B$5:B$11,MATCH($B103,Premissas!$A$39:$A$45,0))</f>
        <v/>
      </c>
      <c r="D103" s="22" t="str">
        <f>INDEX(Cronograma!C$5:C$11,MATCH($B103,Premissas!$A$39:$A$45,0))</f>
        <v/>
      </c>
      <c r="E103" s="22" t="str">
        <f>INDEX(Cronograma!D$5:D$11,MATCH($B103,Premissas!$A$39:$A$45,0))</f>
        <v/>
      </c>
      <c r="F103" s="22" t="str">
        <f>INDEX(Cronograma!E$5:E$11,MATCH($B103,Premissas!$A$39:$A$45,0))</f>
        <v/>
      </c>
      <c r="G103" s="22" t="str">
        <f>INDEX(Cronograma!F$5:F$11,MATCH($B103,Premissas!$A$39:$A$45,0))</f>
        <v/>
      </c>
      <c r="H103" s="22" t="str">
        <f>INDEX(Cronograma!G$5:G$11,MATCH($B103,Premissas!$A$39:$A$45,0))</f>
        <v/>
      </c>
      <c r="I103" s="22" t="str">
        <f>INDEX(Cronograma!H$5:H$11,MATCH($B103,Premissas!$A$39:$A$45,0))</f>
        <v>S</v>
      </c>
      <c r="J103" s="22" t="str">
        <f>INDEX(Cronograma!I$5:I$11,MATCH($B103,Premissas!$A$39:$A$45,0))</f>
        <v/>
      </c>
      <c r="K103" s="22" t="str">
        <f>INDEX(Cronograma!J$5:J$11,MATCH($B103,Premissas!$A$39:$A$45,0))</f>
        <v/>
      </c>
      <c r="L103" s="22" t="str">
        <f>INDEX(Cronograma!K$5:K$11,MATCH($B103,Premissas!$A$39:$A$45,0))</f>
        <v/>
      </c>
      <c r="M103" s="22" t="str">
        <f>INDEX(Cronograma!L$5:L$11,MATCH($B103,Premissas!$A$39:$A$45,0))</f>
        <v/>
      </c>
      <c r="N103" s="22" t="str">
        <f>INDEX(Cronograma!M$5:M$11,MATCH($B103,Premissas!$A$39:$A$45,0))</f>
        <v/>
      </c>
      <c r="O103" s="22" t="str">
        <f>INDEX(Cronograma!N$5:N$11,MATCH($B103,Premissas!$A$39:$A$45,0))</f>
        <v/>
      </c>
      <c r="P103" s="22" t="str">
        <f>INDEX(Cronograma!O$5:O$11,MATCH($B103,Premissas!$A$39:$A$45,0))</f>
        <v>A</v>
      </c>
      <c r="Q103" s="22" t="str">
        <f>INDEX(Cronograma!P$5:P$11,MATCH($B103,Premissas!$A$39:$A$45,0))</f>
        <v/>
      </c>
      <c r="R103" s="22" t="str">
        <f>INDEX(Cronograma!Q$5:Q$11,MATCH($B103,Premissas!$A$39:$A$45,0))</f>
        <v/>
      </c>
      <c r="S103" s="22" t="str">
        <f>INDEX(Cronograma!R$5:R$11,MATCH($B103,Premissas!$A$39:$A$45,0))</f>
        <v/>
      </c>
      <c r="T103" s="22" t="str">
        <f>INDEX(Cronograma!S$5:S$11,MATCH($B103,Premissas!$A$39:$A$45,0))</f>
        <v/>
      </c>
      <c r="U103" s="22" t="str">
        <f>INDEX(Cronograma!T$5:T$11,MATCH($B103,Premissas!$A$39:$A$45,0))</f>
        <v/>
      </c>
      <c r="V103" s="22" t="str">
        <f>INDEX(Cronograma!U$5:U$11,MATCH($B103,Premissas!$A$39:$A$45,0))</f>
        <v>S</v>
      </c>
      <c r="W103" s="22" t="str">
        <f>INDEX(Cronograma!V$5:V$11,MATCH($B103,Premissas!$A$39:$A$45,0))</f>
        <v/>
      </c>
      <c r="X103" s="22" t="str">
        <f>INDEX(Cronograma!W$5:W$11,MATCH($B103,Premissas!$A$39:$A$45,0))</f>
        <v/>
      </c>
      <c r="Y103" s="22" t="str">
        <f>INDEX(Cronograma!X$5:X$11,MATCH($B103,Premissas!$A$39:$A$45,0))</f>
        <v/>
      </c>
      <c r="Z103" s="22" t="str">
        <f>INDEX(Cronograma!Y$5:Y$11,MATCH($B103,Premissas!$A$39:$A$45,0))</f>
        <v/>
      </c>
      <c r="AA103" s="22" t="str">
        <f>INDEX(Cronograma!Z$5:Z$11,MATCH($B103,Premissas!$A$39:$A$45,0))</f>
        <v/>
      </c>
      <c r="AB103" s="22" t="str">
        <f>INDEX(Cronograma!AA$5:AA$11,MATCH($B103,Premissas!$A$39:$A$45,0))</f>
        <v/>
      </c>
      <c r="AC103" s="22" t="str">
        <f>INDEX(Cronograma!AB$5:AB$11,MATCH($B103,Premissas!$A$39:$A$45,0))</f>
        <v>B</v>
      </c>
      <c r="AD103" s="22" t="str">
        <f>INDEX(Cronograma!AC$5:AC$11,MATCH($B103,Premissas!$A$39:$A$45,0))</f>
        <v/>
      </c>
      <c r="AE103" s="22" t="str">
        <f>INDEX(Cronograma!AD$5:AD$11,MATCH($B103,Premissas!$A$39:$A$45,0))</f>
        <v/>
      </c>
      <c r="AF103" s="22" t="str">
        <f>INDEX(Cronograma!AE$5:AE$11,MATCH($B103,Premissas!$A$39:$A$45,0))</f>
        <v/>
      </c>
      <c r="AG103" s="22" t="str">
        <f>INDEX(Cronograma!AF$5:AF$11,MATCH($B103,Premissas!$A$39:$A$45,0))</f>
        <v/>
      </c>
      <c r="AH103" s="22" t="str">
        <f>INDEX(Cronograma!AG$5:AG$11,MATCH($B103,Premissas!$A$39:$A$45,0))</f>
        <v/>
      </c>
      <c r="AI103" s="22" t="str">
        <f>INDEX(Cronograma!AH$5:AH$11,MATCH($B103,Premissas!$A$39:$A$45,0))</f>
        <v/>
      </c>
      <c r="AJ103" s="22" t="str">
        <f>INDEX(Cronograma!AI$5:AI$11,MATCH($B103,Premissas!$A$39:$A$45,0))</f>
        <v/>
      </c>
      <c r="AK103" s="22" t="str">
        <f>INDEX(Cronograma!AJ$5:AJ$11,MATCH($B103,Premissas!$A$39:$A$45,0))</f>
        <v/>
      </c>
      <c r="AL103" s="22" t="str">
        <f>INDEX(Cronograma!AK$5:AK$11,MATCH($B103,Premissas!$A$39:$A$45,0))</f>
        <v/>
      </c>
      <c r="AM103" s="22" t="str">
        <f>INDEX(Cronograma!AL$5:AL$11,MATCH($B103,Premissas!$A$39:$A$45,0))</f>
        <v/>
      </c>
      <c r="AN103" s="22" t="str">
        <f>INDEX(Cronograma!AM$5:AM$11,MATCH($B103,Premissas!$A$39:$A$45,0))</f>
        <v/>
      </c>
      <c r="AO103" s="22" t="str">
        <f>INDEX(Cronograma!AN$5:AN$11,MATCH($B103,Premissas!$A$39:$A$45,0))</f>
        <v/>
      </c>
      <c r="AP103" s="22" t="str">
        <f>INDEX(Cronograma!AO$5:AO$11,MATCH($B103,Premissas!$A$39:$A$45,0))</f>
        <v>S</v>
      </c>
      <c r="AQ103" s="22" t="str">
        <f>INDEX(Cronograma!AP$5:AP$11,MATCH($B103,Premissas!$A$39:$A$45,0))</f>
        <v/>
      </c>
      <c r="AR103" s="22" t="str">
        <f>INDEX(Cronograma!AQ$5:AQ$11,MATCH($B103,Premissas!$A$39:$A$45,0))</f>
        <v/>
      </c>
      <c r="AS103" s="22" t="str">
        <f>INDEX(Cronograma!AR$5:AR$11,MATCH($B103,Premissas!$A$39:$A$45,0))</f>
        <v/>
      </c>
      <c r="AT103" s="22" t="str">
        <f>INDEX(Cronograma!AS$5:AS$11,MATCH($B103,Premissas!$A$39:$A$45,0))</f>
        <v/>
      </c>
      <c r="AU103" s="22" t="str">
        <f>INDEX(Cronograma!AT$5:AT$11,MATCH($B103,Premissas!$A$39:$A$45,0))</f>
        <v/>
      </c>
      <c r="AV103" s="22" t="str">
        <f>INDEX(Cronograma!AU$5:AU$11,MATCH($B103,Premissas!$A$39:$A$45,0))</f>
        <v/>
      </c>
      <c r="AW103" s="22" t="str">
        <f>INDEX(Cronograma!AV$5:AV$11,MATCH($B103,Premissas!$A$39:$A$45,0))</f>
        <v/>
      </c>
      <c r="AX103" s="22" t="str">
        <f>INDEX(Cronograma!AW$5:AW$11,MATCH($B103,Premissas!$A$39:$A$45,0))</f>
        <v/>
      </c>
      <c r="AY103" s="22" t="str">
        <f>INDEX(Cronograma!AX$5:AX$11,MATCH($B103,Premissas!$A$39:$A$45,0))</f>
        <v/>
      </c>
      <c r="AZ103" s="22" t="str">
        <f>INDEX(Cronograma!AY$5:AY$11,MATCH($B103,Premissas!$A$39:$A$45,0))</f>
        <v/>
      </c>
      <c r="BA103" s="22" t="str">
        <f>INDEX(Cronograma!AZ$5:AZ$11,MATCH($B103,Premissas!$A$39:$A$45,0))</f>
        <v/>
      </c>
      <c r="BB103" s="22" t="str">
        <f>INDEX(Cronograma!BA$5:BA$11,MATCH($B103,Premissas!$A$39:$A$45,0))</f>
        <v/>
      </c>
    </row>
    <row r="104" spans="1:54" ht="15" customHeight="1" x14ac:dyDescent="0.4">
      <c r="A104" s="15" t="str">
        <f>Frota!$B104&amp;" — "&amp;Frota!$A104</f>
        <v>MB 3351 Arocs 6x4 — 101205</v>
      </c>
      <c r="B104" s="16" t="str">
        <f>Frota!$C104</f>
        <v>Caminhão</v>
      </c>
      <c r="C104" s="22" t="str">
        <f>INDEX(Cronograma!B$5:B$11,MATCH($B104,Premissas!$A$39:$A$45,0))</f>
        <v/>
      </c>
      <c r="D104" s="22" t="str">
        <f>INDEX(Cronograma!C$5:C$11,MATCH($B104,Premissas!$A$39:$A$45,0))</f>
        <v/>
      </c>
      <c r="E104" s="22" t="str">
        <f>INDEX(Cronograma!D$5:D$11,MATCH($B104,Premissas!$A$39:$A$45,0))</f>
        <v/>
      </c>
      <c r="F104" s="22" t="str">
        <f>INDEX(Cronograma!E$5:E$11,MATCH($B104,Premissas!$A$39:$A$45,0))</f>
        <v/>
      </c>
      <c r="G104" s="22" t="str">
        <f>INDEX(Cronograma!F$5:F$11,MATCH($B104,Premissas!$A$39:$A$45,0))</f>
        <v/>
      </c>
      <c r="H104" s="22" t="str">
        <f>INDEX(Cronograma!G$5:G$11,MATCH($B104,Premissas!$A$39:$A$45,0))</f>
        <v/>
      </c>
      <c r="I104" s="22" t="str">
        <f>INDEX(Cronograma!H$5:H$11,MATCH($B104,Premissas!$A$39:$A$45,0))</f>
        <v>S</v>
      </c>
      <c r="J104" s="22" t="str">
        <f>INDEX(Cronograma!I$5:I$11,MATCH($B104,Premissas!$A$39:$A$45,0))</f>
        <v/>
      </c>
      <c r="K104" s="22" t="str">
        <f>INDEX(Cronograma!J$5:J$11,MATCH($B104,Premissas!$A$39:$A$45,0))</f>
        <v/>
      </c>
      <c r="L104" s="22" t="str">
        <f>INDEX(Cronograma!K$5:K$11,MATCH($B104,Premissas!$A$39:$A$45,0))</f>
        <v/>
      </c>
      <c r="M104" s="22" t="str">
        <f>INDEX(Cronograma!L$5:L$11,MATCH($B104,Premissas!$A$39:$A$45,0))</f>
        <v/>
      </c>
      <c r="N104" s="22" t="str">
        <f>INDEX(Cronograma!M$5:M$11,MATCH($B104,Premissas!$A$39:$A$45,0))</f>
        <v/>
      </c>
      <c r="O104" s="22" t="str">
        <f>INDEX(Cronograma!N$5:N$11,MATCH($B104,Premissas!$A$39:$A$45,0))</f>
        <v/>
      </c>
      <c r="P104" s="22" t="str">
        <f>INDEX(Cronograma!O$5:O$11,MATCH($B104,Premissas!$A$39:$A$45,0))</f>
        <v>A</v>
      </c>
      <c r="Q104" s="22" t="str">
        <f>INDEX(Cronograma!P$5:P$11,MATCH($B104,Premissas!$A$39:$A$45,0))</f>
        <v/>
      </c>
      <c r="R104" s="22" t="str">
        <f>INDEX(Cronograma!Q$5:Q$11,MATCH($B104,Premissas!$A$39:$A$45,0))</f>
        <v/>
      </c>
      <c r="S104" s="22" t="str">
        <f>INDEX(Cronograma!R$5:R$11,MATCH($B104,Premissas!$A$39:$A$45,0))</f>
        <v/>
      </c>
      <c r="T104" s="22" t="str">
        <f>INDEX(Cronograma!S$5:S$11,MATCH($B104,Premissas!$A$39:$A$45,0))</f>
        <v/>
      </c>
      <c r="U104" s="22" t="str">
        <f>INDEX(Cronograma!T$5:T$11,MATCH($B104,Premissas!$A$39:$A$45,0))</f>
        <v/>
      </c>
      <c r="V104" s="22" t="str">
        <f>INDEX(Cronograma!U$5:U$11,MATCH($B104,Premissas!$A$39:$A$45,0))</f>
        <v>S</v>
      </c>
      <c r="W104" s="22" t="str">
        <f>INDEX(Cronograma!V$5:V$11,MATCH($B104,Premissas!$A$39:$A$45,0))</f>
        <v/>
      </c>
      <c r="X104" s="22" t="str">
        <f>INDEX(Cronograma!W$5:W$11,MATCH($B104,Premissas!$A$39:$A$45,0))</f>
        <v/>
      </c>
      <c r="Y104" s="22" t="str">
        <f>INDEX(Cronograma!X$5:X$11,MATCH($B104,Premissas!$A$39:$A$45,0))</f>
        <v/>
      </c>
      <c r="Z104" s="22" t="str">
        <f>INDEX(Cronograma!Y$5:Y$11,MATCH($B104,Premissas!$A$39:$A$45,0))</f>
        <v/>
      </c>
      <c r="AA104" s="22" t="str">
        <f>INDEX(Cronograma!Z$5:Z$11,MATCH($B104,Premissas!$A$39:$A$45,0))</f>
        <v/>
      </c>
      <c r="AB104" s="22" t="str">
        <f>INDEX(Cronograma!AA$5:AA$11,MATCH($B104,Premissas!$A$39:$A$45,0))</f>
        <v/>
      </c>
      <c r="AC104" s="22" t="str">
        <f>INDEX(Cronograma!AB$5:AB$11,MATCH($B104,Premissas!$A$39:$A$45,0))</f>
        <v>B</v>
      </c>
      <c r="AD104" s="22" t="str">
        <f>INDEX(Cronograma!AC$5:AC$11,MATCH($B104,Premissas!$A$39:$A$45,0))</f>
        <v/>
      </c>
      <c r="AE104" s="22" t="str">
        <f>INDEX(Cronograma!AD$5:AD$11,MATCH($B104,Premissas!$A$39:$A$45,0))</f>
        <v/>
      </c>
      <c r="AF104" s="22" t="str">
        <f>INDEX(Cronograma!AE$5:AE$11,MATCH($B104,Premissas!$A$39:$A$45,0))</f>
        <v/>
      </c>
      <c r="AG104" s="22" t="str">
        <f>INDEX(Cronograma!AF$5:AF$11,MATCH($B104,Premissas!$A$39:$A$45,0))</f>
        <v/>
      </c>
      <c r="AH104" s="22" t="str">
        <f>INDEX(Cronograma!AG$5:AG$11,MATCH($B104,Premissas!$A$39:$A$45,0))</f>
        <v/>
      </c>
      <c r="AI104" s="22" t="str">
        <f>INDEX(Cronograma!AH$5:AH$11,MATCH($B104,Premissas!$A$39:$A$45,0))</f>
        <v/>
      </c>
      <c r="AJ104" s="22" t="str">
        <f>INDEX(Cronograma!AI$5:AI$11,MATCH($B104,Premissas!$A$39:$A$45,0))</f>
        <v/>
      </c>
      <c r="AK104" s="22" t="str">
        <f>INDEX(Cronograma!AJ$5:AJ$11,MATCH($B104,Premissas!$A$39:$A$45,0))</f>
        <v/>
      </c>
      <c r="AL104" s="22" t="str">
        <f>INDEX(Cronograma!AK$5:AK$11,MATCH($B104,Premissas!$A$39:$A$45,0))</f>
        <v/>
      </c>
      <c r="AM104" s="22" t="str">
        <f>INDEX(Cronograma!AL$5:AL$11,MATCH($B104,Premissas!$A$39:$A$45,0))</f>
        <v/>
      </c>
      <c r="AN104" s="22" t="str">
        <f>INDEX(Cronograma!AM$5:AM$11,MATCH($B104,Premissas!$A$39:$A$45,0))</f>
        <v/>
      </c>
      <c r="AO104" s="22" t="str">
        <f>INDEX(Cronograma!AN$5:AN$11,MATCH($B104,Premissas!$A$39:$A$45,0))</f>
        <v/>
      </c>
      <c r="AP104" s="22" t="str">
        <f>INDEX(Cronograma!AO$5:AO$11,MATCH($B104,Premissas!$A$39:$A$45,0))</f>
        <v>S</v>
      </c>
      <c r="AQ104" s="22" t="str">
        <f>INDEX(Cronograma!AP$5:AP$11,MATCH($B104,Premissas!$A$39:$A$45,0))</f>
        <v/>
      </c>
      <c r="AR104" s="22" t="str">
        <f>INDEX(Cronograma!AQ$5:AQ$11,MATCH($B104,Premissas!$A$39:$A$45,0))</f>
        <v/>
      </c>
      <c r="AS104" s="22" t="str">
        <f>INDEX(Cronograma!AR$5:AR$11,MATCH($B104,Premissas!$A$39:$A$45,0))</f>
        <v/>
      </c>
      <c r="AT104" s="22" t="str">
        <f>INDEX(Cronograma!AS$5:AS$11,MATCH($B104,Premissas!$A$39:$A$45,0))</f>
        <v/>
      </c>
      <c r="AU104" s="22" t="str">
        <f>INDEX(Cronograma!AT$5:AT$11,MATCH($B104,Premissas!$A$39:$A$45,0))</f>
        <v/>
      </c>
      <c r="AV104" s="22" t="str">
        <f>INDEX(Cronograma!AU$5:AU$11,MATCH($B104,Premissas!$A$39:$A$45,0))</f>
        <v/>
      </c>
      <c r="AW104" s="22" t="str">
        <f>INDEX(Cronograma!AV$5:AV$11,MATCH($B104,Premissas!$A$39:$A$45,0))</f>
        <v/>
      </c>
      <c r="AX104" s="22" t="str">
        <f>INDEX(Cronograma!AW$5:AW$11,MATCH($B104,Premissas!$A$39:$A$45,0))</f>
        <v/>
      </c>
      <c r="AY104" s="22" t="str">
        <f>INDEX(Cronograma!AX$5:AX$11,MATCH($B104,Premissas!$A$39:$A$45,0))</f>
        <v/>
      </c>
      <c r="AZ104" s="22" t="str">
        <f>INDEX(Cronograma!AY$5:AY$11,MATCH($B104,Premissas!$A$39:$A$45,0))</f>
        <v/>
      </c>
      <c r="BA104" s="22" t="str">
        <f>INDEX(Cronograma!AZ$5:AZ$11,MATCH($B104,Premissas!$A$39:$A$45,0))</f>
        <v/>
      </c>
      <c r="BB104" s="22" t="str">
        <f>INDEX(Cronograma!BA$5:BA$11,MATCH($B104,Premissas!$A$39:$A$45,0))</f>
        <v/>
      </c>
    </row>
    <row r="105" spans="1:54" ht="15" customHeight="1" x14ac:dyDescent="0.4">
      <c r="A105" s="15" t="str">
        <f>Frota!$B105&amp;" — "&amp;Frota!$A105</f>
        <v>MB 3351 Arocs 6x4 — 101206</v>
      </c>
      <c r="B105" s="16" t="str">
        <f>Frota!$C105</f>
        <v>Caminhão</v>
      </c>
      <c r="C105" s="22" t="str">
        <f>INDEX(Cronograma!B$5:B$11,MATCH($B105,Premissas!$A$39:$A$45,0))</f>
        <v/>
      </c>
      <c r="D105" s="22" t="str">
        <f>INDEX(Cronograma!C$5:C$11,MATCH($B105,Premissas!$A$39:$A$45,0))</f>
        <v/>
      </c>
      <c r="E105" s="22" t="str">
        <f>INDEX(Cronograma!D$5:D$11,MATCH($B105,Premissas!$A$39:$A$45,0))</f>
        <v/>
      </c>
      <c r="F105" s="22" t="str">
        <f>INDEX(Cronograma!E$5:E$11,MATCH($B105,Premissas!$A$39:$A$45,0))</f>
        <v/>
      </c>
      <c r="G105" s="22" t="str">
        <f>INDEX(Cronograma!F$5:F$11,MATCH($B105,Premissas!$A$39:$A$45,0))</f>
        <v/>
      </c>
      <c r="H105" s="22" t="str">
        <f>INDEX(Cronograma!G$5:G$11,MATCH($B105,Premissas!$A$39:$A$45,0))</f>
        <v/>
      </c>
      <c r="I105" s="22" t="str">
        <f>INDEX(Cronograma!H$5:H$11,MATCH($B105,Premissas!$A$39:$A$45,0))</f>
        <v>S</v>
      </c>
      <c r="J105" s="22" t="str">
        <f>INDEX(Cronograma!I$5:I$11,MATCH($B105,Premissas!$A$39:$A$45,0))</f>
        <v/>
      </c>
      <c r="K105" s="22" t="str">
        <f>INDEX(Cronograma!J$5:J$11,MATCH($B105,Premissas!$A$39:$A$45,0))</f>
        <v/>
      </c>
      <c r="L105" s="22" t="str">
        <f>INDEX(Cronograma!K$5:K$11,MATCH($B105,Premissas!$A$39:$A$45,0))</f>
        <v/>
      </c>
      <c r="M105" s="22" t="str">
        <f>INDEX(Cronograma!L$5:L$11,MATCH($B105,Premissas!$A$39:$A$45,0))</f>
        <v/>
      </c>
      <c r="N105" s="22" t="str">
        <f>INDEX(Cronograma!M$5:M$11,MATCH($B105,Premissas!$A$39:$A$45,0))</f>
        <v/>
      </c>
      <c r="O105" s="22" t="str">
        <f>INDEX(Cronograma!N$5:N$11,MATCH($B105,Premissas!$A$39:$A$45,0))</f>
        <v/>
      </c>
      <c r="P105" s="22" t="str">
        <f>INDEX(Cronograma!O$5:O$11,MATCH($B105,Premissas!$A$39:$A$45,0))</f>
        <v>A</v>
      </c>
      <c r="Q105" s="22" t="str">
        <f>INDEX(Cronograma!P$5:P$11,MATCH($B105,Premissas!$A$39:$A$45,0))</f>
        <v/>
      </c>
      <c r="R105" s="22" t="str">
        <f>INDEX(Cronograma!Q$5:Q$11,MATCH($B105,Premissas!$A$39:$A$45,0))</f>
        <v/>
      </c>
      <c r="S105" s="22" t="str">
        <f>INDEX(Cronograma!R$5:R$11,MATCH($B105,Premissas!$A$39:$A$45,0))</f>
        <v/>
      </c>
      <c r="T105" s="22" t="str">
        <f>INDEX(Cronograma!S$5:S$11,MATCH($B105,Premissas!$A$39:$A$45,0))</f>
        <v/>
      </c>
      <c r="U105" s="22" t="str">
        <f>INDEX(Cronograma!T$5:T$11,MATCH($B105,Premissas!$A$39:$A$45,0))</f>
        <v/>
      </c>
      <c r="V105" s="22" t="str">
        <f>INDEX(Cronograma!U$5:U$11,MATCH($B105,Premissas!$A$39:$A$45,0))</f>
        <v>S</v>
      </c>
      <c r="W105" s="22" t="str">
        <f>INDEX(Cronograma!V$5:V$11,MATCH($B105,Premissas!$A$39:$A$45,0))</f>
        <v/>
      </c>
      <c r="X105" s="22" t="str">
        <f>INDEX(Cronograma!W$5:W$11,MATCH($B105,Premissas!$A$39:$A$45,0))</f>
        <v/>
      </c>
      <c r="Y105" s="22" t="str">
        <f>INDEX(Cronograma!X$5:X$11,MATCH($B105,Premissas!$A$39:$A$45,0))</f>
        <v/>
      </c>
      <c r="Z105" s="22" t="str">
        <f>INDEX(Cronograma!Y$5:Y$11,MATCH($B105,Premissas!$A$39:$A$45,0))</f>
        <v/>
      </c>
      <c r="AA105" s="22" t="str">
        <f>INDEX(Cronograma!Z$5:Z$11,MATCH($B105,Premissas!$A$39:$A$45,0))</f>
        <v/>
      </c>
      <c r="AB105" s="22" t="str">
        <f>INDEX(Cronograma!AA$5:AA$11,MATCH($B105,Premissas!$A$39:$A$45,0))</f>
        <v/>
      </c>
      <c r="AC105" s="22" t="str">
        <f>INDEX(Cronograma!AB$5:AB$11,MATCH($B105,Premissas!$A$39:$A$45,0))</f>
        <v>B</v>
      </c>
      <c r="AD105" s="22" t="str">
        <f>INDEX(Cronograma!AC$5:AC$11,MATCH($B105,Premissas!$A$39:$A$45,0))</f>
        <v/>
      </c>
      <c r="AE105" s="22" t="str">
        <f>INDEX(Cronograma!AD$5:AD$11,MATCH($B105,Premissas!$A$39:$A$45,0))</f>
        <v/>
      </c>
      <c r="AF105" s="22" t="str">
        <f>INDEX(Cronograma!AE$5:AE$11,MATCH($B105,Premissas!$A$39:$A$45,0))</f>
        <v/>
      </c>
      <c r="AG105" s="22" t="str">
        <f>INDEX(Cronograma!AF$5:AF$11,MATCH($B105,Premissas!$A$39:$A$45,0))</f>
        <v/>
      </c>
      <c r="AH105" s="22" t="str">
        <f>INDEX(Cronograma!AG$5:AG$11,MATCH($B105,Premissas!$A$39:$A$45,0))</f>
        <v/>
      </c>
      <c r="AI105" s="22" t="str">
        <f>INDEX(Cronograma!AH$5:AH$11,MATCH($B105,Premissas!$A$39:$A$45,0))</f>
        <v/>
      </c>
      <c r="AJ105" s="22" t="str">
        <f>INDEX(Cronograma!AI$5:AI$11,MATCH($B105,Premissas!$A$39:$A$45,0))</f>
        <v/>
      </c>
      <c r="AK105" s="22" t="str">
        <f>INDEX(Cronograma!AJ$5:AJ$11,MATCH($B105,Premissas!$A$39:$A$45,0))</f>
        <v/>
      </c>
      <c r="AL105" s="22" t="str">
        <f>INDEX(Cronograma!AK$5:AK$11,MATCH($B105,Premissas!$A$39:$A$45,0))</f>
        <v/>
      </c>
      <c r="AM105" s="22" t="str">
        <f>INDEX(Cronograma!AL$5:AL$11,MATCH($B105,Premissas!$A$39:$A$45,0))</f>
        <v/>
      </c>
      <c r="AN105" s="22" t="str">
        <f>INDEX(Cronograma!AM$5:AM$11,MATCH($B105,Premissas!$A$39:$A$45,0))</f>
        <v/>
      </c>
      <c r="AO105" s="22" t="str">
        <f>INDEX(Cronograma!AN$5:AN$11,MATCH($B105,Premissas!$A$39:$A$45,0))</f>
        <v/>
      </c>
      <c r="AP105" s="22" t="str">
        <f>INDEX(Cronograma!AO$5:AO$11,MATCH($B105,Premissas!$A$39:$A$45,0))</f>
        <v>S</v>
      </c>
      <c r="AQ105" s="22" t="str">
        <f>INDEX(Cronograma!AP$5:AP$11,MATCH($B105,Premissas!$A$39:$A$45,0))</f>
        <v/>
      </c>
      <c r="AR105" s="22" t="str">
        <f>INDEX(Cronograma!AQ$5:AQ$11,MATCH($B105,Premissas!$A$39:$A$45,0))</f>
        <v/>
      </c>
      <c r="AS105" s="22" t="str">
        <f>INDEX(Cronograma!AR$5:AR$11,MATCH($B105,Premissas!$A$39:$A$45,0))</f>
        <v/>
      </c>
      <c r="AT105" s="22" t="str">
        <f>INDEX(Cronograma!AS$5:AS$11,MATCH($B105,Premissas!$A$39:$A$45,0))</f>
        <v/>
      </c>
      <c r="AU105" s="22" t="str">
        <f>INDEX(Cronograma!AT$5:AT$11,MATCH($B105,Premissas!$A$39:$A$45,0))</f>
        <v/>
      </c>
      <c r="AV105" s="22" t="str">
        <f>INDEX(Cronograma!AU$5:AU$11,MATCH($B105,Premissas!$A$39:$A$45,0))</f>
        <v/>
      </c>
      <c r="AW105" s="22" t="str">
        <f>INDEX(Cronograma!AV$5:AV$11,MATCH($B105,Premissas!$A$39:$A$45,0))</f>
        <v/>
      </c>
      <c r="AX105" s="22" t="str">
        <f>INDEX(Cronograma!AW$5:AW$11,MATCH($B105,Premissas!$A$39:$A$45,0))</f>
        <v/>
      </c>
      <c r="AY105" s="22" t="str">
        <f>INDEX(Cronograma!AX$5:AX$11,MATCH($B105,Premissas!$A$39:$A$45,0))</f>
        <v/>
      </c>
      <c r="AZ105" s="22" t="str">
        <f>INDEX(Cronograma!AY$5:AY$11,MATCH($B105,Premissas!$A$39:$A$45,0))</f>
        <v/>
      </c>
      <c r="BA105" s="22" t="str">
        <f>INDEX(Cronograma!AZ$5:AZ$11,MATCH($B105,Premissas!$A$39:$A$45,0))</f>
        <v/>
      </c>
      <c r="BB105" s="22" t="str">
        <f>INDEX(Cronograma!BA$5:BA$11,MATCH($B105,Premissas!$A$39:$A$45,0))</f>
        <v/>
      </c>
    </row>
    <row r="106" spans="1:54" ht="15" customHeight="1" x14ac:dyDescent="0.4">
      <c r="A106" s="15" t="str">
        <f>Frota!$B106&amp;" — "&amp;Frota!$A106</f>
        <v>MB 3351 Arocs 6x4 — 101207</v>
      </c>
      <c r="B106" s="16" t="str">
        <f>Frota!$C106</f>
        <v>Caminhão</v>
      </c>
      <c r="C106" s="22" t="str">
        <f>INDEX(Cronograma!B$5:B$11,MATCH($B106,Premissas!$A$39:$A$45,0))</f>
        <v/>
      </c>
      <c r="D106" s="22" t="str">
        <f>INDEX(Cronograma!C$5:C$11,MATCH($B106,Premissas!$A$39:$A$45,0))</f>
        <v/>
      </c>
      <c r="E106" s="22" t="str">
        <f>INDEX(Cronograma!D$5:D$11,MATCH($B106,Premissas!$A$39:$A$45,0))</f>
        <v/>
      </c>
      <c r="F106" s="22" t="str">
        <f>INDEX(Cronograma!E$5:E$11,MATCH($B106,Premissas!$A$39:$A$45,0))</f>
        <v/>
      </c>
      <c r="G106" s="22" t="str">
        <f>INDEX(Cronograma!F$5:F$11,MATCH($B106,Premissas!$A$39:$A$45,0))</f>
        <v/>
      </c>
      <c r="H106" s="22" t="str">
        <f>INDEX(Cronograma!G$5:G$11,MATCH($B106,Premissas!$A$39:$A$45,0))</f>
        <v/>
      </c>
      <c r="I106" s="22" t="str">
        <f>INDEX(Cronograma!H$5:H$11,MATCH($B106,Premissas!$A$39:$A$45,0))</f>
        <v>S</v>
      </c>
      <c r="J106" s="22" t="str">
        <f>INDEX(Cronograma!I$5:I$11,MATCH($B106,Premissas!$A$39:$A$45,0))</f>
        <v/>
      </c>
      <c r="K106" s="22" t="str">
        <f>INDEX(Cronograma!J$5:J$11,MATCH($B106,Premissas!$A$39:$A$45,0))</f>
        <v/>
      </c>
      <c r="L106" s="22" t="str">
        <f>INDEX(Cronograma!K$5:K$11,MATCH($B106,Premissas!$A$39:$A$45,0))</f>
        <v/>
      </c>
      <c r="M106" s="22" t="str">
        <f>INDEX(Cronograma!L$5:L$11,MATCH($B106,Premissas!$A$39:$A$45,0))</f>
        <v/>
      </c>
      <c r="N106" s="22" t="str">
        <f>INDEX(Cronograma!M$5:M$11,MATCH($B106,Premissas!$A$39:$A$45,0))</f>
        <v/>
      </c>
      <c r="O106" s="22" t="str">
        <f>INDEX(Cronograma!N$5:N$11,MATCH($B106,Premissas!$A$39:$A$45,0))</f>
        <v/>
      </c>
      <c r="P106" s="22" t="str">
        <f>INDEX(Cronograma!O$5:O$11,MATCH($B106,Premissas!$A$39:$A$45,0))</f>
        <v>A</v>
      </c>
      <c r="Q106" s="22" t="str">
        <f>INDEX(Cronograma!P$5:P$11,MATCH($B106,Premissas!$A$39:$A$45,0))</f>
        <v/>
      </c>
      <c r="R106" s="22" t="str">
        <f>INDEX(Cronograma!Q$5:Q$11,MATCH($B106,Premissas!$A$39:$A$45,0))</f>
        <v/>
      </c>
      <c r="S106" s="22" t="str">
        <f>INDEX(Cronograma!R$5:R$11,MATCH($B106,Premissas!$A$39:$A$45,0))</f>
        <v/>
      </c>
      <c r="T106" s="22" t="str">
        <f>INDEX(Cronograma!S$5:S$11,MATCH($B106,Premissas!$A$39:$A$45,0))</f>
        <v/>
      </c>
      <c r="U106" s="22" t="str">
        <f>INDEX(Cronograma!T$5:T$11,MATCH($B106,Premissas!$A$39:$A$45,0))</f>
        <v/>
      </c>
      <c r="V106" s="22" t="str">
        <f>INDEX(Cronograma!U$5:U$11,MATCH($B106,Premissas!$A$39:$A$45,0))</f>
        <v>S</v>
      </c>
      <c r="W106" s="22" t="str">
        <f>INDEX(Cronograma!V$5:V$11,MATCH($B106,Premissas!$A$39:$A$45,0))</f>
        <v/>
      </c>
      <c r="X106" s="22" t="str">
        <f>INDEX(Cronograma!W$5:W$11,MATCH($B106,Premissas!$A$39:$A$45,0))</f>
        <v/>
      </c>
      <c r="Y106" s="22" t="str">
        <f>INDEX(Cronograma!X$5:X$11,MATCH($B106,Premissas!$A$39:$A$45,0))</f>
        <v/>
      </c>
      <c r="Z106" s="22" t="str">
        <f>INDEX(Cronograma!Y$5:Y$11,MATCH($B106,Premissas!$A$39:$A$45,0))</f>
        <v/>
      </c>
      <c r="AA106" s="22" t="str">
        <f>INDEX(Cronograma!Z$5:Z$11,MATCH($B106,Premissas!$A$39:$A$45,0))</f>
        <v/>
      </c>
      <c r="AB106" s="22" t="str">
        <f>INDEX(Cronograma!AA$5:AA$11,MATCH($B106,Premissas!$A$39:$A$45,0))</f>
        <v/>
      </c>
      <c r="AC106" s="22" t="str">
        <f>INDEX(Cronograma!AB$5:AB$11,MATCH($B106,Premissas!$A$39:$A$45,0))</f>
        <v>B</v>
      </c>
      <c r="AD106" s="22" t="str">
        <f>INDEX(Cronograma!AC$5:AC$11,MATCH($B106,Premissas!$A$39:$A$45,0))</f>
        <v/>
      </c>
      <c r="AE106" s="22" t="str">
        <f>INDEX(Cronograma!AD$5:AD$11,MATCH($B106,Premissas!$A$39:$A$45,0))</f>
        <v/>
      </c>
      <c r="AF106" s="22" t="str">
        <f>INDEX(Cronograma!AE$5:AE$11,MATCH($B106,Premissas!$A$39:$A$45,0))</f>
        <v/>
      </c>
      <c r="AG106" s="22" t="str">
        <f>INDEX(Cronograma!AF$5:AF$11,MATCH($B106,Premissas!$A$39:$A$45,0))</f>
        <v/>
      </c>
      <c r="AH106" s="22" t="str">
        <f>INDEX(Cronograma!AG$5:AG$11,MATCH($B106,Premissas!$A$39:$A$45,0))</f>
        <v/>
      </c>
      <c r="AI106" s="22" t="str">
        <f>INDEX(Cronograma!AH$5:AH$11,MATCH($B106,Premissas!$A$39:$A$45,0))</f>
        <v/>
      </c>
      <c r="AJ106" s="22" t="str">
        <f>INDEX(Cronograma!AI$5:AI$11,MATCH($B106,Premissas!$A$39:$A$45,0))</f>
        <v/>
      </c>
      <c r="AK106" s="22" t="str">
        <f>INDEX(Cronograma!AJ$5:AJ$11,MATCH($B106,Premissas!$A$39:$A$45,0))</f>
        <v/>
      </c>
      <c r="AL106" s="22" t="str">
        <f>INDEX(Cronograma!AK$5:AK$11,MATCH($B106,Premissas!$A$39:$A$45,0))</f>
        <v/>
      </c>
      <c r="AM106" s="22" t="str">
        <f>INDEX(Cronograma!AL$5:AL$11,MATCH($B106,Premissas!$A$39:$A$45,0))</f>
        <v/>
      </c>
      <c r="AN106" s="22" t="str">
        <f>INDEX(Cronograma!AM$5:AM$11,MATCH($B106,Premissas!$A$39:$A$45,0))</f>
        <v/>
      </c>
      <c r="AO106" s="22" t="str">
        <f>INDEX(Cronograma!AN$5:AN$11,MATCH($B106,Premissas!$A$39:$A$45,0))</f>
        <v/>
      </c>
      <c r="AP106" s="22" t="str">
        <f>INDEX(Cronograma!AO$5:AO$11,MATCH($B106,Premissas!$A$39:$A$45,0))</f>
        <v>S</v>
      </c>
      <c r="AQ106" s="22" t="str">
        <f>INDEX(Cronograma!AP$5:AP$11,MATCH($B106,Premissas!$A$39:$A$45,0))</f>
        <v/>
      </c>
      <c r="AR106" s="22" t="str">
        <f>INDEX(Cronograma!AQ$5:AQ$11,MATCH($B106,Premissas!$A$39:$A$45,0))</f>
        <v/>
      </c>
      <c r="AS106" s="22" t="str">
        <f>INDEX(Cronograma!AR$5:AR$11,MATCH($B106,Premissas!$A$39:$A$45,0))</f>
        <v/>
      </c>
      <c r="AT106" s="22" t="str">
        <f>INDEX(Cronograma!AS$5:AS$11,MATCH($B106,Premissas!$A$39:$A$45,0))</f>
        <v/>
      </c>
      <c r="AU106" s="22" t="str">
        <f>INDEX(Cronograma!AT$5:AT$11,MATCH($B106,Premissas!$A$39:$A$45,0))</f>
        <v/>
      </c>
      <c r="AV106" s="22" t="str">
        <f>INDEX(Cronograma!AU$5:AU$11,MATCH($B106,Premissas!$A$39:$A$45,0))</f>
        <v/>
      </c>
      <c r="AW106" s="22" t="str">
        <f>INDEX(Cronograma!AV$5:AV$11,MATCH($B106,Premissas!$A$39:$A$45,0))</f>
        <v/>
      </c>
      <c r="AX106" s="22" t="str">
        <f>INDEX(Cronograma!AW$5:AW$11,MATCH($B106,Premissas!$A$39:$A$45,0))</f>
        <v/>
      </c>
      <c r="AY106" s="22" t="str">
        <f>INDEX(Cronograma!AX$5:AX$11,MATCH($B106,Premissas!$A$39:$A$45,0))</f>
        <v/>
      </c>
      <c r="AZ106" s="22" t="str">
        <f>INDEX(Cronograma!AY$5:AY$11,MATCH($B106,Premissas!$A$39:$A$45,0))</f>
        <v/>
      </c>
      <c r="BA106" s="22" t="str">
        <f>INDEX(Cronograma!AZ$5:AZ$11,MATCH($B106,Premissas!$A$39:$A$45,0))</f>
        <v/>
      </c>
      <c r="BB106" s="22" t="str">
        <f>INDEX(Cronograma!BA$5:BA$11,MATCH($B106,Premissas!$A$39:$A$45,0))</f>
        <v/>
      </c>
    </row>
    <row r="107" spans="1:54" ht="15" customHeight="1" x14ac:dyDescent="0.4">
      <c r="A107" s="15" t="str">
        <f>Frota!$B107&amp;" — "&amp;Frota!$A107</f>
        <v>MB 3351 Arocs 6x4 — 101208</v>
      </c>
      <c r="B107" s="16" t="str">
        <f>Frota!$C107</f>
        <v>Caminhão</v>
      </c>
      <c r="C107" s="22" t="str">
        <f>INDEX(Cronograma!B$5:B$11,MATCH($B107,Premissas!$A$39:$A$45,0))</f>
        <v/>
      </c>
      <c r="D107" s="22" t="str">
        <f>INDEX(Cronograma!C$5:C$11,MATCH($B107,Premissas!$A$39:$A$45,0))</f>
        <v/>
      </c>
      <c r="E107" s="22" t="str">
        <f>INDEX(Cronograma!D$5:D$11,MATCH($B107,Premissas!$A$39:$A$45,0))</f>
        <v/>
      </c>
      <c r="F107" s="22" t="str">
        <f>INDEX(Cronograma!E$5:E$11,MATCH($B107,Premissas!$A$39:$A$45,0))</f>
        <v/>
      </c>
      <c r="G107" s="22" t="str">
        <f>INDEX(Cronograma!F$5:F$11,MATCH($B107,Premissas!$A$39:$A$45,0))</f>
        <v/>
      </c>
      <c r="H107" s="22" t="str">
        <f>INDEX(Cronograma!G$5:G$11,MATCH($B107,Premissas!$A$39:$A$45,0))</f>
        <v/>
      </c>
      <c r="I107" s="22" t="str">
        <f>INDEX(Cronograma!H$5:H$11,MATCH($B107,Premissas!$A$39:$A$45,0))</f>
        <v>S</v>
      </c>
      <c r="J107" s="22" t="str">
        <f>INDEX(Cronograma!I$5:I$11,MATCH($B107,Premissas!$A$39:$A$45,0))</f>
        <v/>
      </c>
      <c r="K107" s="22" t="str">
        <f>INDEX(Cronograma!J$5:J$11,MATCH($B107,Premissas!$A$39:$A$45,0))</f>
        <v/>
      </c>
      <c r="L107" s="22" t="str">
        <f>INDEX(Cronograma!K$5:K$11,MATCH($B107,Premissas!$A$39:$A$45,0))</f>
        <v/>
      </c>
      <c r="M107" s="22" t="str">
        <f>INDEX(Cronograma!L$5:L$11,MATCH($B107,Premissas!$A$39:$A$45,0))</f>
        <v/>
      </c>
      <c r="N107" s="22" t="str">
        <f>INDEX(Cronograma!M$5:M$11,MATCH($B107,Premissas!$A$39:$A$45,0))</f>
        <v/>
      </c>
      <c r="O107" s="22" t="str">
        <f>INDEX(Cronograma!N$5:N$11,MATCH($B107,Premissas!$A$39:$A$45,0))</f>
        <v/>
      </c>
      <c r="P107" s="22" t="str">
        <f>INDEX(Cronograma!O$5:O$11,MATCH($B107,Premissas!$A$39:$A$45,0))</f>
        <v>A</v>
      </c>
      <c r="Q107" s="22" t="str">
        <f>INDEX(Cronograma!P$5:P$11,MATCH($B107,Premissas!$A$39:$A$45,0))</f>
        <v/>
      </c>
      <c r="R107" s="22" t="str">
        <f>INDEX(Cronograma!Q$5:Q$11,MATCH($B107,Premissas!$A$39:$A$45,0))</f>
        <v/>
      </c>
      <c r="S107" s="22" t="str">
        <f>INDEX(Cronograma!R$5:R$11,MATCH($B107,Premissas!$A$39:$A$45,0))</f>
        <v/>
      </c>
      <c r="T107" s="22" t="str">
        <f>INDEX(Cronograma!S$5:S$11,MATCH($B107,Premissas!$A$39:$A$45,0))</f>
        <v/>
      </c>
      <c r="U107" s="22" t="str">
        <f>INDEX(Cronograma!T$5:T$11,MATCH($B107,Premissas!$A$39:$A$45,0))</f>
        <v/>
      </c>
      <c r="V107" s="22" t="str">
        <f>INDEX(Cronograma!U$5:U$11,MATCH($B107,Premissas!$A$39:$A$45,0))</f>
        <v>S</v>
      </c>
      <c r="W107" s="22" t="str">
        <f>INDEX(Cronograma!V$5:V$11,MATCH($B107,Premissas!$A$39:$A$45,0))</f>
        <v/>
      </c>
      <c r="X107" s="22" t="str">
        <f>INDEX(Cronograma!W$5:W$11,MATCH($B107,Premissas!$A$39:$A$45,0))</f>
        <v/>
      </c>
      <c r="Y107" s="22" t="str">
        <f>INDEX(Cronograma!X$5:X$11,MATCH($B107,Premissas!$A$39:$A$45,0))</f>
        <v/>
      </c>
      <c r="Z107" s="22" t="str">
        <f>INDEX(Cronograma!Y$5:Y$11,MATCH($B107,Premissas!$A$39:$A$45,0))</f>
        <v/>
      </c>
      <c r="AA107" s="22" t="str">
        <f>INDEX(Cronograma!Z$5:Z$11,MATCH($B107,Premissas!$A$39:$A$45,0))</f>
        <v/>
      </c>
      <c r="AB107" s="22" t="str">
        <f>INDEX(Cronograma!AA$5:AA$11,MATCH($B107,Premissas!$A$39:$A$45,0))</f>
        <v/>
      </c>
      <c r="AC107" s="22" t="str">
        <f>INDEX(Cronograma!AB$5:AB$11,MATCH($B107,Premissas!$A$39:$A$45,0))</f>
        <v>B</v>
      </c>
      <c r="AD107" s="22" t="str">
        <f>INDEX(Cronograma!AC$5:AC$11,MATCH($B107,Premissas!$A$39:$A$45,0))</f>
        <v/>
      </c>
      <c r="AE107" s="22" t="str">
        <f>INDEX(Cronograma!AD$5:AD$11,MATCH($B107,Premissas!$A$39:$A$45,0))</f>
        <v/>
      </c>
      <c r="AF107" s="22" t="str">
        <f>INDEX(Cronograma!AE$5:AE$11,MATCH($B107,Premissas!$A$39:$A$45,0))</f>
        <v/>
      </c>
      <c r="AG107" s="22" t="str">
        <f>INDEX(Cronograma!AF$5:AF$11,MATCH($B107,Premissas!$A$39:$A$45,0))</f>
        <v/>
      </c>
      <c r="AH107" s="22" t="str">
        <f>INDEX(Cronograma!AG$5:AG$11,MATCH($B107,Premissas!$A$39:$A$45,0))</f>
        <v/>
      </c>
      <c r="AI107" s="22" t="str">
        <f>INDEX(Cronograma!AH$5:AH$11,MATCH($B107,Premissas!$A$39:$A$45,0))</f>
        <v/>
      </c>
      <c r="AJ107" s="22" t="str">
        <f>INDEX(Cronograma!AI$5:AI$11,MATCH($B107,Premissas!$A$39:$A$45,0))</f>
        <v/>
      </c>
      <c r="AK107" s="22" t="str">
        <f>INDEX(Cronograma!AJ$5:AJ$11,MATCH($B107,Premissas!$A$39:$A$45,0))</f>
        <v/>
      </c>
      <c r="AL107" s="22" t="str">
        <f>INDEX(Cronograma!AK$5:AK$11,MATCH($B107,Premissas!$A$39:$A$45,0))</f>
        <v/>
      </c>
      <c r="AM107" s="22" t="str">
        <f>INDEX(Cronograma!AL$5:AL$11,MATCH($B107,Premissas!$A$39:$A$45,0))</f>
        <v/>
      </c>
      <c r="AN107" s="22" t="str">
        <f>INDEX(Cronograma!AM$5:AM$11,MATCH($B107,Premissas!$A$39:$A$45,0))</f>
        <v/>
      </c>
      <c r="AO107" s="22" t="str">
        <f>INDEX(Cronograma!AN$5:AN$11,MATCH($B107,Premissas!$A$39:$A$45,0))</f>
        <v/>
      </c>
      <c r="AP107" s="22" t="str">
        <f>INDEX(Cronograma!AO$5:AO$11,MATCH($B107,Premissas!$A$39:$A$45,0))</f>
        <v>S</v>
      </c>
      <c r="AQ107" s="22" t="str">
        <f>INDEX(Cronograma!AP$5:AP$11,MATCH($B107,Premissas!$A$39:$A$45,0))</f>
        <v/>
      </c>
      <c r="AR107" s="22" t="str">
        <f>INDEX(Cronograma!AQ$5:AQ$11,MATCH($B107,Premissas!$A$39:$A$45,0))</f>
        <v/>
      </c>
      <c r="AS107" s="22" t="str">
        <f>INDEX(Cronograma!AR$5:AR$11,MATCH($B107,Premissas!$A$39:$A$45,0))</f>
        <v/>
      </c>
      <c r="AT107" s="22" t="str">
        <f>INDEX(Cronograma!AS$5:AS$11,MATCH($B107,Premissas!$A$39:$A$45,0))</f>
        <v/>
      </c>
      <c r="AU107" s="22" t="str">
        <f>INDEX(Cronograma!AT$5:AT$11,MATCH($B107,Premissas!$A$39:$A$45,0))</f>
        <v/>
      </c>
      <c r="AV107" s="22" t="str">
        <f>INDEX(Cronograma!AU$5:AU$11,MATCH($B107,Premissas!$A$39:$A$45,0))</f>
        <v/>
      </c>
      <c r="AW107" s="22" t="str">
        <f>INDEX(Cronograma!AV$5:AV$11,MATCH($B107,Premissas!$A$39:$A$45,0))</f>
        <v/>
      </c>
      <c r="AX107" s="22" t="str">
        <f>INDEX(Cronograma!AW$5:AW$11,MATCH($B107,Premissas!$A$39:$A$45,0))</f>
        <v/>
      </c>
      <c r="AY107" s="22" t="str">
        <f>INDEX(Cronograma!AX$5:AX$11,MATCH($B107,Premissas!$A$39:$A$45,0))</f>
        <v/>
      </c>
      <c r="AZ107" s="22" t="str">
        <f>INDEX(Cronograma!AY$5:AY$11,MATCH($B107,Premissas!$A$39:$A$45,0))</f>
        <v/>
      </c>
      <c r="BA107" s="22" t="str">
        <f>INDEX(Cronograma!AZ$5:AZ$11,MATCH($B107,Premissas!$A$39:$A$45,0))</f>
        <v/>
      </c>
      <c r="BB107" s="22" t="str">
        <f>INDEX(Cronograma!BA$5:BA$11,MATCH($B107,Premissas!$A$39:$A$45,0))</f>
        <v/>
      </c>
    </row>
    <row r="108" spans="1:54" ht="15" customHeight="1" x14ac:dyDescent="0.4">
      <c r="A108" s="15" t="str">
        <f>Frota!$B108&amp;" — "&amp;Frota!$A108</f>
        <v>MB 3351 Arocs 6x4 — 101209</v>
      </c>
      <c r="B108" s="16" t="str">
        <f>Frota!$C108</f>
        <v>Caminhão</v>
      </c>
      <c r="C108" s="22" t="str">
        <f>INDEX(Cronograma!B$5:B$11,MATCH($B108,Premissas!$A$39:$A$45,0))</f>
        <v/>
      </c>
      <c r="D108" s="22" t="str">
        <f>INDEX(Cronograma!C$5:C$11,MATCH($B108,Premissas!$A$39:$A$45,0))</f>
        <v/>
      </c>
      <c r="E108" s="22" t="str">
        <f>INDEX(Cronograma!D$5:D$11,MATCH($B108,Premissas!$A$39:$A$45,0))</f>
        <v/>
      </c>
      <c r="F108" s="22" t="str">
        <f>INDEX(Cronograma!E$5:E$11,MATCH($B108,Premissas!$A$39:$A$45,0))</f>
        <v/>
      </c>
      <c r="G108" s="22" t="str">
        <f>INDEX(Cronograma!F$5:F$11,MATCH($B108,Premissas!$A$39:$A$45,0))</f>
        <v/>
      </c>
      <c r="H108" s="22" t="str">
        <f>INDEX(Cronograma!G$5:G$11,MATCH($B108,Premissas!$A$39:$A$45,0))</f>
        <v/>
      </c>
      <c r="I108" s="22" t="str">
        <f>INDEX(Cronograma!H$5:H$11,MATCH($B108,Premissas!$A$39:$A$45,0))</f>
        <v>S</v>
      </c>
      <c r="J108" s="22" t="str">
        <f>INDEX(Cronograma!I$5:I$11,MATCH($B108,Premissas!$A$39:$A$45,0))</f>
        <v/>
      </c>
      <c r="K108" s="22" t="str">
        <f>INDEX(Cronograma!J$5:J$11,MATCH($B108,Premissas!$A$39:$A$45,0))</f>
        <v/>
      </c>
      <c r="L108" s="22" t="str">
        <f>INDEX(Cronograma!K$5:K$11,MATCH($B108,Premissas!$A$39:$A$45,0))</f>
        <v/>
      </c>
      <c r="M108" s="22" t="str">
        <f>INDEX(Cronograma!L$5:L$11,MATCH($B108,Premissas!$A$39:$A$45,0))</f>
        <v/>
      </c>
      <c r="N108" s="22" t="str">
        <f>INDEX(Cronograma!M$5:M$11,MATCH($B108,Premissas!$A$39:$A$45,0))</f>
        <v/>
      </c>
      <c r="O108" s="22" t="str">
        <f>INDEX(Cronograma!N$5:N$11,MATCH($B108,Premissas!$A$39:$A$45,0))</f>
        <v/>
      </c>
      <c r="P108" s="22" t="str">
        <f>INDEX(Cronograma!O$5:O$11,MATCH($B108,Premissas!$A$39:$A$45,0))</f>
        <v>A</v>
      </c>
      <c r="Q108" s="22" t="str">
        <f>INDEX(Cronograma!P$5:P$11,MATCH($B108,Premissas!$A$39:$A$45,0))</f>
        <v/>
      </c>
      <c r="R108" s="22" t="str">
        <f>INDEX(Cronograma!Q$5:Q$11,MATCH($B108,Premissas!$A$39:$A$45,0))</f>
        <v/>
      </c>
      <c r="S108" s="22" t="str">
        <f>INDEX(Cronograma!R$5:R$11,MATCH($B108,Premissas!$A$39:$A$45,0))</f>
        <v/>
      </c>
      <c r="T108" s="22" t="str">
        <f>INDEX(Cronograma!S$5:S$11,MATCH($B108,Premissas!$A$39:$A$45,0))</f>
        <v/>
      </c>
      <c r="U108" s="22" t="str">
        <f>INDEX(Cronograma!T$5:T$11,MATCH($B108,Premissas!$A$39:$A$45,0))</f>
        <v/>
      </c>
      <c r="V108" s="22" t="str">
        <f>INDEX(Cronograma!U$5:U$11,MATCH($B108,Premissas!$A$39:$A$45,0))</f>
        <v>S</v>
      </c>
      <c r="W108" s="22" t="str">
        <f>INDEX(Cronograma!V$5:V$11,MATCH($B108,Premissas!$A$39:$A$45,0))</f>
        <v/>
      </c>
      <c r="X108" s="22" t="str">
        <f>INDEX(Cronograma!W$5:W$11,MATCH($B108,Premissas!$A$39:$A$45,0))</f>
        <v/>
      </c>
      <c r="Y108" s="22" t="str">
        <f>INDEX(Cronograma!X$5:X$11,MATCH($B108,Premissas!$A$39:$A$45,0))</f>
        <v/>
      </c>
      <c r="Z108" s="22" t="str">
        <f>INDEX(Cronograma!Y$5:Y$11,MATCH($B108,Premissas!$A$39:$A$45,0))</f>
        <v/>
      </c>
      <c r="AA108" s="22" t="str">
        <f>INDEX(Cronograma!Z$5:Z$11,MATCH($B108,Premissas!$A$39:$A$45,0))</f>
        <v/>
      </c>
      <c r="AB108" s="22" t="str">
        <f>INDEX(Cronograma!AA$5:AA$11,MATCH($B108,Premissas!$A$39:$A$45,0))</f>
        <v/>
      </c>
      <c r="AC108" s="22" t="str">
        <f>INDEX(Cronograma!AB$5:AB$11,MATCH($B108,Premissas!$A$39:$A$45,0))</f>
        <v>B</v>
      </c>
      <c r="AD108" s="22" t="str">
        <f>INDEX(Cronograma!AC$5:AC$11,MATCH($B108,Premissas!$A$39:$A$45,0))</f>
        <v/>
      </c>
      <c r="AE108" s="22" t="str">
        <f>INDEX(Cronograma!AD$5:AD$11,MATCH($B108,Premissas!$A$39:$A$45,0))</f>
        <v/>
      </c>
      <c r="AF108" s="22" t="str">
        <f>INDEX(Cronograma!AE$5:AE$11,MATCH($B108,Premissas!$A$39:$A$45,0))</f>
        <v/>
      </c>
      <c r="AG108" s="22" t="str">
        <f>INDEX(Cronograma!AF$5:AF$11,MATCH($B108,Premissas!$A$39:$A$45,0))</f>
        <v/>
      </c>
      <c r="AH108" s="22" t="str">
        <f>INDEX(Cronograma!AG$5:AG$11,MATCH($B108,Premissas!$A$39:$A$45,0))</f>
        <v/>
      </c>
      <c r="AI108" s="22" t="str">
        <f>INDEX(Cronograma!AH$5:AH$11,MATCH($B108,Premissas!$A$39:$A$45,0))</f>
        <v/>
      </c>
      <c r="AJ108" s="22" t="str">
        <f>INDEX(Cronograma!AI$5:AI$11,MATCH($B108,Premissas!$A$39:$A$45,0))</f>
        <v/>
      </c>
      <c r="AK108" s="22" t="str">
        <f>INDEX(Cronograma!AJ$5:AJ$11,MATCH($B108,Premissas!$A$39:$A$45,0))</f>
        <v/>
      </c>
      <c r="AL108" s="22" t="str">
        <f>INDEX(Cronograma!AK$5:AK$11,MATCH($B108,Premissas!$A$39:$A$45,0))</f>
        <v/>
      </c>
      <c r="AM108" s="22" t="str">
        <f>INDEX(Cronograma!AL$5:AL$11,MATCH($B108,Premissas!$A$39:$A$45,0))</f>
        <v/>
      </c>
      <c r="AN108" s="22" t="str">
        <f>INDEX(Cronograma!AM$5:AM$11,MATCH($B108,Premissas!$A$39:$A$45,0))</f>
        <v/>
      </c>
      <c r="AO108" s="22" t="str">
        <f>INDEX(Cronograma!AN$5:AN$11,MATCH($B108,Premissas!$A$39:$A$45,0))</f>
        <v/>
      </c>
      <c r="AP108" s="22" t="str">
        <f>INDEX(Cronograma!AO$5:AO$11,MATCH($B108,Premissas!$A$39:$A$45,0))</f>
        <v>S</v>
      </c>
      <c r="AQ108" s="22" t="str">
        <f>INDEX(Cronograma!AP$5:AP$11,MATCH($B108,Premissas!$A$39:$A$45,0))</f>
        <v/>
      </c>
      <c r="AR108" s="22" t="str">
        <f>INDEX(Cronograma!AQ$5:AQ$11,MATCH($B108,Premissas!$A$39:$A$45,0))</f>
        <v/>
      </c>
      <c r="AS108" s="22" t="str">
        <f>INDEX(Cronograma!AR$5:AR$11,MATCH($B108,Premissas!$A$39:$A$45,0))</f>
        <v/>
      </c>
      <c r="AT108" s="22" t="str">
        <f>INDEX(Cronograma!AS$5:AS$11,MATCH($B108,Premissas!$A$39:$A$45,0))</f>
        <v/>
      </c>
      <c r="AU108" s="22" t="str">
        <f>INDEX(Cronograma!AT$5:AT$11,MATCH($B108,Premissas!$A$39:$A$45,0))</f>
        <v/>
      </c>
      <c r="AV108" s="22" t="str">
        <f>INDEX(Cronograma!AU$5:AU$11,MATCH($B108,Premissas!$A$39:$A$45,0))</f>
        <v/>
      </c>
      <c r="AW108" s="22" t="str">
        <f>INDEX(Cronograma!AV$5:AV$11,MATCH($B108,Premissas!$A$39:$A$45,0))</f>
        <v/>
      </c>
      <c r="AX108" s="22" t="str">
        <f>INDEX(Cronograma!AW$5:AW$11,MATCH($B108,Premissas!$A$39:$A$45,0))</f>
        <v/>
      </c>
      <c r="AY108" s="22" t="str">
        <f>INDEX(Cronograma!AX$5:AX$11,MATCH($B108,Premissas!$A$39:$A$45,0))</f>
        <v/>
      </c>
      <c r="AZ108" s="22" t="str">
        <f>INDEX(Cronograma!AY$5:AY$11,MATCH($B108,Premissas!$A$39:$A$45,0))</f>
        <v/>
      </c>
      <c r="BA108" s="22" t="str">
        <f>INDEX(Cronograma!AZ$5:AZ$11,MATCH($B108,Premissas!$A$39:$A$45,0))</f>
        <v/>
      </c>
      <c r="BB108" s="22" t="str">
        <f>INDEX(Cronograma!BA$5:BA$11,MATCH($B108,Premissas!$A$39:$A$45,0))</f>
        <v/>
      </c>
    </row>
    <row r="109" spans="1:54" ht="15" customHeight="1" x14ac:dyDescent="0.4">
      <c r="A109" s="15" t="str">
        <f>Frota!$B109&amp;" — "&amp;Frota!$A109</f>
        <v>MB 3351 Arocs 6x4 — 101210</v>
      </c>
      <c r="B109" s="16" t="str">
        <f>Frota!$C109</f>
        <v>Caminhão</v>
      </c>
      <c r="C109" s="22" t="str">
        <f>INDEX(Cronograma!B$5:B$11,MATCH($B109,Premissas!$A$39:$A$45,0))</f>
        <v/>
      </c>
      <c r="D109" s="22" t="str">
        <f>INDEX(Cronograma!C$5:C$11,MATCH($B109,Premissas!$A$39:$A$45,0))</f>
        <v/>
      </c>
      <c r="E109" s="22" t="str">
        <f>INDEX(Cronograma!D$5:D$11,MATCH($B109,Premissas!$A$39:$A$45,0))</f>
        <v/>
      </c>
      <c r="F109" s="22" t="str">
        <f>INDEX(Cronograma!E$5:E$11,MATCH($B109,Premissas!$A$39:$A$45,0))</f>
        <v/>
      </c>
      <c r="G109" s="22" t="str">
        <f>INDEX(Cronograma!F$5:F$11,MATCH($B109,Premissas!$A$39:$A$45,0))</f>
        <v/>
      </c>
      <c r="H109" s="22" t="str">
        <f>INDEX(Cronograma!G$5:G$11,MATCH($B109,Premissas!$A$39:$A$45,0))</f>
        <v/>
      </c>
      <c r="I109" s="22" t="str">
        <f>INDEX(Cronograma!H$5:H$11,MATCH($B109,Premissas!$A$39:$A$45,0))</f>
        <v>S</v>
      </c>
      <c r="J109" s="22" t="str">
        <f>INDEX(Cronograma!I$5:I$11,MATCH($B109,Premissas!$A$39:$A$45,0))</f>
        <v/>
      </c>
      <c r="K109" s="22" t="str">
        <f>INDEX(Cronograma!J$5:J$11,MATCH($B109,Premissas!$A$39:$A$45,0))</f>
        <v/>
      </c>
      <c r="L109" s="22" t="str">
        <f>INDEX(Cronograma!K$5:K$11,MATCH($B109,Premissas!$A$39:$A$45,0))</f>
        <v/>
      </c>
      <c r="M109" s="22" t="str">
        <f>INDEX(Cronograma!L$5:L$11,MATCH($B109,Premissas!$A$39:$A$45,0))</f>
        <v/>
      </c>
      <c r="N109" s="22" t="str">
        <f>INDEX(Cronograma!M$5:M$11,MATCH($B109,Premissas!$A$39:$A$45,0))</f>
        <v/>
      </c>
      <c r="O109" s="22" t="str">
        <f>INDEX(Cronograma!N$5:N$11,MATCH($B109,Premissas!$A$39:$A$45,0))</f>
        <v/>
      </c>
      <c r="P109" s="22" t="str">
        <f>INDEX(Cronograma!O$5:O$11,MATCH($B109,Premissas!$A$39:$A$45,0))</f>
        <v>A</v>
      </c>
      <c r="Q109" s="22" t="str">
        <f>INDEX(Cronograma!P$5:P$11,MATCH($B109,Premissas!$A$39:$A$45,0))</f>
        <v/>
      </c>
      <c r="R109" s="22" t="str">
        <f>INDEX(Cronograma!Q$5:Q$11,MATCH($B109,Premissas!$A$39:$A$45,0))</f>
        <v/>
      </c>
      <c r="S109" s="22" t="str">
        <f>INDEX(Cronograma!R$5:R$11,MATCH($B109,Premissas!$A$39:$A$45,0))</f>
        <v/>
      </c>
      <c r="T109" s="22" t="str">
        <f>INDEX(Cronograma!S$5:S$11,MATCH($B109,Premissas!$A$39:$A$45,0))</f>
        <v/>
      </c>
      <c r="U109" s="22" t="str">
        <f>INDEX(Cronograma!T$5:T$11,MATCH($B109,Premissas!$A$39:$A$45,0))</f>
        <v/>
      </c>
      <c r="V109" s="22" t="str">
        <f>INDEX(Cronograma!U$5:U$11,MATCH($B109,Premissas!$A$39:$A$45,0))</f>
        <v>S</v>
      </c>
      <c r="W109" s="22" t="str">
        <f>INDEX(Cronograma!V$5:V$11,MATCH($B109,Premissas!$A$39:$A$45,0))</f>
        <v/>
      </c>
      <c r="X109" s="22" t="str">
        <f>INDEX(Cronograma!W$5:W$11,MATCH($B109,Premissas!$A$39:$A$45,0))</f>
        <v/>
      </c>
      <c r="Y109" s="22" t="str">
        <f>INDEX(Cronograma!X$5:X$11,MATCH($B109,Premissas!$A$39:$A$45,0))</f>
        <v/>
      </c>
      <c r="Z109" s="22" t="str">
        <f>INDEX(Cronograma!Y$5:Y$11,MATCH($B109,Premissas!$A$39:$A$45,0))</f>
        <v/>
      </c>
      <c r="AA109" s="22" t="str">
        <f>INDEX(Cronograma!Z$5:Z$11,MATCH($B109,Premissas!$A$39:$A$45,0))</f>
        <v/>
      </c>
      <c r="AB109" s="22" t="str">
        <f>INDEX(Cronograma!AA$5:AA$11,MATCH($B109,Premissas!$A$39:$A$45,0))</f>
        <v/>
      </c>
      <c r="AC109" s="22" t="str">
        <f>INDEX(Cronograma!AB$5:AB$11,MATCH($B109,Premissas!$A$39:$A$45,0))</f>
        <v>B</v>
      </c>
      <c r="AD109" s="22" t="str">
        <f>INDEX(Cronograma!AC$5:AC$11,MATCH($B109,Premissas!$A$39:$A$45,0))</f>
        <v/>
      </c>
      <c r="AE109" s="22" t="str">
        <f>INDEX(Cronograma!AD$5:AD$11,MATCH($B109,Premissas!$A$39:$A$45,0))</f>
        <v/>
      </c>
      <c r="AF109" s="22" t="str">
        <f>INDEX(Cronograma!AE$5:AE$11,MATCH($B109,Premissas!$A$39:$A$45,0))</f>
        <v/>
      </c>
      <c r="AG109" s="22" t="str">
        <f>INDEX(Cronograma!AF$5:AF$11,MATCH($B109,Premissas!$A$39:$A$45,0))</f>
        <v/>
      </c>
      <c r="AH109" s="22" t="str">
        <f>INDEX(Cronograma!AG$5:AG$11,MATCH($B109,Premissas!$A$39:$A$45,0))</f>
        <v/>
      </c>
      <c r="AI109" s="22" t="str">
        <f>INDEX(Cronograma!AH$5:AH$11,MATCH($B109,Premissas!$A$39:$A$45,0))</f>
        <v/>
      </c>
      <c r="AJ109" s="22" t="str">
        <f>INDEX(Cronograma!AI$5:AI$11,MATCH($B109,Premissas!$A$39:$A$45,0))</f>
        <v/>
      </c>
      <c r="AK109" s="22" t="str">
        <f>INDEX(Cronograma!AJ$5:AJ$11,MATCH($B109,Premissas!$A$39:$A$45,0))</f>
        <v/>
      </c>
      <c r="AL109" s="22" t="str">
        <f>INDEX(Cronograma!AK$5:AK$11,MATCH($B109,Premissas!$A$39:$A$45,0))</f>
        <v/>
      </c>
      <c r="AM109" s="22" t="str">
        <f>INDEX(Cronograma!AL$5:AL$11,MATCH($B109,Premissas!$A$39:$A$45,0))</f>
        <v/>
      </c>
      <c r="AN109" s="22" t="str">
        <f>INDEX(Cronograma!AM$5:AM$11,MATCH($B109,Premissas!$A$39:$A$45,0))</f>
        <v/>
      </c>
      <c r="AO109" s="22" t="str">
        <f>INDEX(Cronograma!AN$5:AN$11,MATCH($B109,Premissas!$A$39:$A$45,0))</f>
        <v/>
      </c>
      <c r="AP109" s="22" t="str">
        <f>INDEX(Cronograma!AO$5:AO$11,MATCH($B109,Premissas!$A$39:$A$45,0))</f>
        <v>S</v>
      </c>
      <c r="AQ109" s="22" t="str">
        <f>INDEX(Cronograma!AP$5:AP$11,MATCH($B109,Premissas!$A$39:$A$45,0))</f>
        <v/>
      </c>
      <c r="AR109" s="22" t="str">
        <f>INDEX(Cronograma!AQ$5:AQ$11,MATCH($B109,Premissas!$A$39:$A$45,0))</f>
        <v/>
      </c>
      <c r="AS109" s="22" t="str">
        <f>INDEX(Cronograma!AR$5:AR$11,MATCH($B109,Premissas!$A$39:$A$45,0))</f>
        <v/>
      </c>
      <c r="AT109" s="22" t="str">
        <f>INDEX(Cronograma!AS$5:AS$11,MATCH($B109,Premissas!$A$39:$A$45,0))</f>
        <v/>
      </c>
      <c r="AU109" s="22" t="str">
        <f>INDEX(Cronograma!AT$5:AT$11,MATCH($B109,Premissas!$A$39:$A$45,0))</f>
        <v/>
      </c>
      <c r="AV109" s="22" t="str">
        <f>INDEX(Cronograma!AU$5:AU$11,MATCH($B109,Premissas!$A$39:$A$45,0))</f>
        <v/>
      </c>
      <c r="AW109" s="22" t="str">
        <f>INDEX(Cronograma!AV$5:AV$11,MATCH($B109,Premissas!$A$39:$A$45,0))</f>
        <v/>
      </c>
      <c r="AX109" s="22" t="str">
        <f>INDEX(Cronograma!AW$5:AW$11,MATCH($B109,Premissas!$A$39:$A$45,0))</f>
        <v/>
      </c>
      <c r="AY109" s="22" t="str">
        <f>INDEX(Cronograma!AX$5:AX$11,MATCH($B109,Premissas!$A$39:$A$45,0))</f>
        <v/>
      </c>
      <c r="AZ109" s="22" t="str">
        <f>INDEX(Cronograma!AY$5:AY$11,MATCH($B109,Premissas!$A$39:$A$45,0))</f>
        <v/>
      </c>
      <c r="BA109" s="22" t="str">
        <f>INDEX(Cronograma!AZ$5:AZ$11,MATCH($B109,Premissas!$A$39:$A$45,0))</f>
        <v/>
      </c>
      <c r="BB109" s="22" t="str">
        <f>INDEX(Cronograma!BA$5:BA$11,MATCH($B109,Premissas!$A$39:$A$45,0))</f>
        <v/>
      </c>
    </row>
    <row r="110" spans="1:54" ht="15" customHeight="1" x14ac:dyDescent="0.4">
      <c r="A110" s="15" t="str">
        <f>Frota!$B110&amp;" — "&amp;Frota!$A110</f>
        <v>MB 3351 Arocs 6x4 — 101211</v>
      </c>
      <c r="B110" s="16" t="str">
        <f>Frota!$C110</f>
        <v>Caminhão</v>
      </c>
      <c r="C110" s="22" t="str">
        <f>INDEX(Cronograma!B$5:B$11,MATCH($B110,Premissas!$A$39:$A$45,0))</f>
        <v/>
      </c>
      <c r="D110" s="22" t="str">
        <f>INDEX(Cronograma!C$5:C$11,MATCH($B110,Premissas!$A$39:$A$45,0))</f>
        <v/>
      </c>
      <c r="E110" s="22" t="str">
        <f>INDEX(Cronograma!D$5:D$11,MATCH($B110,Premissas!$A$39:$A$45,0))</f>
        <v/>
      </c>
      <c r="F110" s="22" t="str">
        <f>INDEX(Cronograma!E$5:E$11,MATCH($B110,Premissas!$A$39:$A$45,0))</f>
        <v/>
      </c>
      <c r="G110" s="22" t="str">
        <f>INDEX(Cronograma!F$5:F$11,MATCH($B110,Premissas!$A$39:$A$45,0))</f>
        <v/>
      </c>
      <c r="H110" s="22" t="str">
        <f>INDEX(Cronograma!G$5:G$11,MATCH($B110,Premissas!$A$39:$A$45,0))</f>
        <v/>
      </c>
      <c r="I110" s="22" t="str">
        <f>INDEX(Cronograma!H$5:H$11,MATCH($B110,Premissas!$A$39:$A$45,0))</f>
        <v>S</v>
      </c>
      <c r="J110" s="22" t="str">
        <f>INDEX(Cronograma!I$5:I$11,MATCH($B110,Premissas!$A$39:$A$45,0))</f>
        <v/>
      </c>
      <c r="K110" s="22" t="str">
        <f>INDEX(Cronograma!J$5:J$11,MATCH($B110,Premissas!$A$39:$A$45,0))</f>
        <v/>
      </c>
      <c r="L110" s="22" t="str">
        <f>INDEX(Cronograma!K$5:K$11,MATCH($B110,Premissas!$A$39:$A$45,0))</f>
        <v/>
      </c>
      <c r="M110" s="22" t="str">
        <f>INDEX(Cronograma!L$5:L$11,MATCH($B110,Premissas!$A$39:$A$45,0))</f>
        <v/>
      </c>
      <c r="N110" s="22" t="str">
        <f>INDEX(Cronograma!M$5:M$11,MATCH($B110,Premissas!$A$39:$A$45,0))</f>
        <v/>
      </c>
      <c r="O110" s="22" t="str">
        <f>INDEX(Cronograma!N$5:N$11,MATCH($B110,Premissas!$A$39:$A$45,0))</f>
        <v/>
      </c>
      <c r="P110" s="22" t="str">
        <f>INDEX(Cronograma!O$5:O$11,MATCH($B110,Premissas!$A$39:$A$45,0))</f>
        <v>A</v>
      </c>
      <c r="Q110" s="22" t="str">
        <f>INDEX(Cronograma!P$5:P$11,MATCH($B110,Premissas!$A$39:$A$45,0))</f>
        <v/>
      </c>
      <c r="R110" s="22" t="str">
        <f>INDEX(Cronograma!Q$5:Q$11,MATCH($B110,Premissas!$A$39:$A$45,0))</f>
        <v/>
      </c>
      <c r="S110" s="22" t="str">
        <f>INDEX(Cronograma!R$5:R$11,MATCH($B110,Premissas!$A$39:$A$45,0))</f>
        <v/>
      </c>
      <c r="T110" s="22" t="str">
        <f>INDEX(Cronograma!S$5:S$11,MATCH($B110,Premissas!$A$39:$A$45,0))</f>
        <v/>
      </c>
      <c r="U110" s="22" t="str">
        <f>INDEX(Cronograma!T$5:T$11,MATCH($B110,Premissas!$A$39:$A$45,0))</f>
        <v/>
      </c>
      <c r="V110" s="22" t="str">
        <f>INDEX(Cronograma!U$5:U$11,MATCH($B110,Premissas!$A$39:$A$45,0))</f>
        <v>S</v>
      </c>
      <c r="W110" s="22" t="str">
        <f>INDEX(Cronograma!V$5:V$11,MATCH($B110,Premissas!$A$39:$A$45,0))</f>
        <v/>
      </c>
      <c r="X110" s="22" t="str">
        <f>INDEX(Cronograma!W$5:W$11,MATCH($B110,Premissas!$A$39:$A$45,0))</f>
        <v/>
      </c>
      <c r="Y110" s="22" t="str">
        <f>INDEX(Cronograma!X$5:X$11,MATCH($B110,Premissas!$A$39:$A$45,0))</f>
        <v/>
      </c>
      <c r="Z110" s="22" t="str">
        <f>INDEX(Cronograma!Y$5:Y$11,MATCH($B110,Premissas!$A$39:$A$45,0))</f>
        <v/>
      </c>
      <c r="AA110" s="22" t="str">
        <f>INDEX(Cronograma!Z$5:Z$11,MATCH($B110,Premissas!$A$39:$A$45,0))</f>
        <v/>
      </c>
      <c r="AB110" s="22" t="str">
        <f>INDEX(Cronograma!AA$5:AA$11,MATCH($B110,Premissas!$A$39:$A$45,0))</f>
        <v/>
      </c>
      <c r="AC110" s="22" t="str">
        <f>INDEX(Cronograma!AB$5:AB$11,MATCH($B110,Premissas!$A$39:$A$45,0))</f>
        <v>B</v>
      </c>
      <c r="AD110" s="22" t="str">
        <f>INDEX(Cronograma!AC$5:AC$11,MATCH($B110,Premissas!$A$39:$A$45,0))</f>
        <v/>
      </c>
      <c r="AE110" s="22" t="str">
        <f>INDEX(Cronograma!AD$5:AD$11,MATCH($B110,Premissas!$A$39:$A$45,0))</f>
        <v/>
      </c>
      <c r="AF110" s="22" t="str">
        <f>INDEX(Cronograma!AE$5:AE$11,MATCH($B110,Premissas!$A$39:$A$45,0))</f>
        <v/>
      </c>
      <c r="AG110" s="22" t="str">
        <f>INDEX(Cronograma!AF$5:AF$11,MATCH($B110,Premissas!$A$39:$A$45,0))</f>
        <v/>
      </c>
      <c r="AH110" s="22" t="str">
        <f>INDEX(Cronograma!AG$5:AG$11,MATCH($B110,Premissas!$A$39:$A$45,0))</f>
        <v/>
      </c>
      <c r="AI110" s="22" t="str">
        <f>INDEX(Cronograma!AH$5:AH$11,MATCH($B110,Premissas!$A$39:$A$45,0))</f>
        <v/>
      </c>
      <c r="AJ110" s="22" t="str">
        <f>INDEX(Cronograma!AI$5:AI$11,MATCH($B110,Premissas!$A$39:$A$45,0))</f>
        <v/>
      </c>
      <c r="AK110" s="22" t="str">
        <f>INDEX(Cronograma!AJ$5:AJ$11,MATCH($B110,Premissas!$A$39:$A$45,0))</f>
        <v/>
      </c>
      <c r="AL110" s="22" t="str">
        <f>INDEX(Cronograma!AK$5:AK$11,MATCH($B110,Premissas!$A$39:$A$45,0))</f>
        <v/>
      </c>
      <c r="AM110" s="22" t="str">
        <f>INDEX(Cronograma!AL$5:AL$11,MATCH($B110,Premissas!$A$39:$A$45,0))</f>
        <v/>
      </c>
      <c r="AN110" s="22" t="str">
        <f>INDEX(Cronograma!AM$5:AM$11,MATCH($B110,Premissas!$A$39:$A$45,0))</f>
        <v/>
      </c>
      <c r="AO110" s="22" t="str">
        <f>INDEX(Cronograma!AN$5:AN$11,MATCH($B110,Premissas!$A$39:$A$45,0))</f>
        <v/>
      </c>
      <c r="AP110" s="22" t="str">
        <f>INDEX(Cronograma!AO$5:AO$11,MATCH($B110,Premissas!$A$39:$A$45,0))</f>
        <v>S</v>
      </c>
      <c r="AQ110" s="22" t="str">
        <f>INDEX(Cronograma!AP$5:AP$11,MATCH($B110,Premissas!$A$39:$A$45,0))</f>
        <v/>
      </c>
      <c r="AR110" s="22" t="str">
        <f>INDEX(Cronograma!AQ$5:AQ$11,MATCH($B110,Premissas!$A$39:$A$45,0))</f>
        <v/>
      </c>
      <c r="AS110" s="22" t="str">
        <f>INDEX(Cronograma!AR$5:AR$11,MATCH($B110,Premissas!$A$39:$A$45,0))</f>
        <v/>
      </c>
      <c r="AT110" s="22" t="str">
        <f>INDEX(Cronograma!AS$5:AS$11,MATCH($B110,Premissas!$A$39:$A$45,0))</f>
        <v/>
      </c>
      <c r="AU110" s="22" t="str">
        <f>INDEX(Cronograma!AT$5:AT$11,MATCH($B110,Premissas!$A$39:$A$45,0))</f>
        <v/>
      </c>
      <c r="AV110" s="22" t="str">
        <f>INDEX(Cronograma!AU$5:AU$11,MATCH($B110,Premissas!$A$39:$A$45,0))</f>
        <v/>
      </c>
      <c r="AW110" s="22" t="str">
        <f>INDEX(Cronograma!AV$5:AV$11,MATCH($B110,Premissas!$A$39:$A$45,0))</f>
        <v/>
      </c>
      <c r="AX110" s="22" t="str">
        <f>INDEX(Cronograma!AW$5:AW$11,MATCH($B110,Premissas!$A$39:$A$45,0))</f>
        <v/>
      </c>
      <c r="AY110" s="22" t="str">
        <f>INDEX(Cronograma!AX$5:AX$11,MATCH($B110,Premissas!$A$39:$A$45,0))</f>
        <v/>
      </c>
      <c r="AZ110" s="22" t="str">
        <f>INDEX(Cronograma!AY$5:AY$11,MATCH($B110,Premissas!$A$39:$A$45,0))</f>
        <v/>
      </c>
      <c r="BA110" s="22" t="str">
        <f>INDEX(Cronograma!AZ$5:AZ$11,MATCH($B110,Premissas!$A$39:$A$45,0))</f>
        <v/>
      </c>
      <c r="BB110" s="22" t="str">
        <f>INDEX(Cronograma!BA$5:BA$11,MATCH($B110,Premissas!$A$39:$A$45,0))</f>
        <v/>
      </c>
    </row>
    <row r="111" spans="1:54" ht="15" customHeight="1" x14ac:dyDescent="0.4">
      <c r="A111" s="15" t="str">
        <f>Frota!$B111&amp;" — "&amp;Frota!$A111</f>
        <v>MB 3351 Arocs 6x4 — 101212</v>
      </c>
      <c r="B111" s="16" t="str">
        <f>Frota!$C111</f>
        <v>Caminhão</v>
      </c>
      <c r="C111" s="22" t="str">
        <f>INDEX(Cronograma!B$5:B$11,MATCH($B111,Premissas!$A$39:$A$45,0))</f>
        <v/>
      </c>
      <c r="D111" s="22" t="str">
        <f>INDEX(Cronograma!C$5:C$11,MATCH($B111,Premissas!$A$39:$A$45,0))</f>
        <v/>
      </c>
      <c r="E111" s="22" t="str">
        <f>INDEX(Cronograma!D$5:D$11,MATCH($B111,Premissas!$A$39:$A$45,0))</f>
        <v/>
      </c>
      <c r="F111" s="22" t="str">
        <f>INDEX(Cronograma!E$5:E$11,MATCH($B111,Premissas!$A$39:$A$45,0))</f>
        <v/>
      </c>
      <c r="G111" s="22" t="str">
        <f>INDEX(Cronograma!F$5:F$11,MATCH($B111,Premissas!$A$39:$A$45,0))</f>
        <v/>
      </c>
      <c r="H111" s="22" t="str">
        <f>INDEX(Cronograma!G$5:G$11,MATCH($B111,Premissas!$A$39:$A$45,0))</f>
        <v/>
      </c>
      <c r="I111" s="22" t="str">
        <f>INDEX(Cronograma!H$5:H$11,MATCH($B111,Premissas!$A$39:$A$45,0))</f>
        <v>S</v>
      </c>
      <c r="J111" s="22" t="str">
        <f>INDEX(Cronograma!I$5:I$11,MATCH($B111,Premissas!$A$39:$A$45,0))</f>
        <v/>
      </c>
      <c r="K111" s="22" t="str">
        <f>INDEX(Cronograma!J$5:J$11,MATCH($B111,Premissas!$A$39:$A$45,0))</f>
        <v/>
      </c>
      <c r="L111" s="22" t="str">
        <f>INDEX(Cronograma!K$5:K$11,MATCH($B111,Premissas!$A$39:$A$45,0))</f>
        <v/>
      </c>
      <c r="M111" s="22" t="str">
        <f>INDEX(Cronograma!L$5:L$11,MATCH($B111,Premissas!$A$39:$A$45,0))</f>
        <v/>
      </c>
      <c r="N111" s="22" t="str">
        <f>INDEX(Cronograma!M$5:M$11,MATCH($B111,Premissas!$A$39:$A$45,0))</f>
        <v/>
      </c>
      <c r="O111" s="22" t="str">
        <f>INDEX(Cronograma!N$5:N$11,MATCH($B111,Premissas!$A$39:$A$45,0))</f>
        <v/>
      </c>
      <c r="P111" s="22" t="str">
        <f>INDEX(Cronograma!O$5:O$11,MATCH($B111,Premissas!$A$39:$A$45,0))</f>
        <v>A</v>
      </c>
      <c r="Q111" s="22" t="str">
        <f>INDEX(Cronograma!P$5:P$11,MATCH($B111,Premissas!$A$39:$A$45,0))</f>
        <v/>
      </c>
      <c r="R111" s="22" t="str">
        <f>INDEX(Cronograma!Q$5:Q$11,MATCH($B111,Premissas!$A$39:$A$45,0))</f>
        <v/>
      </c>
      <c r="S111" s="22" t="str">
        <f>INDEX(Cronograma!R$5:R$11,MATCH($B111,Premissas!$A$39:$A$45,0))</f>
        <v/>
      </c>
      <c r="T111" s="22" t="str">
        <f>INDEX(Cronograma!S$5:S$11,MATCH($B111,Premissas!$A$39:$A$45,0))</f>
        <v/>
      </c>
      <c r="U111" s="22" t="str">
        <f>INDEX(Cronograma!T$5:T$11,MATCH($B111,Premissas!$A$39:$A$45,0))</f>
        <v/>
      </c>
      <c r="V111" s="22" t="str">
        <f>INDEX(Cronograma!U$5:U$11,MATCH($B111,Premissas!$A$39:$A$45,0))</f>
        <v>S</v>
      </c>
      <c r="W111" s="22" t="str">
        <f>INDEX(Cronograma!V$5:V$11,MATCH($B111,Premissas!$A$39:$A$45,0))</f>
        <v/>
      </c>
      <c r="X111" s="22" t="str">
        <f>INDEX(Cronograma!W$5:W$11,MATCH($B111,Premissas!$A$39:$A$45,0))</f>
        <v/>
      </c>
      <c r="Y111" s="22" t="str">
        <f>INDEX(Cronograma!X$5:X$11,MATCH($B111,Premissas!$A$39:$A$45,0))</f>
        <v/>
      </c>
      <c r="Z111" s="22" t="str">
        <f>INDEX(Cronograma!Y$5:Y$11,MATCH($B111,Premissas!$A$39:$A$45,0))</f>
        <v/>
      </c>
      <c r="AA111" s="22" t="str">
        <f>INDEX(Cronograma!Z$5:Z$11,MATCH($B111,Premissas!$A$39:$A$45,0))</f>
        <v/>
      </c>
      <c r="AB111" s="22" t="str">
        <f>INDEX(Cronograma!AA$5:AA$11,MATCH($B111,Premissas!$A$39:$A$45,0))</f>
        <v/>
      </c>
      <c r="AC111" s="22" t="str">
        <f>INDEX(Cronograma!AB$5:AB$11,MATCH($B111,Premissas!$A$39:$A$45,0))</f>
        <v>B</v>
      </c>
      <c r="AD111" s="22" t="str">
        <f>INDEX(Cronograma!AC$5:AC$11,MATCH($B111,Premissas!$A$39:$A$45,0))</f>
        <v/>
      </c>
      <c r="AE111" s="22" t="str">
        <f>INDEX(Cronograma!AD$5:AD$11,MATCH($B111,Premissas!$A$39:$A$45,0))</f>
        <v/>
      </c>
      <c r="AF111" s="22" t="str">
        <f>INDEX(Cronograma!AE$5:AE$11,MATCH($B111,Premissas!$A$39:$A$45,0))</f>
        <v/>
      </c>
      <c r="AG111" s="22" t="str">
        <f>INDEX(Cronograma!AF$5:AF$11,MATCH($B111,Premissas!$A$39:$A$45,0))</f>
        <v/>
      </c>
      <c r="AH111" s="22" t="str">
        <f>INDEX(Cronograma!AG$5:AG$11,MATCH($B111,Premissas!$A$39:$A$45,0))</f>
        <v/>
      </c>
      <c r="AI111" s="22" t="str">
        <f>INDEX(Cronograma!AH$5:AH$11,MATCH($B111,Premissas!$A$39:$A$45,0))</f>
        <v/>
      </c>
      <c r="AJ111" s="22" t="str">
        <f>INDEX(Cronograma!AI$5:AI$11,MATCH($B111,Premissas!$A$39:$A$45,0))</f>
        <v/>
      </c>
      <c r="AK111" s="22" t="str">
        <f>INDEX(Cronograma!AJ$5:AJ$11,MATCH($B111,Premissas!$A$39:$A$45,0))</f>
        <v/>
      </c>
      <c r="AL111" s="22" t="str">
        <f>INDEX(Cronograma!AK$5:AK$11,MATCH($B111,Premissas!$A$39:$A$45,0))</f>
        <v/>
      </c>
      <c r="AM111" s="22" t="str">
        <f>INDEX(Cronograma!AL$5:AL$11,MATCH($B111,Premissas!$A$39:$A$45,0))</f>
        <v/>
      </c>
      <c r="AN111" s="22" t="str">
        <f>INDEX(Cronograma!AM$5:AM$11,MATCH($B111,Premissas!$A$39:$A$45,0))</f>
        <v/>
      </c>
      <c r="AO111" s="22" t="str">
        <f>INDEX(Cronograma!AN$5:AN$11,MATCH($B111,Premissas!$A$39:$A$45,0))</f>
        <v/>
      </c>
      <c r="AP111" s="22" t="str">
        <f>INDEX(Cronograma!AO$5:AO$11,MATCH($B111,Premissas!$A$39:$A$45,0))</f>
        <v>S</v>
      </c>
      <c r="AQ111" s="22" t="str">
        <f>INDEX(Cronograma!AP$5:AP$11,MATCH($B111,Premissas!$A$39:$A$45,0))</f>
        <v/>
      </c>
      <c r="AR111" s="22" t="str">
        <f>INDEX(Cronograma!AQ$5:AQ$11,MATCH($B111,Premissas!$A$39:$A$45,0))</f>
        <v/>
      </c>
      <c r="AS111" s="22" t="str">
        <f>INDEX(Cronograma!AR$5:AR$11,MATCH($B111,Premissas!$A$39:$A$45,0))</f>
        <v/>
      </c>
      <c r="AT111" s="22" t="str">
        <f>INDEX(Cronograma!AS$5:AS$11,MATCH($B111,Premissas!$A$39:$A$45,0))</f>
        <v/>
      </c>
      <c r="AU111" s="22" t="str">
        <f>INDEX(Cronograma!AT$5:AT$11,MATCH($B111,Premissas!$A$39:$A$45,0))</f>
        <v/>
      </c>
      <c r="AV111" s="22" t="str">
        <f>INDEX(Cronograma!AU$5:AU$11,MATCH($B111,Premissas!$A$39:$A$45,0))</f>
        <v/>
      </c>
      <c r="AW111" s="22" t="str">
        <f>INDEX(Cronograma!AV$5:AV$11,MATCH($B111,Premissas!$A$39:$A$45,0))</f>
        <v/>
      </c>
      <c r="AX111" s="22" t="str">
        <f>INDEX(Cronograma!AW$5:AW$11,MATCH($B111,Premissas!$A$39:$A$45,0))</f>
        <v/>
      </c>
      <c r="AY111" s="22" t="str">
        <f>INDEX(Cronograma!AX$5:AX$11,MATCH($B111,Premissas!$A$39:$A$45,0))</f>
        <v/>
      </c>
      <c r="AZ111" s="22" t="str">
        <f>INDEX(Cronograma!AY$5:AY$11,MATCH($B111,Premissas!$A$39:$A$45,0))</f>
        <v/>
      </c>
      <c r="BA111" s="22" t="str">
        <f>INDEX(Cronograma!AZ$5:AZ$11,MATCH($B111,Premissas!$A$39:$A$45,0))</f>
        <v/>
      </c>
      <c r="BB111" s="22" t="str">
        <f>INDEX(Cronograma!BA$5:BA$11,MATCH($B111,Premissas!$A$39:$A$45,0))</f>
        <v/>
      </c>
    </row>
    <row r="112" spans="1:54" ht="15" customHeight="1" x14ac:dyDescent="0.4">
      <c r="A112" s="15" t="str">
        <f>Frota!$B112&amp;" — "&amp;Frota!$A112</f>
        <v>MB 3351 Arocs 6x4 — 101213</v>
      </c>
      <c r="B112" s="16" t="str">
        <f>Frota!$C112</f>
        <v>Caminhão</v>
      </c>
      <c r="C112" s="22" t="str">
        <f>INDEX(Cronograma!B$5:B$11,MATCH($B112,Premissas!$A$39:$A$45,0))</f>
        <v/>
      </c>
      <c r="D112" s="22" t="str">
        <f>INDEX(Cronograma!C$5:C$11,MATCH($B112,Premissas!$A$39:$A$45,0))</f>
        <v/>
      </c>
      <c r="E112" s="22" t="str">
        <f>INDEX(Cronograma!D$5:D$11,MATCH($B112,Premissas!$A$39:$A$45,0))</f>
        <v/>
      </c>
      <c r="F112" s="22" t="str">
        <f>INDEX(Cronograma!E$5:E$11,MATCH($B112,Premissas!$A$39:$A$45,0))</f>
        <v/>
      </c>
      <c r="G112" s="22" t="str">
        <f>INDEX(Cronograma!F$5:F$11,MATCH($B112,Premissas!$A$39:$A$45,0))</f>
        <v/>
      </c>
      <c r="H112" s="22" t="str">
        <f>INDEX(Cronograma!G$5:G$11,MATCH($B112,Premissas!$A$39:$A$45,0))</f>
        <v/>
      </c>
      <c r="I112" s="22" t="str">
        <f>INDEX(Cronograma!H$5:H$11,MATCH($B112,Premissas!$A$39:$A$45,0))</f>
        <v>S</v>
      </c>
      <c r="J112" s="22" t="str">
        <f>INDEX(Cronograma!I$5:I$11,MATCH($B112,Premissas!$A$39:$A$45,0))</f>
        <v/>
      </c>
      <c r="K112" s="22" t="str">
        <f>INDEX(Cronograma!J$5:J$11,MATCH($B112,Premissas!$A$39:$A$45,0))</f>
        <v/>
      </c>
      <c r="L112" s="22" t="str">
        <f>INDEX(Cronograma!K$5:K$11,MATCH($B112,Premissas!$A$39:$A$45,0))</f>
        <v/>
      </c>
      <c r="M112" s="22" t="str">
        <f>INDEX(Cronograma!L$5:L$11,MATCH($B112,Premissas!$A$39:$A$45,0))</f>
        <v/>
      </c>
      <c r="N112" s="22" t="str">
        <f>INDEX(Cronograma!M$5:M$11,MATCH($B112,Premissas!$A$39:$A$45,0))</f>
        <v/>
      </c>
      <c r="O112" s="22" t="str">
        <f>INDEX(Cronograma!N$5:N$11,MATCH($B112,Premissas!$A$39:$A$45,0))</f>
        <v/>
      </c>
      <c r="P112" s="22" t="str">
        <f>INDEX(Cronograma!O$5:O$11,MATCH($B112,Premissas!$A$39:$A$45,0))</f>
        <v>A</v>
      </c>
      <c r="Q112" s="22" t="str">
        <f>INDEX(Cronograma!P$5:P$11,MATCH($B112,Premissas!$A$39:$A$45,0))</f>
        <v/>
      </c>
      <c r="R112" s="22" t="str">
        <f>INDEX(Cronograma!Q$5:Q$11,MATCH($B112,Premissas!$A$39:$A$45,0))</f>
        <v/>
      </c>
      <c r="S112" s="22" t="str">
        <f>INDEX(Cronograma!R$5:R$11,MATCH($B112,Premissas!$A$39:$A$45,0))</f>
        <v/>
      </c>
      <c r="T112" s="22" t="str">
        <f>INDEX(Cronograma!S$5:S$11,MATCH($B112,Premissas!$A$39:$A$45,0))</f>
        <v/>
      </c>
      <c r="U112" s="22" t="str">
        <f>INDEX(Cronograma!T$5:T$11,MATCH($B112,Premissas!$A$39:$A$45,0))</f>
        <v/>
      </c>
      <c r="V112" s="22" t="str">
        <f>INDEX(Cronograma!U$5:U$11,MATCH($B112,Premissas!$A$39:$A$45,0))</f>
        <v>S</v>
      </c>
      <c r="W112" s="22" t="str">
        <f>INDEX(Cronograma!V$5:V$11,MATCH($B112,Premissas!$A$39:$A$45,0))</f>
        <v/>
      </c>
      <c r="X112" s="22" t="str">
        <f>INDEX(Cronograma!W$5:W$11,MATCH($B112,Premissas!$A$39:$A$45,0))</f>
        <v/>
      </c>
      <c r="Y112" s="22" t="str">
        <f>INDEX(Cronograma!X$5:X$11,MATCH($B112,Premissas!$A$39:$A$45,0))</f>
        <v/>
      </c>
      <c r="Z112" s="22" t="str">
        <f>INDEX(Cronograma!Y$5:Y$11,MATCH($B112,Premissas!$A$39:$A$45,0))</f>
        <v/>
      </c>
      <c r="AA112" s="22" t="str">
        <f>INDEX(Cronograma!Z$5:Z$11,MATCH($B112,Premissas!$A$39:$A$45,0))</f>
        <v/>
      </c>
      <c r="AB112" s="22" t="str">
        <f>INDEX(Cronograma!AA$5:AA$11,MATCH($B112,Premissas!$A$39:$A$45,0))</f>
        <v/>
      </c>
      <c r="AC112" s="22" t="str">
        <f>INDEX(Cronograma!AB$5:AB$11,MATCH($B112,Premissas!$A$39:$A$45,0))</f>
        <v>B</v>
      </c>
      <c r="AD112" s="22" t="str">
        <f>INDEX(Cronograma!AC$5:AC$11,MATCH($B112,Premissas!$A$39:$A$45,0))</f>
        <v/>
      </c>
      <c r="AE112" s="22" t="str">
        <f>INDEX(Cronograma!AD$5:AD$11,MATCH($B112,Premissas!$A$39:$A$45,0))</f>
        <v/>
      </c>
      <c r="AF112" s="22" t="str">
        <f>INDEX(Cronograma!AE$5:AE$11,MATCH($B112,Premissas!$A$39:$A$45,0))</f>
        <v/>
      </c>
      <c r="AG112" s="22" t="str">
        <f>INDEX(Cronograma!AF$5:AF$11,MATCH($B112,Premissas!$A$39:$A$45,0))</f>
        <v/>
      </c>
      <c r="AH112" s="22" t="str">
        <f>INDEX(Cronograma!AG$5:AG$11,MATCH($B112,Premissas!$A$39:$A$45,0))</f>
        <v/>
      </c>
      <c r="AI112" s="22" t="str">
        <f>INDEX(Cronograma!AH$5:AH$11,MATCH($B112,Premissas!$A$39:$A$45,0))</f>
        <v/>
      </c>
      <c r="AJ112" s="22" t="str">
        <f>INDEX(Cronograma!AI$5:AI$11,MATCH($B112,Premissas!$A$39:$A$45,0))</f>
        <v/>
      </c>
      <c r="AK112" s="22" t="str">
        <f>INDEX(Cronograma!AJ$5:AJ$11,MATCH($B112,Premissas!$A$39:$A$45,0))</f>
        <v/>
      </c>
      <c r="AL112" s="22" t="str">
        <f>INDEX(Cronograma!AK$5:AK$11,MATCH($B112,Premissas!$A$39:$A$45,0))</f>
        <v/>
      </c>
      <c r="AM112" s="22" t="str">
        <f>INDEX(Cronograma!AL$5:AL$11,MATCH($B112,Premissas!$A$39:$A$45,0))</f>
        <v/>
      </c>
      <c r="AN112" s="22" t="str">
        <f>INDEX(Cronograma!AM$5:AM$11,MATCH($B112,Premissas!$A$39:$A$45,0))</f>
        <v/>
      </c>
      <c r="AO112" s="22" t="str">
        <f>INDEX(Cronograma!AN$5:AN$11,MATCH($B112,Premissas!$A$39:$A$45,0))</f>
        <v/>
      </c>
      <c r="AP112" s="22" t="str">
        <f>INDEX(Cronograma!AO$5:AO$11,MATCH($B112,Premissas!$A$39:$A$45,0))</f>
        <v>S</v>
      </c>
      <c r="AQ112" s="22" t="str">
        <f>INDEX(Cronograma!AP$5:AP$11,MATCH($B112,Premissas!$A$39:$A$45,0))</f>
        <v/>
      </c>
      <c r="AR112" s="22" t="str">
        <f>INDEX(Cronograma!AQ$5:AQ$11,MATCH($B112,Premissas!$A$39:$A$45,0))</f>
        <v/>
      </c>
      <c r="AS112" s="22" t="str">
        <f>INDEX(Cronograma!AR$5:AR$11,MATCH($B112,Premissas!$A$39:$A$45,0))</f>
        <v/>
      </c>
      <c r="AT112" s="22" t="str">
        <f>INDEX(Cronograma!AS$5:AS$11,MATCH($B112,Premissas!$A$39:$A$45,0))</f>
        <v/>
      </c>
      <c r="AU112" s="22" t="str">
        <f>INDEX(Cronograma!AT$5:AT$11,MATCH($B112,Premissas!$A$39:$A$45,0))</f>
        <v/>
      </c>
      <c r="AV112" s="22" t="str">
        <f>INDEX(Cronograma!AU$5:AU$11,MATCH($B112,Premissas!$A$39:$A$45,0))</f>
        <v/>
      </c>
      <c r="AW112" s="22" t="str">
        <f>INDEX(Cronograma!AV$5:AV$11,MATCH($B112,Premissas!$A$39:$A$45,0))</f>
        <v/>
      </c>
      <c r="AX112" s="22" t="str">
        <f>INDEX(Cronograma!AW$5:AW$11,MATCH($B112,Premissas!$A$39:$A$45,0))</f>
        <v/>
      </c>
      <c r="AY112" s="22" t="str">
        <f>INDEX(Cronograma!AX$5:AX$11,MATCH($B112,Premissas!$A$39:$A$45,0))</f>
        <v/>
      </c>
      <c r="AZ112" s="22" t="str">
        <f>INDEX(Cronograma!AY$5:AY$11,MATCH($B112,Premissas!$A$39:$A$45,0))</f>
        <v/>
      </c>
      <c r="BA112" s="22" t="str">
        <f>INDEX(Cronograma!AZ$5:AZ$11,MATCH($B112,Premissas!$A$39:$A$45,0))</f>
        <v/>
      </c>
      <c r="BB112" s="22" t="str">
        <f>INDEX(Cronograma!BA$5:BA$11,MATCH($B112,Premissas!$A$39:$A$45,0))</f>
        <v/>
      </c>
    </row>
    <row r="113" spans="1:54" ht="15" customHeight="1" x14ac:dyDescent="0.4">
      <c r="A113" s="15" t="str">
        <f>Frota!$B113&amp;" — "&amp;Frota!$A113</f>
        <v>MB 3351 Arocs 6x4 — 101214</v>
      </c>
      <c r="B113" s="16" t="str">
        <f>Frota!$C113</f>
        <v>Caminhão</v>
      </c>
      <c r="C113" s="22" t="str">
        <f>INDEX(Cronograma!B$5:B$11,MATCH($B113,Premissas!$A$39:$A$45,0))</f>
        <v/>
      </c>
      <c r="D113" s="22" t="str">
        <f>INDEX(Cronograma!C$5:C$11,MATCH($B113,Premissas!$A$39:$A$45,0))</f>
        <v/>
      </c>
      <c r="E113" s="22" t="str">
        <f>INDEX(Cronograma!D$5:D$11,MATCH($B113,Premissas!$A$39:$A$45,0))</f>
        <v/>
      </c>
      <c r="F113" s="22" t="str">
        <f>INDEX(Cronograma!E$5:E$11,MATCH($B113,Premissas!$A$39:$A$45,0))</f>
        <v/>
      </c>
      <c r="G113" s="22" t="str">
        <f>INDEX(Cronograma!F$5:F$11,MATCH($B113,Premissas!$A$39:$A$45,0))</f>
        <v/>
      </c>
      <c r="H113" s="22" t="str">
        <f>INDEX(Cronograma!G$5:G$11,MATCH($B113,Premissas!$A$39:$A$45,0))</f>
        <v/>
      </c>
      <c r="I113" s="22" t="str">
        <f>INDEX(Cronograma!H$5:H$11,MATCH($B113,Premissas!$A$39:$A$45,0))</f>
        <v>S</v>
      </c>
      <c r="J113" s="22" t="str">
        <f>INDEX(Cronograma!I$5:I$11,MATCH($B113,Premissas!$A$39:$A$45,0))</f>
        <v/>
      </c>
      <c r="K113" s="22" t="str">
        <f>INDEX(Cronograma!J$5:J$11,MATCH($B113,Premissas!$A$39:$A$45,0))</f>
        <v/>
      </c>
      <c r="L113" s="22" t="str">
        <f>INDEX(Cronograma!K$5:K$11,MATCH($B113,Premissas!$A$39:$A$45,0))</f>
        <v/>
      </c>
      <c r="M113" s="22" t="str">
        <f>INDEX(Cronograma!L$5:L$11,MATCH($B113,Premissas!$A$39:$A$45,0))</f>
        <v/>
      </c>
      <c r="N113" s="22" t="str">
        <f>INDEX(Cronograma!M$5:M$11,MATCH($B113,Premissas!$A$39:$A$45,0))</f>
        <v/>
      </c>
      <c r="O113" s="22" t="str">
        <f>INDEX(Cronograma!N$5:N$11,MATCH($B113,Premissas!$A$39:$A$45,0))</f>
        <v/>
      </c>
      <c r="P113" s="22" t="str">
        <f>INDEX(Cronograma!O$5:O$11,MATCH($B113,Premissas!$A$39:$A$45,0))</f>
        <v>A</v>
      </c>
      <c r="Q113" s="22" t="str">
        <f>INDEX(Cronograma!P$5:P$11,MATCH($B113,Premissas!$A$39:$A$45,0))</f>
        <v/>
      </c>
      <c r="R113" s="22" t="str">
        <f>INDEX(Cronograma!Q$5:Q$11,MATCH($B113,Premissas!$A$39:$A$45,0))</f>
        <v/>
      </c>
      <c r="S113" s="22" t="str">
        <f>INDEX(Cronograma!R$5:R$11,MATCH($B113,Premissas!$A$39:$A$45,0))</f>
        <v/>
      </c>
      <c r="T113" s="22" t="str">
        <f>INDEX(Cronograma!S$5:S$11,MATCH($B113,Premissas!$A$39:$A$45,0))</f>
        <v/>
      </c>
      <c r="U113" s="22" t="str">
        <f>INDEX(Cronograma!T$5:T$11,MATCH($B113,Premissas!$A$39:$A$45,0))</f>
        <v/>
      </c>
      <c r="V113" s="22" t="str">
        <f>INDEX(Cronograma!U$5:U$11,MATCH($B113,Premissas!$A$39:$A$45,0))</f>
        <v>S</v>
      </c>
      <c r="W113" s="22" t="str">
        <f>INDEX(Cronograma!V$5:V$11,MATCH($B113,Premissas!$A$39:$A$45,0))</f>
        <v/>
      </c>
      <c r="X113" s="22" t="str">
        <f>INDEX(Cronograma!W$5:W$11,MATCH($B113,Premissas!$A$39:$A$45,0))</f>
        <v/>
      </c>
      <c r="Y113" s="22" t="str">
        <f>INDEX(Cronograma!X$5:X$11,MATCH($B113,Premissas!$A$39:$A$45,0))</f>
        <v/>
      </c>
      <c r="Z113" s="22" t="str">
        <f>INDEX(Cronograma!Y$5:Y$11,MATCH($B113,Premissas!$A$39:$A$45,0))</f>
        <v/>
      </c>
      <c r="AA113" s="22" t="str">
        <f>INDEX(Cronograma!Z$5:Z$11,MATCH($B113,Premissas!$A$39:$A$45,0))</f>
        <v/>
      </c>
      <c r="AB113" s="22" t="str">
        <f>INDEX(Cronograma!AA$5:AA$11,MATCH($B113,Premissas!$A$39:$A$45,0))</f>
        <v/>
      </c>
      <c r="AC113" s="22" t="str">
        <f>INDEX(Cronograma!AB$5:AB$11,MATCH($B113,Premissas!$A$39:$A$45,0))</f>
        <v>B</v>
      </c>
      <c r="AD113" s="22" t="str">
        <f>INDEX(Cronograma!AC$5:AC$11,MATCH($B113,Premissas!$A$39:$A$45,0))</f>
        <v/>
      </c>
      <c r="AE113" s="22" t="str">
        <f>INDEX(Cronograma!AD$5:AD$11,MATCH($B113,Premissas!$A$39:$A$45,0))</f>
        <v/>
      </c>
      <c r="AF113" s="22" t="str">
        <f>INDEX(Cronograma!AE$5:AE$11,MATCH($B113,Premissas!$A$39:$A$45,0))</f>
        <v/>
      </c>
      <c r="AG113" s="22" t="str">
        <f>INDEX(Cronograma!AF$5:AF$11,MATCH($B113,Premissas!$A$39:$A$45,0))</f>
        <v/>
      </c>
      <c r="AH113" s="22" t="str">
        <f>INDEX(Cronograma!AG$5:AG$11,MATCH($B113,Premissas!$A$39:$A$45,0))</f>
        <v/>
      </c>
      <c r="AI113" s="22" t="str">
        <f>INDEX(Cronograma!AH$5:AH$11,MATCH($B113,Premissas!$A$39:$A$45,0))</f>
        <v/>
      </c>
      <c r="AJ113" s="22" t="str">
        <f>INDEX(Cronograma!AI$5:AI$11,MATCH($B113,Premissas!$A$39:$A$45,0))</f>
        <v/>
      </c>
      <c r="AK113" s="22" t="str">
        <f>INDEX(Cronograma!AJ$5:AJ$11,MATCH($B113,Premissas!$A$39:$A$45,0))</f>
        <v/>
      </c>
      <c r="AL113" s="22" t="str">
        <f>INDEX(Cronograma!AK$5:AK$11,MATCH($B113,Premissas!$A$39:$A$45,0))</f>
        <v/>
      </c>
      <c r="AM113" s="22" t="str">
        <f>INDEX(Cronograma!AL$5:AL$11,MATCH($B113,Premissas!$A$39:$A$45,0))</f>
        <v/>
      </c>
      <c r="AN113" s="22" t="str">
        <f>INDEX(Cronograma!AM$5:AM$11,MATCH($B113,Premissas!$A$39:$A$45,0))</f>
        <v/>
      </c>
      <c r="AO113" s="22" t="str">
        <f>INDEX(Cronograma!AN$5:AN$11,MATCH($B113,Premissas!$A$39:$A$45,0))</f>
        <v/>
      </c>
      <c r="AP113" s="22" t="str">
        <f>INDEX(Cronograma!AO$5:AO$11,MATCH($B113,Premissas!$A$39:$A$45,0))</f>
        <v>S</v>
      </c>
      <c r="AQ113" s="22" t="str">
        <f>INDEX(Cronograma!AP$5:AP$11,MATCH($B113,Premissas!$A$39:$A$45,0))</f>
        <v/>
      </c>
      <c r="AR113" s="22" t="str">
        <f>INDEX(Cronograma!AQ$5:AQ$11,MATCH($B113,Premissas!$A$39:$A$45,0))</f>
        <v/>
      </c>
      <c r="AS113" s="22" t="str">
        <f>INDEX(Cronograma!AR$5:AR$11,MATCH($B113,Premissas!$A$39:$A$45,0))</f>
        <v/>
      </c>
      <c r="AT113" s="22" t="str">
        <f>INDEX(Cronograma!AS$5:AS$11,MATCH($B113,Premissas!$A$39:$A$45,0))</f>
        <v/>
      </c>
      <c r="AU113" s="22" t="str">
        <f>INDEX(Cronograma!AT$5:AT$11,MATCH($B113,Premissas!$A$39:$A$45,0))</f>
        <v/>
      </c>
      <c r="AV113" s="22" t="str">
        <f>INDEX(Cronograma!AU$5:AU$11,MATCH($B113,Premissas!$A$39:$A$45,0))</f>
        <v/>
      </c>
      <c r="AW113" s="22" t="str">
        <f>INDEX(Cronograma!AV$5:AV$11,MATCH($B113,Premissas!$A$39:$A$45,0))</f>
        <v/>
      </c>
      <c r="AX113" s="22" t="str">
        <f>INDEX(Cronograma!AW$5:AW$11,MATCH($B113,Premissas!$A$39:$A$45,0))</f>
        <v/>
      </c>
      <c r="AY113" s="22" t="str">
        <f>INDEX(Cronograma!AX$5:AX$11,MATCH($B113,Premissas!$A$39:$A$45,0))</f>
        <v/>
      </c>
      <c r="AZ113" s="22" t="str">
        <f>INDEX(Cronograma!AY$5:AY$11,MATCH($B113,Premissas!$A$39:$A$45,0))</f>
        <v/>
      </c>
      <c r="BA113" s="22" t="str">
        <f>INDEX(Cronograma!AZ$5:AZ$11,MATCH($B113,Premissas!$A$39:$A$45,0))</f>
        <v/>
      </c>
      <c r="BB113" s="22" t="str">
        <f>INDEX(Cronograma!BA$5:BA$11,MATCH($B113,Premissas!$A$39:$A$45,0))</f>
        <v/>
      </c>
    </row>
    <row r="114" spans="1:54" ht="15" customHeight="1" x14ac:dyDescent="0.4">
      <c r="A114" s="15" t="str">
        <f>Frota!$B114&amp;" — "&amp;Frota!$A114</f>
        <v>MB 3351 Arocs 6x4 — 101215</v>
      </c>
      <c r="B114" s="16" t="str">
        <f>Frota!$C114</f>
        <v>Caminhão</v>
      </c>
      <c r="C114" s="22" t="str">
        <f>INDEX(Cronograma!B$5:B$11,MATCH($B114,Premissas!$A$39:$A$45,0))</f>
        <v/>
      </c>
      <c r="D114" s="22" t="str">
        <f>INDEX(Cronograma!C$5:C$11,MATCH($B114,Premissas!$A$39:$A$45,0))</f>
        <v/>
      </c>
      <c r="E114" s="22" t="str">
        <f>INDEX(Cronograma!D$5:D$11,MATCH($B114,Premissas!$A$39:$A$45,0))</f>
        <v/>
      </c>
      <c r="F114" s="22" t="str">
        <f>INDEX(Cronograma!E$5:E$11,MATCH($B114,Premissas!$A$39:$A$45,0))</f>
        <v/>
      </c>
      <c r="G114" s="22" t="str">
        <f>INDEX(Cronograma!F$5:F$11,MATCH($B114,Premissas!$A$39:$A$45,0))</f>
        <v/>
      </c>
      <c r="H114" s="22" t="str">
        <f>INDEX(Cronograma!G$5:G$11,MATCH($B114,Premissas!$A$39:$A$45,0))</f>
        <v/>
      </c>
      <c r="I114" s="22" t="str">
        <f>INDEX(Cronograma!H$5:H$11,MATCH($B114,Premissas!$A$39:$A$45,0))</f>
        <v>S</v>
      </c>
      <c r="J114" s="22" t="str">
        <f>INDEX(Cronograma!I$5:I$11,MATCH($B114,Premissas!$A$39:$A$45,0))</f>
        <v/>
      </c>
      <c r="K114" s="22" t="str">
        <f>INDEX(Cronograma!J$5:J$11,MATCH($B114,Premissas!$A$39:$A$45,0))</f>
        <v/>
      </c>
      <c r="L114" s="22" t="str">
        <f>INDEX(Cronograma!K$5:K$11,MATCH($B114,Premissas!$A$39:$A$45,0))</f>
        <v/>
      </c>
      <c r="M114" s="22" t="str">
        <f>INDEX(Cronograma!L$5:L$11,MATCH($B114,Premissas!$A$39:$A$45,0))</f>
        <v/>
      </c>
      <c r="N114" s="22" t="str">
        <f>INDEX(Cronograma!M$5:M$11,MATCH($B114,Premissas!$A$39:$A$45,0))</f>
        <v/>
      </c>
      <c r="O114" s="22" t="str">
        <f>INDEX(Cronograma!N$5:N$11,MATCH($B114,Premissas!$A$39:$A$45,0))</f>
        <v/>
      </c>
      <c r="P114" s="22" t="str">
        <f>INDEX(Cronograma!O$5:O$11,MATCH($B114,Premissas!$A$39:$A$45,0))</f>
        <v>A</v>
      </c>
      <c r="Q114" s="22" t="str">
        <f>INDEX(Cronograma!P$5:P$11,MATCH($B114,Premissas!$A$39:$A$45,0))</f>
        <v/>
      </c>
      <c r="R114" s="22" t="str">
        <f>INDEX(Cronograma!Q$5:Q$11,MATCH($B114,Premissas!$A$39:$A$45,0))</f>
        <v/>
      </c>
      <c r="S114" s="22" t="str">
        <f>INDEX(Cronograma!R$5:R$11,MATCH($B114,Premissas!$A$39:$A$45,0))</f>
        <v/>
      </c>
      <c r="T114" s="22" t="str">
        <f>INDEX(Cronograma!S$5:S$11,MATCH($B114,Premissas!$A$39:$A$45,0))</f>
        <v/>
      </c>
      <c r="U114" s="22" t="str">
        <f>INDEX(Cronograma!T$5:T$11,MATCH($B114,Premissas!$A$39:$A$45,0))</f>
        <v/>
      </c>
      <c r="V114" s="22" t="str">
        <f>INDEX(Cronograma!U$5:U$11,MATCH($B114,Premissas!$A$39:$A$45,0))</f>
        <v>S</v>
      </c>
      <c r="W114" s="22" t="str">
        <f>INDEX(Cronograma!V$5:V$11,MATCH($B114,Premissas!$A$39:$A$45,0))</f>
        <v/>
      </c>
      <c r="X114" s="22" t="str">
        <f>INDEX(Cronograma!W$5:W$11,MATCH($B114,Premissas!$A$39:$A$45,0))</f>
        <v/>
      </c>
      <c r="Y114" s="22" t="str">
        <f>INDEX(Cronograma!X$5:X$11,MATCH($B114,Premissas!$A$39:$A$45,0))</f>
        <v/>
      </c>
      <c r="Z114" s="22" t="str">
        <f>INDEX(Cronograma!Y$5:Y$11,MATCH($B114,Premissas!$A$39:$A$45,0))</f>
        <v/>
      </c>
      <c r="AA114" s="22" t="str">
        <f>INDEX(Cronograma!Z$5:Z$11,MATCH($B114,Premissas!$A$39:$A$45,0))</f>
        <v/>
      </c>
      <c r="AB114" s="22" t="str">
        <f>INDEX(Cronograma!AA$5:AA$11,MATCH($B114,Premissas!$A$39:$A$45,0))</f>
        <v/>
      </c>
      <c r="AC114" s="22" t="str">
        <f>INDEX(Cronograma!AB$5:AB$11,MATCH($B114,Premissas!$A$39:$A$45,0))</f>
        <v>B</v>
      </c>
      <c r="AD114" s="22" t="str">
        <f>INDEX(Cronograma!AC$5:AC$11,MATCH($B114,Premissas!$A$39:$A$45,0))</f>
        <v/>
      </c>
      <c r="AE114" s="22" t="str">
        <f>INDEX(Cronograma!AD$5:AD$11,MATCH($B114,Premissas!$A$39:$A$45,0))</f>
        <v/>
      </c>
      <c r="AF114" s="22" t="str">
        <f>INDEX(Cronograma!AE$5:AE$11,MATCH($B114,Premissas!$A$39:$A$45,0))</f>
        <v/>
      </c>
      <c r="AG114" s="22" t="str">
        <f>INDEX(Cronograma!AF$5:AF$11,MATCH($B114,Premissas!$A$39:$A$45,0))</f>
        <v/>
      </c>
      <c r="AH114" s="22" t="str">
        <f>INDEX(Cronograma!AG$5:AG$11,MATCH($B114,Premissas!$A$39:$A$45,0))</f>
        <v/>
      </c>
      <c r="AI114" s="22" t="str">
        <f>INDEX(Cronograma!AH$5:AH$11,MATCH($B114,Premissas!$A$39:$A$45,0))</f>
        <v/>
      </c>
      <c r="AJ114" s="22" t="str">
        <f>INDEX(Cronograma!AI$5:AI$11,MATCH($B114,Premissas!$A$39:$A$45,0))</f>
        <v/>
      </c>
      <c r="AK114" s="22" t="str">
        <f>INDEX(Cronograma!AJ$5:AJ$11,MATCH($B114,Premissas!$A$39:$A$45,0))</f>
        <v/>
      </c>
      <c r="AL114" s="22" t="str">
        <f>INDEX(Cronograma!AK$5:AK$11,MATCH($B114,Premissas!$A$39:$A$45,0))</f>
        <v/>
      </c>
      <c r="AM114" s="22" t="str">
        <f>INDEX(Cronograma!AL$5:AL$11,MATCH($B114,Premissas!$A$39:$A$45,0))</f>
        <v/>
      </c>
      <c r="AN114" s="22" t="str">
        <f>INDEX(Cronograma!AM$5:AM$11,MATCH($B114,Premissas!$A$39:$A$45,0))</f>
        <v/>
      </c>
      <c r="AO114" s="22" t="str">
        <f>INDEX(Cronograma!AN$5:AN$11,MATCH($B114,Premissas!$A$39:$A$45,0))</f>
        <v/>
      </c>
      <c r="AP114" s="22" t="str">
        <f>INDEX(Cronograma!AO$5:AO$11,MATCH($B114,Premissas!$A$39:$A$45,0))</f>
        <v>S</v>
      </c>
      <c r="AQ114" s="22" t="str">
        <f>INDEX(Cronograma!AP$5:AP$11,MATCH($B114,Premissas!$A$39:$A$45,0))</f>
        <v/>
      </c>
      <c r="AR114" s="22" t="str">
        <f>INDEX(Cronograma!AQ$5:AQ$11,MATCH($B114,Premissas!$A$39:$A$45,0))</f>
        <v/>
      </c>
      <c r="AS114" s="22" t="str">
        <f>INDEX(Cronograma!AR$5:AR$11,MATCH($B114,Premissas!$A$39:$A$45,0))</f>
        <v/>
      </c>
      <c r="AT114" s="22" t="str">
        <f>INDEX(Cronograma!AS$5:AS$11,MATCH($B114,Premissas!$A$39:$A$45,0))</f>
        <v/>
      </c>
      <c r="AU114" s="22" t="str">
        <f>INDEX(Cronograma!AT$5:AT$11,MATCH($B114,Premissas!$A$39:$A$45,0))</f>
        <v/>
      </c>
      <c r="AV114" s="22" t="str">
        <f>INDEX(Cronograma!AU$5:AU$11,MATCH($B114,Premissas!$A$39:$A$45,0))</f>
        <v/>
      </c>
      <c r="AW114" s="22" t="str">
        <f>INDEX(Cronograma!AV$5:AV$11,MATCH($B114,Premissas!$A$39:$A$45,0))</f>
        <v/>
      </c>
      <c r="AX114" s="22" t="str">
        <f>INDEX(Cronograma!AW$5:AW$11,MATCH($B114,Premissas!$A$39:$A$45,0))</f>
        <v/>
      </c>
      <c r="AY114" s="22" t="str">
        <f>INDEX(Cronograma!AX$5:AX$11,MATCH($B114,Premissas!$A$39:$A$45,0))</f>
        <v/>
      </c>
      <c r="AZ114" s="22" t="str">
        <f>INDEX(Cronograma!AY$5:AY$11,MATCH($B114,Premissas!$A$39:$A$45,0))</f>
        <v/>
      </c>
      <c r="BA114" s="22" t="str">
        <f>INDEX(Cronograma!AZ$5:AZ$11,MATCH($B114,Premissas!$A$39:$A$45,0))</f>
        <v/>
      </c>
      <c r="BB114" s="22" t="str">
        <f>INDEX(Cronograma!BA$5:BA$11,MATCH($B114,Premissas!$A$39:$A$45,0))</f>
        <v/>
      </c>
    </row>
    <row r="115" spans="1:54" ht="15" customHeight="1" x14ac:dyDescent="0.4">
      <c r="A115" s="15" t="str">
        <f>Frota!$B115&amp;" — "&amp;Frota!$A115</f>
        <v>MB 1722 - Onibus — 102006</v>
      </c>
      <c r="B115" s="16" t="str">
        <f>Frota!$C115</f>
        <v>Caminhão</v>
      </c>
      <c r="C115" s="22" t="str">
        <f>INDEX(Cronograma!B$5:B$11,MATCH($B115,Premissas!$A$39:$A$45,0))</f>
        <v/>
      </c>
      <c r="D115" s="22" t="str">
        <f>INDEX(Cronograma!C$5:C$11,MATCH($B115,Premissas!$A$39:$A$45,0))</f>
        <v/>
      </c>
      <c r="E115" s="22" t="str">
        <f>INDEX(Cronograma!D$5:D$11,MATCH($B115,Premissas!$A$39:$A$45,0))</f>
        <v/>
      </c>
      <c r="F115" s="22" t="str">
        <f>INDEX(Cronograma!E$5:E$11,MATCH($B115,Premissas!$A$39:$A$45,0))</f>
        <v/>
      </c>
      <c r="G115" s="22" t="str">
        <f>INDEX(Cronograma!F$5:F$11,MATCH($B115,Premissas!$A$39:$A$45,0))</f>
        <v/>
      </c>
      <c r="H115" s="22" t="str">
        <f>INDEX(Cronograma!G$5:G$11,MATCH($B115,Premissas!$A$39:$A$45,0))</f>
        <v/>
      </c>
      <c r="I115" s="22" t="str">
        <f>INDEX(Cronograma!H$5:H$11,MATCH($B115,Premissas!$A$39:$A$45,0))</f>
        <v>S</v>
      </c>
      <c r="J115" s="22" t="str">
        <f>INDEX(Cronograma!I$5:I$11,MATCH($B115,Premissas!$A$39:$A$45,0))</f>
        <v/>
      </c>
      <c r="K115" s="22" t="str">
        <f>INDEX(Cronograma!J$5:J$11,MATCH($B115,Premissas!$A$39:$A$45,0))</f>
        <v/>
      </c>
      <c r="L115" s="22" t="str">
        <f>INDEX(Cronograma!K$5:K$11,MATCH($B115,Premissas!$A$39:$A$45,0))</f>
        <v/>
      </c>
      <c r="M115" s="22" t="str">
        <f>INDEX(Cronograma!L$5:L$11,MATCH($B115,Premissas!$A$39:$A$45,0))</f>
        <v/>
      </c>
      <c r="N115" s="22" t="str">
        <f>INDEX(Cronograma!M$5:M$11,MATCH($B115,Premissas!$A$39:$A$45,0))</f>
        <v/>
      </c>
      <c r="O115" s="22" t="str">
        <f>INDEX(Cronograma!N$5:N$11,MATCH($B115,Premissas!$A$39:$A$45,0))</f>
        <v/>
      </c>
      <c r="P115" s="22" t="str">
        <f>INDEX(Cronograma!O$5:O$11,MATCH($B115,Premissas!$A$39:$A$45,0))</f>
        <v>A</v>
      </c>
      <c r="Q115" s="22" t="str">
        <f>INDEX(Cronograma!P$5:P$11,MATCH($B115,Premissas!$A$39:$A$45,0))</f>
        <v/>
      </c>
      <c r="R115" s="22" t="str">
        <f>INDEX(Cronograma!Q$5:Q$11,MATCH($B115,Premissas!$A$39:$A$45,0))</f>
        <v/>
      </c>
      <c r="S115" s="22" t="str">
        <f>INDEX(Cronograma!R$5:R$11,MATCH($B115,Premissas!$A$39:$A$45,0))</f>
        <v/>
      </c>
      <c r="T115" s="22" t="str">
        <f>INDEX(Cronograma!S$5:S$11,MATCH($B115,Premissas!$A$39:$A$45,0))</f>
        <v/>
      </c>
      <c r="U115" s="22" t="str">
        <f>INDEX(Cronograma!T$5:T$11,MATCH($B115,Premissas!$A$39:$A$45,0))</f>
        <v/>
      </c>
      <c r="V115" s="22" t="str">
        <f>INDEX(Cronograma!U$5:U$11,MATCH($B115,Premissas!$A$39:$A$45,0))</f>
        <v>S</v>
      </c>
      <c r="W115" s="22" t="str">
        <f>INDEX(Cronograma!V$5:V$11,MATCH($B115,Premissas!$A$39:$A$45,0))</f>
        <v/>
      </c>
      <c r="X115" s="22" t="str">
        <f>INDEX(Cronograma!W$5:W$11,MATCH($B115,Premissas!$A$39:$A$45,0))</f>
        <v/>
      </c>
      <c r="Y115" s="22" t="str">
        <f>INDEX(Cronograma!X$5:X$11,MATCH($B115,Premissas!$A$39:$A$45,0))</f>
        <v/>
      </c>
      <c r="Z115" s="22" t="str">
        <f>INDEX(Cronograma!Y$5:Y$11,MATCH($B115,Premissas!$A$39:$A$45,0))</f>
        <v/>
      </c>
      <c r="AA115" s="22" t="str">
        <f>INDEX(Cronograma!Z$5:Z$11,MATCH($B115,Premissas!$A$39:$A$45,0))</f>
        <v/>
      </c>
      <c r="AB115" s="22" t="str">
        <f>INDEX(Cronograma!AA$5:AA$11,MATCH($B115,Premissas!$A$39:$A$45,0))</f>
        <v/>
      </c>
      <c r="AC115" s="22" t="str">
        <f>INDEX(Cronograma!AB$5:AB$11,MATCH($B115,Premissas!$A$39:$A$45,0))</f>
        <v>B</v>
      </c>
      <c r="AD115" s="22" t="str">
        <f>INDEX(Cronograma!AC$5:AC$11,MATCH($B115,Premissas!$A$39:$A$45,0))</f>
        <v/>
      </c>
      <c r="AE115" s="22" t="str">
        <f>INDEX(Cronograma!AD$5:AD$11,MATCH($B115,Premissas!$A$39:$A$45,0))</f>
        <v/>
      </c>
      <c r="AF115" s="22" t="str">
        <f>INDEX(Cronograma!AE$5:AE$11,MATCH($B115,Premissas!$A$39:$A$45,0))</f>
        <v/>
      </c>
      <c r="AG115" s="22" t="str">
        <f>INDEX(Cronograma!AF$5:AF$11,MATCH($B115,Premissas!$A$39:$A$45,0))</f>
        <v/>
      </c>
      <c r="AH115" s="22" t="str">
        <f>INDEX(Cronograma!AG$5:AG$11,MATCH($B115,Premissas!$A$39:$A$45,0))</f>
        <v/>
      </c>
      <c r="AI115" s="22" t="str">
        <f>INDEX(Cronograma!AH$5:AH$11,MATCH($B115,Premissas!$A$39:$A$45,0))</f>
        <v/>
      </c>
      <c r="AJ115" s="22" t="str">
        <f>INDEX(Cronograma!AI$5:AI$11,MATCH($B115,Premissas!$A$39:$A$45,0))</f>
        <v/>
      </c>
      <c r="AK115" s="22" t="str">
        <f>INDEX(Cronograma!AJ$5:AJ$11,MATCH($B115,Premissas!$A$39:$A$45,0))</f>
        <v/>
      </c>
      <c r="AL115" s="22" t="str">
        <f>INDEX(Cronograma!AK$5:AK$11,MATCH($B115,Premissas!$A$39:$A$45,0))</f>
        <v/>
      </c>
      <c r="AM115" s="22" t="str">
        <f>INDEX(Cronograma!AL$5:AL$11,MATCH($B115,Premissas!$A$39:$A$45,0))</f>
        <v/>
      </c>
      <c r="AN115" s="22" t="str">
        <f>INDEX(Cronograma!AM$5:AM$11,MATCH($B115,Premissas!$A$39:$A$45,0))</f>
        <v/>
      </c>
      <c r="AO115" s="22" t="str">
        <f>INDEX(Cronograma!AN$5:AN$11,MATCH($B115,Premissas!$A$39:$A$45,0))</f>
        <v/>
      </c>
      <c r="AP115" s="22" t="str">
        <f>INDEX(Cronograma!AO$5:AO$11,MATCH($B115,Premissas!$A$39:$A$45,0))</f>
        <v>S</v>
      </c>
      <c r="AQ115" s="22" t="str">
        <f>INDEX(Cronograma!AP$5:AP$11,MATCH($B115,Premissas!$A$39:$A$45,0))</f>
        <v/>
      </c>
      <c r="AR115" s="22" t="str">
        <f>INDEX(Cronograma!AQ$5:AQ$11,MATCH($B115,Premissas!$A$39:$A$45,0))</f>
        <v/>
      </c>
      <c r="AS115" s="22" t="str">
        <f>INDEX(Cronograma!AR$5:AR$11,MATCH($B115,Premissas!$A$39:$A$45,0))</f>
        <v/>
      </c>
      <c r="AT115" s="22" t="str">
        <f>INDEX(Cronograma!AS$5:AS$11,MATCH($B115,Premissas!$A$39:$A$45,0))</f>
        <v/>
      </c>
      <c r="AU115" s="22" t="str">
        <f>INDEX(Cronograma!AT$5:AT$11,MATCH($B115,Premissas!$A$39:$A$45,0))</f>
        <v/>
      </c>
      <c r="AV115" s="22" t="str">
        <f>INDEX(Cronograma!AU$5:AU$11,MATCH($B115,Premissas!$A$39:$A$45,0))</f>
        <v/>
      </c>
      <c r="AW115" s="22" t="str">
        <f>INDEX(Cronograma!AV$5:AV$11,MATCH($B115,Premissas!$A$39:$A$45,0))</f>
        <v/>
      </c>
      <c r="AX115" s="22" t="str">
        <f>INDEX(Cronograma!AW$5:AW$11,MATCH($B115,Premissas!$A$39:$A$45,0))</f>
        <v/>
      </c>
      <c r="AY115" s="22" t="str">
        <f>INDEX(Cronograma!AX$5:AX$11,MATCH($B115,Premissas!$A$39:$A$45,0))</f>
        <v/>
      </c>
      <c r="AZ115" s="22" t="str">
        <f>INDEX(Cronograma!AY$5:AY$11,MATCH($B115,Premissas!$A$39:$A$45,0))</f>
        <v/>
      </c>
      <c r="BA115" s="22" t="str">
        <f>INDEX(Cronograma!AZ$5:AZ$11,MATCH($B115,Premissas!$A$39:$A$45,0))</f>
        <v/>
      </c>
      <c r="BB115" s="22" t="str">
        <f>INDEX(Cronograma!BA$5:BA$11,MATCH($B115,Premissas!$A$39:$A$45,0))</f>
        <v/>
      </c>
    </row>
    <row r="116" spans="1:54" ht="15" customHeight="1" x14ac:dyDescent="0.4">
      <c r="A116" s="15" t="str">
        <f>Frota!$B116&amp;" — "&amp;Frota!$A116</f>
        <v>MB 1722 - Onibus — 102007</v>
      </c>
      <c r="B116" s="16" t="str">
        <f>Frota!$C116</f>
        <v>Caminhão</v>
      </c>
      <c r="C116" s="22" t="str">
        <f>INDEX(Cronograma!B$5:B$11,MATCH($B116,Premissas!$A$39:$A$45,0))</f>
        <v/>
      </c>
      <c r="D116" s="22" t="str">
        <f>INDEX(Cronograma!C$5:C$11,MATCH($B116,Premissas!$A$39:$A$45,0))</f>
        <v/>
      </c>
      <c r="E116" s="22" t="str">
        <f>INDEX(Cronograma!D$5:D$11,MATCH($B116,Premissas!$A$39:$A$45,0))</f>
        <v/>
      </c>
      <c r="F116" s="22" t="str">
        <f>INDEX(Cronograma!E$5:E$11,MATCH($B116,Premissas!$A$39:$A$45,0))</f>
        <v/>
      </c>
      <c r="G116" s="22" t="str">
        <f>INDEX(Cronograma!F$5:F$11,MATCH($B116,Premissas!$A$39:$A$45,0))</f>
        <v/>
      </c>
      <c r="H116" s="22" t="str">
        <f>INDEX(Cronograma!G$5:G$11,MATCH($B116,Premissas!$A$39:$A$45,0))</f>
        <v/>
      </c>
      <c r="I116" s="22" t="str">
        <f>INDEX(Cronograma!H$5:H$11,MATCH($B116,Premissas!$A$39:$A$45,0))</f>
        <v>S</v>
      </c>
      <c r="J116" s="22" t="str">
        <f>INDEX(Cronograma!I$5:I$11,MATCH($B116,Premissas!$A$39:$A$45,0))</f>
        <v/>
      </c>
      <c r="K116" s="22" t="str">
        <f>INDEX(Cronograma!J$5:J$11,MATCH($B116,Premissas!$A$39:$A$45,0))</f>
        <v/>
      </c>
      <c r="L116" s="22" t="str">
        <f>INDEX(Cronograma!K$5:K$11,MATCH($B116,Premissas!$A$39:$A$45,0))</f>
        <v/>
      </c>
      <c r="M116" s="22" t="str">
        <f>INDEX(Cronograma!L$5:L$11,MATCH($B116,Premissas!$A$39:$A$45,0))</f>
        <v/>
      </c>
      <c r="N116" s="22" t="str">
        <f>INDEX(Cronograma!M$5:M$11,MATCH($B116,Premissas!$A$39:$A$45,0))</f>
        <v/>
      </c>
      <c r="O116" s="22" t="str">
        <f>INDEX(Cronograma!N$5:N$11,MATCH($B116,Premissas!$A$39:$A$45,0))</f>
        <v/>
      </c>
      <c r="P116" s="22" t="str">
        <f>INDEX(Cronograma!O$5:O$11,MATCH($B116,Premissas!$A$39:$A$45,0))</f>
        <v>A</v>
      </c>
      <c r="Q116" s="22" t="str">
        <f>INDEX(Cronograma!P$5:P$11,MATCH($B116,Premissas!$A$39:$A$45,0))</f>
        <v/>
      </c>
      <c r="R116" s="22" t="str">
        <f>INDEX(Cronograma!Q$5:Q$11,MATCH($B116,Premissas!$A$39:$A$45,0))</f>
        <v/>
      </c>
      <c r="S116" s="22" t="str">
        <f>INDEX(Cronograma!R$5:R$11,MATCH($B116,Premissas!$A$39:$A$45,0))</f>
        <v/>
      </c>
      <c r="T116" s="22" t="str">
        <f>INDEX(Cronograma!S$5:S$11,MATCH($B116,Premissas!$A$39:$A$45,0))</f>
        <v/>
      </c>
      <c r="U116" s="22" t="str">
        <f>INDEX(Cronograma!T$5:T$11,MATCH($B116,Premissas!$A$39:$A$45,0))</f>
        <v/>
      </c>
      <c r="V116" s="22" t="str">
        <f>INDEX(Cronograma!U$5:U$11,MATCH($B116,Premissas!$A$39:$A$45,0))</f>
        <v>S</v>
      </c>
      <c r="W116" s="22" t="str">
        <f>INDEX(Cronograma!V$5:V$11,MATCH($B116,Premissas!$A$39:$A$45,0))</f>
        <v/>
      </c>
      <c r="X116" s="22" t="str">
        <f>INDEX(Cronograma!W$5:W$11,MATCH($B116,Premissas!$A$39:$A$45,0))</f>
        <v/>
      </c>
      <c r="Y116" s="22" t="str">
        <f>INDEX(Cronograma!X$5:X$11,MATCH($B116,Premissas!$A$39:$A$45,0))</f>
        <v/>
      </c>
      <c r="Z116" s="22" t="str">
        <f>INDEX(Cronograma!Y$5:Y$11,MATCH($B116,Premissas!$A$39:$A$45,0))</f>
        <v/>
      </c>
      <c r="AA116" s="22" t="str">
        <f>INDEX(Cronograma!Z$5:Z$11,MATCH($B116,Premissas!$A$39:$A$45,0))</f>
        <v/>
      </c>
      <c r="AB116" s="22" t="str">
        <f>INDEX(Cronograma!AA$5:AA$11,MATCH($B116,Premissas!$A$39:$A$45,0))</f>
        <v/>
      </c>
      <c r="AC116" s="22" t="str">
        <f>INDEX(Cronograma!AB$5:AB$11,MATCH($B116,Premissas!$A$39:$A$45,0))</f>
        <v>B</v>
      </c>
      <c r="AD116" s="22" t="str">
        <f>INDEX(Cronograma!AC$5:AC$11,MATCH($B116,Premissas!$A$39:$A$45,0))</f>
        <v/>
      </c>
      <c r="AE116" s="22" t="str">
        <f>INDEX(Cronograma!AD$5:AD$11,MATCH($B116,Premissas!$A$39:$A$45,0))</f>
        <v/>
      </c>
      <c r="AF116" s="22" t="str">
        <f>INDEX(Cronograma!AE$5:AE$11,MATCH($B116,Premissas!$A$39:$A$45,0))</f>
        <v/>
      </c>
      <c r="AG116" s="22" t="str">
        <f>INDEX(Cronograma!AF$5:AF$11,MATCH($B116,Premissas!$A$39:$A$45,0))</f>
        <v/>
      </c>
      <c r="AH116" s="22" t="str">
        <f>INDEX(Cronograma!AG$5:AG$11,MATCH($B116,Premissas!$A$39:$A$45,0))</f>
        <v/>
      </c>
      <c r="AI116" s="22" t="str">
        <f>INDEX(Cronograma!AH$5:AH$11,MATCH($B116,Premissas!$A$39:$A$45,0))</f>
        <v/>
      </c>
      <c r="AJ116" s="22" t="str">
        <f>INDEX(Cronograma!AI$5:AI$11,MATCH($B116,Premissas!$A$39:$A$45,0))</f>
        <v/>
      </c>
      <c r="AK116" s="22" t="str">
        <f>INDEX(Cronograma!AJ$5:AJ$11,MATCH($B116,Premissas!$A$39:$A$45,0))</f>
        <v/>
      </c>
      <c r="AL116" s="22" t="str">
        <f>INDEX(Cronograma!AK$5:AK$11,MATCH($B116,Premissas!$A$39:$A$45,0))</f>
        <v/>
      </c>
      <c r="AM116" s="22" t="str">
        <f>INDEX(Cronograma!AL$5:AL$11,MATCH($B116,Premissas!$A$39:$A$45,0))</f>
        <v/>
      </c>
      <c r="AN116" s="22" t="str">
        <f>INDEX(Cronograma!AM$5:AM$11,MATCH($B116,Premissas!$A$39:$A$45,0))</f>
        <v/>
      </c>
      <c r="AO116" s="22" t="str">
        <f>INDEX(Cronograma!AN$5:AN$11,MATCH($B116,Premissas!$A$39:$A$45,0))</f>
        <v/>
      </c>
      <c r="AP116" s="22" t="str">
        <f>INDEX(Cronograma!AO$5:AO$11,MATCH($B116,Premissas!$A$39:$A$45,0))</f>
        <v>S</v>
      </c>
      <c r="AQ116" s="22" t="str">
        <f>INDEX(Cronograma!AP$5:AP$11,MATCH($B116,Premissas!$A$39:$A$45,0))</f>
        <v/>
      </c>
      <c r="AR116" s="22" t="str">
        <f>INDEX(Cronograma!AQ$5:AQ$11,MATCH($B116,Premissas!$A$39:$A$45,0))</f>
        <v/>
      </c>
      <c r="AS116" s="22" t="str">
        <f>INDEX(Cronograma!AR$5:AR$11,MATCH($B116,Premissas!$A$39:$A$45,0))</f>
        <v/>
      </c>
      <c r="AT116" s="22" t="str">
        <f>INDEX(Cronograma!AS$5:AS$11,MATCH($B116,Premissas!$A$39:$A$45,0))</f>
        <v/>
      </c>
      <c r="AU116" s="22" t="str">
        <f>INDEX(Cronograma!AT$5:AT$11,MATCH($B116,Premissas!$A$39:$A$45,0))</f>
        <v/>
      </c>
      <c r="AV116" s="22" t="str">
        <f>INDEX(Cronograma!AU$5:AU$11,MATCH($B116,Premissas!$A$39:$A$45,0))</f>
        <v/>
      </c>
      <c r="AW116" s="22" t="str">
        <f>INDEX(Cronograma!AV$5:AV$11,MATCH($B116,Premissas!$A$39:$A$45,0))</f>
        <v/>
      </c>
      <c r="AX116" s="22" t="str">
        <f>INDEX(Cronograma!AW$5:AW$11,MATCH($B116,Premissas!$A$39:$A$45,0))</f>
        <v/>
      </c>
      <c r="AY116" s="22" t="str">
        <f>INDEX(Cronograma!AX$5:AX$11,MATCH($B116,Premissas!$A$39:$A$45,0))</f>
        <v/>
      </c>
      <c r="AZ116" s="22" t="str">
        <f>INDEX(Cronograma!AY$5:AY$11,MATCH($B116,Premissas!$A$39:$A$45,0))</f>
        <v/>
      </c>
      <c r="BA116" s="22" t="str">
        <f>INDEX(Cronograma!AZ$5:AZ$11,MATCH($B116,Premissas!$A$39:$A$45,0))</f>
        <v/>
      </c>
      <c r="BB116" s="22" t="str">
        <f>INDEX(Cronograma!BA$5:BA$11,MATCH($B116,Premissas!$A$39:$A$45,0))</f>
        <v/>
      </c>
    </row>
    <row r="117" spans="1:54" ht="15" customHeight="1" x14ac:dyDescent="0.4">
      <c r="A117" s="15" t="str">
        <f>Frota!$B117&amp;" — "&amp;Frota!$A117</f>
        <v>MB 1722 - Onibus — 102008</v>
      </c>
      <c r="B117" s="16" t="str">
        <f>Frota!$C117</f>
        <v>Caminhão</v>
      </c>
      <c r="C117" s="22" t="str">
        <f>INDEX(Cronograma!B$5:B$11,MATCH($B117,Premissas!$A$39:$A$45,0))</f>
        <v/>
      </c>
      <c r="D117" s="22" t="str">
        <f>INDEX(Cronograma!C$5:C$11,MATCH($B117,Premissas!$A$39:$A$45,0))</f>
        <v/>
      </c>
      <c r="E117" s="22" t="str">
        <f>INDEX(Cronograma!D$5:D$11,MATCH($B117,Premissas!$A$39:$A$45,0))</f>
        <v/>
      </c>
      <c r="F117" s="22" t="str">
        <f>INDEX(Cronograma!E$5:E$11,MATCH($B117,Premissas!$A$39:$A$45,0))</f>
        <v/>
      </c>
      <c r="G117" s="22" t="str">
        <f>INDEX(Cronograma!F$5:F$11,MATCH($B117,Premissas!$A$39:$A$45,0))</f>
        <v/>
      </c>
      <c r="H117" s="22" t="str">
        <f>INDEX(Cronograma!G$5:G$11,MATCH($B117,Premissas!$A$39:$A$45,0))</f>
        <v/>
      </c>
      <c r="I117" s="22" t="str">
        <f>INDEX(Cronograma!H$5:H$11,MATCH($B117,Premissas!$A$39:$A$45,0))</f>
        <v>S</v>
      </c>
      <c r="J117" s="22" t="str">
        <f>INDEX(Cronograma!I$5:I$11,MATCH($B117,Premissas!$A$39:$A$45,0))</f>
        <v/>
      </c>
      <c r="K117" s="22" t="str">
        <f>INDEX(Cronograma!J$5:J$11,MATCH($B117,Premissas!$A$39:$A$45,0))</f>
        <v/>
      </c>
      <c r="L117" s="22" t="str">
        <f>INDEX(Cronograma!K$5:K$11,MATCH($B117,Premissas!$A$39:$A$45,0))</f>
        <v/>
      </c>
      <c r="M117" s="22" t="str">
        <f>INDEX(Cronograma!L$5:L$11,MATCH($B117,Premissas!$A$39:$A$45,0))</f>
        <v/>
      </c>
      <c r="N117" s="22" t="str">
        <f>INDEX(Cronograma!M$5:M$11,MATCH($B117,Premissas!$A$39:$A$45,0))</f>
        <v/>
      </c>
      <c r="O117" s="22" t="str">
        <f>INDEX(Cronograma!N$5:N$11,MATCH($B117,Premissas!$A$39:$A$45,0))</f>
        <v/>
      </c>
      <c r="P117" s="22" t="str">
        <f>INDEX(Cronograma!O$5:O$11,MATCH($B117,Premissas!$A$39:$A$45,0))</f>
        <v>A</v>
      </c>
      <c r="Q117" s="22" t="str">
        <f>INDEX(Cronograma!P$5:P$11,MATCH($B117,Premissas!$A$39:$A$45,0))</f>
        <v/>
      </c>
      <c r="R117" s="22" t="str">
        <f>INDEX(Cronograma!Q$5:Q$11,MATCH($B117,Premissas!$A$39:$A$45,0))</f>
        <v/>
      </c>
      <c r="S117" s="22" t="str">
        <f>INDEX(Cronograma!R$5:R$11,MATCH($B117,Premissas!$A$39:$A$45,0))</f>
        <v/>
      </c>
      <c r="T117" s="22" t="str">
        <f>INDEX(Cronograma!S$5:S$11,MATCH($B117,Premissas!$A$39:$A$45,0))</f>
        <v/>
      </c>
      <c r="U117" s="22" t="str">
        <f>INDEX(Cronograma!T$5:T$11,MATCH($B117,Premissas!$A$39:$A$45,0))</f>
        <v/>
      </c>
      <c r="V117" s="22" t="str">
        <f>INDEX(Cronograma!U$5:U$11,MATCH($B117,Premissas!$A$39:$A$45,0))</f>
        <v>S</v>
      </c>
      <c r="W117" s="22" t="str">
        <f>INDEX(Cronograma!V$5:V$11,MATCH($B117,Premissas!$A$39:$A$45,0))</f>
        <v/>
      </c>
      <c r="X117" s="22" t="str">
        <f>INDEX(Cronograma!W$5:W$11,MATCH($B117,Premissas!$A$39:$A$45,0))</f>
        <v/>
      </c>
      <c r="Y117" s="22" t="str">
        <f>INDEX(Cronograma!X$5:X$11,MATCH($B117,Premissas!$A$39:$A$45,0))</f>
        <v/>
      </c>
      <c r="Z117" s="22" t="str">
        <f>INDEX(Cronograma!Y$5:Y$11,MATCH($B117,Premissas!$A$39:$A$45,0))</f>
        <v/>
      </c>
      <c r="AA117" s="22" t="str">
        <f>INDEX(Cronograma!Z$5:Z$11,MATCH($B117,Premissas!$A$39:$A$45,0))</f>
        <v/>
      </c>
      <c r="AB117" s="22" t="str">
        <f>INDEX(Cronograma!AA$5:AA$11,MATCH($B117,Premissas!$A$39:$A$45,0))</f>
        <v/>
      </c>
      <c r="AC117" s="22" t="str">
        <f>INDEX(Cronograma!AB$5:AB$11,MATCH($B117,Premissas!$A$39:$A$45,0))</f>
        <v>B</v>
      </c>
      <c r="AD117" s="22" t="str">
        <f>INDEX(Cronograma!AC$5:AC$11,MATCH($B117,Premissas!$A$39:$A$45,0))</f>
        <v/>
      </c>
      <c r="AE117" s="22" t="str">
        <f>INDEX(Cronograma!AD$5:AD$11,MATCH($B117,Premissas!$A$39:$A$45,0))</f>
        <v/>
      </c>
      <c r="AF117" s="22" t="str">
        <f>INDEX(Cronograma!AE$5:AE$11,MATCH($B117,Premissas!$A$39:$A$45,0))</f>
        <v/>
      </c>
      <c r="AG117" s="22" t="str">
        <f>INDEX(Cronograma!AF$5:AF$11,MATCH($B117,Premissas!$A$39:$A$45,0))</f>
        <v/>
      </c>
      <c r="AH117" s="22" t="str">
        <f>INDEX(Cronograma!AG$5:AG$11,MATCH($B117,Premissas!$A$39:$A$45,0))</f>
        <v/>
      </c>
      <c r="AI117" s="22" t="str">
        <f>INDEX(Cronograma!AH$5:AH$11,MATCH($B117,Premissas!$A$39:$A$45,0))</f>
        <v/>
      </c>
      <c r="AJ117" s="22" t="str">
        <f>INDEX(Cronograma!AI$5:AI$11,MATCH($B117,Premissas!$A$39:$A$45,0))</f>
        <v/>
      </c>
      <c r="AK117" s="22" t="str">
        <f>INDEX(Cronograma!AJ$5:AJ$11,MATCH($B117,Premissas!$A$39:$A$45,0))</f>
        <v/>
      </c>
      <c r="AL117" s="22" t="str">
        <f>INDEX(Cronograma!AK$5:AK$11,MATCH($B117,Premissas!$A$39:$A$45,0))</f>
        <v/>
      </c>
      <c r="AM117" s="22" t="str">
        <f>INDEX(Cronograma!AL$5:AL$11,MATCH($B117,Premissas!$A$39:$A$45,0))</f>
        <v/>
      </c>
      <c r="AN117" s="22" t="str">
        <f>INDEX(Cronograma!AM$5:AM$11,MATCH($B117,Premissas!$A$39:$A$45,0))</f>
        <v/>
      </c>
      <c r="AO117" s="22" t="str">
        <f>INDEX(Cronograma!AN$5:AN$11,MATCH($B117,Premissas!$A$39:$A$45,0))</f>
        <v/>
      </c>
      <c r="AP117" s="22" t="str">
        <f>INDEX(Cronograma!AO$5:AO$11,MATCH($B117,Premissas!$A$39:$A$45,0))</f>
        <v>S</v>
      </c>
      <c r="AQ117" s="22" t="str">
        <f>INDEX(Cronograma!AP$5:AP$11,MATCH($B117,Premissas!$A$39:$A$45,0))</f>
        <v/>
      </c>
      <c r="AR117" s="22" t="str">
        <f>INDEX(Cronograma!AQ$5:AQ$11,MATCH($B117,Premissas!$A$39:$A$45,0))</f>
        <v/>
      </c>
      <c r="AS117" s="22" t="str">
        <f>INDEX(Cronograma!AR$5:AR$11,MATCH($B117,Premissas!$A$39:$A$45,0))</f>
        <v/>
      </c>
      <c r="AT117" s="22" t="str">
        <f>INDEX(Cronograma!AS$5:AS$11,MATCH($B117,Premissas!$A$39:$A$45,0))</f>
        <v/>
      </c>
      <c r="AU117" s="22" t="str">
        <f>INDEX(Cronograma!AT$5:AT$11,MATCH($B117,Premissas!$A$39:$A$45,0))</f>
        <v/>
      </c>
      <c r="AV117" s="22" t="str">
        <f>INDEX(Cronograma!AU$5:AU$11,MATCH($B117,Premissas!$A$39:$A$45,0))</f>
        <v/>
      </c>
      <c r="AW117" s="22" t="str">
        <f>INDEX(Cronograma!AV$5:AV$11,MATCH($B117,Premissas!$A$39:$A$45,0))</f>
        <v/>
      </c>
      <c r="AX117" s="22" t="str">
        <f>INDEX(Cronograma!AW$5:AW$11,MATCH($B117,Premissas!$A$39:$A$45,0))</f>
        <v/>
      </c>
      <c r="AY117" s="22" t="str">
        <f>INDEX(Cronograma!AX$5:AX$11,MATCH($B117,Premissas!$A$39:$A$45,0))</f>
        <v/>
      </c>
      <c r="AZ117" s="22" t="str">
        <f>INDEX(Cronograma!AY$5:AY$11,MATCH($B117,Premissas!$A$39:$A$45,0))</f>
        <v/>
      </c>
      <c r="BA117" s="22" t="str">
        <f>INDEX(Cronograma!AZ$5:AZ$11,MATCH($B117,Premissas!$A$39:$A$45,0))</f>
        <v/>
      </c>
      <c r="BB117" s="22" t="str">
        <f>INDEX(Cronograma!BA$5:BA$11,MATCH($B117,Premissas!$A$39:$A$45,0))</f>
        <v/>
      </c>
    </row>
    <row r="118" spans="1:54" ht="15" customHeight="1" x14ac:dyDescent="0.4">
      <c r="A118" s="15" t="str">
        <f>Frota!$B118&amp;" — "&amp;Frota!$A118</f>
        <v>MB 1722 - Onibus — 102009</v>
      </c>
      <c r="B118" s="16" t="str">
        <f>Frota!$C118</f>
        <v>Caminhão</v>
      </c>
      <c r="C118" s="22" t="str">
        <f>INDEX(Cronograma!B$5:B$11,MATCH($B118,Premissas!$A$39:$A$45,0))</f>
        <v/>
      </c>
      <c r="D118" s="22" t="str">
        <f>INDEX(Cronograma!C$5:C$11,MATCH($B118,Premissas!$A$39:$A$45,0))</f>
        <v/>
      </c>
      <c r="E118" s="22" t="str">
        <f>INDEX(Cronograma!D$5:D$11,MATCH($B118,Premissas!$A$39:$A$45,0))</f>
        <v/>
      </c>
      <c r="F118" s="22" t="str">
        <f>INDEX(Cronograma!E$5:E$11,MATCH($B118,Premissas!$A$39:$A$45,0))</f>
        <v/>
      </c>
      <c r="G118" s="22" t="str">
        <f>INDEX(Cronograma!F$5:F$11,MATCH($B118,Premissas!$A$39:$A$45,0))</f>
        <v/>
      </c>
      <c r="H118" s="22" t="str">
        <f>INDEX(Cronograma!G$5:G$11,MATCH($B118,Premissas!$A$39:$A$45,0))</f>
        <v/>
      </c>
      <c r="I118" s="22" t="str">
        <f>INDEX(Cronograma!H$5:H$11,MATCH($B118,Premissas!$A$39:$A$45,0))</f>
        <v>S</v>
      </c>
      <c r="J118" s="22" t="str">
        <f>INDEX(Cronograma!I$5:I$11,MATCH($B118,Premissas!$A$39:$A$45,0))</f>
        <v/>
      </c>
      <c r="K118" s="22" t="str">
        <f>INDEX(Cronograma!J$5:J$11,MATCH($B118,Premissas!$A$39:$A$45,0))</f>
        <v/>
      </c>
      <c r="L118" s="22" t="str">
        <f>INDEX(Cronograma!K$5:K$11,MATCH($B118,Premissas!$A$39:$A$45,0))</f>
        <v/>
      </c>
      <c r="M118" s="22" t="str">
        <f>INDEX(Cronograma!L$5:L$11,MATCH($B118,Premissas!$A$39:$A$45,0))</f>
        <v/>
      </c>
      <c r="N118" s="22" t="str">
        <f>INDEX(Cronograma!M$5:M$11,MATCH($B118,Premissas!$A$39:$A$45,0))</f>
        <v/>
      </c>
      <c r="O118" s="22" t="str">
        <f>INDEX(Cronograma!N$5:N$11,MATCH($B118,Premissas!$A$39:$A$45,0))</f>
        <v/>
      </c>
      <c r="P118" s="22" t="str">
        <f>INDEX(Cronograma!O$5:O$11,MATCH($B118,Premissas!$A$39:$A$45,0))</f>
        <v>A</v>
      </c>
      <c r="Q118" s="22" t="str">
        <f>INDEX(Cronograma!P$5:P$11,MATCH($B118,Premissas!$A$39:$A$45,0))</f>
        <v/>
      </c>
      <c r="R118" s="22" t="str">
        <f>INDEX(Cronograma!Q$5:Q$11,MATCH($B118,Premissas!$A$39:$A$45,0))</f>
        <v/>
      </c>
      <c r="S118" s="22" t="str">
        <f>INDEX(Cronograma!R$5:R$11,MATCH($B118,Premissas!$A$39:$A$45,0))</f>
        <v/>
      </c>
      <c r="T118" s="22" t="str">
        <f>INDEX(Cronograma!S$5:S$11,MATCH($B118,Premissas!$A$39:$A$45,0))</f>
        <v/>
      </c>
      <c r="U118" s="22" t="str">
        <f>INDEX(Cronograma!T$5:T$11,MATCH($B118,Premissas!$A$39:$A$45,0))</f>
        <v/>
      </c>
      <c r="V118" s="22" t="str">
        <f>INDEX(Cronograma!U$5:U$11,MATCH($B118,Premissas!$A$39:$A$45,0))</f>
        <v>S</v>
      </c>
      <c r="W118" s="22" t="str">
        <f>INDEX(Cronograma!V$5:V$11,MATCH($B118,Premissas!$A$39:$A$45,0))</f>
        <v/>
      </c>
      <c r="X118" s="22" t="str">
        <f>INDEX(Cronograma!W$5:W$11,MATCH($B118,Premissas!$A$39:$A$45,0))</f>
        <v/>
      </c>
      <c r="Y118" s="22" t="str">
        <f>INDEX(Cronograma!X$5:X$11,MATCH($B118,Premissas!$A$39:$A$45,0))</f>
        <v/>
      </c>
      <c r="Z118" s="22" t="str">
        <f>INDEX(Cronograma!Y$5:Y$11,MATCH($B118,Premissas!$A$39:$A$45,0))</f>
        <v/>
      </c>
      <c r="AA118" s="22" t="str">
        <f>INDEX(Cronograma!Z$5:Z$11,MATCH($B118,Premissas!$A$39:$A$45,0))</f>
        <v/>
      </c>
      <c r="AB118" s="22" t="str">
        <f>INDEX(Cronograma!AA$5:AA$11,MATCH($B118,Premissas!$A$39:$A$45,0))</f>
        <v/>
      </c>
      <c r="AC118" s="22" t="str">
        <f>INDEX(Cronograma!AB$5:AB$11,MATCH($B118,Premissas!$A$39:$A$45,0))</f>
        <v>B</v>
      </c>
      <c r="AD118" s="22" t="str">
        <f>INDEX(Cronograma!AC$5:AC$11,MATCH($B118,Premissas!$A$39:$A$45,0))</f>
        <v/>
      </c>
      <c r="AE118" s="22" t="str">
        <f>INDEX(Cronograma!AD$5:AD$11,MATCH($B118,Premissas!$A$39:$A$45,0))</f>
        <v/>
      </c>
      <c r="AF118" s="22" t="str">
        <f>INDEX(Cronograma!AE$5:AE$11,MATCH($B118,Premissas!$A$39:$A$45,0))</f>
        <v/>
      </c>
      <c r="AG118" s="22" t="str">
        <f>INDEX(Cronograma!AF$5:AF$11,MATCH($B118,Premissas!$A$39:$A$45,0))</f>
        <v/>
      </c>
      <c r="AH118" s="22" t="str">
        <f>INDEX(Cronograma!AG$5:AG$11,MATCH($B118,Premissas!$A$39:$A$45,0))</f>
        <v/>
      </c>
      <c r="AI118" s="22" t="str">
        <f>INDEX(Cronograma!AH$5:AH$11,MATCH($B118,Premissas!$A$39:$A$45,0))</f>
        <v/>
      </c>
      <c r="AJ118" s="22" t="str">
        <f>INDEX(Cronograma!AI$5:AI$11,MATCH($B118,Premissas!$A$39:$A$45,0))</f>
        <v/>
      </c>
      <c r="AK118" s="22" t="str">
        <f>INDEX(Cronograma!AJ$5:AJ$11,MATCH($B118,Premissas!$A$39:$A$45,0))</f>
        <v/>
      </c>
      <c r="AL118" s="22" t="str">
        <f>INDEX(Cronograma!AK$5:AK$11,MATCH($B118,Premissas!$A$39:$A$45,0))</f>
        <v/>
      </c>
      <c r="AM118" s="22" t="str">
        <f>INDEX(Cronograma!AL$5:AL$11,MATCH($B118,Premissas!$A$39:$A$45,0))</f>
        <v/>
      </c>
      <c r="AN118" s="22" t="str">
        <f>INDEX(Cronograma!AM$5:AM$11,MATCH($B118,Premissas!$A$39:$A$45,0))</f>
        <v/>
      </c>
      <c r="AO118" s="22" t="str">
        <f>INDEX(Cronograma!AN$5:AN$11,MATCH($B118,Premissas!$A$39:$A$45,0))</f>
        <v/>
      </c>
      <c r="AP118" s="22" t="str">
        <f>INDEX(Cronograma!AO$5:AO$11,MATCH($B118,Premissas!$A$39:$A$45,0))</f>
        <v>S</v>
      </c>
      <c r="AQ118" s="22" t="str">
        <f>INDEX(Cronograma!AP$5:AP$11,MATCH($B118,Premissas!$A$39:$A$45,0))</f>
        <v/>
      </c>
      <c r="AR118" s="22" t="str">
        <f>INDEX(Cronograma!AQ$5:AQ$11,MATCH($B118,Premissas!$A$39:$A$45,0))</f>
        <v/>
      </c>
      <c r="AS118" s="22" t="str">
        <f>INDEX(Cronograma!AR$5:AR$11,MATCH($B118,Premissas!$A$39:$A$45,0))</f>
        <v/>
      </c>
      <c r="AT118" s="22" t="str">
        <f>INDEX(Cronograma!AS$5:AS$11,MATCH($B118,Premissas!$A$39:$A$45,0))</f>
        <v/>
      </c>
      <c r="AU118" s="22" t="str">
        <f>INDEX(Cronograma!AT$5:AT$11,MATCH($B118,Premissas!$A$39:$A$45,0))</f>
        <v/>
      </c>
      <c r="AV118" s="22" t="str">
        <f>INDEX(Cronograma!AU$5:AU$11,MATCH($B118,Premissas!$A$39:$A$45,0))</f>
        <v/>
      </c>
      <c r="AW118" s="22" t="str">
        <f>INDEX(Cronograma!AV$5:AV$11,MATCH($B118,Premissas!$A$39:$A$45,0))</f>
        <v/>
      </c>
      <c r="AX118" s="22" t="str">
        <f>INDEX(Cronograma!AW$5:AW$11,MATCH($B118,Premissas!$A$39:$A$45,0))</f>
        <v/>
      </c>
      <c r="AY118" s="22" t="str">
        <f>INDEX(Cronograma!AX$5:AX$11,MATCH($B118,Premissas!$A$39:$A$45,0))</f>
        <v/>
      </c>
      <c r="AZ118" s="22" t="str">
        <f>INDEX(Cronograma!AY$5:AY$11,MATCH($B118,Premissas!$A$39:$A$45,0))</f>
        <v/>
      </c>
      <c r="BA118" s="22" t="str">
        <f>INDEX(Cronograma!AZ$5:AZ$11,MATCH($B118,Premissas!$A$39:$A$45,0))</f>
        <v/>
      </c>
      <c r="BB118" s="22" t="str">
        <f>INDEX(Cronograma!BA$5:BA$11,MATCH($B118,Premissas!$A$39:$A$45,0))</f>
        <v/>
      </c>
    </row>
    <row r="119" spans="1:54" ht="15" customHeight="1" x14ac:dyDescent="0.4">
      <c r="A119" s="15" t="str">
        <f>Frota!$B119&amp;" — "&amp;Frota!$A119</f>
        <v>MB 1722 - Onibus — 102010</v>
      </c>
      <c r="B119" s="16" t="str">
        <f>Frota!$C119</f>
        <v>Caminhão</v>
      </c>
      <c r="C119" s="22" t="str">
        <f>INDEX(Cronograma!B$5:B$11,MATCH($B119,Premissas!$A$39:$A$45,0))</f>
        <v/>
      </c>
      <c r="D119" s="22" t="str">
        <f>INDEX(Cronograma!C$5:C$11,MATCH($B119,Premissas!$A$39:$A$45,0))</f>
        <v/>
      </c>
      <c r="E119" s="22" t="str">
        <f>INDEX(Cronograma!D$5:D$11,MATCH($B119,Premissas!$A$39:$A$45,0))</f>
        <v/>
      </c>
      <c r="F119" s="22" t="str">
        <f>INDEX(Cronograma!E$5:E$11,MATCH($B119,Premissas!$A$39:$A$45,0))</f>
        <v/>
      </c>
      <c r="G119" s="22" t="str">
        <f>INDEX(Cronograma!F$5:F$11,MATCH($B119,Premissas!$A$39:$A$45,0))</f>
        <v/>
      </c>
      <c r="H119" s="22" t="str">
        <f>INDEX(Cronograma!G$5:G$11,MATCH($B119,Premissas!$A$39:$A$45,0))</f>
        <v/>
      </c>
      <c r="I119" s="22" t="str">
        <f>INDEX(Cronograma!H$5:H$11,MATCH($B119,Premissas!$A$39:$A$45,0))</f>
        <v>S</v>
      </c>
      <c r="J119" s="22" t="str">
        <f>INDEX(Cronograma!I$5:I$11,MATCH($B119,Premissas!$A$39:$A$45,0))</f>
        <v/>
      </c>
      <c r="K119" s="22" t="str">
        <f>INDEX(Cronograma!J$5:J$11,MATCH($B119,Premissas!$A$39:$A$45,0))</f>
        <v/>
      </c>
      <c r="L119" s="22" t="str">
        <f>INDEX(Cronograma!K$5:K$11,MATCH($B119,Premissas!$A$39:$A$45,0))</f>
        <v/>
      </c>
      <c r="M119" s="22" t="str">
        <f>INDEX(Cronograma!L$5:L$11,MATCH($B119,Premissas!$A$39:$A$45,0))</f>
        <v/>
      </c>
      <c r="N119" s="22" t="str">
        <f>INDEX(Cronograma!M$5:M$11,MATCH($B119,Premissas!$A$39:$A$45,0))</f>
        <v/>
      </c>
      <c r="O119" s="22" t="str">
        <f>INDEX(Cronograma!N$5:N$11,MATCH($B119,Premissas!$A$39:$A$45,0))</f>
        <v/>
      </c>
      <c r="P119" s="22" t="str">
        <f>INDEX(Cronograma!O$5:O$11,MATCH($B119,Premissas!$A$39:$A$45,0))</f>
        <v>A</v>
      </c>
      <c r="Q119" s="22" t="str">
        <f>INDEX(Cronograma!P$5:P$11,MATCH($B119,Premissas!$A$39:$A$45,0))</f>
        <v/>
      </c>
      <c r="R119" s="22" t="str">
        <f>INDEX(Cronograma!Q$5:Q$11,MATCH($B119,Premissas!$A$39:$A$45,0))</f>
        <v/>
      </c>
      <c r="S119" s="22" t="str">
        <f>INDEX(Cronograma!R$5:R$11,MATCH($B119,Premissas!$A$39:$A$45,0))</f>
        <v/>
      </c>
      <c r="T119" s="22" t="str">
        <f>INDEX(Cronograma!S$5:S$11,MATCH($B119,Premissas!$A$39:$A$45,0))</f>
        <v/>
      </c>
      <c r="U119" s="22" t="str">
        <f>INDEX(Cronograma!T$5:T$11,MATCH($B119,Premissas!$A$39:$A$45,0))</f>
        <v/>
      </c>
      <c r="V119" s="22" t="str">
        <f>INDEX(Cronograma!U$5:U$11,MATCH($B119,Premissas!$A$39:$A$45,0))</f>
        <v>S</v>
      </c>
      <c r="W119" s="22" t="str">
        <f>INDEX(Cronograma!V$5:V$11,MATCH($B119,Premissas!$A$39:$A$45,0))</f>
        <v/>
      </c>
      <c r="X119" s="22" t="str">
        <f>INDEX(Cronograma!W$5:W$11,MATCH($B119,Premissas!$A$39:$A$45,0))</f>
        <v/>
      </c>
      <c r="Y119" s="22" t="str">
        <f>INDEX(Cronograma!X$5:X$11,MATCH($B119,Premissas!$A$39:$A$45,0))</f>
        <v/>
      </c>
      <c r="Z119" s="22" t="str">
        <f>INDEX(Cronograma!Y$5:Y$11,MATCH($B119,Premissas!$A$39:$A$45,0))</f>
        <v/>
      </c>
      <c r="AA119" s="22" t="str">
        <f>INDEX(Cronograma!Z$5:Z$11,MATCH($B119,Premissas!$A$39:$A$45,0))</f>
        <v/>
      </c>
      <c r="AB119" s="22" t="str">
        <f>INDEX(Cronograma!AA$5:AA$11,MATCH($B119,Premissas!$A$39:$A$45,0))</f>
        <v/>
      </c>
      <c r="AC119" s="22" t="str">
        <f>INDEX(Cronograma!AB$5:AB$11,MATCH($B119,Premissas!$A$39:$A$45,0))</f>
        <v>B</v>
      </c>
      <c r="AD119" s="22" t="str">
        <f>INDEX(Cronograma!AC$5:AC$11,MATCH($B119,Premissas!$A$39:$A$45,0))</f>
        <v/>
      </c>
      <c r="AE119" s="22" t="str">
        <f>INDEX(Cronograma!AD$5:AD$11,MATCH($B119,Premissas!$A$39:$A$45,0))</f>
        <v/>
      </c>
      <c r="AF119" s="22" t="str">
        <f>INDEX(Cronograma!AE$5:AE$11,MATCH($B119,Premissas!$A$39:$A$45,0))</f>
        <v/>
      </c>
      <c r="AG119" s="22" t="str">
        <f>INDEX(Cronograma!AF$5:AF$11,MATCH($B119,Premissas!$A$39:$A$45,0))</f>
        <v/>
      </c>
      <c r="AH119" s="22" t="str">
        <f>INDEX(Cronograma!AG$5:AG$11,MATCH($B119,Premissas!$A$39:$A$45,0))</f>
        <v/>
      </c>
      <c r="AI119" s="22" t="str">
        <f>INDEX(Cronograma!AH$5:AH$11,MATCH($B119,Premissas!$A$39:$A$45,0))</f>
        <v/>
      </c>
      <c r="AJ119" s="22" t="str">
        <f>INDEX(Cronograma!AI$5:AI$11,MATCH($B119,Premissas!$A$39:$A$45,0))</f>
        <v/>
      </c>
      <c r="AK119" s="22" t="str">
        <f>INDEX(Cronograma!AJ$5:AJ$11,MATCH($B119,Premissas!$A$39:$A$45,0))</f>
        <v/>
      </c>
      <c r="AL119" s="22" t="str">
        <f>INDEX(Cronograma!AK$5:AK$11,MATCH($B119,Premissas!$A$39:$A$45,0))</f>
        <v/>
      </c>
      <c r="AM119" s="22" t="str">
        <f>INDEX(Cronograma!AL$5:AL$11,MATCH($B119,Premissas!$A$39:$A$45,0))</f>
        <v/>
      </c>
      <c r="AN119" s="22" t="str">
        <f>INDEX(Cronograma!AM$5:AM$11,MATCH($B119,Premissas!$A$39:$A$45,0))</f>
        <v/>
      </c>
      <c r="AO119" s="22" t="str">
        <f>INDEX(Cronograma!AN$5:AN$11,MATCH($B119,Premissas!$A$39:$A$45,0))</f>
        <v/>
      </c>
      <c r="AP119" s="22" t="str">
        <f>INDEX(Cronograma!AO$5:AO$11,MATCH($B119,Premissas!$A$39:$A$45,0))</f>
        <v>S</v>
      </c>
      <c r="AQ119" s="22" t="str">
        <f>INDEX(Cronograma!AP$5:AP$11,MATCH($B119,Premissas!$A$39:$A$45,0))</f>
        <v/>
      </c>
      <c r="AR119" s="22" t="str">
        <f>INDEX(Cronograma!AQ$5:AQ$11,MATCH($B119,Premissas!$A$39:$A$45,0))</f>
        <v/>
      </c>
      <c r="AS119" s="22" t="str">
        <f>INDEX(Cronograma!AR$5:AR$11,MATCH($B119,Premissas!$A$39:$A$45,0))</f>
        <v/>
      </c>
      <c r="AT119" s="22" t="str">
        <f>INDEX(Cronograma!AS$5:AS$11,MATCH($B119,Premissas!$A$39:$A$45,0))</f>
        <v/>
      </c>
      <c r="AU119" s="22" t="str">
        <f>INDEX(Cronograma!AT$5:AT$11,MATCH($B119,Premissas!$A$39:$A$45,0))</f>
        <v/>
      </c>
      <c r="AV119" s="22" t="str">
        <f>INDEX(Cronograma!AU$5:AU$11,MATCH($B119,Premissas!$A$39:$A$45,0))</f>
        <v/>
      </c>
      <c r="AW119" s="22" t="str">
        <f>INDEX(Cronograma!AV$5:AV$11,MATCH($B119,Premissas!$A$39:$A$45,0))</f>
        <v/>
      </c>
      <c r="AX119" s="22" t="str">
        <f>INDEX(Cronograma!AW$5:AW$11,MATCH($B119,Premissas!$A$39:$A$45,0))</f>
        <v/>
      </c>
      <c r="AY119" s="22" t="str">
        <f>INDEX(Cronograma!AX$5:AX$11,MATCH($B119,Premissas!$A$39:$A$45,0))</f>
        <v/>
      </c>
      <c r="AZ119" s="22" t="str">
        <f>INDEX(Cronograma!AY$5:AY$11,MATCH($B119,Premissas!$A$39:$A$45,0))</f>
        <v/>
      </c>
      <c r="BA119" s="22" t="str">
        <f>INDEX(Cronograma!AZ$5:AZ$11,MATCH($B119,Premissas!$A$39:$A$45,0))</f>
        <v/>
      </c>
      <c r="BB119" s="22" t="str">
        <f>INDEX(Cronograma!BA$5:BA$11,MATCH($B119,Premissas!$A$39:$A$45,0))</f>
        <v/>
      </c>
    </row>
    <row r="120" spans="1:54" ht="15" customHeight="1" x14ac:dyDescent="0.4">
      <c r="A120" s="15" t="str">
        <f>Frota!$B120&amp;" — "&amp;Frota!$A120</f>
        <v>MB 1722 - Onibus — 102011</v>
      </c>
      <c r="B120" s="16" t="str">
        <f>Frota!$C120</f>
        <v>Caminhão</v>
      </c>
      <c r="C120" s="22" t="str">
        <f>INDEX(Cronograma!B$5:B$11,MATCH($B120,Premissas!$A$39:$A$45,0))</f>
        <v/>
      </c>
      <c r="D120" s="22" t="str">
        <f>INDEX(Cronograma!C$5:C$11,MATCH($B120,Premissas!$A$39:$A$45,0))</f>
        <v/>
      </c>
      <c r="E120" s="22" t="str">
        <f>INDEX(Cronograma!D$5:D$11,MATCH($B120,Premissas!$A$39:$A$45,0))</f>
        <v/>
      </c>
      <c r="F120" s="22" t="str">
        <f>INDEX(Cronograma!E$5:E$11,MATCH($B120,Premissas!$A$39:$A$45,0))</f>
        <v/>
      </c>
      <c r="G120" s="22" t="str">
        <f>INDEX(Cronograma!F$5:F$11,MATCH($B120,Premissas!$A$39:$A$45,0))</f>
        <v/>
      </c>
      <c r="H120" s="22" t="str">
        <f>INDEX(Cronograma!G$5:G$11,MATCH($B120,Premissas!$A$39:$A$45,0))</f>
        <v/>
      </c>
      <c r="I120" s="22" t="str">
        <f>INDEX(Cronograma!H$5:H$11,MATCH($B120,Premissas!$A$39:$A$45,0))</f>
        <v>S</v>
      </c>
      <c r="J120" s="22" t="str">
        <f>INDEX(Cronograma!I$5:I$11,MATCH($B120,Premissas!$A$39:$A$45,0))</f>
        <v/>
      </c>
      <c r="K120" s="22" t="str">
        <f>INDEX(Cronograma!J$5:J$11,MATCH($B120,Premissas!$A$39:$A$45,0))</f>
        <v/>
      </c>
      <c r="L120" s="22" t="str">
        <f>INDEX(Cronograma!K$5:K$11,MATCH($B120,Premissas!$A$39:$A$45,0))</f>
        <v/>
      </c>
      <c r="M120" s="22" t="str">
        <f>INDEX(Cronograma!L$5:L$11,MATCH($B120,Premissas!$A$39:$A$45,0))</f>
        <v/>
      </c>
      <c r="N120" s="22" t="str">
        <f>INDEX(Cronograma!M$5:M$11,MATCH($B120,Premissas!$A$39:$A$45,0))</f>
        <v/>
      </c>
      <c r="O120" s="22" t="str">
        <f>INDEX(Cronograma!N$5:N$11,MATCH($B120,Premissas!$A$39:$A$45,0))</f>
        <v/>
      </c>
      <c r="P120" s="22" t="str">
        <f>INDEX(Cronograma!O$5:O$11,MATCH($B120,Premissas!$A$39:$A$45,0))</f>
        <v>A</v>
      </c>
      <c r="Q120" s="22" t="str">
        <f>INDEX(Cronograma!P$5:P$11,MATCH($B120,Premissas!$A$39:$A$45,0))</f>
        <v/>
      </c>
      <c r="R120" s="22" t="str">
        <f>INDEX(Cronograma!Q$5:Q$11,MATCH($B120,Premissas!$A$39:$A$45,0))</f>
        <v/>
      </c>
      <c r="S120" s="22" t="str">
        <f>INDEX(Cronograma!R$5:R$11,MATCH($B120,Premissas!$A$39:$A$45,0))</f>
        <v/>
      </c>
      <c r="T120" s="22" t="str">
        <f>INDEX(Cronograma!S$5:S$11,MATCH($B120,Premissas!$A$39:$A$45,0))</f>
        <v/>
      </c>
      <c r="U120" s="22" t="str">
        <f>INDEX(Cronograma!T$5:T$11,MATCH($B120,Premissas!$A$39:$A$45,0))</f>
        <v/>
      </c>
      <c r="V120" s="22" t="str">
        <f>INDEX(Cronograma!U$5:U$11,MATCH($B120,Premissas!$A$39:$A$45,0))</f>
        <v>S</v>
      </c>
      <c r="W120" s="22" t="str">
        <f>INDEX(Cronograma!V$5:V$11,MATCH($B120,Premissas!$A$39:$A$45,0))</f>
        <v/>
      </c>
      <c r="X120" s="22" t="str">
        <f>INDEX(Cronograma!W$5:W$11,MATCH($B120,Premissas!$A$39:$A$45,0))</f>
        <v/>
      </c>
      <c r="Y120" s="22" t="str">
        <f>INDEX(Cronograma!X$5:X$11,MATCH($B120,Premissas!$A$39:$A$45,0))</f>
        <v/>
      </c>
      <c r="Z120" s="22" t="str">
        <f>INDEX(Cronograma!Y$5:Y$11,MATCH($B120,Premissas!$A$39:$A$45,0))</f>
        <v/>
      </c>
      <c r="AA120" s="22" t="str">
        <f>INDEX(Cronograma!Z$5:Z$11,MATCH($B120,Premissas!$A$39:$A$45,0))</f>
        <v/>
      </c>
      <c r="AB120" s="22" t="str">
        <f>INDEX(Cronograma!AA$5:AA$11,MATCH($B120,Premissas!$A$39:$A$45,0))</f>
        <v/>
      </c>
      <c r="AC120" s="22" t="str">
        <f>INDEX(Cronograma!AB$5:AB$11,MATCH($B120,Premissas!$A$39:$A$45,0))</f>
        <v>B</v>
      </c>
      <c r="AD120" s="22" t="str">
        <f>INDEX(Cronograma!AC$5:AC$11,MATCH($B120,Premissas!$A$39:$A$45,0))</f>
        <v/>
      </c>
      <c r="AE120" s="22" t="str">
        <f>INDEX(Cronograma!AD$5:AD$11,MATCH($B120,Premissas!$A$39:$A$45,0))</f>
        <v/>
      </c>
      <c r="AF120" s="22" t="str">
        <f>INDEX(Cronograma!AE$5:AE$11,MATCH($B120,Premissas!$A$39:$A$45,0))</f>
        <v/>
      </c>
      <c r="AG120" s="22" t="str">
        <f>INDEX(Cronograma!AF$5:AF$11,MATCH($B120,Premissas!$A$39:$A$45,0))</f>
        <v/>
      </c>
      <c r="AH120" s="22" t="str">
        <f>INDEX(Cronograma!AG$5:AG$11,MATCH($B120,Premissas!$A$39:$A$45,0))</f>
        <v/>
      </c>
      <c r="AI120" s="22" t="str">
        <f>INDEX(Cronograma!AH$5:AH$11,MATCH($B120,Premissas!$A$39:$A$45,0))</f>
        <v/>
      </c>
      <c r="AJ120" s="22" t="str">
        <f>INDEX(Cronograma!AI$5:AI$11,MATCH($B120,Premissas!$A$39:$A$45,0))</f>
        <v/>
      </c>
      <c r="AK120" s="22" t="str">
        <f>INDEX(Cronograma!AJ$5:AJ$11,MATCH($B120,Premissas!$A$39:$A$45,0))</f>
        <v/>
      </c>
      <c r="AL120" s="22" t="str">
        <f>INDEX(Cronograma!AK$5:AK$11,MATCH($B120,Premissas!$A$39:$A$45,0))</f>
        <v/>
      </c>
      <c r="AM120" s="22" t="str">
        <f>INDEX(Cronograma!AL$5:AL$11,MATCH($B120,Premissas!$A$39:$A$45,0))</f>
        <v/>
      </c>
      <c r="AN120" s="22" t="str">
        <f>INDEX(Cronograma!AM$5:AM$11,MATCH($B120,Premissas!$A$39:$A$45,0))</f>
        <v/>
      </c>
      <c r="AO120" s="22" t="str">
        <f>INDEX(Cronograma!AN$5:AN$11,MATCH($B120,Premissas!$A$39:$A$45,0))</f>
        <v/>
      </c>
      <c r="AP120" s="22" t="str">
        <f>INDEX(Cronograma!AO$5:AO$11,MATCH($B120,Premissas!$A$39:$A$45,0))</f>
        <v>S</v>
      </c>
      <c r="AQ120" s="22" t="str">
        <f>INDEX(Cronograma!AP$5:AP$11,MATCH($B120,Premissas!$A$39:$A$45,0))</f>
        <v/>
      </c>
      <c r="AR120" s="22" t="str">
        <f>INDEX(Cronograma!AQ$5:AQ$11,MATCH($B120,Premissas!$A$39:$A$45,0))</f>
        <v/>
      </c>
      <c r="AS120" s="22" t="str">
        <f>INDEX(Cronograma!AR$5:AR$11,MATCH($B120,Premissas!$A$39:$A$45,0))</f>
        <v/>
      </c>
      <c r="AT120" s="22" t="str">
        <f>INDEX(Cronograma!AS$5:AS$11,MATCH($B120,Premissas!$A$39:$A$45,0))</f>
        <v/>
      </c>
      <c r="AU120" s="22" t="str">
        <f>INDEX(Cronograma!AT$5:AT$11,MATCH($B120,Premissas!$A$39:$A$45,0))</f>
        <v/>
      </c>
      <c r="AV120" s="22" t="str">
        <f>INDEX(Cronograma!AU$5:AU$11,MATCH($B120,Premissas!$A$39:$A$45,0))</f>
        <v/>
      </c>
      <c r="AW120" s="22" t="str">
        <f>INDEX(Cronograma!AV$5:AV$11,MATCH($B120,Premissas!$A$39:$A$45,0))</f>
        <v/>
      </c>
      <c r="AX120" s="22" t="str">
        <f>INDEX(Cronograma!AW$5:AW$11,MATCH($B120,Premissas!$A$39:$A$45,0))</f>
        <v/>
      </c>
      <c r="AY120" s="22" t="str">
        <f>INDEX(Cronograma!AX$5:AX$11,MATCH($B120,Premissas!$A$39:$A$45,0))</f>
        <v/>
      </c>
      <c r="AZ120" s="22" t="str">
        <f>INDEX(Cronograma!AY$5:AY$11,MATCH($B120,Premissas!$A$39:$A$45,0))</f>
        <v/>
      </c>
      <c r="BA120" s="22" t="str">
        <f>INDEX(Cronograma!AZ$5:AZ$11,MATCH($B120,Premissas!$A$39:$A$45,0))</f>
        <v/>
      </c>
      <c r="BB120" s="22" t="str">
        <f>INDEX(Cronograma!BA$5:BA$11,MATCH($B120,Premissas!$A$39:$A$45,0))</f>
        <v/>
      </c>
    </row>
    <row r="121" spans="1:54" ht="15" customHeight="1" x14ac:dyDescent="0.4">
      <c r="A121" s="15" t="str">
        <f>Frota!$B121&amp;" — "&amp;Frota!$A121</f>
        <v>MB 1722 - Onibus — 102012</v>
      </c>
      <c r="B121" s="16" t="str">
        <f>Frota!$C121</f>
        <v>Caminhão</v>
      </c>
      <c r="C121" s="22" t="str">
        <f>INDEX(Cronograma!B$5:B$11,MATCH($B121,Premissas!$A$39:$A$45,0))</f>
        <v/>
      </c>
      <c r="D121" s="22" t="str">
        <f>INDEX(Cronograma!C$5:C$11,MATCH($B121,Premissas!$A$39:$A$45,0))</f>
        <v/>
      </c>
      <c r="E121" s="22" t="str">
        <f>INDEX(Cronograma!D$5:D$11,MATCH($B121,Premissas!$A$39:$A$45,0))</f>
        <v/>
      </c>
      <c r="F121" s="22" t="str">
        <f>INDEX(Cronograma!E$5:E$11,MATCH($B121,Premissas!$A$39:$A$45,0))</f>
        <v/>
      </c>
      <c r="G121" s="22" t="str">
        <f>INDEX(Cronograma!F$5:F$11,MATCH($B121,Premissas!$A$39:$A$45,0))</f>
        <v/>
      </c>
      <c r="H121" s="22" t="str">
        <f>INDEX(Cronograma!G$5:G$11,MATCH($B121,Premissas!$A$39:$A$45,0))</f>
        <v/>
      </c>
      <c r="I121" s="22" t="str">
        <f>INDEX(Cronograma!H$5:H$11,MATCH($B121,Premissas!$A$39:$A$45,0))</f>
        <v>S</v>
      </c>
      <c r="J121" s="22" t="str">
        <f>INDEX(Cronograma!I$5:I$11,MATCH($B121,Premissas!$A$39:$A$45,0))</f>
        <v/>
      </c>
      <c r="K121" s="22" t="str">
        <f>INDEX(Cronograma!J$5:J$11,MATCH($B121,Premissas!$A$39:$A$45,0))</f>
        <v/>
      </c>
      <c r="L121" s="22" t="str">
        <f>INDEX(Cronograma!K$5:K$11,MATCH($B121,Premissas!$A$39:$A$45,0))</f>
        <v/>
      </c>
      <c r="M121" s="22" t="str">
        <f>INDEX(Cronograma!L$5:L$11,MATCH($B121,Premissas!$A$39:$A$45,0))</f>
        <v/>
      </c>
      <c r="N121" s="22" t="str">
        <f>INDEX(Cronograma!M$5:M$11,MATCH($B121,Premissas!$A$39:$A$45,0))</f>
        <v/>
      </c>
      <c r="O121" s="22" t="str">
        <f>INDEX(Cronograma!N$5:N$11,MATCH($B121,Premissas!$A$39:$A$45,0))</f>
        <v/>
      </c>
      <c r="P121" s="22" t="str">
        <f>INDEX(Cronograma!O$5:O$11,MATCH($B121,Premissas!$A$39:$A$45,0))</f>
        <v>A</v>
      </c>
      <c r="Q121" s="22" t="str">
        <f>INDEX(Cronograma!P$5:P$11,MATCH($B121,Premissas!$A$39:$A$45,0))</f>
        <v/>
      </c>
      <c r="R121" s="22" t="str">
        <f>INDEX(Cronograma!Q$5:Q$11,MATCH($B121,Premissas!$A$39:$A$45,0))</f>
        <v/>
      </c>
      <c r="S121" s="22" t="str">
        <f>INDEX(Cronograma!R$5:R$11,MATCH($B121,Premissas!$A$39:$A$45,0))</f>
        <v/>
      </c>
      <c r="T121" s="22" t="str">
        <f>INDEX(Cronograma!S$5:S$11,MATCH($B121,Premissas!$A$39:$A$45,0))</f>
        <v/>
      </c>
      <c r="U121" s="22" t="str">
        <f>INDEX(Cronograma!T$5:T$11,MATCH($B121,Premissas!$A$39:$A$45,0))</f>
        <v/>
      </c>
      <c r="V121" s="22" t="str">
        <f>INDEX(Cronograma!U$5:U$11,MATCH($B121,Premissas!$A$39:$A$45,0))</f>
        <v>S</v>
      </c>
      <c r="W121" s="22" t="str">
        <f>INDEX(Cronograma!V$5:V$11,MATCH($B121,Premissas!$A$39:$A$45,0))</f>
        <v/>
      </c>
      <c r="X121" s="22" t="str">
        <f>INDEX(Cronograma!W$5:W$11,MATCH($B121,Premissas!$A$39:$A$45,0))</f>
        <v/>
      </c>
      <c r="Y121" s="22" t="str">
        <f>INDEX(Cronograma!X$5:X$11,MATCH($B121,Premissas!$A$39:$A$45,0))</f>
        <v/>
      </c>
      <c r="Z121" s="22" t="str">
        <f>INDEX(Cronograma!Y$5:Y$11,MATCH($B121,Premissas!$A$39:$A$45,0))</f>
        <v/>
      </c>
      <c r="AA121" s="22" t="str">
        <f>INDEX(Cronograma!Z$5:Z$11,MATCH($B121,Premissas!$A$39:$A$45,0))</f>
        <v/>
      </c>
      <c r="AB121" s="22" t="str">
        <f>INDEX(Cronograma!AA$5:AA$11,MATCH($B121,Premissas!$A$39:$A$45,0))</f>
        <v/>
      </c>
      <c r="AC121" s="22" t="str">
        <f>INDEX(Cronograma!AB$5:AB$11,MATCH($B121,Premissas!$A$39:$A$45,0))</f>
        <v>B</v>
      </c>
      <c r="AD121" s="22" t="str">
        <f>INDEX(Cronograma!AC$5:AC$11,MATCH($B121,Premissas!$A$39:$A$45,0))</f>
        <v/>
      </c>
      <c r="AE121" s="22" t="str">
        <f>INDEX(Cronograma!AD$5:AD$11,MATCH($B121,Premissas!$A$39:$A$45,0))</f>
        <v/>
      </c>
      <c r="AF121" s="22" t="str">
        <f>INDEX(Cronograma!AE$5:AE$11,MATCH($B121,Premissas!$A$39:$A$45,0))</f>
        <v/>
      </c>
      <c r="AG121" s="22" t="str">
        <f>INDEX(Cronograma!AF$5:AF$11,MATCH($B121,Premissas!$A$39:$A$45,0))</f>
        <v/>
      </c>
      <c r="AH121" s="22" t="str">
        <f>INDEX(Cronograma!AG$5:AG$11,MATCH($B121,Premissas!$A$39:$A$45,0))</f>
        <v/>
      </c>
      <c r="AI121" s="22" t="str">
        <f>INDEX(Cronograma!AH$5:AH$11,MATCH($B121,Premissas!$A$39:$A$45,0))</f>
        <v/>
      </c>
      <c r="AJ121" s="22" t="str">
        <f>INDEX(Cronograma!AI$5:AI$11,MATCH($B121,Premissas!$A$39:$A$45,0))</f>
        <v/>
      </c>
      <c r="AK121" s="22" t="str">
        <f>INDEX(Cronograma!AJ$5:AJ$11,MATCH($B121,Premissas!$A$39:$A$45,0))</f>
        <v/>
      </c>
      <c r="AL121" s="22" t="str">
        <f>INDEX(Cronograma!AK$5:AK$11,MATCH($B121,Premissas!$A$39:$A$45,0))</f>
        <v/>
      </c>
      <c r="AM121" s="22" t="str">
        <f>INDEX(Cronograma!AL$5:AL$11,MATCH($B121,Premissas!$A$39:$A$45,0))</f>
        <v/>
      </c>
      <c r="AN121" s="22" t="str">
        <f>INDEX(Cronograma!AM$5:AM$11,MATCH($B121,Premissas!$A$39:$A$45,0))</f>
        <v/>
      </c>
      <c r="AO121" s="22" t="str">
        <f>INDEX(Cronograma!AN$5:AN$11,MATCH($B121,Premissas!$A$39:$A$45,0))</f>
        <v/>
      </c>
      <c r="AP121" s="22" t="str">
        <f>INDEX(Cronograma!AO$5:AO$11,MATCH($B121,Premissas!$A$39:$A$45,0))</f>
        <v>S</v>
      </c>
      <c r="AQ121" s="22" t="str">
        <f>INDEX(Cronograma!AP$5:AP$11,MATCH($B121,Premissas!$A$39:$A$45,0))</f>
        <v/>
      </c>
      <c r="AR121" s="22" t="str">
        <f>INDEX(Cronograma!AQ$5:AQ$11,MATCH($B121,Premissas!$A$39:$A$45,0))</f>
        <v/>
      </c>
      <c r="AS121" s="22" t="str">
        <f>INDEX(Cronograma!AR$5:AR$11,MATCH($B121,Premissas!$A$39:$A$45,0))</f>
        <v/>
      </c>
      <c r="AT121" s="22" t="str">
        <f>INDEX(Cronograma!AS$5:AS$11,MATCH($B121,Premissas!$A$39:$A$45,0))</f>
        <v/>
      </c>
      <c r="AU121" s="22" t="str">
        <f>INDEX(Cronograma!AT$5:AT$11,MATCH($B121,Premissas!$A$39:$A$45,0))</f>
        <v/>
      </c>
      <c r="AV121" s="22" t="str">
        <f>INDEX(Cronograma!AU$5:AU$11,MATCH($B121,Premissas!$A$39:$A$45,0))</f>
        <v/>
      </c>
      <c r="AW121" s="22" t="str">
        <f>INDEX(Cronograma!AV$5:AV$11,MATCH($B121,Premissas!$A$39:$A$45,0))</f>
        <v/>
      </c>
      <c r="AX121" s="22" t="str">
        <f>INDEX(Cronograma!AW$5:AW$11,MATCH($B121,Premissas!$A$39:$A$45,0))</f>
        <v/>
      </c>
      <c r="AY121" s="22" t="str">
        <f>INDEX(Cronograma!AX$5:AX$11,MATCH($B121,Premissas!$A$39:$A$45,0))</f>
        <v/>
      </c>
      <c r="AZ121" s="22" t="str">
        <f>INDEX(Cronograma!AY$5:AY$11,MATCH($B121,Premissas!$A$39:$A$45,0))</f>
        <v/>
      </c>
      <c r="BA121" s="22" t="str">
        <f>INDEX(Cronograma!AZ$5:AZ$11,MATCH($B121,Premissas!$A$39:$A$45,0))</f>
        <v/>
      </c>
      <c r="BB121" s="22" t="str">
        <f>INDEX(Cronograma!BA$5:BA$11,MATCH($B121,Premissas!$A$39:$A$45,0))</f>
        <v/>
      </c>
    </row>
    <row r="122" spans="1:54" ht="15" customHeight="1" x14ac:dyDescent="0.4">
      <c r="A122" s="15" t="str">
        <f>Frota!$B122&amp;" — "&amp;Frota!$A122</f>
        <v>MB 1722 - Onibus — 102013</v>
      </c>
      <c r="B122" s="16" t="str">
        <f>Frota!$C122</f>
        <v>Caminhão</v>
      </c>
      <c r="C122" s="22" t="str">
        <f>INDEX(Cronograma!B$5:B$11,MATCH($B122,Premissas!$A$39:$A$45,0))</f>
        <v/>
      </c>
      <c r="D122" s="22" t="str">
        <f>INDEX(Cronograma!C$5:C$11,MATCH($B122,Premissas!$A$39:$A$45,0))</f>
        <v/>
      </c>
      <c r="E122" s="22" t="str">
        <f>INDEX(Cronograma!D$5:D$11,MATCH($B122,Premissas!$A$39:$A$45,0))</f>
        <v/>
      </c>
      <c r="F122" s="22" t="str">
        <f>INDEX(Cronograma!E$5:E$11,MATCH($B122,Premissas!$A$39:$A$45,0))</f>
        <v/>
      </c>
      <c r="G122" s="22" t="str">
        <f>INDEX(Cronograma!F$5:F$11,MATCH($B122,Premissas!$A$39:$A$45,0))</f>
        <v/>
      </c>
      <c r="H122" s="22" t="str">
        <f>INDEX(Cronograma!G$5:G$11,MATCH($B122,Premissas!$A$39:$A$45,0))</f>
        <v/>
      </c>
      <c r="I122" s="22" t="str">
        <f>INDEX(Cronograma!H$5:H$11,MATCH($B122,Premissas!$A$39:$A$45,0))</f>
        <v>S</v>
      </c>
      <c r="J122" s="22" t="str">
        <f>INDEX(Cronograma!I$5:I$11,MATCH($B122,Premissas!$A$39:$A$45,0))</f>
        <v/>
      </c>
      <c r="K122" s="22" t="str">
        <f>INDEX(Cronograma!J$5:J$11,MATCH($B122,Premissas!$A$39:$A$45,0))</f>
        <v/>
      </c>
      <c r="L122" s="22" t="str">
        <f>INDEX(Cronograma!K$5:K$11,MATCH($B122,Premissas!$A$39:$A$45,0))</f>
        <v/>
      </c>
      <c r="M122" s="22" t="str">
        <f>INDEX(Cronograma!L$5:L$11,MATCH($B122,Premissas!$A$39:$A$45,0))</f>
        <v/>
      </c>
      <c r="N122" s="22" t="str">
        <f>INDEX(Cronograma!M$5:M$11,MATCH($B122,Premissas!$A$39:$A$45,0))</f>
        <v/>
      </c>
      <c r="O122" s="22" t="str">
        <f>INDEX(Cronograma!N$5:N$11,MATCH($B122,Premissas!$A$39:$A$45,0))</f>
        <v/>
      </c>
      <c r="P122" s="22" t="str">
        <f>INDEX(Cronograma!O$5:O$11,MATCH($B122,Premissas!$A$39:$A$45,0))</f>
        <v>A</v>
      </c>
      <c r="Q122" s="22" t="str">
        <f>INDEX(Cronograma!P$5:P$11,MATCH($B122,Premissas!$A$39:$A$45,0))</f>
        <v/>
      </c>
      <c r="R122" s="22" t="str">
        <f>INDEX(Cronograma!Q$5:Q$11,MATCH($B122,Premissas!$A$39:$A$45,0))</f>
        <v/>
      </c>
      <c r="S122" s="22" t="str">
        <f>INDEX(Cronograma!R$5:R$11,MATCH($B122,Premissas!$A$39:$A$45,0))</f>
        <v/>
      </c>
      <c r="T122" s="22" t="str">
        <f>INDEX(Cronograma!S$5:S$11,MATCH($B122,Premissas!$A$39:$A$45,0))</f>
        <v/>
      </c>
      <c r="U122" s="22" t="str">
        <f>INDEX(Cronograma!T$5:T$11,MATCH($B122,Premissas!$A$39:$A$45,0))</f>
        <v/>
      </c>
      <c r="V122" s="22" t="str">
        <f>INDEX(Cronograma!U$5:U$11,MATCH($B122,Premissas!$A$39:$A$45,0))</f>
        <v>S</v>
      </c>
      <c r="W122" s="22" t="str">
        <f>INDEX(Cronograma!V$5:V$11,MATCH($B122,Premissas!$A$39:$A$45,0))</f>
        <v/>
      </c>
      <c r="X122" s="22" t="str">
        <f>INDEX(Cronograma!W$5:W$11,MATCH($B122,Premissas!$A$39:$A$45,0))</f>
        <v/>
      </c>
      <c r="Y122" s="22" t="str">
        <f>INDEX(Cronograma!X$5:X$11,MATCH($B122,Premissas!$A$39:$A$45,0))</f>
        <v/>
      </c>
      <c r="Z122" s="22" t="str">
        <f>INDEX(Cronograma!Y$5:Y$11,MATCH($B122,Premissas!$A$39:$A$45,0))</f>
        <v/>
      </c>
      <c r="AA122" s="22" t="str">
        <f>INDEX(Cronograma!Z$5:Z$11,MATCH($B122,Premissas!$A$39:$A$45,0))</f>
        <v/>
      </c>
      <c r="AB122" s="22" t="str">
        <f>INDEX(Cronograma!AA$5:AA$11,MATCH($B122,Premissas!$A$39:$A$45,0))</f>
        <v/>
      </c>
      <c r="AC122" s="22" t="str">
        <f>INDEX(Cronograma!AB$5:AB$11,MATCH($B122,Premissas!$A$39:$A$45,0))</f>
        <v>B</v>
      </c>
      <c r="AD122" s="22" t="str">
        <f>INDEX(Cronograma!AC$5:AC$11,MATCH($B122,Premissas!$A$39:$A$45,0))</f>
        <v/>
      </c>
      <c r="AE122" s="22" t="str">
        <f>INDEX(Cronograma!AD$5:AD$11,MATCH($B122,Premissas!$A$39:$A$45,0))</f>
        <v/>
      </c>
      <c r="AF122" s="22" t="str">
        <f>INDEX(Cronograma!AE$5:AE$11,MATCH($B122,Premissas!$A$39:$A$45,0))</f>
        <v/>
      </c>
      <c r="AG122" s="22" t="str">
        <f>INDEX(Cronograma!AF$5:AF$11,MATCH($B122,Premissas!$A$39:$A$45,0))</f>
        <v/>
      </c>
      <c r="AH122" s="22" t="str">
        <f>INDEX(Cronograma!AG$5:AG$11,MATCH($B122,Premissas!$A$39:$A$45,0))</f>
        <v/>
      </c>
      <c r="AI122" s="22" t="str">
        <f>INDEX(Cronograma!AH$5:AH$11,MATCH($B122,Premissas!$A$39:$A$45,0))</f>
        <v/>
      </c>
      <c r="AJ122" s="22" t="str">
        <f>INDEX(Cronograma!AI$5:AI$11,MATCH($B122,Premissas!$A$39:$A$45,0))</f>
        <v/>
      </c>
      <c r="AK122" s="22" t="str">
        <f>INDEX(Cronograma!AJ$5:AJ$11,MATCH($B122,Premissas!$A$39:$A$45,0))</f>
        <v/>
      </c>
      <c r="AL122" s="22" t="str">
        <f>INDEX(Cronograma!AK$5:AK$11,MATCH($B122,Premissas!$A$39:$A$45,0))</f>
        <v/>
      </c>
      <c r="AM122" s="22" t="str">
        <f>INDEX(Cronograma!AL$5:AL$11,MATCH($B122,Premissas!$A$39:$A$45,0))</f>
        <v/>
      </c>
      <c r="AN122" s="22" t="str">
        <f>INDEX(Cronograma!AM$5:AM$11,MATCH($B122,Premissas!$A$39:$A$45,0))</f>
        <v/>
      </c>
      <c r="AO122" s="22" t="str">
        <f>INDEX(Cronograma!AN$5:AN$11,MATCH($B122,Premissas!$A$39:$A$45,0))</f>
        <v/>
      </c>
      <c r="AP122" s="22" t="str">
        <f>INDEX(Cronograma!AO$5:AO$11,MATCH($B122,Premissas!$A$39:$A$45,0))</f>
        <v>S</v>
      </c>
      <c r="AQ122" s="22" t="str">
        <f>INDEX(Cronograma!AP$5:AP$11,MATCH($B122,Premissas!$A$39:$A$45,0))</f>
        <v/>
      </c>
      <c r="AR122" s="22" t="str">
        <f>INDEX(Cronograma!AQ$5:AQ$11,MATCH($B122,Premissas!$A$39:$A$45,0))</f>
        <v/>
      </c>
      <c r="AS122" s="22" t="str">
        <f>INDEX(Cronograma!AR$5:AR$11,MATCH($B122,Premissas!$A$39:$A$45,0))</f>
        <v/>
      </c>
      <c r="AT122" s="22" t="str">
        <f>INDEX(Cronograma!AS$5:AS$11,MATCH($B122,Premissas!$A$39:$A$45,0))</f>
        <v/>
      </c>
      <c r="AU122" s="22" t="str">
        <f>INDEX(Cronograma!AT$5:AT$11,MATCH($B122,Premissas!$A$39:$A$45,0))</f>
        <v/>
      </c>
      <c r="AV122" s="22" t="str">
        <f>INDEX(Cronograma!AU$5:AU$11,MATCH($B122,Premissas!$A$39:$A$45,0))</f>
        <v/>
      </c>
      <c r="AW122" s="22" t="str">
        <f>INDEX(Cronograma!AV$5:AV$11,MATCH($B122,Premissas!$A$39:$A$45,0))</f>
        <v/>
      </c>
      <c r="AX122" s="22" t="str">
        <f>INDEX(Cronograma!AW$5:AW$11,MATCH($B122,Premissas!$A$39:$A$45,0))</f>
        <v/>
      </c>
      <c r="AY122" s="22" t="str">
        <f>INDEX(Cronograma!AX$5:AX$11,MATCH($B122,Premissas!$A$39:$A$45,0))</f>
        <v/>
      </c>
      <c r="AZ122" s="22" t="str">
        <f>INDEX(Cronograma!AY$5:AY$11,MATCH($B122,Premissas!$A$39:$A$45,0))</f>
        <v/>
      </c>
      <c r="BA122" s="22" t="str">
        <f>INDEX(Cronograma!AZ$5:AZ$11,MATCH($B122,Premissas!$A$39:$A$45,0))</f>
        <v/>
      </c>
      <c r="BB122" s="22" t="str">
        <f>INDEX(Cronograma!BA$5:BA$11,MATCH($B122,Premissas!$A$39:$A$45,0))</f>
        <v/>
      </c>
    </row>
    <row r="123" spans="1:54" ht="15" customHeight="1" x14ac:dyDescent="0.4">
      <c r="A123" s="15" t="str">
        <f>Frota!$B123&amp;" — "&amp;Frota!$A123</f>
        <v>MB 1722 - Onibus — 102014</v>
      </c>
      <c r="B123" s="16" t="str">
        <f>Frota!$C123</f>
        <v>Caminhão</v>
      </c>
      <c r="C123" s="22" t="str">
        <f>INDEX(Cronograma!B$5:B$11,MATCH($B123,Premissas!$A$39:$A$45,0))</f>
        <v/>
      </c>
      <c r="D123" s="22" t="str">
        <f>INDEX(Cronograma!C$5:C$11,MATCH($B123,Premissas!$A$39:$A$45,0))</f>
        <v/>
      </c>
      <c r="E123" s="22" t="str">
        <f>INDEX(Cronograma!D$5:D$11,MATCH($B123,Premissas!$A$39:$A$45,0))</f>
        <v/>
      </c>
      <c r="F123" s="22" t="str">
        <f>INDEX(Cronograma!E$5:E$11,MATCH($B123,Premissas!$A$39:$A$45,0))</f>
        <v/>
      </c>
      <c r="G123" s="22" t="str">
        <f>INDEX(Cronograma!F$5:F$11,MATCH($B123,Premissas!$A$39:$A$45,0))</f>
        <v/>
      </c>
      <c r="H123" s="22" t="str">
        <f>INDEX(Cronograma!G$5:G$11,MATCH($B123,Premissas!$A$39:$A$45,0))</f>
        <v/>
      </c>
      <c r="I123" s="22" t="str">
        <f>INDEX(Cronograma!H$5:H$11,MATCH($B123,Premissas!$A$39:$A$45,0))</f>
        <v>S</v>
      </c>
      <c r="J123" s="22" t="str">
        <f>INDEX(Cronograma!I$5:I$11,MATCH($B123,Premissas!$A$39:$A$45,0))</f>
        <v/>
      </c>
      <c r="K123" s="22" t="str">
        <f>INDEX(Cronograma!J$5:J$11,MATCH($B123,Premissas!$A$39:$A$45,0))</f>
        <v/>
      </c>
      <c r="L123" s="22" t="str">
        <f>INDEX(Cronograma!K$5:K$11,MATCH($B123,Premissas!$A$39:$A$45,0))</f>
        <v/>
      </c>
      <c r="M123" s="22" t="str">
        <f>INDEX(Cronograma!L$5:L$11,MATCH($B123,Premissas!$A$39:$A$45,0))</f>
        <v/>
      </c>
      <c r="N123" s="22" t="str">
        <f>INDEX(Cronograma!M$5:M$11,MATCH($B123,Premissas!$A$39:$A$45,0))</f>
        <v/>
      </c>
      <c r="O123" s="22" t="str">
        <f>INDEX(Cronograma!N$5:N$11,MATCH($B123,Premissas!$A$39:$A$45,0))</f>
        <v/>
      </c>
      <c r="P123" s="22" t="str">
        <f>INDEX(Cronograma!O$5:O$11,MATCH($B123,Premissas!$A$39:$A$45,0))</f>
        <v>A</v>
      </c>
      <c r="Q123" s="22" t="str">
        <f>INDEX(Cronograma!P$5:P$11,MATCH($B123,Premissas!$A$39:$A$45,0))</f>
        <v/>
      </c>
      <c r="R123" s="22" t="str">
        <f>INDEX(Cronograma!Q$5:Q$11,MATCH($B123,Premissas!$A$39:$A$45,0))</f>
        <v/>
      </c>
      <c r="S123" s="22" t="str">
        <f>INDEX(Cronograma!R$5:R$11,MATCH($B123,Premissas!$A$39:$A$45,0))</f>
        <v/>
      </c>
      <c r="T123" s="22" t="str">
        <f>INDEX(Cronograma!S$5:S$11,MATCH($B123,Premissas!$A$39:$A$45,0))</f>
        <v/>
      </c>
      <c r="U123" s="22" t="str">
        <f>INDEX(Cronograma!T$5:T$11,MATCH($B123,Premissas!$A$39:$A$45,0))</f>
        <v/>
      </c>
      <c r="V123" s="22" t="str">
        <f>INDEX(Cronograma!U$5:U$11,MATCH($B123,Premissas!$A$39:$A$45,0))</f>
        <v>S</v>
      </c>
      <c r="W123" s="22" t="str">
        <f>INDEX(Cronograma!V$5:V$11,MATCH($B123,Premissas!$A$39:$A$45,0))</f>
        <v/>
      </c>
      <c r="X123" s="22" t="str">
        <f>INDEX(Cronograma!W$5:W$11,MATCH($B123,Premissas!$A$39:$A$45,0))</f>
        <v/>
      </c>
      <c r="Y123" s="22" t="str">
        <f>INDEX(Cronograma!X$5:X$11,MATCH($B123,Premissas!$A$39:$A$45,0))</f>
        <v/>
      </c>
      <c r="Z123" s="22" t="str">
        <f>INDEX(Cronograma!Y$5:Y$11,MATCH($B123,Premissas!$A$39:$A$45,0))</f>
        <v/>
      </c>
      <c r="AA123" s="22" t="str">
        <f>INDEX(Cronograma!Z$5:Z$11,MATCH($B123,Premissas!$A$39:$A$45,0))</f>
        <v/>
      </c>
      <c r="AB123" s="22" t="str">
        <f>INDEX(Cronograma!AA$5:AA$11,MATCH($B123,Premissas!$A$39:$A$45,0))</f>
        <v/>
      </c>
      <c r="AC123" s="22" t="str">
        <f>INDEX(Cronograma!AB$5:AB$11,MATCH($B123,Premissas!$A$39:$A$45,0))</f>
        <v>B</v>
      </c>
      <c r="AD123" s="22" t="str">
        <f>INDEX(Cronograma!AC$5:AC$11,MATCH($B123,Premissas!$A$39:$A$45,0))</f>
        <v/>
      </c>
      <c r="AE123" s="22" t="str">
        <f>INDEX(Cronograma!AD$5:AD$11,MATCH($B123,Premissas!$A$39:$A$45,0))</f>
        <v/>
      </c>
      <c r="AF123" s="22" t="str">
        <f>INDEX(Cronograma!AE$5:AE$11,MATCH($B123,Premissas!$A$39:$A$45,0))</f>
        <v/>
      </c>
      <c r="AG123" s="22" t="str">
        <f>INDEX(Cronograma!AF$5:AF$11,MATCH($B123,Premissas!$A$39:$A$45,0))</f>
        <v/>
      </c>
      <c r="AH123" s="22" t="str">
        <f>INDEX(Cronograma!AG$5:AG$11,MATCH($B123,Premissas!$A$39:$A$45,0))</f>
        <v/>
      </c>
      <c r="AI123" s="22" t="str">
        <f>INDEX(Cronograma!AH$5:AH$11,MATCH($B123,Premissas!$A$39:$A$45,0))</f>
        <v/>
      </c>
      <c r="AJ123" s="22" t="str">
        <f>INDEX(Cronograma!AI$5:AI$11,MATCH($B123,Premissas!$A$39:$A$45,0))</f>
        <v/>
      </c>
      <c r="AK123" s="22" t="str">
        <f>INDEX(Cronograma!AJ$5:AJ$11,MATCH($B123,Premissas!$A$39:$A$45,0))</f>
        <v/>
      </c>
      <c r="AL123" s="22" t="str">
        <f>INDEX(Cronograma!AK$5:AK$11,MATCH($B123,Premissas!$A$39:$A$45,0))</f>
        <v/>
      </c>
      <c r="AM123" s="22" t="str">
        <f>INDEX(Cronograma!AL$5:AL$11,MATCH($B123,Premissas!$A$39:$A$45,0))</f>
        <v/>
      </c>
      <c r="AN123" s="22" t="str">
        <f>INDEX(Cronograma!AM$5:AM$11,MATCH($B123,Premissas!$A$39:$A$45,0))</f>
        <v/>
      </c>
      <c r="AO123" s="22" t="str">
        <f>INDEX(Cronograma!AN$5:AN$11,MATCH($B123,Premissas!$A$39:$A$45,0))</f>
        <v/>
      </c>
      <c r="AP123" s="22" t="str">
        <f>INDEX(Cronograma!AO$5:AO$11,MATCH($B123,Premissas!$A$39:$A$45,0))</f>
        <v>S</v>
      </c>
      <c r="AQ123" s="22" t="str">
        <f>INDEX(Cronograma!AP$5:AP$11,MATCH($B123,Premissas!$A$39:$A$45,0))</f>
        <v/>
      </c>
      <c r="AR123" s="22" t="str">
        <f>INDEX(Cronograma!AQ$5:AQ$11,MATCH($B123,Premissas!$A$39:$A$45,0))</f>
        <v/>
      </c>
      <c r="AS123" s="22" t="str">
        <f>INDEX(Cronograma!AR$5:AR$11,MATCH($B123,Premissas!$A$39:$A$45,0))</f>
        <v/>
      </c>
      <c r="AT123" s="22" t="str">
        <f>INDEX(Cronograma!AS$5:AS$11,MATCH($B123,Premissas!$A$39:$A$45,0))</f>
        <v/>
      </c>
      <c r="AU123" s="22" t="str">
        <f>INDEX(Cronograma!AT$5:AT$11,MATCH($B123,Premissas!$A$39:$A$45,0))</f>
        <v/>
      </c>
      <c r="AV123" s="22" t="str">
        <f>INDEX(Cronograma!AU$5:AU$11,MATCH($B123,Premissas!$A$39:$A$45,0))</f>
        <v/>
      </c>
      <c r="AW123" s="22" t="str">
        <f>INDEX(Cronograma!AV$5:AV$11,MATCH($B123,Premissas!$A$39:$A$45,0))</f>
        <v/>
      </c>
      <c r="AX123" s="22" t="str">
        <f>INDEX(Cronograma!AW$5:AW$11,MATCH($B123,Premissas!$A$39:$A$45,0))</f>
        <v/>
      </c>
      <c r="AY123" s="22" t="str">
        <f>INDEX(Cronograma!AX$5:AX$11,MATCH($B123,Premissas!$A$39:$A$45,0))</f>
        <v/>
      </c>
      <c r="AZ123" s="22" t="str">
        <f>INDEX(Cronograma!AY$5:AY$11,MATCH($B123,Premissas!$A$39:$A$45,0))</f>
        <v/>
      </c>
      <c r="BA123" s="22" t="str">
        <f>INDEX(Cronograma!AZ$5:AZ$11,MATCH($B123,Premissas!$A$39:$A$45,0))</f>
        <v/>
      </c>
      <c r="BB123" s="22" t="str">
        <f>INDEX(Cronograma!BA$5:BA$11,MATCH($B123,Premissas!$A$39:$A$45,0))</f>
        <v/>
      </c>
    </row>
    <row r="124" spans="1:54" ht="15" customHeight="1" x14ac:dyDescent="0.4">
      <c r="A124" s="15" t="str">
        <f>Frota!$B124&amp;" — "&amp;Frota!$A124</f>
        <v>MB 1722 - Onibus — 102015</v>
      </c>
      <c r="B124" s="16" t="str">
        <f>Frota!$C124</f>
        <v>Caminhão</v>
      </c>
      <c r="C124" s="22" t="str">
        <f>INDEX(Cronograma!B$5:B$11,MATCH($B124,Premissas!$A$39:$A$45,0))</f>
        <v/>
      </c>
      <c r="D124" s="22" t="str">
        <f>INDEX(Cronograma!C$5:C$11,MATCH($B124,Premissas!$A$39:$A$45,0))</f>
        <v/>
      </c>
      <c r="E124" s="22" t="str">
        <f>INDEX(Cronograma!D$5:D$11,MATCH($B124,Premissas!$A$39:$A$45,0))</f>
        <v/>
      </c>
      <c r="F124" s="22" t="str">
        <f>INDEX(Cronograma!E$5:E$11,MATCH($B124,Premissas!$A$39:$A$45,0))</f>
        <v/>
      </c>
      <c r="G124" s="22" t="str">
        <f>INDEX(Cronograma!F$5:F$11,MATCH($B124,Premissas!$A$39:$A$45,0))</f>
        <v/>
      </c>
      <c r="H124" s="22" t="str">
        <f>INDEX(Cronograma!G$5:G$11,MATCH($B124,Premissas!$A$39:$A$45,0))</f>
        <v/>
      </c>
      <c r="I124" s="22" t="str">
        <f>INDEX(Cronograma!H$5:H$11,MATCH($B124,Premissas!$A$39:$A$45,0))</f>
        <v>S</v>
      </c>
      <c r="J124" s="22" t="str">
        <f>INDEX(Cronograma!I$5:I$11,MATCH($B124,Premissas!$A$39:$A$45,0))</f>
        <v/>
      </c>
      <c r="K124" s="22" t="str">
        <f>INDEX(Cronograma!J$5:J$11,MATCH($B124,Premissas!$A$39:$A$45,0))</f>
        <v/>
      </c>
      <c r="L124" s="22" t="str">
        <f>INDEX(Cronograma!K$5:K$11,MATCH($B124,Premissas!$A$39:$A$45,0))</f>
        <v/>
      </c>
      <c r="M124" s="22" t="str">
        <f>INDEX(Cronograma!L$5:L$11,MATCH($B124,Premissas!$A$39:$A$45,0))</f>
        <v/>
      </c>
      <c r="N124" s="22" t="str">
        <f>INDEX(Cronograma!M$5:M$11,MATCH($B124,Premissas!$A$39:$A$45,0))</f>
        <v/>
      </c>
      <c r="O124" s="22" t="str">
        <f>INDEX(Cronograma!N$5:N$11,MATCH($B124,Premissas!$A$39:$A$45,0))</f>
        <v/>
      </c>
      <c r="P124" s="22" t="str">
        <f>INDEX(Cronograma!O$5:O$11,MATCH($B124,Premissas!$A$39:$A$45,0))</f>
        <v>A</v>
      </c>
      <c r="Q124" s="22" t="str">
        <f>INDEX(Cronograma!P$5:P$11,MATCH($B124,Premissas!$A$39:$A$45,0))</f>
        <v/>
      </c>
      <c r="R124" s="22" t="str">
        <f>INDEX(Cronograma!Q$5:Q$11,MATCH($B124,Premissas!$A$39:$A$45,0))</f>
        <v/>
      </c>
      <c r="S124" s="22" t="str">
        <f>INDEX(Cronograma!R$5:R$11,MATCH($B124,Premissas!$A$39:$A$45,0))</f>
        <v/>
      </c>
      <c r="T124" s="22" t="str">
        <f>INDEX(Cronograma!S$5:S$11,MATCH($B124,Premissas!$A$39:$A$45,0))</f>
        <v/>
      </c>
      <c r="U124" s="22" t="str">
        <f>INDEX(Cronograma!T$5:T$11,MATCH($B124,Premissas!$A$39:$A$45,0))</f>
        <v/>
      </c>
      <c r="V124" s="22" t="str">
        <f>INDEX(Cronograma!U$5:U$11,MATCH($B124,Premissas!$A$39:$A$45,0))</f>
        <v>S</v>
      </c>
      <c r="W124" s="22" t="str">
        <f>INDEX(Cronograma!V$5:V$11,MATCH($B124,Premissas!$A$39:$A$45,0))</f>
        <v/>
      </c>
      <c r="X124" s="22" t="str">
        <f>INDEX(Cronograma!W$5:W$11,MATCH($B124,Premissas!$A$39:$A$45,0))</f>
        <v/>
      </c>
      <c r="Y124" s="22" t="str">
        <f>INDEX(Cronograma!X$5:X$11,MATCH($B124,Premissas!$A$39:$A$45,0))</f>
        <v/>
      </c>
      <c r="Z124" s="22" t="str">
        <f>INDEX(Cronograma!Y$5:Y$11,MATCH($B124,Premissas!$A$39:$A$45,0))</f>
        <v/>
      </c>
      <c r="AA124" s="22" t="str">
        <f>INDEX(Cronograma!Z$5:Z$11,MATCH($B124,Premissas!$A$39:$A$45,0))</f>
        <v/>
      </c>
      <c r="AB124" s="22" t="str">
        <f>INDEX(Cronograma!AA$5:AA$11,MATCH($B124,Premissas!$A$39:$A$45,0))</f>
        <v/>
      </c>
      <c r="AC124" s="22" t="str">
        <f>INDEX(Cronograma!AB$5:AB$11,MATCH($B124,Premissas!$A$39:$A$45,0))</f>
        <v>B</v>
      </c>
      <c r="AD124" s="22" t="str">
        <f>INDEX(Cronograma!AC$5:AC$11,MATCH($B124,Premissas!$A$39:$A$45,0))</f>
        <v/>
      </c>
      <c r="AE124" s="22" t="str">
        <f>INDEX(Cronograma!AD$5:AD$11,MATCH($B124,Premissas!$A$39:$A$45,0))</f>
        <v/>
      </c>
      <c r="AF124" s="22" t="str">
        <f>INDEX(Cronograma!AE$5:AE$11,MATCH($B124,Premissas!$A$39:$A$45,0))</f>
        <v/>
      </c>
      <c r="AG124" s="22" t="str">
        <f>INDEX(Cronograma!AF$5:AF$11,MATCH($B124,Premissas!$A$39:$A$45,0))</f>
        <v/>
      </c>
      <c r="AH124" s="22" t="str">
        <f>INDEX(Cronograma!AG$5:AG$11,MATCH($B124,Premissas!$A$39:$A$45,0))</f>
        <v/>
      </c>
      <c r="AI124" s="22" t="str">
        <f>INDEX(Cronograma!AH$5:AH$11,MATCH($B124,Premissas!$A$39:$A$45,0))</f>
        <v/>
      </c>
      <c r="AJ124" s="22" t="str">
        <f>INDEX(Cronograma!AI$5:AI$11,MATCH($B124,Premissas!$A$39:$A$45,0))</f>
        <v/>
      </c>
      <c r="AK124" s="22" t="str">
        <f>INDEX(Cronograma!AJ$5:AJ$11,MATCH($B124,Premissas!$A$39:$A$45,0))</f>
        <v/>
      </c>
      <c r="AL124" s="22" t="str">
        <f>INDEX(Cronograma!AK$5:AK$11,MATCH($B124,Premissas!$A$39:$A$45,0))</f>
        <v/>
      </c>
      <c r="AM124" s="22" t="str">
        <f>INDEX(Cronograma!AL$5:AL$11,MATCH($B124,Premissas!$A$39:$A$45,0))</f>
        <v/>
      </c>
      <c r="AN124" s="22" t="str">
        <f>INDEX(Cronograma!AM$5:AM$11,MATCH($B124,Premissas!$A$39:$A$45,0))</f>
        <v/>
      </c>
      <c r="AO124" s="22" t="str">
        <f>INDEX(Cronograma!AN$5:AN$11,MATCH($B124,Premissas!$A$39:$A$45,0))</f>
        <v/>
      </c>
      <c r="AP124" s="22" t="str">
        <f>INDEX(Cronograma!AO$5:AO$11,MATCH($B124,Premissas!$A$39:$A$45,0))</f>
        <v>S</v>
      </c>
      <c r="AQ124" s="22" t="str">
        <f>INDEX(Cronograma!AP$5:AP$11,MATCH($B124,Premissas!$A$39:$A$45,0))</f>
        <v/>
      </c>
      <c r="AR124" s="22" t="str">
        <f>INDEX(Cronograma!AQ$5:AQ$11,MATCH($B124,Premissas!$A$39:$A$45,0))</f>
        <v/>
      </c>
      <c r="AS124" s="22" t="str">
        <f>INDEX(Cronograma!AR$5:AR$11,MATCH($B124,Premissas!$A$39:$A$45,0))</f>
        <v/>
      </c>
      <c r="AT124" s="22" t="str">
        <f>INDEX(Cronograma!AS$5:AS$11,MATCH($B124,Premissas!$A$39:$A$45,0))</f>
        <v/>
      </c>
      <c r="AU124" s="22" t="str">
        <f>INDEX(Cronograma!AT$5:AT$11,MATCH($B124,Premissas!$A$39:$A$45,0))</f>
        <v/>
      </c>
      <c r="AV124" s="22" t="str">
        <f>INDEX(Cronograma!AU$5:AU$11,MATCH($B124,Premissas!$A$39:$A$45,0))</f>
        <v/>
      </c>
      <c r="AW124" s="22" t="str">
        <f>INDEX(Cronograma!AV$5:AV$11,MATCH($B124,Premissas!$A$39:$A$45,0))</f>
        <v/>
      </c>
      <c r="AX124" s="22" t="str">
        <f>INDEX(Cronograma!AW$5:AW$11,MATCH($B124,Premissas!$A$39:$A$45,0))</f>
        <v/>
      </c>
      <c r="AY124" s="22" t="str">
        <f>INDEX(Cronograma!AX$5:AX$11,MATCH($B124,Premissas!$A$39:$A$45,0))</f>
        <v/>
      </c>
      <c r="AZ124" s="22" t="str">
        <f>INDEX(Cronograma!AY$5:AY$11,MATCH($B124,Premissas!$A$39:$A$45,0))</f>
        <v/>
      </c>
      <c r="BA124" s="22" t="str">
        <f>INDEX(Cronograma!AZ$5:AZ$11,MATCH($B124,Premissas!$A$39:$A$45,0))</f>
        <v/>
      </c>
      <c r="BB124" s="22" t="str">
        <f>INDEX(Cronograma!BA$5:BA$11,MATCH($B124,Premissas!$A$39:$A$45,0))</f>
        <v/>
      </c>
    </row>
    <row r="125" spans="1:54" ht="15" customHeight="1" x14ac:dyDescent="0.4">
      <c r="A125" s="15" t="str">
        <f>Frota!$B125&amp;" — "&amp;Frota!$A125</f>
        <v>MB 1722 - Onibus — 102016</v>
      </c>
      <c r="B125" s="16" t="str">
        <f>Frota!$C125</f>
        <v>Caminhão</v>
      </c>
      <c r="C125" s="22" t="str">
        <f>INDEX(Cronograma!B$5:B$11,MATCH($B125,Premissas!$A$39:$A$45,0))</f>
        <v/>
      </c>
      <c r="D125" s="22" t="str">
        <f>INDEX(Cronograma!C$5:C$11,MATCH($B125,Premissas!$A$39:$A$45,0))</f>
        <v/>
      </c>
      <c r="E125" s="22" t="str">
        <f>INDEX(Cronograma!D$5:D$11,MATCH($B125,Premissas!$A$39:$A$45,0))</f>
        <v/>
      </c>
      <c r="F125" s="22" t="str">
        <f>INDEX(Cronograma!E$5:E$11,MATCH($B125,Premissas!$A$39:$A$45,0))</f>
        <v/>
      </c>
      <c r="G125" s="22" t="str">
        <f>INDEX(Cronograma!F$5:F$11,MATCH($B125,Premissas!$A$39:$A$45,0))</f>
        <v/>
      </c>
      <c r="H125" s="22" t="str">
        <f>INDEX(Cronograma!G$5:G$11,MATCH($B125,Premissas!$A$39:$A$45,0))</f>
        <v/>
      </c>
      <c r="I125" s="22" t="str">
        <f>INDEX(Cronograma!H$5:H$11,MATCH($B125,Premissas!$A$39:$A$45,0))</f>
        <v>S</v>
      </c>
      <c r="J125" s="22" t="str">
        <f>INDEX(Cronograma!I$5:I$11,MATCH($B125,Premissas!$A$39:$A$45,0))</f>
        <v/>
      </c>
      <c r="K125" s="22" t="str">
        <f>INDEX(Cronograma!J$5:J$11,MATCH($B125,Premissas!$A$39:$A$45,0))</f>
        <v/>
      </c>
      <c r="L125" s="22" t="str">
        <f>INDEX(Cronograma!K$5:K$11,MATCH($B125,Premissas!$A$39:$A$45,0))</f>
        <v/>
      </c>
      <c r="M125" s="22" t="str">
        <f>INDEX(Cronograma!L$5:L$11,MATCH($B125,Premissas!$A$39:$A$45,0))</f>
        <v/>
      </c>
      <c r="N125" s="22" t="str">
        <f>INDEX(Cronograma!M$5:M$11,MATCH($B125,Premissas!$A$39:$A$45,0))</f>
        <v/>
      </c>
      <c r="O125" s="22" t="str">
        <f>INDEX(Cronograma!N$5:N$11,MATCH($B125,Premissas!$A$39:$A$45,0))</f>
        <v/>
      </c>
      <c r="P125" s="22" t="str">
        <f>INDEX(Cronograma!O$5:O$11,MATCH($B125,Premissas!$A$39:$A$45,0))</f>
        <v>A</v>
      </c>
      <c r="Q125" s="22" t="str">
        <f>INDEX(Cronograma!P$5:P$11,MATCH($B125,Premissas!$A$39:$A$45,0))</f>
        <v/>
      </c>
      <c r="R125" s="22" t="str">
        <f>INDEX(Cronograma!Q$5:Q$11,MATCH($B125,Premissas!$A$39:$A$45,0))</f>
        <v/>
      </c>
      <c r="S125" s="22" t="str">
        <f>INDEX(Cronograma!R$5:R$11,MATCH($B125,Premissas!$A$39:$A$45,0))</f>
        <v/>
      </c>
      <c r="T125" s="22" t="str">
        <f>INDEX(Cronograma!S$5:S$11,MATCH($B125,Premissas!$A$39:$A$45,0))</f>
        <v/>
      </c>
      <c r="U125" s="22" t="str">
        <f>INDEX(Cronograma!T$5:T$11,MATCH($B125,Premissas!$A$39:$A$45,0))</f>
        <v/>
      </c>
      <c r="V125" s="22" t="str">
        <f>INDEX(Cronograma!U$5:U$11,MATCH($B125,Premissas!$A$39:$A$45,0))</f>
        <v>S</v>
      </c>
      <c r="W125" s="22" t="str">
        <f>INDEX(Cronograma!V$5:V$11,MATCH($B125,Premissas!$A$39:$A$45,0))</f>
        <v/>
      </c>
      <c r="X125" s="22" t="str">
        <f>INDEX(Cronograma!W$5:W$11,MATCH($B125,Premissas!$A$39:$A$45,0))</f>
        <v/>
      </c>
      <c r="Y125" s="22" t="str">
        <f>INDEX(Cronograma!X$5:X$11,MATCH($B125,Premissas!$A$39:$A$45,0))</f>
        <v/>
      </c>
      <c r="Z125" s="22" t="str">
        <f>INDEX(Cronograma!Y$5:Y$11,MATCH($B125,Premissas!$A$39:$A$45,0))</f>
        <v/>
      </c>
      <c r="AA125" s="22" t="str">
        <f>INDEX(Cronograma!Z$5:Z$11,MATCH($B125,Premissas!$A$39:$A$45,0))</f>
        <v/>
      </c>
      <c r="AB125" s="22" t="str">
        <f>INDEX(Cronograma!AA$5:AA$11,MATCH($B125,Premissas!$A$39:$A$45,0))</f>
        <v/>
      </c>
      <c r="AC125" s="22" t="str">
        <f>INDEX(Cronograma!AB$5:AB$11,MATCH($B125,Premissas!$A$39:$A$45,0))</f>
        <v>B</v>
      </c>
      <c r="AD125" s="22" t="str">
        <f>INDEX(Cronograma!AC$5:AC$11,MATCH($B125,Premissas!$A$39:$A$45,0))</f>
        <v/>
      </c>
      <c r="AE125" s="22" t="str">
        <f>INDEX(Cronograma!AD$5:AD$11,MATCH($B125,Premissas!$A$39:$A$45,0))</f>
        <v/>
      </c>
      <c r="AF125" s="22" t="str">
        <f>INDEX(Cronograma!AE$5:AE$11,MATCH($B125,Premissas!$A$39:$A$45,0))</f>
        <v/>
      </c>
      <c r="AG125" s="22" t="str">
        <f>INDEX(Cronograma!AF$5:AF$11,MATCH($B125,Premissas!$A$39:$A$45,0))</f>
        <v/>
      </c>
      <c r="AH125" s="22" t="str">
        <f>INDEX(Cronograma!AG$5:AG$11,MATCH($B125,Premissas!$A$39:$A$45,0))</f>
        <v/>
      </c>
      <c r="AI125" s="22" t="str">
        <f>INDEX(Cronograma!AH$5:AH$11,MATCH($B125,Premissas!$A$39:$A$45,0))</f>
        <v/>
      </c>
      <c r="AJ125" s="22" t="str">
        <f>INDEX(Cronograma!AI$5:AI$11,MATCH($B125,Premissas!$A$39:$A$45,0))</f>
        <v/>
      </c>
      <c r="AK125" s="22" t="str">
        <f>INDEX(Cronograma!AJ$5:AJ$11,MATCH($B125,Premissas!$A$39:$A$45,0))</f>
        <v/>
      </c>
      <c r="AL125" s="22" t="str">
        <f>INDEX(Cronograma!AK$5:AK$11,MATCH($B125,Premissas!$A$39:$A$45,0))</f>
        <v/>
      </c>
      <c r="AM125" s="22" t="str">
        <f>INDEX(Cronograma!AL$5:AL$11,MATCH($B125,Premissas!$A$39:$A$45,0))</f>
        <v/>
      </c>
      <c r="AN125" s="22" t="str">
        <f>INDEX(Cronograma!AM$5:AM$11,MATCH($B125,Premissas!$A$39:$A$45,0))</f>
        <v/>
      </c>
      <c r="AO125" s="22" t="str">
        <f>INDEX(Cronograma!AN$5:AN$11,MATCH($B125,Premissas!$A$39:$A$45,0))</f>
        <v/>
      </c>
      <c r="AP125" s="22" t="str">
        <f>INDEX(Cronograma!AO$5:AO$11,MATCH($B125,Premissas!$A$39:$A$45,0))</f>
        <v>S</v>
      </c>
      <c r="AQ125" s="22" t="str">
        <f>INDEX(Cronograma!AP$5:AP$11,MATCH($B125,Premissas!$A$39:$A$45,0))</f>
        <v/>
      </c>
      <c r="AR125" s="22" t="str">
        <f>INDEX(Cronograma!AQ$5:AQ$11,MATCH($B125,Premissas!$A$39:$A$45,0))</f>
        <v/>
      </c>
      <c r="AS125" s="22" t="str">
        <f>INDEX(Cronograma!AR$5:AR$11,MATCH($B125,Premissas!$A$39:$A$45,0))</f>
        <v/>
      </c>
      <c r="AT125" s="22" t="str">
        <f>INDEX(Cronograma!AS$5:AS$11,MATCH($B125,Premissas!$A$39:$A$45,0))</f>
        <v/>
      </c>
      <c r="AU125" s="22" t="str">
        <f>INDEX(Cronograma!AT$5:AT$11,MATCH($B125,Premissas!$A$39:$A$45,0))</f>
        <v/>
      </c>
      <c r="AV125" s="22" t="str">
        <f>INDEX(Cronograma!AU$5:AU$11,MATCH($B125,Premissas!$A$39:$A$45,0))</f>
        <v/>
      </c>
      <c r="AW125" s="22" t="str">
        <f>INDEX(Cronograma!AV$5:AV$11,MATCH($B125,Premissas!$A$39:$A$45,0))</f>
        <v/>
      </c>
      <c r="AX125" s="22" t="str">
        <f>INDEX(Cronograma!AW$5:AW$11,MATCH($B125,Premissas!$A$39:$A$45,0))</f>
        <v/>
      </c>
      <c r="AY125" s="22" t="str">
        <f>INDEX(Cronograma!AX$5:AX$11,MATCH($B125,Premissas!$A$39:$A$45,0))</f>
        <v/>
      </c>
      <c r="AZ125" s="22" t="str">
        <f>INDEX(Cronograma!AY$5:AY$11,MATCH($B125,Premissas!$A$39:$A$45,0))</f>
        <v/>
      </c>
      <c r="BA125" s="22" t="str">
        <f>INDEX(Cronograma!AZ$5:AZ$11,MATCH($B125,Premissas!$A$39:$A$45,0))</f>
        <v/>
      </c>
      <c r="BB125" s="22" t="str">
        <f>INDEX(Cronograma!BA$5:BA$11,MATCH($B125,Premissas!$A$39:$A$45,0))</f>
        <v/>
      </c>
    </row>
    <row r="126" spans="1:54" ht="15" customHeight="1" x14ac:dyDescent="0.4">
      <c r="A126" s="15" t="str">
        <f>Frota!$B126&amp;" — "&amp;Frota!$A126</f>
        <v>Fiat Strada 1.4 — 103074</v>
      </c>
      <c r="B126" s="16" t="str">
        <f>Frota!$C126</f>
        <v>Veículo Leve</v>
      </c>
      <c r="C126" s="22" t="str">
        <f>INDEX(Cronograma!B$5:B$11,MATCH($B126,Premissas!$A$39:$A$45,0))</f>
        <v/>
      </c>
      <c r="D126" s="22" t="str">
        <f>INDEX(Cronograma!C$5:C$11,MATCH($B126,Premissas!$A$39:$A$45,0))</f>
        <v/>
      </c>
      <c r="E126" s="22" t="str">
        <f>INDEX(Cronograma!D$5:D$11,MATCH($B126,Premissas!$A$39:$A$45,0))</f>
        <v/>
      </c>
      <c r="F126" s="22" t="str">
        <f>INDEX(Cronograma!E$5:E$11,MATCH($B126,Premissas!$A$39:$A$45,0))</f>
        <v/>
      </c>
      <c r="G126" s="22" t="str">
        <f>INDEX(Cronograma!F$5:F$11,MATCH($B126,Premissas!$A$39:$A$45,0))</f>
        <v/>
      </c>
      <c r="H126" s="22" t="str">
        <f>INDEX(Cronograma!G$5:G$11,MATCH($B126,Premissas!$A$39:$A$45,0))</f>
        <v/>
      </c>
      <c r="I126" s="22" t="str">
        <f>INDEX(Cronograma!H$5:H$11,MATCH($B126,Premissas!$A$39:$A$45,0))</f>
        <v/>
      </c>
      <c r="J126" s="22" t="str">
        <f>INDEX(Cronograma!I$5:I$11,MATCH($B126,Premissas!$A$39:$A$45,0))</f>
        <v/>
      </c>
      <c r="K126" s="22" t="str">
        <f>INDEX(Cronograma!J$5:J$11,MATCH($B126,Premissas!$A$39:$A$45,0))</f>
        <v/>
      </c>
      <c r="L126" s="22" t="str">
        <f>INDEX(Cronograma!K$5:K$11,MATCH($B126,Premissas!$A$39:$A$45,0))</f>
        <v/>
      </c>
      <c r="M126" s="22" t="str">
        <f>INDEX(Cronograma!L$5:L$11,MATCH($B126,Premissas!$A$39:$A$45,0))</f>
        <v/>
      </c>
      <c r="N126" s="22" t="str">
        <f>INDEX(Cronograma!M$5:M$11,MATCH($B126,Premissas!$A$39:$A$45,0))</f>
        <v/>
      </c>
      <c r="O126" s="22" t="str">
        <f>INDEX(Cronograma!N$5:N$11,MATCH($B126,Premissas!$A$39:$A$45,0))</f>
        <v/>
      </c>
      <c r="P126" s="22" t="str">
        <f>INDEX(Cronograma!O$5:O$11,MATCH($B126,Premissas!$A$39:$A$45,0))</f>
        <v/>
      </c>
      <c r="Q126" s="22" t="str">
        <f>INDEX(Cronograma!P$5:P$11,MATCH($B126,Premissas!$A$39:$A$45,0))</f>
        <v>S</v>
      </c>
      <c r="R126" s="22" t="str">
        <f>INDEX(Cronograma!Q$5:Q$11,MATCH($B126,Premissas!$A$39:$A$45,0))</f>
        <v/>
      </c>
      <c r="S126" s="22" t="str">
        <f>INDEX(Cronograma!R$5:R$11,MATCH($B126,Premissas!$A$39:$A$45,0))</f>
        <v/>
      </c>
      <c r="T126" s="22" t="str">
        <f>INDEX(Cronograma!S$5:S$11,MATCH($B126,Premissas!$A$39:$A$45,0))</f>
        <v/>
      </c>
      <c r="U126" s="22" t="str">
        <f>INDEX(Cronograma!T$5:T$11,MATCH($B126,Premissas!$A$39:$A$45,0))</f>
        <v/>
      </c>
      <c r="V126" s="22" t="str">
        <f>INDEX(Cronograma!U$5:U$11,MATCH($B126,Premissas!$A$39:$A$45,0))</f>
        <v/>
      </c>
      <c r="W126" s="22" t="str">
        <f>INDEX(Cronograma!V$5:V$11,MATCH($B126,Premissas!$A$39:$A$45,0))</f>
        <v/>
      </c>
      <c r="X126" s="22" t="str">
        <f>INDEX(Cronograma!W$5:W$11,MATCH($B126,Premissas!$A$39:$A$45,0))</f>
        <v/>
      </c>
      <c r="Y126" s="22" t="str">
        <f>INDEX(Cronograma!X$5:X$11,MATCH($B126,Premissas!$A$39:$A$45,0))</f>
        <v/>
      </c>
      <c r="Z126" s="22" t="str">
        <f>INDEX(Cronograma!Y$5:Y$11,MATCH($B126,Premissas!$A$39:$A$45,0))</f>
        <v/>
      </c>
      <c r="AA126" s="22" t="str">
        <f>INDEX(Cronograma!Z$5:Z$11,MATCH($B126,Premissas!$A$39:$A$45,0))</f>
        <v/>
      </c>
      <c r="AB126" s="22" t="str">
        <f>INDEX(Cronograma!AA$5:AA$11,MATCH($B126,Premissas!$A$39:$A$45,0))</f>
        <v/>
      </c>
      <c r="AC126" s="22" t="str">
        <f>INDEX(Cronograma!AB$5:AB$11,MATCH($B126,Premissas!$A$39:$A$45,0))</f>
        <v/>
      </c>
      <c r="AD126" s="22" t="str">
        <f>INDEX(Cronograma!AC$5:AC$11,MATCH($B126,Premissas!$A$39:$A$45,0))</f>
        <v/>
      </c>
      <c r="AE126" s="22" t="str">
        <f>INDEX(Cronograma!AD$5:AD$11,MATCH($B126,Premissas!$A$39:$A$45,0))</f>
        <v>A</v>
      </c>
      <c r="AF126" s="22" t="str">
        <f>INDEX(Cronograma!AE$5:AE$11,MATCH($B126,Premissas!$A$39:$A$45,0))</f>
        <v/>
      </c>
      <c r="AG126" s="22" t="str">
        <f>INDEX(Cronograma!AF$5:AF$11,MATCH($B126,Premissas!$A$39:$A$45,0))</f>
        <v/>
      </c>
      <c r="AH126" s="22" t="str">
        <f>INDEX(Cronograma!AG$5:AG$11,MATCH($B126,Premissas!$A$39:$A$45,0))</f>
        <v/>
      </c>
      <c r="AI126" s="22" t="str">
        <f>INDEX(Cronograma!AH$5:AH$11,MATCH($B126,Premissas!$A$39:$A$45,0))</f>
        <v/>
      </c>
      <c r="AJ126" s="22" t="str">
        <f>INDEX(Cronograma!AI$5:AI$11,MATCH($B126,Premissas!$A$39:$A$45,0))</f>
        <v/>
      </c>
      <c r="AK126" s="22" t="str">
        <f>INDEX(Cronograma!AJ$5:AJ$11,MATCH($B126,Premissas!$A$39:$A$45,0))</f>
        <v/>
      </c>
      <c r="AL126" s="22" t="str">
        <f>INDEX(Cronograma!AK$5:AK$11,MATCH($B126,Premissas!$A$39:$A$45,0))</f>
        <v/>
      </c>
      <c r="AM126" s="22" t="str">
        <f>INDEX(Cronograma!AL$5:AL$11,MATCH($B126,Premissas!$A$39:$A$45,0))</f>
        <v/>
      </c>
      <c r="AN126" s="22" t="str">
        <f>INDEX(Cronograma!AM$5:AM$11,MATCH($B126,Premissas!$A$39:$A$45,0))</f>
        <v/>
      </c>
      <c r="AO126" s="22" t="str">
        <f>INDEX(Cronograma!AN$5:AN$11,MATCH($B126,Premissas!$A$39:$A$45,0))</f>
        <v/>
      </c>
      <c r="AP126" s="22" t="str">
        <f>INDEX(Cronograma!AO$5:AO$11,MATCH($B126,Premissas!$A$39:$A$45,0))</f>
        <v/>
      </c>
      <c r="AQ126" s="22" t="str">
        <f>INDEX(Cronograma!AP$5:AP$11,MATCH($B126,Premissas!$A$39:$A$45,0))</f>
        <v/>
      </c>
      <c r="AR126" s="22" t="str">
        <f>INDEX(Cronograma!AQ$5:AQ$11,MATCH($B126,Premissas!$A$39:$A$45,0))</f>
        <v/>
      </c>
      <c r="AS126" s="22" t="str">
        <f>INDEX(Cronograma!AR$5:AR$11,MATCH($B126,Premissas!$A$39:$A$45,0))</f>
        <v/>
      </c>
      <c r="AT126" s="22" t="str">
        <f>INDEX(Cronograma!AS$5:AS$11,MATCH($B126,Premissas!$A$39:$A$45,0))</f>
        <v/>
      </c>
      <c r="AU126" s="22" t="str">
        <f>INDEX(Cronograma!AT$5:AT$11,MATCH($B126,Premissas!$A$39:$A$45,0))</f>
        <v/>
      </c>
      <c r="AV126" s="22" t="str">
        <f>INDEX(Cronograma!AU$5:AU$11,MATCH($B126,Premissas!$A$39:$A$45,0))</f>
        <v/>
      </c>
      <c r="AW126" s="22" t="str">
        <f>INDEX(Cronograma!AV$5:AV$11,MATCH($B126,Premissas!$A$39:$A$45,0))</f>
        <v/>
      </c>
      <c r="AX126" s="22" t="str">
        <f>INDEX(Cronograma!AW$5:AW$11,MATCH($B126,Premissas!$A$39:$A$45,0))</f>
        <v>S</v>
      </c>
      <c r="AY126" s="22" t="str">
        <f>INDEX(Cronograma!AX$5:AX$11,MATCH($B126,Premissas!$A$39:$A$45,0))</f>
        <v/>
      </c>
      <c r="AZ126" s="22" t="str">
        <f>INDEX(Cronograma!AY$5:AY$11,MATCH($B126,Premissas!$A$39:$A$45,0))</f>
        <v/>
      </c>
      <c r="BA126" s="22" t="str">
        <f>INDEX(Cronograma!AZ$5:AZ$11,MATCH($B126,Premissas!$A$39:$A$45,0))</f>
        <v/>
      </c>
      <c r="BB126" s="22" t="str">
        <f>INDEX(Cronograma!BA$5:BA$11,MATCH($B126,Premissas!$A$39:$A$45,0))</f>
        <v/>
      </c>
    </row>
    <row r="127" spans="1:54" ht="15" customHeight="1" x14ac:dyDescent="0.4">
      <c r="A127" s="15" t="str">
        <f>Frota!$B127&amp;" — "&amp;Frota!$A127</f>
        <v>Fiat Strada 1.4 — 103075</v>
      </c>
      <c r="B127" s="16" t="str">
        <f>Frota!$C127</f>
        <v>Veículo Leve</v>
      </c>
      <c r="C127" s="22" t="str">
        <f>INDEX(Cronograma!B$5:B$11,MATCH($B127,Premissas!$A$39:$A$45,0))</f>
        <v/>
      </c>
      <c r="D127" s="22" t="str">
        <f>INDEX(Cronograma!C$5:C$11,MATCH($B127,Premissas!$A$39:$A$45,0))</f>
        <v/>
      </c>
      <c r="E127" s="22" t="str">
        <f>INDEX(Cronograma!D$5:D$11,MATCH($B127,Premissas!$A$39:$A$45,0))</f>
        <v/>
      </c>
      <c r="F127" s="22" t="str">
        <f>INDEX(Cronograma!E$5:E$11,MATCH($B127,Premissas!$A$39:$A$45,0))</f>
        <v/>
      </c>
      <c r="G127" s="22" t="str">
        <f>INDEX(Cronograma!F$5:F$11,MATCH($B127,Premissas!$A$39:$A$45,0))</f>
        <v/>
      </c>
      <c r="H127" s="22" t="str">
        <f>INDEX(Cronograma!G$5:G$11,MATCH($B127,Premissas!$A$39:$A$45,0))</f>
        <v/>
      </c>
      <c r="I127" s="22" t="str">
        <f>INDEX(Cronograma!H$5:H$11,MATCH($B127,Premissas!$A$39:$A$45,0))</f>
        <v/>
      </c>
      <c r="J127" s="22" t="str">
        <f>INDEX(Cronograma!I$5:I$11,MATCH($B127,Premissas!$A$39:$A$45,0))</f>
        <v/>
      </c>
      <c r="K127" s="22" t="str">
        <f>INDEX(Cronograma!J$5:J$11,MATCH($B127,Premissas!$A$39:$A$45,0))</f>
        <v/>
      </c>
      <c r="L127" s="22" t="str">
        <f>INDEX(Cronograma!K$5:K$11,MATCH($B127,Premissas!$A$39:$A$45,0))</f>
        <v/>
      </c>
      <c r="M127" s="22" t="str">
        <f>INDEX(Cronograma!L$5:L$11,MATCH($B127,Premissas!$A$39:$A$45,0))</f>
        <v/>
      </c>
      <c r="N127" s="22" t="str">
        <f>INDEX(Cronograma!M$5:M$11,MATCH($B127,Premissas!$A$39:$A$45,0))</f>
        <v/>
      </c>
      <c r="O127" s="22" t="str">
        <f>INDEX(Cronograma!N$5:N$11,MATCH($B127,Premissas!$A$39:$A$45,0))</f>
        <v/>
      </c>
      <c r="P127" s="22" t="str">
        <f>INDEX(Cronograma!O$5:O$11,MATCH($B127,Premissas!$A$39:$A$45,0))</f>
        <v/>
      </c>
      <c r="Q127" s="22" t="str">
        <f>INDEX(Cronograma!P$5:P$11,MATCH($B127,Premissas!$A$39:$A$45,0))</f>
        <v>S</v>
      </c>
      <c r="R127" s="22" t="str">
        <f>INDEX(Cronograma!Q$5:Q$11,MATCH($B127,Premissas!$A$39:$A$45,0))</f>
        <v/>
      </c>
      <c r="S127" s="22" t="str">
        <f>INDEX(Cronograma!R$5:R$11,MATCH($B127,Premissas!$A$39:$A$45,0))</f>
        <v/>
      </c>
      <c r="T127" s="22" t="str">
        <f>INDEX(Cronograma!S$5:S$11,MATCH($B127,Premissas!$A$39:$A$45,0))</f>
        <v/>
      </c>
      <c r="U127" s="22" t="str">
        <f>INDEX(Cronograma!T$5:T$11,MATCH($B127,Premissas!$A$39:$A$45,0))</f>
        <v/>
      </c>
      <c r="V127" s="22" t="str">
        <f>INDEX(Cronograma!U$5:U$11,MATCH($B127,Premissas!$A$39:$A$45,0))</f>
        <v/>
      </c>
      <c r="W127" s="22" t="str">
        <f>INDEX(Cronograma!V$5:V$11,MATCH($B127,Premissas!$A$39:$A$45,0))</f>
        <v/>
      </c>
      <c r="X127" s="22" t="str">
        <f>INDEX(Cronograma!W$5:W$11,MATCH($B127,Premissas!$A$39:$A$45,0))</f>
        <v/>
      </c>
      <c r="Y127" s="22" t="str">
        <f>INDEX(Cronograma!X$5:X$11,MATCH($B127,Premissas!$A$39:$A$45,0))</f>
        <v/>
      </c>
      <c r="Z127" s="22" t="str">
        <f>INDEX(Cronograma!Y$5:Y$11,MATCH($B127,Premissas!$A$39:$A$45,0))</f>
        <v/>
      </c>
      <c r="AA127" s="22" t="str">
        <f>INDEX(Cronograma!Z$5:Z$11,MATCH($B127,Premissas!$A$39:$A$45,0))</f>
        <v/>
      </c>
      <c r="AB127" s="22" t="str">
        <f>INDEX(Cronograma!AA$5:AA$11,MATCH($B127,Premissas!$A$39:$A$45,0))</f>
        <v/>
      </c>
      <c r="AC127" s="22" t="str">
        <f>INDEX(Cronograma!AB$5:AB$11,MATCH($B127,Premissas!$A$39:$A$45,0))</f>
        <v/>
      </c>
      <c r="AD127" s="22" t="str">
        <f>INDEX(Cronograma!AC$5:AC$11,MATCH($B127,Premissas!$A$39:$A$45,0))</f>
        <v/>
      </c>
      <c r="AE127" s="22" t="str">
        <f>INDEX(Cronograma!AD$5:AD$11,MATCH($B127,Premissas!$A$39:$A$45,0))</f>
        <v>A</v>
      </c>
      <c r="AF127" s="22" t="str">
        <f>INDEX(Cronograma!AE$5:AE$11,MATCH($B127,Premissas!$A$39:$A$45,0))</f>
        <v/>
      </c>
      <c r="AG127" s="22" t="str">
        <f>INDEX(Cronograma!AF$5:AF$11,MATCH($B127,Premissas!$A$39:$A$45,0))</f>
        <v/>
      </c>
      <c r="AH127" s="22" t="str">
        <f>INDEX(Cronograma!AG$5:AG$11,MATCH($B127,Premissas!$A$39:$A$45,0))</f>
        <v/>
      </c>
      <c r="AI127" s="22" t="str">
        <f>INDEX(Cronograma!AH$5:AH$11,MATCH($B127,Premissas!$A$39:$A$45,0))</f>
        <v/>
      </c>
      <c r="AJ127" s="22" t="str">
        <f>INDEX(Cronograma!AI$5:AI$11,MATCH($B127,Premissas!$A$39:$A$45,0))</f>
        <v/>
      </c>
      <c r="AK127" s="22" t="str">
        <f>INDEX(Cronograma!AJ$5:AJ$11,MATCH($B127,Premissas!$A$39:$A$45,0))</f>
        <v/>
      </c>
      <c r="AL127" s="22" t="str">
        <f>INDEX(Cronograma!AK$5:AK$11,MATCH($B127,Premissas!$A$39:$A$45,0))</f>
        <v/>
      </c>
      <c r="AM127" s="22" t="str">
        <f>INDEX(Cronograma!AL$5:AL$11,MATCH($B127,Premissas!$A$39:$A$45,0))</f>
        <v/>
      </c>
      <c r="AN127" s="22" t="str">
        <f>INDEX(Cronograma!AM$5:AM$11,MATCH($B127,Premissas!$A$39:$A$45,0))</f>
        <v/>
      </c>
      <c r="AO127" s="22" t="str">
        <f>INDEX(Cronograma!AN$5:AN$11,MATCH($B127,Premissas!$A$39:$A$45,0))</f>
        <v/>
      </c>
      <c r="AP127" s="22" t="str">
        <f>INDEX(Cronograma!AO$5:AO$11,MATCH($B127,Premissas!$A$39:$A$45,0))</f>
        <v/>
      </c>
      <c r="AQ127" s="22" t="str">
        <f>INDEX(Cronograma!AP$5:AP$11,MATCH($B127,Premissas!$A$39:$A$45,0))</f>
        <v/>
      </c>
      <c r="AR127" s="22" t="str">
        <f>INDEX(Cronograma!AQ$5:AQ$11,MATCH($B127,Premissas!$A$39:$A$45,0))</f>
        <v/>
      </c>
      <c r="AS127" s="22" t="str">
        <f>INDEX(Cronograma!AR$5:AR$11,MATCH($B127,Premissas!$A$39:$A$45,0))</f>
        <v/>
      </c>
      <c r="AT127" s="22" t="str">
        <f>INDEX(Cronograma!AS$5:AS$11,MATCH($B127,Premissas!$A$39:$A$45,0))</f>
        <v/>
      </c>
      <c r="AU127" s="22" t="str">
        <f>INDEX(Cronograma!AT$5:AT$11,MATCH($B127,Premissas!$A$39:$A$45,0))</f>
        <v/>
      </c>
      <c r="AV127" s="22" t="str">
        <f>INDEX(Cronograma!AU$5:AU$11,MATCH($B127,Premissas!$A$39:$A$45,0))</f>
        <v/>
      </c>
      <c r="AW127" s="22" t="str">
        <f>INDEX(Cronograma!AV$5:AV$11,MATCH($B127,Premissas!$A$39:$A$45,0))</f>
        <v/>
      </c>
      <c r="AX127" s="22" t="str">
        <f>INDEX(Cronograma!AW$5:AW$11,MATCH($B127,Premissas!$A$39:$A$45,0))</f>
        <v>S</v>
      </c>
      <c r="AY127" s="22" t="str">
        <f>INDEX(Cronograma!AX$5:AX$11,MATCH($B127,Premissas!$A$39:$A$45,0))</f>
        <v/>
      </c>
      <c r="AZ127" s="22" t="str">
        <f>INDEX(Cronograma!AY$5:AY$11,MATCH($B127,Premissas!$A$39:$A$45,0))</f>
        <v/>
      </c>
      <c r="BA127" s="22" t="str">
        <f>INDEX(Cronograma!AZ$5:AZ$11,MATCH($B127,Premissas!$A$39:$A$45,0))</f>
        <v/>
      </c>
      <c r="BB127" s="22" t="str">
        <f>INDEX(Cronograma!BA$5:BA$11,MATCH($B127,Premissas!$A$39:$A$45,0))</f>
        <v/>
      </c>
    </row>
    <row r="128" spans="1:54" ht="15" customHeight="1" x14ac:dyDescent="0.4">
      <c r="A128" s="15" t="str">
        <f>Frota!$B128&amp;" — "&amp;Frota!$A128</f>
        <v>Fiat Strada 1.4 — 103076</v>
      </c>
      <c r="B128" s="16" t="str">
        <f>Frota!$C128</f>
        <v>Veículo Leve</v>
      </c>
      <c r="C128" s="22" t="str">
        <f>INDEX(Cronograma!B$5:B$11,MATCH($B128,Premissas!$A$39:$A$45,0))</f>
        <v/>
      </c>
      <c r="D128" s="22" t="str">
        <f>INDEX(Cronograma!C$5:C$11,MATCH($B128,Premissas!$A$39:$A$45,0))</f>
        <v/>
      </c>
      <c r="E128" s="22" t="str">
        <f>INDEX(Cronograma!D$5:D$11,MATCH($B128,Premissas!$A$39:$A$45,0))</f>
        <v/>
      </c>
      <c r="F128" s="22" t="str">
        <f>INDEX(Cronograma!E$5:E$11,MATCH($B128,Premissas!$A$39:$A$45,0))</f>
        <v/>
      </c>
      <c r="G128" s="22" t="str">
        <f>INDEX(Cronograma!F$5:F$11,MATCH($B128,Premissas!$A$39:$A$45,0))</f>
        <v/>
      </c>
      <c r="H128" s="22" t="str">
        <f>INDEX(Cronograma!G$5:G$11,MATCH($B128,Premissas!$A$39:$A$45,0))</f>
        <v/>
      </c>
      <c r="I128" s="22" t="str">
        <f>INDEX(Cronograma!H$5:H$11,MATCH($B128,Premissas!$A$39:$A$45,0))</f>
        <v/>
      </c>
      <c r="J128" s="22" t="str">
        <f>INDEX(Cronograma!I$5:I$11,MATCH($B128,Premissas!$A$39:$A$45,0))</f>
        <v/>
      </c>
      <c r="K128" s="22" t="str">
        <f>INDEX(Cronograma!J$5:J$11,MATCH($B128,Premissas!$A$39:$A$45,0))</f>
        <v/>
      </c>
      <c r="L128" s="22" t="str">
        <f>INDEX(Cronograma!K$5:K$11,MATCH($B128,Premissas!$A$39:$A$45,0))</f>
        <v/>
      </c>
      <c r="M128" s="22" t="str">
        <f>INDEX(Cronograma!L$5:L$11,MATCH($B128,Premissas!$A$39:$A$45,0))</f>
        <v/>
      </c>
      <c r="N128" s="22" t="str">
        <f>INDEX(Cronograma!M$5:M$11,MATCH($B128,Premissas!$A$39:$A$45,0))</f>
        <v/>
      </c>
      <c r="O128" s="22" t="str">
        <f>INDEX(Cronograma!N$5:N$11,MATCH($B128,Premissas!$A$39:$A$45,0))</f>
        <v/>
      </c>
      <c r="P128" s="22" t="str">
        <f>INDEX(Cronograma!O$5:O$11,MATCH($B128,Premissas!$A$39:$A$45,0))</f>
        <v/>
      </c>
      <c r="Q128" s="22" t="str">
        <f>INDEX(Cronograma!P$5:P$11,MATCH($B128,Premissas!$A$39:$A$45,0))</f>
        <v>S</v>
      </c>
      <c r="R128" s="22" t="str">
        <f>INDEX(Cronograma!Q$5:Q$11,MATCH($B128,Premissas!$A$39:$A$45,0))</f>
        <v/>
      </c>
      <c r="S128" s="22" t="str">
        <f>INDEX(Cronograma!R$5:R$11,MATCH($B128,Premissas!$A$39:$A$45,0))</f>
        <v/>
      </c>
      <c r="T128" s="22" t="str">
        <f>INDEX(Cronograma!S$5:S$11,MATCH($B128,Premissas!$A$39:$A$45,0))</f>
        <v/>
      </c>
      <c r="U128" s="22" t="str">
        <f>INDEX(Cronograma!T$5:T$11,MATCH($B128,Premissas!$A$39:$A$45,0))</f>
        <v/>
      </c>
      <c r="V128" s="22" t="str">
        <f>INDEX(Cronograma!U$5:U$11,MATCH($B128,Premissas!$A$39:$A$45,0))</f>
        <v/>
      </c>
      <c r="W128" s="22" t="str">
        <f>INDEX(Cronograma!V$5:V$11,MATCH($B128,Premissas!$A$39:$A$45,0))</f>
        <v/>
      </c>
      <c r="X128" s="22" t="str">
        <f>INDEX(Cronograma!W$5:W$11,MATCH($B128,Premissas!$A$39:$A$45,0))</f>
        <v/>
      </c>
      <c r="Y128" s="22" t="str">
        <f>INDEX(Cronograma!X$5:X$11,MATCH($B128,Premissas!$A$39:$A$45,0))</f>
        <v/>
      </c>
      <c r="Z128" s="22" t="str">
        <f>INDEX(Cronograma!Y$5:Y$11,MATCH($B128,Premissas!$A$39:$A$45,0))</f>
        <v/>
      </c>
      <c r="AA128" s="22" t="str">
        <f>INDEX(Cronograma!Z$5:Z$11,MATCH($B128,Premissas!$A$39:$A$45,0))</f>
        <v/>
      </c>
      <c r="AB128" s="22" t="str">
        <f>INDEX(Cronograma!AA$5:AA$11,MATCH($B128,Premissas!$A$39:$A$45,0))</f>
        <v/>
      </c>
      <c r="AC128" s="22" t="str">
        <f>INDEX(Cronograma!AB$5:AB$11,MATCH($B128,Premissas!$A$39:$A$45,0))</f>
        <v/>
      </c>
      <c r="AD128" s="22" t="str">
        <f>INDEX(Cronograma!AC$5:AC$11,MATCH($B128,Premissas!$A$39:$A$45,0))</f>
        <v/>
      </c>
      <c r="AE128" s="22" t="str">
        <f>INDEX(Cronograma!AD$5:AD$11,MATCH($B128,Premissas!$A$39:$A$45,0))</f>
        <v>A</v>
      </c>
      <c r="AF128" s="22" t="str">
        <f>INDEX(Cronograma!AE$5:AE$11,MATCH($B128,Premissas!$A$39:$A$45,0))</f>
        <v/>
      </c>
      <c r="AG128" s="22" t="str">
        <f>INDEX(Cronograma!AF$5:AF$11,MATCH($B128,Premissas!$A$39:$A$45,0))</f>
        <v/>
      </c>
      <c r="AH128" s="22" t="str">
        <f>INDEX(Cronograma!AG$5:AG$11,MATCH($B128,Premissas!$A$39:$A$45,0))</f>
        <v/>
      </c>
      <c r="AI128" s="22" t="str">
        <f>INDEX(Cronograma!AH$5:AH$11,MATCH($B128,Premissas!$A$39:$A$45,0))</f>
        <v/>
      </c>
      <c r="AJ128" s="22" t="str">
        <f>INDEX(Cronograma!AI$5:AI$11,MATCH($B128,Premissas!$A$39:$A$45,0))</f>
        <v/>
      </c>
      <c r="AK128" s="22" t="str">
        <f>INDEX(Cronograma!AJ$5:AJ$11,MATCH($B128,Premissas!$A$39:$A$45,0))</f>
        <v/>
      </c>
      <c r="AL128" s="22" t="str">
        <f>INDEX(Cronograma!AK$5:AK$11,MATCH($B128,Premissas!$A$39:$A$45,0))</f>
        <v/>
      </c>
      <c r="AM128" s="22" t="str">
        <f>INDEX(Cronograma!AL$5:AL$11,MATCH($B128,Premissas!$A$39:$A$45,0))</f>
        <v/>
      </c>
      <c r="AN128" s="22" t="str">
        <f>INDEX(Cronograma!AM$5:AM$11,MATCH($B128,Premissas!$A$39:$A$45,0))</f>
        <v/>
      </c>
      <c r="AO128" s="22" t="str">
        <f>INDEX(Cronograma!AN$5:AN$11,MATCH($B128,Premissas!$A$39:$A$45,0))</f>
        <v/>
      </c>
      <c r="AP128" s="22" t="str">
        <f>INDEX(Cronograma!AO$5:AO$11,MATCH($B128,Premissas!$A$39:$A$45,0))</f>
        <v/>
      </c>
      <c r="AQ128" s="22" t="str">
        <f>INDEX(Cronograma!AP$5:AP$11,MATCH($B128,Premissas!$A$39:$A$45,0))</f>
        <v/>
      </c>
      <c r="AR128" s="22" t="str">
        <f>INDEX(Cronograma!AQ$5:AQ$11,MATCH($B128,Premissas!$A$39:$A$45,0))</f>
        <v/>
      </c>
      <c r="AS128" s="22" t="str">
        <f>INDEX(Cronograma!AR$5:AR$11,MATCH($B128,Premissas!$A$39:$A$45,0))</f>
        <v/>
      </c>
      <c r="AT128" s="22" t="str">
        <f>INDEX(Cronograma!AS$5:AS$11,MATCH($B128,Premissas!$A$39:$A$45,0))</f>
        <v/>
      </c>
      <c r="AU128" s="22" t="str">
        <f>INDEX(Cronograma!AT$5:AT$11,MATCH($B128,Premissas!$A$39:$A$45,0))</f>
        <v/>
      </c>
      <c r="AV128" s="22" t="str">
        <f>INDEX(Cronograma!AU$5:AU$11,MATCH($B128,Premissas!$A$39:$A$45,0))</f>
        <v/>
      </c>
      <c r="AW128" s="22" t="str">
        <f>INDEX(Cronograma!AV$5:AV$11,MATCH($B128,Premissas!$A$39:$A$45,0))</f>
        <v/>
      </c>
      <c r="AX128" s="22" t="str">
        <f>INDEX(Cronograma!AW$5:AW$11,MATCH($B128,Premissas!$A$39:$A$45,0))</f>
        <v>S</v>
      </c>
      <c r="AY128" s="22" t="str">
        <f>INDEX(Cronograma!AX$5:AX$11,MATCH($B128,Premissas!$A$39:$A$45,0))</f>
        <v/>
      </c>
      <c r="AZ128" s="22" t="str">
        <f>INDEX(Cronograma!AY$5:AY$11,MATCH($B128,Premissas!$A$39:$A$45,0))</f>
        <v/>
      </c>
      <c r="BA128" s="22" t="str">
        <f>INDEX(Cronograma!AZ$5:AZ$11,MATCH($B128,Premissas!$A$39:$A$45,0))</f>
        <v/>
      </c>
      <c r="BB128" s="22" t="str">
        <f>INDEX(Cronograma!BA$5:BA$11,MATCH($B128,Premissas!$A$39:$A$45,0))</f>
        <v/>
      </c>
    </row>
    <row r="129" spans="1:54" ht="15" customHeight="1" x14ac:dyDescent="0.4">
      <c r="A129" s="15" t="str">
        <f>Frota!$B129&amp;" — "&amp;Frota!$A129</f>
        <v>Fiat Strada 1.4 — 103077</v>
      </c>
      <c r="B129" s="16" t="str">
        <f>Frota!$C129</f>
        <v>Veículo Leve</v>
      </c>
      <c r="C129" s="22" t="str">
        <f>INDEX(Cronograma!B$5:B$11,MATCH($B129,Premissas!$A$39:$A$45,0))</f>
        <v/>
      </c>
      <c r="D129" s="22" t="str">
        <f>INDEX(Cronograma!C$5:C$11,MATCH($B129,Premissas!$A$39:$A$45,0))</f>
        <v/>
      </c>
      <c r="E129" s="22" t="str">
        <f>INDEX(Cronograma!D$5:D$11,MATCH($B129,Premissas!$A$39:$A$45,0))</f>
        <v/>
      </c>
      <c r="F129" s="22" t="str">
        <f>INDEX(Cronograma!E$5:E$11,MATCH($B129,Premissas!$A$39:$A$45,0))</f>
        <v/>
      </c>
      <c r="G129" s="22" t="str">
        <f>INDEX(Cronograma!F$5:F$11,MATCH($B129,Premissas!$A$39:$A$45,0))</f>
        <v/>
      </c>
      <c r="H129" s="22" t="str">
        <f>INDEX(Cronograma!G$5:G$11,MATCH($B129,Premissas!$A$39:$A$45,0))</f>
        <v/>
      </c>
      <c r="I129" s="22" t="str">
        <f>INDEX(Cronograma!H$5:H$11,MATCH($B129,Premissas!$A$39:$A$45,0))</f>
        <v/>
      </c>
      <c r="J129" s="22" t="str">
        <f>INDEX(Cronograma!I$5:I$11,MATCH($B129,Premissas!$A$39:$A$45,0))</f>
        <v/>
      </c>
      <c r="K129" s="22" t="str">
        <f>INDEX(Cronograma!J$5:J$11,MATCH($B129,Premissas!$A$39:$A$45,0))</f>
        <v/>
      </c>
      <c r="L129" s="22" t="str">
        <f>INDEX(Cronograma!K$5:K$11,MATCH($B129,Premissas!$A$39:$A$45,0))</f>
        <v/>
      </c>
      <c r="M129" s="22" t="str">
        <f>INDEX(Cronograma!L$5:L$11,MATCH($B129,Premissas!$A$39:$A$45,0))</f>
        <v/>
      </c>
      <c r="N129" s="22" t="str">
        <f>INDEX(Cronograma!M$5:M$11,MATCH($B129,Premissas!$A$39:$A$45,0))</f>
        <v/>
      </c>
      <c r="O129" s="22" t="str">
        <f>INDEX(Cronograma!N$5:N$11,MATCH($B129,Premissas!$A$39:$A$45,0))</f>
        <v/>
      </c>
      <c r="P129" s="22" t="str">
        <f>INDEX(Cronograma!O$5:O$11,MATCH($B129,Premissas!$A$39:$A$45,0))</f>
        <v/>
      </c>
      <c r="Q129" s="22" t="str">
        <f>INDEX(Cronograma!P$5:P$11,MATCH($B129,Premissas!$A$39:$A$45,0))</f>
        <v>S</v>
      </c>
      <c r="R129" s="22" t="str">
        <f>INDEX(Cronograma!Q$5:Q$11,MATCH($B129,Premissas!$A$39:$A$45,0))</f>
        <v/>
      </c>
      <c r="S129" s="22" t="str">
        <f>INDEX(Cronograma!R$5:R$11,MATCH($B129,Premissas!$A$39:$A$45,0))</f>
        <v/>
      </c>
      <c r="T129" s="22" t="str">
        <f>INDEX(Cronograma!S$5:S$11,MATCH($B129,Premissas!$A$39:$A$45,0))</f>
        <v/>
      </c>
      <c r="U129" s="22" t="str">
        <f>INDEX(Cronograma!T$5:T$11,MATCH($B129,Premissas!$A$39:$A$45,0))</f>
        <v/>
      </c>
      <c r="V129" s="22" t="str">
        <f>INDEX(Cronograma!U$5:U$11,MATCH($B129,Premissas!$A$39:$A$45,0))</f>
        <v/>
      </c>
      <c r="W129" s="22" t="str">
        <f>INDEX(Cronograma!V$5:V$11,MATCH($B129,Premissas!$A$39:$A$45,0))</f>
        <v/>
      </c>
      <c r="X129" s="22" t="str">
        <f>INDEX(Cronograma!W$5:W$11,MATCH($B129,Premissas!$A$39:$A$45,0))</f>
        <v/>
      </c>
      <c r="Y129" s="22" t="str">
        <f>INDEX(Cronograma!X$5:X$11,MATCH($B129,Premissas!$A$39:$A$45,0))</f>
        <v/>
      </c>
      <c r="Z129" s="22" t="str">
        <f>INDEX(Cronograma!Y$5:Y$11,MATCH($B129,Premissas!$A$39:$A$45,0))</f>
        <v/>
      </c>
      <c r="AA129" s="22" t="str">
        <f>INDEX(Cronograma!Z$5:Z$11,MATCH($B129,Premissas!$A$39:$A$45,0))</f>
        <v/>
      </c>
      <c r="AB129" s="22" t="str">
        <f>INDEX(Cronograma!AA$5:AA$11,MATCH($B129,Premissas!$A$39:$A$45,0))</f>
        <v/>
      </c>
      <c r="AC129" s="22" t="str">
        <f>INDEX(Cronograma!AB$5:AB$11,MATCH($B129,Premissas!$A$39:$A$45,0))</f>
        <v/>
      </c>
      <c r="AD129" s="22" t="str">
        <f>INDEX(Cronograma!AC$5:AC$11,MATCH($B129,Premissas!$A$39:$A$45,0))</f>
        <v/>
      </c>
      <c r="AE129" s="22" t="str">
        <f>INDEX(Cronograma!AD$5:AD$11,MATCH($B129,Premissas!$A$39:$A$45,0))</f>
        <v>A</v>
      </c>
      <c r="AF129" s="22" t="str">
        <f>INDEX(Cronograma!AE$5:AE$11,MATCH($B129,Premissas!$A$39:$A$45,0))</f>
        <v/>
      </c>
      <c r="AG129" s="22" t="str">
        <f>INDEX(Cronograma!AF$5:AF$11,MATCH($B129,Premissas!$A$39:$A$45,0))</f>
        <v/>
      </c>
      <c r="AH129" s="22" t="str">
        <f>INDEX(Cronograma!AG$5:AG$11,MATCH($B129,Premissas!$A$39:$A$45,0))</f>
        <v/>
      </c>
      <c r="AI129" s="22" t="str">
        <f>INDEX(Cronograma!AH$5:AH$11,MATCH($B129,Premissas!$A$39:$A$45,0))</f>
        <v/>
      </c>
      <c r="AJ129" s="22" t="str">
        <f>INDEX(Cronograma!AI$5:AI$11,MATCH($B129,Premissas!$A$39:$A$45,0))</f>
        <v/>
      </c>
      <c r="AK129" s="22" t="str">
        <f>INDEX(Cronograma!AJ$5:AJ$11,MATCH($B129,Premissas!$A$39:$A$45,0))</f>
        <v/>
      </c>
      <c r="AL129" s="22" t="str">
        <f>INDEX(Cronograma!AK$5:AK$11,MATCH($B129,Premissas!$A$39:$A$45,0))</f>
        <v/>
      </c>
      <c r="AM129" s="22" t="str">
        <f>INDEX(Cronograma!AL$5:AL$11,MATCH($B129,Premissas!$A$39:$A$45,0))</f>
        <v/>
      </c>
      <c r="AN129" s="22" t="str">
        <f>INDEX(Cronograma!AM$5:AM$11,MATCH($B129,Premissas!$A$39:$A$45,0))</f>
        <v/>
      </c>
      <c r="AO129" s="22" t="str">
        <f>INDEX(Cronograma!AN$5:AN$11,MATCH($B129,Premissas!$A$39:$A$45,0))</f>
        <v/>
      </c>
      <c r="AP129" s="22" t="str">
        <f>INDEX(Cronograma!AO$5:AO$11,MATCH($B129,Premissas!$A$39:$A$45,0))</f>
        <v/>
      </c>
      <c r="AQ129" s="22" t="str">
        <f>INDEX(Cronograma!AP$5:AP$11,MATCH($B129,Premissas!$A$39:$A$45,0))</f>
        <v/>
      </c>
      <c r="AR129" s="22" t="str">
        <f>INDEX(Cronograma!AQ$5:AQ$11,MATCH($B129,Premissas!$A$39:$A$45,0))</f>
        <v/>
      </c>
      <c r="AS129" s="22" t="str">
        <f>INDEX(Cronograma!AR$5:AR$11,MATCH($B129,Premissas!$A$39:$A$45,0))</f>
        <v/>
      </c>
      <c r="AT129" s="22" t="str">
        <f>INDEX(Cronograma!AS$5:AS$11,MATCH($B129,Premissas!$A$39:$A$45,0))</f>
        <v/>
      </c>
      <c r="AU129" s="22" t="str">
        <f>INDEX(Cronograma!AT$5:AT$11,MATCH($B129,Premissas!$A$39:$A$45,0))</f>
        <v/>
      </c>
      <c r="AV129" s="22" t="str">
        <f>INDEX(Cronograma!AU$5:AU$11,MATCH($B129,Premissas!$A$39:$A$45,0))</f>
        <v/>
      </c>
      <c r="AW129" s="22" t="str">
        <f>INDEX(Cronograma!AV$5:AV$11,MATCH($B129,Premissas!$A$39:$A$45,0))</f>
        <v/>
      </c>
      <c r="AX129" s="22" t="str">
        <f>INDEX(Cronograma!AW$5:AW$11,MATCH($B129,Premissas!$A$39:$A$45,0))</f>
        <v>S</v>
      </c>
      <c r="AY129" s="22" t="str">
        <f>INDEX(Cronograma!AX$5:AX$11,MATCH($B129,Premissas!$A$39:$A$45,0))</f>
        <v/>
      </c>
      <c r="AZ129" s="22" t="str">
        <f>INDEX(Cronograma!AY$5:AY$11,MATCH($B129,Premissas!$A$39:$A$45,0))</f>
        <v/>
      </c>
      <c r="BA129" s="22" t="str">
        <f>INDEX(Cronograma!AZ$5:AZ$11,MATCH($B129,Premissas!$A$39:$A$45,0))</f>
        <v/>
      </c>
      <c r="BB129" s="22" t="str">
        <f>INDEX(Cronograma!BA$5:BA$11,MATCH($B129,Premissas!$A$39:$A$45,0))</f>
        <v/>
      </c>
    </row>
    <row r="130" spans="1:54" ht="15" customHeight="1" x14ac:dyDescent="0.4">
      <c r="A130" s="15" t="str">
        <f>Frota!$B130&amp;" — "&amp;Frota!$A130</f>
        <v>Fiat Strada 1.4 — 103078</v>
      </c>
      <c r="B130" s="16" t="str">
        <f>Frota!$C130</f>
        <v>Veículo Leve</v>
      </c>
      <c r="C130" s="22" t="str">
        <f>INDEX(Cronograma!B$5:B$11,MATCH($B130,Premissas!$A$39:$A$45,0))</f>
        <v/>
      </c>
      <c r="D130" s="22" t="str">
        <f>INDEX(Cronograma!C$5:C$11,MATCH($B130,Premissas!$A$39:$A$45,0))</f>
        <v/>
      </c>
      <c r="E130" s="22" t="str">
        <f>INDEX(Cronograma!D$5:D$11,MATCH($B130,Premissas!$A$39:$A$45,0))</f>
        <v/>
      </c>
      <c r="F130" s="22" t="str">
        <f>INDEX(Cronograma!E$5:E$11,MATCH($B130,Premissas!$A$39:$A$45,0))</f>
        <v/>
      </c>
      <c r="G130" s="22" t="str">
        <f>INDEX(Cronograma!F$5:F$11,MATCH($B130,Premissas!$A$39:$A$45,0))</f>
        <v/>
      </c>
      <c r="H130" s="22" t="str">
        <f>INDEX(Cronograma!G$5:G$11,MATCH($B130,Premissas!$A$39:$A$45,0))</f>
        <v/>
      </c>
      <c r="I130" s="22" t="str">
        <f>INDEX(Cronograma!H$5:H$11,MATCH($B130,Premissas!$A$39:$A$45,0))</f>
        <v/>
      </c>
      <c r="J130" s="22" t="str">
        <f>INDEX(Cronograma!I$5:I$11,MATCH($B130,Premissas!$A$39:$A$45,0))</f>
        <v/>
      </c>
      <c r="K130" s="22" t="str">
        <f>INDEX(Cronograma!J$5:J$11,MATCH($B130,Premissas!$A$39:$A$45,0))</f>
        <v/>
      </c>
      <c r="L130" s="22" t="str">
        <f>INDEX(Cronograma!K$5:K$11,MATCH($B130,Premissas!$A$39:$A$45,0))</f>
        <v/>
      </c>
      <c r="M130" s="22" t="str">
        <f>INDEX(Cronograma!L$5:L$11,MATCH($B130,Premissas!$A$39:$A$45,0))</f>
        <v/>
      </c>
      <c r="N130" s="22" t="str">
        <f>INDEX(Cronograma!M$5:M$11,MATCH($B130,Premissas!$A$39:$A$45,0))</f>
        <v/>
      </c>
      <c r="O130" s="22" t="str">
        <f>INDEX(Cronograma!N$5:N$11,MATCH($B130,Premissas!$A$39:$A$45,0))</f>
        <v/>
      </c>
      <c r="P130" s="22" t="str">
        <f>INDEX(Cronograma!O$5:O$11,MATCH($B130,Premissas!$A$39:$A$45,0))</f>
        <v/>
      </c>
      <c r="Q130" s="22" t="str">
        <f>INDEX(Cronograma!P$5:P$11,MATCH($B130,Premissas!$A$39:$A$45,0))</f>
        <v>S</v>
      </c>
      <c r="R130" s="22" t="str">
        <f>INDEX(Cronograma!Q$5:Q$11,MATCH($B130,Premissas!$A$39:$A$45,0))</f>
        <v/>
      </c>
      <c r="S130" s="22" t="str">
        <f>INDEX(Cronograma!R$5:R$11,MATCH($B130,Premissas!$A$39:$A$45,0))</f>
        <v/>
      </c>
      <c r="T130" s="22" t="str">
        <f>INDEX(Cronograma!S$5:S$11,MATCH($B130,Premissas!$A$39:$A$45,0))</f>
        <v/>
      </c>
      <c r="U130" s="22" t="str">
        <f>INDEX(Cronograma!T$5:T$11,MATCH($B130,Premissas!$A$39:$A$45,0))</f>
        <v/>
      </c>
      <c r="V130" s="22" t="str">
        <f>INDEX(Cronograma!U$5:U$11,MATCH($B130,Premissas!$A$39:$A$45,0))</f>
        <v/>
      </c>
      <c r="W130" s="22" t="str">
        <f>INDEX(Cronograma!V$5:V$11,MATCH($B130,Premissas!$A$39:$A$45,0))</f>
        <v/>
      </c>
      <c r="X130" s="22" t="str">
        <f>INDEX(Cronograma!W$5:W$11,MATCH($B130,Premissas!$A$39:$A$45,0))</f>
        <v/>
      </c>
      <c r="Y130" s="22" t="str">
        <f>INDEX(Cronograma!X$5:X$11,MATCH($B130,Premissas!$A$39:$A$45,0))</f>
        <v/>
      </c>
      <c r="Z130" s="22" t="str">
        <f>INDEX(Cronograma!Y$5:Y$11,MATCH($B130,Premissas!$A$39:$A$45,0))</f>
        <v/>
      </c>
      <c r="AA130" s="22" t="str">
        <f>INDEX(Cronograma!Z$5:Z$11,MATCH($B130,Premissas!$A$39:$A$45,0))</f>
        <v/>
      </c>
      <c r="AB130" s="22" t="str">
        <f>INDEX(Cronograma!AA$5:AA$11,MATCH($B130,Premissas!$A$39:$A$45,0))</f>
        <v/>
      </c>
      <c r="AC130" s="22" t="str">
        <f>INDEX(Cronograma!AB$5:AB$11,MATCH($B130,Premissas!$A$39:$A$45,0))</f>
        <v/>
      </c>
      <c r="AD130" s="22" t="str">
        <f>INDEX(Cronograma!AC$5:AC$11,MATCH($B130,Premissas!$A$39:$A$45,0))</f>
        <v/>
      </c>
      <c r="AE130" s="22" t="str">
        <f>INDEX(Cronograma!AD$5:AD$11,MATCH($B130,Premissas!$A$39:$A$45,0))</f>
        <v>A</v>
      </c>
      <c r="AF130" s="22" t="str">
        <f>INDEX(Cronograma!AE$5:AE$11,MATCH($B130,Premissas!$A$39:$A$45,0))</f>
        <v/>
      </c>
      <c r="AG130" s="22" t="str">
        <f>INDEX(Cronograma!AF$5:AF$11,MATCH($B130,Premissas!$A$39:$A$45,0))</f>
        <v/>
      </c>
      <c r="AH130" s="22" t="str">
        <f>INDEX(Cronograma!AG$5:AG$11,MATCH($B130,Premissas!$A$39:$A$45,0))</f>
        <v/>
      </c>
      <c r="AI130" s="22" t="str">
        <f>INDEX(Cronograma!AH$5:AH$11,MATCH($B130,Premissas!$A$39:$A$45,0))</f>
        <v/>
      </c>
      <c r="AJ130" s="22" t="str">
        <f>INDEX(Cronograma!AI$5:AI$11,MATCH($B130,Premissas!$A$39:$A$45,0))</f>
        <v/>
      </c>
      <c r="AK130" s="22" t="str">
        <f>INDEX(Cronograma!AJ$5:AJ$11,MATCH($B130,Premissas!$A$39:$A$45,0))</f>
        <v/>
      </c>
      <c r="AL130" s="22" t="str">
        <f>INDEX(Cronograma!AK$5:AK$11,MATCH($B130,Premissas!$A$39:$A$45,0))</f>
        <v/>
      </c>
      <c r="AM130" s="22" t="str">
        <f>INDEX(Cronograma!AL$5:AL$11,MATCH($B130,Premissas!$A$39:$A$45,0))</f>
        <v/>
      </c>
      <c r="AN130" s="22" t="str">
        <f>INDEX(Cronograma!AM$5:AM$11,MATCH($B130,Premissas!$A$39:$A$45,0))</f>
        <v/>
      </c>
      <c r="AO130" s="22" t="str">
        <f>INDEX(Cronograma!AN$5:AN$11,MATCH($B130,Premissas!$A$39:$A$45,0))</f>
        <v/>
      </c>
      <c r="AP130" s="22" t="str">
        <f>INDEX(Cronograma!AO$5:AO$11,MATCH($B130,Premissas!$A$39:$A$45,0))</f>
        <v/>
      </c>
      <c r="AQ130" s="22" t="str">
        <f>INDEX(Cronograma!AP$5:AP$11,MATCH($B130,Premissas!$A$39:$A$45,0))</f>
        <v/>
      </c>
      <c r="AR130" s="22" t="str">
        <f>INDEX(Cronograma!AQ$5:AQ$11,MATCH($B130,Premissas!$A$39:$A$45,0))</f>
        <v/>
      </c>
      <c r="AS130" s="22" t="str">
        <f>INDEX(Cronograma!AR$5:AR$11,MATCH($B130,Premissas!$A$39:$A$45,0))</f>
        <v/>
      </c>
      <c r="AT130" s="22" t="str">
        <f>INDEX(Cronograma!AS$5:AS$11,MATCH($B130,Premissas!$A$39:$A$45,0))</f>
        <v/>
      </c>
      <c r="AU130" s="22" t="str">
        <f>INDEX(Cronograma!AT$5:AT$11,MATCH($B130,Premissas!$A$39:$A$45,0))</f>
        <v/>
      </c>
      <c r="AV130" s="22" t="str">
        <f>INDEX(Cronograma!AU$5:AU$11,MATCH($B130,Premissas!$A$39:$A$45,0))</f>
        <v/>
      </c>
      <c r="AW130" s="22" t="str">
        <f>INDEX(Cronograma!AV$5:AV$11,MATCH($B130,Premissas!$A$39:$A$45,0))</f>
        <v/>
      </c>
      <c r="AX130" s="22" t="str">
        <f>INDEX(Cronograma!AW$5:AW$11,MATCH($B130,Premissas!$A$39:$A$45,0))</f>
        <v>S</v>
      </c>
      <c r="AY130" s="22" t="str">
        <f>INDEX(Cronograma!AX$5:AX$11,MATCH($B130,Premissas!$A$39:$A$45,0))</f>
        <v/>
      </c>
      <c r="AZ130" s="22" t="str">
        <f>INDEX(Cronograma!AY$5:AY$11,MATCH($B130,Premissas!$A$39:$A$45,0))</f>
        <v/>
      </c>
      <c r="BA130" s="22" t="str">
        <f>INDEX(Cronograma!AZ$5:AZ$11,MATCH($B130,Premissas!$A$39:$A$45,0))</f>
        <v/>
      </c>
      <c r="BB130" s="22" t="str">
        <f>INDEX(Cronograma!BA$5:BA$11,MATCH($B130,Premissas!$A$39:$A$45,0))</f>
        <v/>
      </c>
    </row>
    <row r="131" spans="1:54" ht="15" customHeight="1" x14ac:dyDescent="0.4">
      <c r="A131" s="15" t="str">
        <f>Frota!$B131&amp;" — "&amp;Frota!$A131</f>
        <v>Fiat Strada 1.4 — 103081</v>
      </c>
      <c r="B131" s="16" t="str">
        <f>Frota!$C131</f>
        <v>Veículo Leve</v>
      </c>
      <c r="C131" s="22" t="str">
        <f>INDEX(Cronograma!B$5:B$11,MATCH($B131,Premissas!$A$39:$A$45,0))</f>
        <v/>
      </c>
      <c r="D131" s="22" t="str">
        <f>INDEX(Cronograma!C$5:C$11,MATCH($B131,Premissas!$A$39:$A$45,0))</f>
        <v/>
      </c>
      <c r="E131" s="22" t="str">
        <f>INDEX(Cronograma!D$5:D$11,MATCH($B131,Premissas!$A$39:$A$45,0))</f>
        <v/>
      </c>
      <c r="F131" s="22" t="str">
        <f>INDEX(Cronograma!E$5:E$11,MATCH($B131,Premissas!$A$39:$A$45,0))</f>
        <v/>
      </c>
      <c r="G131" s="22" t="str">
        <f>INDEX(Cronograma!F$5:F$11,MATCH($B131,Premissas!$A$39:$A$45,0))</f>
        <v/>
      </c>
      <c r="H131" s="22" t="str">
        <f>INDEX(Cronograma!G$5:G$11,MATCH($B131,Premissas!$A$39:$A$45,0))</f>
        <v/>
      </c>
      <c r="I131" s="22" t="str">
        <f>INDEX(Cronograma!H$5:H$11,MATCH($B131,Premissas!$A$39:$A$45,0))</f>
        <v/>
      </c>
      <c r="J131" s="22" t="str">
        <f>INDEX(Cronograma!I$5:I$11,MATCH($B131,Premissas!$A$39:$A$45,0))</f>
        <v/>
      </c>
      <c r="K131" s="22" t="str">
        <f>INDEX(Cronograma!J$5:J$11,MATCH($B131,Premissas!$A$39:$A$45,0))</f>
        <v/>
      </c>
      <c r="L131" s="22" t="str">
        <f>INDEX(Cronograma!K$5:K$11,MATCH($B131,Premissas!$A$39:$A$45,0))</f>
        <v/>
      </c>
      <c r="M131" s="22" t="str">
        <f>INDEX(Cronograma!L$5:L$11,MATCH($B131,Premissas!$A$39:$A$45,0))</f>
        <v/>
      </c>
      <c r="N131" s="22" t="str">
        <f>INDEX(Cronograma!M$5:M$11,MATCH($B131,Premissas!$A$39:$A$45,0))</f>
        <v/>
      </c>
      <c r="O131" s="22" t="str">
        <f>INDEX(Cronograma!N$5:N$11,MATCH($B131,Premissas!$A$39:$A$45,0))</f>
        <v/>
      </c>
      <c r="P131" s="22" t="str">
        <f>INDEX(Cronograma!O$5:O$11,MATCH($B131,Premissas!$A$39:$A$45,0))</f>
        <v/>
      </c>
      <c r="Q131" s="22" t="str">
        <f>INDEX(Cronograma!P$5:P$11,MATCH($B131,Premissas!$A$39:$A$45,0))</f>
        <v>S</v>
      </c>
      <c r="R131" s="22" t="str">
        <f>INDEX(Cronograma!Q$5:Q$11,MATCH($B131,Premissas!$A$39:$A$45,0))</f>
        <v/>
      </c>
      <c r="S131" s="22" t="str">
        <f>INDEX(Cronograma!R$5:R$11,MATCH($B131,Premissas!$A$39:$A$45,0))</f>
        <v/>
      </c>
      <c r="T131" s="22" t="str">
        <f>INDEX(Cronograma!S$5:S$11,MATCH($B131,Premissas!$A$39:$A$45,0))</f>
        <v/>
      </c>
      <c r="U131" s="22" t="str">
        <f>INDEX(Cronograma!T$5:T$11,MATCH($B131,Premissas!$A$39:$A$45,0))</f>
        <v/>
      </c>
      <c r="V131" s="22" t="str">
        <f>INDEX(Cronograma!U$5:U$11,MATCH($B131,Premissas!$A$39:$A$45,0))</f>
        <v/>
      </c>
      <c r="W131" s="22" t="str">
        <f>INDEX(Cronograma!V$5:V$11,MATCH($B131,Premissas!$A$39:$A$45,0))</f>
        <v/>
      </c>
      <c r="X131" s="22" t="str">
        <f>INDEX(Cronograma!W$5:W$11,MATCH($B131,Premissas!$A$39:$A$45,0))</f>
        <v/>
      </c>
      <c r="Y131" s="22" t="str">
        <f>INDEX(Cronograma!X$5:X$11,MATCH($B131,Premissas!$A$39:$A$45,0))</f>
        <v/>
      </c>
      <c r="Z131" s="22" t="str">
        <f>INDEX(Cronograma!Y$5:Y$11,MATCH($B131,Premissas!$A$39:$A$45,0))</f>
        <v/>
      </c>
      <c r="AA131" s="22" t="str">
        <f>INDEX(Cronograma!Z$5:Z$11,MATCH($B131,Premissas!$A$39:$A$45,0))</f>
        <v/>
      </c>
      <c r="AB131" s="22" t="str">
        <f>INDEX(Cronograma!AA$5:AA$11,MATCH($B131,Premissas!$A$39:$A$45,0))</f>
        <v/>
      </c>
      <c r="AC131" s="22" t="str">
        <f>INDEX(Cronograma!AB$5:AB$11,MATCH($B131,Premissas!$A$39:$A$45,0))</f>
        <v/>
      </c>
      <c r="AD131" s="22" t="str">
        <f>INDEX(Cronograma!AC$5:AC$11,MATCH($B131,Premissas!$A$39:$A$45,0))</f>
        <v/>
      </c>
      <c r="AE131" s="22" t="str">
        <f>INDEX(Cronograma!AD$5:AD$11,MATCH($B131,Premissas!$A$39:$A$45,0))</f>
        <v>A</v>
      </c>
      <c r="AF131" s="22" t="str">
        <f>INDEX(Cronograma!AE$5:AE$11,MATCH($B131,Premissas!$A$39:$A$45,0))</f>
        <v/>
      </c>
      <c r="AG131" s="22" t="str">
        <f>INDEX(Cronograma!AF$5:AF$11,MATCH($B131,Premissas!$A$39:$A$45,0))</f>
        <v/>
      </c>
      <c r="AH131" s="22" t="str">
        <f>INDEX(Cronograma!AG$5:AG$11,MATCH($B131,Premissas!$A$39:$A$45,0))</f>
        <v/>
      </c>
      <c r="AI131" s="22" t="str">
        <f>INDEX(Cronograma!AH$5:AH$11,MATCH($B131,Premissas!$A$39:$A$45,0))</f>
        <v/>
      </c>
      <c r="AJ131" s="22" t="str">
        <f>INDEX(Cronograma!AI$5:AI$11,MATCH($B131,Premissas!$A$39:$A$45,0))</f>
        <v/>
      </c>
      <c r="AK131" s="22" t="str">
        <f>INDEX(Cronograma!AJ$5:AJ$11,MATCH($B131,Premissas!$A$39:$A$45,0))</f>
        <v/>
      </c>
      <c r="AL131" s="22" t="str">
        <f>INDEX(Cronograma!AK$5:AK$11,MATCH($B131,Premissas!$A$39:$A$45,0))</f>
        <v/>
      </c>
      <c r="AM131" s="22" t="str">
        <f>INDEX(Cronograma!AL$5:AL$11,MATCH($B131,Premissas!$A$39:$A$45,0))</f>
        <v/>
      </c>
      <c r="AN131" s="22" t="str">
        <f>INDEX(Cronograma!AM$5:AM$11,MATCH($B131,Premissas!$A$39:$A$45,0))</f>
        <v/>
      </c>
      <c r="AO131" s="22" t="str">
        <f>INDEX(Cronograma!AN$5:AN$11,MATCH($B131,Premissas!$A$39:$A$45,0))</f>
        <v/>
      </c>
      <c r="AP131" s="22" t="str">
        <f>INDEX(Cronograma!AO$5:AO$11,MATCH($B131,Premissas!$A$39:$A$45,0))</f>
        <v/>
      </c>
      <c r="AQ131" s="22" t="str">
        <f>INDEX(Cronograma!AP$5:AP$11,MATCH($B131,Premissas!$A$39:$A$45,0))</f>
        <v/>
      </c>
      <c r="AR131" s="22" t="str">
        <f>INDEX(Cronograma!AQ$5:AQ$11,MATCH($B131,Premissas!$A$39:$A$45,0))</f>
        <v/>
      </c>
      <c r="AS131" s="22" t="str">
        <f>INDEX(Cronograma!AR$5:AR$11,MATCH($B131,Premissas!$A$39:$A$45,0))</f>
        <v/>
      </c>
      <c r="AT131" s="22" t="str">
        <f>INDEX(Cronograma!AS$5:AS$11,MATCH($B131,Premissas!$A$39:$A$45,0))</f>
        <v/>
      </c>
      <c r="AU131" s="22" t="str">
        <f>INDEX(Cronograma!AT$5:AT$11,MATCH($B131,Premissas!$A$39:$A$45,0))</f>
        <v/>
      </c>
      <c r="AV131" s="22" t="str">
        <f>INDEX(Cronograma!AU$5:AU$11,MATCH($B131,Premissas!$A$39:$A$45,0))</f>
        <v/>
      </c>
      <c r="AW131" s="22" t="str">
        <f>INDEX(Cronograma!AV$5:AV$11,MATCH($B131,Premissas!$A$39:$A$45,0))</f>
        <v/>
      </c>
      <c r="AX131" s="22" t="str">
        <f>INDEX(Cronograma!AW$5:AW$11,MATCH($B131,Premissas!$A$39:$A$45,0))</f>
        <v>S</v>
      </c>
      <c r="AY131" s="22" t="str">
        <f>INDEX(Cronograma!AX$5:AX$11,MATCH($B131,Premissas!$A$39:$A$45,0))</f>
        <v/>
      </c>
      <c r="AZ131" s="22" t="str">
        <f>INDEX(Cronograma!AY$5:AY$11,MATCH($B131,Premissas!$A$39:$A$45,0))</f>
        <v/>
      </c>
      <c r="BA131" s="22" t="str">
        <f>INDEX(Cronograma!AZ$5:AZ$11,MATCH($B131,Premissas!$A$39:$A$45,0))</f>
        <v/>
      </c>
      <c r="BB131" s="22" t="str">
        <f>INDEX(Cronograma!BA$5:BA$11,MATCH($B131,Premissas!$A$39:$A$45,0))</f>
        <v/>
      </c>
    </row>
    <row r="132" spans="1:54" ht="15" customHeight="1" x14ac:dyDescent="0.4">
      <c r="A132" s="15" t="str">
        <f>Frota!$B132&amp;" — "&amp;Frota!$A132</f>
        <v>Fiat Strada 1.4 — 103083</v>
      </c>
      <c r="B132" s="16" t="str">
        <f>Frota!$C132</f>
        <v>Veículo Leve</v>
      </c>
      <c r="C132" s="22" t="str">
        <f>INDEX(Cronograma!B$5:B$11,MATCH($B132,Premissas!$A$39:$A$45,0))</f>
        <v/>
      </c>
      <c r="D132" s="22" t="str">
        <f>INDEX(Cronograma!C$5:C$11,MATCH($B132,Premissas!$A$39:$A$45,0))</f>
        <v/>
      </c>
      <c r="E132" s="22" t="str">
        <f>INDEX(Cronograma!D$5:D$11,MATCH($B132,Premissas!$A$39:$A$45,0))</f>
        <v/>
      </c>
      <c r="F132" s="22" t="str">
        <f>INDEX(Cronograma!E$5:E$11,MATCH($B132,Premissas!$A$39:$A$45,0))</f>
        <v/>
      </c>
      <c r="G132" s="22" t="str">
        <f>INDEX(Cronograma!F$5:F$11,MATCH($B132,Premissas!$A$39:$A$45,0))</f>
        <v/>
      </c>
      <c r="H132" s="22" t="str">
        <f>INDEX(Cronograma!G$5:G$11,MATCH($B132,Premissas!$A$39:$A$45,0))</f>
        <v/>
      </c>
      <c r="I132" s="22" t="str">
        <f>INDEX(Cronograma!H$5:H$11,MATCH($B132,Premissas!$A$39:$A$45,0))</f>
        <v/>
      </c>
      <c r="J132" s="22" t="str">
        <f>INDEX(Cronograma!I$5:I$11,MATCH($B132,Premissas!$A$39:$A$45,0))</f>
        <v/>
      </c>
      <c r="K132" s="22" t="str">
        <f>INDEX(Cronograma!J$5:J$11,MATCH($B132,Premissas!$A$39:$A$45,0))</f>
        <v/>
      </c>
      <c r="L132" s="22" t="str">
        <f>INDEX(Cronograma!K$5:K$11,MATCH($B132,Premissas!$A$39:$A$45,0))</f>
        <v/>
      </c>
      <c r="M132" s="22" t="str">
        <f>INDEX(Cronograma!L$5:L$11,MATCH($B132,Premissas!$A$39:$A$45,0))</f>
        <v/>
      </c>
      <c r="N132" s="22" t="str">
        <f>INDEX(Cronograma!M$5:M$11,MATCH($B132,Premissas!$A$39:$A$45,0))</f>
        <v/>
      </c>
      <c r="O132" s="22" t="str">
        <f>INDEX(Cronograma!N$5:N$11,MATCH($B132,Premissas!$A$39:$A$45,0))</f>
        <v/>
      </c>
      <c r="P132" s="22" t="str">
        <f>INDEX(Cronograma!O$5:O$11,MATCH($B132,Premissas!$A$39:$A$45,0))</f>
        <v/>
      </c>
      <c r="Q132" s="22" t="str">
        <f>INDEX(Cronograma!P$5:P$11,MATCH($B132,Premissas!$A$39:$A$45,0))</f>
        <v>S</v>
      </c>
      <c r="R132" s="22" t="str">
        <f>INDEX(Cronograma!Q$5:Q$11,MATCH($B132,Premissas!$A$39:$A$45,0))</f>
        <v/>
      </c>
      <c r="S132" s="22" t="str">
        <f>INDEX(Cronograma!R$5:R$11,MATCH($B132,Premissas!$A$39:$A$45,0))</f>
        <v/>
      </c>
      <c r="T132" s="22" t="str">
        <f>INDEX(Cronograma!S$5:S$11,MATCH($B132,Premissas!$A$39:$A$45,0))</f>
        <v/>
      </c>
      <c r="U132" s="22" t="str">
        <f>INDEX(Cronograma!T$5:T$11,MATCH($B132,Premissas!$A$39:$A$45,0))</f>
        <v/>
      </c>
      <c r="V132" s="22" t="str">
        <f>INDEX(Cronograma!U$5:U$11,MATCH($B132,Premissas!$A$39:$A$45,0))</f>
        <v/>
      </c>
      <c r="W132" s="22" t="str">
        <f>INDEX(Cronograma!V$5:V$11,MATCH($B132,Premissas!$A$39:$A$45,0))</f>
        <v/>
      </c>
      <c r="X132" s="22" t="str">
        <f>INDEX(Cronograma!W$5:W$11,MATCH($B132,Premissas!$A$39:$A$45,0))</f>
        <v/>
      </c>
      <c r="Y132" s="22" t="str">
        <f>INDEX(Cronograma!X$5:X$11,MATCH($B132,Premissas!$A$39:$A$45,0))</f>
        <v/>
      </c>
      <c r="Z132" s="22" t="str">
        <f>INDEX(Cronograma!Y$5:Y$11,MATCH($B132,Premissas!$A$39:$A$45,0))</f>
        <v/>
      </c>
      <c r="AA132" s="22" t="str">
        <f>INDEX(Cronograma!Z$5:Z$11,MATCH($B132,Premissas!$A$39:$A$45,0))</f>
        <v/>
      </c>
      <c r="AB132" s="22" t="str">
        <f>INDEX(Cronograma!AA$5:AA$11,MATCH($B132,Premissas!$A$39:$A$45,0))</f>
        <v/>
      </c>
      <c r="AC132" s="22" t="str">
        <f>INDEX(Cronograma!AB$5:AB$11,MATCH($B132,Premissas!$A$39:$A$45,0))</f>
        <v/>
      </c>
      <c r="AD132" s="22" t="str">
        <f>INDEX(Cronograma!AC$5:AC$11,MATCH($B132,Premissas!$A$39:$A$45,0))</f>
        <v/>
      </c>
      <c r="AE132" s="22" t="str">
        <f>INDEX(Cronograma!AD$5:AD$11,MATCH($B132,Premissas!$A$39:$A$45,0))</f>
        <v>A</v>
      </c>
      <c r="AF132" s="22" t="str">
        <f>INDEX(Cronograma!AE$5:AE$11,MATCH($B132,Premissas!$A$39:$A$45,0))</f>
        <v/>
      </c>
      <c r="AG132" s="22" t="str">
        <f>INDEX(Cronograma!AF$5:AF$11,MATCH($B132,Premissas!$A$39:$A$45,0))</f>
        <v/>
      </c>
      <c r="AH132" s="22" t="str">
        <f>INDEX(Cronograma!AG$5:AG$11,MATCH($B132,Premissas!$A$39:$A$45,0))</f>
        <v/>
      </c>
      <c r="AI132" s="22" t="str">
        <f>INDEX(Cronograma!AH$5:AH$11,MATCH($B132,Premissas!$A$39:$A$45,0))</f>
        <v/>
      </c>
      <c r="AJ132" s="22" t="str">
        <f>INDEX(Cronograma!AI$5:AI$11,MATCH($B132,Premissas!$A$39:$A$45,0))</f>
        <v/>
      </c>
      <c r="AK132" s="22" t="str">
        <f>INDEX(Cronograma!AJ$5:AJ$11,MATCH($B132,Premissas!$A$39:$A$45,0))</f>
        <v/>
      </c>
      <c r="AL132" s="22" t="str">
        <f>INDEX(Cronograma!AK$5:AK$11,MATCH($B132,Premissas!$A$39:$A$45,0))</f>
        <v/>
      </c>
      <c r="AM132" s="22" t="str">
        <f>INDEX(Cronograma!AL$5:AL$11,MATCH($B132,Premissas!$A$39:$A$45,0))</f>
        <v/>
      </c>
      <c r="AN132" s="22" t="str">
        <f>INDEX(Cronograma!AM$5:AM$11,MATCH($B132,Premissas!$A$39:$A$45,0))</f>
        <v/>
      </c>
      <c r="AO132" s="22" t="str">
        <f>INDEX(Cronograma!AN$5:AN$11,MATCH($B132,Premissas!$A$39:$A$45,0))</f>
        <v/>
      </c>
      <c r="AP132" s="22" t="str">
        <f>INDEX(Cronograma!AO$5:AO$11,MATCH($B132,Premissas!$A$39:$A$45,0))</f>
        <v/>
      </c>
      <c r="AQ132" s="22" t="str">
        <f>INDEX(Cronograma!AP$5:AP$11,MATCH($B132,Premissas!$A$39:$A$45,0))</f>
        <v/>
      </c>
      <c r="AR132" s="22" t="str">
        <f>INDEX(Cronograma!AQ$5:AQ$11,MATCH($B132,Premissas!$A$39:$A$45,0))</f>
        <v/>
      </c>
      <c r="AS132" s="22" t="str">
        <f>INDEX(Cronograma!AR$5:AR$11,MATCH($B132,Premissas!$A$39:$A$45,0))</f>
        <v/>
      </c>
      <c r="AT132" s="22" t="str">
        <f>INDEX(Cronograma!AS$5:AS$11,MATCH($B132,Premissas!$A$39:$A$45,0))</f>
        <v/>
      </c>
      <c r="AU132" s="22" t="str">
        <f>INDEX(Cronograma!AT$5:AT$11,MATCH($B132,Premissas!$A$39:$A$45,0))</f>
        <v/>
      </c>
      <c r="AV132" s="22" t="str">
        <f>INDEX(Cronograma!AU$5:AU$11,MATCH($B132,Premissas!$A$39:$A$45,0))</f>
        <v/>
      </c>
      <c r="AW132" s="22" t="str">
        <f>INDEX(Cronograma!AV$5:AV$11,MATCH($B132,Premissas!$A$39:$A$45,0))</f>
        <v/>
      </c>
      <c r="AX132" s="22" t="str">
        <f>INDEX(Cronograma!AW$5:AW$11,MATCH($B132,Premissas!$A$39:$A$45,0))</f>
        <v>S</v>
      </c>
      <c r="AY132" s="22" t="str">
        <f>INDEX(Cronograma!AX$5:AX$11,MATCH($B132,Premissas!$A$39:$A$45,0))</f>
        <v/>
      </c>
      <c r="AZ132" s="22" t="str">
        <f>INDEX(Cronograma!AY$5:AY$11,MATCH($B132,Premissas!$A$39:$A$45,0))</f>
        <v/>
      </c>
      <c r="BA132" s="22" t="str">
        <f>INDEX(Cronograma!AZ$5:AZ$11,MATCH($B132,Premissas!$A$39:$A$45,0))</f>
        <v/>
      </c>
      <c r="BB132" s="22" t="str">
        <f>INDEX(Cronograma!BA$5:BA$11,MATCH($B132,Premissas!$A$39:$A$45,0))</f>
        <v/>
      </c>
    </row>
    <row r="133" spans="1:54" ht="15" customHeight="1" x14ac:dyDescent="0.4">
      <c r="A133" s="15" t="str">
        <f>Frota!$B133&amp;" — "&amp;Frota!$A133</f>
        <v>Chevrolet S10 LS — 103084</v>
      </c>
      <c r="B133" s="16" t="str">
        <f>Frota!$C133</f>
        <v>Veículo Leve</v>
      </c>
      <c r="C133" s="22" t="str">
        <f>INDEX(Cronograma!B$5:B$11,MATCH($B133,Premissas!$A$39:$A$45,0))</f>
        <v/>
      </c>
      <c r="D133" s="22" t="str">
        <f>INDEX(Cronograma!C$5:C$11,MATCH($B133,Premissas!$A$39:$A$45,0))</f>
        <v/>
      </c>
      <c r="E133" s="22" t="str">
        <f>INDEX(Cronograma!D$5:D$11,MATCH($B133,Premissas!$A$39:$A$45,0))</f>
        <v/>
      </c>
      <c r="F133" s="22" t="str">
        <f>INDEX(Cronograma!E$5:E$11,MATCH($B133,Premissas!$A$39:$A$45,0))</f>
        <v/>
      </c>
      <c r="G133" s="22" t="str">
        <f>INDEX(Cronograma!F$5:F$11,MATCH($B133,Premissas!$A$39:$A$45,0))</f>
        <v/>
      </c>
      <c r="H133" s="22" t="str">
        <f>INDEX(Cronograma!G$5:G$11,MATCH($B133,Premissas!$A$39:$A$45,0))</f>
        <v/>
      </c>
      <c r="I133" s="22" t="str">
        <f>INDEX(Cronograma!H$5:H$11,MATCH($B133,Premissas!$A$39:$A$45,0))</f>
        <v/>
      </c>
      <c r="J133" s="22" t="str">
        <f>INDEX(Cronograma!I$5:I$11,MATCH($B133,Premissas!$A$39:$A$45,0))</f>
        <v/>
      </c>
      <c r="K133" s="22" t="str">
        <f>INDEX(Cronograma!J$5:J$11,MATCH($B133,Premissas!$A$39:$A$45,0))</f>
        <v/>
      </c>
      <c r="L133" s="22" t="str">
        <f>INDEX(Cronograma!K$5:K$11,MATCH($B133,Premissas!$A$39:$A$45,0))</f>
        <v/>
      </c>
      <c r="M133" s="22" t="str">
        <f>INDEX(Cronograma!L$5:L$11,MATCH($B133,Premissas!$A$39:$A$45,0))</f>
        <v/>
      </c>
      <c r="N133" s="22" t="str">
        <f>INDEX(Cronograma!M$5:M$11,MATCH($B133,Premissas!$A$39:$A$45,0))</f>
        <v/>
      </c>
      <c r="O133" s="22" t="str">
        <f>INDEX(Cronograma!N$5:N$11,MATCH($B133,Premissas!$A$39:$A$45,0))</f>
        <v/>
      </c>
      <c r="P133" s="22" t="str">
        <f>INDEX(Cronograma!O$5:O$11,MATCH($B133,Premissas!$A$39:$A$45,0))</f>
        <v/>
      </c>
      <c r="Q133" s="22" t="str">
        <f>INDEX(Cronograma!P$5:P$11,MATCH($B133,Premissas!$A$39:$A$45,0))</f>
        <v>S</v>
      </c>
      <c r="R133" s="22" t="str">
        <f>INDEX(Cronograma!Q$5:Q$11,MATCH($B133,Premissas!$A$39:$A$45,0))</f>
        <v/>
      </c>
      <c r="S133" s="22" t="str">
        <f>INDEX(Cronograma!R$5:R$11,MATCH($B133,Premissas!$A$39:$A$45,0))</f>
        <v/>
      </c>
      <c r="T133" s="22" t="str">
        <f>INDEX(Cronograma!S$5:S$11,MATCH($B133,Premissas!$A$39:$A$45,0))</f>
        <v/>
      </c>
      <c r="U133" s="22" t="str">
        <f>INDEX(Cronograma!T$5:T$11,MATCH($B133,Premissas!$A$39:$A$45,0))</f>
        <v/>
      </c>
      <c r="V133" s="22" t="str">
        <f>INDEX(Cronograma!U$5:U$11,MATCH($B133,Premissas!$A$39:$A$45,0))</f>
        <v/>
      </c>
      <c r="W133" s="22" t="str">
        <f>INDEX(Cronograma!V$5:V$11,MATCH($B133,Premissas!$A$39:$A$45,0))</f>
        <v/>
      </c>
      <c r="X133" s="22" t="str">
        <f>INDEX(Cronograma!W$5:W$11,MATCH($B133,Premissas!$A$39:$A$45,0))</f>
        <v/>
      </c>
      <c r="Y133" s="22" t="str">
        <f>INDEX(Cronograma!X$5:X$11,MATCH($B133,Premissas!$A$39:$A$45,0))</f>
        <v/>
      </c>
      <c r="Z133" s="22" t="str">
        <f>INDEX(Cronograma!Y$5:Y$11,MATCH($B133,Premissas!$A$39:$A$45,0))</f>
        <v/>
      </c>
      <c r="AA133" s="22" t="str">
        <f>INDEX(Cronograma!Z$5:Z$11,MATCH($B133,Premissas!$A$39:$A$45,0))</f>
        <v/>
      </c>
      <c r="AB133" s="22" t="str">
        <f>INDEX(Cronograma!AA$5:AA$11,MATCH($B133,Premissas!$A$39:$A$45,0))</f>
        <v/>
      </c>
      <c r="AC133" s="22" t="str">
        <f>INDEX(Cronograma!AB$5:AB$11,MATCH($B133,Premissas!$A$39:$A$45,0))</f>
        <v/>
      </c>
      <c r="AD133" s="22" t="str">
        <f>INDEX(Cronograma!AC$5:AC$11,MATCH($B133,Premissas!$A$39:$A$45,0))</f>
        <v/>
      </c>
      <c r="AE133" s="22" t="str">
        <f>INDEX(Cronograma!AD$5:AD$11,MATCH($B133,Premissas!$A$39:$A$45,0))</f>
        <v>A</v>
      </c>
      <c r="AF133" s="22" t="str">
        <f>INDEX(Cronograma!AE$5:AE$11,MATCH($B133,Premissas!$A$39:$A$45,0))</f>
        <v/>
      </c>
      <c r="AG133" s="22" t="str">
        <f>INDEX(Cronograma!AF$5:AF$11,MATCH($B133,Premissas!$A$39:$A$45,0))</f>
        <v/>
      </c>
      <c r="AH133" s="22" t="str">
        <f>INDEX(Cronograma!AG$5:AG$11,MATCH($B133,Premissas!$A$39:$A$45,0))</f>
        <v/>
      </c>
      <c r="AI133" s="22" t="str">
        <f>INDEX(Cronograma!AH$5:AH$11,MATCH($B133,Premissas!$A$39:$A$45,0))</f>
        <v/>
      </c>
      <c r="AJ133" s="22" t="str">
        <f>INDEX(Cronograma!AI$5:AI$11,MATCH($B133,Premissas!$A$39:$A$45,0))</f>
        <v/>
      </c>
      <c r="AK133" s="22" t="str">
        <f>INDEX(Cronograma!AJ$5:AJ$11,MATCH($B133,Premissas!$A$39:$A$45,0))</f>
        <v/>
      </c>
      <c r="AL133" s="22" t="str">
        <f>INDEX(Cronograma!AK$5:AK$11,MATCH($B133,Premissas!$A$39:$A$45,0))</f>
        <v/>
      </c>
      <c r="AM133" s="22" t="str">
        <f>INDEX(Cronograma!AL$5:AL$11,MATCH($B133,Premissas!$A$39:$A$45,0))</f>
        <v/>
      </c>
      <c r="AN133" s="22" t="str">
        <f>INDEX(Cronograma!AM$5:AM$11,MATCH($B133,Premissas!$A$39:$A$45,0))</f>
        <v/>
      </c>
      <c r="AO133" s="22" t="str">
        <f>INDEX(Cronograma!AN$5:AN$11,MATCH($B133,Premissas!$A$39:$A$45,0))</f>
        <v/>
      </c>
      <c r="AP133" s="22" t="str">
        <f>INDEX(Cronograma!AO$5:AO$11,MATCH($B133,Premissas!$A$39:$A$45,0))</f>
        <v/>
      </c>
      <c r="AQ133" s="22" t="str">
        <f>INDEX(Cronograma!AP$5:AP$11,MATCH($B133,Premissas!$A$39:$A$45,0))</f>
        <v/>
      </c>
      <c r="AR133" s="22" t="str">
        <f>INDEX(Cronograma!AQ$5:AQ$11,MATCH($B133,Premissas!$A$39:$A$45,0))</f>
        <v/>
      </c>
      <c r="AS133" s="22" t="str">
        <f>INDEX(Cronograma!AR$5:AR$11,MATCH($B133,Premissas!$A$39:$A$45,0))</f>
        <v/>
      </c>
      <c r="AT133" s="22" t="str">
        <f>INDEX(Cronograma!AS$5:AS$11,MATCH($B133,Premissas!$A$39:$A$45,0))</f>
        <v/>
      </c>
      <c r="AU133" s="22" t="str">
        <f>INDEX(Cronograma!AT$5:AT$11,MATCH($B133,Premissas!$A$39:$A$45,0))</f>
        <v/>
      </c>
      <c r="AV133" s="22" t="str">
        <f>INDEX(Cronograma!AU$5:AU$11,MATCH($B133,Premissas!$A$39:$A$45,0))</f>
        <v/>
      </c>
      <c r="AW133" s="22" t="str">
        <f>INDEX(Cronograma!AV$5:AV$11,MATCH($B133,Premissas!$A$39:$A$45,0))</f>
        <v/>
      </c>
      <c r="AX133" s="22" t="str">
        <f>INDEX(Cronograma!AW$5:AW$11,MATCH($B133,Premissas!$A$39:$A$45,0))</f>
        <v>S</v>
      </c>
      <c r="AY133" s="22" t="str">
        <f>INDEX(Cronograma!AX$5:AX$11,MATCH($B133,Premissas!$A$39:$A$45,0))</f>
        <v/>
      </c>
      <c r="AZ133" s="22" t="str">
        <f>INDEX(Cronograma!AY$5:AY$11,MATCH($B133,Premissas!$A$39:$A$45,0))</f>
        <v/>
      </c>
      <c r="BA133" s="22" t="str">
        <f>INDEX(Cronograma!AZ$5:AZ$11,MATCH($B133,Premissas!$A$39:$A$45,0))</f>
        <v/>
      </c>
      <c r="BB133" s="22" t="str">
        <f>INDEX(Cronograma!BA$5:BA$11,MATCH($B133,Premissas!$A$39:$A$45,0))</f>
        <v/>
      </c>
    </row>
    <row r="134" spans="1:54" ht="15" customHeight="1" x14ac:dyDescent="0.4">
      <c r="A134" s="15" t="str">
        <f>Frota!$B134&amp;" — "&amp;Frota!$A134</f>
        <v>Chevrolet S10 LS — 103085</v>
      </c>
      <c r="B134" s="16" t="str">
        <f>Frota!$C134</f>
        <v>Veículo Leve</v>
      </c>
      <c r="C134" s="22" t="str">
        <f>INDEX(Cronograma!B$5:B$11,MATCH($B134,Premissas!$A$39:$A$45,0))</f>
        <v/>
      </c>
      <c r="D134" s="22" t="str">
        <f>INDEX(Cronograma!C$5:C$11,MATCH($B134,Premissas!$A$39:$A$45,0))</f>
        <v/>
      </c>
      <c r="E134" s="22" t="str">
        <f>INDEX(Cronograma!D$5:D$11,MATCH($B134,Premissas!$A$39:$A$45,0))</f>
        <v/>
      </c>
      <c r="F134" s="22" t="str">
        <f>INDEX(Cronograma!E$5:E$11,MATCH($B134,Premissas!$A$39:$A$45,0))</f>
        <v/>
      </c>
      <c r="G134" s="22" t="str">
        <f>INDEX(Cronograma!F$5:F$11,MATCH($B134,Premissas!$A$39:$A$45,0))</f>
        <v/>
      </c>
      <c r="H134" s="22" t="str">
        <f>INDEX(Cronograma!G$5:G$11,MATCH($B134,Premissas!$A$39:$A$45,0))</f>
        <v/>
      </c>
      <c r="I134" s="22" t="str">
        <f>INDEX(Cronograma!H$5:H$11,MATCH($B134,Premissas!$A$39:$A$45,0))</f>
        <v/>
      </c>
      <c r="J134" s="22" t="str">
        <f>INDEX(Cronograma!I$5:I$11,MATCH($B134,Premissas!$A$39:$A$45,0))</f>
        <v/>
      </c>
      <c r="K134" s="22" t="str">
        <f>INDEX(Cronograma!J$5:J$11,MATCH($B134,Premissas!$A$39:$A$45,0))</f>
        <v/>
      </c>
      <c r="L134" s="22" t="str">
        <f>INDEX(Cronograma!K$5:K$11,MATCH($B134,Premissas!$A$39:$A$45,0))</f>
        <v/>
      </c>
      <c r="M134" s="22" t="str">
        <f>INDEX(Cronograma!L$5:L$11,MATCH($B134,Premissas!$A$39:$A$45,0))</f>
        <v/>
      </c>
      <c r="N134" s="22" t="str">
        <f>INDEX(Cronograma!M$5:M$11,MATCH($B134,Premissas!$A$39:$A$45,0))</f>
        <v/>
      </c>
      <c r="O134" s="22" t="str">
        <f>INDEX(Cronograma!N$5:N$11,MATCH($B134,Premissas!$A$39:$A$45,0))</f>
        <v/>
      </c>
      <c r="P134" s="22" t="str">
        <f>INDEX(Cronograma!O$5:O$11,MATCH($B134,Premissas!$A$39:$A$45,0))</f>
        <v/>
      </c>
      <c r="Q134" s="22" t="str">
        <f>INDEX(Cronograma!P$5:P$11,MATCH($B134,Premissas!$A$39:$A$45,0))</f>
        <v>S</v>
      </c>
      <c r="R134" s="22" t="str">
        <f>INDEX(Cronograma!Q$5:Q$11,MATCH($B134,Premissas!$A$39:$A$45,0))</f>
        <v/>
      </c>
      <c r="S134" s="22" t="str">
        <f>INDEX(Cronograma!R$5:R$11,MATCH($B134,Premissas!$A$39:$A$45,0))</f>
        <v/>
      </c>
      <c r="T134" s="22" t="str">
        <f>INDEX(Cronograma!S$5:S$11,MATCH($B134,Premissas!$A$39:$A$45,0))</f>
        <v/>
      </c>
      <c r="U134" s="22" t="str">
        <f>INDEX(Cronograma!T$5:T$11,MATCH($B134,Premissas!$A$39:$A$45,0))</f>
        <v/>
      </c>
      <c r="V134" s="22" t="str">
        <f>INDEX(Cronograma!U$5:U$11,MATCH($B134,Premissas!$A$39:$A$45,0))</f>
        <v/>
      </c>
      <c r="W134" s="22" t="str">
        <f>INDEX(Cronograma!V$5:V$11,MATCH($B134,Premissas!$A$39:$A$45,0))</f>
        <v/>
      </c>
      <c r="X134" s="22" t="str">
        <f>INDEX(Cronograma!W$5:W$11,MATCH($B134,Premissas!$A$39:$A$45,0))</f>
        <v/>
      </c>
      <c r="Y134" s="22" t="str">
        <f>INDEX(Cronograma!X$5:X$11,MATCH($B134,Premissas!$A$39:$A$45,0))</f>
        <v/>
      </c>
      <c r="Z134" s="22" t="str">
        <f>INDEX(Cronograma!Y$5:Y$11,MATCH($B134,Premissas!$A$39:$A$45,0))</f>
        <v/>
      </c>
      <c r="AA134" s="22" t="str">
        <f>INDEX(Cronograma!Z$5:Z$11,MATCH($B134,Premissas!$A$39:$A$45,0))</f>
        <v/>
      </c>
      <c r="AB134" s="22" t="str">
        <f>INDEX(Cronograma!AA$5:AA$11,MATCH($B134,Premissas!$A$39:$A$45,0))</f>
        <v/>
      </c>
      <c r="AC134" s="22" t="str">
        <f>INDEX(Cronograma!AB$5:AB$11,MATCH($B134,Premissas!$A$39:$A$45,0))</f>
        <v/>
      </c>
      <c r="AD134" s="22" t="str">
        <f>INDEX(Cronograma!AC$5:AC$11,MATCH($B134,Premissas!$A$39:$A$45,0))</f>
        <v/>
      </c>
      <c r="AE134" s="22" t="str">
        <f>INDEX(Cronograma!AD$5:AD$11,MATCH($B134,Premissas!$A$39:$A$45,0))</f>
        <v>A</v>
      </c>
      <c r="AF134" s="22" t="str">
        <f>INDEX(Cronograma!AE$5:AE$11,MATCH($B134,Premissas!$A$39:$A$45,0))</f>
        <v/>
      </c>
      <c r="AG134" s="22" t="str">
        <f>INDEX(Cronograma!AF$5:AF$11,MATCH($B134,Premissas!$A$39:$A$45,0))</f>
        <v/>
      </c>
      <c r="AH134" s="22" t="str">
        <f>INDEX(Cronograma!AG$5:AG$11,MATCH($B134,Premissas!$A$39:$A$45,0))</f>
        <v/>
      </c>
      <c r="AI134" s="22" t="str">
        <f>INDEX(Cronograma!AH$5:AH$11,MATCH($B134,Premissas!$A$39:$A$45,0))</f>
        <v/>
      </c>
      <c r="AJ134" s="22" t="str">
        <f>INDEX(Cronograma!AI$5:AI$11,MATCH($B134,Premissas!$A$39:$A$45,0))</f>
        <v/>
      </c>
      <c r="AK134" s="22" t="str">
        <f>INDEX(Cronograma!AJ$5:AJ$11,MATCH($B134,Premissas!$A$39:$A$45,0))</f>
        <v/>
      </c>
      <c r="AL134" s="22" t="str">
        <f>INDEX(Cronograma!AK$5:AK$11,MATCH($B134,Premissas!$A$39:$A$45,0))</f>
        <v/>
      </c>
      <c r="AM134" s="22" t="str">
        <f>INDEX(Cronograma!AL$5:AL$11,MATCH($B134,Premissas!$A$39:$A$45,0))</f>
        <v/>
      </c>
      <c r="AN134" s="22" t="str">
        <f>INDEX(Cronograma!AM$5:AM$11,MATCH($B134,Premissas!$A$39:$A$45,0))</f>
        <v/>
      </c>
      <c r="AO134" s="22" t="str">
        <f>INDEX(Cronograma!AN$5:AN$11,MATCH($B134,Premissas!$A$39:$A$45,0))</f>
        <v/>
      </c>
      <c r="AP134" s="22" t="str">
        <f>INDEX(Cronograma!AO$5:AO$11,MATCH($B134,Premissas!$A$39:$A$45,0))</f>
        <v/>
      </c>
      <c r="AQ134" s="22" t="str">
        <f>INDEX(Cronograma!AP$5:AP$11,MATCH($B134,Premissas!$A$39:$A$45,0))</f>
        <v/>
      </c>
      <c r="AR134" s="22" t="str">
        <f>INDEX(Cronograma!AQ$5:AQ$11,MATCH($B134,Premissas!$A$39:$A$45,0))</f>
        <v/>
      </c>
      <c r="AS134" s="22" t="str">
        <f>INDEX(Cronograma!AR$5:AR$11,MATCH($B134,Premissas!$A$39:$A$45,0))</f>
        <v/>
      </c>
      <c r="AT134" s="22" t="str">
        <f>INDEX(Cronograma!AS$5:AS$11,MATCH($B134,Premissas!$A$39:$A$45,0))</f>
        <v/>
      </c>
      <c r="AU134" s="22" t="str">
        <f>INDEX(Cronograma!AT$5:AT$11,MATCH($B134,Premissas!$A$39:$A$45,0))</f>
        <v/>
      </c>
      <c r="AV134" s="22" t="str">
        <f>INDEX(Cronograma!AU$5:AU$11,MATCH($B134,Premissas!$A$39:$A$45,0))</f>
        <v/>
      </c>
      <c r="AW134" s="22" t="str">
        <f>INDEX(Cronograma!AV$5:AV$11,MATCH($B134,Premissas!$A$39:$A$45,0))</f>
        <v/>
      </c>
      <c r="AX134" s="22" t="str">
        <f>INDEX(Cronograma!AW$5:AW$11,MATCH($B134,Premissas!$A$39:$A$45,0))</f>
        <v>S</v>
      </c>
      <c r="AY134" s="22" t="str">
        <f>INDEX(Cronograma!AX$5:AX$11,MATCH($B134,Premissas!$A$39:$A$45,0))</f>
        <v/>
      </c>
      <c r="AZ134" s="22" t="str">
        <f>INDEX(Cronograma!AY$5:AY$11,MATCH($B134,Premissas!$A$39:$A$45,0))</f>
        <v/>
      </c>
      <c r="BA134" s="22" t="str">
        <f>INDEX(Cronograma!AZ$5:AZ$11,MATCH($B134,Premissas!$A$39:$A$45,0))</f>
        <v/>
      </c>
      <c r="BB134" s="22" t="str">
        <f>INDEX(Cronograma!BA$5:BA$11,MATCH($B134,Premissas!$A$39:$A$45,0))</f>
        <v/>
      </c>
    </row>
    <row r="135" spans="1:54" ht="15" customHeight="1" x14ac:dyDescent="0.4">
      <c r="A135" s="15" t="str">
        <f>Frota!$B135&amp;" — "&amp;Frota!$A135</f>
        <v>Fiat Strada 1.4 — 103086</v>
      </c>
      <c r="B135" s="16" t="str">
        <f>Frota!$C135</f>
        <v>Veículo Leve</v>
      </c>
      <c r="C135" s="22" t="str">
        <f>INDEX(Cronograma!B$5:B$11,MATCH($B135,Premissas!$A$39:$A$45,0))</f>
        <v/>
      </c>
      <c r="D135" s="22" t="str">
        <f>INDEX(Cronograma!C$5:C$11,MATCH($B135,Premissas!$A$39:$A$45,0))</f>
        <v/>
      </c>
      <c r="E135" s="22" t="str">
        <f>INDEX(Cronograma!D$5:D$11,MATCH($B135,Premissas!$A$39:$A$45,0))</f>
        <v/>
      </c>
      <c r="F135" s="22" t="str">
        <f>INDEX(Cronograma!E$5:E$11,MATCH($B135,Premissas!$A$39:$A$45,0))</f>
        <v/>
      </c>
      <c r="G135" s="22" t="str">
        <f>INDEX(Cronograma!F$5:F$11,MATCH($B135,Premissas!$A$39:$A$45,0))</f>
        <v/>
      </c>
      <c r="H135" s="22" t="str">
        <f>INDEX(Cronograma!G$5:G$11,MATCH($B135,Premissas!$A$39:$A$45,0))</f>
        <v/>
      </c>
      <c r="I135" s="22" t="str">
        <f>INDEX(Cronograma!H$5:H$11,MATCH($B135,Premissas!$A$39:$A$45,0))</f>
        <v/>
      </c>
      <c r="J135" s="22" t="str">
        <f>INDEX(Cronograma!I$5:I$11,MATCH($B135,Premissas!$A$39:$A$45,0))</f>
        <v/>
      </c>
      <c r="K135" s="22" t="str">
        <f>INDEX(Cronograma!J$5:J$11,MATCH($B135,Premissas!$A$39:$A$45,0))</f>
        <v/>
      </c>
      <c r="L135" s="22" t="str">
        <f>INDEX(Cronograma!K$5:K$11,MATCH($B135,Premissas!$A$39:$A$45,0))</f>
        <v/>
      </c>
      <c r="M135" s="22" t="str">
        <f>INDEX(Cronograma!L$5:L$11,MATCH($B135,Premissas!$A$39:$A$45,0))</f>
        <v/>
      </c>
      <c r="N135" s="22" t="str">
        <f>INDEX(Cronograma!M$5:M$11,MATCH($B135,Premissas!$A$39:$A$45,0))</f>
        <v/>
      </c>
      <c r="O135" s="22" t="str">
        <f>INDEX(Cronograma!N$5:N$11,MATCH($B135,Premissas!$A$39:$A$45,0))</f>
        <v/>
      </c>
      <c r="P135" s="22" t="str">
        <f>INDEX(Cronograma!O$5:O$11,MATCH($B135,Premissas!$A$39:$A$45,0))</f>
        <v/>
      </c>
      <c r="Q135" s="22" t="str">
        <f>INDEX(Cronograma!P$5:P$11,MATCH($B135,Premissas!$A$39:$A$45,0))</f>
        <v>S</v>
      </c>
      <c r="R135" s="22" t="str">
        <f>INDEX(Cronograma!Q$5:Q$11,MATCH($B135,Premissas!$A$39:$A$45,0))</f>
        <v/>
      </c>
      <c r="S135" s="22" t="str">
        <f>INDEX(Cronograma!R$5:R$11,MATCH($B135,Premissas!$A$39:$A$45,0))</f>
        <v/>
      </c>
      <c r="T135" s="22" t="str">
        <f>INDEX(Cronograma!S$5:S$11,MATCH($B135,Premissas!$A$39:$A$45,0))</f>
        <v/>
      </c>
      <c r="U135" s="22" t="str">
        <f>INDEX(Cronograma!T$5:T$11,MATCH($B135,Premissas!$A$39:$A$45,0))</f>
        <v/>
      </c>
      <c r="V135" s="22" t="str">
        <f>INDEX(Cronograma!U$5:U$11,MATCH($B135,Premissas!$A$39:$A$45,0))</f>
        <v/>
      </c>
      <c r="W135" s="22" t="str">
        <f>INDEX(Cronograma!V$5:V$11,MATCH($B135,Premissas!$A$39:$A$45,0))</f>
        <v/>
      </c>
      <c r="X135" s="22" t="str">
        <f>INDEX(Cronograma!W$5:W$11,MATCH($B135,Premissas!$A$39:$A$45,0))</f>
        <v/>
      </c>
      <c r="Y135" s="22" t="str">
        <f>INDEX(Cronograma!X$5:X$11,MATCH($B135,Premissas!$A$39:$A$45,0))</f>
        <v/>
      </c>
      <c r="Z135" s="22" t="str">
        <f>INDEX(Cronograma!Y$5:Y$11,MATCH($B135,Premissas!$A$39:$A$45,0))</f>
        <v/>
      </c>
      <c r="AA135" s="22" t="str">
        <f>INDEX(Cronograma!Z$5:Z$11,MATCH($B135,Premissas!$A$39:$A$45,0))</f>
        <v/>
      </c>
      <c r="AB135" s="22" t="str">
        <f>INDEX(Cronograma!AA$5:AA$11,MATCH($B135,Premissas!$A$39:$A$45,0))</f>
        <v/>
      </c>
      <c r="AC135" s="22" t="str">
        <f>INDEX(Cronograma!AB$5:AB$11,MATCH($B135,Premissas!$A$39:$A$45,0))</f>
        <v/>
      </c>
      <c r="AD135" s="22" t="str">
        <f>INDEX(Cronograma!AC$5:AC$11,MATCH($B135,Premissas!$A$39:$A$45,0))</f>
        <v/>
      </c>
      <c r="AE135" s="22" t="str">
        <f>INDEX(Cronograma!AD$5:AD$11,MATCH($B135,Premissas!$A$39:$A$45,0))</f>
        <v>A</v>
      </c>
      <c r="AF135" s="22" t="str">
        <f>INDEX(Cronograma!AE$5:AE$11,MATCH($B135,Premissas!$A$39:$A$45,0))</f>
        <v/>
      </c>
      <c r="AG135" s="22" t="str">
        <f>INDEX(Cronograma!AF$5:AF$11,MATCH($B135,Premissas!$A$39:$A$45,0))</f>
        <v/>
      </c>
      <c r="AH135" s="22" t="str">
        <f>INDEX(Cronograma!AG$5:AG$11,MATCH($B135,Premissas!$A$39:$A$45,0))</f>
        <v/>
      </c>
      <c r="AI135" s="22" t="str">
        <f>INDEX(Cronograma!AH$5:AH$11,MATCH($B135,Premissas!$A$39:$A$45,0))</f>
        <v/>
      </c>
      <c r="AJ135" s="22" t="str">
        <f>INDEX(Cronograma!AI$5:AI$11,MATCH($B135,Premissas!$A$39:$A$45,0))</f>
        <v/>
      </c>
      <c r="AK135" s="22" t="str">
        <f>INDEX(Cronograma!AJ$5:AJ$11,MATCH($B135,Premissas!$A$39:$A$45,0))</f>
        <v/>
      </c>
      <c r="AL135" s="22" t="str">
        <f>INDEX(Cronograma!AK$5:AK$11,MATCH($B135,Premissas!$A$39:$A$45,0))</f>
        <v/>
      </c>
      <c r="AM135" s="22" t="str">
        <f>INDEX(Cronograma!AL$5:AL$11,MATCH($B135,Premissas!$A$39:$A$45,0))</f>
        <v/>
      </c>
      <c r="AN135" s="22" t="str">
        <f>INDEX(Cronograma!AM$5:AM$11,MATCH($B135,Premissas!$A$39:$A$45,0))</f>
        <v/>
      </c>
      <c r="AO135" s="22" t="str">
        <f>INDEX(Cronograma!AN$5:AN$11,MATCH($B135,Premissas!$A$39:$A$45,0))</f>
        <v/>
      </c>
      <c r="AP135" s="22" t="str">
        <f>INDEX(Cronograma!AO$5:AO$11,MATCH($B135,Premissas!$A$39:$A$45,0))</f>
        <v/>
      </c>
      <c r="AQ135" s="22" t="str">
        <f>INDEX(Cronograma!AP$5:AP$11,MATCH($B135,Premissas!$A$39:$A$45,0))</f>
        <v/>
      </c>
      <c r="AR135" s="22" t="str">
        <f>INDEX(Cronograma!AQ$5:AQ$11,MATCH($B135,Premissas!$A$39:$A$45,0))</f>
        <v/>
      </c>
      <c r="AS135" s="22" t="str">
        <f>INDEX(Cronograma!AR$5:AR$11,MATCH($B135,Premissas!$A$39:$A$45,0))</f>
        <v/>
      </c>
      <c r="AT135" s="22" t="str">
        <f>INDEX(Cronograma!AS$5:AS$11,MATCH($B135,Premissas!$A$39:$A$45,0))</f>
        <v/>
      </c>
      <c r="AU135" s="22" t="str">
        <f>INDEX(Cronograma!AT$5:AT$11,MATCH($B135,Premissas!$A$39:$A$45,0))</f>
        <v/>
      </c>
      <c r="AV135" s="22" t="str">
        <f>INDEX(Cronograma!AU$5:AU$11,MATCH($B135,Premissas!$A$39:$A$45,0))</f>
        <v/>
      </c>
      <c r="AW135" s="22" t="str">
        <f>INDEX(Cronograma!AV$5:AV$11,MATCH($B135,Premissas!$A$39:$A$45,0))</f>
        <v/>
      </c>
      <c r="AX135" s="22" t="str">
        <f>INDEX(Cronograma!AW$5:AW$11,MATCH($B135,Premissas!$A$39:$A$45,0))</f>
        <v>S</v>
      </c>
      <c r="AY135" s="22" t="str">
        <f>INDEX(Cronograma!AX$5:AX$11,MATCH($B135,Premissas!$A$39:$A$45,0))</f>
        <v/>
      </c>
      <c r="AZ135" s="22" t="str">
        <f>INDEX(Cronograma!AY$5:AY$11,MATCH($B135,Premissas!$A$39:$A$45,0))</f>
        <v/>
      </c>
      <c r="BA135" s="22" t="str">
        <f>INDEX(Cronograma!AZ$5:AZ$11,MATCH($B135,Premissas!$A$39:$A$45,0))</f>
        <v/>
      </c>
      <c r="BB135" s="22" t="str">
        <f>INDEX(Cronograma!BA$5:BA$11,MATCH($B135,Premissas!$A$39:$A$45,0))</f>
        <v/>
      </c>
    </row>
    <row r="136" spans="1:54" ht="15" customHeight="1" x14ac:dyDescent="0.4">
      <c r="A136" s="15" t="str">
        <f>Frota!$B136&amp;" — "&amp;Frota!$A136</f>
        <v>Fiat Strada 1.4 — 103087</v>
      </c>
      <c r="B136" s="16" t="str">
        <f>Frota!$C136</f>
        <v>Veículo Leve</v>
      </c>
      <c r="C136" s="22" t="str">
        <f>INDEX(Cronograma!B$5:B$11,MATCH($B136,Premissas!$A$39:$A$45,0))</f>
        <v/>
      </c>
      <c r="D136" s="22" t="str">
        <f>INDEX(Cronograma!C$5:C$11,MATCH($B136,Premissas!$A$39:$A$45,0))</f>
        <v/>
      </c>
      <c r="E136" s="22" t="str">
        <f>INDEX(Cronograma!D$5:D$11,MATCH($B136,Premissas!$A$39:$A$45,0))</f>
        <v/>
      </c>
      <c r="F136" s="22" t="str">
        <f>INDEX(Cronograma!E$5:E$11,MATCH($B136,Premissas!$A$39:$A$45,0))</f>
        <v/>
      </c>
      <c r="G136" s="22" t="str">
        <f>INDEX(Cronograma!F$5:F$11,MATCH($B136,Premissas!$A$39:$A$45,0))</f>
        <v/>
      </c>
      <c r="H136" s="22" t="str">
        <f>INDEX(Cronograma!G$5:G$11,MATCH($B136,Premissas!$A$39:$A$45,0))</f>
        <v/>
      </c>
      <c r="I136" s="22" t="str">
        <f>INDEX(Cronograma!H$5:H$11,MATCH($B136,Premissas!$A$39:$A$45,0))</f>
        <v/>
      </c>
      <c r="J136" s="22" t="str">
        <f>INDEX(Cronograma!I$5:I$11,MATCH($B136,Premissas!$A$39:$A$45,0))</f>
        <v/>
      </c>
      <c r="K136" s="22" t="str">
        <f>INDEX(Cronograma!J$5:J$11,MATCH($B136,Premissas!$A$39:$A$45,0))</f>
        <v/>
      </c>
      <c r="L136" s="22" t="str">
        <f>INDEX(Cronograma!K$5:K$11,MATCH($B136,Premissas!$A$39:$A$45,0))</f>
        <v/>
      </c>
      <c r="M136" s="22" t="str">
        <f>INDEX(Cronograma!L$5:L$11,MATCH($B136,Premissas!$A$39:$A$45,0))</f>
        <v/>
      </c>
      <c r="N136" s="22" t="str">
        <f>INDEX(Cronograma!M$5:M$11,MATCH($B136,Premissas!$A$39:$A$45,0))</f>
        <v/>
      </c>
      <c r="O136" s="22" t="str">
        <f>INDEX(Cronograma!N$5:N$11,MATCH($B136,Premissas!$A$39:$A$45,0))</f>
        <v/>
      </c>
      <c r="P136" s="22" t="str">
        <f>INDEX(Cronograma!O$5:O$11,MATCH($B136,Premissas!$A$39:$A$45,0))</f>
        <v/>
      </c>
      <c r="Q136" s="22" t="str">
        <f>INDEX(Cronograma!P$5:P$11,MATCH($B136,Premissas!$A$39:$A$45,0))</f>
        <v>S</v>
      </c>
      <c r="R136" s="22" t="str">
        <f>INDEX(Cronograma!Q$5:Q$11,MATCH($B136,Premissas!$A$39:$A$45,0))</f>
        <v/>
      </c>
      <c r="S136" s="22" t="str">
        <f>INDEX(Cronograma!R$5:R$11,MATCH($B136,Premissas!$A$39:$A$45,0))</f>
        <v/>
      </c>
      <c r="T136" s="22" t="str">
        <f>INDEX(Cronograma!S$5:S$11,MATCH($B136,Premissas!$A$39:$A$45,0))</f>
        <v/>
      </c>
      <c r="U136" s="22" t="str">
        <f>INDEX(Cronograma!T$5:T$11,MATCH($B136,Premissas!$A$39:$A$45,0))</f>
        <v/>
      </c>
      <c r="V136" s="22" t="str">
        <f>INDEX(Cronograma!U$5:U$11,MATCH($B136,Premissas!$A$39:$A$45,0))</f>
        <v/>
      </c>
      <c r="W136" s="22" t="str">
        <f>INDEX(Cronograma!V$5:V$11,MATCH($B136,Premissas!$A$39:$A$45,0))</f>
        <v/>
      </c>
      <c r="X136" s="22" t="str">
        <f>INDEX(Cronograma!W$5:W$11,MATCH($B136,Premissas!$A$39:$A$45,0))</f>
        <v/>
      </c>
      <c r="Y136" s="22" t="str">
        <f>INDEX(Cronograma!X$5:X$11,MATCH($B136,Premissas!$A$39:$A$45,0))</f>
        <v/>
      </c>
      <c r="Z136" s="22" t="str">
        <f>INDEX(Cronograma!Y$5:Y$11,MATCH($B136,Premissas!$A$39:$A$45,0))</f>
        <v/>
      </c>
      <c r="AA136" s="22" t="str">
        <f>INDEX(Cronograma!Z$5:Z$11,MATCH($B136,Premissas!$A$39:$A$45,0))</f>
        <v/>
      </c>
      <c r="AB136" s="22" t="str">
        <f>INDEX(Cronograma!AA$5:AA$11,MATCH($B136,Premissas!$A$39:$A$45,0))</f>
        <v/>
      </c>
      <c r="AC136" s="22" t="str">
        <f>INDEX(Cronograma!AB$5:AB$11,MATCH($B136,Premissas!$A$39:$A$45,0))</f>
        <v/>
      </c>
      <c r="AD136" s="22" t="str">
        <f>INDEX(Cronograma!AC$5:AC$11,MATCH($B136,Premissas!$A$39:$A$45,0))</f>
        <v/>
      </c>
      <c r="AE136" s="22" t="str">
        <f>INDEX(Cronograma!AD$5:AD$11,MATCH($B136,Premissas!$A$39:$A$45,0))</f>
        <v>A</v>
      </c>
      <c r="AF136" s="22" t="str">
        <f>INDEX(Cronograma!AE$5:AE$11,MATCH($B136,Premissas!$A$39:$A$45,0))</f>
        <v/>
      </c>
      <c r="AG136" s="22" t="str">
        <f>INDEX(Cronograma!AF$5:AF$11,MATCH($B136,Premissas!$A$39:$A$45,0))</f>
        <v/>
      </c>
      <c r="AH136" s="22" t="str">
        <f>INDEX(Cronograma!AG$5:AG$11,MATCH($B136,Premissas!$A$39:$A$45,0))</f>
        <v/>
      </c>
      <c r="AI136" s="22" t="str">
        <f>INDEX(Cronograma!AH$5:AH$11,MATCH($B136,Premissas!$A$39:$A$45,0))</f>
        <v/>
      </c>
      <c r="AJ136" s="22" t="str">
        <f>INDEX(Cronograma!AI$5:AI$11,MATCH($B136,Premissas!$A$39:$A$45,0))</f>
        <v/>
      </c>
      <c r="AK136" s="22" t="str">
        <f>INDEX(Cronograma!AJ$5:AJ$11,MATCH($B136,Premissas!$A$39:$A$45,0))</f>
        <v/>
      </c>
      <c r="AL136" s="22" t="str">
        <f>INDEX(Cronograma!AK$5:AK$11,MATCH($B136,Premissas!$A$39:$A$45,0))</f>
        <v/>
      </c>
      <c r="AM136" s="22" t="str">
        <f>INDEX(Cronograma!AL$5:AL$11,MATCH($B136,Premissas!$A$39:$A$45,0))</f>
        <v/>
      </c>
      <c r="AN136" s="22" t="str">
        <f>INDEX(Cronograma!AM$5:AM$11,MATCH($B136,Premissas!$A$39:$A$45,0))</f>
        <v/>
      </c>
      <c r="AO136" s="22" t="str">
        <f>INDEX(Cronograma!AN$5:AN$11,MATCH($B136,Premissas!$A$39:$A$45,0))</f>
        <v/>
      </c>
      <c r="AP136" s="22" t="str">
        <f>INDEX(Cronograma!AO$5:AO$11,MATCH($B136,Premissas!$A$39:$A$45,0))</f>
        <v/>
      </c>
      <c r="AQ136" s="22" t="str">
        <f>INDEX(Cronograma!AP$5:AP$11,MATCH($B136,Premissas!$A$39:$A$45,0))</f>
        <v/>
      </c>
      <c r="AR136" s="22" t="str">
        <f>INDEX(Cronograma!AQ$5:AQ$11,MATCH($B136,Premissas!$A$39:$A$45,0))</f>
        <v/>
      </c>
      <c r="AS136" s="22" t="str">
        <f>INDEX(Cronograma!AR$5:AR$11,MATCH($B136,Premissas!$A$39:$A$45,0))</f>
        <v/>
      </c>
      <c r="AT136" s="22" t="str">
        <f>INDEX(Cronograma!AS$5:AS$11,MATCH($B136,Premissas!$A$39:$A$45,0))</f>
        <v/>
      </c>
      <c r="AU136" s="22" t="str">
        <f>INDEX(Cronograma!AT$5:AT$11,MATCH($B136,Premissas!$A$39:$A$45,0))</f>
        <v/>
      </c>
      <c r="AV136" s="22" t="str">
        <f>INDEX(Cronograma!AU$5:AU$11,MATCH($B136,Premissas!$A$39:$A$45,0))</f>
        <v/>
      </c>
      <c r="AW136" s="22" t="str">
        <f>INDEX(Cronograma!AV$5:AV$11,MATCH($B136,Premissas!$A$39:$A$45,0))</f>
        <v/>
      </c>
      <c r="AX136" s="22" t="str">
        <f>INDEX(Cronograma!AW$5:AW$11,MATCH($B136,Premissas!$A$39:$A$45,0))</f>
        <v>S</v>
      </c>
      <c r="AY136" s="22" t="str">
        <f>INDEX(Cronograma!AX$5:AX$11,MATCH($B136,Premissas!$A$39:$A$45,0))</f>
        <v/>
      </c>
      <c r="AZ136" s="22" t="str">
        <f>INDEX(Cronograma!AY$5:AY$11,MATCH($B136,Premissas!$A$39:$A$45,0))</f>
        <v/>
      </c>
      <c r="BA136" s="22" t="str">
        <f>INDEX(Cronograma!AZ$5:AZ$11,MATCH($B136,Premissas!$A$39:$A$45,0))</f>
        <v/>
      </c>
      <c r="BB136" s="22" t="str">
        <f>INDEX(Cronograma!BA$5:BA$11,MATCH($B136,Premissas!$A$39:$A$45,0))</f>
        <v/>
      </c>
    </row>
    <row r="137" spans="1:54" ht="15" customHeight="1" x14ac:dyDescent="0.4">
      <c r="A137" s="15" t="str">
        <f>Frota!$B137&amp;" — "&amp;Frota!$A137</f>
        <v>Fiat Strada 1.4 — 103088</v>
      </c>
      <c r="B137" s="16" t="str">
        <f>Frota!$C137</f>
        <v>Veículo Leve</v>
      </c>
      <c r="C137" s="22" t="str">
        <f>INDEX(Cronograma!B$5:B$11,MATCH($B137,Premissas!$A$39:$A$45,0))</f>
        <v/>
      </c>
      <c r="D137" s="22" t="str">
        <f>INDEX(Cronograma!C$5:C$11,MATCH($B137,Premissas!$A$39:$A$45,0))</f>
        <v/>
      </c>
      <c r="E137" s="22" t="str">
        <f>INDEX(Cronograma!D$5:D$11,MATCH($B137,Premissas!$A$39:$A$45,0))</f>
        <v/>
      </c>
      <c r="F137" s="22" t="str">
        <f>INDEX(Cronograma!E$5:E$11,MATCH($B137,Premissas!$A$39:$A$45,0))</f>
        <v/>
      </c>
      <c r="G137" s="22" t="str">
        <f>INDEX(Cronograma!F$5:F$11,MATCH($B137,Premissas!$A$39:$A$45,0))</f>
        <v/>
      </c>
      <c r="H137" s="22" t="str">
        <f>INDEX(Cronograma!G$5:G$11,MATCH($B137,Premissas!$A$39:$A$45,0))</f>
        <v/>
      </c>
      <c r="I137" s="22" t="str">
        <f>INDEX(Cronograma!H$5:H$11,MATCH($B137,Premissas!$A$39:$A$45,0))</f>
        <v/>
      </c>
      <c r="J137" s="22" t="str">
        <f>INDEX(Cronograma!I$5:I$11,MATCH($B137,Premissas!$A$39:$A$45,0))</f>
        <v/>
      </c>
      <c r="K137" s="22" t="str">
        <f>INDEX(Cronograma!J$5:J$11,MATCH($B137,Premissas!$A$39:$A$45,0))</f>
        <v/>
      </c>
      <c r="L137" s="22" t="str">
        <f>INDEX(Cronograma!K$5:K$11,MATCH($B137,Premissas!$A$39:$A$45,0))</f>
        <v/>
      </c>
      <c r="M137" s="22" t="str">
        <f>INDEX(Cronograma!L$5:L$11,MATCH($B137,Premissas!$A$39:$A$45,0))</f>
        <v/>
      </c>
      <c r="N137" s="22" t="str">
        <f>INDEX(Cronograma!M$5:M$11,MATCH($B137,Premissas!$A$39:$A$45,0))</f>
        <v/>
      </c>
      <c r="O137" s="22" t="str">
        <f>INDEX(Cronograma!N$5:N$11,MATCH($B137,Premissas!$A$39:$A$45,0))</f>
        <v/>
      </c>
      <c r="P137" s="22" t="str">
        <f>INDEX(Cronograma!O$5:O$11,MATCH($B137,Premissas!$A$39:$A$45,0))</f>
        <v/>
      </c>
      <c r="Q137" s="22" t="str">
        <f>INDEX(Cronograma!P$5:P$11,MATCH($B137,Premissas!$A$39:$A$45,0))</f>
        <v>S</v>
      </c>
      <c r="R137" s="22" t="str">
        <f>INDEX(Cronograma!Q$5:Q$11,MATCH($B137,Premissas!$A$39:$A$45,0))</f>
        <v/>
      </c>
      <c r="S137" s="22" t="str">
        <f>INDEX(Cronograma!R$5:R$11,MATCH($B137,Premissas!$A$39:$A$45,0))</f>
        <v/>
      </c>
      <c r="T137" s="22" t="str">
        <f>INDEX(Cronograma!S$5:S$11,MATCH($B137,Premissas!$A$39:$A$45,0))</f>
        <v/>
      </c>
      <c r="U137" s="22" t="str">
        <f>INDEX(Cronograma!T$5:T$11,MATCH($B137,Premissas!$A$39:$A$45,0))</f>
        <v/>
      </c>
      <c r="V137" s="22" t="str">
        <f>INDEX(Cronograma!U$5:U$11,MATCH($B137,Premissas!$A$39:$A$45,0))</f>
        <v/>
      </c>
      <c r="W137" s="22" t="str">
        <f>INDEX(Cronograma!V$5:V$11,MATCH($B137,Premissas!$A$39:$A$45,0))</f>
        <v/>
      </c>
      <c r="X137" s="22" t="str">
        <f>INDEX(Cronograma!W$5:W$11,MATCH($B137,Premissas!$A$39:$A$45,0))</f>
        <v/>
      </c>
      <c r="Y137" s="22" t="str">
        <f>INDEX(Cronograma!X$5:X$11,MATCH($B137,Premissas!$A$39:$A$45,0))</f>
        <v/>
      </c>
      <c r="Z137" s="22" t="str">
        <f>INDEX(Cronograma!Y$5:Y$11,MATCH($B137,Premissas!$A$39:$A$45,0))</f>
        <v/>
      </c>
      <c r="AA137" s="22" t="str">
        <f>INDEX(Cronograma!Z$5:Z$11,MATCH($B137,Premissas!$A$39:$A$45,0))</f>
        <v/>
      </c>
      <c r="AB137" s="22" t="str">
        <f>INDEX(Cronograma!AA$5:AA$11,MATCH($B137,Premissas!$A$39:$A$45,0))</f>
        <v/>
      </c>
      <c r="AC137" s="22" t="str">
        <f>INDEX(Cronograma!AB$5:AB$11,MATCH($B137,Premissas!$A$39:$A$45,0))</f>
        <v/>
      </c>
      <c r="AD137" s="22" t="str">
        <f>INDEX(Cronograma!AC$5:AC$11,MATCH($B137,Premissas!$A$39:$A$45,0))</f>
        <v/>
      </c>
      <c r="AE137" s="22" t="str">
        <f>INDEX(Cronograma!AD$5:AD$11,MATCH($B137,Premissas!$A$39:$A$45,0))</f>
        <v>A</v>
      </c>
      <c r="AF137" s="22" t="str">
        <f>INDEX(Cronograma!AE$5:AE$11,MATCH($B137,Premissas!$A$39:$A$45,0))</f>
        <v/>
      </c>
      <c r="AG137" s="22" t="str">
        <f>INDEX(Cronograma!AF$5:AF$11,MATCH($B137,Premissas!$A$39:$A$45,0))</f>
        <v/>
      </c>
      <c r="AH137" s="22" t="str">
        <f>INDEX(Cronograma!AG$5:AG$11,MATCH($B137,Premissas!$A$39:$A$45,0))</f>
        <v/>
      </c>
      <c r="AI137" s="22" t="str">
        <f>INDEX(Cronograma!AH$5:AH$11,MATCH($B137,Premissas!$A$39:$A$45,0))</f>
        <v/>
      </c>
      <c r="AJ137" s="22" t="str">
        <f>INDEX(Cronograma!AI$5:AI$11,MATCH($B137,Premissas!$A$39:$A$45,0))</f>
        <v/>
      </c>
      <c r="AK137" s="22" t="str">
        <f>INDEX(Cronograma!AJ$5:AJ$11,MATCH($B137,Premissas!$A$39:$A$45,0))</f>
        <v/>
      </c>
      <c r="AL137" s="22" t="str">
        <f>INDEX(Cronograma!AK$5:AK$11,MATCH($B137,Premissas!$A$39:$A$45,0))</f>
        <v/>
      </c>
      <c r="AM137" s="22" t="str">
        <f>INDEX(Cronograma!AL$5:AL$11,MATCH($B137,Premissas!$A$39:$A$45,0))</f>
        <v/>
      </c>
      <c r="AN137" s="22" t="str">
        <f>INDEX(Cronograma!AM$5:AM$11,MATCH($B137,Premissas!$A$39:$A$45,0))</f>
        <v/>
      </c>
      <c r="AO137" s="22" t="str">
        <f>INDEX(Cronograma!AN$5:AN$11,MATCH($B137,Premissas!$A$39:$A$45,0))</f>
        <v/>
      </c>
      <c r="AP137" s="22" t="str">
        <f>INDEX(Cronograma!AO$5:AO$11,MATCH($B137,Premissas!$A$39:$A$45,0))</f>
        <v/>
      </c>
      <c r="AQ137" s="22" t="str">
        <f>INDEX(Cronograma!AP$5:AP$11,MATCH($B137,Premissas!$A$39:$A$45,0))</f>
        <v/>
      </c>
      <c r="AR137" s="22" t="str">
        <f>INDEX(Cronograma!AQ$5:AQ$11,MATCH($B137,Premissas!$A$39:$A$45,0))</f>
        <v/>
      </c>
      <c r="AS137" s="22" t="str">
        <f>INDEX(Cronograma!AR$5:AR$11,MATCH($B137,Premissas!$A$39:$A$45,0))</f>
        <v/>
      </c>
      <c r="AT137" s="22" t="str">
        <f>INDEX(Cronograma!AS$5:AS$11,MATCH($B137,Premissas!$A$39:$A$45,0))</f>
        <v/>
      </c>
      <c r="AU137" s="22" t="str">
        <f>INDEX(Cronograma!AT$5:AT$11,MATCH($B137,Premissas!$A$39:$A$45,0))</f>
        <v/>
      </c>
      <c r="AV137" s="22" t="str">
        <f>INDEX(Cronograma!AU$5:AU$11,MATCH($B137,Premissas!$A$39:$A$45,0))</f>
        <v/>
      </c>
      <c r="AW137" s="22" t="str">
        <f>INDEX(Cronograma!AV$5:AV$11,MATCH($B137,Premissas!$A$39:$A$45,0))</f>
        <v/>
      </c>
      <c r="AX137" s="22" t="str">
        <f>INDEX(Cronograma!AW$5:AW$11,MATCH($B137,Premissas!$A$39:$A$45,0))</f>
        <v>S</v>
      </c>
      <c r="AY137" s="22" t="str">
        <f>INDEX(Cronograma!AX$5:AX$11,MATCH($B137,Premissas!$A$39:$A$45,0))</f>
        <v/>
      </c>
      <c r="AZ137" s="22" t="str">
        <f>INDEX(Cronograma!AY$5:AY$11,MATCH($B137,Premissas!$A$39:$A$45,0))</f>
        <v/>
      </c>
      <c r="BA137" s="22" t="str">
        <f>INDEX(Cronograma!AZ$5:AZ$11,MATCH($B137,Premissas!$A$39:$A$45,0))</f>
        <v/>
      </c>
      <c r="BB137" s="22" t="str">
        <f>INDEX(Cronograma!BA$5:BA$11,MATCH($B137,Premissas!$A$39:$A$45,0))</f>
        <v/>
      </c>
    </row>
    <row r="138" spans="1:54" ht="15" customHeight="1" x14ac:dyDescent="0.4">
      <c r="A138" s="15" t="str">
        <f>Frota!$B138&amp;" — "&amp;Frota!$A138</f>
        <v>Fiat Strada 1.4 — 103089</v>
      </c>
      <c r="B138" s="16" t="str">
        <f>Frota!$C138</f>
        <v>Veículo Leve</v>
      </c>
      <c r="C138" s="22" t="str">
        <f>INDEX(Cronograma!B$5:B$11,MATCH($B138,Premissas!$A$39:$A$45,0))</f>
        <v/>
      </c>
      <c r="D138" s="22" t="str">
        <f>INDEX(Cronograma!C$5:C$11,MATCH($B138,Premissas!$A$39:$A$45,0))</f>
        <v/>
      </c>
      <c r="E138" s="22" t="str">
        <f>INDEX(Cronograma!D$5:D$11,MATCH($B138,Premissas!$A$39:$A$45,0))</f>
        <v/>
      </c>
      <c r="F138" s="22" t="str">
        <f>INDEX(Cronograma!E$5:E$11,MATCH($B138,Premissas!$A$39:$A$45,0))</f>
        <v/>
      </c>
      <c r="G138" s="22" t="str">
        <f>INDEX(Cronograma!F$5:F$11,MATCH($B138,Premissas!$A$39:$A$45,0))</f>
        <v/>
      </c>
      <c r="H138" s="22" t="str">
        <f>INDEX(Cronograma!G$5:G$11,MATCH($B138,Premissas!$A$39:$A$45,0))</f>
        <v/>
      </c>
      <c r="I138" s="22" t="str">
        <f>INDEX(Cronograma!H$5:H$11,MATCH($B138,Premissas!$A$39:$A$45,0))</f>
        <v/>
      </c>
      <c r="J138" s="22" t="str">
        <f>INDEX(Cronograma!I$5:I$11,MATCH($B138,Premissas!$A$39:$A$45,0))</f>
        <v/>
      </c>
      <c r="K138" s="22" t="str">
        <f>INDEX(Cronograma!J$5:J$11,MATCH($B138,Premissas!$A$39:$A$45,0))</f>
        <v/>
      </c>
      <c r="L138" s="22" t="str">
        <f>INDEX(Cronograma!K$5:K$11,MATCH($B138,Premissas!$A$39:$A$45,0))</f>
        <v/>
      </c>
      <c r="M138" s="22" t="str">
        <f>INDEX(Cronograma!L$5:L$11,MATCH($B138,Premissas!$A$39:$A$45,0))</f>
        <v/>
      </c>
      <c r="N138" s="22" t="str">
        <f>INDEX(Cronograma!M$5:M$11,MATCH($B138,Premissas!$A$39:$A$45,0))</f>
        <v/>
      </c>
      <c r="O138" s="22" t="str">
        <f>INDEX(Cronograma!N$5:N$11,MATCH($B138,Premissas!$A$39:$A$45,0))</f>
        <v/>
      </c>
      <c r="P138" s="22" t="str">
        <f>INDEX(Cronograma!O$5:O$11,MATCH($B138,Premissas!$A$39:$A$45,0))</f>
        <v/>
      </c>
      <c r="Q138" s="22" t="str">
        <f>INDEX(Cronograma!P$5:P$11,MATCH($B138,Premissas!$A$39:$A$45,0))</f>
        <v>S</v>
      </c>
      <c r="R138" s="22" t="str">
        <f>INDEX(Cronograma!Q$5:Q$11,MATCH($B138,Premissas!$A$39:$A$45,0))</f>
        <v/>
      </c>
      <c r="S138" s="22" t="str">
        <f>INDEX(Cronograma!R$5:R$11,MATCH($B138,Premissas!$A$39:$A$45,0))</f>
        <v/>
      </c>
      <c r="T138" s="22" t="str">
        <f>INDEX(Cronograma!S$5:S$11,MATCH($B138,Premissas!$A$39:$A$45,0))</f>
        <v/>
      </c>
      <c r="U138" s="22" t="str">
        <f>INDEX(Cronograma!T$5:T$11,MATCH($B138,Premissas!$A$39:$A$45,0))</f>
        <v/>
      </c>
      <c r="V138" s="22" t="str">
        <f>INDEX(Cronograma!U$5:U$11,MATCH($B138,Premissas!$A$39:$A$45,0))</f>
        <v/>
      </c>
      <c r="W138" s="22" t="str">
        <f>INDEX(Cronograma!V$5:V$11,MATCH($B138,Premissas!$A$39:$A$45,0))</f>
        <v/>
      </c>
      <c r="X138" s="22" t="str">
        <f>INDEX(Cronograma!W$5:W$11,MATCH($B138,Premissas!$A$39:$A$45,0))</f>
        <v/>
      </c>
      <c r="Y138" s="22" t="str">
        <f>INDEX(Cronograma!X$5:X$11,MATCH($B138,Premissas!$A$39:$A$45,0))</f>
        <v/>
      </c>
      <c r="Z138" s="22" t="str">
        <f>INDEX(Cronograma!Y$5:Y$11,MATCH($B138,Premissas!$A$39:$A$45,0))</f>
        <v/>
      </c>
      <c r="AA138" s="22" t="str">
        <f>INDEX(Cronograma!Z$5:Z$11,MATCH($B138,Premissas!$A$39:$A$45,0))</f>
        <v/>
      </c>
      <c r="AB138" s="22" t="str">
        <f>INDEX(Cronograma!AA$5:AA$11,MATCH($B138,Premissas!$A$39:$A$45,0))</f>
        <v/>
      </c>
      <c r="AC138" s="22" t="str">
        <f>INDEX(Cronograma!AB$5:AB$11,MATCH($B138,Premissas!$A$39:$A$45,0))</f>
        <v/>
      </c>
      <c r="AD138" s="22" t="str">
        <f>INDEX(Cronograma!AC$5:AC$11,MATCH($B138,Premissas!$A$39:$A$45,0))</f>
        <v/>
      </c>
      <c r="AE138" s="22" t="str">
        <f>INDEX(Cronograma!AD$5:AD$11,MATCH($B138,Premissas!$A$39:$A$45,0))</f>
        <v>A</v>
      </c>
      <c r="AF138" s="22" t="str">
        <f>INDEX(Cronograma!AE$5:AE$11,MATCH($B138,Premissas!$A$39:$A$45,0))</f>
        <v/>
      </c>
      <c r="AG138" s="22" t="str">
        <f>INDEX(Cronograma!AF$5:AF$11,MATCH($B138,Premissas!$A$39:$A$45,0))</f>
        <v/>
      </c>
      <c r="AH138" s="22" t="str">
        <f>INDEX(Cronograma!AG$5:AG$11,MATCH($B138,Premissas!$A$39:$A$45,0))</f>
        <v/>
      </c>
      <c r="AI138" s="22" t="str">
        <f>INDEX(Cronograma!AH$5:AH$11,MATCH($B138,Premissas!$A$39:$A$45,0))</f>
        <v/>
      </c>
      <c r="AJ138" s="22" t="str">
        <f>INDEX(Cronograma!AI$5:AI$11,MATCH($B138,Premissas!$A$39:$A$45,0))</f>
        <v/>
      </c>
      <c r="AK138" s="22" t="str">
        <f>INDEX(Cronograma!AJ$5:AJ$11,MATCH($B138,Premissas!$A$39:$A$45,0))</f>
        <v/>
      </c>
      <c r="AL138" s="22" t="str">
        <f>INDEX(Cronograma!AK$5:AK$11,MATCH($B138,Premissas!$A$39:$A$45,0))</f>
        <v/>
      </c>
      <c r="AM138" s="22" t="str">
        <f>INDEX(Cronograma!AL$5:AL$11,MATCH($B138,Premissas!$A$39:$A$45,0))</f>
        <v/>
      </c>
      <c r="AN138" s="22" t="str">
        <f>INDEX(Cronograma!AM$5:AM$11,MATCH($B138,Premissas!$A$39:$A$45,0))</f>
        <v/>
      </c>
      <c r="AO138" s="22" t="str">
        <f>INDEX(Cronograma!AN$5:AN$11,MATCH($B138,Premissas!$A$39:$A$45,0))</f>
        <v/>
      </c>
      <c r="AP138" s="22" t="str">
        <f>INDEX(Cronograma!AO$5:AO$11,MATCH($B138,Premissas!$A$39:$A$45,0))</f>
        <v/>
      </c>
      <c r="AQ138" s="22" t="str">
        <f>INDEX(Cronograma!AP$5:AP$11,MATCH($B138,Premissas!$A$39:$A$45,0))</f>
        <v/>
      </c>
      <c r="AR138" s="22" t="str">
        <f>INDEX(Cronograma!AQ$5:AQ$11,MATCH($B138,Premissas!$A$39:$A$45,0))</f>
        <v/>
      </c>
      <c r="AS138" s="22" t="str">
        <f>INDEX(Cronograma!AR$5:AR$11,MATCH($B138,Premissas!$A$39:$A$45,0))</f>
        <v/>
      </c>
      <c r="AT138" s="22" t="str">
        <f>INDEX(Cronograma!AS$5:AS$11,MATCH($B138,Premissas!$A$39:$A$45,0))</f>
        <v/>
      </c>
      <c r="AU138" s="22" t="str">
        <f>INDEX(Cronograma!AT$5:AT$11,MATCH($B138,Premissas!$A$39:$A$45,0))</f>
        <v/>
      </c>
      <c r="AV138" s="22" t="str">
        <f>INDEX(Cronograma!AU$5:AU$11,MATCH($B138,Premissas!$A$39:$A$45,0))</f>
        <v/>
      </c>
      <c r="AW138" s="22" t="str">
        <f>INDEX(Cronograma!AV$5:AV$11,MATCH($B138,Premissas!$A$39:$A$45,0))</f>
        <v/>
      </c>
      <c r="AX138" s="22" t="str">
        <f>INDEX(Cronograma!AW$5:AW$11,MATCH($B138,Premissas!$A$39:$A$45,0))</f>
        <v>S</v>
      </c>
      <c r="AY138" s="22" t="str">
        <f>INDEX(Cronograma!AX$5:AX$11,MATCH($B138,Premissas!$A$39:$A$45,0))</f>
        <v/>
      </c>
      <c r="AZ138" s="22" t="str">
        <f>INDEX(Cronograma!AY$5:AY$11,MATCH($B138,Premissas!$A$39:$A$45,0))</f>
        <v/>
      </c>
      <c r="BA138" s="22" t="str">
        <f>INDEX(Cronograma!AZ$5:AZ$11,MATCH($B138,Premissas!$A$39:$A$45,0))</f>
        <v/>
      </c>
      <c r="BB138" s="22" t="str">
        <f>INDEX(Cronograma!BA$5:BA$11,MATCH($B138,Premissas!$A$39:$A$45,0))</f>
        <v/>
      </c>
    </row>
    <row r="139" spans="1:54" ht="15" customHeight="1" x14ac:dyDescent="0.4">
      <c r="A139" s="15" t="str">
        <f>Frota!$B139&amp;" — "&amp;Frota!$A139</f>
        <v>Passat CC 3.6 — 103092</v>
      </c>
      <c r="B139" s="16" t="str">
        <f>Frota!$C139</f>
        <v>Veículo Leve</v>
      </c>
      <c r="C139" s="22" t="str">
        <f>INDEX(Cronograma!B$5:B$11,MATCH($B139,Premissas!$A$39:$A$45,0))</f>
        <v/>
      </c>
      <c r="D139" s="22" t="str">
        <f>INDEX(Cronograma!C$5:C$11,MATCH($B139,Premissas!$A$39:$A$45,0))</f>
        <v/>
      </c>
      <c r="E139" s="22" t="str">
        <f>INDEX(Cronograma!D$5:D$11,MATCH($B139,Premissas!$A$39:$A$45,0))</f>
        <v/>
      </c>
      <c r="F139" s="22" t="str">
        <f>INDEX(Cronograma!E$5:E$11,MATCH($B139,Premissas!$A$39:$A$45,0))</f>
        <v/>
      </c>
      <c r="G139" s="22" t="str">
        <f>INDEX(Cronograma!F$5:F$11,MATCH($B139,Premissas!$A$39:$A$45,0))</f>
        <v/>
      </c>
      <c r="H139" s="22" t="str">
        <f>INDEX(Cronograma!G$5:G$11,MATCH($B139,Premissas!$A$39:$A$45,0))</f>
        <v/>
      </c>
      <c r="I139" s="22" t="str">
        <f>INDEX(Cronograma!H$5:H$11,MATCH($B139,Premissas!$A$39:$A$45,0))</f>
        <v/>
      </c>
      <c r="J139" s="22" t="str">
        <f>INDEX(Cronograma!I$5:I$11,MATCH($B139,Premissas!$A$39:$A$45,0))</f>
        <v/>
      </c>
      <c r="K139" s="22" t="str">
        <f>INDEX(Cronograma!J$5:J$11,MATCH($B139,Premissas!$A$39:$A$45,0))</f>
        <v/>
      </c>
      <c r="L139" s="22" t="str">
        <f>INDEX(Cronograma!K$5:K$11,MATCH($B139,Premissas!$A$39:$A$45,0))</f>
        <v/>
      </c>
      <c r="M139" s="22" t="str">
        <f>INDEX(Cronograma!L$5:L$11,MATCH($B139,Premissas!$A$39:$A$45,0))</f>
        <v/>
      </c>
      <c r="N139" s="22" t="str">
        <f>INDEX(Cronograma!M$5:M$11,MATCH($B139,Premissas!$A$39:$A$45,0))</f>
        <v/>
      </c>
      <c r="O139" s="22" t="str">
        <f>INDEX(Cronograma!N$5:N$11,MATCH($B139,Premissas!$A$39:$A$45,0))</f>
        <v/>
      </c>
      <c r="P139" s="22" t="str">
        <f>INDEX(Cronograma!O$5:O$11,MATCH($B139,Premissas!$A$39:$A$45,0))</f>
        <v/>
      </c>
      <c r="Q139" s="22" t="str">
        <f>INDEX(Cronograma!P$5:P$11,MATCH($B139,Premissas!$A$39:$A$45,0))</f>
        <v>S</v>
      </c>
      <c r="R139" s="22" t="str">
        <f>INDEX(Cronograma!Q$5:Q$11,MATCH($B139,Premissas!$A$39:$A$45,0))</f>
        <v/>
      </c>
      <c r="S139" s="22" t="str">
        <f>INDEX(Cronograma!R$5:R$11,MATCH($B139,Premissas!$A$39:$A$45,0))</f>
        <v/>
      </c>
      <c r="T139" s="22" t="str">
        <f>INDEX(Cronograma!S$5:S$11,MATCH($B139,Premissas!$A$39:$A$45,0))</f>
        <v/>
      </c>
      <c r="U139" s="22" t="str">
        <f>INDEX(Cronograma!T$5:T$11,MATCH($B139,Premissas!$A$39:$A$45,0))</f>
        <v/>
      </c>
      <c r="V139" s="22" t="str">
        <f>INDEX(Cronograma!U$5:U$11,MATCH($B139,Premissas!$A$39:$A$45,0))</f>
        <v/>
      </c>
      <c r="W139" s="22" t="str">
        <f>INDEX(Cronograma!V$5:V$11,MATCH($B139,Premissas!$A$39:$A$45,0))</f>
        <v/>
      </c>
      <c r="X139" s="22" t="str">
        <f>INDEX(Cronograma!W$5:W$11,MATCH($B139,Premissas!$A$39:$A$45,0))</f>
        <v/>
      </c>
      <c r="Y139" s="22" t="str">
        <f>INDEX(Cronograma!X$5:X$11,MATCH($B139,Premissas!$A$39:$A$45,0))</f>
        <v/>
      </c>
      <c r="Z139" s="22" t="str">
        <f>INDEX(Cronograma!Y$5:Y$11,MATCH($B139,Premissas!$A$39:$A$45,0))</f>
        <v/>
      </c>
      <c r="AA139" s="22" t="str">
        <f>INDEX(Cronograma!Z$5:Z$11,MATCH($B139,Premissas!$A$39:$A$45,0))</f>
        <v/>
      </c>
      <c r="AB139" s="22" t="str">
        <f>INDEX(Cronograma!AA$5:AA$11,MATCH($B139,Premissas!$A$39:$A$45,0))</f>
        <v/>
      </c>
      <c r="AC139" s="22" t="str">
        <f>INDEX(Cronograma!AB$5:AB$11,MATCH($B139,Premissas!$A$39:$A$45,0))</f>
        <v/>
      </c>
      <c r="AD139" s="22" t="str">
        <f>INDEX(Cronograma!AC$5:AC$11,MATCH($B139,Premissas!$A$39:$A$45,0))</f>
        <v/>
      </c>
      <c r="AE139" s="22" t="str">
        <f>INDEX(Cronograma!AD$5:AD$11,MATCH($B139,Premissas!$A$39:$A$45,0))</f>
        <v>A</v>
      </c>
      <c r="AF139" s="22" t="str">
        <f>INDEX(Cronograma!AE$5:AE$11,MATCH($B139,Premissas!$A$39:$A$45,0))</f>
        <v/>
      </c>
      <c r="AG139" s="22" t="str">
        <f>INDEX(Cronograma!AF$5:AF$11,MATCH($B139,Premissas!$A$39:$A$45,0))</f>
        <v/>
      </c>
      <c r="AH139" s="22" t="str">
        <f>INDEX(Cronograma!AG$5:AG$11,MATCH($B139,Premissas!$A$39:$A$45,0))</f>
        <v/>
      </c>
      <c r="AI139" s="22" t="str">
        <f>INDEX(Cronograma!AH$5:AH$11,MATCH($B139,Premissas!$A$39:$A$45,0))</f>
        <v/>
      </c>
      <c r="AJ139" s="22" t="str">
        <f>INDEX(Cronograma!AI$5:AI$11,MATCH($B139,Premissas!$A$39:$A$45,0))</f>
        <v/>
      </c>
      <c r="AK139" s="22" t="str">
        <f>INDEX(Cronograma!AJ$5:AJ$11,MATCH($B139,Premissas!$A$39:$A$45,0))</f>
        <v/>
      </c>
      <c r="AL139" s="22" t="str">
        <f>INDEX(Cronograma!AK$5:AK$11,MATCH($B139,Premissas!$A$39:$A$45,0))</f>
        <v/>
      </c>
      <c r="AM139" s="22" t="str">
        <f>INDEX(Cronograma!AL$5:AL$11,MATCH($B139,Premissas!$A$39:$A$45,0))</f>
        <v/>
      </c>
      <c r="AN139" s="22" t="str">
        <f>INDEX(Cronograma!AM$5:AM$11,MATCH($B139,Premissas!$A$39:$A$45,0))</f>
        <v/>
      </c>
      <c r="AO139" s="22" t="str">
        <f>INDEX(Cronograma!AN$5:AN$11,MATCH($B139,Premissas!$A$39:$A$45,0))</f>
        <v/>
      </c>
      <c r="AP139" s="22" t="str">
        <f>INDEX(Cronograma!AO$5:AO$11,MATCH($B139,Premissas!$A$39:$A$45,0))</f>
        <v/>
      </c>
      <c r="AQ139" s="22" t="str">
        <f>INDEX(Cronograma!AP$5:AP$11,MATCH($B139,Premissas!$A$39:$A$45,0))</f>
        <v/>
      </c>
      <c r="AR139" s="22" t="str">
        <f>INDEX(Cronograma!AQ$5:AQ$11,MATCH($B139,Premissas!$A$39:$A$45,0))</f>
        <v/>
      </c>
      <c r="AS139" s="22" t="str">
        <f>INDEX(Cronograma!AR$5:AR$11,MATCH($B139,Premissas!$A$39:$A$45,0))</f>
        <v/>
      </c>
      <c r="AT139" s="22" t="str">
        <f>INDEX(Cronograma!AS$5:AS$11,MATCH($B139,Premissas!$A$39:$A$45,0))</f>
        <v/>
      </c>
      <c r="AU139" s="22" t="str">
        <f>INDEX(Cronograma!AT$5:AT$11,MATCH($B139,Premissas!$A$39:$A$45,0))</f>
        <v/>
      </c>
      <c r="AV139" s="22" t="str">
        <f>INDEX(Cronograma!AU$5:AU$11,MATCH($B139,Premissas!$A$39:$A$45,0))</f>
        <v/>
      </c>
      <c r="AW139" s="22" t="str">
        <f>INDEX(Cronograma!AV$5:AV$11,MATCH($B139,Premissas!$A$39:$A$45,0))</f>
        <v/>
      </c>
      <c r="AX139" s="22" t="str">
        <f>INDEX(Cronograma!AW$5:AW$11,MATCH($B139,Premissas!$A$39:$A$45,0))</f>
        <v>S</v>
      </c>
      <c r="AY139" s="22" t="str">
        <f>INDEX(Cronograma!AX$5:AX$11,MATCH($B139,Premissas!$A$39:$A$45,0))</f>
        <v/>
      </c>
      <c r="AZ139" s="22" t="str">
        <f>INDEX(Cronograma!AY$5:AY$11,MATCH($B139,Premissas!$A$39:$A$45,0))</f>
        <v/>
      </c>
      <c r="BA139" s="22" t="str">
        <f>INDEX(Cronograma!AZ$5:AZ$11,MATCH($B139,Premissas!$A$39:$A$45,0))</f>
        <v/>
      </c>
      <c r="BB139" s="22" t="str">
        <f>INDEX(Cronograma!BA$5:BA$11,MATCH($B139,Premissas!$A$39:$A$45,0))</f>
        <v/>
      </c>
    </row>
    <row r="140" spans="1:54" ht="15" customHeight="1" x14ac:dyDescent="0.4">
      <c r="A140" s="15" t="str">
        <f>Frota!$B140&amp;" — "&amp;Frota!$A140</f>
        <v>Ford/Jeep — 103093</v>
      </c>
      <c r="B140" s="16" t="str">
        <f>Frota!$C140</f>
        <v>Veículo Leve</v>
      </c>
      <c r="C140" s="22" t="str">
        <f>INDEX(Cronograma!B$5:B$11,MATCH($B140,Premissas!$A$39:$A$45,0))</f>
        <v/>
      </c>
      <c r="D140" s="22" t="str">
        <f>INDEX(Cronograma!C$5:C$11,MATCH($B140,Premissas!$A$39:$A$45,0))</f>
        <v/>
      </c>
      <c r="E140" s="22" t="str">
        <f>INDEX(Cronograma!D$5:D$11,MATCH($B140,Premissas!$A$39:$A$45,0))</f>
        <v/>
      </c>
      <c r="F140" s="22" t="str">
        <f>INDEX(Cronograma!E$5:E$11,MATCH($B140,Premissas!$A$39:$A$45,0))</f>
        <v/>
      </c>
      <c r="G140" s="22" t="str">
        <f>INDEX(Cronograma!F$5:F$11,MATCH($B140,Premissas!$A$39:$A$45,0))</f>
        <v/>
      </c>
      <c r="H140" s="22" t="str">
        <f>INDEX(Cronograma!G$5:G$11,MATCH($B140,Premissas!$A$39:$A$45,0))</f>
        <v/>
      </c>
      <c r="I140" s="22" t="str">
        <f>INDEX(Cronograma!H$5:H$11,MATCH($B140,Premissas!$A$39:$A$45,0))</f>
        <v/>
      </c>
      <c r="J140" s="22" t="str">
        <f>INDEX(Cronograma!I$5:I$11,MATCH($B140,Premissas!$A$39:$A$45,0))</f>
        <v/>
      </c>
      <c r="K140" s="22" t="str">
        <f>INDEX(Cronograma!J$5:J$11,MATCH($B140,Premissas!$A$39:$A$45,0))</f>
        <v/>
      </c>
      <c r="L140" s="22" t="str">
        <f>INDEX(Cronograma!K$5:K$11,MATCH($B140,Premissas!$A$39:$A$45,0))</f>
        <v/>
      </c>
      <c r="M140" s="22" t="str">
        <f>INDEX(Cronograma!L$5:L$11,MATCH($B140,Premissas!$A$39:$A$45,0))</f>
        <v/>
      </c>
      <c r="N140" s="22" t="str">
        <f>INDEX(Cronograma!M$5:M$11,MATCH($B140,Premissas!$A$39:$A$45,0))</f>
        <v/>
      </c>
      <c r="O140" s="22" t="str">
        <f>INDEX(Cronograma!N$5:N$11,MATCH($B140,Premissas!$A$39:$A$45,0))</f>
        <v/>
      </c>
      <c r="P140" s="22" t="str">
        <f>INDEX(Cronograma!O$5:O$11,MATCH($B140,Premissas!$A$39:$A$45,0))</f>
        <v/>
      </c>
      <c r="Q140" s="22" t="str">
        <f>INDEX(Cronograma!P$5:P$11,MATCH($B140,Premissas!$A$39:$A$45,0))</f>
        <v>S</v>
      </c>
      <c r="R140" s="22" t="str">
        <f>INDEX(Cronograma!Q$5:Q$11,MATCH($B140,Premissas!$A$39:$A$45,0))</f>
        <v/>
      </c>
      <c r="S140" s="22" t="str">
        <f>INDEX(Cronograma!R$5:R$11,MATCH($B140,Premissas!$A$39:$A$45,0))</f>
        <v/>
      </c>
      <c r="T140" s="22" t="str">
        <f>INDEX(Cronograma!S$5:S$11,MATCH($B140,Premissas!$A$39:$A$45,0))</f>
        <v/>
      </c>
      <c r="U140" s="22" t="str">
        <f>INDEX(Cronograma!T$5:T$11,MATCH($B140,Premissas!$A$39:$A$45,0))</f>
        <v/>
      </c>
      <c r="V140" s="22" t="str">
        <f>INDEX(Cronograma!U$5:U$11,MATCH($B140,Premissas!$A$39:$A$45,0))</f>
        <v/>
      </c>
      <c r="W140" s="22" t="str">
        <f>INDEX(Cronograma!V$5:V$11,MATCH($B140,Premissas!$A$39:$A$45,0))</f>
        <v/>
      </c>
      <c r="X140" s="22" t="str">
        <f>INDEX(Cronograma!W$5:W$11,MATCH($B140,Premissas!$A$39:$A$45,0))</f>
        <v/>
      </c>
      <c r="Y140" s="22" t="str">
        <f>INDEX(Cronograma!X$5:X$11,MATCH($B140,Premissas!$A$39:$A$45,0))</f>
        <v/>
      </c>
      <c r="Z140" s="22" t="str">
        <f>INDEX(Cronograma!Y$5:Y$11,MATCH($B140,Premissas!$A$39:$A$45,0))</f>
        <v/>
      </c>
      <c r="AA140" s="22" t="str">
        <f>INDEX(Cronograma!Z$5:Z$11,MATCH($B140,Premissas!$A$39:$A$45,0))</f>
        <v/>
      </c>
      <c r="AB140" s="22" t="str">
        <f>INDEX(Cronograma!AA$5:AA$11,MATCH($B140,Premissas!$A$39:$A$45,0))</f>
        <v/>
      </c>
      <c r="AC140" s="22" t="str">
        <f>INDEX(Cronograma!AB$5:AB$11,MATCH($B140,Premissas!$A$39:$A$45,0))</f>
        <v/>
      </c>
      <c r="AD140" s="22" t="str">
        <f>INDEX(Cronograma!AC$5:AC$11,MATCH($B140,Premissas!$A$39:$A$45,0))</f>
        <v/>
      </c>
      <c r="AE140" s="22" t="str">
        <f>INDEX(Cronograma!AD$5:AD$11,MATCH($B140,Premissas!$A$39:$A$45,0))</f>
        <v>A</v>
      </c>
      <c r="AF140" s="22" t="str">
        <f>INDEX(Cronograma!AE$5:AE$11,MATCH($B140,Premissas!$A$39:$A$45,0))</f>
        <v/>
      </c>
      <c r="AG140" s="22" t="str">
        <f>INDEX(Cronograma!AF$5:AF$11,MATCH($B140,Premissas!$A$39:$A$45,0))</f>
        <v/>
      </c>
      <c r="AH140" s="22" t="str">
        <f>INDEX(Cronograma!AG$5:AG$11,MATCH($B140,Premissas!$A$39:$A$45,0))</f>
        <v/>
      </c>
      <c r="AI140" s="22" t="str">
        <f>INDEX(Cronograma!AH$5:AH$11,MATCH($B140,Premissas!$A$39:$A$45,0))</f>
        <v/>
      </c>
      <c r="AJ140" s="22" t="str">
        <f>INDEX(Cronograma!AI$5:AI$11,MATCH($B140,Premissas!$A$39:$A$45,0))</f>
        <v/>
      </c>
      <c r="AK140" s="22" t="str">
        <f>INDEX(Cronograma!AJ$5:AJ$11,MATCH($B140,Premissas!$A$39:$A$45,0))</f>
        <v/>
      </c>
      <c r="AL140" s="22" t="str">
        <f>INDEX(Cronograma!AK$5:AK$11,MATCH($B140,Premissas!$A$39:$A$45,0))</f>
        <v/>
      </c>
      <c r="AM140" s="22" t="str">
        <f>INDEX(Cronograma!AL$5:AL$11,MATCH($B140,Premissas!$A$39:$A$45,0))</f>
        <v/>
      </c>
      <c r="AN140" s="22" t="str">
        <f>INDEX(Cronograma!AM$5:AM$11,MATCH($B140,Premissas!$A$39:$A$45,0))</f>
        <v/>
      </c>
      <c r="AO140" s="22" t="str">
        <f>INDEX(Cronograma!AN$5:AN$11,MATCH($B140,Premissas!$A$39:$A$45,0))</f>
        <v/>
      </c>
      <c r="AP140" s="22" t="str">
        <f>INDEX(Cronograma!AO$5:AO$11,MATCH($B140,Premissas!$A$39:$A$45,0))</f>
        <v/>
      </c>
      <c r="AQ140" s="22" t="str">
        <f>INDEX(Cronograma!AP$5:AP$11,MATCH($B140,Premissas!$A$39:$A$45,0))</f>
        <v/>
      </c>
      <c r="AR140" s="22" t="str">
        <f>INDEX(Cronograma!AQ$5:AQ$11,MATCH($B140,Premissas!$A$39:$A$45,0))</f>
        <v/>
      </c>
      <c r="AS140" s="22" t="str">
        <f>INDEX(Cronograma!AR$5:AR$11,MATCH($B140,Premissas!$A$39:$A$45,0))</f>
        <v/>
      </c>
      <c r="AT140" s="22" t="str">
        <f>INDEX(Cronograma!AS$5:AS$11,MATCH($B140,Premissas!$A$39:$A$45,0))</f>
        <v/>
      </c>
      <c r="AU140" s="22" t="str">
        <f>INDEX(Cronograma!AT$5:AT$11,MATCH($B140,Premissas!$A$39:$A$45,0))</f>
        <v/>
      </c>
      <c r="AV140" s="22" t="str">
        <f>INDEX(Cronograma!AU$5:AU$11,MATCH($B140,Premissas!$A$39:$A$45,0))</f>
        <v/>
      </c>
      <c r="AW140" s="22" t="str">
        <f>INDEX(Cronograma!AV$5:AV$11,MATCH($B140,Premissas!$A$39:$A$45,0))</f>
        <v/>
      </c>
      <c r="AX140" s="22" t="str">
        <f>INDEX(Cronograma!AW$5:AW$11,MATCH($B140,Premissas!$A$39:$A$45,0))</f>
        <v>S</v>
      </c>
      <c r="AY140" s="22" t="str">
        <f>INDEX(Cronograma!AX$5:AX$11,MATCH($B140,Premissas!$A$39:$A$45,0))</f>
        <v/>
      </c>
      <c r="AZ140" s="22" t="str">
        <f>INDEX(Cronograma!AY$5:AY$11,MATCH($B140,Premissas!$A$39:$A$45,0))</f>
        <v/>
      </c>
      <c r="BA140" s="22" t="str">
        <f>INDEX(Cronograma!AZ$5:AZ$11,MATCH($B140,Premissas!$A$39:$A$45,0))</f>
        <v/>
      </c>
      <c r="BB140" s="22" t="str">
        <f>INDEX(Cronograma!BA$5:BA$11,MATCH($B140,Premissas!$A$39:$A$45,0))</f>
        <v/>
      </c>
    </row>
    <row r="141" spans="1:54" ht="15" customHeight="1" x14ac:dyDescent="0.4">
      <c r="A141" s="15" t="str">
        <f>Frota!$B141&amp;" — "&amp;Frota!$A141</f>
        <v>Fiat Strada 1.4 — 103094</v>
      </c>
      <c r="B141" s="16" t="str">
        <f>Frota!$C141</f>
        <v>Veículo Leve</v>
      </c>
      <c r="C141" s="22" t="str">
        <f>INDEX(Cronograma!B$5:B$11,MATCH($B141,Premissas!$A$39:$A$45,0))</f>
        <v/>
      </c>
      <c r="D141" s="22" t="str">
        <f>INDEX(Cronograma!C$5:C$11,MATCH($B141,Premissas!$A$39:$A$45,0))</f>
        <v/>
      </c>
      <c r="E141" s="22" t="str">
        <f>INDEX(Cronograma!D$5:D$11,MATCH($B141,Premissas!$A$39:$A$45,0))</f>
        <v/>
      </c>
      <c r="F141" s="22" t="str">
        <f>INDEX(Cronograma!E$5:E$11,MATCH($B141,Premissas!$A$39:$A$45,0))</f>
        <v/>
      </c>
      <c r="G141" s="22" t="str">
        <f>INDEX(Cronograma!F$5:F$11,MATCH($B141,Premissas!$A$39:$A$45,0))</f>
        <v/>
      </c>
      <c r="H141" s="22" t="str">
        <f>INDEX(Cronograma!G$5:G$11,MATCH($B141,Premissas!$A$39:$A$45,0))</f>
        <v/>
      </c>
      <c r="I141" s="22" t="str">
        <f>INDEX(Cronograma!H$5:H$11,MATCH($B141,Premissas!$A$39:$A$45,0))</f>
        <v/>
      </c>
      <c r="J141" s="22" t="str">
        <f>INDEX(Cronograma!I$5:I$11,MATCH($B141,Premissas!$A$39:$A$45,0))</f>
        <v/>
      </c>
      <c r="K141" s="22" t="str">
        <f>INDEX(Cronograma!J$5:J$11,MATCH($B141,Premissas!$A$39:$A$45,0))</f>
        <v/>
      </c>
      <c r="L141" s="22" t="str">
        <f>INDEX(Cronograma!K$5:K$11,MATCH($B141,Premissas!$A$39:$A$45,0))</f>
        <v/>
      </c>
      <c r="M141" s="22" t="str">
        <f>INDEX(Cronograma!L$5:L$11,MATCH($B141,Premissas!$A$39:$A$45,0))</f>
        <v/>
      </c>
      <c r="N141" s="22" t="str">
        <f>INDEX(Cronograma!M$5:M$11,MATCH($B141,Premissas!$A$39:$A$45,0))</f>
        <v/>
      </c>
      <c r="O141" s="22" t="str">
        <f>INDEX(Cronograma!N$5:N$11,MATCH($B141,Premissas!$A$39:$A$45,0))</f>
        <v/>
      </c>
      <c r="P141" s="22" t="str">
        <f>INDEX(Cronograma!O$5:O$11,MATCH($B141,Premissas!$A$39:$A$45,0))</f>
        <v/>
      </c>
      <c r="Q141" s="22" t="str">
        <f>INDEX(Cronograma!P$5:P$11,MATCH($B141,Premissas!$A$39:$A$45,0))</f>
        <v>S</v>
      </c>
      <c r="R141" s="22" t="str">
        <f>INDEX(Cronograma!Q$5:Q$11,MATCH($B141,Premissas!$A$39:$A$45,0))</f>
        <v/>
      </c>
      <c r="S141" s="22" t="str">
        <f>INDEX(Cronograma!R$5:R$11,MATCH($B141,Premissas!$A$39:$A$45,0))</f>
        <v/>
      </c>
      <c r="T141" s="22" t="str">
        <f>INDEX(Cronograma!S$5:S$11,MATCH($B141,Premissas!$A$39:$A$45,0))</f>
        <v/>
      </c>
      <c r="U141" s="22" t="str">
        <f>INDEX(Cronograma!T$5:T$11,MATCH($B141,Premissas!$A$39:$A$45,0))</f>
        <v/>
      </c>
      <c r="V141" s="22" t="str">
        <f>INDEX(Cronograma!U$5:U$11,MATCH($B141,Premissas!$A$39:$A$45,0))</f>
        <v/>
      </c>
      <c r="W141" s="22" t="str">
        <f>INDEX(Cronograma!V$5:V$11,MATCH($B141,Premissas!$A$39:$A$45,0))</f>
        <v/>
      </c>
      <c r="X141" s="22" t="str">
        <f>INDEX(Cronograma!W$5:W$11,MATCH($B141,Premissas!$A$39:$A$45,0))</f>
        <v/>
      </c>
      <c r="Y141" s="22" t="str">
        <f>INDEX(Cronograma!X$5:X$11,MATCH($B141,Premissas!$A$39:$A$45,0))</f>
        <v/>
      </c>
      <c r="Z141" s="22" t="str">
        <f>INDEX(Cronograma!Y$5:Y$11,MATCH($B141,Premissas!$A$39:$A$45,0))</f>
        <v/>
      </c>
      <c r="AA141" s="22" t="str">
        <f>INDEX(Cronograma!Z$5:Z$11,MATCH($B141,Premissas!$A$39:$A$45,0))</f>
        <v/>
      </c>
      <c r="AB141" s="22" t="str">
        <f>INDEX(Cronograma!AA$5:AA$11,MATCH($B141,Premissas!$A$39:$A$45,0))</f>
        <v/>
      </c>
      <c r="AC141" s="22" t="str">
        <f>INDEX(Cronograma!AB$5:AB$11,MATCH($B141,Premissas!$A$39:$A$45,0))</f>
        <v/>
      </c>
      <c r="AD141" s="22" t="str">
        <f>INDEX(Cronograma!AC$5:AC$11,MATCH($B141,Premissas!$A$39:$A$45,0))</f>
        <v/>
      </c>
      <c r="AE141" s="22" t="str">
        <f>INDEX(Cronograma!AD$5:AD$11,MATCH($B141,Premissas!$A$39:$A$45,0))</f>
        <v>A</v>
      </c>
      <c r="AF141" s="22" t="str">
        <f>INDEX(Cronograma!AE$5:AE$11,MATCH($B141,Premissas!$A$39:$A$45,0))</f>
        <v/>
      </c>
      <c r="AG141" s="22" t="str">
        <f>INDEX(Cronograma!AF$5:AF$11,MATCH($B141,Premissas!$A$39:$A$45,0))</f>
        <v/>
      </c>
      <c r="AH141" s="22" t="str">
        <f>INDEX(Cronograma!AG$5:AG$11,MATCH($B141,Premissas!$A$39:$A$45,0))</f>
        <v/>
      </c>
      <c r="AI141" s="22" t="str">
        <f>INDEX(Cronograma!AH$5:AH$11,MATCH($B141,Premissas!$A$39:$A$45,0))</f>
        <v/>
      </c>
      <c r="AJ141" s="22" t="str">
        <f>INDEX(Cronograma!AI$5:AI$11,MATCH($B141,Premissas!$A$39:$A$45,0))</f>
        <v/>
      </c>
      <c r="AK141" s="22" t="str">
        <f>INDEX(Cronograma!AJ$5:AJ$11,MATCH($B141,Premissas!$A$39:$A$45,0))</f>
        <v/>
      </c>
      <c r="AL141" s="22" t="str">
        <f>INDEX(Cronograma!AK$5:AK$11,MATCH($B141,Premissas!$A$39:$A$45,0))</f>
        <v/>
      </c>
      <c r="AM141" s="22" t="str">
        <f>INDEX(Cronograma!AL$5:AL$11,MATCH($B141,Premissas!$A$39:$A$45,0))</f>
        <v/>
      </c>
      <c r="AN141" s="22" t="str">
        <f>INDEX(Cronograma!AM$5:AM$11,MATCH($B141,Premissas!$A$39:$A$45,0))</f>
        <v/>
      </c>
      <c r="AO141" s="22" t="str">
        <f>INDEX(Cronograma!AN$5:AN$11,MATCH($B141,Premissas!$A$39:$A$45,0))</f>
        <v/>
      </c>
      <c r="AP141" s="22" t="str">
        <f>INDEX(Cronograma!AO$5:AO$11,MATCH($B141,Premissas!$A$39:$A$45,0))</f>
        <v/>
      </c>
      <c r="AQ141" s="22" t="str">
        <f>INDEX(Cronograma!AP$5:AP$11,MATCH($B141,Premissas!$A$39:$A$45,0))</f>
        <v/>
      </c>
      <c r="AR141" s="22" t="str">
        <f>INDEX(Cronograma!AQ$5:AQ$11,MATCH($B141,Premissas!$A$39:$A$45,0))</f>
        <v/>
      </c>
      <c r="AS141" s="22" t="str">
        <f>INDEX(Cronograma!AR$5:AR$11,MATCH($B141,Premissas!$A$39:$A$45,0))</f>
        <v/>
      </c>
      <c r="AT141" s="22" t="str">
        <f>INDEX(Cronograma!AS$5:AS$11,MATCH($B141,Premissas!$A$39:$A$45,0))</f>
        <v/>
      </c>
      <c r="AU141" s="22" t="str">
        <f>INDEX(Cronograma!AT$5:AT$11,MATCH($B141,Premissas!$A$39:$A$45,0))</f>
        <v/>
      </c>
      <c r="AV141" s="22" t="str">
        <f>INDEX(Cronograma!AU$5:AU$11,MATCH($B141,Premissas!$A$39:$A$45,0))</f>
        <v/>
      </c>
      <c r="AW141" s="22" t="str">
        <f>INDEX(Cronograma!AV$5:AV$11,MATCH($B141,Premissas!$A$39:$A$45,0))</f>
        <v/>
      </c>
      <c r="AX141" s="22" t="str">
        <f>INDEX(Cronograma!AW$5:AW$11,MATCH($B141,Premissas!$A$39:$A$45,0))</f>
        <v>S</v>
      </c>
      <c r="AY141" s="22" t="str">
        <f>INDEX(Cronograma!AX$5:AX$11,MATCH($B141,Premissas!$A$39:$A$45,0))</f>
        <v/>
      </c>
      <c r="AZ141" s="22" t="str">
        <f>INDEX(Cronograma!AY$5:AY$11,MATCH($B141,Premissas!$A$39:$A$45,0))</f>
        <v/>
      </c>
      <c r="BA141" s="22" t="str">
        <f>INDEX(Cronograma!AZ$5:AZ$11,MATCH($B141,Premissas!$A$39:$A$45,0))</f>
        <v/>
      </c>
      <c r="BB141" s="22" t="str">
        <f>INDEX(Cronograma!BA$5:BA$11,MATCH($B141,Premissas!$A$39:$A$45,0))</f>
        <v/>
      </c>
    </row>
    <row r="142" spans="1:54" ht="15" customHeight="1" x14ac:dyDescent="0.4">
      <c r="A142" s="15" t="str">
        <f>Frota!$B142&amp;" — "&amp;Frota!$A142</f>
        <v>Land Rover — 103095</v>
      </c>
      <c r="B142" s="16" t="str">
        <f>Frota!$C142</f>
        <v>Veículo Leve</v>
      </c>
      <c r="C142" s="22" t="str">
        <f>INDEX(Cronograma!B$5:B$11,MATCH($B142,Premissas!$A$39:$A$45,0))</f>
        <v/>
      </c>
      <c r="D142" s="22" t="str">
        <f>INDEX(Cronograma!C$5:C$11,MATCH($B142,Premissas!$A$39:$A$45,0))</f>
        <v/>
      </c>
      <c r="E142" s="22" t="str">
        <f>INDEX(Cronograma!D$5:D$11,MATCH($B142,Premissas!$A$39:$A$45,0))</f>
        <v/>
      </c>
      <c r="F142" s="22" t="str">
        <f>INDEX(Cronograma!E$5:E$11,MATCH($B142,Premissas!$A$39:$A$45,0))</f>
        <v/>
      </c>
      <c r="G142" s="22" t="str">
        <f>INDEX(Cronograma!F$5:F$11,MATCH($B142,Premissas!$A$39:$A$45,0))</f>
        <v/>
      </c>
      <c r="H142" s="22" t="str">
        <f>INDEX(Cronograma!G$5:G$11,MATCH($B142,Premissas!$A$39:$A$45,0))</f>
        <v/>
      </c>
      <c r="I142" s="22" t="str">
        <f>INDEX(Cronograma!H$5:H$11,MATCH($B142,Premissas!$A$39:$A$45,0))</f>
        <v/>
      </c>
      <c r="J142" s="22" t="str">
        <f>INDEX(Cronograma!I$5:I$11,MATCH($B142,Premissas!$A$39:$A$45,0))</f>
        <v/>
      </c>
      <c r="K142" s="22" t="str">
        <f>INDEX(Cronograma!J$5:J$11,MATCH($B142,Premissas!$A$39:$A$45,0))</f>
        <v/>
      </c>
      <c r="L142" s="22" t="str">
        <f>INDEX(Cronograma!K$5:K$11,MATCH($B142,Premissas!$A$39:$A$45,0))</f>
        <v/>
      </c>
      <c r="M142" s="22" t="str">
        <f>INDEX(Cronograma!L$5:L$11,MATCH($B142,Premissas!$A$39:$A$45,0))</f>
        <v/>
      </c>
      <c r="N142" s="22" t="str">
        <f>INDEX(Cronograma!M$5:M$11,MATCH($B142,Premissas!$A$39:$A$45,0))</f>
        <v/>
      </c>
      <c r="O142" s="22" t="str">
        <f>INDEX(Cronograma!N$5:N$11,MATCH($B142,Premissas!$A$39:$A$45,0))</f>
        <v/>
      </c>
      <c r="P142" s="22" t="str">
        <f>INDEX(Cronograma!O$5:O$11,MATCH($B142,Premissas!$A$39:$A$45,0))</f>
        <v/>
      </c>
      <c r="Q142" s="22" t="str">
        <f>INDEX(Cronograma!P$5:P$11,MATCH($B142,Premissas!$A$39:$A$45,0))</f>
        <v>S</v>
      </c>
      <c r="R142" s="22" t="str">
        <f>INDEX(Cronograma!Q$5:Q$11,MATCH($B142,Premissas!$A$39:$A$45,0))</f>
        <v/>
      </c>
      <c r="S142" s="22" t="str">
        <f>INDEX(Cronograma!R$5:R$11,MATCH($B142,Premissas!$A$39:$A$45,0))</f>
        <v/>
      </c>
      <c r="T142" s="22" t="str">
        <f>INDEX(Cronograma!S$5:S$11,MATCH($B142,Premissas!$A$39:$A$45,0))</f>
        <v/>
      </c>
      <c r="U142" s="22" t="str">
        <f>INDEX(Cronograma!T$5:T$11,MATCH($B142,Premissas!$A$39:$A$45,0))</f>
        <v/>
      </c>
      <c r="V142" s="22" t="str">
        <f>INDEX(Cronograma!U$5:U$11,MATCH($B142,Premissas!$A$39:$A$45,0))</f>
        <v/>
      </c>
      <c r="W142" s="22" t="str">
        <f>INDEX(Cronograma!V$5:V$11,MATCH($B142,Premissas!$A$39:$A$45,0))</f>
        <v/>
      </c>
      <c r="X142" s="22" t="str">
        <f>INDEX(Cronograma!W$5:W$11,MATCH($B142,Premissas!$A$39:$A$45,0))</f>
        <v/>
      </c>
      <c r="Y142" s="22" t="str">
        <f>INDEX(Cronograma!X$5:X$11,MATCH($B142,Premissas!$A$39:$A$45,0))</f>
        <v/>
      </c>
      <c r="Z142" s="22" t="str">
        <f>INDEX(Cronograma!Y$5:Y$11,MATCH($B142,Premissas!$A$39:$A$45,0))</f>
        <v/>
      </c>
      <c r="AA142" s="22" t="str">
        <f>INDEX(Cronograma!Z$5:Z$11,MATCH($B142,Premissas!$A$39:$A$45,0))</f>
        <v/>
      </c>
      <c r="AB142" s="22" t="str">
        <f>INDEX(Cronograma!AA$5:AA$11,MATCH($B142,Premissas!$A$39:$A$45,0))</f>
        <v/>
      </c>
      <c r="AC142" s="22" t="str">
        <f>INDEX(Cronograma!AB$5:AB$11,MATCH($B142,Premissas!$A$39:$A$45,0))</f>
        <v/>
      </c>
      <c r="AD142" s="22" t="str">
        <f>INDEX(Cronograma!AC$5:AC$11,MATCH($B142,Premissas!$A$39:$A$45,0))</f>
        <v/>
      </c>
      <c r="AE142" s="22" t="str">
        <f>INDEX(Cronograma!AD$5:AD$11,MATCH($B142,Premissas!$A$39:$A$45,0))</f>
        <v>A</v>
      </c>
      <c r="AF142" s="22" t="str">
        <f>INDEX(Cronograma!AE$5:AE$11,MATCH($B142,Premissas!$A$39:$A$45,0))</f>
        <v/>
      </c>
      <c r="AG142" s="22" t="str">
        <f>INDEX(Cronograma!AF$5:AF$11,MATCH($B142,Premissas!$A$39:$A$45,0))</f>
        <v/>
      </c>
      <c r="AH142" s="22" t="str">
        <f>INDEX(Cronograma!AG$5:AG$11,MATCH($B142,Premissas!$A$39:$A$45,0))</f>
        <v/>
      </c>
      <c r="AI142" s="22" t="str">
        <f>INDEX(Cronograma!AH$5:AH$11,MATCH($B142,Premissas!$A$39:$A$45,0))</f>
        <v/>
      </c>
      <c r="AJ142" s="22" t="str">
        <f>INDEX(Cronograma!AI$5:AI$11,MATCH($B142,Premissas!$A$39:$A$45,0))</f>
        <v/>
      </c>
      <c r="AK142" s="22" t="str">
        <f>INDEX(Cronograma!AJ$5:AJ$11,MATCH($B142,Premissas!$A$39:$A$45,0))</f>
        <v/>
      </c>
      <c r="AL142" s="22" t="str">
        <f>INDEX(Cronograma!AK$5:AK$11,MATCH($B142,Premissas!$A$39:$A$45,0))</f>
        <v/>
      </c>
      <c r="AM142" s="22" t="str">
        <f>INDEX(Cronograma!AL$5:AL$11,MATCH($B142,Premissas!$A$39:$A$45,0))</f>
        <v/>
      </c>
      <c r="AN142" s="22" t="str">
        <f>INDEX(Cronograma!AM$5:AM$11,MATCH($B142,Premissas!$A$39:$A$45,0))</f>
        <v/>
      </c>
      <c r="AO142" s="22" t="str">
        <f>INDEX(Cronograma!AN$5:AN$11,MATCH($B142,Premissas!$A$39:$A$45,0))</f>
        <v/>
      </c>
      <c r="AP142" s="22" t="str">
        <f>INDEX(Cronograma!AO$5:AO$11,MATCH($B142,Premissas!$A$39:$A$45,0))</f>
        <v/>
      </c>
      <c r="AQ142" s="22" t="str">
        <f>INDEX(Cronograma!AP$5:AP$11,MATCH($B142,Premissas!$A$39:$A$45,0))</f>
        <v/>
      </c>
      <c r="AR142" s="22" t="str">
        <f>INDEX(Cronograma!AQ$5:AQ$11,MATCH($B142,Premissas!$A$39:$A$45,0))</f>
        <v/>
      </c>
      <c r="AS142" s="22" t="str">
        <f>INDEX(Cronograma!AR$5:AR$11,MATCH($B142,Premissas!$A$39:$A$45,0))</f>
        <v/>
      </c>
      <c r="AT142" s="22" t="str">
        <f>INDEX(Cronograma!AS$5:AS$11,MATCH($B142,Premissas!$A$39:$A$45,0))</f>
        <v/>
      </c>
      <c r="AU142" s="22" t="str">
        <f>INDEX(Cronograma!AT$5:AT$11,MATCH($B142,Premissas!$A$39:$A$45,0))</f>
        <v/>
      </c>
      <c r="AV142" s="22" t="str">
        <f>INDEX(Cronograma!AU$5:AU$11,MATCH($B142,Premissas!$A$39:$A$45,0))</f>
        <v/>
      </c>
      <c r="AW142" s="22" t="str">
        <f>INDEX(Cronograma!AV$5:AV$11,MATCH($B142,Premissas!$A$39:$A$45,0))</f>
        <v/>
      </c>
      <c r="AX142" s="22" t="str">
        <f>INDEX(Cronograma!AW$5:AW$11,MATCH($B142,Premissas!$A$39:$A$45,0))</f>
        <v>S</v>
      </c>
      <c r="AY142" s="22" t="str">
        <f>INDEX(Cronograma!AX$5:AX$11,MATCH($B142,Premissas!$A$39:$A$45,0))</f>
        <v/>
      </c>
      <c r="AZ142" s="22" t="str">
        <f>INDEX(Cronograma!AY$5:AY$11,MATCH($B142,Premissas!$A$39:$A$45,0))</f>
        <v/>
      </c>
      <c r="BA142" s="22" t="str">
        <f>INDEX(Cronograma!AZ$5:AZ$11,MATCH($B142,Premissas!$A$39:$A$45,0))</f>
        <v/>
      </c>
      <c r="BB142" s="22" t="str">
        <f>INDEX(Cronograma!BA$5:BA$11,MATCH($B142,Premissas!$A$39:$A$45,0))</f>
        <v/>
      </c>
    </row>
    <row r="143" spans="1:54" ht="15" customHeight="1" x14ac:dyDescent="0.4">
      <c r="A143" s="15" t="str">
        <f>Frota!$B143&amp;" — "&amp;Frota!$A143</f>
        <v>Renegade Moab 2.0 — 103096</v>
      </c>
      <c r="B143" s="16" t="str">
        <f>Frota!$C143</f>
        <v>Veículo Leve</v>
      </c>
      <c r="C143" s="22" t="str">
        <f>INDEX(Cronograma!B$5:B$11,MATCH($B143,Premissas!$A$39:$A$45,0))</f>
        <v/>
      </c>
      <c r="D143" s="22" t="str">
        <f>INDEX(Cronograma!C$5:C$11,MATCH($B143,Premissas!$A$39:$A$45,0))</f>
        <v/>
      </c>
      <c r="E143" s="22" t="str">
        <f>INDEX(Cronograma!D$5:D$11,MATCH($B143,Premissas!$A$39:$A$45,0))</f>
        <v/>
      </c>
      <c r="F143" s="22" t="str">
        <f>INDEX(Cronograma!E$5:E$11,MATCH($B143,Premissas!$A$39:$A$45,0))</f>
        <v/>
      </c>
      <c r="G143" s="22" t="str">
        <f>INDEX(Cronograma!F$5:F$11,MATCH($B143,Premissas!$A$39:$A$45,0))</f>
        <v/>
      </c>
      <c r="H143" s="22" t="str">
        <f>INDEX(Cronograma!G$5:G$11,MATCH($B143,Premissas!$A$39:$A$45,0))</f>
        <v/>
      </c>
      <c r="I143" s="22" t="str">
        <f>INDEX(Cronograma!H$5:H$11,MATCH($B143,Premissas!$A$39:$A$45,0))</f>
        <v/>
      </c>
      <c r="J143" s="22" t="str">
        <f>INDEX(Cronograma!I$5:I$11,MATCH($B143,Premissas!$A$39:$A$45,0))</f>
        <v/>
      </c>
      <c r="K143" s="22" t="str">
        <f>INDEX(Cronograma!J$5:J$11,MATCH($B143,Premissas!$A$39:$A$45,0))</f>
        <v/>
      </c>
      <c r="L143" s="22" t="str">
        <f>INDEX(Cronograma!K$5:K$11,MATCH($B143,Premissas!$A$39:$A$45,0))</f>
        <v/>
      </c>
      <c r="M143" s="22" t="str">
        <f>INDEX(Cronograma!L$5:L$11,MATCH($B143,Premissas!$A$39:$A$45,0))</f>
        <v/>
      </c>
      <c r="N143" s="22" t="str">
        <f>INDEX(Cronograma!M$5:M$11,MATCH($B143,Premissas!$A$39:$A$45,0))</f>
        <v/>
      </c>
      <c r="O143" s="22" t="str">
        <f>INDEX(Cronograma!N$5:N$11,MATCH($B143,Premissas!$A$39:$A$45,0))</f>
        <v/>
      </c>
      <c r="P143" s="22" t="str">
        <f>INDEX(Cronograma!O$5:O$11,MATCH($B143,Premissas!$A$39:$A$45,0))</f>
        <v/>
      </c>
      <c r="Q143" s="22" t="str">
        <f>INDEX(Cronograma!P$5:P$11,MATCH($B143,Premissas!$A$39:$A$45,0))</f>
        <v>S</v>
      </c>
      <c r="R143" s="22" t="str">
        <f>INDEX(Cronograma!Q$5:Q$11,MATCH($B143,Premissas!$A$39:$A$45,0))</f>
        <v/>
      </c>
      <c r="S143" s="22" t="str">
        <f>INDEX(Cronograma!R$5:R$11,MATCH($B143,Premissas!$A$39:$A$45,0))</f>
        <v/>
      </c>
      <c r="T143" s="22" t="str">
        <f>INDEX(Cronograma!S$5:S$11,MATCH($B143,Premissas!$A$39:$A$45,0))</f>
        <v/>
      </c>
      <c r="U143" s="22" t="str">
        <f>INDEX(Cronograma!T$5:T$11,MATCH($B143,Premissas!$A$39:$A$45,0))</f>
        <v/>
      </c>
      <c r="V143" s="22" t="str">
        <f>INDEX(Cronograma!U$5:U$11,MATCH($B143,Premissas!$A$39:$A$45,0))</f>
        <v/>
      </c>
      <c r="W143" s="22" t="str">
        <f>INDEX(Cronograma!V$5:V$11,MATCH($B143,Premissas!$A$39:$A$45,0))</f>
        <v/>
      </c>
      <c r="X143" s="22" t="str">
        <f>INDEX(Cronograma!W$5:W$11,MATCH($B143,Premissas!$A$39:$A$45,0))</f>
        <v/>
      </c>
      <c r="Y143" s="22" t="str">
        <f>INDEX(Cronograma!X$5:X$11,MATCH($B143,Premissas!$A$39:$A$45,0))</f>
        <v/>
      </c>
      <c r="Z143" s="22" t="str">
        <f>INDEX(Cronograma!Y$5:Y$11,MATCH($B143,Premissas!$A$39:$A$45,0))</f>
        <v/>
      </c>
      <c r="AA143" s="22" t="str">
        <f>INDEX(Cronograma!Z$5:Z$11,MATCH($B143,Premissas!$A$39:$A$45,0))</f>
        <v/>
      </c>
      <c r="AB143" s="22" t="str">
        <f>INDEX(Cronograma!AA$5:AA$11,MATCH($B143,Premissas!$A$39:$A$45,0))</f>
        <v/>
      </c>
      <c r="AC143" s="22" t="str">
        <f>INDEX(Cronograma!AB$5:AB$11,MATCH($B143,Premissas!$A$39:$A$45,0))</f>
        <v/>
      </c>
      <c r="AD143" s="22" t="str">
        <f>INDEX(Cronograma!AC$5:AC$11,MATCH($B143,Premissas!$A$39:$A$45,0))</f>
        <v/>
      </c>
      <c r="AE143" s="22" t="str">
        <f>INDEX(Cronograma!AD$5:AD$11,MATCH($B143,Premissas!$A$39:$A$45,0))</f>
        <v>A</v>
      </c>
      <c r="AF143" s="22" t="str">
        <f>INDEX(Cronograma!AE$5:AE$11,MATCH($B143,Premissas!$A$39:$A$45,0))</f>
        <v/>
      </c>
      <c r="AG143" s="22" t="str">
        <f>INDEX(Cronograma!AF$5:AF$11,MATCH($B143,Premissas!$A$39:$A$45,0))</f>
        <v/>
      </c>
      <c r="AH143" s="22" t="str">
        <f>INDEX(Cronograma!AG$5:AG$11,MATCH($B143,Premissas!$A$39:$A$45,0))</f>
        <v/>
      </c>
      <c r="AI143" s="22" t="str">
        <f>INDEX(Cronograma!AH$5:AH$11,MATCH($B143,Premissas!$A$39:$A$45,0))</f>
        <v/>
      </c>
      <c r="AJ143" s="22" t="str">
        <f>INDEX(Cronograma!AI$5:AI$11,MATCH($B143,Premissas!$A$39:$A$45,0))</f>
        <v/>
      </c>
      <c r="AK143" s="22" t="str">
        <f>INDEX(Cronograma!AJ$5:AJ$11,MATCH($B143,Premissas!$A$39:$A$45,0))</f>
        <v/>
      </c>
      <c r="AL143" s="22" t="str">
        <f>INDEX(Cronograma!AK$5:AK$11,MATCH($B143,Premissas!$A$39:$A$45,0))</f>
        <v/>
      </c>
      <c r="AM143" s="22" t="str">
        <f>INDEX(Cronograma!AL$5:AL$11,MATCH($B143,Premissas!$A$39:$A$45,0))</f>
        <v/>
      </c>
      <c r="AN143" s="22" t="str">
        <f>INDEX(Cronograma!AM$5:AM$11,MATCH($B143,Premissas!$A$39:$A$45,0))</f>
        <v/>
      </c>
      <c r="AO143" s="22" t="str">
        <f>INDEX(Cronograma!AN$5:AN$11,MATCH($B143,Premissas!$A$39:$A$45,0))</f>
        <v/>
      </c>
      <c r="AP143" s="22" t="str">
        <f>INDEX(Cronograma!AO$5:AO$11,MATCH($B143,Premissas!$A$39:$A$45,0))</f>
        <v/>
      </c>
      <c r="AQ143" s="22" t="str">
        <f>INDEX(Cronograma!AP$5:AP$11,MATCH($B143,Premissas!$A$39:$A$45,0))</f>
        <v/>
      </c>
      <c r="AR143" s="22" t="str">
        <f>INDEX(Cronograma!AQ$5:AQ$11,MATCH($B143,Premissas!$A$39:$A$45,0))</f>
        <v/>
      </c>
      <c r="AS143" s="22" t="str">
        <f>INDEX(Cronograma!AR$5:AR$11,MATCH($B143,Premissas!$A$39:$A$45,0))</f>
        <v/>
      </c>
      <c r="AT143" s="22" t="str">
        <f>INDEX(Cronograma!AS$5:AS$11,MATCH($B143,Premissas!$A$39:$A$45,0))</f>
        <v/>
      </c>
      <c r="AU143" s="22" t="str">
        <f>INDEX(Cronograma!AT$5:AT$11,MATCH($B143,Premissas!$A$39:$A$45,0))</f>
        <v/>
      </c>
      <c r="AV143" s="22" t="str">
        <f>INDEX(Cronograma!AU$5:AU$11,MATCH($B143,Premissas!$A$39:$A$45,0))</f>
        <v/>
      </c>
      <c r="AW143" s="22" t="str">
        <f>INDEX(Cronograma!AV$5:AV$11,MATCH($B143,Premissas!$A$39:$A$45,0))</f>
        <v/>
      </c>
      <c r="AX143" s="22" t="str">
        <f>INDEX(Cronograma!AW$5:AW$11,MATCH($B143,Premissas!$A$39:$A$45,0))</f>
        <v>S</v>
      </c>
      <c r="AY143" s="22" t="str">
        <f>INDEX(Cronograma!AX$5:AX$11,MATCH($B143,Premissas!$A$39:$A$45,0))</f>
        <v/>
      </c>
      <c r="AZ143" s="22" t="str">
        <f>INDEX(Cronograma!AY$5:AY$11,MATCH($B143,Premissas!$A$39:$A$45,0))</f>
        <v/>
      </c>
      <c r="BA143" s="22" t="str">
        <f>INDEX(Cronograma!AZ$5:AZ$11,MATCH($B143,Premissas!$A$39:$A$45,0))</f>
        <v/>
      </c>
      <c r="BB143" s="22" t="str">
        <f>INDEX(Cronograma!BA$5:BA$11,MATCH($B143,Premissas!$A$39:$A$45,0))</f>
        <v/>
      </c>
    </row>
    <row r="144" spans="1:54" ht="15" customHeight="1" x14ac:dyDescent="0.4">
      <c r="A144" s="15" t="str">
        <f>Frota!$B144&amp;" — "&amp;Frota!$A144</f>
        <v>TIGGO 8 — 103097</v>
      </c>
      <c r="B144" s="16" t="str">
        <f>Frota!$C144</f>
        <v>Veículo Leve</v>
      </c>
      <c r="C144" s="22" t="str">
        <f>INDEX(Cronograma!B$5:B$11,MATCH($B144,Premissas!$A$39:$A$45,0))</f>
        <v/>
      </c>
      <c r="D144" s="22" t="str">
        <f>INDEX(Cronograma!C$5:C$11,MATCH($B144,Premissas!$A$39:$A$45,0))</f>
        <v/>
      </c>
      <c r="E144" s="22" t="str">
        <f>INDEX(Cronograma!D$5:D$11,MATCH($B144,Premissas!$A$39:$A$45,0))</f>
        <v/>
      </c>
      <c r="F144" s="22" t="str">
        <f>INDEX(Cronograma!E$5:E$11,MATCH($B144,Premissas!$A$39:$A$45,0))</f>
        <v/>
      </c>
      <c r="G144" s="22" t="str">
        <f>INDEX(Cronograma!F$5:F$11,MATCH($B144,Premissas!$A$39:$A$45,0))</f>
        <v/>
      </c>
      <c r="H144" s="22" t="str">
        <f>INDEX(Cronograma!G$5:G$11,MATCH($B144,Premissas!$A$39:$A$45,0))</f>
        <v/>
      </c>
      <c r="I144" s="22" t="str">
        <f>INDEX(Cronograma!H$5:H$11,MATCH($B144,Premissas!$A$39:$A$45,0))</f>
        <v/>
      </c>
      <c r="J144" s="22" t="str">
        <f>INDEX(Cronograma!I$5:I$11,MATCH($B144,Premissas!$A$39:$A$45,0))</f>
        <v/>
      </c>
      <c r="K144" s="22" t="str">
        <f>INDEX(Cronograma!J$5:J$11,MATCH($B144,Premissas!$A$39:$A$45,0))</f>
        <v/>
      </c>
      <c r="L144" s="22" t="str">
        <f>INDEX(Cronograma!K$5:K$11,MATCH($B144,Premissas!$A$39:$A$45,0))</f>
        <v/>
      </c>
      <c r="M144" s="22" t="str">
        <f>INDEX(Cronograma!L$5:L$11,MATCH($B144,Premissas!$A$39:$A$45,0))</f>
        <v/>
      </c>
      <c r="N144" s="22" t="str">
        <f>INDEX(Cronograma!M$5:M$11,MATCH($B144,Premissas!$A$39:$A$45,0))</f>
        <v/>
      </c>
      <c r="O144" s="22" t="str">
        <f>INDEX(Cronograma!N$5:N$11,MATCH($B144,Premissas!$A$39:$A$45,0))</f>
        <v/>
      </c>
      <c r="P144" s="22" t="str">
        <f>INDEX(Cronograma!O$5:O$11,MATCH($B144,Premissas!$A$39:$A$45,0))</f>
        <v/>
      </c>
      <c r="Q144" s="22" t="str">
        <f>INDEX(Cronograma!P$5:P$11,MATCH($B144,Premissas!$A$39:$A$45,0))</f>
        <v>S</v>
      </c>
      <c r="R144" s="22" t="str">
        <f>INDEX(Cronograma!Q$5:Q$11,MATCH($B144,Premissas!$A$39:$A$45,0))</f>
        <v/>
      </c>
      <c r="S144" s="22" t="str">
        <f>INDEX(Cronograma!R$5:R$11,MATCH($B144,Premissas!$A$39:$A$45,0))</f>
        <v/>
      </c>
      <c r="T144" s="22" t="str">
        <f>INDEX(Cronograma!S$5:S$11,MATCH($B144,Premissas!$A$39:$A$45,0))</f>
        <v/>
      </c>
      <c r="U144" s="22" t="str">
        <f>INDEX(Cronograma!T$5:T$11,MATCH($B144,Premissas!$A$39:$A$45,0))</f>
        <v/>
      </c>
      <c r="V144" s="22" t="str">
        <f>INDEX(Cronograma!U$5:U$11,MATCH($B144,Premissas!$A$39:$A$45,0))</f>
        <v/>
      </c>
      <c r="W144" s="22" t="str">
        <f>INDEX(Cronograma!V$5:V$11,MATCH($B144,Premissas!$A$39:$A$45,0))</f>
        <v/>
      </c>
      <c r="X144" s="22" t="str">
        <f>INDEX(Cronograma!W$5:W$11,MATCH($B144,Premissas!$A$39:$A$45,0))</f>
        <v/>
      </c>
      <c r="Y144" s="22" t="str">
        <f>INDEX(Cronograma!X$5:X$11,MATCH($B144,Premissas!$A$39:$A$45,0))</f>
        <v/>
      </c>
      <c r="Z144" s="22" t="str">
        <f>INDEX(Cronograma!Y$5:Y$11,MATCH($B144,Premissas!$A$39:$A$45,0))</f>
        <v/>
      </c>
      <c r="AA144" s="22" t="str">
        <f>INDEX(Cronograma!Z$5:Z$11,MATCH($B144,Premissas!$A$39:$A$45,0))</f>
        <v/>
      </c>
      <c r="AB144" s="22" t="str">
        <f>INDEX(Cronograma!AA$5:AA$11,MATCH($B144,Premissas!$A$39:$A$45,0))</f>
        <v/>
      </c>
      <c r="AC144" s="22" t="str">
        <f>INDEX(Cronograma!AB$5:AB$11,MATCH($B144,Premissas!$A$39:$A$45,0))</f>
        <v/>
      </c>
      <c r="AD144" s="22" t="str">
        <f>INDEX(Cronograma!AC$5:AC$11,MATCH($B144,Premissas!$A$39:$A$45,0))</f>
        <v/>
      </c>
      <c r="AE144" s="22" t="str">
        <f>INDEX(Cronograma!AD$5:AD$11,MATCH($B144,Premissas!$A$39:$A$45,0))</f>
        <v>A</v>
      </c>
      <c r="AF144" s="22" t="str">
        <f>INDEX(Cronograma!AE$5:AE$11,MATCH($B144,Premissas!$A$39:$A$45,0))</f>
        <v/>
      </c>
      <c r="AG144" s="22" t="str">
        <f>INDEX(Cronograma!AF$5:AF$11,MATCH($B144,Premissas!$A$39:$A$45,0))</f>
        <v/>
      </c>
      <c r="AH144" s="22" t="str">
        <f>INDEX(Cronograma!AG$5:AG$11,MATCH($B144,Premissas!$A$39:$A$45,0))</f>
        <v/>
      </c>
      <c r="AI144" s="22" t="str">
        <f>INDEX(Cronograma!AH$5:AH$11,MATCH($B144,Premissas!$A$39:$A$45,0))</f>
        <v/>
      </c>
      <c r="AJ144" s="22" t="str">
        <f>INDEX(Cronograma!AI$5:AI$11,MATCH($B144,Premissas!$A$39:$A$45,0))</f>
        <v/>
      </c>
      <c r="AK144" s="22" t="str">
        <f>INDEX(Cronograma!AJ$5:AJ$11,MATCH($B144,Premissas!$A$39:$A$45,0))</f>
        <v/>
      </c>
      <c r="AL144" s="22" t="str">
        <f>INDEX(Cronograma!AK$5:AK$11,MATCH($B144,Premissas!$A$39:$A$45,0))</f>
        <v/>
      </c>
      <c r="AM144" s="22" t="str">
        <f>INDEX(Cronograma!AL$5:AL$11,MATCH($B144,Premissas!$A$39:$A$45,0))</f>
        <v/>
      </c>
      <c r="AN144" s="22" t="str">
        <f>INDEX(Cronograma!AM$5:AM$11,MATCH($B144,Premissas!$A$39:$A$45,0))</f>
        <v/>
      </c>
      <c r="AO144" s="22" t="str">
        <f>INDEX(Cronograma!AN$5:AN$11,MATCH($B144,Premissas!$A$39:$A$45,0))</f>
        <v/>
      </c>
      <c r="AP144" s="22" t="str">
        <f>INDEX(Cronograma!AO$5:AO$11,MATCH($B144,Premissas!$A$39:$A$45,0))</f>
        <v/>
      </c>
      <c r="AQ144" s="22" t="str">
        <f>INDEX(Cronograma!AP$5:AP$11,MATCH($B144,Premissas!$A$39:$A$45,0))</f>
        <v/>
      </c>
      <c r="AR144" s="22" t="str">
        <f>INDEX(Cronograma!AQ$5:AQ$11,MATCH($B144,Premissas!$A$39:$A$45,0))</f>
        <v/>
      </c>
      <c r="AS144" s="22" t="str">
        <f>INDEX(Cronograma!AR$5:AR$11,MATCH($B144,Premissas!$A$39:$A$45,0))</f>
        <v/>
      </c>
      <c r="AT144" s="22" t="str">
        <f>INDEX(Cronograma!AS$5:AS$11,MATCH($B144,Premissas!$A$39:$A$45,0))</f>
        <v/>
      </c>
      <c r="AU144" s="22" t="str">
        <f>INDEX(Cronograma!AT$5:AT$11,MATCH($B144,Premissas!$A$39:$A$45,0))</f>
        <v/>
      </c>
      <c r="AV144" s="22" t="str">
        <f>INDEX(Cronograma!AU$5:AU$11,MATCH($B144,Premissas!$A$39:$A$45,0))</f>
        <v/>
      </c>
      <c r="AW144" s="22" t="str">
        <f>INDEX(Cronograma!AV$5:AV$11,MATCH($B144,Premissas!$A$39:$A$45,0))</f>
        <v/>
      </c>
      <c r="AX144" s="22" t="str">
        <f>INDEX(Cronograma!AW$5:AW$11,MATCH($B144,Premissas!$A$39:$A$45,0))</f>
        <v>S</v>
      </c>
      <c r="AY144" s="22" t="str">
        <f>INDEX(Cronograma!AX$5:AX$11,MATCH($B144,Premissas!$A$39:$A$45,0))</f>
        <v/>
      </c>
      <c r="AZ144" s="22" t="str">
        <f>INDEX(Cronograma!AY$5:AY$11,MATCH($B144,Premissas!$A$39:$A$45,0))</f>
        <v/>
      </c>
      <c r="BA144" s="22" t="str">
        <f>INDEX(Cronograma!AZ$5:AZ$11,MATCH($B144,Premissas!$A$39:$A$45,0))</f>
        <v/>
      </c>
      <c r="BB144" s="22" t="str">
        <f>INDEX(Cronograma!BA$5:BA$11,MATCH($B144,Premissas!$A$39:$A$45,0))</f>
        <v/>
      </c>
    </row>
    <row r="145" spans="1:54" ht="15" customHeight="1" x14ac:dyDescent="0.4">
      <c r="A145" s="15" t="str">
        <f>Frota!$B145&amp;" — "&amp;Frota!$A145</f>
        <v>TIGGO 5 — 103098</v>
      </c>
      <c r="B145" s="16" t="str">
        <f>Frota!$C145</f>
        <v>Veículo Leve</v>
      </c>
      <c r="C145" s="22" t="str">
        <f>INDEX(Cronograma!B$5:B$11,MATCH($B145,Premissas!$A$39:$A$45,0))</f>
        <v/>
      </c>
      <c r="D145" s="22" t="str">
        <f>INDEX(Cronograma!C$5:C$11,MATCH($B145,Premissas!$A$39:$A$45,0))</f>
        <v/>
      </c>
      <c r="E145" s="22" t="str">
        <f>INDEX(Cronograma!D$5:D$11,MATCH($B145,Premissas!$A$39:$A$45,0))</f>
        <v/>
      </c>
      <c r="F145" s="22" t="str">
        <f>INDEX(Cronograma!E$5:E$11,MATCH($B145,Premissas!$A$39:$A$45,0))</f>
        <v/>
      </c>
      <c r="G145" s="22" t="str">
        <f>INDEX(Cronograma!F$5:F$11,MATCH($B145,Premissas!$A$39:$A$45,0))</f>
        <v/>
      </c>
      <c r="H145" s="22" t="str">
        <f>INDEX(Cronograma!G$5:G$11,MATCH($B145,Premissas!$A$39:$A$45,0))</f>
        <v/>
      </c>
      <c r="I145" s="22" t="str">
        <f>INDEX(Cronograma!H$5:H$11,MATCH($B145,Premissas!$A$39:$A$45,0))</f>
        <v/>
      </c>
      <c r="J145" s="22" t="str">
        <f>INDEX(Cronograma!I$5:I$11,MATCH($B145,Premissas!$A$39:$A$45,0))</f>
        <v/>
      </c>
      <c r="K145" s="22" t="str">
        <f>INDEX(Cronograma!J$5:J$11,MATCH($B145,Premissas!$A$39:$A$45,0))</f>
        <v/>
      </c>
      <c r="L145" s="22" t="str">
        <f>INDEX(Cronograma!K$5:K$11,MATCH($B145,Premissas!$A$39:$A$45,0))</f>
        <v/>
      </c>
      <c r="M145" s="22" t="str">
        <f>INDEX(Cronograma!L$5:L$11,MATCH($B145,Premissas!$A$39:$A$45,0))</f>
        <v/>
      </c>
      <c r="N145" s="22" t="str">
        <f>INDEX(Cronograma!M$5:M$11,MATCH($B145,Premissas!$A$39:$A$45,0))</f>
        <v/>
      </c>
      <c r="O145" s="22" t="str">
        <f>INDEX(Cronograma!N$5:N$11,MATCH($B145,Premissas!$A$39:$A$45,0))</f>
        <v/>
      </c>
      <c r="P145" s="22" t="str">
        <f>INDEX(Cronograma!O$5:O$11,MATCH($B145,Premissas!$A$39:$A$45,0))</f>
        <v/>
      </c>
      <c r="Q145" s="22" t="str">
        <f>INDEX(Cronograma!P$5:P$11,MATCH($B145,Premissas!$A$39:$A$45,0))</f>
        <v>S</v>
      </c>
      <c r="R145" s="22" t="str">
        <f>INDEX(Cronograma!Q$5:Q$11,MATCH($B145,Premissas!$A$39:$A$45,0))</f>
        <v/>
      </c>
      <c r="S145" s="22" t="str">
        <f>INDEX(Cronograma!R$5:R$11,MATCH($B145,Premissas!$A$39:$A$45,0))</f>
        <v/>
      </c>
      <c r="T145" s="22" t="str">
        <f>INDEX(Cronograma!S$5:S$11,MATCH($B145,Premissas!$A$39:$A$45,0))</f>
        <v/>
      </c>
      <c r="U145" s="22" t="str">
        <f>INDEX(Cronograma!T$5:T$11,MATCH($B145,Premissas!$A$39:$A$45,0))</f>
        <v/>
      </c>
      <c r="V145" s="22" t="str">
        <f>INDEX(Cronograma!U$5:U$11,MATCH($B145,Premissas!$A$39:$A$45,0))</f>
        <v/>
      </c>
      <c r="W145" s="22" t="str">
        <f>INDEX(Cronograma!V$5:V$11,MATCH($B145,Premissas!$A$39:$A$45,0))</f>
        <v/>
      </c>
      <c r="X145" s="22" t="str">
        <f>INDEX(Cronograma!W$5:W$11,MATCH($B145,Premissas!$A$39:$A$45,0))</f>
        <v/>
      </c>
      <c r="Y145" s="22" t="str">
        <f>INDEX(Cronograma!X$5:X$11,MATCH($B145,Premissas!$A$39:$A$45,0))</f>
        <v/>
      </c>
      <c r="Z145" s="22" t="str">
        <f>INDEX(Cronograma!Y$5:Y$11,MATCH($B145,Premissas!$A$39:$A$45,0))</f>
        <v/>
      </c>
      <c r="AA145" s="22" t="str">
        <f>INDEX(Cronograma!Z$5:Z$11,MATCH($B145,Premissas!$A$39:$A$45,0))</f>
        <v/>
      </c>
      <c r="AB145" s="22" t="str">
        <f>INDEX(Cronograma!AA$5:AA$11,MATCH($B145,Premissas!$A$39:$A$45,0))</f>
        <v/>
      </c>
      <c r="AC145" s="22" t="str">
        <f>INDEX(Cronograma!AB$5:AB$11,MATCH($B145,Premissas!$A$39:$A$45,0))</f>
        <v/>
      </c>
      <c r="AD145" s="22" t="str">
        <f>INDEX(Cronograma!AC$5:AC$11,MATCH($B145,Premissas!$A$39:$A$45,0))</f>
        <v/>
      </c>
      <c r="AE145" s="22" t="str">
        <f>INDEX(Cronograma!AD$5:AD$11,MATCH($B145,Premissas!$A$39:$A$45,0))</f>
        <v>A</v>
      </c>
      <c r="AF145" s="22" t="str">
        <f>INDEX(Cronograma!AE$5:AE$11,MATCH($B145,Premissas!$A$39:$A$45,0))</f>
        <v/>
      </c>
      <c r="AG145" s="22" t="str">
        <f>INDEX(Cronograma!AF$5:AF$11,MATCH($B145,Premissas!$A$39:$A$45,0))</f>
        <v/>
      </c>
      <c r="AH145" s="22" t="str">
        <f>INDEX(Cronograma!AG$5:AG$11,MATCH($B145,Premissas!$A$39:$A$45,0))</f>
        <v/>
      </c>
      <c r="AI145" s="22" t="str">
        <f>INDEX(Cronograma!AH$5:AH$11,MATCH($B145,Premissas!$A$39:$A$45,0))</f>
        <v/>
      </c>
      <c r="AJ145" s="22" t="str">
        <f>INDEX(Cronograma!AI$5:AI$11,MATCH($B145,Premissas!$A$39:$A$45,0))</f>
        <v/>
      </c>
      <c r="AK145" s="22" t="str">
        <f>INDEX(Cronograma!AJ$5:AJ$11,MATCH($B145,Premissas!$A$39:$A$45,0))</f>
        <v/>
      </c>
      <c r="AL145" s="22" t="str">
        <f>INDEX(Cronograma!AK$5:AK$11,MATCH($B145,Premissas!$A$39:$A$45,0))</f>
        <v/>
      </c>
      <c r="AM145" s="22" t="str">
        <f>INDEX(Cronograma!AL$5:AL$11,MATCH($B145,Premissas!$A$39:$A$45,0))</f>
        <v/>
      </c>
      <c r="AN145" s="22" t="str">
        <f>INDEX(Cronograma!AM$5:AM$11,MATCH($B145,Premissas!$A$39:$A$45,0))</f>
        <v/>
      </c>
      <c r="AO145" s="22" t="str">
        <f>INDEX(Cronograma!AN$5:AN$11,MATCH($B145,Premissas!$A$39:$A$45,0))</f>
        <v/>
      </c>
      <c r="AP145" s="22" t="str">
        <f>INDEX(Cronograma!AO$5:AO$11,MATCH($B145,Premissas!$A$39:$A$45,0))</f>
        <v/>
      </c>
      <c r="AQ145" s="22" t="str">
        <f>INDEX(Cronograma!AP$5:AP$11,MATCH($B145,Premissas!$A$39:$A$45,0))</f>
        <v/>
      </c>
      <c r="AR145" s="22" t="str">
        <f>INDEX(Cronograma!AQ$5:AQ$11,MATCH($B145,Premissas!$A$39:$A$45,0))</f>
        <v/>
      </c>
      <c r="AS145" s="22" t="str">
        <f>INDEX(Cronograma!AR$5:AR$11,MATCH($B145,Premissas!$A$39:$A$45,0))</f>
        <v/>
      </c>
      <c r="AT145" s="22" t="str">
        <f>INDEX(Cronograma!AS$5:AS$11,MATCH($B145,Premissas!$A$39:$A$45,0))</f>
        <v/>
      </c>
      <c r="AU145" s="22" t="str">
        <f>INDEX(Cronograma!AT$5:AT$11,MATCH($B145,Premissas!$A$39:$A$45,0))</f>
        <v/>
      </c>
      <c r="AV145" s="22" t="str">
        <f>INDEX(Cronograma!AU$5:AU$11,MATCH($B145,Premissas!$A$39:$A$45,0))</f>
        <v/>
      </c>
      <c r="AW145" s="22" t="str">
        <f>INDEX(Cronograma!AV$5:AV$11,MATCH($B145,Premissas!$A$39:$A$45,0))</f>
        <v/>
      </c>
      <c r="AX145" s="22" t="str">
        <f>INDEX(Cronograma!AW$5:AW$11,MATCH($B145,Premissas!$A$39:$A$45,0))</f>
        <v>S</v>
      </c>
      <c r="AY145" s="22" t="str">
        <f>INDEX(Cronograma!AX$5:AX$11,MATCH($B145,Premissas!$A$39:$A$45,0))</f>
        <v/>
      </c>
      <c r="AZ145" s="22" t="str">
        <f>INDEX(Cronograma!AY$5:AY$11,MATCH($B145,Premissas!$A$39:$A$45,0))</f>
        <v/>
      </c>
      <c r="BA145" s="22" t="str">
        <f>INDEX(Cronograma!AZ$5:AZ$11,MATCH($B145,Premissas!$A$39:$A$45,0))</f>
        <v/>
      </c>
      <c r="BB145" s="22" t="str">
        <f>INDEX(Cronograma!BA$5:BA$11,MATCH($B145,Premissas!$A$39:$A$45,0))</f>
        <v/>
      </c>
    </row>
    <row r="146" spans="1:54" ht="15" customHeight="1" x14ac:dyDescent="0.4">
      <c r="A146" s="15" t="str">
        <f>Frota!$B146&amp;" — "&amp;Frota!$A146</f>
        <v>Fiat Strada Endu.1.4 — 103099</v>
      </c>
      <c r="B146" s="16" t="str">
        <f>Frota!$C146</f>
        <v>Veículo Leve</v>
      </c>
      <c r="C146" s="22" t="str">
        <f>INDEX(Cronograma!B$5:B$11,MATCH($B146,Premissas!$A$39:$A$45,0))</f>
        <v/>
      </c>
      <c r="D146" s="22" t="str">
        <f>INDEX(Cronograma!C$5:C$11,MATCH($B146,Premissas!$A$39:$A$45,0))</f>
        <v/>
      </c>
      <c r="E146" s="22" t="str">
        <f>INDEX(Cronograma!D$5:D$11,MATCH($B146,Premissas!$A$39:$A$45,0))</f>
        <v/>
      </c>
      <c r="F146" s="22" t="str">
        <f>INDEX(Cronograma!E$5:E$11,MATCH($B146,Premissas!$A$39:$A$45,0))</f>
        <v/>
      </c>
      <c r="G146" s="22" t="str">
        <f>INDEX(Cronograma!F$5:F$11,MATCH($B146,Premissas!$A$39:$A$45,0))</f>
        <v/>
      </c>
      <c r="H146" s="22" t="str">
        <f>INDEX(Cronograma!G$5:G$11,MATCH($B146,Premissas!$A$39:$A$45,0))</f>
        <v/>
      </c>
      <c r="I146" s="22" t="str">
        <f>INDEX(Cronograma!H$5:H$11,MATCH($B146,Premissas!$A$39:$A$45,0))</f>
        <v/>
      </c>
      <c r="J146" s="22" t="str">
        <f>INDEX(Cronograma!I$5:I$11,MATCH($B146,Premissas!$A$39:$A$45,0))</f>
        <v/>
      </c>
      <c r="K146" s="22" t="str">
        <f>INDEX(Cronograma!J$5:J$11,MATCH($B146,Premissas!$A$39:$A$45,0))</f>
        <v/>
      </c>
      <c r="L146" s="22" t="str">
        <f>INDEX(Cronograma!K$5:K$11,MATCH($B146,Premissas!$A$39:$A$45,0))</f>
        <v/>
      </c>
      <c r="M146" s="22" t="str">
        <f>INDEX(Cronograma!L$5:L$11,MATCH($B146,Premissas!$A$39:$A$45,0))</f>
        <v/>
      </c>
      <c r="N146" s="22" t="str">
        <f>INDEX(Cronograma!M$5:M$11,MATCH($B146,Premissas!$A$39:$A$45,0))</f>
        <v/>
      </c>
      <c r="O146" s="22" t="str">
        <f>INDEX(Cronograma!N$5:N$11,MATCH($B146,Premissas!$A$39:$A$45,0))</f>
        <v/>
      </c>
      <c r="P146" s="22" t="str">
        <f>INDEX(Cronograma!O$5:O$11,MATCH($B146,Premissas!$A$39:$A$45,0))</f>
        <v/>
      </c>
      <c r="Q146" s="22" t="str">
        <f>INDEX(Cronograma!P$5:P$11,MATCH($B146,Premissas!$A$39:$A$45,0))</f>
        <v>S</v>
      </c>
      <c r="R146" s="22" t="str">
        <f>INDEX(Cronograma!Q$5:Q$11,MATCH($B146,Premissas!$A$39:$A$45,0))</f>
        <v/>
      </c>
      <c r="S146" s="22" t="str">
        <f>INDEX(Cronograma!R$5:R$11,MATCH($B146,Premissas!$A$39:$A$45,0))</f>
        <v/>
      </c>
      <c r="T146" s="22" t="str">
        <f>INDEX(Cronograma!S$5:S$11,MATCH($B146,Premissas!$A$39:$A$45,0))</f>
        <v/>
      </c>
      <c r="U146" s="22" t="str">
        <f>INDEX(Cronograma!T$5:T$11,MATCH($B146,Premissas!$A$39:$A$45,0))</f>
        <v/>
      </c>
      <c r="V146" s="22" t="str">
        <f>INDEX(Cronograma!U$5:U$11,MATCH($B146,Premissas!$A$39:$A$45,0))</f>
        <v/>
      </c>
      <c r="W146" s="22" t="str">
        <f>INDEX(Cronograma!V$5:V$11,MATCH($B146,Premissas!$A$39:$A$45,0))</f>
        <v/>
      </c>
      <c r="X146" s="22" t="str">
        <f>INDEX(Cronograma!W$5:W$11,MATCH($B146,Premissas!$A$39:$A$45,0))</f>
        <v/>
      </c>
      <c r="Y146" s="22" t="str">
        <f>INDEX(Cronograma!X$5:X$11,MATCH($B146,Premissas!$A$39:$A$45,0))</f>
        <v/>
      </c>
      <c r="Z146" s="22" t="str">
        <f>INDEX(Cronograma!Y$5:Y$11,MATCH($B146,Premissas!$A$39:$A$45,0))</f>
        <v/>
      </c>
      <c r="AA146" s="22" t="str">
        <f>INDEX(Cronograma!Z$5:Z$11,MATCH($B146,Premissas!$A$39:$A$45,0))</f>
        <v/>
      </c>
      <c r="AB146" s="22" t="str">
        <f>INDEX(Cronograma!AA$5:AA$11,MATCH($B146,Premissas!$A$39:$A$45,0))</f>
        <v/>
      </c>
      <c r="AC146" s="22" t="str">
        <f>INDEX(Cronograma!AB$5:AB$11,MATCH($B146,Premissas!$A$39:$A$45,0))</f>
        <v/>
      </c>
      <c r="AD146" s="22" t="str">
        <f>INDEX(Cronograma!AC$5:AC$11,MATCH($B146,Premissas!$A$39:$A$45,0))</f>
        <v/>
      </c>
      <c r="AE146" s="22" t="str">
        <f>INDEX(Cronograma!AD$5:AD$11,MATCH($B146,Premissas!$A$39:$A$45,0))</f>
        <v>A</v>
      </c>
      <c r="AF146" s="22" t="str">
        <f>INDEX(Cronograma!AE$5:AE$11,MATCH($B146,Premissas!$A$39:$A$45,0))</f>
        <v/>
      </c>
      <c r="AG146" s="22" t="str">
        <f>INDEX(Cronograma!AF$5:AF$11,MATCH($B146,Premissas!$A$39:$A$45,0))</f>
        <v/>
      </c>
      <c r="AH146" s="22" t="str">
        <f>INDEX(Cronograma!AG$5:AG$11,MATCH($B146,Premissas!$A$39:$A$45,0))</f>
        <v/>
      </c>
      <c r="AI146" s="22" t="str">
        <f>INDEX(Cronograma!AH$5:AH$11,MATCH($B146,Premissas!$A$39:$A$45,0))</f>
        <v/>
      </c>
      <c r="AJ146" s="22" t="str">
        <f>INDEX(Cronograma!AI$5:AI$11,MATCH($B146,Premissas!$A$39:$A$45,0))</f>
        <v/>
      </c>
      <c r="AK146" s="22" t="str">
        <f>INDEX(Cronograma!AJ$5:AJ$11,MATCH($B146,Premissas!$A$39:$A$45,0))</f>
        <v/>
      </c>
      <c r="AL146" s="22" t="str">
        <f>INDEX(Cronograma!AK$5:AK$11,MATCH($B146,Premissas!$A$39:$A$45,0))</f>
        <v/>
      </c>
      <c r="AM146" s="22" t="str">
        <f>INDEX(Cronograma!AL$5:AL$11,MATCH($B146,Premissas!$A$39:$A$45,0))</f>
        <v/>
      </c>
      <c r="AN146" s="22" t="str">
        <f>INDEX(Cronograma!AM$5:AM$11,MATCH($B146,Premissas!$A$39:$A$45,0))</f>
        <v/>
      </c>
      <c r="AO146" s="22" t="str">
        <f>INDEX(Cronograma!AN$5:AN$11,MATCH($B146,Premissas!$A$39:$A$45,0))</f>
        <v/>
      </c>
      <c r="AP146" s="22" t="str">
        <f>INDEX(Cronograma!AO$5:AO$11,MATCH($B146,Premissas!$A$39:$A$45,0))</f>
        <v/>
      </c>
      <c r="AQ146" s="22" t="str">
        <f>INDEX(Cronograma!AP$5:AP$11,MATCH($B146,Premissas!$A$39:$A$45,0))</f>
        <v/>
      </c>
      <c r="AR146" s="22" t="str">
        <f>INDEX(Cronograma!AQ$5:AQ$11,MATCH($B146,Premissas!$A$39:$A$45,0))</f>
        <v/>
      </c>
      <c r="AS146" s="22" t="str">
        <f>INDEX(Cronograma!AR$5:AR$11,MATCH($B146,Premissas!$A$39:$A$45,0))</f>
        <v/>
      </c>
      <c r="AT146" s="22" t="str">
        <f>INDEX(Cronograma!AS$5:AS$11,MATCH($B146,Premissas!$A$39:$A$45,0))</f>
        <v/>
      </c>
      <c r="AU146" s="22" t="str">
        <f>INDEX(Cronograma!AT$5:AT$11,MATCH($B146,Premissas!$A$39:$A$45,0))</f>
        <v/>
      </c>
      <c r="AV146" s="22" t="str">
        <f>INDEX(Cronograma!AU$5:AU$11,MATCH($B146,Premissas!$A$39:$A$45,0))</f>
        <v/>
      </c>
      <c r="AW146" s="22" t="str">
        <f>INDEX(Cronograma!AV$5:AV$11,MATCH($B146,Premissas!$A$39:$A$45,0))</f>
        <v/>
      </c>
      <c r="AX146" s="22" t="str">
        <f>INDEX(Cronograma!AW$5:AW$11,MATCH($B146,Premissas!$A$39:$A$45,0))</f>
        <v>S</v>
      </c>
      <c r="AY146" s="22" t="str">
        <f>INDEX(Cronograma!AX$5:AX$11,MATCH($B146,Premissas!$A$39:$A$45,0))</f>
        <v/>
      </c>
      <c r="AZ146" s="22" t="str">
        <f>INDEX(Cronograma!AY$5:AY$11,MATCH($B146,Premissas!$A$39:$A$45,0))</f>
        <v/>
      </c>
      <c r="BA146" s="22" t="str">
        <f>INDEX(Cronograma!AZ$5:AZ$11,MATCH($B146,Premissas!$A$39:$A$45,0))</f>
        <v/>
      </c>
      <c r="BB146" s="22" t="str">
        <f>INDEX(Cronograma!BA$5:BA$11,MATCH($B146,Premissas!$A$39:$A$45,0))</f>
        <v/>
      </c>
    </row>
    <row r="147" spans="1:54" ht="15" customHeight="1" x14ac:dyDescent="0.4">
      <c r="A147" s="15" t="str">
        <f>Frota!$B147&amp;" — "&amp;Frota!$A147</f>
        <v>Fiat Strada Endu.1.4 — 103100</v>
      </c>
      <c r="B147" s="16" t="str">
        <f>Frota!$C147</f>
        <v>Veículo Leve</v>
      </c>
      <c r="C147" s="22" t="str">
        <f>INDEX(Cronograma!B$5:B$11,MATCH($B147,Premissas!$A$39:$A$45,0))</f>
        <v/>
      </c>
      <c r="D147" s="22" t="str">
        <f>INDEX(Cronograma!C$5:C$11,MATCH($B147,Premissas!$A$39:$A$45,0))</f>
        <v/>
      </c>
      <c r="E147" s="22" t="str">
        <f>INDEX(Cronograma!D$5:D$11,MATCH($B147,Premissas!$A$39:$A$45,0))</f>
        <v/>
      </c>
      <c r="F147" s="22" t="str">
        <f>INDEX(Cronograma!E$5:E$11,MATCH($B147,Premissas!$A$39:$A$45,0))</f>
        <v/>
      </c>
      <c r="G147" s="22" t="str">
        <f>INDEX(Cronograma!F$5:F$11,MATCH($B147,Premissas!$A$39:$A$45,0))</f>
        <v/>
      </c>
      <c r="H147" s="22" t="str">
        <f>INDEX(Cronograma!G$5:G$11,MATCH($B147,Premissas!$A$39:$A$45,0))</f>
        <v/>
      </c>
      <c r="I147" s="22" t="str">
        <f>INDEX(Cronograma!H$5:H$11,MATCH($B147,Premissas!$A$39:$A$45,0))</f>
        <v/>
      </c>
      <c r="J147" s="22" t="str">
        <f>INDEX(Cronograma!I$5:I$11,MATCH($B147,Premissas!$A$39:$A$45,0))</f>
        <v/>
      </c>
      <c r="K147" s="22" t="str">
        <f>INDEX(Cronograma!J$5:J$11,MATCH($B147,Premissas!$A$39:$A$45,0))</f>
        <v/>
      </c>
      <c r="L147" s="22" t="str">
        <f>INDEX(Cronograma!K$5:K$11,MATCH($B147,Premissas!$A$39:$A$45,0))</f>
        <v/>
      </c>
      <c r="M147" s="22" t="str">
        <f>INDEX(Cronograma!L$5:L$11,MATCH($B147,Premissas!$A$39:$A$45,0))</f>
        <v/>
      </c>
      <c r="N147" s="22" t="str">
        <f>INDEX(Cronograma!M$5:M$11,MATCH($B147,Premissas!$A$39:$A$45,0))</f>
        <v/>
      </c>
      <c r="O147" s="22" t="str">
        <f>INDEX(Cronograma!N$5:N$11,MATCH($B147,Premissas!$A$39:$A$45,0))</f>
        <v/>
      </c>
      <c r="P147" s="22" t="str">
        <f>INDEX(Cronograma!O$5:O$11,MATCH($B147,Premissas!$A$39:$A$45,0))</f>
        <v/>
      </c>
      <c r="Q147" s="22" t="str">
        <f>INDEX(Cronograma!P$5:P$11,MATCH($B147,Premissas!$A$39:$A$45,0))</f>
        <v>S</v>
      </c>
      <c r="R147" s="22" t="str">
        <f>INDEX(Cronograma!Q$5:Q$11,MATCH($B147,Premissas!$A$39:$A$45,0))</f>
        <v/>
      </c>
      <c r="S147" s="22" t="str">
        <f>INDEX(Cronograma!R$5:R$11,MATCH($B147,Premissas!$A$39:$A$45,0))</f>
        <v/>
      </c>
      <c r="T147" s="22" t="str">
        <f>INDEX(Cronograma!S$5:S$11,MATCH($B147,Premissas!$A$39:$A$45,0))</f>
        <v/>
      </c>
      <c r="U147" s="22" t="str">
        <f>INDEX(Cronograma!T$5:T$11,MATCH($B147,Premissas!$A$39:$A$45,0))</f>
        <v/>
      </c>
      <c r="V147" s="22" t="str">
        <f>INDEX(Cronograma!U$5:U$11,MATCH($B147,Premissas!$A$39:$A$45,0))</f>
        <v/>
      </c>
      <c r="W147" s="22" t="str">
        <f>INDEX(Cronograma!V$5:V$11,MATCH($B147,Premissas!$A$39:$A$45,0))</f>
        <v/>
      </c>
      <c r="X147" s="22" t="str">
        <f>INDEX(Cronograma!W$5:W$11,MATCH($B147,Premissas!$A$39:$A$45,0))</f>
        <v/>
      </c>
      <c r="Y147" s="22" t="str">
        <f>INDEX(Cronograma!X$5:X$11,MATCH($B147,Premissas!$A$39:$A$45,0))</f>
        <v/>
      </c>
      <c r="Z147" s="22" t="str">
        <f>INDEX(Cronograma!Y$5:Y$11,MATCH($B147,Premissas!$A$39:$A$45,0))</f>
        <v/>
      </c>
      <c r="AA147" s="22" t="str">
        <f>INDEX(Cronograma!Z$5:Z$11,MATCH($B147,Premissas!$A$39:$A$45,0))</f>
        <v/>
      </c>
      <c r="AB147" s="22" t="str">
        <f>INDEX(Cronograma!AA$5:AA$11,MATCH($B147,Premissas!$A$39:$A$45,0))</f>
        <v/>
      </c>
      <c r="AC147" s="22" t="str">
        <f>INDEX(Cronograma!AB$5:AB$11,MATCH($B147,Premissas!$A$39:$A$45,0))</f>
        <v/>
      </c>
      <c r="AD147" s="22" t="str">
        <f>INDEX(Cronograma!AC$5:AC$11,MATCH($B147,Premissas!$A$39:$A$45,0))</f>
        <v/>
      </c>
      <c r="AE147" s="22" t="str">
        <f>INDEX(Cronograma!AD$5:AD$11,MATCH($B147,Premissas!$A$39:$A$45,0))</f>
        <v>A</v>
      </c>
      <c r="AF147" s="22" t="str">
        <f>INDEX(Cronograma!AE$5:AE$11,MATCH($B147,Premissas!$A$39:$A$45,0))</f>
        <v/>
      </c>
      <c r="AG147" s="22" t="str">
        <f>INDEX(Cronograma!AF$5:AF$11,MATCH($B147,Premissas!$A$39:$A$45,0))</f>
        <v/>
      </c>
      <c r="AH147" s="22" t="str">
        <f>INDEX(Cronograma!AG$5:AG$11,MATCH($B147,Premissas!$A$39:$A$45,0))</f>
        <v/>
      </c>
      <c r="AI147" s="22" t="str">
        <f>INDEX(Cronograma!AH$5:AH$11,MATCH($B147,Premissas!$A$39:$A$45,0))</f>
        <v/>
      </c>
      <c r="AJ147" s="22" t="str">
        <f>INDEX(Cronograma!AI$5:AI$11,MATCH($B147,Premissas!$A$39:$A$45,0))</f>
        <v/>
      </c>
      <c r="AK147" s="22" t="str">
        <f>INDEX(Cronograma!AJ$5:AJ$11,MATCH($B147,Premissas!$A$39:$A$45,0))</f>
        <v/>
      </c>
      <c r="AL147" s="22" t="str">
        <f>INDEX(Cronograma!AK$5:AK$11,MATCH($B147,Premissas!$A$39:$A$45,0))</f>
        <v/>
      </c>
      <c r="AM147" s="22" t="str">
        <f>INDEX(Cronograma!AL$5:AL$11,MATCH($B147,Premissas!$A$39:$A$45,0))</f>
        <v/>
      </c>
      <c r="AN147" s="22" t="str">
        <f>INDEX(Cronograma!AM$5:AM$11,MATCH($B147,Premissas!$A$39:$A$45,0))</f>
        <v/>
      </c>
      <c r="AO147" s="22" t="str">
        <f>INDEX(Cronograma!AN$5:AN$11,MATCH($B147,Premissas!$A$39:$A$45,0))</f>
        <v/>
      </c>
      <c r="AP147" s="22" t="str">
        <f>INDEX(Cronograma!AO$5:AO$11,MATCH($B147,Premissas!$A$39:$A$45,0))</f>
        <v/>
      </c>
      <c r="AQ147" s="22" t="str">
        <f>INDEX(Cronograma!AP$5:AP$11,MATCH($B147,Premissas!$A$39:$A$45,0))</f>
        <v/>
      </c>
      <c r="AR147" s="22" t="str">
        <f>INDEX(Cronograma!AQ$5:AQ$11,MATCH($B147,Premissas!$A$39:$A$45,0))</f>
        <v/>
      </c>
      <c r="AS147" s="22" t="str">
        <f>INDEX(Cronograma!AR$5:AR$11,MATCH($B147,Premissas!$A$39:$A$45,0))</f>
        <v/>
      </c>
      <c r="AT147" s="22" t="str">
        <f>INDEX(Cronograma!AS$5:AS$11,MATCH($B147,Premissas!$A$39:$A$45,0))</f>
        <v/>
      </c>
      <c r="AU147" s="22" t="str">
        <f>INDEX(Cronograma!AT$5:AT$11,MATCH($B147,Premissas!$A$39:$A$45,0))</f>
        <v/>
      </c>
      <c r="AV147" s="22" t="str">
        <f>INDEX(Cronograma!AU$5:AU$11,MATCH($B147,Premissas!$A$39:$A$45,0))</f>
        <v/>
      </c>
      <c r="AW147" s="22" t="str">
        <f>INDEX(Cronograma!AV$5:AV$11,MATCH($B147,Premissas!$A$39:$A$45,0))</f>
        <v/>
      </c>
      <c r="AX147" s="22" t="str">
        <f>INDEX(Cronograma!AW$5:AW$11,MATCH($B147,Premissas!$A$39:$A$45,0))</f>
        <v>S</v>
      </c>
      <c r="AY147" s="22" t="str">
        <f>INDEX(Cronograma!AX$5:AX$11,MATCH($B147,Premissas!$A$39:$A$45,0))</f>
        <v/>
      </c>
      <c r="AZ147" s="22" t="str">
        <f>INDEX(Cronograma!AY$5:AY$11,MATCH($B147,Premissas!$A$39:$A$45,0))</f>
        <v/>
      </c>
      <c r="BA147" s="22" t="str">
        <f>INDEX(Cronograma!AZ$5:AZ$11,MATCH($B147,Premissas!$A$39:$A$45,0))</f>
        <v/>
      </c>
      <c r="BB147" s="22" t="str">
        <f>INDEX(Cronograma!BA$5:BA$11,MATCH($B147,Premissas!$A$39:$A$45,0))</f>
        <v/>
      </c>
    </row>
    <row r="148" spans="1:54" ht="15" customHeight="1" x14ac:dyDescent="0.4">
      <c r="A148" s="15" t="str">
        <f>Frota!$B148&amp;" — "&amp;Frota!$A148</f>
        <v>Fiat Strada Endu.1.4 — 103101</v>
      </c>
      <c r="B148" s="16" t="str">
        <f>Frota!$C148</f>
        <v>Veículo Leve</v>
      </c>
      <c r="C148" s="22" t="str">
        <f>INDEX(Cronograma!B$5:B$11,MATCH($B148,Premissas!$A$39:$A$45,0))</f>
        <v/>
      </c>
      <c r="D148" s="22" t="str">
        <f>INDEX(Cronograma!C$5:C$11,MATCH($B148,Premissas!$A$39:$A$45,0))</f>
        <v/>
      </c>
      <c r="E148" s="22" t="str">
        <f>INDEX(Cronograma!D$5:D$11,MATCH($B148,Premissas!$A$39:$A$45,0))</f>
        <v/>
      </c>
      <c r="F148" s="22" t="str">
        <f>INDEX(Cronograma!E$5:E$11,MATCH($B148,Premissas!$A$39:$A$45,0))</f>
        <v/>
      </c>
      <c r="G148" s="22" t="str">
        <f>INDEX(Cronograma!F$5:F$11,MATCH($B148,Premissas!$A$39:$A$45,0))</f>
        <v/>
      </c>
      <c r="H148" s="22" t="str">
        <f>INDEX(Cronograma!G$5:G$11,MATCH($B148,Premissas!$A$39:$A$45,0))</f>
        <v/>
      </c>
      <c r="I148" s="22" t="str">
        <f>INDEX(Cronograma!H$5:H$11,MATCH($B148,Premissas!$A$39:$A$45,0))</f>
        <v/>
      </c>
      <c r="J148" s="22" t="str">
        <f>INDEX(Cronograma!I$5:I$11,MATCH($B148,Premissas!$A$39:$A$45,0))</f>
        <v/>
      </c>
      <c r="K148" s="22" t="str">
        <f>INDEX(Cronograma!J$5:J$11,MATCH($B148,Premissas!$A$39:$A$45,0))</f>
        <v/>
      </c>
      <c r="L148" s="22" t="str">
        <f>INDEX(Cronograma!K$5:K$11,MATCH($B148,Premissas!$A$39:$A$45,0))</f>
        <v/>
      </c>
      <c r="M148" s="22" t="str">
        <f>INDEX(Cronograma!L$5:L$11,MATCH($B148,Premissas!$A$39:$A$45,0))</f>
        <v/>
      </c>
      <c r="N148" s="22" t="str">
        <f>INDEX(Cronograma!M$5:M$11,MATCH($B148,Premissas!$A$39:$A$45,0))</f>
        <v/>
      </c>
      <c r="O148" s="22" t="str">
        <f>INDEX(Cronograma!N$5:N$11,MATCH($B148,Premissas!$A$39:$A$45,0))</f>
        <v/>
      </c>
      <c r="P148" s="22" t="str">
        <f>INDEX(Cronograma!O$5:O$11,MATCH($B148,Premissas!$A$39:$A$45,0))</f>
        <v/>
      </c>
      <c r="Q148" s="22" t="str">
        <f>INDEX(Cronograma!P$5:P$11,MATCH($B148,Premissas!$A$39:$A$45,0))</f>
        <v>S</v>
      </c>
      <c r="R148" s="22" t="str">
        <f>INDEX(Cronograma!Q$5:Q$11,MATCH($B148,Premissas!$A$39:$A$45,0))</f>
        <v/>
      </c>
      <c r="S148" s="22" t="str">
        <f>INDEX(Cronograma!R$5:R$11,MATCH($B148,Premissas!$A$39:$A$45,0))</f>
        <v/>
      </c>
      <c r="T148" s="22" t="str">
        <f>INDEX(Cronograma!S$5:S$11,MATCH($B148,Premissas!$A$39:$A$45,0))</f>
        <v/>
      </c>
      <c r="U148" s="22" t="str">
        <f>INDEX(Cronograma!T$5:T$11,MATCH($B148,Premissas!$A$39:$A$45,0))</f>
        <v/>
      </c>
      <c r="V148" s="22" t="str">
        <f>INDEX(Cronograma!U$5:U$11,MATCH($B148,Premissas!$A$39:$A$45,0))</f>
        <v/>
      </c>
      <c r="W148" s="22" t="str">
        <f>INDEX(Cronograma!V$5:V$11,MATCH($B148,Premissas!$A$39:$A$45,0))</f>
        <v/>
      </c>
      <c r="X148" s="22" t="str">
        <f>INDEX(Cronograma!W$5:W$11,MATCH($B148,Premissas!$A$39:$A$45,0))</f>
        <v/>
      </c>
      <c r="Y148" s="22" t="str">
        <f>INDEX(Cronograma!X$5:X$11,MATCH($B148,Premissas!$A$39:$A$45,0))</f>
        <v/>
      </c>
      <c r="Z148" s="22" t="str">
        <f>INDEX(Cronograma!Y$5:Y$11,MATCH($B148,Premissas!$A$39:$A$45,0))</f>
        <v/>
      </c>
      <c r="AA148" s="22" t="str">
        <f>INDEX(Cronograma!Z$5:Z$11,MATCH($B148,Premissas!$A$39:$A$45,0))</f>
        <v/>
      </c>
      <c r="AB148" s="22" t="str">
        <f>INDEX(Cronograma!AA$5:AA$11,MATCH($B148,Premissas!$A$39:$A$45,0))</f>
        <v/>
      </c>
      <c r="AC148" s="22" t="str">
        <f>INDEX(Cronograma!AB$5:AB$11,MATCH($B148,Premissas!$A$39:$A$45,0))</f>
        <v/>
      </c>
      <c r="AD148" s="22" t="str">
        <f>INDEX(Cronograma!AC$5:AC$11,MATCH($B148,Premissas!$A$39:$A$45,0))</f>
        <v/>
      </c>
      <c r="AE148" s="22" t="str">
        <f>INDEX(Cronograma!AD$5:AD$11,MATCH($B148,Premissas!$A$39:$A$45,0))</f>
        <v>A</v>
      </c>
      <c r="AF148" s="22" t="str">
        <f>INDEX(Cronograma!AE$5:AE$11,MATCH($B148,Premissas!$A$39:$A$45,0))</f>
        <v/>
      </c>
      <c r="AG148" s="22" t="str">
        <f>INDEX(Cronograma!AF$5:AF$11,MATCH($B148,Premissas!$A$39:$A$45,0))</f>
        <v/>
      </c>
      <c r="AH148" s="22" t="str">
        <f>INDEX(Cronograma!AG$5:AG$11,MATCH($B148,Premissas!$A$39:$A$45,0))</f>
        <v/>
      </c>
      <c r="AI148" s="22" t="str">
        <f>INDEX(Cronograma!AH$5:AH$11,MATCH($B148,Premissas!$A$39:$A$45,0))</f>
        <v/>
      </c>
      <c r="AJ148" s="22" t="str">
        <f>INDEX(Cronograma!AI$5:AI$11,MATCH($B148,Premissas!$A$39:$A$45,0))</f>
        <v/>
      </c>
      <c r="AK148" s="22" t="str">
        <f>INDEX(Cronograma!AJ$5:AJ$11,MATCH($B148,Premissas!$A$39:$A$45,0))</f>
        <v/>
      </c>
      <c r="AL148" s="22" t="str">
        <f>INDEX(Cronograma!AK$5:AK$11,MATCH($B148,Premissas!$A$39:$A$45,0))</f>
        <v/>
      </c>
      <c r="AM148" s="22" t="str">
        <f>INDEX(Cronograma!AL$5:AL$11,MATCH($B148,Premissas!$A$39:$A$45,0))</f>
        <v/>
      </c>
      <c r="AN148" s="22" t="str">
        <f>INDEX(Cronograma!AM$5:AM$11,MATCH($B148,Premissas!$A$39:$A$45,0))</f>
        <v/>
      </c>
      <c r="AO148" s="22" t="str">
        <f>INDEX(Cronograma!AN$5:AN$11,MATCH($B148,Premissas!$A$39:$A$45,0))</f>
        <v/>
      </c>
      <c r="AP148" s="22" t="str">
        <f>INDEX(Cronograma!AO$5:AO$11,MATCH($B148,Premissas!$A$39:$A$45,0))</f>
        <v/>
      </c>
      <c r="AQ148" s="22" t="str">
        <f>INDEX(Cronograma!AP$5:AP$11,MATCH($B148,Premissas!$A$39:$A$45,0))</f>
        <v/>
      </c>
      <c r="AR148" s="22" t="str">
        <f>INDEX(Cronograma!AQ$5:AQ$11,MATCH($B148,Premissas!$A$39:$A$45,0))</f>
        <v/>
      </c>
      <c r="AS148" s="22" t="str">
        <f>INDEX(Cronograma!AR$5:AR$11,MATCH($B148,Premissas!$A$39:$A$45,0))</f>
        <v/>
      </c>
      <c r="AT148" s="22" t="str">
        <f>INDEX(Cronograma!AS$5:AS$11,MATCH($B148,Premissas!$A$39:$A$45,0))</f>
        <v/>
      </c>
      <c r="AU148" s="22" t="str">
        <f>INDEX(Cronograma!AT$5:AT$11,MATCH($B148,Premissas!$A$39:$A$45,0))</f>
        <v/>
      </c>
      <c r="AV148" s="22" t="str">
        <f>INDEX(Cronograma!AU$5:AU$11,MATCH($B148,Premissas!$A$39:$A$45,0))</f>
        <v/>
      </c>
      <c r="AW148" s="22" t="str">
        <f>INDEX(Cronograma!AV$5:AV$11,MATCH($B148,Premissas!$A$39:$A$45,0))</f>
        <v/>
      </c>
      <c r="AX148" s="22" t="str">
        <f>INDEX(Cronograma!AW$5:AW$11,MATCH($B148,Premissas!$A$39:$A$45,0))</f>
        <v>S</v>
      </c>
      <c r="AY148" s="22" t="str">
        <f>INDEX(Cronograma!AX$5:AX$11,MATCH($B148,Premissas!$A$39:$A$45,0))</f>
        <v/>
      </c>
      <c r="AZ148" s="22" t="str">
        <f>INDEX(Cronograma!AY$5:AY$11,MATCH($B148,Premissas!$A$39:$A$45,0))</f>
        <v/>
      </c>
      <c r="BA148" s="22" t="str">
        <f>INDEX(Cronograma!AZ$5:AZ$11,MATCH($B148,Premissas!$A$39:$A$45,0))</f>
        <v/>
      </c>
      <c r="BB148" s="22" t="str">
        <f>INDEX(Cronograma!BA$5:BA$11,MATCH($B148,Premissas!$A$39:$A$45,0))</f>
        <v/>
      </c>
    </row>
    <row r="149" spans="1:54" ht="15" customHeight="1" x14ac:dyDescent="0.4">
      <c r="A149" s="15" t="str">
        <f>Frota!$B149&amp;" — "&amp;Frota!$A149</f>
        <v>Fiat Strada Endu.1.4 — 103102</v>
      </c>
      <c r="B149" s="16" t="str">
        <f>Frota!$C149</f>
        <v>Veículo Leve</v>
      </c>
      <c r="C149" s="22" t="str">
        <f>INDEX(Cronograma!B$5:B$11,MATCH($B149,Premissas!$A$39:$A$45,0))</f>
        <v/>
      </c>
      <c r="D149" s="22" t="str">
        <f>INDEX(Cronograma!C$5:C$11,MATCH($B149,Premissas!$A$39:$A$45,0))</f>
        <v/>
      </c>
      <c r="E149" s="22" t="str">
        <f>INDEX(Cronograma!D$5:D$11,MATCH($B149,Premissas!$A$39:$A$45,0))</f>
        <v/>
      </c>
      <c r="F149" s="22" t="str">
        <f>INDEX(Cronograma!E$5:E$11,MATCH($B149,Premissas!$A$39:$A$45,0))</f>
        <v/>
      </c>
      <c r="G149" s="22" t="str">
        <f>INDEX(Cronograma!F$5:F$11,MATCH($B149,Premissas!$A$39:$A$45,0))</f>
        <v/>
      </c>
      <c r="H149" s="22" t="str">
        <f>INDEX(Cronograma!G$5:G$11,MATCH($B149,Premissas!$A$39:$A$45,0))</f>
        <v/>
      </c>
      <c r="I149" s="22" t="str">
        <f>INDEX(Cronograma!H$5:H$11,MATCH($B149,Premissas!$A$39:$A$45,0))</f>
        <v/>
      </c>
      <c r="J149" s="22" t="str">
        <f>INDEX(Cronograma!I$5:I$11,MATCH($B149,Premissas!$A$39:$A$45,0))</f>
        <v/>
      </c>
      <c r="K149" s="22" t="str">
        <f>INDEX(Cronograma!J$5:J$11,MATCH($B149,Premissas!$A$39:$A$45,0))</f>
        <v/>
      </c>
      <c r="L149" s="22" t="str">
        <f>INDEX(Cronograma!K$5:K$11,MATCH($B149,Premissas!$A$39:$A$45,0))</f>
        <v/>
      </c>
      <c r="M149" s="22" t="str">
        <f>INDEX(Cronograma!L$5:L$11,MATCH($B149,Premissas!$A$39:$A$45,0))</f>
        <v/>
      </c>
      <c r="N149" s="22" t="str">
        <f>INDEX(Cronograma!M$5:M$11,MATCH($B149,Premissas!$A$39:$A$45,0))</f>
        <v/>
      </c>
      <c r="O149" s="22" t="str">
        <f>INDEX(Cronograma!N$5:N$11,MATCH($B149,Premissas!$A$39:$A$45,0))</f>
        <v/>
      </c>
      <c r="P149" s="22" t="str">
        <f>INDEX(Cronograma!O$5:O$11,MATCH($B149,Premissas!$A$39:$A$45,0))</f>
        <v/>
      </c>
      <c r="Q149" s="22" t="str">
        <f>INDEX(Cronograma!P$5:P$11,MATCH($B149,Premissas!$A$39:$A$45,0))</f>
        <v>S</v>
      </c>
      <c r="R149" s="22" t="str">
        <f>INDEX(Cronograma!Q$5:Q$11,MATCH($B149,Premissas!$A$39:$A$45,0))</f>
        <v/>
      </c>
      <c r="S149" s="22" t="str">
        <f>INDEX(Cronograma!R$5:R$11,MATCH($B149,Premissas!$A$39:$A$45,0))</f>
        <v/>
      </c>
      <c r="T149" s="22" t="str">
        <f>INDEX(Cronograma!S$5:S$11,MATCH($B149,Premissas!$A$39:$A$45,0))</f>
        <v/>
      </c>
      <c r="U149" s="22" t="str">
        <f>INDEX(Cronograma!T$5:T$11,MATCH($B149,Premissas!$A$39:$A$45,0))</f>
        <v/>
      </c>
      <c r="V149" s="22" t="str">
        <f>INDEX(Cronograma!U$5:U$11,MATCH($B149,Premissas!$A$39:$A$45,0))</f>
        <v/>
      </c>
      <c r="W149" s="22" t="str">
        <f>INDEX(Cronograma!V$5:V$11,MATCH($B149,Premissas!$A$39:$A$45,0))</f>
        <v/>
      </c>
      <c r="X149" s="22" t="str">
        <f>INDEX(Cronograma!W$5:W$11,MATCH($B149,Premissas!$A$39:$A$45,0))</f>
        <v/>
      </c>
      <c r="Y149" s="22" t="str">
        <f>INDEX(Cronograma!X$5:X$11,MATCH($B149,Premissas!$A$39:$A$45,0))</f>
        <v/>
      </c>
      <c r="Z149" s="22" t="str">
        <f>INDEX(Cronograma!Y$5:Y$11,MATCH($B149,Premissas!$A$39:$A$45,0))</f>
        <v/>
      </c>
      <c r="AA149" s="22" t="str">
        <f>INDEX(Cronograma!Z$5:Z$11,MATCH($B149,Premissas!$A$39:$A$45,0))</f>
        <v/>
      </c>
      <c r="AB149" s="22" t="str">
        <f>INDEX(Cronograma!AA$5:AA$11,MATCH($B149,Premissas!$A$39:$A$45,0))</f>
        <v/>
      </c>
      <c r="AC149" s="22" t="str">
        <f>INDEX(Cronograma!AB$5:AB$11,MATCH($B149,Premissas!$A$39:$A$45,0))</f>
        <v/>
      </c>
      <c r="AD149" s="22" t="str">
        <f>INDEX(Cronograma!AC$5:AC$11,MATCH($B149,Premissas!$A$39:$A$45,0))</f>
        <v/>
      </c>
      <c r="AE149" s="22" t="str">
        <f>INDEX(Cronograma!AD$5:AD$11,MATCH($B149,Premissas!$A$39:$A$45,0))</f>
        <v>A</v>
      </c>
      <c r="AF149" s="22" t="str">
        <f>INDEX(Cronograma!AE$5:AE$11,MATCH($B149,Premissas!$A$39:$A$45,0))</f>
        <v/>
      </c>
      <c r="AG149" s="22" t="str">
        <f>INDEX(Cronograma!AF$5:AF$11,MATCH($B149,Premissas!$A$39:$A$45,0))</f>
        <v/>
      </c>
      <c r="AH149" s="22" t="str">
        <f>INDEX(Cronograma!AG$5:AG$11,MATCH($B149,Premissas!$A$39:$A$45,0))</f>
        <v/>
      </c>
      <c r="AI149" s="22" t="str">
        <f>INDEX(Cronograma!AH$5:AH$11,MATCH($B149,Premissas!$A$39:$A$45,0))</f>
        <v/>
      </c>
      <c r="AJ149" s="22" t="str">
        <f>INDEX(Cronograma!AI$5:AI$11,MATCH($B149,Premissas!$A$39:$A$45,0))</f>
        <v/>
      </c>
      <c r="AK149" s="22" t="str">
        <f>INDEX(Cronograma!AJ$5:AJ$11,MATCH($B149,Premissas!$A$39:$A$45,0))</f>
        <v/>
      </c>
      <c r="AL149" s="22" t="str">
        <f>INDEX(Cronograma!AK$5:AK$11,MATCH($B149,Premissas!$A$39:$A$45,0))</f>
        <v/>
      </c>
      <c r="AM149" s="22" t="str">
        <f>INDEX(Cronograma!AL$5:AL$11,MATCH($B149,Premissas!$A$39:$A$45,0))</f>
        <v/>
      </c>
      <c r="AN149" s="22" t="str">
        <f>INDEX(Cronograma!AM$5:AM$11,MATCH($B149,Premissas!$A$39:$A$45,0))</f>
        <v/>
      </c>
      <c r="AO149" s="22" t="str">
        <f>INDEX(Cronograma!AN$5:AN$11,MATCH($B149,Premissas!$A$39:$A$45,0))</f>
        <v/>
      </c>
      <c r="AP149" s="22" t="str">
        <f>INDEX(Cronograma!AO$5:AO$11,MATCH($B149,Premissas!$A$39:$A$45,0))</f>
        <v/>
      </c>
      <c r="AQ149" s="22" t="str">
        <f>INDEX(Cronograma!AP$5:AP$11,MATCH($B149,Premissas!$A$39:$A$45,0))</f>
        <v/>
      </c>
      <c r="AR149" s="22" t="str">
        <f>INDEX(Cronograma!AQ$5:AQ$11,MATCH($B149,Premissas!$A$39:$A$45,0))</f>
        <v/>
      </c>
      <c r="AS149" s="22" t="str">
        <f>INDEX(Cronograma!AR$5:AR$11,MATCH($B149,Premissas!$A$39:$A$45,0))</f>
        <v/>
      </c>
      <c r="AT149" s="22" t="str">
        <f>INDEX(Cronograma!AS$5:AS$11,MATCH($B149,Premissas!$A$39:$A$45,0))</f>
        <v/>
      </c>
      <c r="AU149" s="22" t="str">
        <f>INDEX(Cronograma!AT$5:AT$11,MATCH($B149,Premissas!$A$39:$A$45,0))</f>
        <v/>
      </c>
      <c r="AV149" s="22" t="str">
        <f>INDEX(Cronograma!AU$5:AU$11,MATCH($B149,Premissas!$A$39:$A$45,0))</f>
        <v/>
      </c>
      <c r="AW149" s="22" t="str">
        <f>INDEX(Cronograma!AV$5:AV$11,MATCH($B149,Premissas!$A$39:$A$45,0))</f>
        <v/>
      </c>
      <c r="AX149" s="22" t="str">
        <f>INDEX(Cronograma!AW$5:AW$11,MATCH($B149,Premissas!$A$39:$A$45,0))</f>
        <v>S</v>
      </c>
      <c r="AY149" s="22" t="str">
        <f>INDEX(Cronograma!AX$5:AX$11,MATCH($B149,Premissas!$A$39:$A$45,0))</f>
        <v/>
      </c>
      <c r="AZ149" s="22" t="str">
        <f>INDEX(Cronograma!AY$5:AY$11,MATCH($B149,Premissas!$A$39:$A$45,0))</f>
        <v/>
      </c>
      <c r="BA149" s="22" t="str">
        <f>INDEX(Cronograma!AZ$5:AZ$11,MATCH($B149,Premissas!$A$39:$A$45,0))</f>
        <v/>
      </c>
      <c r="BB149" s="22" t="str">
        <f>INDEX(Cronograma!BA$5:BA$11,MATCH($B149,Premissas!$A$39:$A$45,0))</f>
        <v/>
      </c>
    </row>
    <row r="150" spans="1:54" ht="15" customHeight="1" x14ac:dyDescent="0.4">
      <c r="A150" s="15" t="str">
        <f>Frota!$B150&amp;" — "&amp;Frota!$A150</f>
        <v>Toyota Hilux CD — 103103</v>
      </c>
      <c r="B150" s="16" t="str">
        <f>Frota!$C150</f>
        <v>Veículo Leve</v>
      </c>
      <c r="C150" s="22" t="str">
        <f>INDEX(Cronograma!B$5:B$11,MATCH($B150,Premissas!$A$39:$A$45,0))</f>
        <v/>
      </c>
      <c r="D150" s="22" t="str">
        <f>INDEX(Cronograma!C$5:C$11,MATCH($B150,Premissas!$A$39:$A$45,0))</f>
        <v/>
      </c>
      <c r="E150" s="22" t="str">
        <f>INDEX(Cronograma!D$5:D$11,MATCH($B150,Premissas!$A$39:$A$45,0))</f>
        <v/>
      </c>
      <c r="F150" s="22" t="str">
        <f>INDEX(Cronograma!E$5:E$11,MATCH($B150,Premissas!$A$39:$A$45,0))</f>
        <v/>
      </c>
      <c r="G150" s="22" t="str">
        <f>INDEX(Cronograma!F$5:F$11,MATCH($B150,Premissas!$A$39:$A$45,0))</f>
        <v/>
      </c>
      <c r="H150" s="22" t="str">
        <f>INDEX(Cronograma!G$5:G$11,MATCH($B150,Premissas!$A$39:$A$45,0))</f>
        <v/>
      </c>
      <c r="I150" s="22" t="str">
        <f>INDEX(Cronograma!H$5:H$11,MATCH($B150,Premissas!$A$39:$A$45,0))</f>
        <v/>
      </c>
      <c r="J150" s="22" t="str">
        <f>INDEX(Cronograma!I$5:I$11,MATCH($B150,Premissas!$A$39:$A$45,0))</f>
        <v/>
      </c>
      <c r="K150" s="22" t="str">
        <f>INDEX(Cronograma!J$5:J$11,MATCH($B150,Premissas!$A$39:$A$45,0))</f>
        <v/>
      </c>
      <c r="L150" s="22" t="str">
        <f>INDEX(Cronograma!K$5:K$11,MATCH($B150,Premissas!$A$39:$A$45,0))</f>
        <v/>
      </c>
      <c r="M150" s="22" t="str">
        <f>INDEX(Cronograma!L$5:L$11,MATCH($B150,Premissas!$A$39:$A$45,0))</f>
        <v/>
      </c>
      <c r="N150" s="22" t="str">
        <f>INDEX(Cronograma!M$5:M$11,MATCH($B150,Premissas!$A$39:$A$45,0))</f>
        <v/>
      </c>
      <c r="O150" s="22" t="str">
        <f>INDEX(Cronograma!N$5:N$11,MATCH($B150,Premissas!$A$39:$A$45,0))</f>
        <v/>
      </c>
      <c r="P150" s="22" t="str">
        <f>INDEX(Cronograma!O$5:O$11,MATCH($B150,Premissas!$A$39:$A$45,0))</f>
        <v/>
      </c>
      <c r="Q150" s="22" t="str">
        <f>INDEX(Cronograma!P$5:P$11,MATCH($B150,Premissas!$A$39:$A$45,0))</f>
        <v>S</v>
      </c>
      <c r="R150" s="22" t="str">
        <f>INDEX(Cronograma!Q$5:Q$11,MATCH($B150,Premissas!$A$39:$A$45,0))</f>
        <v/>
      </c>
      <c r="S150" s="22" t="str">
        <f>INDEX(Cronograma!R$5:R$11,MATCH($B150,Premissas!$A$39:$A$45,0))</f>
        <v/>
      </c>
      <c r="T150" s="22" t="str">
        <f>INDEX(Cronograma!S$5:S$11,MATCH($B150,Premissas!$A$39:$A$45,0))</f>
        <v/>
      </c>
      <c r="U150" s="22" t="str">
        <f>INDEX(Cronograma!T$5:T$11,MATCH($B150,Premissas!$A$39:$A$45,0))</f>
        <v/>
      </c>
      <c r="V150" s="22" t="str">
        <f>INDEX(Cronograma!U$5:U$11,MATCH($B150,Premissas!$A$39:$A$45,0))</f>
        <v/>
      </c>
      <c r="W150" s="22" t="str">
        <f>INDEX(Cronograma!V$5:V$11,MATCH($B150,Premissas!$A$39:$A$45,0))</f>
        <v/>
      </c>
      <c r="X150" s="22" t="str">
        <f>INDEX(Cronograma!W$5:W$11,MATCH($B150,Premissas!$A$39:$A$45,0))</f>
        <v/>
      </c>
      <c r="Y150" s="22" t="str">
        <f>INDEX(Cronograma!X$5:X$11,MATCH($B150,Premissas!$A$39:$A$45,0))</f>
        <v/>
      </c>
      <c r="Z150" s="22" t="str">
        <f>INDEX(Cronograma!Y$5:Y$11,MATCH($B150,Premissas!$A$39:$A$45,0))</f>
        <v/>
      </c>
      <c r="AA150" s="22" t="str">
        <f>INDEX(Cronograma!Z$5:Z$11,MATCH($B150,Premissas!$A$39:$A$45,0))</f>
        <v/>
      </c>
      <c r="AB150" s="22" t="str">
        <f>INDEX(Cronograma!AA$5:AA$11,MATCH($B150,Premissas!$A$39:$A$45,0))</f>
        <v/>
      </c>
      <c r="AC150" s="22" t="str">
        <f>INDEX(Cronograma!AB$5:AB$11,MATCH($B150,Premissas!$A$39:$A$45,0))</f>
        <v/>
      </c>
      <c r="AD150" s="22" t="str">
        <f>INDEX(Cronograma!AC$5:AC$11,MATCH($B150,Premissas!$A$39:$A$45,0))</f>
        <v/>
      </c>
      <c r="AE150" s="22" t="str">
        <f>INDEX(Cronograma!AD$5:AD$11,MATCH($B150,Premissas!$A$39:$A$45,0))</f>
        <v>A</v>
      </c>
      <c r="AF150" s="22" t="str">
        <f>INDEX(Cronograma!AE$5:AE$11,MATCH($B150,Premissas!$A$39:$A$45,0))</f>
        <v/>
      </c>
      <c r="AG150" s="22" t="str">
        <f>INDEX(Cronograma!AF$5:AF$11,MATCH($B150,Premissas!$A$39:$A$45,0))</f>
        <v/>
      </c>
      <c r="AH150" s="22" t="str">
        <f>INDEX(Cronograma!AG$5:AG$11,MATCH($B150,Premissas!$A$39:$A$45,0))</f>
        <v/>
      </c>
      <c r="AI150" s="22" t="str">
        <f>INDEX(Cronograma!AH$5:AH$11,MATCH($B150,Premissas!$A$39:$A$45,0))</f>
        <v/>
      </c>
      <c r="AJ150" s="22" t="str">
        <f>INDEX(Cronograma!AI$5:AI$11,MATCH($B150,Premissas!$A$39:$A$45,0))</f>
        <v/>
      </c>
      <c r="AK150" s="22" t="str">
        <f>INDEX(Cronograma!AJ$5:AJ$11,MATCH($B150,Premissas!$A$39:$A$45,0))</f>
        <v/>
      </c>
      <c r="AL150" s="22" t="str">
        <f>INDEX(Cronograma!AK$5:AK$11,MATCH($B150,Premissas!$A$39:$A$45,0))</f>
        <v/>
      </c>
      <c r="AM150" s="22" t="str">
        <f>INDEX(Cronograma!AL$5:AL$11,MATCH($B150,Premissas!$A$39:$A$45,0))</f>
        <v/>
      </c>
      <c r="AN150" s="22" t="str">
        <f>INDEX(Cronograma!AM$5:AM$11,MATCH($B150,Premissas!$A$39:$A$45,0))</f>
        <v/>
      </c>
      <c r="AO150" s="22" t="str">
        <f>INDEX(Cronograma!AN$5:AN$11,MATCH($B150,Premissas!$A$39:$A$45,0))</f>
        <v/>
      </c>
      <c r="AP150" s="22" t="str">
        <f>INDEX(Cronograma!AO$5:AO$11,MATCH($B150,Premissas!$A$39:$A$45,0))</f>
        <v/>
      </c>
      <c r="AQ150" s="22" t="str">
        <f>INDEX(Cronograma!AP$5:AP$11,MATCH($B150,Premissas!$A$39:$A$45,0))</f>
        <v/>
      </c>
      <c r="AR150" s="22" t="str">
        <f>INDEX(Cronograma!AQ$5:AQ$11,MATCH($B150,Premissas!$A$39:$A$45,0))</f>
        <v/>
      </c>
      <c r="AS150" s="22" t="str">
        <f>INDEX(Cronograma!AR$5:AR$11,MATCH($B150,Premissas!$A$39:$A$45,0))</f>
        <v/>
      </c>
      <c r="AT150" s="22" t="str">
        <f>INDEX(Cronograma!AS$5:AS$11,MATCH($B150,Premissas!$A$39:$A$45,0))</f>
        <v/>
      </c>
      <c r="AU150" s="22" t="str">
        <f>INDEX(Cronograma!AT$5:AT$11,MATCH($B150,Premissas!$A$39:$A$45,0))</f>
        <v/>
      </c>
      <c r="AV150" s="22" t="str">
        <f>INDEX(Cronograma!AU$5:AU$11,MATCH($B150,Premissas!$A$39:$A$45,0))</f>
        <v/>
      </c>
      <c r="AW150" s="22" t="str">
        <f>INDEX(Cronograma!AV$5:AV$11,MATCH($B150,Premissas!$A$39:$A$45,0))</f>
        <v/>
      </c>
      <c r="AX150" s="22" t="str">
        <f>INDEX(Cronograma!AW$5:AW$11,MATCH($B150,Premissas!$A$39:$A$45,0))</f>
        <v>S</v>
      </c>
      <c r="AY150" s="22" t="str">
        <f>INDEX(Cronograma!AX$5:AX$11,MATCH($B150,Premissas!$A$39:$A$45,0))</f>
        <v/>
      </c>
      <c r="AZ150" s="22" t="str">
        <f>INDEX(Cronograma!AY$5:AY$11,MATCH($B150,Premissas!$A$39:$A$45,0))</f>
        <v/>
      </c>
      <c r="BA150" s="22" t="str">
        <f>INDEX(Cronograma!AZ$5:AZ$11,MATCH($B150,Premissas!$A$39:$A$45,0))</f>
        <v/>
      </c>
      <c r="BB150" s="22" t="str">
        <f>INDEX(Cronograma!BA$5:BA$11,MATCH($B150,Premissas!$A$39:$A$45,0))</f>
        <v/>
      </c>
    </row>
    <row r="151" spans="1:54" ht="15" customHeight="1" x14ac:dyDescent="0.4">
      <c r="A151" s="15" t="str">
        <f>Frota!$B151&amp;" — "&amp;Frota!$A151</f>
        <v>Toyota Hilux CD — 103104</v>
      </c>
      <c r="B151" s="16" t="str">
        <f>Frota!$C151</f>
        <v>Veículo Leve</v>
      </c>
      <c r="C151" s="22" t="str">
        <f>INDEX(Cronograma!B$5:B$11,MATCH($B151,Premissas!$A$39:$A$45,0))</f>
        <v/>
      </c>
      <c r="D151" s="22" t="str">
        <f>INDEX(Cronograma!C$5:C$11,MATCH($B151,Premissas!$A$39:$A$45,0))</f>
        <v/>
      </c>
      <c r="E151" s="22" t="str">
        <f>INDEX(Cronograma!D$5:D$11,MATCH($B151,Premissas!$A$39:$A$45,0))</f>
        <v/>
      </c>
      <c r="F151" s="22" t="str">
        <f>INDEX(Cronograma!E$5:E$11,MATCH($B151,Premissas!$A$39:$A$45,0))</f>
        <v/>
      </c>
      <c r="G151" s="22" t="str">
        <f>INDEX(Cronograma!F$5:F$11,MATCH($B151,Premissas!$A$39:$A$45,0))</f>
        <v/>
      </c>
      <c r="H151" s="22" t="str">
        <f>INDEX(Cronograma!G$5:G$11,MATCH($B151,Premissas!$A$39:$A$45,0))</f>
        <v/>
      </c>
      <c r="I151" s="22" t="str">
        <f>INDEX(Cronograma!H$5:H$11,MATCH($B151,Premissas!$A$39:$A$45,0))</f>
        <v/>
      </c>
      <c r="J151" s="22" t="str">
        <f>INDEX(Cronograma!I$5:I$11,MATCH($B151,Premissas!$A$39:$A$45,0))</f>
        <v/>
      </c>
      <c r="K151" s="22" t="str">
        <f>INDEX(Cronograma!J$5:J$11,MATCH($B151,Premissas!$A$39:$A$45,0))</f>
        <v/>
      </c>
      <c r="L151" s="22" t="str">
        <f>INDEX(Cronograma!K$5:K$11,MATCH($B151,Premissas!$A$39:$A$45,0))</f>
        <v/>
      </c>
      <c r="M151" s="22" t="str">
        <f>INDEX(Cronograma!L$5:L$11,MATCH($B151,Premissas!$A$39:$A$45,0))</f>
        <v/>
      </c>
      <c r="N151" s="22" t="str">
        <f>INDEX(Cronograma!M$5:M$11,MATCH($B151,Premissas!$A$39:$A$45,0))</f>
        <v/>
      </c>
      <c r="O151" s="22" t="str">
        <f>INDEX(Cronograma!N$5:N$11,MATCH($B151,Premissas!$A$39:$A$45,0))</f>
        <v/>
      </c>
      <c r="P151" s="22" t="str">
        <f>INDEX(Cronograma!O$5:O$11,MATCH($B151,Premissas!$A$39:$A$45,0))</f>
        <v/>
      </c>
      <c r="Q151" s="22" t="str">
        <f>INDEX(Cronograma!P$5:P$11,MATCH($B151,Premissas!$A$39:$A$45,0))</f>
        <v>S</v>
      </c>
      <c r="R151" s="22" t="str">
        <f>INDEX(Cronograma!Q$5:Q$11,MATCH($B151,Premissas!$A$39:$A$45,0))</f>
        <v/>
      </c>
      <c r="S151" s="22" t="str">
        <f>INDEX(Cronograma!R$5:R$11,MATCH($B151,Premissas!$A$39:$A$45,0))</f>
        <v/>
      </c>
      <c r="T151" s="22" t="str">
        <f>INDEX(Cronograma!S$5:S$11,MATCH($B151,Premissas!$A$39:$A$45,0))</f>
        <v/>
      </c>
      <c r="U151" s="22" t="str">
        <f>INDEX(Cronograma!T$5:T$11,MATCH($B151,Premissas!$A$39:$A$45,0))</f>
        <v/>
      </c>
      <c r="V151" s="22" t="str">
        <f>INDEX(Cronograma!U$5:U$11,MATCH($B151,Premissas!$A$39:$A$45,0))</f>
        <v/>
      </c>
      <c r="W151" s="22" t="str">
        <f>INDEX(Cronograma!V$5:V$11,MATCH($B151,Premissas!$A$39:$A$45,0))</f>
        <v/>
      </c>
      <c r="X151" s="22" t="str">
        <f>INDEX(Cronograma!W$5:W$11,MATCH($B151,Premissas!$A$39:$A$45,0))</f>
        <v/>
      </c>
      <c r="Y151" s="22" t="str">
        <f>INDEX(Cronograma!X$5:X$11,MATCH($B151,Premissas!$A$39:$A$45,0))</f>
        <v/>
      </c>
      <c r="Z151" s="22" t="str">
        <f>INDEX(Cronograma!Y$5:Y$11,MATCH($B151,Premissas!$A$39:$A$45,0))</f>
        <v/>
      </c>
      <c r="AA151" s="22" t="str">
        <f>INDEX(Cronograma!Z$5:Z$11,MATCH($B151,Premissas!$A$39:$A$45,0))</f>
        <v/>
      </c>
      <c r="AB151" s="22" t="str">
        <f>INDEX(Cronograma!AA$5:AA$11,MATCH($B151,Premissas!$A$39:$A$45,0))</f>
        <v/>
      </c>
      <c r="AC151" s="22" t="str">
        <f>INDEX(Cronograma!AB$5:AB$11,MATCH($B151,Premissas!$A$39:$A$45,0))</f>
        <v/>
      </c>
      <c r="AD151" s="22" t="str">
        <f>INDEX(Cronograma!AC$5:AC$11,MATCH($B151,Premissas!$A$39:$A$45,0))</f>
        <v/>
      </c>
      <c r="AE151" s="22" t="str">
        <f>INDEX(Cronograma!AD$5:AD$11,MATCH($B151,Premissas!$A$39:$A$45,0))</f>
        <v>A</v>
      </c>
      <c r="AF151" s="22" t="str">
        <f>INDEX(Cronograma!AE$5:AE$11,MATCH($B151,Premissas!$A$39:$A$45,0))</f>
        <v/>
      </c>
      <c r="AG151" s="22" t="str">
        <f>INDEX(Cronograma!AF$5:AF$11,MATCH($B151,Premissas!$A$39:$A$45,0))</f>
        <v/>
      </c>
      <c r="AH151" s="22" t="str">
        <f>INDEX(Cronograma!AG$5:AG$11,MATCH($B151,Premissas!$A$39:$A$45,0))</f>
        <v/>
      </c>
      <c r="AI151" s="22" t="str">
        <f>INDEX(Cronograma!AH$5:AH$11,MATCH($B151,Premissas!$A$39:$A$45,0))</f>
        <v/>
      </c>
      <c r="AJ151" s="22" t="str">
        <f>INDEX(Cronograma!AI$5:AI$11,MATCH($B151,Premissas!$A$39:$A$45,0))</f>
        <v/>
      </c>
      <c r="AK151" s="22" t="str">
        <f>INDEX(Cronograma!AJ$5:AJ$11,MATCH($B151,Premissas!$A$39:$A$45,0))</f>
        <v/>
      </c>
      <c r="AL151" s="22" t="str">
        <f>INDEX(Cronograma!AK$5:AK$11,MATCH($B151,Premissas!$A$39:$A$45,0))</f>
        <v/>
      </c>
      <c r="AM151" s="22" t="str">
        <f>INDEX(Cronograma!AL$5:AL$11,MATCH($B151,Premissas!$A$39:$A$45,0))</f>
        <v/>
      </c>
      <c r="AN151" s="22" t="str">
        <f>INDEX(Cronograma!AM$5:AM$11,MATCH($B151,Premissas!$A$39:$A$45,0))</f>
        <v/>
      </c>
      <c r="AO151" s="22" t="str">
        <f>INDEX(Cronograma!AN$5:AN$11,MATCH($B151,Premissas!$A$39:$A$45,0))</f>
        <v/>
      </c>
      <c r="AP151" s="22" t="str">
        <f>INDEX(Cronograma!AO$5:AO$11,MATCH($B151,Premissas!$A$39:$A$45,0))</f>
        <v/>
      </c>
      <c r="AQ151" s="22" t="str">
        <f>INDEX(Cronograma!AP$5:AP$11,MATCH($B151,Premissas!$A$39:$A$45,0))</f>
        <v/>
      </c>
      <c r="AR151" s="22" t="str">
        <f>INDEX(Cronograma!AQ$5:AQ$11,MATCH($B151,Premissas!$A$39:$A$45,0))</f>
        <v/>
      </c>
      <c r="AS151" s="22" t="str">
        <f>INDEX(Cronograma!AR$5:AR$11,MATCH($B151,Premissas!$A$39:$A$45,0))</f>
        <v/>
      </c>
      <c r="AT151" s="22" t="str">
        <f>INDEX(Cronograma!AS$5:AS$11,MATCH($B151,Premissas!$A$39:$A$45,0))</f>
        <v/>
      </c>
      <c r="AU151" s="22" t="str">
        <f>INDEX(Cronograma!AT$5:AT$11,MATCH($B151,Premissas!$A$39:$A$45,0))</f>
        <v/>
      </c>
      <c r="AV151" s="22" t="str">
        <f>INDEX(Cronograma!AU$5:AU$11,MATCH($B151,Premissas!$A$39:$A$45,0))</f>
        <v/>
      </c>
      <c r="AW151" s="22" t="str">
        <f>INDEX(Cronograma!AV$5:AV$11,MATCH($B151,Premissas!$A$39:$A$45,0))</f>
        <v/>
      </c>
      <c r="AX151" s="22" t="str">
        <f>INDEX(Cronograma!AW$5:AW$11,MATCH($B151,Premissas!$A$39:$A$45,0))</f>
        <v>S</v>
      </c>
      <c r="AY151" s="22" t="str">
        <f>INDEX(Cronograma!AX$5:AX$11,MATCH($B151,Premissas!$A$39:$A$45,0))</f>
        <v/>
      </c>
      <c r="AZ151" s="22" t="str">
        <f>INDEX(Cronograma!AY$5:AY$11,MATCH($B151,Premissas!$A$39:$A$45,0))</f>
        <v/>
      </c>
      <c r="BA151" s="22" t="str">
        <f>INDEX(Cronograma!AZ$5:AZ$11,MATCH($B151,Premissas!$A$39:$A$45,0))</f>
        <v/>
      </c>
      <c r="BB151" s="22" t="str">
        <f>INDEX(Cronograma!BA$5:BA$11,MATCH($B151,Premissas!$A$39:$A$45,0))</f>
        <v/>
      </c>
    </row>
    <row r="152" spans="1:54" ht="15" customHeight="1" x14ac:dyDescent="0.4">
      <c r="A152" s="15" t="str">
        <f>Frota!$B152&amp;" — "&amp;Frota!$A152</f>
        <v>Toyota Hilux CS — 103105</v>
      </c>
      <c r="B152" s="16" t="str">
        <f>Frota!$C152</f>
        <v>Veículo Leve</v>
      </c>
      <c r="C152" s="22" t="str">
        <f>INDEX(Cronograma!B$5:B$11,MATCH($B152,Premissas!$A$39:$A$45,0))</f>
        <v/>
      </c>
      <c r="D152" s="22" t="str">
        <f>INDEX(Cronograma!C$5:C$11,MATCH($B152,Premissas!$A$39:$A$45,0))</f>
        <v/>
      </c>
      <c r="E152" s="22" t="str">
        <f>INDEX(Cronograma!D$5:D$11,MATCH($B152,Premissas!$A$39:$A$45,0))</f>
        <v/>
      </c>
      <c r="F152" s="22" t="str">
        <f>INDEX(Cronograma!E$5:E$11,MATCH($B152,Premissas!$A$39:$A$45,0))</f>
        <v/>
      </c>
      <c r="G152" s="22" t="str">
        <f>INDEX(Cronograma!F$5:F$11,MATCH($B152,Premissas!$A$39:$A$45,0))</f>
        <v/>
      </c>
      <c r="H152" s="22" t="str">
        <f>INDEX(Cronograma!G$5:G$11,MATCH($B152,Premissas!$A$39:$A$45,0))</f>
        <v/>
      </c>
      <c r="I152" s="22" t="str">
        <f>INDEX(Cronograma!H$5:H$11,MATCH($B152,Premissas!$A$39:$A$45,0))</f>
        <v/>
      </c>
      <c r="J152" s="22" t="str">
        <f>INDEX(Cronograma!I$5:I$11,MATCH($B152,Premissas!$A$39:$A$45,0))</f>
        <v/>
      </c>
      <c r="K152" s="22" t="str">
        <f>INDEX(Cronograma!J$5:J$11,MATCH($B152,Premissas!$A$39:$A$45,0))</f>
        <v/>
      </c>
      <c r="L152" s="22" t="str">
        <f>INDEX(Cronograma!K$5:K$11,MATCH($B152,Premissas!$A$39:$A$45,0))</f>
        <v/>
      </c>
      <c r="M152" s="22" t="str">
        <f>INDEX(Cronograma!L$5:L$11,MATCH($B152,Premissas!$A$39:$A$45,0))</f>
        <v/>
      </c>
      <c r="N152" s="22" t="str">
        <f>INDEX(Cronograma!M$5:M$11,MATCH($B152,Premissas!$A$39:$A$45,0))</f>
        <v/>
      </c>
      <c r="O152" s="22" t="str">
        <f>INDEX(Cronograma!N$5:N$11,MATCH($B152,Premissas!$A$39:$A$45,0))</f>
        <v/>
      </c>
      <c r="P152" s="22" t="str">
        <f>INDEX(Cronograma!O$5:O$11,MATCH($B152,Premissas!$A$39:$A$45,0))</f>
        <v/>
      </c>
      <c r="Q152" s="22" t="str">
        <f>INDEX(Cronograma!P$5:P$11,MATCH($B152,Premissas!$A$39:$A$45,0))</f>
        <v>S</v>
      </c>
      <c r="R152" s="22" t="str">
        <f>INDEX(Cronograma!Q$5:Q$11,MATCH($B152,Premissas!$A$39:$A$45,0))</f>
        <v/>
      </c>
      <c r="S152" s="22" t="str">
        <f>INDEX(Cronograma!R$5:R$11,MATCH($B152,Premissas!$A$39:$A$45,0))</f>
        <v/>
      </c>
      <c r="T152" s="22" t="str">
        <f>INDEX(Cronograma!S$5:S$11,MATCH($B152,Premissas!$A$39:$A$45,0))</f>
        <v/>
      </c>
      <c r="U152" s="22" t="str">
        <f>INDEX(Cronograma!T$5:T$11,MATCH($B152,Premissas!$A$39:$A$45,0))</f>
        <v/>
      </c>
      <c r="V152" s="22" t="str">
        <f>INDEX(Cronograma!U$5:U$11,MATCH($B152,Premissas!$A$39:$A$45,0))</f>
        <v/>
      </c>
      <c r="W152" s="22" t="str">
        <f>INDEX(Cronograma!V$5:V$11,MATCH($B152,Premissas!$A$39:$A$45,0))</f>
        <v/>
      </c>
      <c r="X152" s="22" t="str">
        <f>INDEX(Cronograma!W$5:W$11,MATCH($B152,Premissas!$A$39:$A$45,0))</f>
        <v/>
      </c>
      <c r="Y152" s="22" t="str">
        <f>INDEX(Cronograma!X$5:X$11,MATCH($B152,Premissas!$A$39:$A$45,0))</f>
        <v/>
      </c>
      <c r="Z152" s="22" t="str">
        <f>INDEX(Cronograma!Y$5:Y$11,MATCH($B152,Premissas!$A$39:$A$45,0))</f>
        <v/>
      </c>
      <c r="AA152" s="22" t="str">
        <f>INDEX(Cronograma!Z$5:Z$11,MATCH($B152,Premissas!$A$39:$A$45,0))</f>
        <v/>
      </c>
      <c r="AB152" s="22" t="str">
        <f>INDEX(Cronograma!AA$5:AA$11,MATCH($B152,Premissas!$A$39:$A$45,0))</f>
        <v/>
      </c>
      <c r="AC152" s="22" t="str">
        <f>INDEX(Cronograma!AB$5:AB$11,MATCH($B152,Premissas!$A$39:$A$45,0))</f>
        <v/>
      </c>
      <c r="AD152" s="22" t="str">
        <f>INDEX(Cronograma!AC$5:AC$11,MATCH($B152,Premissas!$A$39:$A$45,0))</f>
        <v/>
      </c>
      <c r="AE152" s="22" t="str">
        <f>INDEX(Cronograma!AD$5:AD$11,MATCH($B152,Premissas!$A$39:$A$45,0))</f>
        <v>A</v>
      </c>
      <c r="AF152" s="22" t="str">
        <f>INDEX(Cronograma!AE$5:AE$11,MATCH($B152,Premissas!$A$39:$A$45,0))</f>
        <v/>
      </c>
      <c r="AG152" s="22" t="str">
        <f>INDEX(Cronograma!AF$5:AF$11,MATCH($B152,Premissas!$A$39:$A$45,0))</f>
        <v/>
      </c>
      <c r="AH152" s="22" t="str">
        <f>INDEX(Cronograma!AG$5:AG$11,MATCH($B152,Premissas!$A$39:$A$45,0))</f>
        <v/>
      </c>
      <c r="AI152" s="22" t="str">
        <f>INDEX(Cronograma!AH$5:AH$11,MATCH($B152,Premissas!$A$39:$A$45,0))</f>
        <v/>
      </c>
      <c r="AJ152" s="22" t="str">
        <f>INDEX(Cronograma!AI$5:AI$11,MATCH($B152,Premissas!$A$39:$A$45,0))</f>
        <v/>
      </c>
      <c r="AK152" s="22" t="str">
        <f>INDEX(Cronograma!AJ$5:AJ$11,MATCH($B152,Premissas!$A$39:$A$45,0))</f>
        <v/>
      </c>
      <c r="AL152" s="22" t="str">
        <f>INDEX(Cronograma!AK$5:AK$11,MATCH($B152,Premissas!$A$39:$A$45,0))</f>
        <v/>
      </c>
      <c r="AM152" s="22" t="str">
        <f>INDEX(Cronograma!AL$5:AL$11,MATCH($B152,Premissas!$A$39:$A$45,0))</f>
        <v/>
      </c>
      <c r="AN152" s="22" t="str">
        <f>INDEX(Cronograma!AM$5:AM$11,MATCH($B152,Premissas!$A$39:$A$45,0))</f>
        <v/>
      </c>
      <c r="AO152" s="22" t="str">
        <f>INDEX(Cronograma!AN$5:AN$11,MATCH($B152,Premissas!$A$39:$A$45,0))</f>
        <v/>
      </c>
      <c r="AP152" s="22" t="str">
        <f>INDEX(Cronograma!AO$5:AO$11,MATCH($B152,Premissas!$A$39:$A$45,0))</f>
        <v/>
      </c>
      <c r="AQ152" s="22" t="str">
        <f>INDEX(Cronograma!AP$5:AP$11,MATCH($B152,Premissas!$A$39:$A$45,0))</f>
        <v/>
      </c>
      <c r="AR152" s="22" t="str">
        <f>INDEX(Cronograma!AQ$5:AQ$11,MATCH($B152,Premissas!$A$39:$A$45,0))</f>
        <v/>
      </c>
      <c r="AS152" s="22" t="str">
        <f>INDEX(Cronograma!AR$5:AR$11,MATCH($B152,Premissas!$A$39:$A$45,0))</f>
        <v/>
      </c>
      <c r="AT152" s="22" t="str">
        <f>INDEX(Cronograma!AS$5:AS$11,MATCH($B152,Premissas!$A$39:$A$45,0))</f>
        <v/>
      </c>
      <c r="AU152" s="22" t="str">
        <f>INDEX(Cronograma!AT$5:AT$11,MATCH($B152,Premissas!$A$39:$A$45,0))</f>
        <v/>
      </c>
      <c r="AV152" s="22" t="str">
        <f>INDEX(Cronograma!AU$5:AU$11,MATCH($B152,Premissas!$A$39:$A$45,0))</f>
        <v/>
      </c>
      <c r="AW152" s="22" t="str">
        <f>INDEX(Cronograma!AV$5:AV$11,MATCH($B152,Premissas!$A$39:$A$45,0))</f>
        <v/>
      </c>
      <c r="AX152" s="22" t="str">
        <f>INDEX(Cronograma!AW$5:AW$11,MATCH($B152,Premissas!$A$39:$A$45,0))</f>
        <v>S</v>
      </c>
      <c r="AY152" s="22" t="str">
        <f>INDEX(Cronograma!AX$5:AX$11,MATCH($B152,Premissas!$A$39:$A$45,0))</f>
        <v/>
      </c>
      <c r="AZ152" s="22" t="str">
        <f>INDEX(Cronograma!AY$5:AY$11,MATCH($B152,Premissas!$A$39:$A$45,0))</f>
        <v/>
      </c>
      <c r="BA152" s="22" t="str">
        <f>INDEX(Cronograma!AZ$5:AZ$11,MATCH($B152,Premissas!$A$39:$A$45,0))</f>
        <v/>
      </c>
      <c r="BB152" s="22" t="str">
        <f>INDEX(Cronograma!BA$5:BA$11,MATCH($B152,Premissas!$A$39:$A$45,0))</f>
        <v/>
      </c>
    </row>
    <row r="153" spans="1:54" ht="15" customHeight="1" x14ac:dyDescent="0.4">
      <c r="A153" s="15" t="str">
        <f>Frota!$B153&amp;" — "&amp;Frota!$A153</f>
        <v>Toyota Hilux CS — 103106</v>
      </c>
      <c r="B153" s="16" t="str">
        <f>Frota!$C153</f>
        <v>Veículo Leve</v>
      </c>
      <c r="C153" s="22" t="str">
        <f>INDEX(Cronograma!B$5:B$11,MATCH($B153,Premissas!$A$39:$A$45,0))</f>
        <v/>
      </c>
      <c r="D153" s="22" t="str">
        <f>INDEX(Cronograma!C$5:C$11,MATCH($B153,Premissas!$A$39:$A$45,0))</f>
        <v/>
      </c>
      <c r="E153" s="22" t="str">
        <f>INDEX(Cronograma!D$5:D$11,MATCH($B153,Premissas!$A$39:$A$45,0))</f>
        <v/>
      </c>
      <c r="F153" s="22" t="str">
        <f>INDEX(Cronograma!E$5:E$11,MATCH($B153,Premissas!$A$39:$A$45,0))</f>
        <v/>
      </c>
      <c r="G153" s="22" t="str">
        <f>INDEX(Cronograma!F$5:F$11,MATCH($B153,Premissas!$A$39:$A$45,0))</f>
        <v/>
      </c>
      <c r="H153" s="22" t="str">
        <f>INDEX(Cronograma!G$5:G$11,MATCH($B153,Premissas!$A$39:$A$45,0))</f>
        <v/>
      </c>
      <c r="I153" s="22" t="str">
        <f>INDEX(Cronograma!H$5:H$11,MATCH($B153,Premissas!$A$39:$A$45,0))</f>
        <v/>
      </c>
      <c r="J153" s="22" t="str">
        <f>INDEX(Cronograma!I$5:I$11,MATCH($B153,Premissas!$A$39:$A$45,0))</f>
        <v/>
      </c>
      <c r="K153" s="22" t="str">
        <f>INDEX(Cronograma!J$5:J$11,MATCH($B153,Premissas!$A$39:$A$45,0))</f>
        <v/>
      </c>
      <c r="L153" s="22" t="str">
        <f>INDEX(Cronograma!K$5:K$11,MATCH($B153,Premissas!$A$39:$A$45,0))</f>
        <v/>
      </c>
      <c r="M153" s="22" t="str">
        <f>INDEX(Cronograma!L$5:L$11,MATCH($B153,Premissas!$A$39:$A$45,0))</f>
        <v/>
      </c>
      <c r="N153" s="22" t="str">
        <f>INDEX(Cronograma!M$5:M$11,MATCH($B153,Premissas!$A$39:$A$45,0))</f>
        <v/>
      </c>
      <c r="O153" s="22" t="str">
        <f>INDEX(Cronograma!N$5:N$11,MATCH($B153,Premissas!$A$39:$A$45,0))</f>
        <v/>
      </c>
      <c r="P153" s="22" t="str">
        <f>INDEX(Cronograma!O$5:O$11,MATCH($B153,Premissas!$A$39:$A$45,0))</f>
        <v/>
      </c>
      <c r="Q153" s="22" t="str">
        <f>INDEX(Cronograma!P$5:P$11,MATCH($B153,Premissas!$A$39:$A$45,0))</f>
        <v>S</v>
      </c>
      <c r="R153" s="22" t="str">
        <f>INDEX(Cronograma!Q$5:Q$11,MATCH($B153,Premissas!$A$39:$A$45,0))</f>
        <v/>
      </c>
      <c r="S153" s="22" t="str">
        <f>INDEX(Cronograma!R$5:R$11,MATCH($B153,Premissas!$A$39:$A$45,0))</f>
        <v/>
      </c>
      <c r="T153" s="22" t="str">
        <f>INDEX(Cronograma!S$5:S$11,MATCH($B153,Premissas!$A$39:$A$45,0))</f>
        <v/>
      </c>
      <c r="U153" s="22" t="str">
        <f>INDEX(Cronograma!T$5:T$11,MATCH($B153,Premissas!$A$39:$A$45,0))</f>
        <v/>
      </c>
      <c r="V153" s="22" t="str">
        <f>INDEX(Cronograma!U$5:U$11,MATCH($B153,Premissas!$A$39:$A$45,0))</f>
        <v/>
      </c>
      <c r="W153" s="22" t="str">
        <f>INDEX(Cronograma!V$5:V$11,MATCH($B153,Premissas!$A$39:$A$45,0))</f>
        <v/>
      </c>
      <c r="X153" s="22" t="str">
        <f>INDEX(Cronograma!W$5:W$11,MATCH($B153,Premissas!$A$39:$A$45,0))</f>
        <v/>
      </c>
      <c r="Y153" s="22" t="str">
        <f>INDEX(Cronograma!X$5:X$11,MATCH($B153,Premissas!$A$39:$A$45,0))</f>
        <v/>
      </c>
      <c r="Z153" s="22" t="str">
        <f>INDEX(Cronograma!Y$5:Y$11,MATCH($B153,Premissas!$A$39:$A$45,0))</f>
        <v/>
      </c>
      <c r="AA153" s="22" t="str">
        <f>INDEX(Cronograma!Z$5:Z$11,MATCH($B153,Premissas!$A$39:$A$45,0))</f>
        <v/>
      </c>
      <c r="AB153" s="22" t="str">
        <f>INDEX(Cronograma!AA$5:AA$11,MATCH($B153,Premissas!$A$39:$A$45,0))</f>
        <v/>
      </c>
      <c r="AC153" s="22" t="str">
        <f>INDEX(Cronograma!AB$5:AB$11,MATCH($B153,Premissas!$A$39:$A$45,0))</f>
        <v/>
      </c>
      <c r="AD153" s="22" t="str">
        <f>INDEX(Cronograma!AC$5:AC$11,MATCH($B153,Premissas!$A$39:$A$45,0))</f>
        <v/>
      </c>
      <c r="AE153" s="22" t="str">
        <f>INDEX(Cronograma!AD$5:AD$11,MATCH($B153,Premissas!$A$39:$A$45,0))</f>
        <v>A</v>
      </c>
      <c r="AF153" s="22" t="str">
        <f>INDEX(Cronograma!AE$5:AE$11,MATCH($B153,Premissas!$A$39:$A$45,0))</f>
        <v/>
      </c>
      <c r="AG153" s="22" t="str">
        <f>INDEX(Cronograma!AF$5:AF$11,MATCH($B153,Premissas!$A$39:$A$45,0))</f>
        <v/>
      </c>
      <c r="AH153" s="22" t="str">
        <f>INDEX(Cronograma!AG$5:AG$11,MATCH($B153,Premissas!$A$39:$A$45,0))</f>
        <v/>
      </c>
      <c r="AI153" s="22" t="str">
        <f>INDEX(Cronograma!AH$5:AH$11,MATCH($B153,Premissas!$A$39:$A$45,0))</f>
        <v/>
      </c>
      <c r="AJ153" s="22" t="str">
        <f>INDEX(Cronograma!AI$5:AI$11,MATCH($B153,Premissas!$A$39:$A$45,0))</f>
        <v/>
      </c>
      <c r="AK153" s="22" t="str">
        <f>INDEX(Cronograma!AJ$5:AJ$11,MATCH($B153,Premissas!$A$39:$A$45,0))</f>
        <v/>
      </c>
      <c r="AL153" s="22" t="str">
        <f>INDEX(Cronograma!AK$5:AK$11,MATCH($B153,Premissas!$A$39:$A$45,0))</f>
        <v/>
      </c>
      <c r="AM153" s="22" t="str">
        <f>INDEX(Cronograma!AL$5:AL$11,MATCH($B153,Premissas!$A$39:$A$45,0))</f>
        <v/>
      </c>
      <c r="AN153" s="22" t="str">
        <f>INDEX(Cronograma!AM$5:AM$11,MATCH($B153,Premissas!$A$39:$A$45,0))</f>
        <v/>
      </c>
      <c r="AO153" s="22" t="str">
        <f>INDEX(Cronograma!AN$5:AN$11,MATCH($B153,Premissas!$A$39:$A$45,0))</f>
        <v/>
      </c>
      <c r="AP153" s="22" t="str">
        <f>INDEX(Cronograma!AO$5:AO$11,MATCH($B153,Premissas!$A$39:$A$45,0))</f>
        <v/>
      </c>
      <c r="AQ153" s="22" t="str">
        <f>INDEX(Cronograma!AP$5:AP$11,MATCH($B153,Premissas!$A$39:$A$45,0))</f>
        <v/>
      </c>
      <c r="AR153" s="22" t="str">
        <f>INDEX(Cronograma!AQ$5:AQ$11,MATCH($B153,Premissas!$A$39:$A$45,0))</f>
        <v/>
      </c>
      <c r="AS153" s="22" t="str">
        <f>INDEX(Cronograma!AR$5:AR$11,MATCH($B153,Premissas!$A$39:$A$45,0))</f>
        <v/>
      </c>
      <c r="AT153" s="22" t="str">
        <f>INDEX(Cronograma!AS$5:AS$11,MATCH($B153,Premissas!$A$39:$A$45,0))</f>
        <v/>
      </c>
      <c r="AU153" s="22" t="str">
        <f>INDEX(Cronograma!AT$5:AT$11,MATCH($B153,Premissas!$A$39:$A$45,0))</f>
        <v/>
      </c>
      <c r="AV153" s="22" t="str">
        <f>INDEX(Cronograma!AU$5:AU$11,MATCH($B153,Premissas!$A$39:$A$45,0))</f>
        <v/>
      </c>
      <c r="AW153" s="22" t="str">
        <f>INDEX(Cronograma!AV$5:AV$11,MATCH($B153,Premissas!$A$39:$A$45,0))</f>
        <v/>
      </c>
      <c r="AX153" s="22" t="str">
        <f>INDEX(Cronograma!AW$5:AW$11,MATCH($B153,Premissas!$A$39:$A$45,0))</f>
        <v>S</v>
      </c>
      <c r="AY153" s="22" t="str">
        <f>INDEX(Cronograma!AX$5:AX$11,MATCH($B153,Premissas!$A$39:$A$45,0))</f>
        <v/>
      </c>
      <c r="AZ153" s="22" t="str">
        <f>INDEX(Cronograma!AY$5:AY$11,MATCH($B153,Premissas!$A$39:$A$45,0))</f>
        <v/>
      </c>
      <c r="BA153" s="22" t="str">
        <f>INDEX(Cronograma!AZ$5:AZ$11,MATCH($B153,Premissas!$A$39:$A$45,0))</f>
        <v/>
      </c>
      <c r="BB153" s="22" t="str">
        <f>INDEX(Cronograma!BA$5:BA$11,MATCH($B153,Premissas!$A$39:$A$45,0))</f>
        <v/>
      </c>
    </row>
    <row r="154" spans="1:54" ht="15" customHeight="1" x14ac:dyDescent="0.4">
      <c r="A154" s="15" t="str">
        <f>Frota!$B154&amp;" — "&amp;Frota!$A154</f>
        <v>Toyota Hilux CS — 103107</v>
      </c>
      <c r="B154" s="16" t="str">
        <f>Frota!$C154</f>
        <v>Veículo Leve</v>
      </c>
      <c r="C154" s="22" t="str">
        <f>INDEX(Cronograma!B$5:B$11,MATCH($B154,Premissas!$A$39:$A$45,0))</f>
        <v/>
      </c>
      <c r="D154" s="22" t="str">
        <f>INDEX(Cronograma!C$5:C$11,MATCH($B154,Premissas!$A$39:$A$45,0))</f>
        <v/>
      </c>
      <c r="E154" s="22" t="str">
        <f>INDEX(Cronograma!D$5:D$11,MATCH($B154,Premissas!$A$39:$A$45,0))</f>
        <v/>
      </c>
      <c r="F154" s="22" t="str">
        <f>INDEX(Cronograma!E$5:E$11,MATCH($B154,Premissas!$A$39:$A$45,0))</f>
        <v/>
      </c>
      <c r="G154" s="22" t="str">
        <f>INDEX(Cronograma!F$5:F$11,MATCH($B154,Premissas!$A$39:$A$45,0))</f>
        <v/>
      </c>
      <c r="H154" s="22" t="str">
        <f>INDEX(Cronograma!G$5:G$11,MATCH($B154,Premissas!$A$39:$A$45,0))</f>
        <v/>
      </c>
      <c r="I154" s="22" t="str">
        <f>INDEX(Cronograma!H$5:H$11,MATCH($B154,Premissas!$A$39:$A$45,0))</f>
        <v/>
      </c>
      <c r="J154" s="22" t="str">
        <f>INDEX(Cronograma!I$5:I$11,MATCH($B154,Premissas!$A$39:$A$45,0))</f>
        <v/>
      </c>
      <c r="K154" s="22" t="str">
        <f>INDEX(Cronograma!J$5:J$11,MATCH($B154,Premissas!$A$39:$A$45,0))</f>
        <v/>
      </c>
      <c r="L154" s="22" t="str">
        <f>INDEX(Cronograma!K$5:K$11,MATCH($B154,Premissas!$A$39:$A$45,0))</f>
        <v/>
      </c>
      <c r="M154" s="22" t="str">
        <f>INDEX(Cronograma!L$5:L$11,MATCH($B154,Premissas!$A$39:$A$45,0))</f>
        <v/>
      </c>
      <c r="N154" s="22" t="str">
        <f>INDEX(Cronograma!M$5:M$11,MATCH($B154,Premissas!$A$39:$A$45,0))</f>
        <v/>
      </c>
      <c r="O154" s="22" t="str">
        <f>INDEX(Cronograma!N$5:N$11,MATCH($B154,Premissas!$A$39:$A$45,0))</f>
        <v/>
      </c>
      <c r="P154" s="22" t="str">
        <f>INDEX(Cronograma!O$5:O$11,MATCH($B154,Premissas!$A$39:$A$45,0))</f>
        <v/>
      </c>
      <c r="Q154" s="22" t="str">
        <f>INDEX(Cronograma!P$5:P$11,MATCH($B154,Premissas!$A$39:$A$45,0))</f>
        <v>S</v>
      </c>
      <c r="R154" s="22" t="str">
        <f>INDEX(Cronograma!Q$5:Q$11,MATCH($B154,Premissas!$A$39:$A$45,0))</f>
        <v/>
      </c>
      <c r="S154" s="22" t="str">
        <f>INDEX(Cronograma!R$5:R$11,MATCH($B154,Premissas!$A$39:$A$45,0))</f>
        <v/>
      </c>
      <c r="T154" s="22" t="str">
        <f>INDEX(Cronograma!S$5:S$11,MATCH($B154,Premissas!$A$39:$A$45,0))</f>
        <v/>
      </c>
      <c r="U154" s="22" t="str">
        <f>INDEX(Cronograma!T$5:T$11,MATCH($B154,Premissas!$A$39:$A$45,0))</f>
        <v/>
      </c>
      <c r="V154" s="22" t="str">
        <f>INDEX(Cronograma!U$5:U$11,MATCH($B154,Premissas!$A$39:$A$45,0))</f>
        <v/>
      </c>
      <c r="W154" s="22" t="str">
        <f>INDEX(Cronograma!V$5:V$11,MATCH($B154,Premissas!$A$39:$A$45,0))</f>
        <v/>
      </c>
      <c r="X154" s="22" t="str">
        <f>INDEX(Cronograma!W$5:W$11,MATCH($B154,Premissas!$A$39:$A$45,0))</f>
        <v/>
      </c>
      <c r="Y154" s="22" t="str">
        <f>INDEX(Cronograma!X$5:X$11,MATCH($B154,Premissas!$A$39:$A$45,0))</f>
        <v/>
      </c>
      <c r="Z154" s="22" t="str">
        <f>INDEX(Cronograma!Y$5:Y$11,MATCH($B154,Premissas!$A$39:$A$45,0))</f>
        <v/>
      </c>
      <c r="AA154" s="22" t="str">
        <f>INDEX(Cronograma!Z$5:Z$11,MATCH($B154,Premissas!$A$39:$A$45,0))</f>
        <v/>
      </c>
      <c r="AB154" s="22" t="str">
        <f>INDEX(Cronograma!AA$5:AA$11,MATCH($B154,Premissas!$A$39:$A$45,0))</f>
        <v/>
      </c>
      <c r="AC154" s="22" t="str">
        <f>INDEX(Cronograma!AB$5:AB$11,MATCH($B154,Premissas!$A$39:$A$45,0))</f>
        <v/>
      </c>
      <c r="AD154" s="22" t="str">
        <f>INDEX(Cronograma!AC$5:AC$11,MATCH($B154,Premissas!$A$39:$A$45,0))</f>
        <v/>
      </c>
      <c r="AE154" s="22" t="str">
        <f>INDEX(Cronograma!AD$5:AD$11,MATCH($B154,Premissas!$A$39:$A$45,0))</f>
        <v>A</v>
      </c>
      <c r="AF154" s="22" t="str">
        <f>INDEX(Cronograma!AE$5:AE$11,MATCH($B154,Premissas!$A$39:$A$45,0))</f>
        <v/>
      </c>
      <c r="AG154" s="22" t="str">
        <f>INDEX(Cronograma!AF$5:AF$11,MATCH($B154,Premissas!$A$39:$A$45,0))</f>
        <v/>
      </c>
      <c r="AH154" s="22" t="str">
        <f>INDEX(Cronograma!AG$5:AG$11,MATCH($B154,Premissas!$A$39:$A$45,0))</f>
        <v/>
      </c>
      <c r="AI154" s="22" t="str">
        <f>INDEX(Cronograma!AH$5:AH$11,MATCH($B154,Premissas!$A$39:$A$45,0))</f>
        <v/>
      </c>
      <c r="AJ154" s="22" t="str">
        <f>INDEX(Cronograma!AI$5:AI$11,MATCH($B154,Premissas!$A$39:$A$45,0))</f>
        <v/>
      </c>
      <c r="AK154" s="22" t="str">
        <f>INDEX(Cronograma!AJ$5:AJ$11,MATCH($B154,Premissas!$A$39:$A$45,0))</f>
        <v/>
      </c>
      <c r="AL154" s="22" t="str">
        <f>INDEX(Cronograma!AK$5:AK$11,MATCH($B154,Premissas!$A$39:$A$45,0))</f>
        <v/>
      </c>
      <c r="AM154" s="22" t="str">
        <f>INDEX(Cronograma!AL$5:AL$11,MATCH($B154,Premissas!$A$39:$A$45,0))</f>
        <v/>
      </c>
      <c r="AN154" s="22" t="str">
        <f>INDEX(Cronograma!AM$5:AM$11,MATCH($B154,Premissas!$A$39:$A$45,0))</f>
        <v/>
      </c>
      <c r="AO154" s="22" t="str">
        <f>INDEX(Cronograma!AN$5:AN$11,MATCH($B154,Premissas!$A$39:$A$45,0))</f>
        <v/>
      </c>
      <c r="AP154" s="22" t="str">
        <f>INDEX(Cronograma!AO$5:AO$11,MATCH($B154,Premissas!$A$39:$A$45,0))</f>
        <v/>
      </c>
      <c r="AQ154" s="22" t="str">
        <f>INDEX(Cronograma!AP$5:AP$11,MATCH($B154,Premissas!$A$39:$A$45,0))</f>
        <v/>
      </c>
      <c r="AR154" s="22" t="str">
        <f>INDEX(Cronograma!AQ$5:AQ$11,MATCH($B154,Premissas!$A$39:$A$45,0))</f>
        <v/>
      </c>
      <c r="AS154" s="22" t="str">
        <f>INDEX(Cronograma!AR$5:AR$11,MATCH($B154,Premissas!$A$39:$A$45,0))</f>
        <v/>
      </c>
      <c r="AT154" s="22" t="str">
        <f>INDEX(Cronograma!AS$5:AS$11,MATCH($B154,Premissas!$A$39:$A$45,0))</f>
        <v/>
      </c>
      <c r="AU154" s="22" t="str">
        <f>INDEX(Cronograma!AT$5:AT$11,MATCH($B154,Premissas!$A$39:$A$45,0))</f>
        <v/>
      </c>
      <c r="AV154" s="22" t="str">
        <f>INDEX(Cronograma!AU$5:AU$11,MATCH($B154,Premissas!$A$39:$A$45,0))</f>
        <v/>
      </c>
      <c r="AW154" s="22" t="str">
        <f>INDEX(Cronograma!AV$5:AV$11,MATCH($B154,Premissas!$A$39:$A$45,0))</f>
        <v/>
      </c>
      <c r="AX154" s="22" t="str">
        <f>INDEX(Cronograma!AW$5:AW$11,MATCH($B154,Premissas!$A$39:$A$45,0))</f>
        <v>S</v>
      </c>
      <c r="AY154" s="22" t="str">
        <f>INDEX(Cronograma!AX$5:AX$11,MATCH($B154,Premissas!$A$39:$A$45,0))</f>
        <v/>
      </c>
      <c r="AZ154" s="22" t="str">
        <f>INDEX(Cronograma!AY$5:AY$11,MATCH($B154,Premissas!$A$39:$A$45,0))</f>
        <v/>
      </c>
      <c r="BA154" s="22" t="str">
        <f>INDEX(Cronograma!AZ$5:AZ$11,MATCH($B154,Premissas!$A$39:$A$45,0))</f>
        <v/>
      </c>
      <c r="BB154" s="22" t="str">
        <f>INDEX(Cronograma!BA$5:BA$11,MATCH($B154,Premissas!$A$39:$A$45,0))</f>
        <v/>
      </c>
    </row>
    <row r="155" spans="1:54" ht="15" customHeight="1" x14ac:dyDescent="0.4">
      <c r="A155" s="15" t="str">
        <f>Frota!$B155&amp;" — "&amp;Frota!$A155</f>
        <v>Toyota Hilux CS — 103108</v>
      </c>
      <c r="B155" s="16" t="str">
        <f>Frota!$C155</f>
        <v>Veículo Leve</v>
      </c>
      <c r="C155" s="22" t="str">
        <f>INDEX(Cronograma!B$5:B$11,MATCH($B155,Premissas!$A$39:$A$45,0))</f>
        <v/>
      </c>
      <c r="D155" s="22" t="str">
        <f>INDEX(Cronograma!C$5:C$11,MATCH($B155,Premissas!$A$39:$A$45,0))</f>
        <v/>
      </c>
      <c r="E155" s="22" t="str">
        <f>INDEX(Cronograma!D$5:D$11,MATCH($B155,Premissas!$A$39:$A$45,0))</f>
        <v/>
      </c>
      <c r="F155" s="22" t="str">
        <f>INDEX(Cronograma!E$5:E$11,MATCH($B155,Premissas!$A$39:$A$45,0))</f>
        <v/>
      </c>
      <c r="G155" s="22" t="str">
        <f>INDEX(Cronograma!F$5:F$11,MATCH($B155,Premissas!$A$39:$A$45,0))</f>
        <v/>
      </c>
      <c r="H155" s="22" t="str">
        <f>INDEX(Cronograma!G$5:G$11,MATCH($B155,Premissas!$A$39:$A$45,0))</f>
        <v/>
      </c>
      <c r="I155" s="22" t="str">
        <f>INDEX(Cronograma!H$5:H$11,MATCH($B155,Premissas!$A$39:$A$45,0))</f>
        <v/>
      </c>
      <c r="J155" s="22" t="str">
        <f>INDEX(Cronograma!I$5:I$11,MATCH($B155,Premissas!$A$39:$A$45,0))</f>
        <v/>
      </c>
      <c r="K155" s="22" t="str">
        <f>INDEX(Cronograma!J$5:J$11,MATCH($B155,Premissas!$A$39:$A$45,0))</f>
        <v/>
      </c>
      <c r="L155" s="22" t="str">
        <f>INDEX(Cronograma!K$5:K$11,MATCH($B155,Premissas!$A$39:$A$45,0))</f>
        <v/>
      </c>
      <c r="M155" s="22" t="str">
        <f>INDEX(Cronograma!L$5:L$11,MATCH($B155,Premissas!$A$39:$A$45,0))</f>
        <v/>
      </c>
      <c r="N155" s="22" t="str">
        <f>INDEX(Cronograma!M$5:M$11,MATCH($B155,Premissas!$A$39:$A$45,0))</f>
        <v/>
      </c>
      <c r="O155" s="22" t="str">
        <f>INDEX(Cronograma!N$5:N$11,MATCH($B155,Premissas!$A$39:$A$45,0))</f>
        <v/>
      </c>
      <c r="P155" s="22" t="str">
        <f>INDEX(Cronograma!O$5:O$11,MATCH($B155,Premissas!$A$39:$A$45,0))</f>
        <v/>
      </c>
      <c r="Q155" s="22" t="str">
        <f>INDEX(Cronograma!P$5:P$11,MATCH($B155,Premissas!$A$39:$A$45,0))</f>
        <v>S</v>
      </c>
      <c r="R155" s="22" t="str">
        <f>INDEX(Cronograma!Q$5:Q$11,MATCH($B155,Premissas!$A$39:$A$45,0))</f>
        <v/>
      </c>
      <c r="S155" s="22" t="str">
        <f>INDEX(Cronograma!R$5:R$11,MATCH($B155,Premissas!$A$39:$A$45,0))</f>
        <v/>
      </c>
      <c r="T155" s="22" t="str">
        <f>INDEX(Cronograma!S$5:S$11,MATCH($B155,Premissas!$A$39:$A$45,0))</f>
        <v/>
      </c>
      <c r="U155" s="22" t="str">
        <f>INDEX(Cronograma!T$5:T$11,MATCH($B155,Premissas!$A$39:$A$45,0))</f>
        <v/>
      </c>
      <c r="V155" s="22" t="str">
        <f>INDEX(Cronograma!U$5:U$11,MATCH($B155,Premissas!$A$39:$A$45,0))</f>
        <v/>
      </c>
      <c r="W155" s="22" t="str">
        <f>INDEX(Cronograma!V$5:V$11,MATCH($B155,Premissas!$A$39:$A$45,0))</f>
        <v/>
      </c>
      <c r="X155" s="22" t="str">
        <f>INDEX(Cronograma!W$5:W$11,MATCH($B155,Premissas!$A$39:$A$45,0))</f>
        <v/>
      </c>
      <c r="Y155" s="22" t="str">
        <f>INDEX(Cronograma!X$5:X$11,MATCH($B155,Premissas!$A$39:$A$45,0))</f>
        <v/>
      </c>
      <c r="Z155" s="22" t="str">
        <f>INDEX(Cronograma!Y$5:Y$11,MATCH($B155,Premissas!$A$39:$A$45,0))</f>
        <v/>
      </c>
      <c r="AA155" s="22" t="str">
        <f>INDEX(Cronograma!Z$5:Z$11,MATCH($B155,Premissas!$A$39:$A$45,0))</f>
        <v/>
      </c>
      <c r="AB155" s="22" t="str">
        <f>INDEX(Cronograma!AA$5:AA$11,MATCH($B155,Premissas!$A$39:$A$45,0))</f>
        <v/>
      </c>
      <c r="AC155" s="22" t="str">
        <f>INDEX(Cronograma!AB$5:AB$11,MATCH($B155,Premissas!$A$39:$A$45,0))</f>
        <v/>
      </c>
      <c r="AD155" s="22" t="str">
        <f>INDEX(Cronograma!AC$5:AC$11,MATCH($B155,Premissas!$A$39:$A$45,0))</f>
        <v/>
      </c>
      <c r="AE155" s="22" t="str">
        <f>INDEX(Cronograma!AD$5:AD$11,MATCH($B155,Premissas!$A$39:$A$45,0))</f>
        <v>A</v>
      </c>
      <c r="AF155" s="22" t="str">
        <f>INDEX(Cronograma!AE$5:AE$11,MATCH($B155,Premissas!$A$39:$A$45,0))</f>
        <v/>
      </c>
      <c r="AG155" s="22" t="str">
        <f>INDEX(Cronograma!AF$5:AF$11,MATCH($B155,Premissas!$A$39:$A$45,0))</f>
        <v/>
      </c>
      <c r="AH155" s="22" t="str">
        <f>INDEX(Cronograma!AG$5:AG$11,MATCH($B155,Premissas!$A$39:$A$45,0))</f>
        <v/>
      </c>
      <c r="AI155" s="22" t="str">
        <f>INDEX(Cronograma!AH$5:AH$11,MATCH($B155,Premissas!$A$39:$A$45,0))</f>
        <v/>
      </c>
      <c r="AJ155" s="22" t="str">
        <f>INDEX(Cronograma!AI$5:AI$11,MATCH($B155,Premissas!$A$39:$A$45,0))</f>
        <v/>
      </c>
      <c r="AK155" s="22" t="str">
        <f>INDEX(Cronograma!AJ$5:AJ$11,MATCH($B155,Premissas!$A$39:$A$45,0))</f>
        <v/>
      </c>
      <c r="AL155" s="22" t="str">
        <f>INDEX(Cronograma!AK$5:AK$11,MATCH($B155,Premissas!$A$39:$A$45,0))</f>
        <v/>
      </c>
      <c r="AM155" s="22" t="str">
        <f>INDEX(Cronograma!AL$5:AL$11,MATCH($B155,Premissas!$A$39:$A$45,0))</f>
        <v/>
      </c>
      <c r="AN155" s="22" t="str">
        <f>INDEX(Cronograma!AM$5:AM$11,MATCH($B155,Premissas!$A$39:$A$45,0))</f>
        <v/>
      </c>
      <c r="AO155" s="22" t="str">
        <f>INDEX(Cronograma!AN$5:AN$11,MATCH($B155,Premissas!$A$39:$A$45,0))</f>
        <v/>
      </c>
      <c r="AP155" s="22" t="str">
        <f>INDEX(Cronograma!AO$5:AO$11,MATCH($B155,Premissas!$A$39:$A$45,0))</f>
        <v/>
      </c>
      <c r="AQ155" s="22" t="str">
        <f>INDEX(Cronograma!AP$5:AP$11,MATCH($B155,Premissas!$A$39:$A$45,0))</f>
        <v/>
      </c>
      <c r="AR155" s="22" t="str">
        <f>INDEX(Cronograma!AQ$5:AQ$11,MATCH($B155,Premissas!$A$39:$A$45,0))</f>
        <v/>
      </c>
      <c r="AS155" s="22" t="str">
        <f>INDEX(Cronograma!AR$5:AR$11,MATCH($B155,Premissas!$A$39:$A$45,0))</f>
        <v/>
      </c>
      <c r="AT155" s="22" t="str">
        <f>INDEX(Cronograma!AS$5:AS$11,MATCH($B155,Premissas!$A$39:$A$45,0))</f>
        <v/>
      </c>
      <c r="AU155" s="22" t="str">
        <f>INDEX(Cronograma!AT$5:AT$11,MATCH($B155,Premissas!$A$39:$A$45,0))</f>
        <v/>
      </c>
      <c r="AV155" s="22" t="str">
        <f>INDEX(Cronograma!AU$5:AU$11,MATCH($B155,Premissas!$A$39:$A$45,0))</f>
        <v/>
      </c>
      <c r="AW155" s="22" t="str">
        <f>INDEX(Cronograma!AV$5:AV$11,MATCH($B155,Premissas!$A$39:$A$45,0))</f>
        <v/>
      </c>
      <c r="AX155" s="22" t="str">
        <f>INDEX(Cronograma!AW$5:AW$11,MATCH($B155,Premissas!$A$39:$A$45,0))</f>
        <v>S</v>
      </c>
      <c r="AY155" s="22" t="str">
        <f>INDEX(Cronograma!AX$5:AX$11,MATCH($B155,Premissas!$A$39:$A$45,0))</f>
        <v/>
      </c>
      <c r="AZ155" s="22" t="str">
        <f>INDEX(Cronograma!AY$5:AY$11,MATCH($B155,Premissas!$A$39:$A$45,0))</f>
        <v/>
      </c>
      <c r="BA155" s="22" t="str">
        <f>INDEX(Cronograma!AZ$5:AZ$11,MATCH($B155,Premissas!$A$39:$A$45,0))</f>
        <v/>
      </c>
      <c r="BB155" s="22" t="str">
        <f>INDEX(Cronograma!BA$5:BA$11,MATCH($B155,Premissas!$A$39:$A$45,0))</f>
        <v/>
      </c>
    </row>
    <row r="156" spans="1:54" ht="15" customHeight="1" x14ac:dyDescent="0.4">
      <c r="A156" s="15" t="str">
        <f>Frota!$B156&amp;" — "&amp;Frota!$A156</f>
        <v>Toyota Hilux CS — 103109</v>
      </c>
      <c r="B156" s="16" t="str">
        <f>Frota!$C156</f>
        <v>Veículo Leve</v>
      </c>
      <c r="C156" s="22" t="str">
        <f>INDEX(Cronograma!B$5:B$11,MATCH($B156,Premissas!$A$39:$A$45,0))</f>
        <v/>
      </c>
      <c r="D156" s="22" t="str">
        <f>INDEX(Cronograma!C$5:C$11,MATCH($B156,Premissas!$A$39:$A$45,0))</f>
        <v/>
      </c>
      <c r="E156" s="22" t="str">
        <f>INDEX(Cronograma!D$5:D$11,MATCH($B156,Premissas!$A$39:$A$45,0))</f>
        <v/>
      </c>
      <c r="F156" s="22" t="str">
        <f>INDEX(Cronograma!E$5:E$11,MATCH($B156,Premissas!$A$39:$A$45,0))</f>
        <v/>
      </c>
      <c r="G156" s="22" t="str">
        <f>INDEX(Cronograma!F$5:F$11,MATCH($B156,Premissas!$A$39:$A$45,0))</f>
        <v/>
      </c>
      <c r="H156" s="22" t="str">
        <f>INDEX(Cronograma!G$5:G$11,MATCH($B156,Premissas!$A$39:$A$45,0))</f>
        <v/>
      </c>
      <c r="I156" s="22" t="str">
        <f>INDEX(Cronograma!H$5:H$11,MATCH($B156,Premissas!$A$39:$A$45,0))</f>
        <v/>
      </c>
      <c r="J156" s="22" t="str">
        <f>INDEX(Cronograma!I$5:I$11,MATCH($B156,Premissas!$A$39:$A$45,0))</f>
        <v/>
      </c>
      <c r="K156" s="22" t="str">
        <f>INDEX(Cronograma!J$5:J$11,MATCH($B156,Premissas!$A$39:$A$45,0))</f>
        <v/>
      </c>
      <c r="L156" s="22" t="str">
        <f>INDEX(Cronograma!K$5:K$11,MATCH($B156,Premissas!$A$39:$A$45,0))</f>
        <v/>
      </c>
      <c r="M156" s="22" t="str">
        <f>INDEX(Cronograma!L$5:L$11,MATCH($B156,Premissas!$A$39:$A$45,0))</f>
        <v/>
      </c>
      <c r="N156" s="22" t="str">
        <f>INDEX(Cronograma!M$5:M$11,MATCH($B156,Premissas!$A$39:$A$45,0))</f>
        <v/>
      </c>
      <c r="O156" s="22" t="str">
        <f>INDEX(Cronograma!N$5:N$11,MATCH($B156,Premissas!$A$39:$A$45,0))</f>
        <v/>
      </c>
      <c r="P156" s="22" t="str">
        <f>INDEX(Cronograma!O$5:O$11,MATCH($B156,Premissas!$A$39:$A$45,0))</f>
        <v/>
      </c>
      <c r="Q156" s="22" t="str">
        <f>INDEX(Cronograma!P$5:P$11,MATCH($B156,Premissas!$A$39:$A$45,0))</f>
        <v>S</v>
      </c>
      <c r="R156" s="22" t="str">
        <f>INDEX(Cronograma!Q$5:Q$11,MATCH($B156,Premissas!$A$39:$A$45,0))</f>
        <v/>
      </c>
      <c r="S156" s="22" t="str">
        <f>INDEX(Cronograma!R$5:R$11,MATCH($B156,Premissas!$A$39:$A$45,0))</f>
        <v/>
      </c>
      <c r="T156" s="22" t="str">
        <f>INDEX(Cronograma!S$5:S$11,MATCH($B156,Premissas!$A$39:$A$45,0))</f>
        <v/>
      </c>
      <c r="U156" s="22" t="str">
        <f>INDEX(Cronograma!T$5:T$11,MATCH($B156,Premissas!$A$39:$A$45,0))</f>
        <v/>
      </c>
      <c r="V156" s="22" t="str">
        <f>INDEX(Cronograma!U$5:U$11,MATCH($B156,Premissas!$A$39:$A$45,0))</f>
        <v/>
      </c>
      <c r="W156" s="22" t="str">
        <f>INDEX(Cronograma!V$5:V$11,MATCH($B156,Premissas!$A$39:$A$45,0))</f>
        <v/>
      </c>
      <c r="X156" s="22" t="str">
        <f>INDEX(Cronograma!W$5:W$11,MATCH($B156,Premissas!$A$39:$A$45,0))</f>
        <v/>
      </c>
      <c r="Y156" s="22" t="str">
        <f>INDEX(Cronograma!X$5:X$11,MATCH($B156,Premissas!$A$39:$A$45,0))</f>
        <v/>
      </c>
      <c r="Z156" s="22" t="str">
        <f>INDEX(Cronograma!Y$5:Y$11,MATCH($B156,Premissas!$A$39:$A$45,0))</f>
        <v/>
      </c>
      <c r="AA156" s="22" t="str">
        <f>INDEX(Cronograma!Z$5:Z$11,MATCH($B156,Premissas!$A$39:$A$45,0))</f>
        <v/>
      </c>
      <c r="AB156" s="22" t="str">
        <f>INDEX(Cronograma!AA$5:AA$11,MATCH($B156,Premissas!$A$39:$A$45,0))</f>
        <v/>
      </c>
      <c r="AC156" s="22" t="str">
        <f>INDEX(Cronograma!AB$5:AB$11,MATCH($B156,Premissas!$A$39:$A$45,0))</f>
        <v/>
      </c>
      <c r="AD156" s="22" t="str">
        <f>INDEX(Cronograma!AC$5:AC$11,MATCH($B156,Premissas!$A$39:$A$45,0))</f>
        <v/>
      </c>
      <c r="AE156" s="22" t="str">
        <f>INDEX(Cronograma!AD$5:AD$11,MATCH($B156,Premissas!$A$39:$A$45,0))</f>
        <v>A</v>
      </c>
      <c r="AF156" s="22" t="str">
        <f>INDEX(Cronograma!AE$5:AE$11,MATCH($B156,Premissas!$A$39:$A$45,0))</f>
        <v/>
      </c>
      <c r="AG156" s="22" t="str">
        <f>INDEX(Cronograma!AF$5:AF$11,MATCH($B156,Premissas!$A$39:$A$45,0))</f>
        <v/>
      </c>
      <c r="AH156" s="22" t="str">
        <f>INDEX(Cronograma!AG$5:AG$11,MATCH($B156,Premissas!$A$39:$A$45,0))</f>
        <v/>
      </c>
      <c r="AI156" s="22" t="str">
        <f>INDEX(Cronograma!AH$5:AH$11,MATCH($B156,Premissas!$A$39:$A$45,0))</f>
        <v/>
      </c>
      <c r="AJ156" s="22" t="str">
        <f>INDEX(Cronograma!AI$5:AI$11,MATCH($B156,Premissas!$A$39:$A$45,0))</f>
        <v/>
      </c>
      <c r="AK156" s="22" t="str">
        <f>INDEX(Cronograma!AJ$5:AJ$11,MATCH($B156,Premissas!$A$39:$A$45,0))</f>
        <v/>
      </c>
      <c r="AL156" s="22" t="str">
        <f>INDEX(Cronograma!AK$5:AK$11,MATCH($B156,Premissas!$A$39:$A$45,0))</f>
        <v/>
      </c>
      <c r="AM156" s="22" t="str">
        <f>INDEX(Cronograma!AL$5:AL$11,MATCH($B156,Premissas!$A$39:$A$45,0))</f>
        <v/>
      </c>
      <c r="AN156" s="22" t="str">
        <f>INDEX(Cronograma!AM$5:AM$11,MATCH($B156,Premissas!$A$39:$A$45,0))</f>
        <v/>
      </c>
      <c r="AO156" s="22" t="str">
        <f>INDEX(Cronograma!AN$5:AN$11,MATCH($B156,Premissas!$A$39:$A$45,0))</f>
        <v/>
      </c>
      <c r="AP156" s="22" t="str">
        <f>INDEX(Cronograma!AO$5:AO$11,MATCH($B156,Premissas!$A$39:$A$45,0))</f>
        <v/>
      </c>
      <c r="AQ156" s="22" t="str">
        <f>INDEX(Cronograma!AP$5:AP$11,MATCH($B156,Premissas!$A$39:$A$45,0))</f>
        <v/>
      </c>
      <c r="AR156" s="22" t="str">
        <f>INDEX(Cronograma!AQ$5:AQ$11,MATCH($B156,Premissas!$A$39:$A$45,0))</f>
        <v/>
      </c>
      <c r="AS156" s="22" t="str">
        <f>INDEX(Cronograma!AR$5:AR$11,MATCH($B156,Premissas!$A$39:$A$45,0))</f>
        <v/>
      </c>
      <c r="AT156" s="22" t="str">
        <f>INDEX(Cronograma!AS$5:AS$11,MATCH($B156,Premissas!$A$39:$A$45,0))</f>
        <v/>
      </c>
      <c r="AU156" s="22" t="str">
        <f>INDEX(Cronograma!AT$5:AT$11,MATCH($B156,Premissas!$A$39:$A$45,0))</f>
        <v/>
      </c>
      <c r="AV156" s="22" t="str">
        <f>INDEX(Cronograma!AU$5:AU$11,MATCH($B156,Premissas!$A$39:$A$45,0))</f>
        <v/>
      </c>
      <c r="AW156" s="22" t="str">
        <f>INDEX(Cronograma!AV$5:AV$11,MATCH($B156,Premissas!$A$39:$A$45,0))</f>
        <v/>
      </c>
      <c r="AX156" s="22" t="str">
        <f>INDEX(Cronograma!AW$5:AW$11,MATCH($B156,Premissas!$A$39:$A$45,0))</f>
        <v>S</v>
      </c>
      <c r="AY156" s="22" t="str">
        <f>INDEX(Cronograma!AX$5:AX$11,MATCH($B156,Premissas!$A$39:$A$45,0))</f>
        <v/>
      </c>
      <c r="AZ156" s="22" t="str">
        <f>INDEX(Cronograma!AY$5:AY$11,MATCH($B156,Premissas!$A$39:$A$45,0))</f>
        <v/>
      </c>
      <c r="BA156" s="22" t="str">
        <f>INDEX(Cronograma!AZ$5:AZ$11,MATCH($B156,Premissas!$A$39:$A$45,0))</f>
        <v/>
      </c>
      <c r="BB156" s="22" t="str">
        <f>INDEX(Cronograma!BA$5:BA$11,MATCH($B156,Premissas!$A$39:$A$45,0))</f>
        <v/>
      </c>
    </row>
    <row r="157" spans="1:54" ht="15" customHeight="1" x14ac:dyDescent="0.4">
      <c r="A157" s="15" t="str">
        <f>Frota!$B157&amp;" — "&amp;Frota!$A157</f>
        <v>Toyota Hilux CS — 103110</v>
      </c>
      <c r="B157" s="16" t="str">
        <f>Frota!$C157</f>
        <v>Veículo Leve</v>
      </c>
      <c r="C157" s="22" t="str">
        <f>INDEX(Cronograma!B$5:B$11,MATCH($B157,Premissas!$A$39:$A$45,0))</f>
        <v/>
      </c>
      <c r="D157" s="22" t="str">
        <f>INDEX(Cronograma!C$5:C$11,MATCH($B157,Premissas!$A$39:$A$45,0))</f>
        <v/>
      </c>
      <c r="E157" s="22" t="str">
        <f>INDEX(Cronograma!D$5:D$11,MATCH($B157,Premissas!$A$39:$A$45,0))</f>
        <v/>
      </c>
      <c r="F157" s="22" t="str">
        <f>INDEX(Cronograma!E$5:E$11,MATCH($B157,Premissas!$A$39:$A$45,0))</f>
        <v/>
      </c>
      <c r="G157" s="22" t="str">
        <f>INDEX(Cronograma!F$5:F$11,MATCH($B157,Premissas!$A$39:$A$45,0))</f>
        <v/>
      </c>
      <c r="H157" s="22" t="str">
        <f>INDEX(Cronograma!G$5:G$11,MATCH($B157,Premissas!$A$39:$A$45,0))</f>
        <v/>
      </c>
      <c r="I157" s="22" t="str">
        <f>INDEX(Cronograma!H$5:H$11,MATCH($B157,Premissas!$A$39:$A$45,0))</f>
        <v/>
      </c>
      <c r="J157" s="22" t="str">
        <f>INDEX(Cronograma!I$5:I$11,MATCH($B157,Premissas!$A$39:$A$45,0))</f>
        <v/>
      </c>
      <c r="K157" s="22" t="str">
        <f>INDEX(Cronograma!J$5:J$11,MATCH($B157,Premissas!$A$39:$A$45,0))</f>
        <v/>
      </c>
      <c r="L157" s="22" t="str">
        <f>INDEX(Cronograma!K$5:K$11,MATCH($B157,Premissas!$A$39:$A$45,0))</f>
        <v/>
      </c>
      <c r="M157" s="22" t="str">
        <f>INDEX(Cronograma!L$5:L$11,MATCH($B157,Premissas!$A$39:$A$45,0))</f>
        <v/>
      </c>
      <c r="N157" s="22" t="str">
        <f>INDEX(Cronograma!M$5:M$11,MATCH($B157,Premissas!$A$39:$A$45,0))</f>
        <v/>
      </c>
      <c r="O157" s="22" t="str">
        <f>INDEX(Cronograma!N$5:N$11,MATCH($B157,Premissas!$A$39:$A$45,0))</f>
        <v/>
      </c>
      <c r="P157" s="22" t="str">
        <f>INDEX(Cronograma!O$5:O$11,MATCH($B157,Premissas!$A$39:$A$45,0))</f>
        <v/>
      </c>
      <c r="Q157" s="22" t="str">
        <f>INDEX(Cronograma!P$5:P$11,MATCH($B157,Premissas!$A$39:$A$45,0))</f>
        <v>S</v>
      </c>
      <c r="R157" s="22" t="str">
        <f>INDEX(Cronograma!Q$5:Q$11,MATCH($B157,Premissas!$A$39:$A$45,0))</f>
        <v/>
      </c>
      <c r="S157" s="22" t="str">
        <f>INDEX(Cronograma!R$5:R$11,MATCH($B157,Premissas!$A$39:$A$45,0))</f>
        <v/>
      </c>
      <c r="T157" s="22" t="str">
        <f>INDEX(Cronograma!S$5:S$11,MATCH($B157,Premissas!$A$39:$A$45,0))</f>
        <v/>
      </c>
      <c r="U157" s="22" t="str">
        <f>INDEX(Cronograma!T$5:T$11,MATCH($B157,Premissas!$A$39:$A$45,0))</f>
        <v/>
      </c>
      <c r="V157" s="22" t="str">
        <f>INDEX(Cronograma!U$5:U$11,MATCH($B157,Premissas!$A$39:$A$45,0))</f>
        <v/>
      </c>
      <c r="W157" s="22" t="str">
        <f>INDEX(Cronograma!V$5:V$11,MATCH($B157,Premissas!$A$39:$A$45,0))</f>
        <v/>
      </c>
      <c r="X157" s="22" t="str">
        <f>INDEX(Cronograma!W$5:W$11,MATCH($B157,Premissas!$A$39:$A$45,0))</f>
        <v/>
      </c>
      <c r="Y157" s="22" t="str">
        <f>INDEX(Cronograma!X$5:X$11,MATCH($B157,Premissas!$A$39:$A$45,0))</f>
        <v/>
      </c>
      <c r="Z157" s="22" t="str">
        <f>INDEX(Cronograma!Y$5:Y$11,MATCH($B157,Premissas!$A$39:$A$45,0))</f>
        <v/>
      </c>
      <c r="AA157" s="22" t="str">
        <f>INDEX(Cronograma!Z$5:Z$11,MATCH($B157,Premissas!$A$39:$A$45,0))</f>
        <v/>
      </c>
      <c r="AB157" s="22" t="str">
        <f>INDEX(Cronograma!AA$5:AA$11,MATCH($B157,Premissas!$A$39:$A$45,0))</f>
        <v/>
      </c>
      <c r="AC157" s="22" t="str">
        <f>INDEX(Cronograma!AB$5:AB$11,MATCH($B157,Premissas!$A$39:$A$45,0))</f>
        <v/>
      </c>
      <c r="AD157" s="22" t="str">
        <f>INDEX(Cronograma!AC$5:AC$11,MATCH($B157,Premissas!$A$39:$A$45,0))</f>
        <v/>
      </c>
      <c r="AE157" s="22" t="str">
        <f>INDEX(Cronograma!AD$5:AD$11,MATCH($B157,Premissas!$A$39:$A$45,0))</f>
        <v>A</v>
      </c>
      <c r="AF157" s="22" t="str">
        <f>INDEX(Cronograma!AE$5:AE$11,MATCH($B157,Premissas!$A$39:$A$45,0))</f>
        <v/>
      </c>
      <c r="AG157" s="22" t="str">
        <f>INDEX(Cronograma!AF$5:AF$11,MATCH($B157,Premissas!$A$39:$A$45,0))</f>
        <v/>
      </c>
      <c r="AH157" s="22" t="str">
        <f>INDEX(Cronograma!AG$5:AG$11,MATCH($B157,Premissas!$A$39:$A$45,0))</f>
        <v/>
      </c>
      <c r="AI157" s="22" t="str">
        <f>INDEX(Cronograma!AH$5:AH$11,MATCH($B157,Premissas!$A$39:$A$45,0))</f>
        <v/>
      </c>
      <c r="AJ157" s="22" t="str">
        <f>INDEX(Cronograma!AI$5:AI$11,MATCH($B157,Premissas!$A$39:$A$45,0))</f>
        <v/>
      </c>
      <c r="AK157" s="22" t="str">
        <f>INDEX(Cronograma!AJ$5:AJ$11,MATCH($B157,Premissas!$A$39:$A$45,0))</f>
        <v/>
      </c>
      <c r="AL157" s="22" t="str">
        <f>INDEX(Cronograma!AK$5:AK$11,MATCH($B157,Premissas!$A$39:$A$45,0))</f>
        <v/>
      </c>
      <c r="AM157" s="22" t="str">
        <f>INDEX(Cronograma!AL$5:AL$11,MATCH($B157,Premissas!$A$39:$A$45,0))</f>
        <v/>
      </c>
      <c r="AN157" s="22" t="str">
        <f>INDEX(Cronograma!AM$5:AM$11,MATCH($B157,Premissas!$A$39:$A$45,0))</f>
        <v/>
      </c>
      <c r="AO157" s="22" t="str">
        <f>INDEX(Cronograma!AN$5:AN$11,MATCH($B157,Premissas!$A$39:$A$45,0))</f>
        <v/>
      </c>
      <c r="AP157" s="22" t="str">
        <f>INDEX(Cronograma!AO$5:AO$11,MATCH($B157,Premissas!$A$39:$A$45,0))</f>
        <v/>
      </c>
      <c r="AQ157" s="22" t="str">
        <f>INDEX(Cronograma!AP$5:AP$11,MATCH($B157,Premissas!$A$39:$A$45,0))</f>
        <v/>
      </c>
      <c r="AR157" s="22" t="str">
        <f>INDEX(Cronograma!AQ$5:AQ$11,MATCH($B157,Premissas!$A$39:$A$45,0))</f>
        <v/>
      </c>
      <c r="AS157" s="22" t="str">
        <f>INDEX(Cronograma!AR$5:AR$11,MATCH($B157,Premissas!$A$39:$A$45,0))</f>
        <v/>
      </c>
      <c r="AT157" s="22" t="str">
        <f>INDEX(Cronograma!AS$5:AS$11,MATCH($B157,Premissas!$A$39:$A$45,0))</f>
        <v/>
      </c>
      <c r="AU157" s="22" t="str">
        <f>INDEX(Cronograma!AT$5:AT$11,MATCH($B157,Premissas!$A$39:$A$45,0))</f>
        <v/>
      </c>
      <c r="AV157" s="22" t="str">
        <f>INDEX(Cronograma!AU$5:AU$11,MATCH($B157,Premissas!$A$39:$A$45,0))</f>
        <v/>
      </c>
      <c r="AW157" s="22" t="str">
        <f>INDEX(Cronograma!AV$5:AV$11,MATCH($B157,Premissas!$A$39:$A$45,0))</f>
        <v/>
      </c>
      <c r="AX157" s="22" t="str">
        <f>INDEX(Cronograma!AW$5:AW$11,MATCH($B157,Premissas!$A$39:$A$45,0))</f>
        <v>S</v>
      </c>
      <c r="AY157" s="22" t="str">
        <f>INDEX(Cronograma!AX$5:AX$11,MATCH($B157,Premissas!$A$39:$A$45,0))</f>
        <v/>
      </c>
      <c r="AZ157" s="22" t="str">
        <f>INDEX(Cronograma!AY$5:AY$11,MATCH($B157,Premissas!$A$39:$A$45,0))</f>
        <v/>
      </c>
      <c r="BA157" s="22" t="str">
        <f>INDEX(Cronograma!AZ$5:AZ$11,MATCH($B157,Premissas!$A$39:$A$45,0))</f>
        <v/>
      </c>
      <c r="BB157" s="22" t="str">
        <f>INDEX(Cronograma!BA$5:BA$11,MATCH($B157,Premissas!$A$39:$A$45,0))</f>
        <v/>
      </c>
    </row>
    <row r="158" spans="1:54" ht="15" customHeight="1" x14ac:dyDescent="0.4">
      <c r="A158" s="15" t="str">
        <f>Frota!$B158&amp;" — "&amp;Frota!$A158</f>
        <v>Toyota Hilux CS — 103111</v>
      </c>
      <c r="B158" s="16" t="str">
        <f>Frota!$C158</f>
        <v>Veículo Leve</v>
      </c>
      <c r="C158" s="22" t="str">
        <f>INDEX(Cronograma!B$5:B$11,MATCH($B158,Premissas!$A$39:$A$45,0))</f>
        <v/>
      </c>
      <c r="D158" s="22" t="str">
        <f>INDEX(Cronograma!C$5:C$11,MATCH($B158,Premissas!$A$39:$A$45,0))</f>
        <v/>
      </c>
      <c r="E158" s="22" t="str">
        <f>INDEX(Cronograma!D$5:D$11,MATCH($B158,Premissas!$A$39:$A$45,0))</f>
        <v/>
      </c>
      <c r="F158" s="22" t="str">
        <f>INDEX(Cronograma!E$5:E$11,MATCH($B158,Premissas!$A$39:$A$45,0))</f>
        <v/>
      </c>
      <c r="G158" s="22" t="str">
        <f>INDEX(Cronograma!F$5:F$11,MATCH($B158,Premissas!$A$39:$A$45,0))</f>
        <v/>
      </c>
      <c r="H158" s="22" t="str">
        <f>INDEX(Cronograma!G$5:G$11,MATCH($B158,Premissas!$A$39:$A$45,0))</f>
        <v/>
      </c>
      <c r="I158" s="22" t="str">
        <f>INDEX(Cronograma!H$5:H$11,MATCH($B158,Premissas!$A$39:$A$45,0))</f>
        <v/>
      </c>
      <c r="J158" s="22" t="str">
        <f>INDEX(Cronograma!I$5:I$11,MATCH($B158,Premissas!$A$39:$A$45,0))</f>
        <v/>
      </c>
      <c r="K158" s="22" t="str">
        <f>INDEX(Cronograma!J$5:J$11,MATCH($B158,Premissas!$A$39:$A$45,0))</f>
        <v/>
      </c>
      <c r="L158" s="22" t="str">
        <f>INDEX(Cronograma!K$5:K$11,MATCH($B158,Premissas!$A$39:$A$45,0))</f>
        <v/>
      </c>
      <c r="M158" s="22" t="str">
        <f>INDEX(Cronograma!L$5:L$11,MATCH($B158,Premissas!$A$39:$A$45,0))</f>
        <v/>
      </c>
      <c r="N158" s="22" t="str">
        <f>INDEX(Cronograma!M$5:M$11,MATCH($B158,Premissas!$A$39:$A$45,0))</f>
        <v/>
      </c>
      <c r="O158" s="22" t="str">
        <f>INDEX(Cronograma!N$5:N$11,MATCH($B158,Premissas!$A$39:$A$45,0))</f>
        <v/>
      </c>
      <c r="P158" s="22" t="str">
        <f>INDEX(Cronograma!O$5:O$11,MATCH($B158,Premissas!$A$39:$A$45,0))</f>
        <v/>
      </c>
      <c r="Q158" s="22" t="str">
        <f>INDEX(Cronograma!P$5:P$11,MATCH($B158,Premissas!$A$39:$A$45,0))</f>
        <v>S</v>
      </c>
      <c r="R158" s="22" t="str">
        <f>INDEX(Cronograma!Q$5:Q$11,MATCH($B158,Premissas!$A$39:$A$45,0))</f>
        <v/>
      </c>
      <c r="S158" s="22" t="str">
        <f>INDEX(Cronograma!R$5:R$11,MATCH($B158,Premissas!$A$39:$A$45,0))</f>
        <v/>
      </c>
      <c r="T158" s="22" t="str">
        <f>INDEX(Cronograma!S$5:S$11,MATCH($B158,Premissas!$A$39:$A$45,0))</f>
        <v/>
      </c>
      <c r="U158" s="22" t="str">
        <f>INDEX(Cronograma!T$5:T$11,MATCH($B158,Premissas!$A$39:$A$45,0))</f>
        <v/>
      </c>
      <c r="V158" s="22" t="str">
        <f>INDEX(Cronograma!U$5:U$11,MATCH($B158,Premissas!$A$39:$A$45,0))</f>
        <v/>
      </c>
      <c r="W158" s="22" t="str">
        <f>INDEX(Cronograma!V$5:V$11,MATCH($B158,Premissas!$A$39:$A$45,0))</f>
        <v/>
      </c>
      <c r="X158" s="22" t="str">
        <f>INDEX(Cronograma!W$5:W$11,MATCH($B158,Premissas!$A$39:$A$45,0))</f>
        <v/>
      </c>
      <c r="Y158" s="22" t="str">
        <f>INDEX(Cronograma!X$5:X$11,MATCH($B158,Premissas!$A$39:$A$45,0))</f>
        <v/>
      </c>
      <c r="Z158" s="22" t="str">
        <f>INDEX(Cronograma!Y$5:Y$11,MATCH($B158,Premissas!$A$39:$A$45,0))</f>
        <v/>
      </c>
      <c r="AA158" s="22" t="str">
        <f>INDEX(Cronograma!Z$5:Z$11,MATCH($B158,Premissas!$A$39:$A$45,0))</f>
        <v/>
      </c>
      <c r="AB158" s="22" t="str">
        <f>INDEX(Cronograma!AA$5:AA$11,MATCH($B158,Premissas!$A$39:$A$45,0))</f>
        <v/>
      </c>
      <c r="AC158" s="22" t="str">
        <f>INDEX(Cronograma!AB$5:AB$11,MATCH($B158,Premissas!$A$39:$A$45,0))</f>
        <v/>
      </c>
      <c r="AD158" s="22" t="str">
        <f>INDEX(Cronograma!AC$5:AC$11,MATCH($B158,Premissas!$A$39:$A$45,0))</f>
        <v/>
      </c>
      <c r="AE158" s="22" t="str">
        <f>INDEX(Cronograma!AD$5:AD$11,MATCH($B158,Premissas!$A$39:$A$45,0))</f>
        <v>A</v>
      </c>
      <c r="AF158" s="22" t="str">
        <f>INDEX(Cronograma!AE$5:AE$11,MATCH($B158,Premissas!$A$39:$A$45,0))</f>
        <v/>
      </c>
      <c r="AG158" s="22" t="str">
        <f>INDEX(Cronograma!AF$5:AF$11,MATCH($B158,Premissas!$A$39:$A$45,0))</f>
        <v/>
      </c>
      <c r="AH158" s="22" t="str">
        <f>INDEX(Cronograma!AG$5:AG$11,MATCH($B158,Premissas!$A$39:$A$45,0))</f>
        <v/>
      </c>
      <c r="AI158" s="22" t="str">
        <f>INDEX(Cronograma!AH$5:AH$11,MATCH($B158,Premissas!$A$39:$A$45,0))</f>
        <v/>
      </c>
      <c r="AJ158" s="22" t="str">
        <f>INDEX(Cronograma!AI$5:AI$11,MATCH($B158,Premissas!$A$39:$A$45,0))</f>
        <v/>
      </c>
      <c r="AK158" s="22" t="str">
        <f>INDEX(Cronograma!AJ$5:AJ$11,MATCH($B158,Premissas!$A$39:$A$45,0))</f>
        <v/>
      </c>
      <c r="AL158" s="22" t="str">
        <f>INDEX(Cronograma!AK$5:AK$11,MATCH($B158,Premissas!$A$39:$A$45,0))</f>
        <v/>
      </c>
      <c r="AM158" s="22" t="str">
        <f>INDEX(Cronograma!AL$5:AL$11,MATCH($B158,Premissas!$A$39:$A$45,0))</f>
        <v/>
      </c>
      <c r="AN158" s="22" t="str">
        <f>INDEX(Cronograma!AM$5:AM$11,MATCH($B158,Premissas!$A$39:$A$45,0))</f>
        <v/>
      </c>
      <c r="AO158" s="22" t="str">
        <f>INDEX(Cronograma!AN$5:AN$11,MATCH($B158,Premissas!$A$39:$A$45,0))</f>
        <v/>
      </c>
      <c r="AP158" s="22" t="str">
        <f>INDEX(Cronograma!AO$5:AO$11,MATCH($B158,Premissas!$A$39:$A$45,0))</f>
        <v/>
      </c>
      <c r="AQ158" s="22" t="str">
        <f>INDEX(Cronograma!AP$5:AP$11,MATCH($B158,Premissas!$A$39:$A$45,0))</f>
        <v/>
      </c>
      <c r="AR158" s="22" t="str">
        <f>INDEX(Cronograma!AQ$5:AQ$11,MATCH($B158,Premissas!$A$39:$A$45,0))</f>
        <v/>
      </c>
      <c r="AS158" s="22" t="str">
        <f>INDEX(Cronograma!AR$5:AR$11,MATCH($B158,Premissas!$A$39:$A$45,0))</f>
        <v/>
      </c>
      <c r="AT158" s="22" t="str">
        <f>INDEX(Cronograma!AS$5:AS$11,MATCH($B158,Premissas!$A$39:$A$45,0))</f>
        <v/>
      </c>
      <c r="AU158" s="22" t="str">
        <f>INDEX(Cronograma!AT$5:AT$11,MATCH($B158,Premissas!$A$39:$A$45,0))</f>
        <v/>
      </c>
      <c r="AV158" s="22" t="str">
        <f>INDEX(Cronograma!AU$5:AU$11,MATCH($B158,Premissas!$A$39:$A$45,0))</f>
        <v/>
      </c>
      <c r="AW158" s="22" t="str">
        <f>INDEX(Cronograma!AV$5:AV$11,MATCH($B158,Premissas!$A$39:$A$45,0))</f>
        <v/>
      </c>
      <c r="AX158" s="22" t="str">
        <f>INDEX(Cronograma!AW$5:AW$11,MATCH($B158,Premissas!$A$39:$A$45,0))</f>
        <v>S</v>
      </c>
      <c r="AY158" s="22" t="str">
        <f>INDEX(Cronograma!AX$5:AX$11,MATCH($B158,Premissas!$A$39:$A$45,0))</f>
        <v/>
      </c>
      <c r="AZ158" s="22" t="str">
        <f>INDEX(Cronograma!AY$5:AY$11,MATCH($B158,Premissas!$A$39:$A$45,0))</f>
        <v/>
      </c>
      <c r="BA158" s="22" t="str">
        <f>INDEX(Cronograma!AZ$5:AZ$11,MATCH($B158,Premissas!$A$39:$A$45,0))</f>
        <v/>
      </c>
      <c r="BB158" s="22" t="str">
        <f>INDEX(Cronograma!BA$5:BA$11,MATCH($B158,Premissas!$A$39:$A$45,0))</f>
        <v/>
      </c>
    </row>
    <row r="159" spans="1:54" ht="15" customHeight="1" x14ac:dyDescent="0.4">
      <c r="A159" s="15" t="str">
        <f>Frota!$B159&amp;" — "&amp;Frota!$A159</f>
        <v>Toyota Hilux CS — 103112</v>
      </c>
      <c r="B159" s="16" t="str">
        <f>Frota!$C159</f>
        <v>Veículo Leve</v>
      </c>
      <c r="C159" s="22" t="str">
        <f>INDEX(Cronograma!B$5:B$11,MATCH($B159,Premissas!$A$39:$A$45,0))</f>
        <v/>
      </c>
      <c r="D159" s="22" t="str">
        <f>INDEX(Cronograma!C$5:C$11,MATCH($B159,Premissas!$A$39:$A$45,0))</f>
        <v/>
      </c>
      <c r="E159" s="22" t="str">
        <f>INDEX(Cronograma!D$5:D$11,MATCH($B159,Premissas!$A$39:$A$45,0))</f>
        <v/>
      </c>
      <c r="F159" s="22" t="str">
        <f>INDEX(Cronograma!E$5:E$11,MATCH($B159,Premissas!$A$39:$A$45,0))</f>
        <v/>
      </c>
      <c r="G159" s="22" t="str">
        <f>INDEX(Cronograma!F$5:F$11,MATCH($B159,Premissas!$A$39:$A$45,0))</f>
        <v/>
      </c>
      <c r="H159" s="22" t="str">
        <f>INDEX(Cronograma!G$5:G$11,MATCH($B159,Premissas!$A$39:$A$45,0))</f>
        <v/>
      </c>
      <c r="I159" s="22" t="str">
        <f>INDEX(Cronograma!H$5:H$11,MATCH($B159,Premissas!$A$39:$A$45,0))</f>
        <v/>
      </c>
      <c r="J159" s="22" t="str">
        <f>INDEX(Cronograma!I$5:I$11,MATCH($B159,Premissas!$A$39:$A$45,0))</f>
        <v/>
      </c>
      <c r="K159" s="22" t="str">
        <f>INDEX(Cronograma!J$5:J$11,MATCH($B159,Premissas!$A$39:$A$45,0))</f>
        <v/>
      </c>
      <c r="L159" s="22" t="str">
        <f>INDEX(Cronograma!K$5:K$11,MATCH($B159,Premissas!$A$39:$A$45,0))</f>
        <v/>
      </c>
      <c r="M159" s="22" t="str">
        <f>INDEX(Cronograma!L$5:L$11,MATCH($B159,Premissas!$A$39:$A$45,0))</f>
        <v/>
      </c>
      <c r="N159" s="22" t="str">
        <f>INDEX(Cronograma!M$5:M$11,MATCH($B159,Premissas!$A$39:$A$45,0))</f>
        <v/>
      </c>
      <c r="O159" s="22" t="str">
        <f>INDEX(Cronograma!N$5:N$11,MATCH($B159,Premissas!$A$39:$A$45,0))</f>
        <v/>
      </c>
      <c r="P159" s="22" t="str">
        <f>INDEX(Cronograma!O$5:O$11,MATCH($B159,Premissas!$A$39:$A$45,0))</f>
        <v/>
      </c>
      <c r="Q159" s="22" t="str">
        <f>INDEX(Cronograma!P$5:P$11,MATCH($B159,Premissas!$A$39:$A$45,0))</f>
        <v>S</v>
      </c>
      <c r="R159" s="22" t="str">
        <f>INDEX(Cronograma!Q$5:Q$11,MATCH($B159,Premissas!$A$39:$A$45,0))</f>
        <v/>
      </c>
      <c r="S159" s="22" t="str">
        <f>INDEX(Cronograma!R$5:R$11,MATCH($B159,Premissas!$A$39:$A$45,0))</f>
        <v/>
      </c>
      <c r="T159" s="22" t="str">
        <f>INDEX(Cronograma!S$5:S$11,MATCH($B159,Premissas!$A$39:$A$45,0))</f>
        <v/>
      </c>
      <c r="U159" s="22" t="str">
        <f>INDEX(Cronograma!T$5:T$11,MATCH($B159,Premissas!$A$39:$A$45,0))</f>
        <v/>
      </c>
      <c r="V159" s="22" t="str">
        <f>INDEX(Cronograma!U$5:U$11,MATCH($B159,Premissas!$A$39:$A$45,0))</f>
        <v/>
      </c>
      <c r="W159" s="22" t="str">
        <f>INDEX(Cronograma!V$5:V$11,MATCH($B159,Premissas!$A$39:$A$45,0))</f>
        <v/>
      </c>
      <c r="X159" s="22" t="str">
        <f>INDEX(Cronograma!W$5:W$11,MATCH($B159,Premissas!$A$39:$A$45,0))</f>
        <v/>
      </c>
      <c r="Y159" s="22" t="str">
        <f>INDEX(Cronograma!X$5:X$11,MATCH($B159,Premissas!$A$39:$A$45,0))</f>
        <v/>
      </c>
      <c r="Z159" s="22" t="str">
        <f>INDEX(Cronograma!Y$5:Y$11,MATCH($B159,Premissas!$A$39:$A$45,0))</f>
        <v/>
      </c>
      <c r="AA159" s="22" t="str">
        <f>INDEX(Cronograma!Z$5:Z$11,MATCH($B159,Premissas!$A$39:$A$45,0))</f>
        <v/>
      </c>
      <c r="AB159" s="22" t="str">
        <f>INDEX(Cronograma!AA$5:AA$11,MATCH($B159,Premissas!$A$39:$A$45,0))</f>
        <v/>
      </c>
      <c r="AC159" s="22" t="str">
        <f>INDEX(Cronograma!AB$5:AB$11,MATCH($B159,Premissas!$A$39:$A$45,0))</f>
        <v/>
      </c>
      <c r="AD159" s="22" t="str">
        <f>INDEX(Cronograma!AC$5:AC$11,MATCH($B159,Premissas!$A$39:$A$45,0))</f>
        <v/>
      </c>
      <c r="AE159" s="22" t="str">
        <f>INDEX(Cronograma!AD$5:AD$11,MATCH($B159,Premissas!$A$39:$A$45,0))</f>
        <v>A</v>
      </c>
      <c r="AF159" s="22" t="str">
        <f>INDEX(Cronograma!AE$5:AE$11,MATCH($B159,Premissas!$A$39:$A$45,0))</f>
        <v/>
      </c>
      <c r="AG159" s="22" t="str">
        <f>INDEX(Cronograma!AF$5:AF$11,MATCH($B159,Premissas!$A$39:$A$45,0))</f>
        <v/>
      </c>
      <c r="AH159" s="22" t="str">
        <f>INDEX(Cronograma!AG$5:AG$11,MATCH($B159,Premissas!$A$39:$A$45,0))</f>
        <v/>
      </c>
      <c r="AI159" s="22" t="str">
        <f>INDEX(Cronograma!AH$5:AH$11,MATCH($B159,Premissas!$A$39:$A$45,0))</f>
        <v/>
      </c>
      <c r="AJ159" s="22" t="str">
        <f>INDEX(Cronograma!AI$5:AI$11,MATCH($B159,Premissas!$A$39:$A$45,0))</f>
        <v/>
      </c>
      <c r="AK159" s="22" t="str">
        <f>INDEX(Cronograma!AJ$5:AJ$11,MATCH($B159,Premissas!$A$39:$A$45,0))</f>
        <v/>
      </c>
      <c r="AL159" s="22" t="str">
        <f>INDEX(Cronograma!AK$5:AK$11,MATCH($B159,Premissas!$A$39:$A$45,0))</f>
        <v/>
      </c>
      <c r="AM159" s="22" t="str">
        <f>INDEX(Cronograma!AL$5:AL$11,MATCH($B159,Premissas!$A$39:$A$45,0))</f>
        <v/>
      </c>
      <c r="AN159" s="22" t="str">
        <f>INDEX(Cronograma!AM$5:AM$11,MATCH($B159,Premissas!$A$39:$A$45,0))</f>
        <v/>
      </c>
      <c r="AO159" s="22" t="str">
        <f>INDEX(Cronograma!AN$5:AN$11,MATCH($B159,Premissas!$A$39:$A$45,0))</f>
        <v/>
      </c>
      <c r="AP159" s="22" t="str">
        <f>INDEX(Cronograma!AO$5:AO$11,MATCH($B159,Premissas!$A$39:$A$45,0))</f>
        <v/>
      </c>
      <c r="AQ159" s="22" t="str">
        <f>INDEX(Cronograma!AP$5:AP$11,MATCH($B159,Premissas!$A$39:$A$45,0))</f>
        <v/>
      </c>
      <c r="AR159" s="22" t="str">
        <f>INDEX(Cronograma!AQ$5:AQ$11,MATCH($B159,Premissas!$A$39:$A$45,0))</f>
        <v/>
      </c>
      <c r="AS159" s="22" t="str">
        <f>INDEX(Cronograma!AR$5:AR$11,MATCH($B159,Premissas!$A$39:$A$45,0))</f>
        <v/>
      </c>
      <c r="AT159" s="22" t="str">
        <f>INDEX(Cronograma!AS$5:AS$11,MATCH($B159,Premissas!$A$39:$A$45,0))</f>
        <v/>
      </c>
      <c r="AU159" s="22" t="str">
        <f>INDEX(Cronograma!AT$5:AT$11,MATCH($B159,Premissas!$A$39:$A$45,0))</f>
        <v/>
      </c>
      <c r="AV159" s="22" t="str">
        <f>INDEX(Cronograma!AU$5:AU$11,MATCH($B159,Premissas!$A$39:$A$45,0))</f>
        <v/>
      </c>
      <c r="AW159" s="22" t="str">
        <f>INDEX(Cronograma!AV$5:AV$11,MATCH($B159,Premissas!$A$39:$A$45,0))</f>
        <v/>
      </c>
      <c r="AX159" s="22" t="str">
        <f>INDEX(Cronograma!AW$5:AW$11,MATCH($B159,Premissas!$A$39:$A$45,0))</f>
        <v>S</v>
      </c>
      <c r="AY159" s="22" t="str">
        <f>INDEX(Cronograma!AX$5:AX$11,MATCH($B159,Premissas!$A$39:$A$45,0))</f>
        <v/>
      </c>
      <c r="AZ159" s="22" t="str">
        <f>INDEX(Cronograma!AY$5:AY$11,MATCH($B159,Premissas!$A$39:$A$45,0))</f>
        <v/>
      </c>
      <c r="BA159" s="22" t="str">
        <f>INDEX(Cronograma!AZ$5:AZ$11,MATCH($B159,Premissas!$A$39:$A$45,0))</f>
        <v/>
      </c>
      <c r="BB159" s="22" t="str">
        <f>INDEX(Cronograma!BA$5:BA$11,MATCH($B159,Premissas!$A$39:$A$45,0))</f>
        <v/>
      </c>
    </row>
    <row r="160" spans="1:54" ht="15" customHeight="1" x14ac:dyDescent="0.4">
      <c r="A160" s="15" t="str">
        <f>Frota!$B160&amp;" — "&amp;Frota!$A160</f>
        <v>Toyota Hilux CS — 103113</v>
      </c>
      <c r="B160" s="16" t="str">
        <f>Frota!$C160</f>
        <v>Veículo Leve</v>
      </c>
      <c r="C160" s="22" t="str">
        <f>INDEX(Cronograma!B$5:B$11,MATCH($B160,Premissas!$A$39:$A$45,0))</f>
        <v/>
      </c>
      <c r="D160" s="22" t="str">
        <f>INDEX(Cronograma!C$5:C$11,MATCH($B160,Premissas!$A$39:$A$45,0))</f>
        <v/>
      </c>
      <c r="E160" s="22" t="str">
        <f>INDEX(Cronograma!D$5:D$11,MATCH($B160,Premissas!$A$39:$A$45,0))</f>
        <v/>
      </c>
      <c r="F160" s="22" t="str">
        <f>INDEX(Cronograma!E$5:E$11,MATCH($B160,Premissas!$A$39:$A$45,0))</f>
        <v/>
      </c>
      <c r="G160" s="22" t="str">
        <f>INDEX(Cronograma!F$5:F$11,MATCH($B160,Premissas!$A$39:$A$45,0))</f>
        <v/>
      </c>
      <c r="H160" s="22" t="str">
        <f>INDEX(Cronograma!G$5:G$11,MATCH($B160,Premissas!$A$39:$A$45,0))</f>
        <v/>
      </c>
      <c r="I160" s="22" t="str">
        <f>INDEX(Cronograma!H$5:H$11,MATCH($B160,Premissas!$A$39:$A$45,0))</f>
        <v/>
      </c>
      <c r="J160" s="22" t="str">
        <f>INDEX(Cronograma!I$5:I$11,MATCH($B160,Premissas!$A$39:$A$45,0))</f>
        <v/>
      </c>
      <c r="K160" s="22" t="str">
        <f>INDEX(Cronograma!J$5:J$11,MATCH($B160,Premissas!$A$39:$A$45,0))</f>
        <v/>
      </c>
      <c r="L160" s="22" t="str">
        <f>INDEX(Cronograma!K$5:K$11,MATCH($B160,Premissas!$A$39:$A$45,0))</f>
        <v/>
      </c>
      <c r="M160" s="22" t="str">
        <f>INDEX(Cronograma!L$5:L$11,MATCH($B160,Premissas!$A$39:$A$45,0))</f>
        <v/>
      </c>
      <c r="N160" s="22" t="str">
        <f>INDEX(Cronograma!M$5:M$11,MATCH($B160,Premissas!$A$39:$A$45,0))</f>
        <v/>
      </c>
      <c r="O160" s="22" t="str">
        <f>INDEX(Cronograma!N$5:N$11,MATCH($B160,Premissas!$A$39:$A$45,0))</f>
        <v/>
      </c>
      <c r="P160" s="22" t="str">
        <f>INDEX(Cronograma!O$5:O$11,MATCH($B160,Premissas!$A$39:$A$45,0))</f>
        <v/>
      </c>
      <c r="Q160" s="22" t="str">
        <f>INDEX(Cronograma!P$5:P$11,MATCH($B160,Premissas!$A$39:$A$45,0))</f>
        <v>S</v>
      </c>
      <c r="R160" s="22" t="str">
        <f>INDEX(Cronograma!Q$5:Q$11,MATCH($B160,Premissas!$A$39:$A$45,0))</f>
        <v/>
      </c>
      <c r="S160" s="22" t="str">
        <f>INDEX(Cronograma!R$5:R$11,MATCH($B160,Premissas!$A$39:$A$45,0))</f>
        <v/>
      </c>
      <c r="T160" s="22" t="str">
        <f>INDEX(Cronograma!S$5:S$11,MATCH($B160,Premissas!$A$39:$A$45,0))</f>
        <v/>
      </c>
      <c r="U160" s="22" t="str">
        <f>INDEX(Cronograma!T$5:T$11,MATCH($B160,Premissas!$A$39:$A$45,0))</f>
        <v/>
      </c>
      <c r="V160" s="22" t="str">
        <f>INDEX(Cronograma!U$5:U$11,MATCH($B160,Premissas!$A$39:$A$45,0))</f>
        <v/>
      </c>
      <c r="W160" s="22" t="str">
        <f>INDEX(Cronograma!V$5:V$11,MATCH($B160,Premissas!$A$39:$A$45,0))</f>
        <v/>
      </c>
      <c r="X160" s="22" t="str">
        <f>INDEX(Cronograma!W$5:W$11,MATCH($B160,Premissas!$A$39:$A$45,0))</f>
        <v/>
      </c>
      <c r="Y160" s="22" t="str">
        <f>INDEX(Cronograma!X$5:X$11,MATCH($B160,Premissas!$A$39:$A$45,0))</f>
        <v/>
      </c>
      <c r="Z160" s="22" t="str">
        <f>INDEX(Cronograma!Y$5:Y$11,MATCH($B160,Premissas!$A$39:$A$45,0))</f>
        <v/>
      </c>
      <c r="AA160" s="22" t="str">
        <f>INDEX(Cronograma!Z$5:Z$11,MATCH($B160,Premissas!$A$39:$A$45,0))</f>
        <v/>
      </c>
      <c r="AB160" s="22" t="str">
        <f>INDEX(Cronograma!AA$5:AA$11,MATCH($B160,Premissas!$A$39:$A$45,0))</f>
        <v/>
      </c>
      <c r="AC160" s="22" t="str">
        <f>INDEX(Cronograma!AB$5:AB$11,MATCH($B160,Premissas!$A$39:$A$45,0))</f>
        <v/>
      </c>
      <c r="AD160" s="22" t="str">
        <f>INDEX(Cronograma!AC$5:AC$11,MATCH($B160,Premissas!$A$39:$A$45,0))</f>
        <v/>
      </c>
      <c r="AE160" s="22" t="str">
        <f>INDEX(Cronograma!AD$5:AD$11,MATCH($B160,Premissas!$A$39:$A$45,0))</f>
        <v>A</v>
      </c>
      <c r="AF160" s="22" t="str">
        <f>INDEX(Cronograma!AE$5:AE$11,MATCH($B160,Premissas!$A$39:$A$45,0))</f>
        <v/>
      </c>
      <c r="AG160" s="22" t="str">
        <f>INDEX(Cronograma!AF$5:AF$11,MATCH($B160,Premissas!$A$39:$A$45,0))</f>
        <v/>
      </c>
      <c r="AH160" s="22" t="str">
        <f>INDEX(Cronograma!AG$5:AG$11,MATCH($B160,Premissas!$A$39:$A$45,0))</f>
        <v/>
      </c>
      <c r="AI160" s="22" t="str">
        <f>INDEX(Cronograma!AH$5:AH$11,MATCH($B160,Premissas!$A$39:$A$45,0))</f>
        <v/>
      </c>
      <c r="AJ160" s="22" t="str">
        <f>INDEX(Cronograma!AI$5:AI$11,MATCH($B160,Premissas!$A$39:$A$45,0))</f>
        <v/>
      </c>
      <c r="AK160" s="22" t="str">
        <f>INDEX(Cronograma!AJ$5:AJ$11,MATCH($B160,Premissas!$A$39:$A$45,0))</f>
        <v/>
      </c>
      <c r="AL160" s="22" t="str">
        <f>INDEX(Cronograma!AK$5:AK$11,MATCH($B160,Premissas!$A$39:$A$45,0))</f>
        <v/>
      </c>
      <c r="AM160" s="22" t="str">
        <f>INDEX(Cronograma!AL$5:AL$11,MATCH($B160,Premissas!$A$39:$A$45,0))</f>
        <v/>
      </c>
      <c r="AN160" s="22" t="str">
        <f>INDEX(Cronograma!AM$5:AM$11,MATCH($B160,Premissas!$A$39:$A$45,0))</f>
        <v/>
      </c>
      <c r="AO160" s="22" t="str">
        <f>INDEX(Cronograma!AN$5:AN$11,MATCH($B160,Premissas!$A$39:$A$45,0))</f>
        <v/>
      </c>
      <c r="AP160" s="22" t="str">
        <f>INDEX(Cronograma!AO$5:AO$11,MATCH($B160,Premissas!$A$39:$A$45,0))</f>
        <v/>
      </c>
      <c r="AQ160" s="22" t="str">
        <f>INDEX(Cronograma!AP$5:AP$11,MATCH($B160,Premissas!$A$39:$A$45,0))</f>
        <v/>
      </c>
      <c r="AR160" s="22" t="str">
        <f>INDEX(Cronograma!AQ$5:AQ$11,MATCH($B160,Premissas!$A$39:$A$45,0))</f>
        <v/>
      </c>
      <c r="AS160" s="22" t="str">
        <f>INDEX(Cronograma!AR$5:AR$11,MATCH($B160,Premissas!$A$39:$A$45,0))</f>
        <v/>
      </c>
      <c r="AT160" s="22" t="str">
        <f>INDEX(Cronograma!AS$5:AS$11,MATCH($B160,Premissas!$A$39:$A$45,0))</f>
        <v/>
      </c>
      <c r="AU160" s="22" t="str">
        <f>INDEX(Cronograma!AT$5:AT$11,MATCH($B160,Premissas!$A$39:$A$45,0))</f>
        <v/>
      </c>
      <c r="AV160" s="22" t="str">
        <f>INDEX(Cronograma!AU$5:AU$11,MATCH($B160,Premissas!$A$39:$A$45,0))</f>
        <v/>
      </c>
      <c r="AW160" s="22" t="str">
        <f>INDEX(Cronograma!AV$5:AV$11,MATCH($B160,Premissas!$A$39:$A$45,0))</f>
        <v/>
      </c>
      <c r="AX160" s="22" t="str">
        <f>INDEX(Cronograma!AW$5:AW$11,MATCH($B160,Premissas!$A$39:$A$45,0))</f>
        <v>S</v>
      </c>
      <c r="AY160" s="22" t="str">
        <f>INDEX(Cronograma!AX$5:AX$11,MATCH($B160,Premissas!$A$39:$A$45,0))</f>
        <v/>
      </c>
      <c r="AZ160" s="22" t="str">
        <f>INDEX(Cronograma!AY$5:AY$11,MATCH($B160,Premissas!$A$39:$A$45,0))</f>
        <v/>
      </c>
      <c r="BA160" s="22" t="str">
        <f>INDEX(Cronograma!AZ$5:AZ$11,MATCH($B160,Premissas!$A$39:$A$45,0))</f>
        <v/>
      </c>
      <c r="BB160" s="22" t="str">
        <f>INDEX(Cronograma!BA$5:BA$11,MATCH($B160,Premissas!$A$39:$A$45,0))</f>
        <v/>
      </c>
    </row>
    <row r="161" spans="1:54" ht="15" customHeight="1" x14ac:dyDescent="0.4">
      <c r="A161" s="15" t="str">
        <f>Frota!$B161&amp;" — "&amp;Frota!$A161</f>
        <v>Toyota Hilux CS — 103114</v>
      </c>
      <c r="B161" s="16" t="str">
        <f>Frota!$C161</f>
        <v>Veículo Leve</v>
      </c>
      <c r="C161" s="22" t="str">
        <f>INDEX(Cronograma!B$5:B$11,MATCH($B161,Premissas!$A$39:$A$45,0))</f>
        <v/>
      </c>
      <c r="D161" s="22" t="str">
        <f>INDEX(Cronograma!C$5:C$11,MATCH($B161,Premissas!$A$39:$A$45,0))</f>
        <v/>
      </c>
      <c r="E161" s="22" t="str">
        <f>INDEX(Cronograma!D$5:D$11,MATCH($B161,Premissas!$A$39:$A$45,0))</f>
        <v/>
      </c>
      <c r="F161" s="22" t="str">
        <f>INDEX(Cronograma!E$5:E$11,MATCH($B161,Premissas!$A$39:$A$45,0))</f>
        <v/>
      </c>
      <c r="G161" s="22" t="str">
        <f>INDEX(Cronograma!F$5:F$11,MATCH($B161,Premissas!$A$39:$A$45,0))</f>
        <v/>
      </c>
      <c r="H161" s="22" t="str">
        <f>INDEX(Cronograma!G$5:G$11,MATCH($B161,Premissas!$A$39:$A$45,0))</f>
        <v/>
      </c>
      <c r="I161" s="22" t="str">
        <f>INDEX(Cronograma!H$5:H$11,MATCH($B161,Premissas!$A$39:$A$45,0))</f>
        <v/>
      </c>
      <c r="J161" s="22" t="str">
        <f>INDEX(Cronograma!I$5:I$11,MATCH($B161,Premissas!$A$39:$A$45,0))</f>
        <v/>
      </c>
      <c r="K161" s="22" t="str">
        <f>INDEX(Cronograma!J$5:J$11,MATCH($B161,Premissas!$A$39:$A$45,0))</f>
        <v/>
      </c>
      <c r="L161" s="22" t="str">
        <f>INDEX(Cronograma!K$5:K$11,MATCH($B161,Premissas!$A$39:$A$45,0))</f>
        <v/>
      </c>
      <c r="M161" s="22" t="str">
        <f>INDEX(Cronograma!L$5:L$11,MATCH($B161,Premissas!$A$39:$A$45,0))</f>
        <v/>
      </c>
      <c r="N161" s="22" t="str">
        <f>INDEX(Cronograma!M$5:M$11,MATCH($B161,Premissas!$A$39:$A$45,0))</f>
        <v/>
      </c>
      <c r="O161" s="22" t="str">
        <f>INDEX(Cronograma!N$5:N$11,MATCH($B161,Premissas!$A$39:$A$45,0))</f>
        <v/>
      </c>
      <c r="P161" s="22" t="str">
        <f>INDEX(Cronograma!O$5:O$11,MATCH($B161,Premissas!$A$39:$A$45,0))</f>
        <v/>
      </c>
      <c r="Q161" s="22" t="str">
        <f>INDEX(Cronograma!P$5:P$11,MATCH($B161,Premissas!$A$39:$A$45,0))</f>
        <v>S</v>
      </c>
      <c r="R161" s="22" t="str">
        <f>INDEX(Cronograma!Q$5:Q$11,MATCH($B161,Premissas!$A$39:$A$45,0))</f>
        <v/>
      </c>
      <c r="S161" s="22" t="str">
        <f>INDEX(Cronograma!R$5:R$11,MATCH($B161,Premissas!$A$39:$A$45,0))</f>
        <v/>
      </c>
      <c r="T161" s="22" t="str">
        <f>INDEX(Cronograma!S$5:S$11,MATCH($B161,Premissas!$A$39:$A$45,0))</f>
        <v/>
      </c>
      <c r="U161" s="22" t="str">
        <f>INDEX(Cronograma!T$5:T$11,MATCH($B161,Premissas!$A$39:$A$45,0))</f>
        <v/>
      </c>
      <c r="V161" s="22" t="str">
        <f>INDEX(Cronograma!U$5:U$11,MATCH($B161,Premissas!$A$39:$A$45,0))</f>
        <v/>
      </c>
      <c r="W161" s="22" t="str">
        <f>INDEX(Cronograma!V$5:V$11,MATCH($B161,Premissas!$A$39:$A$45,0))</f>
        <v/>
      </c>
      <c r="X161" s="22" t="str">
        <f>INDEX(Cronograma!W$5:W$11,MATCH($B161,Premissas!$A$39:$A$45,0))</f>
        <v/>
      </c>
      <c r="Y161" s="22" t="str">
        <f>INDEX(Cronograma!X$5:X$11,MATCH($B161,Premissas!$A$39:$A$45,0))</f>
        <v/>
      </c>
      <c r="Z161" s="22" t="str">
        <f>INDEX(Cronograma!Y$5:Y$11,MATCH($B161,Premissas!$A$39:$A$45,0))</f>
        <v/>
      </c>
      <c r="AA161" s="22" t="str">
        <f>INDEX(Cronograma!Z$5:Z$11,MATCH($B161,Premissas!$A$39:$A$45,0))</f>
        <v/>
      </c>
      <c r="AB161" s="22" t="str">
        <f>INDEX(Cronograma!AA$5:AA$11,MATCH($B161,Premissas!$A$39:$A$45,0))</f>
        <v/>
      </c>
      <c r="AC161" s="22" t="str">
        <f>INDEX(Cronograma!AB$5:AB$11,MATCH($B161,Premissas!$A$39:$A$45,0))</f>
        <v/>
      </c>
      <c r="AD161" s="22" t="str">
        <f>INDEX(Cronograma!AC$5:AC$11,MATCH($B161,Premissas!$A$39:$A$45,0))</f>
        <v/>
      </c>
      <c r="AE161" s="22" t="str">
        <f>INDEX(Cronograma!AD$5:AD$11,MATCH($B161,Premissas!$A$39:$A$45,0))</f>
        <v>A</v>
      </c>
      <c r="AF161" s="22" t="str">
        <f>INDEX(Cronograma!AE$5:AE$11,MATCH($B161,Premissas!$A$39:$A$45,0))</f>
        <v/>
      </c>
      <c r="AG161" s="22" t="str">
        <f>INDEX(Cronograma!AF$5:AF$11,MATCH($B161,Premissas!$A$39:$A$45,0))</f>
        <v/>
      </c>
      <c r="AH161" s="22" t="str">
        <f>INDEX(Cronograma!AG$5:AG$11,MATCH($B161,Premissas!$A$39:$A$45,0))</f>
        <v/>
      </c>
      <c r="AI161" s="22" t="str">
        <f>INDEX(Cronograma!AH$5:AH$11,MATCH($B161,Premissas!$A$39:$A$45,0))</f>
        <v/>
      </c>
      <c r="AJ161" s="22" t="str">
        <f>INDEX(Cronograma!AI$5:AI$11,MATCH($B161,Premissas!$A$39:$A$45,0))</f>
        <v/>
      </c>
      <c r="AK161" s="22" t="str">
        <f>INDEX(Cronograma!AJ$5:AJ$11,MATCH($B161,Premissas!$A$39:$A$45,0))</f>
        <v/>
      </c>
      <c r="AL161" s="22" t="str">
        <f>INDEX(Cronograma!AK$5:AK$11,MATCH($B161,Premissas!$A$39:$A$45,0))</f>
        <v/>
      </c>
      <c r="AM161" s="22" t="str">
        <f>INDEX(Cronograma!AL$5:AL$11,MATCH($B161,Premissas!$A$39:$A$45,0))</f>
        <v/>
      </c>
      <c r="AN161" s="22" t="str">
        <f>INDEX(Cronograma!AM$5:AM$11,MATCH($B161,Premissas!$A$39:$A$45,0))</f>
        <v/>
      </c>
      <c r="AO161" s="22" t="str">
        <f>INDEX(Cronograma!AN$5:AN$11,MATCH($B161,Premissas!$A$39:$A$45,0))</f>
        <v/>
      </c>
      <c r="AP161" s="22" t="str">
        <f>INDEX(Cronograma!AO$5:AO$11,MATCH($B161,Premissas!$A$39:$A$45,0))</f>
        <v/>
      </c>
      <c r="AQ161" s="22" t="str">
        <f>INDEX(Cronograma!AP$5:AP$11,MATCH($B161,Premissas!$A$39:$A$45,0))</f>
        <v/>
      </c>
      <c r="AR161" s="22" t="str">
        <f>INDEX(Cronograma!AQ$5:AQ$11,MATCH($B161,Premissas!$A$39:$A$45,0))</f>
        <v/>
      </c>
      <c r="AS161" s="22" t="str">
        <f>INDEX(Cronograma!AR$5:AR$11,MATCH($B161,Premissas!$A$39:$A$45,0))</f>
        <v/>
      </c>
      <c r="AT161" s="22" t="str">
        <f>INDEX(Cronograma!AS$5:AS$11,MATCH($B161,Premissas!$A$39:$A$45,0))</f>
        <v/>
      </c>
      <c r="AU161" s="22" t="str">
        <f>INDEX(Cronograma!AT$5:AT$11,MATCH($B161,Premissas!$A$39:$A$45,0))</f>
        <v/>
      </c>
      <c r="AV161" s="22" t="str">
        <f>INDEX(Cronograma!AU$5:AU$11,MATCH($B161,Premissas!$A$39:$A$45,0))</f>
        <v/>
      </c>
      <c r="AW161" s="22" t="str">
        <f>INDEX(Cronograma!AV$5:AV$11,MATCH($B161,Premissas!$A$39:$A$45,0))</f>
        <v/>
      </c>
      <c r="AX161" s="22" t="str">
        <f>INDEX(Cronograma!AW$5:AW$11,MATCH($B161,Premissas!$A$39:$A$45,0))</f>
        <v>S</v>
      </c>
      <c r="AY161" s="22" t="str">
        <f>INDEX(Cronograma!AX$5:AX$11,MATCH($B161,Premissas!$A$39:$A$45,0))</f>
        <v/>
      </c>
      <c r="AZ161" s="22" t="str">
        <f>INDEX(Cronograma!AY$5:AY$11,MATCH($B161,Premissas!$A$39:$A$45,0))</f>
        <v/>
      </c>
      <c r="BA161" s="22" t="str">
        <f>INDEX(Cronograma!AZ$5:AZ$11,MATCH($B161,Premissas!$A$39:$A$45,0))</f>
        <v/>
      </c>
      <c r="BB161" s="22" t="str">
        <f>INDEX(Cronograma!BA$5:BA$11,MATCH($B161,Premissas!$A$39:$A$45,0))</f>
        <v/>
      </c>
    </row>
    <row r="162" spans="1:54" ht="15" customHeight="1" x14ac:dyDescent="0.4">
      <c r="A162" s="15" t="str">
        <f>Frota!$B162&amp;" — "&amp;Frota!$A162</f>
        <v>Toyota Hilux CS — 103115</v>
      </c>
      <c r="B162" s="16" t="str">
        <f>Frota!$C162</f>
        <v>Veículo Leve</v>
      </c>
      <c r="C162" s="22" t="str">
        <f>INDEX(Cronograma!B$5:B$11,MATCH($B162,Premissas!$A$39:$A$45,0))</f>
        <v/>
      </c>
      <c r="D162" s="22" t="str">
        <f>INDEX(Cronograma!C$5:C$11,MATCH($B162,Premissas!$A$39:$A$45,0))</f>
        <v/>
      </c>
      <c r="E162" s="22" t="str">
        <f>INDEX(Cronograma!D$5:D$11,MATCH($B162,Premissas!$A$39:$A$45,0))</f>
        <v/>
      </c>
      <c r="F162" s="22" t="str">
        <f>INDEX(Cronograma!E$5:E$11,MATCH($B162,Premissas!$A$39:$A$45,0))</f>
        <v/>
      </c>
      <c r="G162" s="22" t="str">
        <f>INDEX(Cronograma!F$5:F$11,MATCH($B162,Premissas!$A$39:$A$45,0))</f>
        <v/>
      </c>
      <c r="H162" s="22" t="str">
        <f>INDEX(Cronograma!G$5:G$11,MATCH($B162,Premissas!$A$39:$A$45,0))</f>
        <v/>
      </c>
      <c r="I162" s="22" t="str">
        <f>INDEX(Cronograma!H$5:H$11,MATCH($B162,Premissas!$A$39:$A$45,0))</f>
        <v/>
      </c>
      <c r="J162" s="22" t="str">
        <f>INDEX(Cronograma!I$5:I$11,MATCH($B162,Premissas!$A$39:$A$45,0))</f>
        <v/>
      </c>
      <c r="K162" s="22" t="str">
        <f>INDEX(Cronograma!J$5:J$11,MATCH($B162,Premissas!$A$39:$A$45,0))</f>
        <v/>
      </c>
      <c r="L162" s="22" t="str">
        <f>INDEX(Cronograma!K$5:K$11,MATCH($B162,Premissas!$A$39:$A$45,0))</f>
        <v/>
      </c>
      <c r="M162" s="22" t="str">
        <f>INDEX(Cronograma!L$5:L$11,MATCH($B162,Premissas!$A$39:$A$45,0))</f>
        <v/>
      </c>
      <c r="N162" s="22" t="str">
        <f>INDEX(Cronograma!M$5:M$11,MATCH($B162,Premissas!$A$39:$A$45,0))</f>
        <v/>
      </c>
      <c r="O162" s="22" t="str">
        <f>INDEX(Cronograma!N$5:N$11,MATCH($B162,Premissas!$A$39:$A$45,0))</f>
        <v/>
      </c>
      <c r="P162" s="22" t="str">
        <f>INDEX(Cronograma!O$5:O$11,MATCH($B162,Premissas!$A$39:$A$45,0))</f>
        <v/>
      </c>
      <c r="Q162" s="22" t="str">
        <f>INDEX(Cronograma!P$5:P$11,MATCH($B162,Premissas!$A$39:$A$45,0))</f>
        <v>S</v>
      </c>
      <c r="R162" s="22" t="str">
        <f>INDEX(Cronograma!Q$5:Q$11,MATCH($B162,Premissas!$A$39:$A$45,0))</f>
        <v/>
      </c>
      <c r="S162" s="22" t="str">
        <f>INDEX(Cronograma!R$5:R$11,MATCH($B162,Premissas!$A$39:$A$45,0))</f>
        <v/>
      </c>
      <c r="T162" s="22" t="str">
        <f>INDEX(Cronograma!S$5:S$11,MATCH($B162,Premissas!$A$39:$A$45,0))</f>
        <v/>
      </c>
      <c r="U162" s="22" t="str">
        <f>INDEX(Cronograma!T$5:T$11,MATCH($B162,Premissas!$A$39:$A$45,0))</f>
        <v/>
      </c>
      <c r="V162" s="22" t="str">
        <f>INDEX(Cronograma!U$5:U$11,MATCH($B162,Premissas!$A$39:$A$45,0))</f>
        <v/>
      </c>
      <c r="W162" s="22" t="str">
        <f>INDEX(Cronograma!V$5:V$11,MATCH($B162,Premissas!$A$39:$A$45,0))</f>
        <v/>
      </c>
      <c r="X162" s="22" t="str">
        <f>INDEX(Cronograma!W$5:W$11,MATCH($B162,Premissas!$A$39:$A$45,0))</f>
        <v/>
      </c>
      <c r="Y162" s="22" t="str">
        <f>INDEX(Cronograma!X$5:X$11,MATCH($B162,Premissas!$A$39:$A$45,0))</f>
        <v/>
      </c>
      <c r="Z162" s="22" t="str">
        <f>INDEX(Cronograma!Y$5:Y$11,MATCH($B162,Premissas!$A$39:$A$45,0))</f>
        <v/>
      </c>
      <c r="AA162" s="22" t="str">
        <f>INDEX(Cronograma!Z$5:Z$11,MATCH($B162,Premissas!$A$39:$A$45,0))</f>
        <v/>
      </c>
      <c r="AB162" s="22" t="str">
        <f>INDEX(Cronograma!AA$5:AA$11,MATCH($B162,Premissas!$A$39:$A$45,0))</f>
        <v/>
      </c>
      <c r="AC162" s="22" t="str">
        <f>INDEX(Cronograma!AB$5:AB$11,MATCH($B162,Premissas!$A$39:$A$45,0))</f>
        <v/>
      </c>
      <c r="AD162" s="22" t="str">
        <f>INDEX(Cronograma!AC$5:AC$11,MATCH($B162,Premissas!$A$39:$A$45,0))</f>
        <v/>
      </c>
      <c r="AE162" s="22" t="str">
        <f>INDEX(Cronograma!AD$5:AD$11,MATCH($B162,Premissas!$A$39:$A$45,0))</f>
        <v>A</v>
      </c>
      <c r="AF162" s="22" t="str">
        <f>INDEX(Cronograma!AE$5:AE$11,MATCH($B162,Premissas!$A$39:$A$45,0))</f>
        <v/>
      </c>
      <c r="AG162" s="22" t="str">
        <f>INDEX(Cronograma!AF$5:AF$11,MATCH($B162,Premissas!$A$39:$A$45,0))</f>
        <v/>
      </c>
      <c r="AH162" s="22" t="str">
        <f>INDEX(Cronograma!AG$5:AG$11,MATCH($B162,Premissas!$A$39:$A$45,0))</f>
        <v/>
      </c>
      <c r="AI162" s="22" t="str">
        <f>INDEX(Cronograma!AH$5:AH$11,MATCH($B162,Premissas!$A$39:$A$45,0))</f>
        <v/>
      </c>
      <c r="AJ162" s="22" t="str">
        <f>INDEX(Cronograma!AI$5:AI$11,MATCH($B162,Premissas!$A$39:$A$45,0))</f>
        <v/>
      </c>
      <c r="AK162" s="22" t="str">
        <f>INDEX(Cronograma!AJ$5:AJ$11,MATCH($B162,Premissas!$A$39:$A$45,0))</f>
        <v/>
      </c>
      <c r="AL162" s="22" t="str">
        <f>INDEX(Cronograma!AK$5:AK$11,MATCH($B162,Premissas!$A$39:$A$45,0))</f>
        <v/>
      </c>
      <c r="AM162" s="22" t="str">
        <f>INDEX(Cronograma!AL$5:AL$11,MATCH($B162,Premissas!$A$39:$A$45,0))</f>
        <v/>
      </c>
      <c r="AN162" s="22" t="str">
        <f>INDEX(Cronograma!AM$5:AM$11,MATCH($B162,Premissas!$A$39:$A$45,0))</f>
        <v/>
      </c>
      <c r="AO162" s="22" t="str">
        <f>INDEX(Cronograma!AN$5:AN$11,MATCH($B162,Premissas!$A$39:$A$45,0))</f>
        <v/>
      </c>
      <c r="AP162" s="22" t="str">
        <f>INDEX(Cronograma!AO$5:AO$11,MATCH($B162,Premissas!$A$39:$A$45,0))</f>
        <v/>
      </c>
      <c r="AQ162" s="22" t="str">
        <f>INDEX(Cronograma!AP$5:AP$11,MATCH($B162,Premissas!$A$39:$A$45,0))</f>
        <v/>
      </c>
      <c r="AR162" s="22" t="str">
        <f>INDEX(Cronograma!AQ$5:AQ$11,MATCH($B162,Premissas!$A$39:$A$45,0))</f>
        <v/>
      </c>
      <c r="AS162" s="22" t="str">
        <f>INDEX(Cronograma!AR$5:AR$11,MATCH($B162,Premissas!$A$39:$A$45,0))</f>
        <v/>
      </c>
      <c r="AT162" s="22" t="str">
        <f>INDEX(Cronograma!AS$5:AS$11,MATCH($B162,Premissas!$A$39:$A$45,0))</f>
        <v/>
      </c>
      <c r="AU162" s="22" t="str">
        <f>INDEX(Cronograma!AT$5:AT$11,MATCH($B162,Premissas!$A$39:$A$45,0))</f>
        <v/>
      </c>
      <c r="AV162" s="22" t="str">
        <f>INDEX(Cronograma!AU$5:AU$11,MATCH($B162,Premissas!$A$39:$A$45,0))</f>
        <v/>
      </c>
      <c r="AW162" s="22" t="str">
        <f>INDEX(Cronograma!AV$5:AV$11,MATCH($B162,Premissas!$A$39:$A$45,0))</f>
        <v/>
      </c>
      <c r="AX162" s="22" t="str">
        <f>INDEX(Cronograma!AW$5:AW$11,MATCH($B162,Premissas!$A$39:$A$45,0))</f>
        <v>S</v>
      </c>
      <c r="AY162" s="22" t="str">
        <f>INDEX(Cronograma!AX$5:AX$11,MATCH($B162,Premissas!$A$39:$A$45,0))</f>
        <v/>
      </c>
      <c r="AZ162" s="22" t="str">
        <f>INDEX(Cronograma!AY$5:AY$11,MATCH($B162,Premissas!$A$39:$A$45,0))</f>
        <v/>
      </c>
      <c r="BA162" s="22" t="str">
        <f>INDEX(Cronograma!AZ$5:AZ$11,MATCH($B162,Premissas!$A$39:$A$45,0))</f>
        <v/>
      </c>
      <c r="BB162" s="22" t="str">
        <f>INDEX(Cronograma!BA$5:BA$11,MATCH($B162,Premissas!$A$39:$A$45,0))</f>
        <v/>
      </c>
    </row>
    <row r="163" spans="1:54" ht="15" customHeight="1" x14ac:dyDescent="0.4">
      <c r="A163" s="15" t="str">
        <f>Frota!$B163&amp;" — "&amp;Frota!$A163</f>
        <v>Toyota Hilux CS — 103116</v>
      </c>
      <c r="B163" s="16" t="str">
        <f>Frota!$C163</f>
        <v>Veículo Leve</v>
      </c>
      <c r="C163" s="22" t="str">
        <f>INDEX(Cronograma!B$5:B$11,MATCH($B163,Premissas!$A$39:$A$45,0))</f>
        <v/>
      </c>
      <c r="D163" s="22" t="str">
        <f>INDEX(Cronograma!C$5:C$11,MATCH($B163,Premissas!$A$39:$A$45,0))</f>
        <v/>
      </c>
      <c r="E163" s="22" t="str">
        <f>INDEX(Cronograma!D$5:D$11,MATCH($B163,Premissas!$A$39:$A$45,0))</f>
        <v/>
      </c>
      <c r="F163" s="22" t="str">
        <f>INDEX(Cronograma!E$5:E$11,MATCH($B163,Premissas!$A$39:$A$45,0))</f>
        <v/>
      </c>
      <c r="G163" s="22" t="str">
        <f>INDEX(Cronograma!F$5:F$11,MATCH($B163,Premissas!$A$39:$A$45,0))</f>
        <v/>
      </c>
      <c r="H163" s="22" t="str">
        <f>INDEX(Cronograma!G$5:G$11,MATCH($B163,Premissas!$A$39:$A$45,0))</f>
        <v/>
      </c>
      <c r="I163" s="22" t="str">
        <f>INDEX(Cronograma!H$5:H$11,MATCH($B163,Premissas!$A$39:$A$45,0))</f>
        <v/>
      </c>
      <c r="J163" s="22" t="str">
        <f>INDEX(Cronograma!I$5:I$11,MATCH($B163,Premissas!$A$39:$A$45,0))</f>
        <v/>
      </c>
      <c r="K163" s="22" t="str">
        <f>INDEX(Cronograma!J$5:J$11,MATCH($B163,Premissas!$A$39:$A$45,0))</f>
        <v/>
      </c>
      <c r="L163" s="22" t="str">
        <f>INDEX(Cronograma!K$5:K$11,MATCH($B163,Premissas!$A$39:$A$45,0))</f>
        <v/>
      </c>
      <c r="M163" s="22" t="str">
        <f>INDEX(Cronograma!L$5:L$11,MATCH($B163,Premissas!$A$39:$A$45,0))</f>
        <v/>
      </c>
      <c r="N163" s="22" t="str">
        <f>INDEX(Cronograma!M$5:M$11,MATCH($B163,Premissas!$A$39:$A$45,0))</f>
        <v/>
      </c>
      <c r="O163" s="22" t="str">
        <f>INDEX(Cronograma!N$5:N$11,MATCH($B163,Premissas!$A$39:$A$45,0))</f>
        <v/>
      </c>
      <c r="P163" s="22" t="str">
        <f>INDEX(Cronograma!O$5:O$11,MATCH($B163,Premissas!$A$39:$A$45,0))</f>
        <v/>
      </c>
      <c r="Q163" s="22" t="str">
        <f>INDEX(Cronograma!P$5:P$11,MATCH($B163,Premissas!$A$39:$A$45,0))</f>
        <v>S</v>
      </c>
      <c r="R163" s="22" t="str">
        <f>INDEX(Cronograma!Q$5:Q$11,MATCH($B163,Premissas!$A$39:$A$45,0))</f>
        <v/>
      </c>
      <c r="S163" s="22" t="str">
        <f>INDEX(Cronograma!R$5:R$11,MATCH($B163,Premissas!$A$39:$A$45,0))</f>
        <v/>
      </c>
      <c r="T163" s="22" t="str">
        <f>INDEX(Cronograma!S$5:S$11,MATCH($B163,Premissas!$A$39:$A$45,0))</f>
        <v/>
      </c>
      <c r="U163" s="22" t="str">
        <f>INDEX(Cronograma!T$5:T$11,MATCH($B163,Premissas!$A$39:$A$45,0))</f>
        <v/>
      </c>
      <c r="V163" s="22" t="str">
        <f>INDEX(Cronograma!U$5:U$11,MATCH($B163,Premissas!$A$39:$A$45,0))</f>
        <v/>
      </c>
      <c r="W163" s="22" t="str">
        <f>INDEX(Cronograma!V$5:V$11,MATCH($B163,Premissas!$A$39:$A$45,0))</f>
        <v/>
      </c>
      <c r="X163" s="22" t="str">
        <f>INDEX(Cronograma!W$5:W$11,MATCH($B163,Premissas!$A$39:$A$45,0))</f>
        <v/>
      </c>
      <c r="Y163" s="22" t="str">
        <f>INDEX(Cronograma!X$5:X$11,MATCH($B163,Premissas!$A$39:$A$45,0))</f>
        <v/>
      </c>
      <c r="Z163" s="22" t="str">
        <f>INDEX(Cronograma!Y$5:Y$11,MATCH($B163,Premissas!$A$39:$A$45,0))</f>
        <v/>
      </c>
      <c r="AA163" s="22" t="str">
        <f>INDEX(Cronograma!Z$5:Z$11,MATCH($B163,Premissas!$A$39:$A$45,0))</f>
        <v/>
      </c>
      <c r="AB163" s="22" t="str">
        <f>INDEX(Cronograma!AA$5:AA$11,MATCH($B163,Premissas!$A$39:$A$45,0))</f>
        <v/>
      </c>
      <c r="AC163" s="22" t="str">
        <f>INDEX(Cronograma!AB$5:AB$11,MATCH($B163,Premissas!$A$39:$A$45,0))</f>
        <v/>
      </c>
      <c r="AD163" s="22" t="str">
        <f>INDEX(Cronograma!AC$5:AC$11,MATCH($B163,Premissas!$A$39:$A$45,0))</f>
        <v/>
      </c>
      <c r="AE163" s="22" t="str">
        <f>INDEX(Cronograma!AD$5:AD$11,MATCH($B163,Premissas!$A$39:$A$45,0))</f>
        <v>A</v>
      </c>
      <c r="AF163" s="22" t="str">
        <f>INDEX(Cronograma!AE$5:AE$11,MATCH($B163,Premissas!$A$39:$A$45,0))</f>
        <v/>
      </c>
      <c r="AG163" s="22" t="str">
        <f>INDEX(Cronograma!AF$5:AF$11,MATCH($B163,Premissas!$A$39:$A$45,0))</f>
        <v/>
      </c>
      <c r="AH163" s="22" t="str">
        <f>INDEX(Cronograma!AG$5:AG$11,MATCH($B163,Premissas!$A$39:$A$45,0))</f>
        <v/>
      </c>
      <c r="AI163" s="22" t="str">
        <f>INDEX(Cronograma!AH$5:AH$11,MATCH($B163,Premissas!$A$39:$A$45,0))</f>
        <v/>
      </c>
      <c r="AJ163" s="22" t="str">
        <f>INDEX(Cronograma!AI$5:AI$11,MATCH($B163,Premissas!$A$39:$A$45,0))</f>
        <v/>
      </c>
      <c r="AK163" s="22" t="str">
        <f>INDEX(Cronograma!AJ$5:AJ$11,MATCH($B163,Premissas!$A$39:$A$45,0))</f>
        <v/>
      </c>
      <c r="AL163" s="22" t="str">
        <f>INDEX(Cronograma!AK$5:AK$11,MATCH($B163,Premissas!$A$39:$A$45,0))</f>
        <v/>
      </c>
      <c r="AM163" s="22" t="str">
        <f>INDEX(Cronograma!AL$5:AL$11,MATCH($B163,Premissas!$A$39:$A$45,0))</f>
        <v/>
      </c>
      <c r="AN163" s="22" t="str">
        <f>INDEX(Cronograma!AM$5:AM$11,MATCH($B163,Premissas!$A$39:$A$45,0))</f>
        <v/>
      </c>
      <c r="AO163" s="22" t="str">
        <f>INDEX(Cronograma!AN$5:AN$11,MATCH($B163,Premissas!$A$39:$A$45,0))</f>
        <v/>
      </c>
      <c r="AP163" s="22" t="str">
        <f>INDEX(Cronograma!AO$5:AO$11,MATCH($B163,Premissas!$A$39:$A$45,0))</f>
        <v/>
      </c>
      <c r="AQ163" s="22" t="str">
        <f>INDEX(Cronograma!AP$5:AP$11,MATCH($B163,Premissas!$A$39:$A$45,0))</f>
        <v/>
      </c>
      <c r="AR163" s="22" t="str">
        <f>INDEX(Cronograma!AQ$5:AQ$11,MATCH($B163,Premissas!$A$39:$A$45,0))</f>
        <v/>
      </c>
      <c r="AS163" s="22" t="str">
        <f>INDEX(Cronograma!AR$5:AR$11,MATCH($B163,Premissas!$A$39:$A$45,0))</f>
        <v/>
      </c>
      <c r="AT163" s="22" t="str">
        <f>INDEX(Cronograma!AS$5:AS$11,MATCH($B163,Premissas!$A$39:$A$45,0))</f>
        <v/>
      </c>
      <c r="AU163" s="22" t="str">
        <f>INDEX(Cronograma!AT$5:AT$11,MATCH($B163,Premissas!$A$39:$A$45,0))</f>
        <v/>
      </c>
      <c r="AV163" s="22" t="str">
        <f>INDEX(Cronograma!AU$5:AU$11,MATCH($B163,Premissas!$A$39:$A$45,0))</f>
        <v/>
      </c>
      <c r="AW163" s="22" t="str">
        <f>INDEX(Cronograma!AV$5:AV$11,MATCH($B163,Premissas!$A$39:$A$45,0))</f>
        <v/>
      </c>
      <c r="AX163" s="22" t="str">
        <f>INDEX(Cronograma!AW$5:AW$11,MATCH($B163,Premissas!$A$39:$A$45,0))</f>
        <v>S</v>
      </c>
      <c r="AY163" s="22" t="str">
        <f>INDEX(Cronograma!AX$5:AX$11,MATCH($B163,Premissas!$A$39:$A$45,0))</f>
        <v/>
      </c>
      <c r="AZ163" s="22" t="str">
        <f>INDEX(Cronograma!AY$5:AY$11,MATCH($B163,Premissas!$A$39:$A$45,0))</f>
        <v/>
      </c>
      <c r="BA163" s="22" t="str">
        <f>INDEX(Cronograma!AZ$5:AZ$11,MATCH($B163,Premissas!$A$39:$A$45,0))</f>
        <v/>
      </c>
      <c r="BB163" s="22" t="str">
        <f>INDEX(Cronograma!BA$5:BA$11,MATCH($B163,Premissas!$A$39:$A$45,0))</f>
        <v/>
      </c>
    </row>
    <row r="164" spans="1:54" ht="15" customHeight="1" x14ac:dyDescent="0.4">
      <c r="A164" s="15" t="str">
        <f>Frota!$B164&amp;" — "&amp;Frota!$A164</f>
        <v>Fiorino Endu. 1.4 — 103117</v>
      </c>
      <c r="B164" s="16" t="str">
        <f>Frota!$C164</f>
        <v>Veículo Leve</v>
      </c>
      <c r="C164" s="22" t="str">
        <f>INDEX(Cronograma!B$5:B$11,MATCH($B164,Premissas!$A$39:$A$45,0))</f>
        <v/>
      </c>
      <c r="D164" s="22" t="str">
        <f>INDEX(Cronograma!C$5:C$11,MATCH($B164,Premissas!$A$39:$A$45,0))</f>
        <v/>
      </c>
      <c r="E164" s="22" t="str">
        <f>INDEX(Cronograma!D$5:D$11,MATCH($B164,Premissas!$A$39:$A$45,0))</f>
        <v/>
      </c>
      <c r="F164" s="22" t="str">
        <f>INDEX(Cronograma!E$5:E$11,MATCH($B164,Premissas!$A$39:$A$45,0))</f>
        <v/>
      </c>
      <c r="G164" s="22" t="str">
        <f>INDEX(Cronograma!F$5:F$11,MATCH($B164,Premissas!$A$39:$A$45,0))</f>
        <v/>
      </c>
      <c r="H164" s="22" t="str">
        <f>INDEX(Cronograma!G$5:G$11,MATCH($B164,Premissas!$A$39:$A$45,0))</f>
        <v/>
      </c>
      <c r="I164" s="22" t="str">
        <f>INDEX(Cronograma!H$5:H$11,MATCH($B164,Premissas!$A$39:$A$45,0))</f>
        <v/>
      </c>
      <c r="J164" s="22" t="str">
        <f>INDEX(Cronograma!I$5:I$11,MATCH($B164,Premissas!$A$39:$A$45,0))</f>
        <v/>
      </c>
      <c r="K164" s="22" t="str">
        <f>INDEX(Cronograma!J$5:J$11,MATCH($B164,Premissas!$A$39:$A$45,0))</f>
        <v/>
      </c>
      <c r="L164" s="22" t="str">
        <f>INDEX(Cronograma!K$5:K$11,MATCH($B164,Premissas!$A$39:$A$45,0))</f>
        <v/>
      </c>
      <c r="M164" s="22" t="str">
        <f>INDEX(Cronograma!L$5:L$11,MATCH($B164,Premissas!$A$39:$A$45,0))</f>
        <v/>
      </c>
      <c r="N164" s="22" t="str">
        <f>INDEX(Cronograma!M$5:M$11,MATCH($B164,Premissas!$A$39:$A$45,0))</f>
        <v/>
      </c>
      <c r="O164" s="22" t="str">
        <f>INDEX(Cronograma!N$5:N$11,MATCH($B164,Premissas!$A$39:$A$45,0))</f>
        <v/>
      </c>
      <c r="P164" s="22" t="str">
        <f>INDEX(Cronograma!O$5:O$11,MATCH($B164,Premissas!$A$39:$A$45,0))</f>
        <v/>
      </c>
      <c r="Q164" s="22" t="str">
        <f>INDEX(Cronograma!P$5:P$11,MATCH($B164,Premissas!$A$39:$A$45,0))</f>
        <v>S</v>
      </c>
      <c r="R164" s="22" t="str">
        <f>INDEX(Cronograma!Q$5:Q$11,MATCH($B164,Premissas!$A$39:$A$45,0))</f>
        <v/>
      </c>
      <c r="S164" s="22" t="str">
        <f>INDEX(Cronograma!R$5:R$11,MATCH($B164,Premissas!$A$39:$A$45,0))</f>
        <v/>
      </c>
      <c r="T164" s="22" t="str">
        <f>INDEX(Cronograma!S$5:S$11,MATCH($B164,Premissas!$A$39:$A$45,0))</f>
        <v/>
      </c>
      <c r="U164" s="22" t="str">
        <f>INDEX(Cronograma!T$5:T$11,MATCH($B164,Premissas!$A$39:$A$45,0))</f>
        <v/>
      </c>
      <c r="V164" s="22" t="str">
        <f>INDEX(Cronograma!U$5:U$11,MATCH($B164,Premissas!$A$39:$A$45,0))</f>
        <v/>
      </c>
      <c r="W164" s="22" t="str">
        <f>INDEX(Cronograma!V$5:V$11,MATCH($B164,Premissas!$A$39:$A$45,0))</f>
        <v/>
      </c>
      <c r="X164" s="22" t="str">
        <f>INDEX(Cronograma!W$5:W$11,MATCH($B164,Premissas!$A$39:$A$45,0))</f>
        <v/>
      </c>
      <c r="Y164" s="22" t="str">
        <f>INDEX(Cronograma!X$5:X$11,MATCH($B164,Premissas!$A$39:$A$45,0))</f>
        <v/>
      </c>
      <c r="Z164" s="22" t="str">
        <f>INDEX(Cronograma!Y$5:Y$11,MATCH($B164,Premissas!$A$39:$A$45,0))</f>
        <v/>
      </c>
      <c r="AA164" s="22" t="str">
        <f>INDEX(Cronograma!Z$5:Z$11,MATCH($B164,Premissas!$A$39:$A$45,0))</f>
        <v/>
      </c>
      <c r="AB164" s="22" t="str">
        <f>INDEX(Cronograma!AA$5:AA$11,MATCH($B164,Premissas!$A$39:$A$45,0))</f>
        <v/>
      </c>
      <c r="AC164" s="22" t="str">
        <f>INDEX(Cronograma!AB$5:AB$11,MATCH($B164,Premissas!$A$39:$A$45,0))</f>
        <v/>
      </c>
      <c r="AD164" s="22" t="str">
        <f>INDEX(Cronograma!AC$5:AC$11,MATCH($B164,Premissas!$A$39:$A$45,0))</f>
        <v/>
      </c>
      <c r="AE164" s="22" t="str">
        <f>INDEX(Cronograma!AD$5:AD$11,MATCH($B164,Premissas!$A$39:$A$45,0))</f>
        <v>A</v>
      </c>
      <c r="AF164" s="22" t="str">
        <f>INDEX(Cronograma!AE$5:AE$11,MATCH($B164,Premissas!$A$39:$A$45,0))</f>
        <v/>
      </c>
      <c r="AG164" s="22" t="str">
        <f>INDEX(Cronograma!AF$5:AF$11,MATCH($B164,Premissas!$A$39:$A$45,0))</f>
        <v/>
      </c>
      <c r="AH164" s="22" t="str">
        <f>INDEX(Cronograma!AG$5:AG$11,MATCH($B164,Premissas!$A$39:$A$45,0))</f>
        <v/>
      </c>
      <c r="AI164" s="22" t="str">
        <f>INDEX(Cronograma!AH$5:AH$11,MATCH($B164,Premissas!$A$39:$A$45,0))</f>
        <v/>
      </c>
      <c r="AJ164" s="22" t="str">
        <f>INDEX(Cronograma!AI$5:AI$11,MATCH($B164,Premissas!$A$39:$A$45,0))</f>
        <v/>
      </c>
      <c r="AK164" s="22" t="str">
        <f>INDEX(Cronograma!AJ$5:AJ$11,MATCH($B164,Premissas!$A$39:$A$45,0))</f>
        <v/>
      </c>
      <c r="AL164" s="22" t="str">
        <f>INDEX(Cronograma!AK$5:AK$11,MATCH($B164,Premissas!$A$39:$A$45,0))</f>
        <v/>
      </c>
      <c r="AM164" s="22" t="str">
        <f>INDEX(Cronograma!AL$5:AL$11,MATCH($B164,Premissas!$A$39:$A$45,0))</f>
        <v/>
      </c>
      <c r="AN164" s="22" t="str">
        <f>INDEX(Cronograma!AM$5:AM$11,MATCH($B164,Premissas!$A$39:$A$45,0))</f>
        <v/>
      </c>
      <c r="AO164" s="22" t="str">
        <f>INDEX(Cronograma!AN$5:AN$11,MATCH($B164,Premissas!$A$39:$A$45,0))</f>
        <v/>
      </c>
      <c r="AP164" s="22" t="str">
        <f>INDEX(Cronograma!AO$5:AO$11,MATCH($B164,Premissas!$A$39:$A$45,0))</f>
        <v/>
      </c>
      <c r="AQ164" s="22" t="str">
        <f>INDEX(Cronograma!AP$5:AP$11,MATCH($B164,Premissas!$A$39:$A$45,0))</f>
        <v/>
      </c>
      <c r="AR164" s="22" t="str">
        <f>INDEX(Cronograma!AQ$5:AQ$11,MATCH($B164,Premissas!$A$39:$A$45,0))</f>
        <v/>
      </c>
      <c r="AS164" s="22" t="str">
        <f>INDEX(Cronograma!AR$5:AR$11,MATCH($B164,Premissas!$A$39:$A$45,0))</f>
        <v/>
      </c>
      <c r="AT164" s="22" t="str">
        <f>INDEX(Cronograma!AS$5:AS$11,MATCH($B164,Premissas!$A$39:$A$45,0))</f>
        <v/>
      </c>
      <c r="AU164" s="22" t="str">
        <f>INDEX(Cronograma!AT$5:AT$11,MATCH($B164,Premissas!$A$39:$A$45,0))</f>
        <v/>
      </c>
      <c r="AV164" s="22" t="str">
        <f>INDEX(Cronograma!AU$5:AU$11,MATCH($B164,Premissas!$A$39:$A$45,0))</f>
        <v/>
      </c>
      <c r="AW164" s="22" t="str">
        <f>INDEX(Cronograma!AV$5:AV$11,MATCH($B164,Premissas!$A$39:$A$45,0))</f>
        <v/>
      </c>
      <c r="AX164" s="22" t="str">
        <f>INDEX(Cronograma!AW$5:AW$11,MATCH($B164,Premissas!$A$39:$A$45,0))</f>
        <v>S</v>
      </c>
      <c r="AY164" s="22" t="str">
        <f>INDEX(Cronograma!AX$5:AX$11,MATCH($B164,Premissas!$A$39:$A$45,0))</f>
        <v/>
      </c>
      <c r="AZ164" s="22" t="str">
        <f>INDEX(Cronograma!AY$5:AY$11,MATCH($B164,Premissas!$A$39:$A$45,0))</f>
        <v/>
      </c>
      <c r="BA164" s="22" t="str">
        <f>INDEX(Cronograma!AZ$5:AZ$11,MATCH($B164,Premissas!$A$39:$A$45,0))</f>
        <v/>
      </c>
      <c r="BB164" s="22" t="str">
        <f>INDEX(Cronograma!BA$5:BA$11,MATCH($B164,Premissas!$A$39:$A$45,0))</f>
        <v/>
      </c>
    </row>
    <row r="165" spans="1:54" ht="15" customHeight="1" x14ac:dyDescent="0.4">
      <c r="A165" s="15" t="str">
        <f>Frota!$B165&amp;" — "&amp;Frota!$A165</f>
        <v>Jeep Comander T270 — 103118</v>
      </c>
      <c r="B165" s="16" t="str">
        <f>Frota!$C165</f>
        <v>Veículo Leve</v>
      </c>
      <c r="C165" s="22" t="str">
        <f>INDEX(Cronograma!B$5:B$11,MATCH($B165,Premissas!$A$39:$A$45,0))</f>
        <v/>
      </c>
      <c r="D165" s="22" t="str">
        <f>INDEX(Cronograma!C$5:C$11,MATCH($B165,Premissas!$A$39:$A$45,0))</f>
        <v/>
      </c>
      <c r="E165" s="22" t="str">
        <f>INDEX(Cronograma!D$5:D$11,MATCH($B165,Premissas!$A$39:$A$45,0))</f>
        <v/>
      </c>
      <c r="F165" s="22" t="str">
        <f>INDEX(Cronograma!E$5:E$11,MATCH($B165,Premissas!$A$39:$A$45,0))</f>
        <v/>
      </c>
      <c r="G165" s="22" t="str">
        <f>INDEX(Cronograma!F$5:F$11,MATCH($B165,Premissas!$A$39:$A$45,0))</f>
        <v/>
      </c>
      <c r="H165" s="22" t="str">
        <f>INDEX(Cronograma!G$5:G$11,MATCH($B165,Premissas!$A$39:$A$45,0))</f>
        <v/>
      </c>
      <c r="I165" s="22" t="str">
        <f>INDEX(Cronograma!H$5:H$11,MATCH($B165,Premissas!$A$39:$A$45,0))</f>
        <v/>
      </c>
      <c r="J165" s="22" t="str">
        <f>INDEX(Cronograma!I$5:I$11,MATCH($B165,Premissas!$A$39:$A$45,0))</f>
        <v/>
      </c>
      <c r="K165" s="22" t="str">
        <f>INDEX(Cronograma!J$5:J$11,MATCH($B165,Premissas!$A$39:$A$45,0))</f>
        <v/>
      </c>
      <c r="L165" s="22" t="str">
        <f>INDEX(Cronograma!K$5:K$11,MATCH($B165,Premissas!$A$39:$A$45,0))</f>
        <v/>
      </c>
      <c r="M165" s="22" t="str">
        <f>INDEX(Cronograma!L$5:L$11,MATCH($B165,Premissas!$A$39:$A$45,0))</f>
        <v/>
      </c>
      <c r="N165" s="22" t="str">
        <f>INDEX(Cronograma!M$5:M$11,MATCH($B165,Premissas!$A$39:$A$45,0))</f>
        <v/>
      </c>
      <c r="O165" s="22" t="str">
        <f>INDEX(Cronograma!N$5:N$11,MATCH($B165,Premissas!$A$39:$A$45,0))</f>
        <v/>
      </c>
      <c r="P165" s="22" t="str">
        <f>INDEX(Cronograma!O$5:O$11,MATCH($B165,Premissas!$A$39:$A$45,0))</f>
        <v/>
      </c>
      <c r="Q165" s="22" t="str">
        <f>INDEX(Cronograma!P$5:P$11,MATCH($B165,Premissas!$A$39:$A$45,0))</f>
        <v>S</v>
      </c>
      <c r="R165" s="22" t="str">
        <f>INDEX(Cronograma!Q$5:Q$11,MATCH($B165,Premissas!$A$39:$A$45,0))</f>
        <v/>
      </c>
      <c r="S165" s="22" t="str">
        <f>INDEX(Cronograma!R$5:R$11,MATCH($B165,Premissas!$A$39:$A$45,0))</f>
        <v/>
      </c>
      <c r="T165" s="22" t="str">
        <f>INDEX(Cronograma!S$5:S$11,MATCH($B165,Premissas!$A$39:$A$45,0))</f>
        <v/>
      </c>
      <c r="U165" s="22" t="str">
        <f>INDEX(Cronograma!T$5:T$11,MATCH($B165,Premissas!$A$39:$A$45,0))</f>
        <v/>
      </c>
      <c r="V165" s="22" t="str">
        <f>INDEX(Cronograma!U$5:U$11,MATCH($B165,Premissas!$A$39:$A$45,0))</f>
        <v/>
      </c>
      <c r="W165" s="22" t="str">
        <f>INDEX(Cronograma!V$5:V$11,MATCH($B165,Premissas!$A$39:$A$45,0))</f>
        <v/>
      </c>
      <c r="X165" s="22" t="str">
        <f>INDEX(Cronograma!W$5:W$11,MATCH($B165,Premissas!$A$39:$A$45,0))</f>
        <v/>
      </c>
      <c r="Y165" s="22" t="str">
        <f>INDEX(Cronograma!X$5:X$11,MATCH($B165,Premissas!$A$39:$A$45,0))</f>
        <v/>
      </c>
      <c r="Z165" s="22" t="str">
        <f>INDEX(Cronograma!Y$5:Y$11,MATCH($B165,Premissas!$A$39:$A$45,0))</f>
        <v/>
      </c>
      <c r="AA165" s="22" t="str">
        <f>INDEX(Cronograma!Z$5:Z$11,MATCH($B165,Premissas!$A$39:$A$45,0))</f>
        <v/>
      </c>
      <c r="AB165" s="22" t="str">
        <f>INDEX(Cronograma!AA$5:AA$11,MATCH($B165,Premissas!$A$39:$A$45,0))</f>
        <v/>
      </c>
      <c r="AC165" s="22" t="str">
        <f>INDEX(Cronograma!AB$5:AB$11,MATCH($B165,Premissas!$A$39:$A$45,0))</f>
        <v/>
      </c>
      <c r="AD165" s="22" t="str">
        <f>INDEX(Cronograma!AC$5:AC$11,MATCH($B165,Premissas!$A$39:$A$45,0))</f>
        <v/>
      </c>
      <c r="AE165" s="22" t="str">
        <f>INDEX(Cronograma!AD$5:AD$11,MATCH($B165,Premissas!$A$39:$A$45,0))</f>
        <v>A</v>
      </c>
      <c r="AF165" s="22" t="str">
        <f>INDEX(Cronograma!AE$5:AE$11,MATCH($B165,Premissas!$A$39:$A$45,0))</f>
        <v/>
      </c>
      <c r="AG165" s="22" t="str">
        <f>INDEX(Cronograma!AF$5:AF$11,MATCH($B165,Premissas!$A$39:$A$45,0))</f>
        <v/>
      </c>
      <c r="AH165" s="22" t="str">
        <f>INDEX(Cronograma!AG$5:AG$11,MATCH($B165,Premissas!$A$39:$A$45,0))</f>
        <v/>
      </c>
      <c r="AI165" s="22" t="str">
        <f>INDEX(Cronograma!AH$5:AH$11,MATCH($B165,Premissas!$A$39:$A$45,0))</f>
        <v/>
      </c>
      <c r="AJ165" s="22" t="str">
        <f>INDEX(Cronograma!AI$5:AI$11,MATCH($B165,Premissas!$A$39:$A$45,0))</f>
        <v/>
      </c>
      <c r="AK165" s="22" t="str">
        <f>INDEX(Cronograma!AJ$5:AJ$11,MATCH($B165,Premissas!$A$39:$A$45,0))</f>
        <v/>
      </c>
      <c r="AL165" s="22" t="str">
        <f>INDEX(Cronograma!AK$5:AK$11,MATCH($B165,Premissas!$A$39:$A$45,0))</f>
        <v/>
      </c>
      <c r="AM165" s="22" t="str">
        <f>INDEX(Cronograma!AL$5:AL$11,MATCH($B165,Premissas!$A$39:$A$45,0))</f>
        <v/>
      </c>
      <c r="AN165" s="22" t="str">
        <f>INDEX(Cronograma!AM$5:AM$11,MATCH($B165,Premissas!$A$39:$A$45,0))</f>
        <v/>
      </c>
      <c r="AO165" s="22" t="str">
        <f>INDEX(Cronograma!AN$5:AN$11,MATCH($B165,Premissas!$A$39:$A$45,0))</f>
        <v/>
      </c>
      <c r="AP165" s="22" t="str">
        <f>INDEX(Cronograma!AO$5:AO$11,MATCH($B165,Premissas!$A$39:$A$45,0))</f>
        <v/>
      </c>
      <c r="AQ165" s="22" t="str">
        <f>INDEX(Cronograma!AP$5:AP$11,MATCH($B165,Premissas!$A$39:$A$45,0))</f>
        <v/>
      </c>
      <c r="AR165" s="22" t="str">
        <f>INDEX(Cronograma!AQ$5:AQ$11,MATCH($B165,Premissas!$A$39:$A$45,0))</f>
        <v/>
      </c>
      <c r="AS165" s="22" t="str">
        <f>INDEX(Cronograma!AR$5:AR$11,MATCH($B165,Premissas!$A$39:$A$45,0))</f>
        <v/>
      </c>
      <c r="AT165" s="22" t="str">
        <f>INDEX(Cronograma!AS$5:AS$11,MATCH($B165,Premissas!$A$39:$A$45,0))</f>
        <v/>
      </c>
      <c r="AU165" s="22" t="str">
        <f>INDEX(Cronograma!AT$5:AT$11,MATCH($B165,Premissas!$A$39:$A$45,0))</f>
        <v/>
      </c>
      <c r="AV165" s="22" t="str">
        <f>INDEX(Cronograma!AU$5:AU$11,MATCH($B165,Premissas!$A$39:$A$45,0))</f>
        <v/>
      </c>
      <c r="AW165" s="22" t="str">
        <f>INDEX(Cronograma!AV$5:AV$11,MATCH($B165,Premissas!$A$39:$A$45,0))</f>
        <v/>
      </c>
      <c r="AX165" s="22" t="str">
        <f>INDEX(Cronograma!AW$5:AW$11,MATCH($B165,Premissas!$A$39:$A$45,0))</f>
        <v>S</v>
      </c>
      <c r="AY165" s="22" t="str">
        <f>INDEX(Cronograma!AX$5:AX$11,MATCH($B165,Premissas!$A$39:$A$45,0))</f>
        <v/>
      </c>
      <c r="AZ165" s="22" t="str">
        <f>INDEX(Cronograma!AY$5:AY$11,MATCH($B165,Premissas!$A$39:$A$45,0))</f>
        <v/>
      </c>
      <c r="BA165" s="22" t="str">
        <f>INDEX(Cronograma!AZ$5:AZ$11,MATCH($B165,Premissas!$A$39:$A$45,0))</f>
        <v/>
      </c>
      <c r="BB165" s="22" t="str">
        <f>INDEX(Cronograma!BA$5:BA$11,MATCH($B165,Premissas!$A$39:$A$45,0))</f>
        <v/>
      </c>
    </row>
    <row r="166" spans="1:54" ht="15" customHeight="1" x14ac:dyDescent="0.4">
      <c r="A166" s="15" t="str">
        <f>Frota!$B166&amp;" — "&amp;Frota!$A166</f>
        <v>Jeep Com.Sport T270 — 103119</v>
      </c>
      <c r="B166" s="16" t="str">
        <f>Frota!$C166</f>
        <v>Veículo Leve</v>
      </c>
      <c r="C166" s="22" t="str">
        <f>INDEX(Cronograma!B$5:B$11,MATCH($B166,Premissas!$A$39:$A$45,0))</f>
        <v/>
      </c>
      <c r="D166" s="22" t="str">
        <f>INDEX(Cronograma!C$5:C$11,MATCH($B166,Premissas!$A$39:$A$45,0))</f>
        <v/>
      </c>
      <c r="E166" s="22" t="str">
        <f>INDEX(Cronograma!D$5:D$11,MATCH($B166,Premissas!$A$39:$A$45,0))</f>
        <v/>
      </c>
      <c r="F166" s="22" t="str">
        <f>INDEX(Cronograma!E$5:E$11,MATCH($B166,Premissas!$A$39:$A$45,0))</f>
        <v/>
      </c>
      <c r="G166" s="22" t="str">
        <f>INDEX(Cronograma!F$5:F$11,MATCH($B166,Premissas!$A$39:$A$45,0))</f>
        <v/>
      </c>
      <c r="H166" s="22" t="str">
        <f>INDEX(Cronograma!G$5:G$11,MATCH($B166,Premissas!$A$39:$A$45,0))</f>
        <v/>
      </c>
      <c r="I166" s="22" t="str">
        <f>INDEX(Cronograma!H$5:H$11,MATCH($B166,Premissas!$A$39:$A$45,0))</f>
        <v/>
      </c>
      <c r="J166" s="22" t="str">
        <f>INDEX(Cronograma!I$5:I$11,MATCH($B166,Premissas!$A$39:$A$45,0))</f>
        <v/>
      </c>
      <c r="K166" s="22" t="str">
        <f>INDEX(Cronograma!J$5:J$11,MATCH($B166,Premissas!$A$39:$A$45,0))</f>
        <v/>
      </c>
      <c r="L166" s="22" t="str">
        <f>INDEX(Cronograma!K$5:K$11,MATCH($B166,Premissas!$A$39:$A$45,0))</f>
        <v/>
      </c>
      <c r="M166" s="22" t="str">
        <f>INDEX(Cronograma!L$5:L$11,MATCH($B166,Premissas!$A$39:$A$45,0))</f>
        <v/>
      </c>
      <c r="N166" s="22" t="str">
        <f>INDEX(Cronograma!M$5:M$11,MATCH($B166,Premissas!$A$39:$A$45,0))</f>
        <v/>
      </c>
      <c r="O166" s="22" t="str">
        <f>INDEX(Cronograma!N$5:N$11,MATCH($B166,Premissas!$A$39:$A$45,0))</f>
        <v/>
      </c>
      <c r="P166" s="22" t="str">
        <f>INDEX(Cronograma!O$5:O$11,MATCH($B166,Premissas!$A$39:$A$45,0))</f>
        <v/>
      </c>
      <c r="Q166" s="22" t="str">
        <f>INDEX(Cronograma!P$5:P$11,MATCH($B166,Premissas!$A$39:$A$45,0))</f>
        <v>S</v>
      </c>
      <c r="R166" s="22" t="str">
        <f>INDEX(Cronograma!Q$5:Q$11,MATCH($B166,Premissas!$A$39:$A$45,0))</f>
        <v/>
      </c>
      <c r="S166" s="22" t="str">
        <f>INDEX(Cronograma!R$5:R$11,MATCH($B166,Premissas!$A$39:$A$45,0))</f>
        <v/>
      </c>
      <c r="T166" s="22" t="str">
        <f>INDEX(Cronograma!S$5:S$11,MATCH($B166,Premissas!$A$39:$A$45,0))</f>
        <v/>
      </c>
      <c r="U166" s="22" t="str">
        <f>INDEX(Cronograma!T$5:T$11,MATCH($B166,Premissas!$A$39:$A$45,0))</f>
        <v/>
      </c>
      <c r="V166" s="22" t="str">
        <f>INDEX(Cronograma!U$5:U$11,MATCH($B166,Premissas!$A$39:$A$45,0))</f>
        <v/>
      </c>
      <c r="W166" s="22" t="str">
        <f>INDEX(Cronograma!V$5:V$11,MATCH($B166,Premissas!$A$39:$A$45,0))</f>
        <v/>
      </c>
      <c r="X166" s="22" t="str">
        <f>INDEX(Cronograma!W$5:W$11,MATCH($B166,Premissas!$A$39:$A$45,0))</f>
        <v/>
      </c>
      <c r="Y166" s="22" t="str">
        <f>INDEX(Cronograma!X$5:X$11,MATCH($B166,Premissas!$A$39:$A$45,0))</f>
        <v/>
      </c>
      <c r="Z166" s="22" t="str">
        <f>INDEX(Cronograma!Y$5:Y$11,MATCH($B166,Premissas!$A$39:$A$45,0))</f>
        <v/>
      </c>
      <c r="AA166" s="22" t="str">
        <f>INDEX(Cronograma!Z$5:Z$11,MATCH($B166,Premissas!$A$39:$A$45,0))</f>
        <v/>
      </c>
      <c r="AB166" s="22" t="str">
        <f>INDEX(Cronograma!AA$5:AA$11,MATCH($B166,Premissas!$A$39:$A$45,0))</f>
        <v/>
      </c>
      <c r="AC166" s="22" t="str">
        <f>INDEX(Cronograma!AB$5:AB$11,MATCH($B166,Premissas!$A$39:$A$45,0))</f>
        <v/>
      </c>
      <c r="AD166" s="22" t="str">
        <f>INDEX(Cronograma!AC$5:AC$11,MATCH($B166,Premissas!$A$39:$A$45,0))</f>
        <v/>
      </c>
      <c r="AE166" s="22" t="str">
        <f>INDEX(Cronograma!AD$5:AD$11,MATCH($B166,Premissas!$A$39:$A$45,0))</f>
        <v>A</v>
      </c>
      <c r="AF166" s="22" t="str">
        <f>INDEX(Cronograma!AE$5:AE$11,MATCH($B166,Premissas!$A$39:$A$45,0))</f>
        <v/>
      </c>
      <c r="AG166" s="22" t="str">
        <f>INDEX(Cronograma!AF$5:AF$11,MATCH($B166,Premissas!$A$39:$A$45,0))</f>
        <v/>
      </c>
      <c r="AH166" s="22" t="str">
        <f>INDEX(Cronograma!AG$5:AG$11,MATCH($B166,Premissas!$A$39:$A$45,0))</f>
        <v/>
      </c>
      <c r="AI166" s="22" t="str">
        <f>INDEX(Cronograma!AH$5:AH$11,MATCH($B166,Premissas!$A$39:$A$45,0))</f>
        <v/>
      </c>
      <c r="AJ166" s="22" t="str">
        <f>INDEX(Cronograma!AI$5:AI$11,MATCH($B166,Premissas!$A$39:$A$45,0))</f>
        <v/>
      </c>
      <c r="AK166" s="22" t="str">
        <f>INDEX(Cronograma!AJ$5:AJ$11,MATCH($B166,Premissas!$A$39:$A$45,0))</f>
        <v/>
      </c>
      <c r="AL166" s="22" t="str">
        <f>INDEX(Cronograma!AK$5:AK$11,MATCH($B166,Premissas!$A$39:$A$45,0))</f>
        <v/>
      </c>
      <c r="AM166" s="22" t="str">
        <f>INDEX(Cronograma!AL$5:AL$11,MATCH($B166,Premissas!$A$39:$A$45,0))</f>
        <v/>
      </c>
      <c r="AN166" s="22" t="str">
        <f>INDEX(Cronograma!AM$5:AM$11,MATCH($B166,Premissas!$A$39:$A$45,0))</f>
        <v/>
      </c>
      <c r="AO166" s="22" t="str">
        <f>INDEX(Cronograma!AN$5:AN$11,MATCH($B166,Premissas!$A$39:$A$45,0))</f>
        <v/>
      </c>
      <c r="AP166" s="22" t="str">
        <f>INDEX(Cronograma!AO$5:AO$11,MATCH($B166,Premissas!$A$39:$A$45,0))</f>
        <v/>
      </c>
      <c r="AQ166" s="22" t="str">
        <f>INDEX(Cronograma!AP$5:AP$11,MATCH($B166,Premissas!$A$39:$A$45,0))</f>
        <v/>
      </c>
      <c r="AR166" s="22" t="str">
        <f>INDEX(Cronograma!AQ$5:AQ$11,MATCH($B166,Premissas!$A$39:$A$45,0))</f>
        <v/>
      </c>
      <c r="AS166" s="22" t="str">
        <f>INDEX(Cronograma!AR$5:AR$11,MATCH($B166,Premissas!$A$39:$A$45,0))</f>
        <v/>
      </c>
      <c r="AT166" s="22" t="str">
        <f>INDEX(Cronograma!AS$5:AS$11,MATCH($B166,Premissas!$A$39:$A$45,0))</f>
        <v/>
      </c>
      <c r="AU166" s="22" t="str">
        <f>INDEX(Cronograma!AT$5:AT$11,MATCH($B166,Premissas!$A$39:$A$45,0))</f>
        <v/>
      </c>
      <c r="AV166" s="22" t="str">
        <f>INDEX(Cronograma!AU$5:AU$11,MATCH($B166,Premissas!$A$39:$A$45,0))</f>
        <v/>
      </c>
      <c r="AW166" s="22" t="str">
        <f>INDEX(Cronograma!AV$5:AV$11,MATCH($B166,Premissas!$A$39:$A$45,0))</f>
        <v/>
      </c>
      <c r="AX166" s="22" t="str">
        <f>INDEX(Cronograma!AW$5:AW$11,MATCH($B166,Premissas!$A$39:$A$45,0))</f>
        <v>S</v>
      </c>
      <c r="AY166" s="22" t="str">
        <f>INDEX(Cronograma!AX$5:AX$11,MATCH($B166,Premissas!$A$39:$A$45,0))</f>
        <v/>
      </c>
      <c r="AZ166" s="22" t="str">
        <f>INDEX(Cronograma!AY$5:AY$11,MATCH($B166,Premissas!$A$39:$A$45,0))</f>
        <v/>
      </c>
      <c r="BA166" s="22" t="str">
        <f>INDEX(Cronograma!AZ$5:AZ$11,MATCH($B166,Premissas!$A$39:$A$45,0))</f>
        <v/>
      </c>
      <c r="BB166" s="22" t="str">
        <f>INDEX(Cronograma!BA$5:BA$11,MATCH($B166,Premissas!$A$39:$A$45,0))</f>
        <v/>
      </c>
    </row>
    <row r="167" spans="1:54" ht="15" customHeight="1" x14ac:dyDescent="0.4">
      <c r="A167" s="15" t="str">
        <f>Frota!$B167&amp;" — "&amp;Frota!$A167</f>
        <v>Renegade Moab 2.0 — 103120</v>
      </c>
      <c r="B167" s="16" t="str">
        <f>Frota!$C167</f>
        <v>Veículo Leve</v>
      </c>
      <c r="C167" s="22" t="str">
        <f>INDEX(Cronograma!B$5:B$11,MATCH($B167,Premissas!$A$39:$A$45,0))</f>
        <v/>
      </c>
      <c r="D167" s="22" t="str">
        <f>INDEX(Cronograma!C$5:C$11,MATCH($B167,Premissas!$A$39:$A$45,0))</f>
        <v/>
      </c>
      <c r="E167" s="22" t="str">
        <f>INDEX(Cronograma!D$5:D$11,MATCH($B167,Premissas!$A$39:$A$45,0))</f>
        <v/>
      </c>
      <c r="F167" s="22" t="str">
        <f>INDEX(Cronograma!E$5:E$11,MATCH($B167,Premissas!$A$39:$A$45,0))</f>
        <v/>
      </c>
      <c r="G167" s="22" t="str">
        <f>INDEX(Cronograma!F$5:F$11,MATCH($B167,Premissas!$A$39:$A$45,0))</f>
        <v/>
      </c>
      <c r="H167" s="22" t="str">
        <f>INDEX(Cronograma!G$5:G$11,MATCH($B167,Premissas!$A$39:$A$45,0))</f>
        <v/>
      </c>
      <c r="I167" s="22" t="str">
        <f>INDEX(Cronograma!H$5:H$11,MATCH($B167,Premissas!$A$39:$A$45,0))</f>
        <v/>
      </c>
      <c r="J167" s="22" t="str">
        <f>INDEX(Cronograma!I$5:I$11,MATCH($B167,Premissas!$A$39:$A$45,0))</f>
        <v/>
      </c>
      <c r="K167" s="22" t="str">
        <f>INDEX(Cronograma!J$5:J$11,MATCH($B167,Premissas!$A$39:$A$45,0))</f>
        <v/>
      </c>
      <c r="L167" s="22" t="str">
        <f>INDEX(Cronograma!K$5:K$11,MATCH($B167,Premissas!$A$39:$A$45,0))</f>
        <v/>
      </c>
      <c r="M167" s="22" t="str">
        <f>INDEX(Cronograma!L$5:L$11,MATCH($B167,Premissas!$A$39:$A$45,0))</f>
        <v/>
      </c>
      <c r="N167" s="22" t="str">
        <f>INDEX(Cronograma!M$5:M$11,MATCH($B167,Premissas!$A$39:$A$45,0))</f>
        <v/>
      </c>
      <c r="O167" s="22" t="str">
        <f>INDEX(Cronograma!N$5:N$11,MATCH($B167,Premissas!$A$39:$A$45,0))</f>
        <v/>
      </c>
      <c r="P167" s="22" t="str">
        <f>INDEX(Cronograma!O$5:O$11,MATCH($B167,Premissas!$A$39:$A$45,0))</f>
        <v/>
      </c>
      <c r="Q167" s="22" t="str">
        <f>INDEX(Cronograma!P$5:P$11,MATCH($B167,Premissas!$A$39:$A$45,0))</f>
        <v>S</v>
      </c>
      <c r="R167" s="22" t="str">
        <f>INDEX(Cronograma!Q$5:Q$11,MATCH($B167,Premissas!$A$39:$A$45,0))</f>
        <v/>
      </c>
      <c r="S167" s="22" t="str">
        <f>INDEX(Cronograma!R$5:R$11,MATCH($B167,Premissas!$A$39:$A$45,0))</f>
        <v/>
      </c>
      <c r="T167" s="22" t="str">
        <f>INDEX(Cronograma!S$5:S$11,MATCH($B167,Premissas!$A$39:$A$45,0))</f>
        <v/>
      </c>
      <c r="U167" s="22" t="str">
        <f>INDEX(Cronograma!T$5:T$11,MATCH($B167,Premissas!$A$39:$A$45,0))</f>
        <v/>
      </c>
      <c r="V167" s="22" t="str">
        <f>INDEX(Cronograma!U$5:U$11,MATCH($B167,Premissas!$A$39:$A$45,0))</f>
        <v/>
      </c>
      <c r="W167" s="22" t="str">
        <f>INDEX(Cronograma!V$5:V$11,MATCH($B167,Premissas!$A$39:$A$45,0))</f>
        <v/>
      </c>
      <c r="X167" s="22" t="str">
        <f>INDEX(Cronograma!W$5:W$11,MATCH($B167,Premissas!$A$39:$A$45,0))</f>
        <v/>
      </c>
      <c r="Y167" s="22" t="str">
        <f>INDEX(Cronograma!X$5:X$11,MATCH($B167,Premissas!$A$39:$A$45,0))</f>
        <v/>
      </c>
      <c r="Z167" s="22" t="str">
        <f>INDEX(Cronograma!Y$5:Y$11,MATCH($B167,Premissas!$A$39:$A$45,0))</f>
        <v/>
      </c>
      <c r="AA167" s="22" t="str">
        <f>INDEX(Cronograma!Z$5:Z$11,MATCH($B167,Premissas!$A$39:$A$45,0))</f>
        <v/>
      </c>
      <c r="AB167" s="22" t="str">
        <f>INDEX(Cronograma!AA$5:AA$11,MATCH($B167,Premissas!$A$39:$A$45,0))</f>
        <v/>
      </c>
      <c r="AC167" s="22" t="str">
        <f>INDEX(Cronograma!AB$5:AB$11,MATCH($B167,Premissas!$A$39:$A$45,0))</f>
        <v/>
      </c>
      <c r="AD167" s="22" t="str">
        <f>INDEX(Cronograma!AC$5:AC$11,MATCH($B167,Premissas!$A$39:$A$45,0))</f>
        <v/>
      </c>
      <c r="AE167" s="22" t="str">
        <f>INDEX(Cronograma!AD$5:AD$11,MATCH($B167,Premissas!$A$39:$A$45,0))</f>
        <v>A</v>
      </c>
      <c r="AF167" s="22" t="str">
        <f>INDEX(Cronograma!AE$5:AE$11,MATCH($B167,Premissas!$A$39:$A$45,0))</f>
        <v/>
      </c>
      <c r="AG167" s="22" t="str">
        <f>INDEX(Cronograma!AF$5:AF$11,MATCH($B167,Premissas!$A$39:$A$45,0))</f>
        <v/>
      </c>
      <c r="AH167" s="22" t="str">
        <f>INDEX(Cronograma!AG$5:AG$11,MATCH($B167,Premissas!$A$39:$A$45,0))</f>
        <v/>
      </c>
      <c r="AI167" s="22" t="str">
        <f>INDEX(Cronograma!AH$5:AH$11,MATCH($B167,Premissas!$A$39:$A$45,0))</f>
        <v/>
      </c>
      <c r="AJ167" s="22" t="str">
        <f>INDEX(Cronograma!AI$5:AI$11,MATCH($B167,Premissas!$A$39:$A$45,0))</f>
        <v/>
      </c>
      <c r="AK167" s="22" t="str">
        <f>INDEX(Cronograma!AJ$5:AJ$11,MATCH($B167,Premissas!$A$39:$A$45,0))</f>
        <v/>
      </c>
      <c r="AL167" s="22" t="str">
        <f>INDEX(Cronograma!AK$5:AK$11,MATCH($B167,Premissas!$A$39:$A$45,0))</f>
        <v/>
      </c>
      <c r="AM167" s="22" t="str">
        <f>INDEX(Cronograma!AL$5:AL$11,MATCH($B167,Premissas!$A$39:$A$45,0))</f>
        <v/>
      </c>
      <c r="AN167" s="22" t="str">
        <f>INDEX(Cronograma!AM$5:AM$11,MATCH($B167,Premissas!$A$39:$A$45,0))</f>
        <v/>
      </c>
      <c r="AO167" s="22" t="str">
        <f>INDEX(Cronograma!AN$5:AN$11,MATCH($B167,Premissas!$A$39:$A$45,0))</f>
        <v/>
      </c>
      <c r="AP167" s="22" t="str">
        <f>INDEX(Cronograma!AO$5:AO$11,MATCH($B167,Premissas!$A$39:$A$45,0))</f>
        <v/>
      </c>
      <c r="AQ167" s="22" t="str">
        <f>INDEX(Cronograma!AP$5:AP$11,MATCH($B167,Premissas!$A$39:$A$45,0))</f>
        <v/>
      </c>
      <c r="AR167" s="22" t="str">
        <f>INDEX(Cronograma!AQ$5:AQ$11,MATCH($B167,Premissas!$A$39:$A$45,0))</f>
        <v/>
      </c>
      <c r="AS167" s="22" t="str">
        <f>INDEX(Cronograma!AR$5:AR$11,MATCH($B167,Premissas!$A$39:$A$45,0))</f>
        <v/>
      </c>
      <c r="AT167" s="22" t="str">
        <f>INDEX(Cronograma!AS$5:AS$11,MATCH($B167,Premissas!$A$39:$A$45,0))</f>
        <v/>
      </c>
      <c r="AU167" s="22" t="str">
        <f>INDEX(Cronograma!AT$5:AT$11,MATCH($B167,Premissas!$A$39:$A$45,0))</f>
        <v/>
      </c>
      <c r="AV167" s="22" t="str">
        <f>INDEX(Cronograma!AU$5:AU$11,MATCH($B167,Premissas!$A$39:$A$45,0))</f>
        <v/>
      </c>
      <c r="AW167" s="22" t="str">
        <f>INDEX(Cronograma!AV$5:AV$11,MATCH($B167,Premissas!$A$39:$A$45,0))</f>
        <v/>
      </c>
      <c r="AX167" s="22" t="str">
        <f>INDEX(Cronograma!AW$5:AW$11,MATCH($B167,Premissas!$A$39:$A$45,0))</f>
        <v>S</v>
      </c>
      <c r="AY167" s="22" t="str">
        <f>INDEX(Cronograma!AX$5:AX$11,MATCH($B167,Premissas!$A$39:$A$45,0))</f>
        <v/>
      </c>
      <c r="AZ167" s="22" t="str">
        <f>INDEX(Cronograma!AY$5:AY$11,MATCH($B167,Premissas!$A$39:$A$45,0))</f>
        <v/>
      </c>
      <c r="BA167" s="22" t="str">
        <f>INDEX(Cronograma!AZ$5:AZ$11,MATCH($B167,Premissas!$A$39:$A$45,0))</f>
        <v/>
      </c>
      <c r="BB167" s="22" t="str">
        <f>INDEX(Cronograma!BA$5:BA$11,MATCH($B167,Premissas!$A$39:$A$45,0))</f>
        <v/>
      </c>
    </row>
    <row r="168" spans="1:54" ht="15" customHeight="1" x14ac:dyDescent="0.4">
      <c r="A168" s="15" t="str">
        <f>Frota!$B168&amp;" — "&amp;Frota!$A168</f>
        <v>Fiorino Endu. 1.4 — 103121</v>
      </c>
      <c r="B168" s="16" t="str">
        <f>Frota!$C168</f>
        <v>Veículo Leve</v>
      </c>
      <c r="C168" s="22" t="str">
        <f>INDEX(Cronograma!B$5:B$11,MATCH($B168,Premissas!$A$39:$A$45,0))</f>
        <v/>
      </c>
      <c r="D168" s="22" t="str">
        <f>INDEX(Cronograma!C$5:C$11,MATCH($B168,Premissas!$A$39:$A$45,0))</f>
        <v/>
      </c>
      <c r="E168" s="22" t="str">
        <f>INDEX(Cronograma!D$5:D$11,MATCH($B168,Premissas!$A$39:$A$45,0))</f>
        <v/>
      </c>
      <c r="F168" s="22" t="str">
        <f>INDEX(Cronograma!E$5:E$11,MATCH($B168,Premissas!$A$39:$A$45,0))</f>
        <v/>
      </c>
      <c r="G168" s="22" t="str">
        <f>INDEX(Cronograma!F$5:F$11,MATCH($B168,Premissas!$A$39:$A$45,0))</f>
        <v/>
      </c>
      <c r="H168" s="22" t="str">
        <f>INDEX(Cronograma!G$5:G$11,MATCH($B168,Premissas!$A$39:$A$45,0))</f>
        <v/>
      </c>
      <c r="I168" s="22" t="str">
        <f>INDEX(Cronograma!H$5:H$11,MATCH($B168,Premissas!$A$39:$A$45,0))</f>
        <v/>
      </c>
      <c r="J168" s="22" t="str">
        <f>INDEX(Cronograma!I$5:I$11,MATCH($B168,Premissas!$A$39:$A$45,0))</f>
        <v/>
      </c>
      <c r="K168" s="22" t="str">
        <f>INDEX(Cronograma!J$5:J$11,MATCH($B168,Premissas!$A$39:$A$45,0))</f>
        <v/>
      </c>
      <c r="L168" s="22" t="str">
        <f>INDEX(Cronograma!K$5:K$11,MATCH($B168,Premissas!$A$39:$A$45,0))</f>
        <v/>
      </c>
      <c r="M168" s="22" t="str">
        <f>INDEX(Cronograma!L$5:L$11,MATCH($B168,Premissas!$A$39:$A$45,0))</f>
        <v/>
      </c>
      <c r="N168" s="22" t="str">
        <f>INDEX(Cronograma!M$5:M$11,MATCH($B168,Premissas!$A$39:$A$45,0))</f>
        <v/>
      </c>
      <c r="O168" s="22" t="str">
        <f>INDEX(Cronograma!N$5:N$11,MATCH($B168,Premissas!$A$39:$A$45,0))</f>
        <v/>
      </c>
      <c r="P168" s="22" t="str">
        <f>INDEX(Cronograma!O$5:O$11,MATCH($B168,Premissas!$A$39:$A$45,0))</f>
        <v/>
      </c>
      <c r="Q168" s="22" t="str">
        <f>INDEX(Cronograma!P$5:P$11,MATCH($B168,Premissas!$A$39:$A$45,0))</f>
        <v>S</v>
      </c>
      <c r="R168" s="22" t="str">
        <f>INDEX(Cronograma!Q$5:Q$11,MATCH($B168,Premissas!$A$39:$A$45,0))</f>
        <v/>
      </c>
      <c r="S168" s="22" t="str">
        <f>INDEX(Cronograma!R$5:R$11,MATCH($B168,Premissas!$A$39:$A$45,0))</f>
        <v/>
      </c>
      <c r="T168" s="22" t="str">
        <f>INDEX(Cronograma!S$5:S$11,MATCH($B168,Premissas!$A$39:$A$45,0))</f>
        <v/>
      </c>
      <c r="U168" s="22" t="str">
        <f>INDEX(Cronograma!T$5:T$11,MATCH($B168,Premissas!$A$39:$A$45,0))</f>
        <v/>
      </c>
      <c r="V168" s="22" t="str">
        <f>INDEX(Cronograma!U$5:U$11,MATCH($B168,Premissas!$A$39:$A$45,0))</f>
        <v/>
      </c>
      <c r="W168" s="22" t="str">
        <f>INDEX(Cronograma!V$5:V$11,MATCH($B168,Premissas!$A$39:$A$45,0))</f>
        <v/>
      </c>
      <c r="X168" s="22" t="str">
        <f>INDEX(Cronograma!W$5:W$11,MATCH($B168,Premissas!$A$39:$A$45,0))</f>
        <v/>
      </c>
      <c r="Y168" s="22" t="str">
        <f>INDEX(Cronograma!X$5:X$11,MATCH($B168,Premissas!$A$39:$A$45,0))</f>
        <v/>
      </c>
      <c r="Z168" s="22" t="str">
        <f>INDEX(Cronograma!Y$5:Y$11,MATCH($B168,Premissas!$A$39:$A$45,0))</f>
        <v/>
      </c>
      <c r="AA168" s="22" t="str">
        <f>INDEX(Cronograma!Z$5:Z$11,MATCH($B168,Premissas!$A$39:$A$45,0))</f>
        <v/>
      </c>
      <c r="AB168" s="22" t="str">
        <f>INDEX(Cronograma!AA$5:AA$11,MATCH($B168,Premissas!$A$39:$A$45,0))</f>
        <v/>
      </c>
      <c r="AC168" s="22" t="str">
        <f>INDEX(Cronograma!AB$5:AB$11,MATCH($B168,Premissas!$A$39:$A$45,0))</f>
        <v/>
      </c>
      <c r="AD168" s="22" t="str">
        <f>INDEX(Cronograma!AC$5:AC$11,MATCH($B168,Premissas!$A$39:$A$45,0))</f>
        <v/>
      </c>
      <c r="AE168" s="22" t="str">
        <f>INDEX(Cronograma!AD$5:AD$11,MATCH($B168,Premissas!$A$39:$A$45,0))</f>
        <v>A</v>
      </c>
      <c r="AF168" s="22" t="str">
        <f>INDEX(Cronograma!AE$5:AE$11,MATCH($B168,Premissas!$A$39:$A$45,0))</f>
        <v/>
      </c>
      <c r="AG168" s="22" t="str">
        <f>INDEX(Cronograma!AF$5:AF$11,MATCH($B168,Premissas!$A$39:$A$45,0))</f>
        <v/>
      </c>
      <c r="AH168" s="22" t="str">
        <f>INDEX(Cronograma!AG$5:AG$11,MATCH($B168,Premissas!$A$39:$A$45,0))</f>
        <v/>
      </c>
      <c r="AI168" s="22" t="str">
        <f>INDEX(Cronograma!AH$5:AH$11,MATCH($B168,Premissas!$A$39:$A$45,0))</f>
        <v/>
      </c>
      <c r="AJ168" s="22" t="str">
        <f>INDEX(Cronograma!AI$5:AI$11,MATCH($B168,Premissas!$A$39:$A$45,0))</f>
        <v/>
      </c>
      <c r="AK168" s="22" t="str">
        <f>INDEX(Cronograma!AJ$5:AJ$11,MATCH($B168,Premissas!$A$39:$A$45,0))</f>
        <v/>
      </c>
      <c r="AL168" s="22" t="str">
        <f>INDEX(Cronograma!AK$5:AK$11,MATCH($B168,Premissas!$A$39:$A$45,0))</f>
        <v/>
      </c>
      <c r="AM168" s="22" t="str">
        <f>INDEX(Cronograma!AL$5:AL$11,MATCH($B168,Premissas!$A$39:$A$45,0))</f>
        <v/>
      </c>
      <c r="AN168" s="22" t="str">
        <f>INDEX(Cronograma!AM$5:AM$11,MATCH($B168,Premissas!$A$39:$A$45,0))</f>
        <v/>
      </c>
      <c r="AO168" s="22" t="str">
        <f>INDEX(Cronograma!AN$5:AN$11,MATCH($B168,Premissas!$A$39:$A$45,0))</f>
        <v/>
      </c>
      <c r="AP168" s="22" t="str">
        <f>INDEX(Cronograma!AO$5:AO$11,MATCH($B168,Premissas!$A$39:$A$45,0))</f>
        <v/>
      </c>
      <c r="AQ168" s="22" t="str">
        <f>INDEX(Cronograma!AP$5:AP$11,MATCH($B168,Premissas!$A$39:$A$45,0))</f>
        <v/>
      </c>
      <c r="AR168" s="22" t="str">
        <f>INDEX(Cronograma!AQ$5:AQ$11,MATCH($B168,Premissas!$A$39:$A$45,0))</f>
        <v/>
      </c>
      <c r="AS168" s="22" t="str">
        <f>INDEX(Cronograma!AR$5:AR$11,MATCH($B168,Premissas!$A$39:$A$45,0))</f>
        <v/>
      </c>
      <c r="AT168" s="22" t="str">
        <f>INDEX(Cronograma!AS$5:AS$11,MATCH($B168,Premissas!$A$39:$A$45,0))</f>
        <v/>
      </c>
      <c r="AU168" s="22" t="str">
        <f>INDEX(Cronograma!AT$5:AT$11,MATCH($B168,Premissas!$A$39:$A$45,0))</f>
        <v/>
      </c>
      <c r="AV168" s="22" t="str">
        <f>INDEX(Cronograma!AU$5:AU$11,MATCH($B168,Premissas!$A$39:$A$45,0))</f>
        <v/>
      </c>
      <c r="AW168" s="22" t="str">
        <f>INDEX(Cronograma!AV$5:AV$11,MATCH($B168,Premissas!$A$39:$A$45,0))</f>
        <v/>
      </c>
      <c r="AX168" s="22" t="str">
        <f>INDEX(Cronograma!AW$5:AW$11,MATCH($B168,Premissas!$A$39:$A$45,0))</f>
        <v>S</v>
      </c>
      <c r="AY168" s="22" t="str">
        <f>INDEX(Cronograma!AX$5:AX$11,MATCH($B168,Premissas!$A$39:$A$45,0))</f>
        <v/>
      </c>
      <c r="AZ168" s="22" t="str">
        <f>INDEX(Cronograma!AY$5:AY$11,MATCH($B168,Premissas!$A$39:$A$45,0))</f>
        <v/>
      </c>
      <c r="BA168" s="22" t="str">
        <f>INDEX(Cronograma!AZ$5:AZ$11,MATCH($B168,Premissas!$A$39:$A$45,0))</f>
        <v/>
      </c>
      <c r="BB168" s="22" t="str">
        <f>INDEX(Cronograma!BA$5:BA$11,MATCH($B168,Premissas!$A$39:$A$45,0))</f>
        <v/>
      </c>
    </row>
    <row r="169" spans="1:54" ht="15" customHeight="1" x14ac:dyDescent="0.4">
      <c r="A169" s="15" t="str">
        <f>Frota!$B169&amp;" — "&amp;Frota!$A169</f>
        <v>Rampage — 103122</v>
      </c>
      <c r="B169" s="16" t="str">
        <f>Frota!$C169</f>
        <v>Veículo Leve</v>
      </c>
      <c r="C169" s="22" t="str">
        <f>INDEX(Cronograma!B$5:B$11,MATCH($B169,Premissas!$A$39:$A$45,0))</f>
        <v/>
      </c>
      <c r="D169" s="22" t="str">
        <f>INDEX(Cronograma!C$5:C$11,MATCH($B169,Premissas!$A$39:$A$45,0))</f>
        <v/>
      </c>
      <c r="E169" s="22" t="str">
        <f>INDEX(Cronograma!D$5:D$11,MATCH($B169,Premissas!$A$39:$A$45,0))</f>
        <v/>
      </c>
      <c r="F169" s="22" t="str">
        <f>INDEX(Cronograma!E$5:E$11,MATCH($B169,Premissas!$A$39:$A$45,0))</f>
        <v/>
      </c>
      <c r="G169" s="22" t="str">
        <f>INDEX(Cronograma!F$5:F$11,MATCH($B169,Premissas!$A$39:$A$45,0))</f>
        <v/>
      </c>
      <c r="H169" s="22" t="str">
        <f>INDEX(Cronograma!G$5:G$11,MATCH($B169,Premissas!$A$39:$A$45,0))</f>
        <v/>
      </c>
      <c r="I169" s="22" t="str">
        <f>INDEX(Cronograma!H$5:H$11,MATCH($B169,Premissas!$A$39:$A$45,0))</f>
        <v/>
      </c>
      <c r="J169" s="22" t="str">
        <f>INDEX(Cronograma!I$5:I$11,MATCH($B169,Premissas!$A$39:$A$45,0))</f>
        <v/>
      </c>
      <c r="K169" s="22" t="str">
        <f>INDEX(Cronograma!J$5:J$11,MATCH($B169,Premissas!$A$39:$A$45,0))</f>
        <v/>
      </c>
      <c r="L169" s="22" t="str">
        <f>INDEX(Cronograma!K$5:K$11,MATCH($B169,Premissas!$A$39:$A$45,0))</f>
        <v/>
      </c>
      <c r="M169" s="22" t="str">
        <f>INDEX(Cronograma!L$5:L$11,MATCH($B169,Premissas!$A$39:$A$45,0))</f>
        <v/>
      </c>
      <c r="N169" s="22" t="str">
        <f>INDEX(Cronograma!M$5:M$11,MATCH($B169,Premissas!$A$39:$A$45,0))</f>
        <v/>
      </c>
      <c r="O169" s="22" t="str">
        <f>INDEX(Cronograma!N$5:N$11,MATCH($B169,Premissas!$A$39:$A$45,0))</f>
        <v/>
      </c>
      <c r="P169" s="22" t="str">
        <f>INDEX(Cronograma!O$5:O$11,MATCH($B169,Premissas!$A$39:$A$45,0))</f>
        <v/>
      </c>
      <c r="Q169" s="22" t="str">
        <f>INDEX(Cronograma!P$5:P$11,MATCH($B169,Premissas!$A$39:$A$45,0))</f>
        <v>S</v>
      </c>
      <c r="R169" s="22" t="str">
        <f>INDEX(Cronograma!Q$5:Q$11,MATCH($B169,Premissas!$A$39:$A$45,0))</f>
        <v/>
      </c>
      <c r="S169" s="22" t="str">
        <f>INDEX(Cronograma!R$5:R$11,MATCH($B169,Premissas!$A$39:$A$45,0))</f>
        <v/>
      </c>
      <c r="T169" s="22" t="str">
        <f>INDEX(Cronograma!S$5:S$11,MATCH($B169,Premissas!$A$39:$A$45,0))</f>
        <v/>
      </c>
      <c r="U169" s="22" t="str">
        <f>INDEX(Cronograma!T$5:T$11,MATCH($B169,Premissas!$A$39:$A$45,0))</f>
        <v/>
      </c>
      <c r="V169" s="22" t="str">
        <f>INDEX(Cronograma!U$5:U$11,MATCH($B169,Premissas!$A$39:$A$45,0))</f>
        <v/>
      </c>
      <c r="W169" s="22" t="str">
        <f>INDEX(Cronograma!V$5:V$11,MATCH($B169,Premissas!$A$39:$A$45,0))</f>
        <v/>
      </c>
      <c r="X169" s="22" t="str">
        <f>INDEX(Cronograma!W$5:W$11,MATCH($B169,Premissas!$A$39:$A$45,0))</f>
        <v/>
      </c>
      <c r="Y169" s="22" t="str">
        <f>INDEX(Cronograma!X$5:X$11,MATCH($B169,Premissas!$A$39:$A$45,0))</f>
        <v/>
      </c>
      <c r="Z169" s="22" t="str">
        <f>INDEX(Cronograma!Y$5:Y$11,MATCH($B169,Premissas!$A$39:$A$45,0))</f>
        <v/>
      </c>
      <c r="AA169" s="22" t="str">
        <f>INDEX(Cronograma!Z$5:Z$11,MATCH($B169,Premissas!$A$39:$A$45,0))</f>
        <v/>
      </c>
      <c r="AB169" s="22" t="str">
        <f>INDEX(Cronograma!AA$5:AA$11,MATCH($B169,Premissas!$A$39:$A$45,0))</f>
        <v/>
      </c>
      <c r="AC169" s="22" t="str">
        <f>INDEX(Cronograma!AB$5:AB$11,MATCH($B169,Premissas!$A$39:$A$45,0))</f>
        <v/>
      </c>
      <c r="AD169" s="22" t="str">
        <f>INDEX(Cronograma!AC$5:AC$11,MATCH($B169,Premissas!$A$39:$A$45,0))</f>
        <v/>
      </c>
      <c r="AE169" s="22" t="str">
        <f>INDEX(Cronograma!AD$5:AD$11,MATCH($B169,Premissas!$A$39:$A$45,0))</f>
        <v>A</v>
      </c>
      <c r="AF169" s="22" t="str">
        <f>INDEX(Cronograma!AE$5:AE$11,MATCH($B169,Premissas!$A$39:$A$45,0))</f>
        <v/>
      </c>
      <c r="AG169" s="22" t="str">
        <f>INDEX(Cronograma!AF$5:AF$11,MATCH($B169,Premissas!$A$39:$A$45,0))</f>
        <v/>
      </c>
      <c r="AH169" s="22" t="str">
        <f>INDEX(Cronograma!AG$5:AG$11,MATCH($B169,Premissas!$A$39:$A$45,0))</f>
        <v/>
      </c>
      <c r="AI169" s="22" t="str">
        <f>INDEX(Cronograma!AH$5:AH$11,MATCH($B169,Premissas!$A$39:$A$45,0))</f>
        <v/>
      </c>
      <c r="AJ169" s="22" t="str">
        <f>INDEX(Cronograma!AI$5:AI$11,MATCH($B169,Premissas!$A$39:$A$45,0))</f>
        <v/>
      </c>
      <c r="AK169" s="22" t="str">
        <f>INDEX(Cronograma!AJ$5:AJ$11,MATCH($B169,Premissas!$A$39:$A$45,0))</f>
        <v/>
      </c>
      <c r="AL169" s="22" t="str">
        <f>INDEX(Cronograma!AK$5:AK$11,MATCH($B169,Premissas!$A$39:$A$45,0))</f>
        <v/>
      </c>
      <c r="AM169" s="22" t="str">
        <f>INDEX(Cronograma!AL$5:AL$11,MATCH($B169,Premissas!$A$39:$A$45,0))</f>
        <v/>
      </c>
      <c r="AN169" s="22" t="str">
        <f>INDEX(Cronograma!AM$5:AM$11,MATCH($B169,Premissas!$A$39:$A$45,0))</f>
        <v/>
      </c>
      <c r="AO169" s="22" t="str">
        <f>INDEX(Cronograma!AN$5:AN$11,MATCH($B169,Premissas!$A$39:$A$45,0))</f>
        <v/>
      </c>
      <c r="AP169" s="22" t="str">
        <f>INDEX(Cronograma!AO$5:AO$11,MATCH($B169,Premissas!$A$39:$A$45,0))</f>
        <v/>
      </c>
      <c r="AQ169" s="22" t="str">
        <f>INDEX(Cronograma!AP$5:AP$11,MATCH($B169,Premissas!$A$39:$A$45,0))</f>
        <v/>
      </c>
      <c r="AR169" s="22" t="str">
        <f>INDEX(Cronograma!AQ$5:AQ$11,MATCH($B169,Premissas!$A$39:$A$45,0))</f>
        <v/>
      </c>
      <c r="AS169" s="22" t="str">
        <f>INDEX(Cronograma!AR$5:AR$11,MATCH($B169,Premissas!$A$39:$A$45,0))</f>
        <v/>
      </c>
      <c r="AT169" s="22" t="str">
        <f>INDEX(Cronograma!AS$5:AS$11,MATCH($B169,Premissas!$A$39:$A$45,0))</f>
        <v/>
      </c>
      <c r="AU169" s="22" t="str">
        <f>INDEX(Cronograma!AT$5:AT$11,MATCH($B169,Premissas!$A$39:$A$45,0))</f>
        <v/>
      </c>
      <c r="AV169" s="22" t="str">
        <f>INDEX(Cronograma!AU$5:AU$11,MATCH($B169,Premissas!$A$39:$A$45,0))</f>
        <v/>
      </c>
      <c r="AW169" s="22" t="str">
        <f>INDEX(Cronograma!AV$5:AV$11,MATCH($B169,Premissas!$A$39:$A$45,0))</f>
        <v/>
      </c>
      <c r="AX169" s="22" t="str">
        <f>INDEX(Cronograma!AW$5:AW$11,MATCH($B169,Premissas!$A$39:$A$45,0))</f>
        <v>S</v>
      </c>
      <c r="AY169" s="22" t="str">
        <f>INDEX(Cronograma!AX$5:AX$11,MATCH($B169,Premissas!$A$39:$A$45,0))</f>
        <v/>
      </c>
      <c r="AZ169" s="22" t="str">
        <f>INDEX(Cronograma!AY$5:AY$11,MATCH($B169,Premissas!$A$39:$A$45,0))</f>
        <v/>
      </c>
      <c r="BA169" s="22" t="str">
        <f>INDEX(Cronograma!AZ$5:AZ$11,MATCH($B169,Premissas!$A$39:$A$45,0))</f>
        <v/>
      </c>
      <c r="BB169" s="22" t="str">
        <f>INDEX(Cronograma!BA$5:BA$11,MATCH($B169,Premissas!$A$39:$A$45,0))</f>
        <v/>
      </c>
    </row>
    <row r="170" spans="1:54" ht="15" customHeight="1" x14ac:dyDescent="0.4">
      <c r="A170" s="15" t="str">
        <f>Frota!$B170&amp;" — "&amp;Frota!$A170</f>
        <v>NH TL-75 4x4 — 105033</v>
      </c>
      <c r="B170" s="16" t="str">
        <f>Frota!$C170</f>
        <v>Trator</v>
      </c>
      <c r="C170" s="22" t="str">
        <f>INDEX(Cronograma!B$5:B$11,MATCH($B170,Premissas!$A$39:$A$45,0))</f>
        <v/>
      </c>
      <c r="D170" s="22" t="str">
        <f>INDEX(Cronograma!C$5:C$11,MATCH($B170,Premissas!$A$39:$A$45,0))</f>
        <v/>
      </c>
      <c r="E170" s="22" t="str">
        <f>INDEX(Cronograma!D$5:D$11,MATCH($B170,Premissas!$A$39:$A$45,0))</f>
        <v/>
      </c>
      <c r="F170" s="22" t="str">
        <f>INDEX(Cronograma!E$5:E$11,MATCH($B170,Premissas!$A$39:$A$45,0))</f>
        <v/>
      </c>
      <c r="G170" s="22" t="str">
        <f>INDEX(Cronograma!F$5:F$11,MATCH($B170,Premissas!$A$39:$A$45,0))</f>
        <v/>
      </c>
      <c r="H170" s="22" t="str">
        <f>INDEX(Cronograma!G$5:G$11,MATCH($B170,Premissas!$A$39:$A$45,0))</f>
        <v/>
      </c>
      <c r="I170" s="22" t="str">
        <f>INDEX(Cronograma!H$5:H$11,MATCH($B170,Premissas!$A$39:$A$45,0))</f>
        <v>S</v>
      </c>
      <c r="J170" s="22" t="str">
        <f>INDEX(Cronograma!I$5:I$11,MATCH($B170,Premissas!$A$39:$A$45,0))</f>
        <v/>
      </c>
      <c r="K170" s="22" t="str">
        <f>INDEX(Cronograma!J$5:J$11,MATCH($B170,Premissas!$A$39:$A$45,0))</f>
        <v/>
      </c>
      <c r="L170" s="22" t="str">
        <f>INDEX(Cronograma!K$5:K$11,MATCH($B170,Premissas!$A$39:$A$45,0))</f>
        <v/>
      </c>
      <c r="M170" s="22" t="str">
        <f>INDEX(Cronograma!L$5:L$11,MATCH($B170,Premissas!$A$39:$A$45,0))</f>
        <v/>
      </c>
      <c r="N170" s="22" t="str">
        <f>INDEX(Cronograma!M$5:M$11,MATCH($B170,Premissas!$A$39:$A$45,0))</f>
        <v/>
      </c>
      <c r="O170" s="22" t="str">
        <f>INDEX(Cronograma!N$5:N$11,MATCH($B170,Premissas!$A$39:$A$45,0))</f>
        <v>A</v>
      </c>
      <c r="P170" s="22" t="str">
        <f>INDEX(Cronograma!O$5:O$11,MATCH($B170,Premissas!$A$39:$A$45,0))</f>
        <v/>
      </c>
      <c r="Q170" s="22" t="str">
        <f>INDEX(Cronograma!P$5:P$11,MATCH($B170,Premissas!$A$39:$A$45,0))</f>
        <v/>
      </c>
      <c r="R170" s="22" t="str">
        <f>INDEX(Cronograma!Q$5:Q$11,MATCH($B170,Premissas!$A$39:$A$45,0))</f>
        <v/>
      </c>
      <c r="S170" s="22" t="str">
        <f>INDEX(Cronograma!R$5:R$11,MATCH($B170,Premissas!$A$39:$A$45,0))</f>
        <v/>
      </c>
      <c r="T170" s="22" t="str">
        <f>INDEX(Cronograma!S$5:S$11,MATCH($B170,Premissas!$A$39:$A$45,0))</f>
        <v/>
      </c>
      <c r="U170" s="22" t="str">
        <f>INDEX(Cronograma!T$5:T$11,MATCH($B170,Premissas!$A$39:$A$45,0))</f>
        <v>S</v>
      </c>
      <c r="V170" s="22" t="str">
        <f>INDEX(Cronograma!U$5:U$11,MATCH($B170,Premissas!$A$39:$A$45,0))</f>
        <v/>
      </c>
      <c r="W170" s="22" t="str">
        <f>INDEX(Cronograma!V$5:V$11,MATCH($B170,Premissas!$A$39:$A$45,0))</f>
        <v/>
      </c>
      <c r="X170" s="22" t="str">
        <f>INDEX(Cronograma!W$5:W$11,MATCH($B170,Premissas!$A$39:$A$45,0))</f>
        <v/>
      </c>
      <c r="Y170" s="22" t="str">
        <f>INDEX(Cronograma!X$5:X$11,MATCH($B170,Premissas!$A$39:$A$45,0))</f>
        <v/>
      </c>
      <c r="Z170" s="22" t="str">
        <f>INDEX(Cronograma!Y$5:Y$11,MATCH($B170,Premissas!$A$39:$A$45,0))</f>
        <v/>
      </c>
      <c r="AA170" s="22" t="str">
        <f>INDEX(Cronograma!Z$5:Z$11,MATCH($B170,Premissas!$A$39:$A$45,0))</f>
        <v>B</v>
      </c>
      <c r="AB170" s="22" t="str">
        <f>INDEX(Cronograma!AA$5:AA$11,MATCH($B170,Premissas!$A$39:$A$45,0))</f>
        <v/>
      </c>
      <c r="AC170" s="22" t="str">
        <f>INDEX(Cronograma!AB$5:AB$11,MATCH($B170,Premissas!$A$39:$A$45,0))</f>
        <v/>
      </c>
      <c r="AD170" s="22" t="str">
        <f>INDEX(Cronograma!AC$5:AC$11,MATCH($B170,Premissas!$A$39:$A$45,0))</f>
        <v/>
      </c>
      <c r="AE170" s="22" t="str">
        <f>INDEX(Cronograma!AD$5:AD$11,MATCH($B170,Premissas!$A$39:$A$45,0))</f>
        <v/>
      </c>
      <c r="AF170" s="22" t="str">
        <f>INDEX(Cronograma!AE$5:AE$11,MATCH($B170,Premissas!$A$39:$A$45,0))</f>
        <v/>
      </c>
      <c r="AG170" s="22" t="str">
        <f>INDEX(Cronograma!AF$5:AF$11,MATCH($B170,Premissas!$A$39:$A$45,0))</f>
        <v/>
      </c>
      <c r="AH170" s="22" t="str">
        <f>INDEX(Cronograma!AG$5:AG$11,MATCH($B170,Premissas!$A$39:$A$45,0))</f>
        <v>S</v>
      </c>
      <c r="AI170" s="22" t="str">
        <f>INDEX(Cronograma!AH$5:AH$11,MATCH($B170,Premissas!$A$39:$A$45,0))</f>
        <v/>
      </c>
      <c r="AJ170" s="22" t="str">
        <f>INDEX(Cronograma!AI$5:AI$11,MATCH($B170,Premissas!$A$39:$A$45,0))</f>
        <v/>
      </c>
      <c r="AK170" s="22" t="str">
        <f>INDEX(Cronograma!AJ$5:AJ$11,MATCH($B170,Premissas!$A$39:$A$45,0))</f>
        <v/>
      </c>
      <c r="AL170" s="22" t="str">
        <f>INDEX(Cronograma!AK$5:AK$11,MATCH($B170,Premissas!$A$39:$A$45,0))</f>
        <v/>
      </c>
      <c r="AM170" s="22" t="str">
        <f>INDEX(Cronograma!AL$5:AL$11,MATCH($B170,Premissas!$A$39:$A$45,0))</f>
        <v/>
      </c>
      <c r="AN170" s="22" t="str">
        <f>INDEX(Cronograma!AM$5:AM$11,MATCH($B170,Premissas!$A$39:$A$45,0))</f>
        <v/>
      </c>
      <c r="AO170" s="22" t="str">
        <f>INDEX(Cronograma!AN$5:AN$11,MATCH($B170,Premissas!$A$39:$A$45,0))</f>
        <v/>
      </c>
      <c r="AP170" s="22" t="str">
        <f>INDEX(Cronograma!AO$5:AO$11,MATCH($B170,Premissas!$A$39:$A$45,0))</f>
        <v/>
      </c>
      <c r="AQ170" s="22" t="str">
        <f>INDEX(Cronograma!AP$5:AP$11,MATCH($B170,Premissas!$A$39:$A$45,0))</f>
        <v/>
      </c>
      <c r="AR170" s="22" t="str">
        <f>INDEX(Cronograma!AQ$5:AQ$11,MATCH($B170,Premissas!$A$39:$A$45,0))</f>
        <v/>
      </c>
      <c r="AS170" s="22" t="str">
        <f>INDEX(Cronograma!AR$5:AR$11,MATCH($B170,Premissas!$A$39:$A$45,0))</f>
        <v/>
      </c>
      <c r="AT170" s="22" t="str">
        <f>INDEX(Cronograma!AS$5:AS$11,MATCH($B170,Premissas!$A$39:$A$45,0))</f>
        <v/>
      </c>
      <c r="AU170" s="22" t="str">
        <f>INDEX(Cronograma!AT$5:AT$11,MATCH($B170,Premissas!$A$39:$A$45,0))</f>
        <v/>
      </c>
      <c r="AV170" s="22" t="str">
        <f>INDEX(Cronograma!AU$5:AU$11,MATCH($B170,Premissas!$A$39:$A$45,0))</f>
        <v/>
      </c>
      <c r="AW170" s="22" t="str">
        <f>INDEX(Cronograma!AV$5:AV$11,MATCH($B170,Premissas!$A$39:$A$45,0))</f>
        <v/>
      </c>
      <c r="AX170" s="22" t="str">
        <f>INDEX(Cronograma!AW$5:AW$11,MATCH($B170,Premissas!$A$39:$A$45,0))</f>
        <v/>
      </c>
      <c r="AY170" s="22" t="str">
        <f>INDEX(Cronograma!AX$5:AX$11,MATCH($B170,Premissas!$A$39:$A$45,0))</f>
        <v>A</v>
      </c>
      <c r="AZ170" s="22" t="str">
        <f>INDEX(Cronograma!AY$5:AY$11,MATCH($B170,Premissas!$A$39:$A$45,0))</f>
        <v/>
      </c>
      <c r="BA170" s="22" t="str">
        <f>INDEX(Cronograma!AZ$5:AZ$11,MATCH($B170,Premissas!$A$39:$A$45,0))</f>
        <v/>
      </c>
      <c r="BB170" s="22" t="str">
        <f>INDEX(Cronograma!BA$5:BA$11,MATCH($B170,Premissas!$A$39:$A$45,0))</f>
        <v/>
      </c>
    </row>
    <row r="171" spans="1:54" ht="15" customHeight="1" x14ac:dyDescent="0.4">
      <c r="A171" s="15" t="str">
        <f>Frota!$B171&amp;" — "&amp;Frota!$A171</f>
        <v>NH TL-75 4x4 — 105075</v>
      </c>
      <c r="B171" s="16" t="str">
        <f>Frota!$C171</f>
        <v>Trator</v>
      </c>
      <c r="C171" s="22" t="str">
        <f>INDEX(Cronograma!B$5:B$11,MATCH($B171,Premissas!$A$39:$A$45,0))</f>
        <v/>
      </c>
      <c r="D171" s="22" t="str">
        <f>INDEX(Cronograma!C$5:C$11,MATCH($B171,Premissas!$A$39:$A$45,0))</f>
        <v/>
      </c>
      <c r="E171" s="22" t="str">
        <f>INDEX(Cronograma!D$5:D$11,MATCH($B171,Premissas!$A$39:$A$45,0))</f>
        <v/>
      </c>
      <c r="F171" s="22" t="str">
        <f>INDEX(Cronograma!E$5:E$11,MATCH($B171,Premissas!$A$39:$A$45,0))</f>
        <v/>
      </c>
      <c r="G171" s="22" t="str">
        <f>INDEX(Cronograma!F$5:F$11,MATCH($B171,Premissas!$A$39:$A$45,0))</f>
        <v/>
      </c>
      <c r="H171" s="22" t="str">
        <f>INDEX(Cronograma!G$5:G$11,MATCH($B171,Premissas!$A$39:$A$45,0))</f>
        <v/>
      </c>
      <c r="I171" s="22" t="str">
        <f>INDEX(Cronograma!H$5:H$11,MATCH($B171,Premissas!$A$39:$A$45,0))</f>
        <v>S</v>
      </c>
      <c r="J171" s="22" t="str">
        <f>INDEX(Cronograma!I$5:I$11,MATCH($B171,Premissas!$A$39:$A$45,0))</f>
        <v/>
      </c>
      <c r="K171" s="22" t="str">
        <f>INDEX(Cronograma!J$5:J$11,MATCH($B171,Premissas!$A$39:$A$45,0))</f>
        <v/>
      </c>
      <c r="L171" s="22" t="str">
        <f>INDEX(Cronograma!K$5:K$11,MATCH($B171,Premissas!$A$39:$A$45,0))</f>
        <v/>
      </c>
      <c r="M171" s="22" t="str">
        <f>INDEX(Cronograma!L$5:L$11,MATCH($B171,Premissas!$A$39:$A$45,0))</f>
        <v/>
      </c>
      <c r="N171" s="22" t="str">
        <f>INDEX(Cronograma!M$5:M$11,MATCH($B171,Premissas!$A$39:$A$45,0))</f>
        <v/>
      </c>
      <c r="O171" s="22" t="str">
        <f>INDEX(Cronograma!N$5:N$11,MATCH($B171,Premissas!$A$39:$A$45,0))</f>
        <v>A</v>
      </c>
      <c r="P171" s="22" t="str">
        <f>INDEX(Cronograma!O$5:O$11,MATCH($B171,Premissas!$A$39:$A$45,0))</f>
        <v/>
      </c>
      <c r="Q171" s="22" t="str">
        <f>INDEX(Cronograma!P$5:P$11,MATCH($B171,Premissas!$A$39:$A$45,0))</f>
        <v/>
      </c>
      <c r="R171" s="22" t="str">
        <f>INDEX(Cronograma!Q$5:Q$11,MATCH($B171,Premissas!$A$39:$A$45,0))</f>
        <v/>
      </c>
      <c r="S171" s="22" t="str">
        <f>INDEX(Cronograma!R$5:R$11,MATCH($B171,Premissas!$A$39:$A$45,0))</f>
        <v/>
      </c>
      <c r="T171" s="22" t="str">
        <f>INDEX(Cronograma!S$5:S$11,MATCH($B171,Premissas!$A$39:$A$45,0))</f>
        <v/>
      </c>
      <c r="U171" s="22" t="str">
        <f>INDEX(Cronograma!T$5:T$11,MATCH($B171,Premissas!$A$39:$A$45,0))</f>
        <v>S</v>
      </c>
      <c r="V171" s="22" t="str">
        <f>INDEX(Cronograma!U$5:U$11,MATCH($B171,Premissas!$A$39:$A$45,0))</f>
        <v/>
      </c>
      <c r="W171" s="22" t="str">
        <f>INDEX(Cronograma!V$5:V$11,MATCH($B171,Premissas!$A$39:$A$45,0))</f>
        <v/>
      </c>
      <c r="X171" s="22" t="str">
        <f>INDEX(Cronograma!W$5:W$11,MATCH($B171,Premissas!$A$39:$A$45,0))</f>
        <v/>
      </c>
      <c r="Y171" s="22" t="str">
        <f>INDEX(Cronograma!X$5:X$11,MATCH($B171,Premissas!$A$39:$A$45,0))</f>
        <v/>
      </c>
      <c r="Z171" s="22" t="str">
        <f>INDEX(Cronograma!Y$5:Y$11,MATCH($B171,Premissas!$A$39:$A$45,0))</f>
        <v/>
      </c>
      <c r="AA171" s="22" t="str">
        <f>INDEX(Cronograma!Z$5:Z$11,MATCH($B171,Premissas!$A$39:$A$45,0))</f>
        <v>B</v>
      </c>
      <c r="AB171" s="22" t="str">
        <f>INDEX(Cronograma!AA$5:AA$11,MATCH($B171,Premissas!$A$39:$A$45,0))</f>
        <v/>
      </c>
      <c r="AC171" s="22" t="str">
        <f>INDEX(Cronograma!AB$5:AB$11,MATCH($B171,Premissas!$A$39:$A$45,0))</f>
        <v/>
      </c>
      <c r="AD171" s="22" t="str">
        <f>INDEX(Cronograma!AC$5:AC$11,MATCH($B171,Premissas!$A$39:$A$45,0))</f>
        <v/>
      </c>
      <c r="AE171" s="22" t="str">
        <f>INDEX(Cronograma!AD$5:AD$11,MATCH($B171,Premissas!$A$39:$A$45,0))</f>
        <v/>
      </c>
      <c r="AF171" s="22" t="str">
        <f>INDEX(Cronograma!AE$5:AE$11,MATCH($B171,Premissas!$A$39:$A$45,0))</f>
        <v/>
      </c>
      <c r="AG171" s="22" t="str">
        <f>INDEX(Cronograma!AF$5:AF$11,MATCH($B171,Premissas!$A$39:$A$45,0))</f>
        <v/>
      </c>
      <c r="AH171" s="22" t="str">
        <f>INDEX(Cronograma!AG$5:AG$11,MATCH($B171,Premissas!$A$39:$A$45,0))</f>
        <v>S</v>
      </c>
      <c r="AI171" s="22" t="str">
        <f>INDEX(Cronograma!AH$5:AH$11,MATCH($B171,Premissas!$A$39:$A$45,0))</f>
        <v/>
      </c>
      <c r="AJ171" s="22" t="str">
        <f>INDEX(Cronograma!AI$5:AI$11,MATCH($B171,Premissas!$A$39:$A$45,0))</f>
        <v/>
      </c>
      <c r="AK171" s="22" t="str">
        <f>INDEX(Cronograma!AJ$5:AJ$11,MATCH($B171,Premissas!$A$39:$A$45,0))</f>
        <v/>
      </c>
      <c r="AL171" s="22" t="str">
        <f>INDEX(Cronograma!AK$5:AK$11,MATCH($B171,Premissas!$A$39:$A$45,0))</f>
        <v/>
      </c>
      <c r="AM171" s="22" t="str">
        <f>INDEX(Cronograma!AL$5:AL$11,MATCH($B171,Premissas!$A$39:$A$45,0))</f>
        <v/>
      </c>
      <c r="AN171" s="22" t="str">
        <f>INDEX(Cronograma!AM$5:AM$11,MATCH($B171,Premissas!$A$39:$A$45,0))</f>
        <v/>
      </c>
      <c r="AO171" s="22" t="str">
        <f>INDEX(Cronograma!AN$5:AN$11,MATCH($B171,Premissas!$A$39:$A$45,0))</f>
        <v/>
      </c>
      <c r="AP171" s="22" t="str">
        <f>INDEX(Cronograma!AO$5:AO$11,MATCH($B171,Premissas!$A$39:$A$45,0))</f>
        <v/>
      </c>
      <c r="AQ171" s="22" t="str">
        <f>INDEX(Cronograma!AP$5:AP$11,MATCH($B171,Premissas!$A$39:$A$45,0))</f>
        <v/>
      </c>
      <c r="AR171" s="22" t="str">
        <f>INDEX(Cronograma!AQ$5:AQ$11,MATCH($B171,Premissas!$A$39:$A$45,0))</f>
        <v/>
      </c>
      <c r="AS171" s="22" t="str">
        <f>INDEX(Cronograma!AR$5:AR$11,MATCH($B171,Premissas!$A$39:$A$45,0))</f>
        <v/>
      </c>
      <c r="AT171" s="22" t="str">
        <f>INDEX(Cronograma!AS$5:AS$11,MATCH($B171,Premissas!$A$39:$A$45,0))</f>
        <v/>
      </c>
      <c r="AU171" s="22" t="str">
        <f>INDEX(Cronograma!AT$5:AT$11,MATCH($B171,Premissas!$A$39:$A$45,0))</f>
        <v/>
      </c>
      <c r="AV171" s="22" t="str">
        <f>INDEX(Cronograma!AU$5:AU$11,MATCH($B171,Premissas!$A$39:$A$45,0))</f>
        <v/>
      </c>
      <c r="AW171" s="22" t="str">
        <f>INDEX(Cronograma!AV$5:AV$11,MATCH($B171,Premissas!$A$39:$A$45,0))</f>
        <v/>
      </c>
      <c r="AX171" s="22" t="str">
        <f>INDEX(Cronograma!AW$5:AW$11,MATCH($B171,Premissas!$A$39:$A$45,0))</f>
        <v/>
      </c>
      <c r="AY171" s="22" t="str">
        <f>INDEX(Cronograma!AX$5:AX$11,MATCH($B171,Premissas!$A$39:$A$45,0))</f>
        <v>A</v>
      </c>
      <c r="AZ171" s="22" t="str">
        <f>INDEX(Cronograma!AY$5:AY$11,MATCH($B171,Premissas!$A$39:$A$45,0))</f>
        <v/>
      </c>
      <c r="BA171" s="22" t="str">
        <f>INDEX(Cronograma!AZ$5:AZ$11,MATCH($B171,Premissas!$A$39:$A$45,0))</f>
        <v/>
      </c>
      <c r="BB171" s="22" t="str">
        <f>INDEX(Cronograma!BA$5:BA$11,MATCH($B171,Premissas!$A$39:$A$45,0))</f>
        <v/>
      </c>
    </row>
    <row r="172" spans="1:54" ht="15" customHeight="1" x14ac:dyDescent="0.4">
      <c r="A172" s="15" t="str">
        <f>Frota!$B172&amp;" — "&amp;Frota!$A172</f>
        <v>NH TL-75 4x4 — 105076</v>
      </c>
      <c r="B172" s="16" t="str">
        <f>Frota!$C172</f>
        <v>Trator</v>
      </c>
      <c r="C172" s="22" t="str">
        <f>INDEX(Cronograma!B$5:B$11,MATCH($B172,Premissas!$A$39:$A$45,0))</f>
        <v/>
      </c>
      <c r="D172" s="22" t="str">
        <f>INDEX(Cronograma!C$5:C$11,MATCH($B172,Premissas!$A$39:$A$45,0))</f>
        <v/>
      </c>
      <c r="E172" s="22" t="str">
        <f>INDEX(Cronograma!D$5:D$11,MATCH($B172,Premissas!$A$39:$A$45,0))</f>
        <v/>
      </c>
      <c r="F172" s="22" t="str">
        <f>INDEX(Cronograma!E$5:E$11,MATCH($B172,Premissas!$A$39:$A$45,0))</f>
        <v/>
      </c>
      <c r="G172" s="22" t="str">
        <f>INDEX(Cronograma!F$5:F$11,MATCH($B172,Premissas!$A$39:$A$45,0))</f>
        <v/>
      </c>
      <c r="H172" s="22" t="str">
        <f>INDEX(Cronograma!G$5:G$11,MATCH($B172,Premissas!$A$39:$A$45,0))</f>
        <v/>
      </c>
      <c r="I172" s="22" t="str">
        <f>INDEX(Cronograma!H$5:H$11,MATCH($B172,Premissas!$A$39:$A$45,0))</f>
        <v>S</v>
      </c>
      <c r="J172" s="22" t="str">
        <f>INDEX(Cronograma!I$5:I$11,MATCH($B172,Premissas!$A$39:$A$45,0))</f>
        <v/>
      </c>
      <c r="K172" s="22" t="str">
        <f>INDEX(Cronograma!J$5:J$11,MATCH($B172,Premissas!$A$39:$A$45,0))</f>
        <v/>
      </c>
      <c r="L172" s="22" t="str">
        <f>INDEX(Cronograma!K$5:K$11,MATCH($B172,Premissas!$A$39:$A$45,0))</f>
        <v/>
      </c>
      <c r="M172" s="22" t="str">
        <f>INDEX(Cronograma!L$5:L$11,MATCH($B172,Premissas!$A$39:$A$45,0))</f>
        <v/>
      </c>
      <c r="N172" s="22" t="str">
        <f>INDEX(Cronograma!M$5:M$11,MATCH($B172,Premissas!$A$39:$A$45,0))</f>
        <v/>
      </c>
      <c r="O172" s="22" t="str">
        <f>INDEX(Cronograma!N$5:N$11,MATCH($B172,Premissas!$A$39:$A$45,0))</f>
        <v>A</v>
      </c>
      <c r="P172" s="22" t="str">
        <f>INDEX(Cronograma!O$5:O$11,MATCH($B172,Premissas!$A$39:$A$45,0))</f>
        <v/>
      </c>
      <c r="Q172" s="22" t="str">
        <f>INDEX(Cronograma!P$5:P$11,MATCH($B172,Premissas!$A$39:$A$45,0))</f>
        <v/>
      </c>
      <c r="R172" s="22" t="str">
        <f>INDEX(Cronograma!Q$5:Q$11,MATCH($B172,Premissas!$A$39:$A$45,0))</f>
        <v/>
      </c>
      <c r="S172" s="22" t="str">
        <f>INDEX(Cronograma!R$5:R$11,MATCH($B172,Premissas!$A$39:$A$45,0))</f>
        <v/>
      </c>
      <c r="T172" s="22" t="str">
        <f>INDEX(Cronograma!S$5:S$11,MATCH($B172,Premissas!$A$39:$A$45,0))</f>
        <v/>
      </c>
      <c r="U172" s="22" t="str">
        <f>INDEX(Cronograma!T$5:T$11,MATCH($B172,Premissas!$A$39:$A$45,0))</f>
        <v>S</v>
      </c>
      <c r="V172" s="22" t="str">
        <f>INDEX(Cronograma!U$5:U$11,MATCH($B172,Premissas!$A$39:$A$45,0))</f>
        <v/>
      </c>
      <c r="W172" s="22" t="str">
        <f>INDEX(Cronograma!V$5:V$11,MATCH($B172,Premissas!$A$39:$A$45,0))</f>
        <v/>
      </c>
      <c r="X172" s="22" t="str">
        <f>INDEX(Cronograma!W$5:W$11,MATCH($B172,Premissas!$A$39:$A$45,0))</f>
        <v/>
      </c>
      <c r="Y172" s="22" t="str">
        <f>INDEX(Cronograma!X$5:X$11,MATCH($B172,Premissas!$A$39:$A$45,0))</f>
        <v/>
      </c>
      <c r="Z172" s="22" t="str">
        <f>INDEX(Cronograma!Y$5:Y$11,MATCH($B172,Premissas!$A$39:$A$45,0))</f>
        <v/>
      </c>
      <c r="AA172" s="22" t="str">
        <f>INDEX(Cronograma!Z$5:Z$11,MATCH($B172,Premissas!$A$39:$A$45,0))</f>
        <v>B</v>
      </c>
      <c r="AB172" s="22" t="str">
        <f>INDEX(Cronograma!AA$5:AA$11,MATCH($B172,Premissas!$A$39:$A$45,0))</f>
        <v/>
      </c>
      <c r="AC172" s="22" t="str">
        <f>INDEX(Cronograma!AB$5:AB$11,MATCH($B172,Premissas!$A$39:$A$45,0))</f>
        <v/>
      </c>
      <c r="AD172" s="22" t="str">
        <f>INDEX(Cronograma!AC$5:AC$11,MATCH($B172,Premissas!$A$39:$A$45,0))</f>
        <v/>
      </c>
      <c r="AE172" s="22" t="str">
        <f>INDEX(Cronograma!AD$5:AD$11,MATCH($B172,Premissas!$A$39:$A$45,0))</f>
        <v/>
      </c>
      <c r="AF172" s="22" t="str">
        <f>INDEX(Cronograma!AE$5:AE$11,MATCH($B172,Premissas!$A$39:$A$45,0))</f>
        <v/>
      </c>
      <c r="AG172" s="22" t="str">
        <f>INDEX(Cronograma!AF$5:AF$11,MATCH($B172,Premissas!$A$39:$A$45,0))</f>
        <v/>
      </c>
      <c r="AH172" s="22" t="str">
        <f>INDEX(Cronograma!AG$5:AG$11,MATCH($B172,Premissas!$A$39:$A$45,0))</f>
        <v>S</v>
      </c>
      <c r="AI172" s="22" t="str">
        <f>INDEX(Cronograma!AH$5:AH$11,MATCH($B172,Premissas!$A$39:$A$45,0))</f>
        <v/>
      </c>
      <c r="AJ172" s="22" t="str">
        <f>INDEX(Cronograma!AI$5:AI$11,MATCH($B172,Premissas!$A$39:$A$45,0))</f>
        <v/>
      </c>
      <c r="AK172" s="22" t="str">
        <f>INDEX(Cronograma!AJ$5:AJ$11,MATCH($B172,Premissas!$A$39:$A$45,0))</f>
        <v/>
      </c>
      <c r="AL172" s="22" t="str">
        <f>INDEX(Cronograma!AK$5:AK$11,MATCH($B172,Premissas!$A$39:$A$45,0))</f>
        <v/>
      </c>
      <c r="AM172" s="22" t="str">
        <f>INDEX(Cronograma!AL$5:AL$11,MATCH($B172,Premissas!$A$39:$A$45,0))</f>
        <v/>
      </c>
      <c r="AN172" s="22" t="str">
        <f>INDEX(Cronograma!AM$5:AM$11,MATCH($B172,Premissas!$A$39:$A$45,0))</f>
        <v/>
      </c>
      <c r="AO172" s="22" t="str">
        <f>INDEX(Cronograma!AN$5:AN$11,MATCH($B172,Premissas!$A$39:$A$45,0))</f>
        <v/>
      </c>
      <c r="AP172" s="22" t="str">
        <f>INDEX(Cronograma!AO$5:AO$11,MATCH($B172,Premissas!$A$39:$A$45,0))</f>
        <v/>
      </c>
      <c r="AQ172" s="22" t="str">
        <f>INDEX(Cronograma!AP$5:AP$11,MATCH($B172,Premissas!$A$39:$A$45,0))</f>
        <v/>
      </c>
      <c r="AR172" s="22" t="str">
        <f>INDEX(Cronograma!AQ$5:AQ$11,MATCH($B172,Premissas!$A$39:$A$45,0))</f>
        <v/>
      </c>
      <c r="AS172" s="22" t="str">
        <f>INDEX(Cronograma!AR$5:AR$11,MATCH($B172,Premissas!$A$39:$A$45,0))</f>
        <v/>
      </c>
      <c r="AT172" s="22" t="str">
        <f>INDEX(Cronograma!AS$5:AS$11,MATCH($B172,Premissas!$A$39:$A$45,0))</f>
        <v/>
      </c>
      <c r="AU172" s="22" t="str">
        <f>INDEX(Cronograma!AT$5:AT$11,MATCH($B172,Premissas!$A$39:$A$45,0))</f>
        <v/>
      </c>
      <c r="AV172" s="22" t="str">
        <f>INDEX(Cronograma!AU$5:AU$11,MATCH($B172,Premissas!$A$39:$A$45,0))</f>
        <v/>
      </c>
      <c r="AW172" s="22" t="str">
        <f>INDEX(Cronograma!AV$5:AV$11,MATCH($B172,Premissas!$A$39:$A$45,0))</f>
        <v/>
      </c>
      <c r="AX172" s="22" t="str">
        <f>INDEX(Cronograma!AW$5:AW$11,MATCH($B172,Premissas!$A$39:$A$45,0))</f>
        <v/>
      </c>
      <c r="AY172" s="22" t="str">
        <f>INDEX(Cronograma!AX$5:AX$11,MATCH($B172,Premissas!$A$39:$A$45,0))</f>
        <v>A</v>
      </c>
      <c r="AZ172" s="22" t="str">
        <f>INDEX(Cronograma!AY$5:AY$11,MATCH($B172,Premissas!$A$39:$A$45,0))</f>
        <v/>
      </c>
      <c r="BA172" s="22" t="str">
        <f>INDEX(Cronograma!AZ$5:AZ$11,MATCH($B172,Premissas!$A$39:$A$45,0))</f>
        <v/>
      </c>
      <c r="BB172" s="22" t="str">
        <f>INDEX(Cronograma!BA$5:BA$11,MATCH($B172,Premissas!$A$39:$A$45,0))</f>
        <v/>
      </c>
    </row>
    <row r="173" spans="1:54" ht="15" customHeight="1" x14ac:dyDescent="0.4">
      <c r="A173" s="15" t="str">
        <f>Frota!$B173&amp;" — "&amp;Frota!$A173</f>
        <v>NH TL-85 4x4 — 105082</v>
      </c>
      <c r="B173" s="16" t="str">
        <f>Frota!$C173</f>
        <v>Trator</v>
      </c>
      <c r="C173" s="22" t="str">
        <f>INDEX(Cronograma!B$5:B$11,MATCH($B173,Premissas!$A$39:$A$45,0))</f>
        <v/>
      </c>
      <c r="D173" s="22" t="str">
        <f>INDEX(Cronograma!C$5:C$11,MATCH($B173,Premissas!$A$39:$A$45,0))</f>
        <v/>
      </c>
      <c r="E173" s="22" t="str">
        <f>INDEX(Cronograma!D$5:D$11,MATCH($B173,Premissas!$A$39:$A$45,0))</f>
        <v/>
      </c>
      <c r="F173" s="22" t="str">
        <f>INDEX(Cronograma!E$5:E$11,MATCH($B173,Premissas!$A$39:$A$45,0))</f>
        <v/>
      </c>
      <c r="G173" s="22" t="str">
        <f>INDEX(Cronograma!F$5:F$11,MATCH($B173,Premissas!$A$39:$A$45,0))</f>
        <v/>
      </c>
      <c r="H173" s="22" t="str">
        <f>INDEX(Cronograma!G$5:G$11,MATCH($B173,Premissas!$A$39:$A$45,0))</f>
        <v/>
      </c>
      <c r="I173" s="22" t="str">
        <f>INDEX(Cronograma!H$5:H$11,MATCH($B173,Premissas!$A$39:$A$45,0))</f>
        <v>S</v>
      </c>
      <c r="J173" s="22" t="str">
        <f>INDEX(Cronograma!I$5:I$11,MATCH($B173,Premissas!$A$39:$A$45,0))</f>
        <v/>
      </c>
      <c r="K173" s="22" t="str">
        <f>INDEX(Cronograma!J$5:J$11,MATCH($B173,Premissas!$A$39:$A$45,0))</f>
        <v/>
      </c>
      <c r="L173" s="22" t="str">
        <f>INDEX(Cronograma!K$5:K$11,MATCH($B173,Premissas!$A$39:$A$45,0))</f>
        <v/>
      </c>
      <c r="M173" s="22" t="str">
        <f>INDEX(Cronograma!L$5:L$11,MATCH($B173,Premissas!$A$39:$A$45,0))</f>
        <v/>
      </c>
      <c r="N173" s="22" t="str">
        <f>INDEX(Cronograma!M$5:M$11,MATCH($B173,Premissas!$A$39:$A$45,0))</f>
        <v/>
      </c>
      <c r="O173" s="22" t="str">
        <f>INDEX(Cronograma!N$5:N$11,MATCH($B173,Premissas!$A$39:$A$45,0))</f>
        <v>A</v>
      </c>
      <c r="P173" s="22" t="str">
        <f>INDEX(Cronograma!O$5:O$11,MATCH($B173,Premissas!$A$39:$A$45,0))</f>
        <v/>
      </c>
      <c r="Q173" s="22" t="str">
        <f>INDEX(Cronograma!P$5:P$11,MATCH($B173,Premissas!$A$39:$A$45,0))</f>
        <v/>
      </c>
      <c r="R173" s="22" t="str">
        <f>INDEX(Cronograma!Q$5:Q$11,MATCH($B173,Premissas!$A$39:$A$45,0))</f>
        <v/>
      </c>
      <c r="S173" s="22" t="str">
        <f>INDEX(Cronograma!R$5:R$11,MATCH($B173,Premissas!$A$39:$A$45,0))</f>
        <v/>
      </c>
      <c r="T173" s="22" t="str">
        <f>INDEX(Cronograma!S$5:S$11,MATCH($B173,Premissas!$A$39:$A$45,0))</f>
        <v/>
      </c>
      <c r="U173" s="22" t="str">
        <f>INDEX(Cronograma!T$5:T$11,MATCH($B173,Premissas!$A$39:$A$45,0))</f>
        <v>S</v>
      </c>
      <c r="V173" s="22" t="str">
        <f>INDEX(Cronograma!U$5:U$11,MATCH($B173,Premissas!$A$39:$A$45,0))</f>
        <v/>
      </c>
      <c r="W173" s="22" t="str">
        <f>INDEX(Cronograma!V$5:V$11,MATCH($B173,Premissas!$A$39:$A$45,0))</f>
        <v/>
      </c>
      <c r="X173" s="22" t="str">
        <f>INDEX(Cronograma!W$5:W$11,MATCH($B173,Premissas!$A$39:$A$45,0))</f>
        <v/>
      </c>
      <c r="Y173" s="22" t="str">
        <f>INDEX(Cronograma!X$5:X$11,MATCH($B173,Premissas!$A$39:$A$45,0))</f>
        <v/>
      </c>
      <c r="Z173" s="22" t="str">
        <f>INDEX(Cronograma!Y$5:Y$11,MATCH($B173,Premissas!$A$39:$A$45,0))</f>
        <v/>
      </c>
      <c r="AA173" s="22" t="str">
        <f>INDEX(Cronograma!Z$5:Z$11,MATCH($B173,Premissas!$A$39:$A$45,0))</f>
        <v>B</v>
      </c>
      <c r="AB173" s="22" t="str">
        <f>INDEX(Cronograma!AA$5:AA$11,MATCH($B173,Premissas!$A$39:$A$45,0))</f>
        <v/>
      </c>
      <c r="AC173" s="22" t="str">
        <f>INDEX(Cronograma!AB$5:AB$11,MATCH($B173,Premissas!$A$39:$A$45,0))</f>
        <v/>
      </c>
      <c r="AD173" s="22" t="str">
        <f>INDEX(Cronograma!AC$5:AC$11,MATCH($B173,Premissas!$A$39:$A$45,0))</f>
        <v/>
      </c>
      <c r="AE173" s="22" t="str">
        <f>INDEX(Cronograma!AD$5:AD$11,MATCH($B173,Premissas!$A$39:$A$45,0))</f>
        <v/>
      </c>
      <c r="AF173" s="22" t="str">
        <f>INDEX(Cronograma!AE$5:AE$11,MATCH($B173,Premissas!$A$39:$A$45,0))</f>
        <v/>
      </c>
      <c r="AG173" s="22" t="str">
        <f>INDEX(Cronograma!AF$5:AF$11,MATCH($B173,Premissas!$A$39:$A$45,0))</f>
        <v/>
      </c>
      <c r="AH173" s="22" t="str">
        <f>INDEX(Cronograma!AG$5:AG$11,MATCH($B173,Premissas!$A$39:$A$45,0))</f>
        <v>S</v>
      </c>
      <c r="AI173" s="22" t="str">
        <f>INDEX(Cronograma!AH$5:AH$11,MATCH($B173,Premissas!$A$39:$A$45,0))</f>
        <v/>
      </c>
      <c r="AJ173" s="22" t="str">
        <f>INDEX(Cronograma!AI$5:AI$11,MATCH($B173,Premissas!$A$39:$A$45,0))</f>
        <v/>
      </c>
      <c r="AK173" s="22" t="str">
        <f>INDEX(Cronograma!AJ$5:AJ$11,MATCH($B173,Premissas!$A$39:$A$45,0))</f>
        <v/>
      </c>
      <c r="AL173" s="22" t="str">
        <f>INDEX(Cronograma!AK$5:AK$11,MATCH($B173,Premissas!$A$39:$A$45,0))</f>
        <v/>
      </c>
      <c r="AM173" s="22" t="str">
        <f>INDEX(Cronograma!AL$5:AL$11,MATCH($B173,Premissas!$A$39:$A$45,0))</f>
        <v/>
      </c>
      <c r="AN173" s="22" t="str">
        <f>INDEX(Cronograma!AM$5:AM$11,MATCH($B173,Premissas!$A$39:$A$45,0))</f>
        <v/>
      </c>
      <c r="AO173" s="22" t="str">
        <f>INDEX(Cronograma!AN$5:AN$11,MATCH($B173,Premissas!$A$39:$A$45,0))</f>
        <v/>
      </c>
      <c r="AP173" s="22" t="str">
        <f>INDEX(Cronograma!AO$5:AO$11,MATCH($B173,Premissas!$A$39:$A$45,0))</f>
        <v/>
      </c>
      <c r="AQ173" s="22" t="str">
        <f>INDEX(Cronograma!AP$5:AP$11,MATCH($B173,Premissas!$A$39:$A$45,0))</f>
        <v/>
      </c>
      <c r="AR173" s="22" t="str">
        <f>INDEX(Cronograma!AQ$5:AQ$11,MATCH($B173,Premissas!$A$39:$A$45,0))</f>
        <v/>
      </c>
      <c r="AS173" s="22" t="str">
        <f>INDEX(Cronograma!AR$5:AR$11,MATCH($B173,Premissas!$A$39:$A$45,0))</f>
        <v/>
      </c>
      <c r="AT173" s="22" t="str">
        <f>INDEX(Cronograma!AS$5:AS$11,MATCH($B173,Premissas!$A$39:$A$45,0))</f>
        <v/>
      </c>
      <c r="AU173" s="22" t="str">
        <f>INDEX(Cronograma!AT$5:AT$11,MATCH($B173,Premissas!$A$39:$A$45,0))</f>
        <v/>
      </c>
      <c r="AV173" s="22" t="str">
        <f>INDEX(Cronograma!AU$5:AU$11,MATCH($B173,Premissas!$A$39:$A$45,0))</f>
        <v/>
      </c>
      <c r="AW173" s="22" t="str">
        <f>INDEX(Cronograma!AV$5:AV$11,MATCH($B173,Premissas!$A$39:$A$45,0))</f>
        <v/>
      </c>
      <c r="AX173" s="22" t="str">
        <f>INDEX(Cronograma!AW$5:AW$11,MATCH($B173,Premissas!$A$39:$A$45,0))</f>
        <v/>
      </c>
      <c r="AY173" s="22" t="str">
        <f>INDEX(Cronograma!AX$5:AX$11,MATCH($B173,Premissas!$A$39:$A$45,0))</f>
        <v>A</v>
      </c>
      <c r="AZ173" s="22" t="str">
        <f>INDEX(Cronograma!AY$5:AY$11,MATCH($B173,Premissas!$A$39:$A$45,0))</f>
        <v/>
      </c>
      <c r="BA173" s="22" t="str">
        <f>INDEX(Cronograma!AZ$5:AZ$11,MATCH($B173,Premissas!$A$39:$A$45,0))</f>
        <v/>
      </c>
      <c r="BB173" s="22" t="str">
        <f>INDEX(Cronograma!BA$5:BA$11,MATCH($B173,Premissas!$A$39:$A$45,0))</f>
        <v/>
      </c>
    </row>
    <row r="174" spans="1:54" ht="15" customHeight="1" x14ac:dyDescent="0.4">
      <c r="A174" s="15" t="str">
        <f>Frota!$B174&amp;" — "&amp;Frota!$A174</f>
        <v>NH TL-75 4x4 — 105091</v>
      </c>
      <c r="B174" s="16" t="str">
        <f>Frota!$C174</f>
        <v>Trator</v>
      </c>
      <c r="C174" s="22" t="str">
        <f>INDEX(Cronograma!B$5:B$11,MATCH($B174,Premissas!$A$39:$A$45,0))</f>
        <v/>
      </c>
      <c r="D174" s="22" t="str">
        <f>INDEX(Cronograma!C$5:C$11,MATCH($B174,Premissas!$A$39:$A$45,0))</f>
        <v/>
      </c>
      <c r="E174" s="22" t="str">
        <f>INDEX(Cronograma!D$5:D$11,MATCH($B174,Premissas!$A$39:$A$45,0))</f>
        <v/>
      </c>
      <c r="F174" s="22" t="str">
        <f>INDEX(Cronograma!E$5:E$11,MATCH($B174,Premissas!$A$39:$A$45,0))</f>
        <v/>
      </c>
      <c r="G174" s="22" t="str">
        <f>INDEX(Cronograma!F$5:F$11,MATCH($B174,Premissas!$A$39:$A$45,0))</f>
        <v/>
      </c>
      <c r="H174" s="22" t="str">
        <f>INDEX(Cronograma!G$5:G$11,MATCH($B174,Premissas!$A$39:$A$45,0))</f>
        <v/>
      </c>
      <c r="I174" s="22" t="str">
        <f>INDEX(Cronograma!H$5:H$11,MATCH($B174,Premissas!$A$39:$A$45,0))</f>
        <v>S</v>
      </c>
      <c r="J174" s="22" t="str">
        <f>INDEX(Cronograma!I$5:I$11,MATCH($B174,Premissas!$A$39:$A$45,0))</f>
        <v/>
      </c>
      <c r="K174" s="22" t="str">
        <f>INDEX(Cronograma!J$5:J$11,MATCH($B174,Premissas!$A$39:$A$45,0))</f>
        <v/>
      </c>
      <c r="L174" s="22" t="str">
        <f>INDEX(Cronograma!K$5:K$11,MATCH($B174,Premissas!$A$39:$A$45,0))</f>
        <v/>
      </c>
      <c r="M174" s="22" t="str">
        <f>INDEX(Cronograma!L$5:L$11,MATCH($B174,Premissas!$A$39:$A$45,0))</f>
        <v/>
      </c>
      <c r="N174" s="22" t="str">
        <f>INDEX(Cronograma!M$5:M$11,MATCH($B174,Premissas!$A$39:$A$45,0))</f>
        <v/>
      </c>
      <c r="O174" s="22" t="str">
        <f>INDEX(Cronograma!N$5:N$11,MATCH($B174,Premissas!$A$39:$A$45,0))</f>
        <v>A</v>
      </c>
      <c r="P174" s="22" t="str">
        <f>INDEX(Cronograma!O$5:O$11,MATCH($B174,Premissas!$A$39:$A$45,0))</f>
        <v/>
      </c>
      <c r="Q174" s="22" t="str">
        <f>INDEX(Cronograma!P$5:P$11,MATCH($B174,Premissas!$A$39:$A$45,0))</f>
        <v/>
      </c>
      <c r="R174" s="22" t="str">
        <f>INDEX(Cronograma!Q$5:Q$11,MATCH($B174,Premissas!$A$39:$A$45,0))</f>
        <v/>
      </c>
      <c r="S174" s="22" t="str">
        <f>INDEX(Cronograma!R$5:R$11,MATCH($B174,Premissas!$A$39:$A$45,0))</f>
        <v/>
      </c>
      <c r="T174" s="22" t="str">
        <f>INDEX(Cronograma!S$5:S$11,MATCH($B174,Premissas!$A$39:$A$45,0))</f>
        <v/>
      </c>
      <c r="U174" s="22" t="str">
        <f>INDEX(Cronograma!T$5:T$11,MATCH($B174,Premissas!$A$39:$A$45,0))</f>
        <v>S</v>
      </c>
      <c r="V174" s="22" t="str">
        <f>INDEX(Cronograma!U$5:U$11,MATCH($B174,Premissas!$A$39:$A$45,0))</f>
        <v/>
      </c>
      <c r="W174" s="22" t="str">
        <f>INDEX(Cronograma!V$5:V$11,MATCH($B174,Premissas!$A$39:$A$45,0))</f>
        <v/>
      </c>
      <c r="X174" s="22" t="str">
        <f>INDEX(Cronograma!W$5:W$11,MATCH($B174,Premissas!$A$39:$A$45,0))</f>
        <v/>
      </c>
      <c r="Y174" s="22" t="str">
        <f>INDEX(Cronograma!X$5:X$11,MATCH($B174,Premissas!$A$39:$A$45,0))</f>
        <v/>
      </c>
      <c r="Z174" s="22" t="str">
        <f>INDEX(Cronograma!Y$5:Y$11,MATCH($B174,Premissas!$A$39:$A$45,0))</f>
        <v/>
      </c>
      <c r="AA174" s="22" t="str">
        <f>INDEX(Cronograma!Z$5:Z$11,MATCH($B174,Premissas!$A$39:$A$45,0))</f>
        <v>B</v>
      </c>
      <c r="AB174" s="22" t="str">
        <f>INDEX(Cronograma!AA$5:AA$11,MATCH($B174,Premissas!$A$39:$A$45,0))</f>
        <v/>
      </c>
      <c r="AC174" s="22" t="str">
        <f>INDEX(Cronograma!AB$5:AB$11,MATCH($B174,Premissas!$A$39:$A$45,0))</f>
        <v/>
      </c>
      <c r="AD174" s="22" t="str">
        <f>INDEX(Cronograma!AC$5:AC$11,MATCH($B174,Premissas!$A$39:$A$45,0))</f>
        <v/>
      </c>
      <c r="AE174" s="22" t="str">
        <f>INDEX(Cronograma!AD$5:AD$11,MATCH($B174,Premissas!$A$39:$A$45,0))</f>
        <v/>
      </c>
      <c r="AF174" s="22" t="str">
        <f>INDEX(Cronograma!AE$5:AE$11,MATCH($B174,Premissas!$A$39:$A$45,0))</f>
        <v/>
      </c>
      <c r="AG174" s="22" t="str">
        <f>INDEX(Cronograma!AF$5:AF$11,MATCH($B174,Premissas!$A$39:$A$45,0))</f>
        <v/>
      </c>
      <c r="AH174" s="22" t="str">
        <f>INDEX(Cronograma!AG$5:AG$11,MATCH($B174,Premissas!$A$39:$A$45,0))</f>
        <v>S</v>
      </c>
      <c r="AI174" s="22" t="str">
        <f>INDEX(Cronograma!AH$5:AH$11,MATCH($B174,Premissas!$A$39:$A$45,0))</f>
        <v/>
      </c>
      <c r="AJ174" s="22" t="str">
        <f>INDEX(Cronograma!AI$5:AI$11,MATCH($B174,Premissas!$A$39:$A$45,0))</f>
        <v/>
      </c>
      <c r="AK174" s="22" t="str">
        <f>INDEX(Cronograma!AJ$5:AJ$11,MATCH($B174,Premissas!$A$39:$A$45,0))</f>
        <v/>
      </c>
      <c r="AL174" s="22" t="str">
        <f>INDEX(Cronograma!AK$5:AK$11,MATCH($B174,Premissas!$A$39:$A$45,0))</f>
        <v/>
      </c>
      <c r="AM174" s="22" t="str">
        <f>INDEX(Cronograma!AL$5:AL$11,MATCH($B174,Premissas!$A$39:$A$45,0))</f>
        <v/>
      </c>
      <c r="AN174" s="22" t="str">
        <f>INDEX(Cronograma!AM$5:AM$11,MATCH($B174,Premissas!$A$39:$A$45,0))</f>
        <v/>
      </c>
      <c r="AO174" s="22" t="str">
        <f>INDEX(Cronograma!AN$5:AN$11,MATCH($B174,Premissas!$A$39:$A$45,0))</f>
        <v/>
      </c>
      <c r="AP174" s="22" t="str">
        <f>INDEX(Cronograma!AO$5:AO$11,MATCH($B174,Premissas!$A$39:$A$45,0))</f>
        <v/>
      </c>
      <c r="AQ174" s="22" t="str">
        <f>INDEX(Cronograma!AP$5:AP$11,MATCH($B174,Premissas!$A$39:$A$45,0))</f>
        <v/>
      </c>
      <c r="AR174" s="22" t="str">
        <f>INDEX(Cronograma!AQ$5:AQ$11,MATCH($B174,Premissas!$A$39:$A$45,0))</f>
        <v/>
      </c>
      <c r="AS174" s="22" t="str">
        <f>INDEX(Cronograma!AR$5:AR$11,MATCH($B174,Premissas!$A$39:$A$45,0))</f>
        <v/>
      </c>
      <c r="AT174" s="22" t="str">
        <f>INDEX(Cronograma!AS$5:AS$11,MATCH($B174,Premissas!$A$39:$A$45,0))</f>
        <v/>
      </c>
      <c r="AU174" s="22" t="str">
        <f>INDEX(Cronograma!AT$5:AT$11,MATCH($B174,Premissas!$A$39:$A$45,0))</f>
        <v/>
      </c>
      <c r="AV174" s="22" t="str">
        <f>INDEX(Cronograma!AU$5:AU$11,MATCH($B174,Premissas!$A$39:$A$45,0))</f>
        <v/>
      </c>
      <c r="AW174" s="22" t="str">
        <f>INDEX(Cronograma!AV$5:AV$11,MATCH($B174,Premissas!$A$39:$A$45,0))</f>
        <v/>
      </c>
      <c r="AX174" s="22" t="str">
        <f>INDEX(Cronograma!AW$5:AW$11,MATCH($B174,Premissas!$A$39:$A$45,0))</f>
        <v/>
      </c>
      <c r="AY174" s="22" t="str">
        <f>INDEX(Cronograma!AX$5:AX$11,MATCH($B174,Premissas!$A$39:$A$45,0))</f>
        <v>A</v>
      </c>
      <c r="AZ174" s="22" t="str">
        <f>INDEX(Cronograma!AY$5:AY$11,MATCH($B174,Premissas!$A$39:$A$45,0))</f>
        <v/>
      </c>
      <c r="BA174" s="22" t="str">
        <f>INDEX(Cronograma!AZ$5:AZ$11,MATCH($B174,Premissas!$A$39:$A$45,0))</f>
        <v/>
      </c>
      <c r="BB174" s="22" t="str">
        <f>INDEX(Cronograma!BA$5:BA$11,MATCH($B174,Premissas!$A$39:$A$45,0))</f>
        <v/>
      </c>
    </row>
    <row r="175" spans="1:54" ht="15" customHeight="1" x14ac:dyDescent="0.4">
      <c r="A175" s="15" t="str">
        <f>Frota!$B175&amp;" — "&amp;Frota!$A175</f>
        <v>NH TL-75 4x4 — 105092</v>
      </c>
      <c r="B175" s="16" t="str">
        <f>Frota!$C175</f>
        <v>Trator</v>
      </c>
      <c r="C175" s="22" t="str">
        <f>INDEX(Cronograma!B$5:B$11,MATCH($B175,Premissas!$A$39:$A$45,0))</f>
        <v/>
      </c>
      <c r="D175" s="22" t="str">
        <f>INDEX(Cronograma!C$5:C$11,MATCH($B175,Premissas!$A$39:$A$45,0))</f>
        <v/>
      </c>
      <c r="E175" s="22" t="str">
        <f>INDEX(Cronograma!D$5:D$11,MATCH($B175,Premissas!$A$39:$A$45,0))</f>
        <v/>
      </c>
      <c r="F175" s="22" t="str">
        <f>INDEX(Cronograma!E$5:E$11,MATCH($B175,Premissas!$A$39:$A$45,0))</f>
        <v/>
      </c>
      <c r="G175" s="22" t="str">
        <f>INDEX(Cronograma!F$5:F$11,MATCH($B175,Premissas!$A$39:$A$45,0))</f>
        <v/>
      </c>
      <c r="H175" s="22" t="str">
        <f>INDEX(Cronograma!G$5:G$11,MATCH($B175,Premissas!$A$39:$A$45,0))</f>
        <v/>
      </c>
      <c r="I175" s="22" t="str">
        <f>INDEX(Cronograma!H$5:H$11,MATCH($B175,Premissas!$A$39:$A$45,0))</f>
        <v>S</v>
      </c>
      <c r="J175" s="22" t="str">
        <f>INDEX(Cronograma!I$5:I$11,MATCH($B175,Premissas!$A$39:$A$45,0))</f>
        <v/>
      </c>
      <c r="K175" s="22" t="str">
        <f>INDEX(Cronograma!J$5:J$11,MATCH($B175,Premissas!$A$39:$A$45,0))</f>
        <v/>
      </c>
      <c r="L175" s="22" t="str">
        <f>INDEX(Cronograma!K$5:K$11,MATCH($B175,Premissas!$A$39:$A$45,0))</f>
        <v/>
      </c>
      <c r="M175" s="22" t="str">
        <f>INDEX(Cronograma!L$5:L$11,MATCH($B175,Premissas!$A$39:$A$45,0))</f>
        <v/>
      </c>
      <c r="N175" s="22" t="str">
        <f>INDEX(Cronograma!M$5:M$11,MATCH($B175,Premissas!$A$39:$A$45,0))</f>
        <v/>
      </c>
      <c r="O175" s="22" t="str">
        <f>INDEX(Cronograma!N$5:N$11,MATCH($B175,Premissas!$A$39:$A$45,0))</f>
        <v>A</v>
      </c>
      <c r="P175" s="22" t="str">
        <f>INDEX(Cronograma!O$5:O$11,MATCH($B175,Premissas!$A$39:$A$45,0))</f>
        <v/>
      </c>
      <c r="Q175" s="22" t="str">
        <f>INDEX(Cronograma!P$5:P$11,MATCH($B175,Premissas!$A$39:$A$45,0))</f>
        <v/>
      </c>
      <c r="R175" s="22" t="str">
        <f>INDEX(Cronograma!Q$5:Q$11,MATCH($B175,Premissas!$A$39:$A$45,0))</f>
        <v/>
      </c>
      <c r="S175" s="22" t="str">
        <f>INDEX(Cronograma!R$5:R$11,MATCH($B175,Premissas!$A$39:$A$45,0))</f>
        <v/>
      </c>
      <c r="T175" s="22" t="str">
        <f>INDEX(Cronograma!S$5:S$11,MATCH($B175,Premissas!$A$39:$A$45,0))</f>
        <v/>
      </c>
      <c r="U175" s="22" t="str">
        <f>INDEX(Cronograma!T$5:T$11,MATCH($B175,Premissas!$A$39:$A$45,0))</f>
        <v>S</v>
      </c>
      <c r="V175" s="22" t="str">
        <f>INDEX(Cronograma!U$5:U$11,MATCH($B175,Premissas!$A$39:$A$45,0))</f>
        <v/>
      </c>
      <c r="W175" s="22" t="str">
        <f>INDEX(Cronograma!V$5:V$11,MATCH($B175,Premissas!$A$39:$A$45,0))</f>
        <v/>
      </c>
      <c r="X175" s="22" t="str">
        <f>INDEX(Cronograma!W$5:W$11,MATCH($B175,Premissas!$A$39:$A$45,0))</f>
        <v/>
      </c>
      <c r="Y175" s="22" t="str">
        <f>INDEX(Cronograma!X$5:X$11,MATCH($B175,Premissas!$A$39:$A$45,0))</f>
        <v/>
      </c>
      <c r="Z175" s="22" t="str">
        <f>INDEX(Cronograma!Y$5:Y$11,MATCH($B175,Premissas!$A$39:$A$45,0))</f>
        <v/>
      </c>
      <c r="AA175" s="22" t="str">
        <f>INDEX(Cronograma!Z$5:Z$11,MATCH($B175,Premissas!$A$39:$A$45,0))</f>
        <v>B</v>
      </c>
      <c r="AB175" s="22" t="str">
        <f>INDEX(Cronograma!AA$5:AA$11,MATCH($B175,Premissas!$A$39:$A$45,0))</f>
        <v/>
      </c>
      <c r="AC175" s="22" t="str">
        <f>INDEX(Cronograma!AB$5:AB$11,MATCH($B175,Premissas!$A$39:$A$45,0))</f>
        <v/>
      </c>
      <c r="AD175" s="22" t="str">
        <f>INDEX(Cronograma!AC$5:AC$11,MATCH($B175,Premissas!$A$39:$A$45,0))</f>
        <v/>
      </c>
      <c r="AE175" s="22" t="str">
        <f>INDEX(Cronograma!AD$5:AD$11,MATCH($B175,Premissas!$A$39:$A$45,0))</f>
        <v/>
      </c>
      <c r="AF175" s="22" t="str">
        <f>INDEX(Cronograma!AE$5:AE$11,MATCH($B175,Premissas!$A$39:$A$45,0))</f>
        <v/>
      </c>
      <c r="AG175" s="22" t="str">
        <f>INDEX(Cronograma!AF$5:AF$11,MATCH($B175,Premissas!$A$39:$A$45,0))</f>
        <v/>
      </c>
      <c r="AH175" s="22" t="str">
        <f>INDEX(Cronograma!AG$5:AG$11,MATCH($B175,Premissas!$A$39:$A$45,0))</f>
        <v>S</v>
      </c>
      <c r="AI175" s="22" t="str">
        <f>INDEX(Cronograma!AH$5:AH$11,MATCH($B175,Premissas!$A$39:$A$45,0))</f>
        <v/>
      </c>
      <c r="AJ175" s="22" t="str">
        <f>INDEX(Cronograma!AI$5:AI$11,MATCH($B175,Premissas!$A$39:$A$45,0))</f>
        <v/>
      </c>
      <c r="AK175" s="22" t="str">
        <f>INDEX(Cronograma!AJ$5:AJ$11,MATCH($B175,Premissas!$A$39:$A$45,0))</f>
        <v/>
      </c>
      <c r="AL175" s="22" t="str">
        <f>INDEX(Cronograma!AK$5:AK$11,MATCH($B175,Premissas!$A$39:$A$45,0))</f>
        <v/>
      </c>
      <c r="AM175" s="22" t="str">
        <f>INDEX(Cronograma!AL$5:AL$11,MATCH($B175,Premissas!$A$39:$A$45,0))</f>
        <v/>
      </c>
      <c r="AN175" s="22" t="str">
        <f>INDEX(Cronograma!AM$5:AM$11,MATCH($B175,Premissas!$A$39:$A$45,0))</f>
        <v/>
      </c>
      <c r="AO175" s="22" t="str">
        <f>INDEX(Cronograma!AN$5:AN$11,MATCH($B175,Premissas!$A$39:$A$45,0))</f>
        <v/>
      </c>
      <c r="AP175" s="22" t="str">
        <f>INDEX(Cronograma!AO$5:AO$11,MATCH($B175,Premissas!$A$39:$A$45,0))</f>
        <v/>
      </c>
      <c r="AQ175" s="22" t="str">
        <f>INDEX(Cronograma!AP$5:AP$11,MATCH($B175,Premissas!$A$39:$A$45,0))</f>
        <v/>
      </c>
      <c r="AR175" s="22" t="str">
        <f>INDEX(Cronograma!AQ$5:AQ$11,MATCH($B175,Premissas!$A$39:$A$45,0))</f>
        <v/>
      </c>
      <c r="AS175" s="22" t="str">
        <f>INDEX(Cronograma!AR$5:AR$11,MATCH($B175,Premissas!$A$39:$A$45,0))</f>
        <v/>
      </c>
      <c r="AT175" s="22" t="str">
        <f>INDEX(Cronograma!AS$5:AS$11,MATCH($B175,Premissas!$A$39:$A$45,0))</f>
        <v/>
      </c>
      <c r="AU175" s="22" t="str">
        <f>INDEX(Cronograma!AT$5:AT$11,MATCH($B175,Premissas!$A$39:$A$45,0))</f>
        <v/>
      </c>
      <c r="AV175" s="22" t="str">
        <f>INDEX(Cronograma!AU$5:AU$11,MATCH($B175,Premissas!$A$39:$A$45,0))</f>
        <v/>
      </c>
      <c r="AW175" s="22" t="str">
        <f>INDEX(Cronograma!AV$5:AV$11,MATCH($B175,Premissas!$A$39:$A$45,0))</f>
        <v/>
      </c>
      <c r="AX175" s="22" t="str">
        <f>INDEX(Cronograma!AW$5:AW$11,MATCH($B175,Premissas!$A$39:$A$45,0))</f>
        <v/>
      </c>
      <c r="AY175" s="22" t="str">
        <f>INDEX(Cronograma!AX$5:AX$11,MATCH($B175,Premissas!$A$39:$A$45,0))</f>
        <v>A</v>
      </c>
      <c r="AZ175" s="22" t="str">
        <f>INDEX(Cronograma!AY$5:AY$11,MATCH($B175,Premissas!$A$39:$A$45,0))</f>
        <v/>
      </c>
      <c r="BA175" s="22" t="str">
        <f>INDEX(Cronograma!AZ$5:AZ$11,MATCH($B175,Premissas!$A$39:$A$45,0))</f>
        <v/>
      </c>
      <c r="BB175" s="22" t="str">
        <f>INDEX(Cronograma!BA$5:BA$11,MATCH($B175,Premissas!$A$39:$A$45,0))</f>
        <v/>
      </c>
    </row>
    <row r="176" spans="1:54" ht="15" customHeight="1" x14ac:dyDescent="0.4">
      <c r="A176" s="15" t="str">
        <f>Frota!$B176&amp;" — "&amp;Frota!$A176</f>
        <v>John Deere- 5090E — 105095</v>
      </c>
      <c r="B176" s="16" t="str">
        <f>Frota!$C176</f>
        <v>Trator</v>
      </c>
      <c r="C176" s="22" t="str">
        <f>INDEX(Cronograma!B$5:B$11,MATCH($B176,Premissas!$A$39:$A$45,0))</f>
        <v/>
      </c>
      <c r="D176" s="22" t="str">
        <f>INDEX(Cronograma!C$5:C$11,MATCH($B176,Premissas!$A$39:$A$45,0))</f>
        <v/>
      </c>
      <c r="E176" s="22" t="str">
        <f>INDEX(Cronograma!D$5:D$11,MATCH($B176,Premissas!$A$39:$A$45,0))</f>
        <v/>
      </c>
      <c r="F176" s="22" t="str">
        <f>INDEX(Cronograma!E$5:E$11,MATCH($B176,Premissas!$A$39:$A$45,0))</f>
        <v/>
      </c>
      <c r="G176" s="22" t="str">
        <f>INDEX(Cronograma!F$5:F$11,MATCH($B176,Premissas!$A$39:$A$45,0))</f>
        <v/>
      </c>
      <c r="H176" s="22" t="str">
        <f>INDEX(Cronograma!G$5:G$11,MATCH($B176,Premissas!$A$39:$A$45,0))</f>
        <v/>
      </c>
      <c r="I176" s="22" t="str">
        <f>INDEX(Cronograma!H$5:H$11,MATCH($B176,Premissas!$A$39:$A$45,0))</f>
        <v>S</v>
      </c>
      <c r="J176" s="22" t="str">
        <f>INDEX(Cronograma!I$5:I$11,MATCH($B176,Premissas!$A$39:$A$45,0))</f>
        <v/>
      </c>
      <c r="K176" s="22" t="str">
        <f>INDEX(Cronograma!J$5:J$11,MATCH($B176,Premissas!$A$39:$A$45,0))</f>
        <v/>
      </c>
      <c r="L176" s="22" t="str">
        <f>INDEX(Cronograma!K$5:K$11,MATCH($B176,Premissas!$A$39:$A$45,0))</f>
        <v/>
      </c>
      <c r="M176" s="22" t="str">
        <f>INDEX(Cronograma!L$5:L$11,MATCH($B176,Premissas!$A$39:$A$45,0))</f>
        <v/>
      </c>
      <c r="N176" s="22" t="str">
        <f>INDEX(Cronograma!M$5:M$11,MATCH($B176,Premissas!$A$39:$A$45,0))</f>
        <v/>
      </c>
      <c r="O176" s="22" t="str">
        <f>INDEX(Cronograma!N$5:N$11,MATCH($B176,Premissas!$A$39:$A$45,0))</f>
        <v>A</v>
      </c>
      <c r="P176" s="22" t="str">
        <f>INDEX(Cronograma!O$5:O$11,MATCH($B176,Premissas!$A$39:$A$45,0))</f>
        <v/>
      </c>
      <c r="Q176" s="22" t="str">
        <f>INDEX(Cronograma!P$5:P$11,MATCH($B176,Premissas!$A$39:$A$45,0))</f>
        <v/>
      </c>
      <c r="R176" s="22" t="str">
        <f>INDEX(Cronograma!Q$5:Q$11,MATCH($B176,Premissas!$A$39:$A$45,0))</f>
        <v/>
      </c>
      <c r="S176" s="22" t="str">
        <f>INDEX(Cronograma!R$5:R$11,MATCH($B176,Premissas!$A$39:$A$45,0))</f>
        <v/>
      </c>
      <c r="T176" s="22" t="str">
        <f>INDEX(Cronograma!S$5:S$11,MATCH($B176,Premissas!$A$39:$A$45,0))</f>
        <v/>
      </c>
      <c r="U176" s="22" t="str">
        <f>INDEX(Cronograma!T$5:T$11,MATCH($B176,Premissas!$A$39:$A$45,0))</f>
        <v>S</v>
      </c>
      <c r="V176" s="22" t="str">
        <f>INDEX(Cronograma!U$5:U$11,MATCH($B176,Premissas!$A$39:$A$45,0))</f>
        <v/>
      </c>
      <c r="W176" s="22" t="str">
        <f>INDEX(Cronograma!V$5:V$11,MATCH($B176,Premissas!$A$39:$A$45,0))</f>
        <v/>
      </c>
      <c r="X176" s="22" t="str">
        <f>INDEX(Cronograma!W$5:W$11,MATCH($B176,Premissas!$A$39:$A$45,0))</f>
        <v/>
      </c>
      <c r="Y176" s="22" t="str">
        <f>INDEX(Cronograma!X$5:X$11,MATCH($B176,Premissas!$A$39:$A$45,0))</f>
        <v/>
      </c>
      <c r="Z176" s="22" t="str">
        <f>INDEX(Cronograma!Y$5:Y$11,MATCH($B176,Premissas!$A$39:$A$45,0))</f>
        <v/>
      </c>
      <c r="AA176" s="22" t="str">
        <f>INDEX(Cronograma!Z$5:Z$11,MATCH($B176,Premissas!$A$39:$A$45,0))</f>
        <v>B</v>
      </c>
      <c r="AB176" s="22" t="str">
        <f>INDEX(Cronograma!AA$5:AA$11,MATCH($B176,Premissas!$A$39:$A$45,0))</f>
        <v/>
      </c>
      <c r="AC176" s="22" t="str">
        <f>INDEX(Cronograma!AB$5:AB$11,MATCH($B176,Premissas!$A$39:$A$45,0))</f>
        <v/>
      </c>
      <c r="AD176" s="22" t="str">
        <f>INDEX(Cronograma!AC$5:AC$11,MATCH($B176,Premissas!$A$39:$A$45,0))</f>
        <v/>
      </c>
      <c r="AE176" s="22" t="str">
        <f>INDEX(Cronograma!AD$5:AD$11,MATCH($B176,Premissas!$A$39:$A$45,0))</f>
        <v/>
      </c>
      <c r="AF176" s="22" t="str">
        <f>INDEX(Cronograma!AE$5:AE$11,MATCH($B176,Premissas!$A$39:$A$45,0))</f>
        <v/>
      </c>
      <c r="AG176" s="22" t="str">
        <f>INDEX(Cronograma!AF$5:AF$11,MATCH($B176,Premissas!$A$39:$A$45,0))</f>
        <v/>
      </c>
      <c r="AH176" s="22" t="str">
        <f>INDEX(Cronograma!AG$5:AG$11,MATCH($B176,Premissas!$A$39:$A$45,0))</f>
        <v>S</v>
      </c>
      <c r="AI176" s="22" t="str">
        <f>INDEX(Cronograma!AH$5:AH$11,MATCH($B176,Premissas!$A$39:$A$45,0))</f>
        <v/>
      </c>
      <c r="AJ176" s="22" t="str">
        <f>INDEX(Cronograma!AI$5:AI$11,MATCH($B176,Premissas!$A$39:$A$45,0))</f>
        <v/>
      </c>
      <c r="AK176" s="22" t="str">
        <f>INDEX(Cronograma!AJ$5:AJ$11,MATCH($B176,Premissas!$A$39:$A$45,0))</f>
        <v/>
      </c>
      <c r="AL176" s="22" t="str">
        <f>INDEX(Cronograma!AK$5:AK$11,MATCH($B176,Premissas!$A$39:$A$45,0))</f>
        <v/>
      </c>
      <c r="AM176" s="22" t="str">
        <f>INDEX(Cronograma!AL$5:AL$11,MATCH($B176,Premissas!$A$39:$A$45,0))</f>
        <v/>
      </c>
      <c r="AN176" s="22" t="str">
        <f>INDEX(Cronograma!AM$5:AM$11,MATCH($B176,Premissas!$A$39:$A$45,0))</f>
        <v/>
      </c>
      <c r="AO176" s="22" t="str">
        <f>INDEX(Cronograma!AN$5:AN$11,MATCH($B176,Premissas!$A$39:$A$45,0))</f>
        <v/>
      </c>
      <c r="AP176" s="22" t="str">
        <f>INDEX(Cronograma!AO$5:AO$11,MATCH($B176,Premissas!$A$39:$A$45,0))</f>
        <v/>
      </c>
      <c r="AQ176" s="22" t="str">
        <f>INDEX(Cronograma!AP$5:AP$11,MATCH($B176,Premissas!$A$39:$A$45,0))</f>
        <v/>
      </c>
      <c r="AR176" s="22" t="str">
        <f>INDEX(Cronograma!AQ$5:AQ$11,MATCH($B176,Premissas!$A$39:$A$45,0))</f>
        <v/>
      </c>
      <c r="AS176" s="22" t="str">
        <f>INDEX(Cronograma!AR$5:AR$11,MATCH($B176,Premissas!$A$39:$A$45,0))</f>
        <v/>
      </c>
      <c r="AT176" s="22" t="str">
        <f>INDEX(Cronograma!AS$5:AS$11,MATCH($B176,Premissas!$A$39:$A$45,0))</f>
        <v/>
      </c>
      <c r="AU176" s="22" t="str">
        <f>INDEX(Cronograma!AT$5:AT$11,MATCH($B176,Premissas!$A$39:$A$45,0))</f>
        <v/>
      </c>
      <c r="AV176" s="22" t="str">
        <f>INDEX(Cronograma!AU$5:AU$11,MATCH($B176,Premissas!$A$39:$A$45,0))</f>
        <v/>
      </c>
      <c r="AW176" s="22" t="str">
        <f>INDEX(Cronograma!AV$5:AV$11,MATCH($B176,Premissas!$A$39:$A$45,0))</f>
        <v/>
      </c>
      <c r="AX176" s="22" t="str">
        <f>INDEX(Cronograma!AW$5:AW$11,MATCH($B176,Premissas!$A$39:$A$45,0))</f>
        <v/>
      </c>
      <c r="AY176" s="22" t="str">
        <f>INDEX(Cronograma!AX$5:AX$11,MATCH($B176,Premissas!$A$39:$A$45,0))</f>
        <v>A</v>
      </c>
      <c r="AZ176" s="22" t="str">
        <f>INDEX(Cronograma!AY$5:AY$11,MATCH($B176,Premissas!$A$39:$A$45,0))</f>
        <v/>
      </c>
      <c r="BA176" s="22" t="str">
        <f>INDEX(Cronograma!AZ$5:AZ$11,MATCH($B176,Premissas!$A$39:$A$45,0))</f>
        <v/>
      </c>
      <c r="BB176" s="22" t="str">
        <f>INDEX(Cronograma!BA$5:BA$11,MATCH($B176,Premissas!$A$39:$A$45,0))</f>
        <v/>
      </c>
    </row>
    <row r="177" spans="1:54" ht="15" customHeight="1" x14ac:dyDescent="0.4">
      <c r="A177" s="15" t="str">
        <f>Frota!$B177&amp;" — "&amp;Frota!$A177</f>
        <v>John Deere- 5090E — 105096</v>
      </c>
      <c r="B177" s="16" t="str">
        <f>Frota!$C177</f>
        <v>Trator</v>
      </c>
      <c r="C177" s="22" t="str">
        <f>INDEX(Cronograma!B$5:B$11,MATCH($B177,Premissas!$A$39:$A$45,0))</f>
        <v/>
      </c>
      <c r="D177" s="22" t="str">
        <f>INDEX(Cronograma!C$5:C$11,MATCH($B177,Premissas!$A$39:$A$45,0))</f>
        <v/>
      </c>
      <c r="E177" s="22" t="str">
        <f>INDEX(Cronograma!D$5:D$11,MATCH($B177,Premissas!$A$39:$A$45,0))</f>
        <v/>
      </c>
      <c r="F177" s="22" t="str">
        <f>INDEX(Cronograma!E$5:E$11,MATCH($B177,Premissas!$A$39:$A$45,0))</f>
        <v/>
      </c>
      <c r="G177" s="22" t="str">
        <f>INDEX(Cronograma!F$5:F$11,MATCH($B177,Premissas!$A$39:$A$45,0))</f>
        <v/>
      </c>
      <c r="H177" s="22" t="str">
        <f>INDEX(Cronograma!G$5:G$11,MATCH($B177,Premissas!$A$39:$A$45,0))</f>
        <v/>
      </c>
      <c r="I177" s="22" t="str">
        <f>INDEX(Cronograma!H$5:H$11,MATCH($B177,Premissas!$A$39:$A$45,0))</f>
        <v>S</v>
      </c>
      <c r="J177" s="22" t="str">
        <f>INDEX(Cronograma!I$5:I$11,MATCH($B177,Premissas!$A$39:$A$45,0))</f>
        <v/>
      </c>
      <c r="K177" s="22" t="str">
        <f>INDEX(Cronograma!J$5:J$11,MATCH($B177,Premissas!$A$39:$A$45,0))</f>
        <v/>
      </c>
      <c r="L177" s="22" t="str">
        <f>INDEX(Cronograma!K$5:K$11,MATCH($B177,Premissas!$A$39:$A$45,0))</f>
        <v/>
      </c>
      <c r="M177" s="22" t="str">
        <f>INDEX(Cronograma!L$5:L$11,MATCH($B177,Premissas!$A$39:$A$45,0))</f>
        <v/>
      </c>
      <c r="N177" s="22" t="str">
        <f>INDEX(Cronograma!M$5:M$11,MATCH($B177,Premissas!$A$39:$A$45,0))</f>
        <v/>
      </c>
      <c r="O177" s="22" t="str">
        <f>INDEX(Cronograma!N$5:N$11,MATCH($B177,Premissas!$A$39:$A$45,0))</f>
        <v>A</v>
      </c>
      <c r="P177" s="22" t="str">
        <f>INDEX(Cronograma!O$5:O$11,MATCH($B177,Premissas!$A$39:$A$45,0))</f>
        <v/>
      </c>
      <c r="Q177" s="22" t="str">
        <f>INDEX(Cronograma!P$5:P$11,MATCH($B177,Premissas!$A$39:$A$45,0))</f>
        <v/>
      </c>
      <c r="R177" s="22" t="str">
        <f>INDEX(Cronograma!Q$5:Q$11,MATCH($B177,Premissas!$A$39:$A$45,0))</f>
        <v/>
      </c>
      <c r="S177" s="22" t="str">
        <f>INDEX(Cronograma!R$5:R$11,MATCH($B177,Premissas!$A$39:$A$45,0))</f>
        <v/>
      </c>
      <c r="T177" s="22" t="str">
        <f>INDEX(Cronograma!S$5:S$11,MATCH($B177,Premissas!$A$39:$A$45,0))</f>
        <v/>
      </c>
      <c r="U177" s="22" t="str">
        <f>INDEX(Cronograma!T$5:T$11,MATCH($B177,Premissas!$A$39:$A$45,0))</f>
        <v>S</v>
      </c>
      <c r="V177" s="22" t="str">
        <f>INDEX(Cronograma!U$5:U$11,MATCH($B177,Premissas!$A$39:$A$45,0))</f>
        <v/>
      </c>
      <c r="W177" s="22" t="str">
        <f>INDEX(Cronograma!V$5:V$11,MATCH($B177,Premissas!$A$39:$A$45,0))</f>
        <v/>
      </c>
      <c r="X177" s="22" t="str">
        <f>INDEX(Cronograma!W$5:W$11,MATCH($B177,Premissas!$A$39:$A$45,0))</f>
        <v/>
      </c>
      <c r="Y177" s="22" t="str">
        <f>INDEX(Cronograma!X$5:X$11,MATCH($B177,Premissas!$A$39:$A$45,0))</f>
        <v/>
      </c>
      <c r="Z177" s="22" t="str">
        <f>INDEX(Cronograma!Y$5:Y$11,MATCH($B177,Premissas!$A$39:$A$45,0))</f>
        <v/>
      </c>
      <c r="AA177" s="22" t="str">
        <f>INDEX(Cronograma!Z$5:Z$11,MATCH($B177,Premissas!$A$39:$A$45,0))</f>
        <v>B</v>
      </c>
      <c r="AB177" s="22" t="str">
        <f>INDEX(Cronograma!AA$5:AA$11,MATCH($B177,Premissas!$A$39:$A$45,0))</f>
        <v/>
      </c>
      <c r="AC177" s="22" t="str">
        <f>INDEX(Cronograma!AB$5:AB$11,MATCH($B177,Premissas!$A$39:$A$45,0))</f>
        <v/>
      </c>
      <c r="AD177" s="22" t="str">
        <f>INDEX(Cronograma!AC$5:AC$11,MATCH($B177,Premissas!$A$39:$A$45,0))</f>
        <v/>
      </c>
      <c r="AE177" s="22" t="str">
        <f>INDEX(Cronograma!AD$5:AD$11,MATCH($B177,Premissas!$A$39:$A$45,0))</f>
        <v/>
      </c>
      <c r="AF177" s="22" t="str">
        <f>INDEX(Cronograma!AE$5:AE$11,MATCH($B177,Premissas!$A$39:$A$45,0))</f>
        <v/>
      </c>
      <c r="AG177" s="22" t="str">
        <f>INDEX(Cronograma!AF$5:AF$11,MATCH($B177,Premissas!$A$39:$A$45,0))</f>
        <v/>
      </c>
      <c r="AH177" s="22" t="str">
        <f>INDEX(Cronograma!AG$5:AG$11,MATCH($B177,Premissas!$A$39:$A$45,0))</f>
        <v>S</v>
      </c>
      <c r="AI177" s="22" t="str">
        <f>INDEX(Cronograma!AH$5:AH$11,MATCH($B177,Premissas!$A$39:$A$45,0))</f>
        <v/>
      </c>
      <c r="AJ177" s="22" t="str">
        <f>INDEX(Cronograma!AI$5:AI$11,MATCH($B177,Premissas!$A$39:$A$45,0))</f>
        <v/>
      </c>
      <c r="AK177" s="22" t="str">
        <f>INDEX(Cronograma!AJ$5:AJ$11,MATCH($B177,Premissas!$A$39:$A$45,0))</f>
        <v/>
      </c>
      <c r="AL177" s="22" t="str">
        <f>INDEX(Cronograma!AK$5:AK$11,MATCH($B177,Premissas!$A$39:$A$45,0))</f>
        <v/>
      </c>
      <c r="AM177" s="22" t="str">
        <f>INDEX(Cronograma!AL$5:AL$11,MATCH($B177,Premissas!$A$39:$A$45,0))</f>
        <v/>
      </c>
      <c r="AN177" s="22" t="str">
        <f>INDEX(Cronograma!AM$5:AM$11,MATCH($B177,Premissas!$A$39:$A$45,0))</f>
        <v/>
      </c>
      <c r="AO177" s="22" t="str">
        <f>INDEX(Cronograma!AN$5:AN$11,MATCH($B177,Premissas!$A$39:$A$45,0))</f>
        <v/>
      </c>
      <c r="AP177" s="22" t="str">
        <f>INDEX(Cronograma!AO$5:AO$11,MATCH($B177,Premissas!$A$39:$A$45,0))</f>
        <v/>
      </c>
      <c r="AQ177" s="22" t="str">
        <f>INDEX(Cronograma!AP$5:AP$11,MATCH($B177,Premissas!$A$39:$A$45,0))</f>
        <v/>
      </c>
      <c r="AR177" s="22" t="str">
        <f>INDEX(Cronograma!AQ$5:AQ$11,MATCH($B177,Premissas!$A$39:$A$45,0))</f>
        <v/>
      </c>
      <c r="AS177" s="22" t="str">
        <f>INDEX(Cronograma!AR$5:AR$11,MATCH($B177,Premissas!$A$39:$A$45,0))</f>
        <v/>
      </c>
      <c r="AT177" s="22" t="str">
        <f>INDEX(Cronograma!AS$5:AS$11,MATCH($B177,Premissas!$A$39:$A$45,0))</f>
        <v/>
      </c>
      <c r="AU177" s="22" t="str">
        <f>INDEX(Cronograma!AT$5:AT$11,MATCH($B177,Premissas!$A$39:$A$45,0))</f>
        <v/>
      </c>
      <c r="AV177" s="22" t="str">
        <f>INDEX(Cronograma!AU$5:AU$11,MATCH($B177,Premissas!$A$39:$A$45,0))</f>
        <v/>
      </c>
      <c r="AW177" s="22" t="str">
        <f>INDEX(Cronograma!AV$5:AV$11,MATCH($B177,Premissas!$A$39:$A$45,0))</f>
        <v/>
      </c>
      <c r="AX177" s="22" t="str">
        <f>INDEX(Cronograma!AW$5:AW$11,MATCH($B177,Premissas!$A$39:$A$45,0))</f>
        <v/>
      </c>
      <c r="AY177" s="22" t="str">
        <f>INDEX(Cronograma!AX$5:AX$11,MATCH($B177,Premissas!$A$39:$A$45,0))</f>
        <v>A</v>
      </c>
      <c r="AZ177" s="22" t="str">
        <f>INDEX(Cronograma!AY$5:AY$11,MATCH($B177,Premissas!$A$39:$A$45,0))</f>
        <v/>
      </c>
      <c r="BA177" s="22" t="str">
        <f>INDEX(Cronograma!AZ$5:AZ$11,MATCH($B177,Premissas!$A$39:$A$45,0))</f>
        <v/>
      </c>
      <c r="BB177" s="22" t="str">
        <f>INDEX(Cronograma!BA$5:BA$11,MATCH($B177,Premissas!$A$39:$A$45,0))</f>
        <v/>
      </c>
    </row>
    <row r="178" spans="1:54" ht="15" customHeight="1" x14ac:dyDescent="0.4">
      <c r="A178" s="15" t="str">
        <f>Frota!$B178&amp;" — "&amp;Frota!$A178</f>
        <v>John Deere- 5090E — 105097</v>
      </c>
      <c r="B178" s="16" t="str">
        <f>Frota!$C178</f>
        <v>Trator</v>
      </c>
      <c r="C178" s="22" t="str">
        <f>INDEX(Cronograma!B$5:B$11,MATCH($B178,Premissas!$A$39:$A$45,0))</f>
        <v/>
      </c>
      <c r="D178" s="22" t="str">
        <f>INDEX(Cronograma!C$5:C$11,MATCH($B178,Premissas!$A$39:$A$45,0))</f>
        <v/>
      </c>
      <c r="E178" s="22" t="str">
        <f>INDEX(Cronograma!D$5:D$11,MATCH($B178,Premissas!$A$39:$A$45,0))</f>
        <v/>
      </c>
      <c r="F178" s="22" t="str">
        <f>INDEX(Cronograma!E$5:E$11,MATCH($B178,Premissas!$A$39:$A$45,0))</f>
        <v/>
      </c>
      <c r="G178" s="22" t="str">
        <f>INDEX(Cronograma!F$5:F$11,MATCH($B178,Premissas!$A$39:$A$45,0))</f>
        <v/>
      </c>
      <c r="H178" s="22" t="str">
        <f>INDEX(Cronograma!G$5:G$11,MATCH($B178,Premissas!$A$39:$A$45,0))</f>
        <v/>
      </c>
      <c r="I178" s="22" t="str">
        <f>INDEX(Cronograma!H$5:H$11,MATCH($B178,Premissas!$A$39:$A$45,0))</f>
        <v>S</v>
      </c>
      <c r="J178" s="22" t="str">
        <f>INDEX(Cronograma!I$5:I$11,MATCH($B178,Premissas!$A$39:$A$45,0))</f>
        <v/>
      </c>
      <c r="K178" s="22" t="str">
        <f>INDEX(Cronograma!J$5:J$11,MATCH($B178,Premissas!$A$39:$A$45,0))</f>
        <v/>
      </c>
      <c r="L178" s="22" t="str">
        <f>INDEX(Cronograma!K$5:K$11,MATCH($B178,Premissas!$A$39:$A$45,0))</f>
        <v/>
      </c>
      <c r="M178" s="22" t="str">
        <f>INDEX(Cronograma!L$5:L$11,MATCH($B178,Premissas!$A$39:$A$45,0))</f>
        <v/>
      </c>
      <c r="N178" s="22" t="str">
        <f>INDEX(Cronograma!M$5:M$11,MATCH($B178,Premissas!$A$39:$A$45,0))</f>
        <v/>
      </c>
      <c r="O178" s="22" t="str">
        <f>INDEX(Cronograma!N$5:N$11,MATCH($B178,Premissas!$A$39:$A$45,0))</f>
        <v>A</v>
      </c>
      <c r="P178" s="22" t="str">
        <f>INDEX(Cronograma!O$5:O$11,MATCH($B178,Premissas!$A$39:$A$45,0))</f>
        <v/>
      </c>
      <c r="Q178" s="22" t="str">
        <f>INDEX(Cronograma!P$5:P$11,MATCH($B178,Premissas!$A$39:$A$45,0))</f>
        <v/>
      </c>
      <c r="R178" s="22" t="str">
        <f>INDEX(Cronograma!Q$5:Q$11,MATCH($B178,Premissas!$A$39:$A$45,0))</f>
        <v/>
      </c>
      <c r="S178" s="22" t="str">
        <f>INDEX(Cronograma!R$5:R$11,MATCH($B178,Premissas!$A$39:$A$45,0))</f>
        <v/>
      </c>
      <c r="T178" s="22" t="str">
        <f>INDEX(Cronograma!S$5:S$11,MATCH($B178,Premissas!$A$39:$A$45,0))</f>
        <v/>
      </c>
      <c r="U178" s="22" t="str">
        <f>INDEX(Cronograma!T$5:T$11,MATCH($B178,Premissas!$A$39:$A$45,0))</f>
        <v>S</v>
      </c>
      <c r="V178" s="22" t="str">
        <f>INDEX(Cronograma!U$5:U$11,MATCH($B178,Premissas!$A$39:$A$45,0))</f>
        <v/>
      </c>
      <c r="W178" s="22" t="str">
        <f>INDEX(Cronograma!V$5:V$11,MATCH($B178,Premissas!$A$39:$A$45,0))</f>
        <v/>
      </c>
      <c r="X178" s="22" t="str">
        <f>INDEX(Cronograma!W$5:W$11,MATCH($B178,Premissas!$A$39:$A$45,0))</f>
        <v/>
      </c>
      <c r="Y178" s="22" t="str">
        <f>INDEX(Cronograma!X$5:X$11,MATCH($B178,Premissas!$A$39:$A$45,0))</f>
        <v/>
      </c>
      <c r="Z178" s="22" t="str">
        <f>INDEX(Cronograma!Y$5:Y$11,MATCH($B178,Premissas!$A$39:$A$45,0))</f>
        <v/>
      </c>
      <c r="AA178" s="22" t="str">
        <f>INDEX(Cronograma!Z$5:Z$11,MATCH($B178,Premissas!$A$39:$A$45,0))</f>
        <v>B</v>
      </c>
      <c r="AB178" s="22" t="str">
        <f>INDEX(Cronograma!AA$5:AA$11,MATCH($B178,Premissas!$A$39:$A$45,0))</f>
        <v/>
      </c>
      <c r="AC178" s="22" t="str">
        <f>INDEX(Cronograma!AB$5:AB$11,MATCH($B178,Premissas!$A$39:$A$45,0))</f>
        <v/>
      </c>
      <c r="AD178" s="22" t="str">
        <f>INDEX(Cronograma!AC$5:AC$11,MATCH($B178,Premissas!$A$39:$A$45,0))</f>
        <v/>
      </c>
      <c r="AE178" s="22" t="str">
        <f>INDEX(Cronograma!AD$5:AD$11,MATCH($B178,Premissas!$A$39:$A$45,0))</f>
        <v/>
      </c>
      <c r="AF178" s="22" t="str">
        <f>INDEX(Cronograma!AE$5:AE$11,MATCH($B178,Premissas!$A$39:$A$45,0))</f>
        <v/>
      </c>
      <c r="AG178" s="22" t="str">
        <f>INDEX(Cronograma!AF$5:AF$11,MATCH($B178,Premissas!$A$39:$A$45,0))</f>
        <v/>
      </c>
      <c r="AH178" s="22" t="str">
        <f>INDEX(Cronograma!AG$5:AG$11,MATCH($B178,Premissas!$A$39:$A$45,0))</f>
        <v>S</v>
      </c>
      <c r="AI178" s="22" t="str">
        <f>INDEX(Cronograma!AH$5:AH$11,MATCH($B178,Premissas!$A$39:$A$45,0))</f>
        <v/>
      </c>
      <c r="AJ178" s="22" t="str">
        <f>INDEX(Cronograma!AI$5:AI$11,MATCH($B178,Premissas!$A$39:$A$45,0))</f>
        <v/>
      </c>
      <c r="AK178" s="22" t="str">
        <f>INDEX(Cronograma!AJ$5:AJ$11,MATCH($B178,Premissas!$A$39:$A$45,0))</f>
        <v/>
      </c>
      <c r="AL178" s="22" t="str">
        <f>INDEX(Cronograma!AK$5:AK$11,MATCH($B178,Premissas!$A$39:$A$45,0))</f>
        <v/>
      </c>
      <c r="AM178" s="22" t="str">
        <f>INDEX(Cronograma!AL$5:AL$11,MATCH($B178,Premissas!$A$39:$A$45,0))</f>
        <v/>
      </c>
      <c r="AN178" s="22" t="str">
        <f>INDEX(Cronograma!AM$5:AM$11,MATCH($B178,Premissas!$A$39:$A$45,0))</f>
        <v/>
      </c>
      <c r="AO178" s="22" t="str">
        <f>INDEX(Cronograma!AN$5:AN$11,MATCH($B178,Premissas!$A$39:$A$45,0))</f>
        <v/>
      </c>
      <c r="AP178" s="22" t="str">
        <f>INDEX(Cronograma!AO$5:AO$11,MATCH($B178,Premissas!$A$39:$A$45,0))</f>
        <v/>
      </c>
      <c r="AQ178" s="22" t="str">
        <f>INDEX(Cronograma!AP$5:AP$11,MATCH($B178,Premissas!$A$39:$A$45,0))</f>
        <v/>
      </c>
      <c r="AR178" s="22" t="str">
        <f>INDEX(Cronograma!AQ$5:AQ$11,MATCH($B178,Premissas!$A$39:$A$45,0))</f>
        <v/>
      </c>
      <c r="AS178" s="22" t="str">
        <f>INDEX(Cronograma!AR$5:AR$11,MATCH($B178,Premissas!$A$39:$A$45,0))</f>
        <v/>
      </c>
      <c r="AT178" s="22" t="str">
        <f>INDEX(Cronograma!AS$5:AS$11,MATCH($B178,Premissas!$A$39:$A$45,0))</f>
        <v/>
      </c>
      <c r="AU178" s="22" t="str">
        <f>INDEX(Cronograma!AT$5:AT$11,MATCH($B178,Premissas!$A$39:$A$45,0))</f>
        <v/>
      </c>
      <c r="AV178" s="22" t="str">
        <f>INDEX(Cronograma!AU$5:AU$11,MATCH($B178,Premissas!$A$39:$A$45,0))</f>
        <v/>
      </c>
      <c r="AW178" s="22" t="str">
        <f>INDEX(Cronograma!AV$5:AV$11,MATCH($B178,Premissas!$A$39:$A$45,0))</f>
        <v/>
      </c>
      <c r="AX178" s="22" t="str">
        <f>INDEX(Cronograma!AW$5:AW$11,MATCH($B178,Premissas!$A$39:$A$45,0))</f>
        <v/>
      </c>
      <c r="AY178" s="22" t="str">
        <f>INDEX(Cronograma!AX$5:AX$11,MATCH($B178,Premissas!$A$39:$A$45,0))</f>
        <v>A</v>
      </c>
      <c r="AZ178" s="22" t="str">
        <f>INDEX(Cronograma!AY$5:AY$11,MATCH($B178,Premissas!$A$39:$A$45,0))</f>
        <v/>
      </c>
      <c r="BA178" s="22" t="str">
        <f>INDEX(Cronograma!AZ$5:AZ$11,MATCH($B178,Premissas!$A$39:$A$45,0))</f>
        <v/>
      </c>
      <c r="BB178" s="22" t="str">
        <f>INDEX(Cronograma!BA$5:BA$11,MATCH($B178,Premissas!$A$39:$A$45,0))</f>
        <v/>
      </c>
    </row>
    <row r="179" spans="1:54" ht="15" customHeight="1" x14ac:dyDescent="0.4">
      <c r="A179" s="15" t="str">
        <f>Frota!$B179&amp;" — "&amp;Frota!$A179</f>
        <v>John Deere- 5090E — 105098</v>
      </c>
      <c r="B179" s="16" t="str">
        <f>Frota!$C179</f>
        <v>Trator</v>
      </c>
      <c r="C179" s="22" t="str">
        <f>INDEX(Cronograma!B$5:B$11,MATCH($B179,Premissas!$A$39:$A$45,0))</f>
        <v/>
      </c>
      <c r="D179" s="22" t="str">
        <f>INDEX(Cronograma!C$5:C$11,MATCH($B179,Premissas!$A$39:$A$45,0))</f>
        <v/>
      </c>
      <c r="E179" s="22" t="str">
        <f>INDEX(Cronograma!D$5:D$11,MATCH($B179,Premissas!$A$39:$A$45,0))</f>
        <v/>
      </c>
      <c r="F179" s="22" t="str">
        <f>INDEX(Cronograma!E$5:E$11,MATCH($B179,Premissas!$A$39:$A$45,0))</f>
        <v/>
      </c>
      <c r="G179" s="22" t="str">
        <f>INDEX(Cronograma!F$5:F$11,MATCH($B179,Premissas!$A$39:$A$45,0))</f>
        <v/>
      </c>
      <c r="H179" s="22" t="str">
        <f>INDEX(Cronograma!G$5:G$11,MATCH($B179,Premissas!$A$39:$A$45,0))</f>
        <v/>
      </c>
      <c r="I179" s="22" t="str">
        <f>INDEX(Cronograma!H$5:H$11,MATCH($B179,Premissas!$A$39:$A$45,0))</f>
        <v>S</v>
      </c>
      <c r="J179" s="22" t="str">
        <f>INDEX(Cronograma!I$5:I$11,MATCH($B179,Premissas!$A$39:$A$45,0))</f>
        <v/>
      </c>
      <c r="K179" s="22" t="str">
        <f>INDEX(Cronograma!J$5:J$11,MATCH($B179,Premissas!$A$39:$A$45,0))</f>
        <v/>
      </c>
      <c r="L179" s="22" t="str">
        <f>INDEX(Cronograma!K$5:K$11,MATCH($B179,Premissas!$A$39:$A$45,0))</f>
        <v/>
      </c>
      <c r="M179" s="22" t="str">
        <f>INDEX(Cronograma!L$5:L$11,MATCH($B179,Premissas!$A$39:$A$45,0))</f>
        <v/>
      </c>
      <c r="N179" s="22" t="str">
        <f>INDEX(Cronograma!M$5:M$11,MATCH($B179,Premissas!$A$39:$A$45,0))</f>
        <v/>
      </c>
      <c r="O179" s="22" t="str">
        <f>INDEX(Cronograma!N$5:N$11,MATCH($B179,Premissas!$A$39:$A$45,0))</f>
        <v>A</v>
      </c>
      <c r="P179" s="22" t="str">
        <f>INDEX(Cronograma!O$5:O$11,MATCH($B179,Premissas!$A$39:$A$45,0))</f>
        <v/>
      </c>
      <c r="Q179" s="22" t="str">
        <f>INDEX(Cronograma!P$5:P$11,MATCH($B179,Premissas!$A$39:$A$45,0))</f>
        <v/>
      </c>
      <c r="R179" s="22" t="str">
        <f>INDEX(Cronograma!Q$5:Q$11,MATCH($B179,Premissas!$A$39:$A$45,0))</f>
        <v/>
      </c>
      <c r="S179" s="22" t="str">
        <f>INDEX(Cronograma!R$5:R$11,MATCH($B179,Premissas!$A$39:$A$45,0))</f>
        <v/>
      </c>
      <c r="T179" s="22" t="str">
        <f>INDEX(Cronograma!S$5:S$11,MATCH($B179,Premissas!$A$39:$A$45,0))</f>
        <v/>
      </c>
      <c r="U179" s="22" t="str">
        <f>INDEX(Cronograma!T$5:T$11,MATCH($B179,Premissas!$A$39:$A$45,0))</f>
        <v>S</v>
      </c>
      <c r="V179" s="22" t="str">
        <f>INDEX(Cronograma!U$5:U$11,MATCH($B179,Premissas!$A$39:$A$45,0))</f>
        <v/>
      </c>
      <c r="W179" s="22" t="str">
        <f>INDEX(Cronograma!V$5:V$11,MATCH($B179,Premissas!$A$39:$A$45,0))</f>
        <v/>
      </c>
      <c r="X179" s="22" t="str">
        <f>INDEX(Cronograma!W$5:W$11,MATCH($B179,Premissas!$A$39:$A$45,0))</f>
        <v/>
      </c>
      <c r="Y179" s="22" t="str">
        <f>INDEX(Cronograma!X$5:X$11,MATCH($B179,Premissas!$A$39:$A$45,0))</f>
        <v/>
      </c>
      <c r="Z179" s="22" t="str">
        <f>INDEX(Cronograma!Y$5:Y$11,MATCH($B179,Premissas!$A$39:$A$45,0))</f>
        <v/>
      </c>
      <c r="AA179" s="22" t="str">
        <f>INDEX(Cronograma!Z$5:Z$11,MATCH($B179,Premissas!$A$39:$A$45,0))</f>
        <v>B</v>
      </c>
      <c r="AB179" s="22" t="str">
        <f>INDEX(Cronograma!AA$5:AA$11,MATCH($B179,Premissas!$A$39:$A$45,0))</f>
        <v/>
      </c>
      <c r="AC179" s="22" t="str">
        <f>INDEX(Cronograma!AB$5:AB$11,MATCH($B179,Premissas!$A$39:$A$45,0))</f>
        <v/>
      </c>
      <c r="AD179" s="22" t="str">
        <f>INDEX(Cronograma!AC$5:AC$11,MATCH($B179,Premissas!$A$39:$A$45,0))</f>
        <v/>
      </c>
      <c r="AE179" s="22" t="str">
        <f>INDEX(Cronograma!AD$5:AD$11,MATCH($B179,Premissas!$A$39:$A$45,0))</f>
        <v/>
      </c>
      <c r="AF179" s="22" t="str">
        <f>INDEX(Cronograma!AE$5:AE$11,MATCH($B179,Premissas!$A$39:$A$45,0))</f>
        <v/>
      </c>
      <c r="AG179" s="22" t="str">
        <f>INDEX(Cronograma!AF$5:AF$11,MATCH($B179,Premissas!$A$39:$A$45,0))</f>
        <v/>
      </c>
      <c r="AH179" s="22" t="str">
        <f>INDEX(Cronograma!AG$5:AG$11,MATCH($B179,Premissas!$A$39:$A$45,0))</f>
        <v>S</v>
      </c>
      <c r="AI179" s="22" t="str">
        <f>INDEX(Cronograma!AH$5:AH$11,MATCH($B179,Premissas!$A$39:$A$45,0))</f>
        <v/>
      </c>
      <c r="AJ179" s="22" t="str">
        <f>INDEX(Cronograma!AI$5:AI$11,MATCH($B179,Premissas!$A$39:$A$45,0))</f>
        <v/>
      </c>
      <c r="AK179" s="22" t="str">
        <f>INDEX(Cronograma!AJ$5:AJ$11,MATCH($B179,Premissas!$A$39:$A$45,0))</f>
        <v/>
      </c>
      <c r="AL179" s="22" t="str">
        <f>INDEX(Cronograma!AK$5:AK$11,MATCH($B179,Premissas!$A$39:$A$45,0))</f>
        <v/>
      </c>
      <c r="AM179" s="22" t="str">
        <f>INDEX(Cronograma!AL$5:AL$11,MATCH($B179,Premissas!$A$39:$A$45,0))</f>
        <v/>
      </c>
      <c r="AN179" s="22" t="str">
        <f>INDEX(Cronograma!AM$5:AM$11,MATCH($B179,Premissas!$A$39:$A$45,0))</f>
        <v/>
      </c>
      <c r="AO179" s="22" t="str">
        <f>INDEX(Cronograma!AN$5:AN$11,MATCH($B179,Premissas!$A$39:$A$45,0))</f>
        <v/>
      </c>
      <c r="AP179" s="22" t="str">
        <f>INDEX(Cronograma!AO$5:AO$11,MATCH($B179,Premissas!$A$39:$A$45,0))</f>
        <v/>
      </c>
      <c r="AQ179" s="22" t="str">
        <f>INDEX(Cronograma!AP$5:AP$11,MATCH($B179,Premissas!$A$39:$A$45,0))</f>
        <v/>
      </c>
      <c r="AR179" s="22" t="str">
        <f>INDEX(Cronograma!AQ$5:AQ$11,MATCH($B179,Premissas!$A$39:$A$45,0))</f>
        <v/>
      </c>
      <c r="AS179" s="22" t="str">
        <f>INDEX(Cronograma!AR$5:AR$11,MATCH($B179,Premissas!$A$39:$A$45,0))</f>
        <v/>
      </c>
      <c r="AT179" s="22" t="str">
        <f>INDEX(Cronograma!AS$5:AS$11,MATCH($B179,Premissas!$A$39:$A$45,0))</f>
        <v/>
      </c>
      <c r="AU179" s="22" t="str">
        <f>INDEX(Cronograma!AT$5:AT$11,MATCH($B179,Premissas!$A$39:$A$45,0))</f>
        <v/>
      </c>
      <c r="AV179" s="22" t="str">
        <f>INDEX(Cronograma!AU$5:AU$11,MATCH($B179,Premissas!$A$39:$A$45,0))</f>
        <v/>
      </c>
      <c r="AW179" s="22" t="str">
        <f>INDEX(Cronograma!AV$5:AV$11,MATCH($B179,Premissas!$A$39:$A$45,0))</f>
        <v/>
      </c>
      <c r="AX179" s="22" t="str">
        <f>INDEX(Cronograma!AW$5:AW$11,MATCH($B179,Premissas!$A$39:$A$45,0))</f>
        <v/>
      </c>
      <c r="AY179" s="22" t="str">
        <f>INDEX(Cronograma!AX$5:AX$11,MATCH($B179,Premissas!$A$39:$A$45,0))</f>
        <v>A</v>
      </c>
      <c r="AZ179" s="22" t="str">
        <f>INDEX(Cronograma!AY$5:AY$11,MATCH($B179,Premissas!$A$39:$A$45,0))</f>
        <v/>
      </c>
      <c r="BA179" s="22" t="str">
        <f>INDEX(Cronograma!AZ$5:AZ$11,MATCH($B179,Premissas!$A$39:$A$45,0))</f>
        <v/>
      </c>
      <c r="BB179" s="22" t="str">
        <f>INDEX(Cronograma!BA$5:BA$11,MATCH($B179,Premissas!$A$39:$A$45,0))</f>
        <v/>
      </c>
    </row>
    <row r="180" spans="1:54" ht="15" customHeight="1" x14ac:dyDescent="0.4">
      <c r="A180" s="15" t="str">
        <f>Frota!$B180&amp;" — "&amp;Frota!$A180</f>
        <v>John Deere- 5090E — 105099</v>
      </c>
      <c r="B180" s="16" t="str">
        <f>Frota!$C180</f>
        <v>Trator</v>
      </c>
      <c r="C180" s="22" t="str">
        <f>INDEX(Cronograma!B$5:B$11,MATCH($B180,Premissas!$A$39:$A$45,0))</f>
        <v/>
      </c>
      <c r="D180" s="22" t="str">
        <f>INDEX(Cronograma!C$5:C$11,MATCH($B180,Premissas!$A$39:$A$45,0))</f>
        <v/>
      </c>
      <c r="E180" s="22" t="str">
        <f>INDEX(Cronograma!D$5:D$11,MATCH($B180,Premissas!$A$39:$A$45,0))</f>
        <v/>
      </c>
      <c r="F180" s="22" t="str">
        <f>INDEX(Cronograma!E$5:E$11,MATCH($B180,Premissas!$A$39:$A$45,0))</f>
        <v/>
      </c>
      <c r="G180" s="22" t="str">
        <f>INDEX(Cronograma!F$5:F$11,MATCH($B180,Premissas!$A$39:$A$45,0))</f>
        <v/>
      </c>
      <c r="H180" s="22" t="str">
        <f>INDEX(Cronograma!G$5:G$11,MATCH($B180,Premissas!$A$39:$A$45,0))</f>
        <v/>
      </c>
      <c r="I180" s="22" t="str">
        <f>INDEX(Cronograma!H$5:H$11,MATCH($B180,Premissas!$A$39:$A$45,0))</f>
        <v>S</v>
      </c>
      <c r="J180" s="22" t="str">
        <f>INDEX(Cronograma!I$5:I$11,MATCH($B180,Premissas!$A$39:$A$45,0))</f>
        <v/>
      </c>
      <c r="K180" s="22" t="str">
        <f>INDEX(Cronograma!J$5:J$11,MATCH($B180,Premissas!$A$39:$A$45,0))</f>
        <v/>
      </c>
      <c r="L180" s="22" t="str">
        <f>INDEX(Cronograma!K$5:K$11,MATCH($B180,Premissas!$A$39:$A$45,0))</f>
        <v/>
      </c>
      <c r="M180" s="22" t="str">
        <f>INDEX(Cronograma!L$5:L$11,MATCH($B180,Premissas!$A$39:$A$45,0))</f>
        <v/>
      </c>
      <c r="N180" s="22" t="str">
        <f>INDEX(Cronograma!M$5:M$11,MATCH($B180,Premissas!$A$39:$A$45,0))</f>
        <v/>
      </c>
      <c r="O180" s="22" t="str">
        <f>INDEX(Cronograma!N$5:N$11,MATCH($B180,Premissas!$A$39:$A$45,0))</f>
        <v>A</v>
      </c>
      <c r="P180" s="22" t="str">
        <f>INDEX(Cronograma!O$5:O$11,MATCH($B180,Premissas!$A$39:$A$45,0))</f>
        <v/>
      </c>
      <c r="Q180" s="22" t="str">
        <f>INDEX(Cronograma!P$5:P$11,MATCH($B180,Premissas!$A$39:$A$45,0))</f>
        <v/>
      </c>
      <c r="R180" s="22" t="str">
        <f>INDEX(Cronograma!Q$5:Q$11,MATCH($B180,Premissas!$A$39:$A$45,0))</f>
        <v/>
      </c>
      <c r="S180" s="22" t="str">
        <f>INDEX(Cronograma!R$5:R$11,MATCH($B180,Premissas!$A$39:$A$45,0))</f>
        <v/>
      </c>
      <c r="T180" s="22" t="str">
        <f>INDEX(Cronograma!S$5:S$11,MATCH($B180,Premissas!$A$39:$A$45,0))</f>
        <v/>
      </c>
      <c r="U180" s="22" t="str">
        <f>INDEX(Cronograma!T$5:T$11,MATCH($B180,Premissas!$A$39:$A$45,0))</f>
        <v>S</v>
      </c>
      <c r="V180" s="22" t="str">
        <f>INDEX(Cronograma!U$5:U$11,MATCH($B180,Premissas!$A$39:$A$45,0))</f>
        <v/>
      </c>
      <c r="W180" s="22" t="str">
        <f>INDEX(Cronograma!V$5:V$11,MATCH($B180,Premissas!$A$39:$A$45,0))</f>
        <v/>
      </c>
      <c r="X180" s="22" t="str">
        <f>INDEX(Cronograma!W$5:W$11,MATCH($B180,Premissas!$A$39:$A$45,0))</f>
        <v/>
      </c>
      <c r="Y180" s="22" t="str">
        <f>INDEX(Cronograma!X$5:X$11,MATCH($B180,Premissas!$A$39:$A$45,0))</f>
        <v/>
      </c>
      <c r="Z180" s="22" t="str">
        <f>INDEX(Cronograma!Y$5:Y$11,MATCH($B180,Premissas!$A$39:$A$45,0))</f>
        <v/>
      </c>
      <c r="AA180" s="22" t="str">
        <f>INDEX(Cronograma!Z$5:Z$11,MATCH($B180,Premissas!$A$39:$A$45,0))</f>
        <v>B</v>
      </c>
      <c r="AB180" s="22" t="str">
        <f>INDEX(Cronograma!AA$5:AA$11,MATCH($B180,Premissas!$A$39:$A$45,0))</f>
        <v/>
      </c>
      <c r="AC180" s="22" t="str">
        <f>INDEX(Cronograma!AB$5:AB$11,MATCH($B180,Premissas!$A$39:$A$45,0))</f>
        <v/>
      </c>
      <c r="AD180" s="22" t="str">
        <f>INDEX(Cronograma!AC$5:AC$11,MATCH($B180,Premissas!$A$39:$A$45,0))</f>
        <v/>
      </c>
      <c r="AE180" s="22" t="str">
        <f>INDEX(Cronograma!AD$5:AD$11,MATCH($B180,Premissas!$A$39:$A$45,0))</f>
        <v/>
      </c>
      <c r="AF180" s="22" t="str">
        <f>INDEX(Cronograma!AE$5:AE$11,MATCH($B180,Premissas!$A$39:$A$45,0))</f>
        <v/>
      </c>
      <c r="AG180" s="22" t="str">
        <f>INDEX(Cronograma!AF$5:AF$11,MATCH($B180,Premissas!$A$39:$A$45,0))</f>
        <v/>
      </c>
      <c r="AH180" s="22" t="str">
        <f>INDEX(Cronograma!AG$5:AG$11,MATCH($B180,Premissas!$A$39:$A$45,0))</f>
        <v>S</v>
      </c>
      <c r="AI180" s="22" t="str">
        <f>INDEX(Cronograma!AH$5:AH$11,MATCH($B180,Premissas!$A$39:$A$45,0))</f>
        <v/>
      </c>
      <c r="AJ180" s="22" t="str">
        <f>INDEX(Cronograma!AI$5:AI$11,MATCH($B180,Premissas!$A$39:$A$45,0))</f>
        <v/>
      </c>
      <c r="AK180" s="22" t="str">
        <f>INDEX(Cronograma!AJ$5:AJ$11,MATCH($B180,Premissas!$A$39:$A$45,0))</f>
        <v/>
      </c>
      <c r="AL180" s="22" t="str">
        <f>INDEX(Cronograma!AK$5:AK$11,MATCH($B180,Premissas!$A$39:$A$45,0))</f>
        <v/>
      </c>
      <c r="AM180" s="22" t="str">
        <f>INDEX(Cronograma!AL$5:AL$11,MATCH($B180,Premissas!$A$39:$A$45,0))</f>
        <v/>
      </c>
      <c r="AN180" s="22" t="str">
        <f>INDEX(Cronograma!AM$5:AM$11,MATCH($B180,Premissas!$A$39:$A$45,0))</f>
        <v/>
      </c>
      <c r="AO180" s="22" t="str">
        <f>INDEX(Cronograma!AN$5:AN$11,MATCH($B180,Premissas!$A$39:$A$45,0))</f>
        <v/>
      </c>
      <c r="AP180" s="22" t="str">
        <f>INDEX(Cronograma!AO$5:AO$11,MATCH($B180,Premissas!$A$39:$A$45,0))</f>
        <v/>
      </c>
      <c r="AQ180" s="22" t="str">
        <f>INDEX(Cronograma!AP$5:AP$11,MATCH($B180,Premissas!$A$39:$A$45,0))</f>
        <v/>
      </c>
      <c r="AR180" s="22" t="str">
        <f>INDEX(Cronograma!AQ$5:AQ$11,MATCH($B180,Premissas!$A$39:$A$45,0))</f>
        <v/>
      </c>
      <c r="AS180" s="22" t="str">
        <f>INDEX(Cronograma!AR$5:AR$11,MATCH($B180,Premissas!$A$39:$A$45,0))</f>
        <v/>
      </c>
      <c r="AT180" s="22" t="str">
        <f>INDEX(Cronograma!AS$5:AS$11,MATCH($B180,Premissas!$A$39:$A$45,0))</f>
        <v/>
      </c>
      <c r="AU180" s="22" t="str">
        <f>INDEX(Cronograma!AT$5:AT$11,MATCH($B180,Premissas!$A$39:$A$45,0))</f>
        <v/>
      </c>
      <c r="AV180" s="22" t="str">
        <f>INDEX(Cronograma!AU$5:AU$11,MATCH($B180,Premissas!$A$39:$A$45,0))</f>
        <v/>
      </c>
      <c r="AW180" s="22" t="str">
        <f>INDEX(Cronograma!AV$5:AV$11,MATCH($B180,Premissas!$A$39:$A$45,0))</f>
        <v/>
      </c>
      <c r="AX180" s="22" t="str">
        <f>INDEX(Cronograma!AW$5:AW$11,MATCH($B180,Premissas!$A$39:$A$45,0))</f>
        <v/>
      </c>
      <c r="AY180" s="22" t="str">
        <f>INDEX(Cronograma!AX$5:AX$11,MATCH($B180,Premissas!$A$39:$A$45,0))</f>
        <v>A</v>
      </c>
      <c r="AZ180" s="22" t="str">
        <f>INDEX(Cronograma!AY$5:AY$11,MATCH($B180,Premissas!$A$39:$A$45,0))</f>
        <v/>
      </c>
      <c r="BA180" s="22" t="str">
        <f>INDEX(Cronograma!AZ$5:AZ$11,MATCH($B180,Premissas!$A$39:$A$45,0))</f>
        <v/>
      </c>
      <c r="BB180" s="22" t="str">
        <f>INDEX(Cronograma!BA$5:BA$11,MATCH($B180,Premissas!$A$39:$A$45,0))</f>
        <v/>
      </c>
    </row>
    <row r="181" spans="1:54" ht="15" customHeight="1" x14ac:dyDescent="0.4">
      <c r="A181" s="15" t="str">
        <f>Frota!$B181&amp;" — "&amp;Frota!$A181</f>
        <v>John Deere- 5090E — 105100</v>
      </c>
      <c r="B181" s="16" t="str">
        <f>Frota!$C181</f>
        <v>Trator</v>
      </c>
      <c r="C181" s="22" t="str">
        <f>INDEX(Cronograma!B$5:B$11,MATCH($B181,Premissas!$A$39:$A$45,0))</f>
        <v/>
      </c>
      <c r="D181" s="22" t="str">
        <f>INDEX(Cronograma!C$5:C$11,MATCH($B181,Premissas!$A$39:$A$45,0))</f>
        <v/>
      </c>
      <c r="E181" s="22" t="str">
        <f>INDEX(Cronograma!D$5:D$11,MATCH($B181,Premissas!$A$39:$A$45,0))</f>
        <v/>
      </c>
      <c r="F181" s="22" t="str">
        <f>INDEX(Cronograma!E$5:E$11,MATCH($B181,Premissas!$A$39:$A$45,0))</f>
        <v/>
      </c>
      <c r="G181" s="22" t="str">
        <f>INDEX(Cronograma!F$5:F$11,MATCH($B181,Premissas!$A$39:$A$45,0))</f>
        <v/>
      </c>
      <c r="H181" s="22" t="str">
        <f>INDEX(Cronograma!G$5:G$11,MATCH($B181,Premissas!$A$39:$A$45,0))</f>
        <v/>
      </c>
      <c r="I181" s="22" t="str">
        <f>INDEX(Cronograma!H$5:H$11,MATCH($B181,Premissas!$A$39:$A$45,0))</f>
        <v>S</v>
      </c>
      <c r="J181" s="22" t="str">
        <f>INDEX(Cronograma!I$5:I$11,MATCH($B181,Premissas!$A$39:$A$45,0))</f>
        <v/>
      </c>
      <c r="K181" s="22" t="str">
        <f>INDEX(Cronograma!J$5:J$11,MATCH($B181,Premissas!$A$39:$A$45,0))</f>
        <v/>
      </c>
      <c r="L181" s="22" t="str">
        <f>INDEX(Cronograma!K$5:K$11,MATCH($B181,Premissas!$A$39:$A$45,0))</f>
        <v/>
      </c>
      <c r="M181" s="22" t="str">
        <f>INDEX(Cronograma!L$5:L$11,MATCH($B181,Premissas!$A$39:$A$45,0))</f>
        <v/>
      </c>
      <c r="N181" s="22" t="str">
        <f>INDEX(Cronograma!M$5:M$11,MATCH($B181,Premissas!$A$39:$A$45,0))</f>
        <v/>
      </c>
      <c r="O181" s="22" t="str">
        <f>INDEX(Cronograma!N$5:N$11,MATCH($B181,Premissas!$A$39:$A$45,0))</f>
        <v>A</v>
      </c>
      <c r="P181" s="22" t="str">
        <f>INDEX(Cronograma!O$5:O$11,MATCH($B181,Premissas!$A$39:$A$45,0))</f>
        <v/>
      </c>
      <c r="Q181" s="22" t="str">
        <f>INDEX(Cronograma!P$5:P$11,MATCH($B181,Premissas!$A$39:$A$45,0))</f>
        <v/>
      </c>
      <c r="R181" s="22" t="str">
        <f>INDEX(Cronograma!Q$5:Q$11,MATCH($B181,Premissas!$A$39:$A$45,0))</f>
        <v/>
      </c>
      <c r="S181" s="22" t="str">
        <f>INDEX(Cronograma!R$5:R$11,MATCH($B181,Premissas!$A$39:$A$45,0))</f>
        <v/>
      </c>
      <c r="T181" s="22" t="str">
        <f>INDEX(Cronograma!S$5:S$11,MATCH($B181,Premissas!$A$39:$A$45,0))</f>
        <v/>
      </c>
      <c r="U181" s="22" t="str">
        <f>INDEX(Cronograma!T$5:T$11,MATCH($B181,Premissas!$A$39:$A$45,0))</f>
        <v>S</v>
      </c>
      <c r="V181" s="22" t="str">
        <f>INDEX(Cronograma!U$5:U$11,MATCH($B181,Premissas!$A$39:$A$45,0))</f>
        <v/>
      </c>
      <c r="W181" s="22" t="str">
        <f>INDEX(Cronograma!V$5:V$11,MATCH($B181,Premissas!$A$39:$A$45,0))</f>
        <v/>
      </c>
      <c r="X181" s="22" t="str">
        <f>INDEX(Cronograma!W$5:W$11,MATCH($B181,Premissas!$A$39:$A$45,0))</f>
        <v/>
      </c>
      <c r="Y181" s="22" t="str">
        <f>INDEX(Cronograma!X$5:X$11,MATCH($B181,Premissas!$A$39:$A$45,0))</f>
        <v/>
      </c>
      <c r="Z181" s="22" t="str">
        <f>INDEX(Cronograma!Y$5:Y$11,MATCH($B181,Premissas!$A$39:$A$45,0))</f>
        <v/>
      </c>
      <c r="AA181" s="22" t="str">
        <f>INDEX(Cronograma!Z$5:Z$11,MATCH($B181,Premissas!$A$39:$A$45,0))</f>
        <v>B</v>
      </c>
      <c r="AB181" s="22" t="str">
        <f>INDEX(Cronograma!AA$5:AA$11,MATCH($B181,Premissas!$A$39:$A$45,0))</f>
        <v/>
      </c>
      <c r="AC181" s="22" t="str">
        <f>INDEX(Cronograma!AB$5:AB$11,MATCH($B181,Premissas!$A$39:$A$45,0))</f>
        <v/>
      </c>
      <c r="AD181" s="22" t="str">
        <f>INDEX(Cronograma!AC$5:AC$11,MATCH($B181,Premissas!$A$39:$A$45,0))</f>
        <v/>
      </c>
      <c r="AE181" s="22" t="str">
        <f>INDEX(Cronograma!AD$5:AD$11,MATCH($B181,Premissas!$A$39:$A$45,0))</f>
        <v/>
      </c>
      <c r="AF181" s="22" t="str">
        <f>INDEX(Cronograma!AE$5:AE$11,MATCH($B181,Premissas!$A$39:$A$45,0))</f>
        <v/>
      </c>
      <c r="AG181" s="22" t="str">
        <f>INDEX(Cronograma!AF$5:AF$11,MATCH($B181,Premissas!$A$39:$A$45,0))</f>
        <v/>
      </c>
      <c r="AH181" s="22" t="str">
        <f>INDEX(Cronograma!AG$5:AG$11,MATCH($B181,Premissas!$A$39:$A$45,0))</f>
        <v>S</v>
      </c>
      <c r="AI181" s="22" t="str">
        <f>INDEX(Cronograma!AH$5:AH$11,MATCH($B181,Premissas!$A$39:$A$45,0))</f>
        <v/>
      </c>
      <c r="AJ181" s="22" t="str">
        <f>INDEX(Cronograma!AI$5:AI$11,MATCH($B181,Premissas!$A$39:$A$45,0))</f>
        <v/>
      </c>
      <c r="AK181" s="22" t="str">
        <f>INDEX(Cronograma!AJ$5:AJ$11,MATCH($B181,Premissas!$A$39:$A$45,0))</f>
        <v/>
      </c>
      <c r="AL181" s="22" t="str">
        <f>INDEX(Cronograma!AK$5:AK$11,MATCH($B181,Premissas!$A$39:$A$45,0))</f>
        <v/>
      </c>
      <c r="AM181" s="22" t="str">
        <f>INDEX(Cronograma!AL$5:AL$11,MATCH($B181,Premissas!$A$39:$A$45,0))</f>
        <v/>
      </c>
      <c r="AN181" s="22" t="str">
        <f>INDEX(Cronograma!AM$5:AM$11,MATCH($B181,Premissas!$A$39:$A$45,0))</f>
        <v/>
      </c>
      <c r="AO181" s="22" t="str">
        <f>INDEX(Cronograma!AN$5:AN$11,MATCH($B181,Premissas!$A$39:$A$45,0))</f>
        <v/>
      </c>
      <c r="AP181" s="22" t="str">
        <f>INDEX(Cronograma!AO$5:AO$11,MATCH($B181,Premissas!$A$39:$A$45,0))</f>
        <v/>
      </c>
      <c r="AQ181" s="22" t="str">
        <f>INDEX(Cronograma!AP$5:AP$11,MATCH($B181,Premissas!$A$39:$A$45,0))</f>
        <v/>
      </c>
      <c r="AR181" s="22" t="str">
        <f>INDEX(Cronograma!AQ$5:AQ$11,MATCH($B181,Premissas!$A$39:$A$45,0))</f>
        <v/>
      </c>
      <c r="AS181" s="22" t="str">
        <f>INDEX(Cronograma!AR$5:AR$11,MATCH($B181,Premissas!$A$39:$A$45,0))</f>
        <v/>
      </c>
      <c r="AT181" s="22" t="str">
        <f>INDEX(Cronograma!AS$5:AS$11,MATCH($B181,Premissas!$A$39:$A$45,0))</f>
        <v/>
      </c>
      <c r="AU181" s="22" t="str">
        <f>INDEX(Cronograma!AT$5:AT$11,MATCH($B181,Premissas!$A$39:$A$45,0))</f>
        <v/>
      </c>
      <c r="AV181" s="22" t="str">
        <f>INDEX(Cronograma!AU$5:AU$11,MATCH($B181,Premissas!$A$39:$A$45,0))</f>
        <v/>
      </c>
      <c r="AW181" s="22" t="str">
        <f>INDEX(Cronograma!AV$5:AV$11,MATCH($B181,Premissas!$A$39:$A$45,0))</f>
        <v/>
      </c>
      <c r="AX181" s="22" t="str">
        <f>INDEX(Cronograma!AW$5:AW$11,MATCH($B181,Premissas!$A$39:$A$45,0))</f>
        <v/>
      </c>
      <c r="AY181" s="22" t="str">
        <f>INDEX(Cronograma!AX$5:AX$11,MATCH($B181,Premissas!$A$39:$A$45,0))</f>
        <v>A</v>
      </c>
      <c r="AZ181" s="22" t="str">
        <f>INDEX(Cronograma!AY$5:AY$11,MATCH($B181,Premissas!$A$39:$A$45,0))</f>
        <v/>
      </c>
      <c r="BA181" s="22" t="str">
        <f>INDEX(Cronograma!AZ$5:AZ$11,MATCH($B181,Premissas!$A$39:$A$45,0))</f>
        <v/>
      </c>
      <c r="BB181" s="22" t="str">
        <f>INDEX(Cronograma!BA$5:BA$11,MATCH($B181,Premissas!$A$39:$A$45,0))</f>
        <v/>
      </c>
    </row>
    <row r="182" spans="1:54" ht="15" customHeight="1" x14ac:dyDescent="0.4">
      <c r="A182" s="15" t="str">
        <f>Frota!$B182&amp;" — "&amp;Frota!$A182</f>
        <v>John Deere- 5090E — 105101</v>
      </c>
      <c r="B182" s="16" t="str">
        <f>Frota!$C182</f>
        <v>Trator</v>
      </c>
      <c r="C182" s="22" t="str">
        <f>INDEX(Cronograma!B$5:B$11,MATCH($B182,Premissas!$A$39:$A$45,0))</f>
        <v/>
      </c>
      <c r="D182" s="22" t="str">
        <f>INDEX(Cronograma!C$5:C$11,MATCH($B182,Premissas!$A$39:$A$45,0))</f>
        <v/>
      </c>
      <c r="E182" s="22" t="str">
        <f>INDEX(Cronograma!D$5:D$11,MATCH($B182,Premissas!$A$39:$A$45,0))</f>
        <v/>
      </c>
      <c r="F182" s="22" t="str">
        <f>INDEX(Cronograma!E$5:E$11,MATCH($B182,Premissas!$A$39:$A$45,0))</f>
        <v/>
      </c>
      <c r="G182" s="22" t="str">
        <f>INDEX(Cronograma!F$5:F$11,MATCH($B182,Premissas!$A$39:$A$45,0))</f>
        <v/>
      </c>
      <c r="H182" s="22" t="str">
        <f>INDEX(Cronograma!G$5:G$11,MATCH($B182,Premissas!$A$39:$A$45,0))</f>
        <v/>
      </c>
      <c r="I182" s="22" t="str">
        <f>INDEX(Cronograma!H$5:H$11,MATCH($B182,Premissas!$A$39:$A$45,0))</f>
        <v>S</v>
      </c>
      <c r="J182" s="22" t="str">
        <f>INDEX(Cronograma!I$5:I$11,MATCH($B182,Premissas!$A$39:$A$45,0))</f>
        <v/>
      </c>
      <c r="K182" s="22" t="str">
        <f>INDEX(Cronograma!J$5:J$11,MATCH($B182,Premissas!$A$39:$A$45,0))</f>
        <v/>
      </c>
      <c r="L182" s="22" t="str">
        <f>INDEX(Cronograma!K$5:K$11,MATCH($B182,Premissas!$A$39:$A$45,0))</f>
        <v/>
      </c>
      <c r="M182" s="22" t="str">
        <f>INDEX(Cronograma!L$5:L$11,MATCH($B182,Premissas!$A$39:$A$45,0))</f>
        <v/>
      </c>
      <c r="N182" s="22" t="str">
        <f>INDEX(Cronograma!M$5:M$11,MATCH($B182,Premissas!$A$39:$A$45,0))</f>
        <v/>
      </c>
      <c r="O182" s="22" t="str">
        <f>INDEX(Cronograma!N$5:N$11,MATCH($B182,Premissas!$A$39:$A$45,0))</f>
        <v>A</v>
      </c>
      <c r="P182" s="22" t="str">
        <f>INDEX(Cronograma!O$5:O$11,MATCH($B182,Premissas!$A$39:$A$45,0))</f>
        <v/>
      </c>
      <c r="Q182" s="22" t="str">
        <f>INDEX(Cronograma!P$5:P$11,MATCH($B182,Premissas!$A$39:$A$45,0))</f>
        <v/>
      </c>
      <c r="R182" s="22" t="str">
        <f>INDEX(Cronograma!Q$5:Q$11,MATCH($B182,Premissas!$A$39:$A$45,0))</f>
        <v/>
      </c>
      <c r="S182" s="22" t="str">
        <f>INDEX(Cronograma!R$5:R$11,MATCH($B182,Premissas!$A$39:$A$45,0))</f>
        <v/>
      </c>
      <c r="T182" s="22" t="str">
        <f>INDEX(Cronograma!S$5:S$11,MATCH($B182,Premissas!$A$39:$A$45,0))</f>
        <v/>
      </c>
      <c r="U182" s="22" t="str">
        <f>INDEX(Cronograma!T$5:T$11,MATCH($B182,Premissas!$A$39:$A$45,0))</f>
        <v>S</v>
      </c>
      <c r="V182" s="22" t="str">
        <f>INDEX(Cronograma!U$5:U$11,MATCH($B182,Premissas!$A$39:$A$45,0))</f>
        <v/>
      </c>
      <c r="W182" s="22" t="str">
        <f>INDEX(Cronograma!V$5:V$11,MATCH($B182,Premissas!$A$39:$A$45,0))</f>
        <v/>
      </c>
      <c r="X182" s="22" t="str">
        <f>INDEX(Cronograma!W$5:W$11,MATCH($B182,Premissas!$A$39:$A$45,0))</f>
        <v/>
      </c>
      <c r="Y182" s="22" t="str">
        <f>INDEX(Cronograma!X$5:X$11,MATCH($B182,Premissas!$A$39:$A$45,0))</f>
        <v/>
      </c>
      <c r="Z182" s="22" t="str">
        <f>INDEX(Cronograma!Y$5:Y$11,MATCH($B182,Premissas!$A$39:$A$45,0))</f>
        <v/>
      </c>
      <c r="AA182" s="22" t="str">
        <f>INDEX(Cronograma!Z$5:Z$11,MATCH($B182,Premissas!$A$39:$A$45,0))</f>
        <v>B</v>
      </c>
      <c r="AB182" s="22" t="str">
        <f>INDEX(Cronograma!AA$5:AA$11,MATCH($B182,Premissas!$A$39:$A$45,0))</f>
        <v/>
      </c>
      <c r="AC182" s="22" t="str">
        <f>INDEX(Cronograma!AB$5:AB$11,MATCH($B182,Premissas!$A$39:$A$45,0))</f>
        <v/>
      </c>
      <c r="AD182" s="22" t="str">
        <f>INDEX(Cronograma!AC$5:AC$11,MATCH($B182,Premissas!$A$39:$A$45,0))</f>
        <v/>
      </c>
      <c r="AE182" s="22" t="str">
        <f>INDEX(Cronograma!AD$5:AD$11,MATCH($B182,Premissas!$A$39:$A$45,0))</f>
        <v/>
      </c>
      <c r="AF182" s="22" t="str">
        <f>INDEX(Cronograma!AE$5:AE$11,MATCH($B182,Premissas!$A$39:$A$45,0))</f>
        <v/>
      </c>
      <c r="AG182" s="22" t="str">
        <f>INDEX(Cronograma!AF$5:AF$11,MATCH($B182,Premissas!$A$39:$A$45,0))</f>
        <v/>
      </c>
      <c r="AH182" s="22" t="str">
        <f>INDEX(Cronograma!AG$5:AG$11,MATCH($B182,Premissas!$A$39:$A$45,0))</f>
        <v>S</v>
      </c>
      <c r="AI182" s="22" t="str">
        <f>INDEX(Cronograma!AH$5:AH$11,MATCH($B182,Premissas!$A$39:$A$45,0))</f>
        <v/>
      </c>
      <c r="AJ182" s="22" t="str">
        <f>INDEX(Cronograma!AI$5:AI$11,MATCH($B182,Premissas!$A$39:$A$45,0))</f>
        <v/>
      </c>
      <c r="AK182" s="22" t="str">
        <f>INDEX(Cronograma!AJ$5:AJ$11,MATCH($B182,Premissas!$A$39:$A$45,0))</f>
        <v/>
      </c>
      <c r="AL182" s="22" t="str">
        <f>INDEX(Cronograma!AK$5:AK$11,MATCH($B182,Premissas!$A$39:$A$45,0))</f>
        <v/>
      </c>
      <c r="AM182" s="22" t="str">
        <f>INDEX(Cronograma!AL$5:AL$11,MATCH($B182,Premissas!$A$39:$A$45,0))</f>
        <v/>
      </c>
      <c r="AN182" s="22" t="str">
        <f>INDEX(Cronograma!AM$5:AM$11,MATCH($B182,Premissas!$A$39:$A$45,0))</f>
        <v/>
      </c>
      <c r="AO182" s="22" t="str">
        <f>INDEX(Cronograma!AN$5:AN$11,MATCH($B182,Premissas!$A$39:$A$45,0))</f>
        <v/>
      </c>
      <c r="AP182" s="22" t="str">
        <f>INDEX(Cronograma!AO$5:AO$11,MATCH($B182,Premissas!$A$39:$A$45,0))</f>
        <v/>
      </c>
      <c r="AQ182" s="22" t="str">
        <f>INDEX(Cronograma!AP$5:AP$11,MATCH($B182,Premissas!$A$39:$A$45,0))</f>
        <v/>
      </c>
      <c r="AR182" s="22" t="str">
        <f>INDEX(Cronograma!AQ$5:AQ$11,MATCH($B182,Premissas!$A$39:$A$45,0))</f>
        <v/>
      </c>
      <c r="AS182" s="22" t="str">
        <f>INDEX(Cronograma!AR$5:AR$11,MATCH($B182,Premissas!$A$39:$A$45,0))</f>
        <v/>
      </c>
      <c r="AT182" s="22" t="str">
        <f>INDEX(Cronograma!AS$5:AS$11,MATCH($B182,Premissas!$A$39:$A$45,0))</f>
        <v/>
      </c>
      <c r="AU182" s="22" t="str">
        <f>INDEX(Cronograma!AT$5:AT$11,MATCH($B182,Premissas!$A$39:$A$45,0))</f>
        <v/>
      </c>
      <c r="AV182" s="22" t="str">
        <f>INDEX(Cronograma!AU$5:AU$11,MATCH($B182,Premissas!$A$39:$A$45,0))</f>
        <v/>
      </c>
      <c r="AW182" s="22" t="str">
        <f>INDEX(Cronograma!AV$5:AV$11,MATCH($B182,Premissas!$A$39:$A$45,0))</f>
        <v/>
      </c>
      <c r="AX182" s="22" t="str">
        <f>INDEX(Cronograma!AW$5:AW$11,MATCH($B182,Premissas!$A$39:$A$45,0))</f>
        <v/>
      </c>
      <c r="AY182" s="22" t="str">
        <f>INDEX(Cronograma!AX$5:AX$11,MATCH($B182,Premissas!$A$39:$A$45,0))</f>
        <v>A</v>
      </c>
      <c r="AZ182" s="22" t="str">
        <f>INDEX(Cronograma!AY$5:AY$11,MATCH($B182,Premissas!$A$39:$A$45,0))</f>
        <v/>
      </c>
      <c r="BA182" s="22" t="str">
        <f>INDEX(Cronograma!AZ$5:AZ$11,MATCH($B182,Premissas!$A$39:$A$45,0))</f>
        <v/>
      </c>
      <c r="BB182" s="22" t="str">
        <f>INDEX(Cronograma!BA$5:BA$11,MATCH($B182,Premissas!$A$39:$A$45,0))</f>
        <v/>
      </c>
    </row>
    <row r="183" spans="1:54" ht="15" customHeight="1" x14ac:dyDescent="0.4">
      <c r="A183" s="15" t="str">
        <f>Frota!$B183&amp;" — "&amp;Frota!$A183</f>
        <v>John Deere- 5090E — 105102</v>
      </c>
      <c r="B183" s="16" t="str">
        <f>Frota!$C183</f>
        <v>Trator</v>
      </c>
      <c r="C183" s="22" t="str">
        <f>INDEX(Cronograma!B$5:B$11,MATCH($B183,Premissas!$A$39:$A$45,0))</f>
        <v/>
      </c>
      <c r="D183" s="22" t="str">
        <f>INDEX(Cronograma!C$5:C$11,MATCH($B183,Premissas!$A$39:$A$45,0))</f>
        <v/>
      </c>
      <c r="E183" s="22" t="str">
        <f>INDEX(Cronograma!D$5:D$11,MATCH($B183,Premissas!$A$39:$A$45,0))</f>
        <v/>
      </c>
      <c r="F183" s="22" t="str">
        <f>INDEX(Cronograma!E$5:E$11,MATCH($B183,Premissas!$A$39:$A$45,0))</f>
        <v/>
      </c>
      <c r="G183" s="22" t="str">
        <f>INDEX(Cronograma!F$5:F$11,MATCH($B183,Premissas!$A$39:$A$45,0))</f>
        <v/>
      </c>
      <c r="H183" s="22" t="str">
        <f>INDEX(Cronograma!G$5:G$11,MATCH($B183,Premissas!$A$39:$A$45,0))</f>
        <v/>
      </c>
      <c r="I183" s="22" t="str">
        <f>INDEX(Cronograma!H$5:H$11,MATCH($B183,Premissas!$A$39:$A$45,0))</f>
        <v>S</v>
      </c>
      <c r="J183" s="22" t="str">
        <f>INDEX(Cronograma!I$5:I$11,MATCH($B183,Premissas!$A$39:$A$45,0))</f>
        <v/>
      </c>
      <c r="K183" s="22" t="str">
        <f>INDEX(Cronograma!J$5:J$11,MATCH($B183,Premissas!$A$39:$A$45,0))</f>
        <v/>
      </c>
      <c r="L183" s="22" t="str">
        <f>INDEX(Cronograma!K$5:K$11,MATCH($B183,Premissas!$A$39:$A$45,0))</f>
        <v/>
      </c>
      <c r="M183" s="22" t="str">
        <f>INDEX(Cronograma!L$5:L$11,MATCH($B183,Premissas!$A$39:$A$45,0))</f>
        <v/>
      </c>
      <c r="N183" s="22" t="str">
        <f>INDEX(Cronograma!M$5:M$11,MATCH($B183,Premissas!$A$39:$A$45,0))</f>
        <v/>
      </c>
      <c r="O183" s="22" t="str">
        <f>INDEX(Cronograma!N$5:N$11,MATCH($B183,Premissas!$A$39:$A$45,0))</f>
        <v>A</v>
      </c>
      <c r="P183" s="22" t="str">
        <f>INDEX(Cronograma!O$5:O$11,MATCH($B183,Premissas!$A$39:$A$45,0))</f>
        <v/>
      </c>
      <c r="Q183" s="22" t="str">
        <f>INDEX(Cronograma!P$5:P$11,MATCH($B183,Premissas!$A$39:$A$45,0))</f>
        <v/>
      </c>
      <c r="R183" s="22" t="str">
        <f>INDEX(Cronograma!Q$5:Q$11,MATCH($B183,Premissas!$A$39:$A$45,0))</f>
        <v/>
      </c>
      <c r="S183" s="22" t="str">
        <f>INDEX(Cronograma!R$5:R$11,MATCH($B183,Premissas!$A$39:$A$45,0))</f>
        <v/>
      </c>
      <c r="T183" s="22" t="str">
        <f>INDEX(Cronograma!S$5:S$11,MATCH($B183,Premissas!$A$39:$A$45,0))</f>
        <v/>
      </c>
      <c r="U183" s="22" t="str">
        <f>INDEX(Cronograma!T$5:T$11,MATCH($B183,Premissas!$A$39:$A$45,0))</f>
        <v>S</v>
      </c>
      <c r="V183" s="22" t="str">
        <f>INDEX(Cronograma!U$5:U$11,MATCH($B183,Premissas!$A$39:$A$45,0))</f>
        <v/>
      </c>
      <c r="W183" s="22" t="str">
        <f>INDEX(Cronograma!V$5:V$11,MATCH($B183,Premissas!$A$39:$A$45,0))</f>
        <v/>
      </c>
      <c r="X183" s="22" t="str">
        <f>INDEX(Cronograma!W$5:W$11,MATCH($B183,Premissas!$A$39:$A$45,0))</f>
        <v/>
      </c>
      <c r="Y183" s="22" t="str">
        <f>INDEX(Cronograma!X$5:X$11,MATCH($B183,Premissas!$A$39:$A$45,0))</f>
        <v/>
      </c>
      <c r="Z183" s="22" t="str">
        <f>INDEX(Cronograma!Y$5:Y$11,MATCH($B183,Premissas!$A$39:$A$45,0))</f>
        <v/>
      </c>
      <c r="AA183" s="22" t="str">
        <f>INDEX(Cronograma!Z$5:Z$11,MATCH($B183,Premissas!$A$39:$A$45,0))</f>
        <v>B</v>
      </c>
      <c r="AB183" s="22" t="str">
        <f>INDEX(Cronograma!AA$5:AA$11,MATCH($B183,Premissas!$A$39:$A$45,0))</f>
        <v/>
      </c>
      <c r="AC183" s="22" t="str">
        <f>INDEX(Cronograma!AB$5:AB$11,MATCH($B183,Premissas!$A$39:$A$45,0))</f>
        <v/>
      </c>
      <c r="AD183" s="22" t="str">
        <f>INDEX(Cronograma!AC$5:AC$11,MATCH($B183,Premissas!$A$39:$A$45,0))</f>
        <v/>
      </c>
      <c r="AE183" s="22" t="str">
        <f>INDEX(Cronograma!AD$5:AD$11,MATCH($B183,Premissas!$A$39:$A$45,0))</f>
        <v/>
      </c>
      <c r="AF183" s="22" t="str">
        <f>INDEX(Cronograma!AE$5:AE$11,MATCH($B183,Premissas!$A$39:$A$45,0))</f>
        <v/>
      </c>
      <c r="AG183" s="22" t="str">
        <f>INDEX(Cronograma!AF$5:AF$11,MATCH($B183,Premissas!$A$39:$A$45,0))</f>
        <v/>
      </c>
      <c r="AH183" s="22" t="str">
        <f>INDEX(Cronograma!AG$5:AG$11,MATCH($B183,Premissas!$A$39:$A$45,0))</f>
        <v>S</v>
      </c>
      <c r="AI183" s="22" t="str">
        <f>INDEX(Cronograma!AH$5:AH$11,MATCH($B183,Premissas!$A$39:$A$45,0))</f>
        <v/>
      </c>
      <c r="AJ183" s="22" t="str">
        <f>INDEX(Cronograma!AI$5:AI$11,MATCH($B183,Premissas!$A$39:$A$45,0))</f>
        <v/>
      </c>
      <c r="AK183" s="22" t="str">
        <f>INDEX(Cronograma!AJ$5:AJ$11,MATCH($B183,Premissas!$A$39:$A$45,0))</f>
        <v/>
      </c>
      <c r="AL183" s="22" t="str">
        <f>INDEX(Cronograma!AK$5:AK$11,MATCH($B183,Premissas!$A$39:$A$45,0))</f>
        <v/>
      </c>
      <c r="AM183" s="22" t="str">
        <f>INDEX(Cronograma!AL$5:AL$11,MATCH($B183,Premissas!$A$39:$A$45,0))</f>
        <v/>
      </c>
      <c r="AN183" s="22" t="str">
        <f>INDEX(Cronograma!AM$5:AM$11,MATCH($B183,Premissas!$A$39:$A$45,0))</f>
        <v/>
      </c>
      <c r="AO183" s="22" t="str">
        <f>INDEX(Cronograma!AN$5:AN$11,MATCH($B183,Premissas!$A$39:$A$45,0))</f>
        <v/>
      </c>
      <c r="AP183" s="22" t="str">
        <f>INDEX(Cronograma!AO$5:AO$11,MATCH($B183,Premissas!$A$39:$A$45,0))</f>
        <v/>
      </c>
      <c r="AQ183" s="22" t="str">
        <f>INDEX(Cronograma!AP$5:AP$11,MATCH($B183,Premissas!$A$39:$A$45,0))</f>
        <v/>
      </c>
      <c r="AR183" s="22" t="str">
        <f>INDEX(Cronograma!AQ$5:AQ$11,MATCH($B183,Premissas!$A$39:$A$45,0))</f>
        <v/>
      </c>
      <c r="AS183" s="22" t="str">
        <f>INDEX(Cronograma!AR$5:AR$11,MATCH($B183,Premissas!$A$39:$A$45,0))</f>
        <v/>
      </c>
      <c r="AT183" s="22" t="str">
        <f>INDEX(Cronograma!AS$5:AS$11,MATCH($B183,Premissas!$A$39:$A$45,0))</f>
        <v/>
      </c>
      <c r="AU183" s="22" t="str">
        <f>INDEX(Cronograma!AT$5:AT$11,MATCH($B183,Premissas!$A$39:$A$45,0))</f>
        <v/>
      </c>
      <c r="AV183" s="22" t="str">
        <f>INDEX(Cronograma!AU$5:AU$11,MATCH($B183,Premissas!$A$39:$A$45,0))</f>
        <v/>
      </c>
      <c r="AW183" s="22" t="str">
        <f>INDEX(Cronograma!AV$5:AV$11,MATCH($B183,Premissas!$A$39:$A$45,0))</f>
        <v/>
      </c>
      <c r="AX183" s="22" t="str">
        <f>INDEX(Cronograma!AW$5:AW$11,MATCH($B183,Premissas!$A$39:$A$45,0))</f>
        <v/>
      </c>
      <c r="AY183" s="22" t="str">
        <f>INDEX(Cronograma!AX$5:AX$11,MATCH($B183,Premissas!$A$39:$A$45,0))</f>
        <v>A</v>
      </c>
      <c r="AZ183" s="22" t="str">
        <f>INDEX(Cronograma!AY$5:AY$11,MATCH($B183,Premissas!$A$39:$A$45,0))</f>
        <v/>
      </c>
      <c r="BA183" s="22" t="str">
        <f>INDEX(Cronograma!AZ$5:AZ$11,MATCH($B183,Premissas!$A$39:$A$45,0))</f>
        <v/>
      </c>
      <c r="BB183" s="22" t="str">
        <f>INDEX(Cronograma!BA$5:BA$11,MATCH($B183,Premissas!$A$39:$A$45,0))</f>
        <v/>
      </c>
    </row>
    <row r="184" spans="1:54" ht="15" customHeight="1" x14ac:dyDescent="0.4">
      <c r="A184" s="15" t="str">
        <f>Frota!$B184&amp;" — "&amp;Frota!$A184</f>
        <v>John Deere- 5090E — 105103</v>
      </c>
      <c r="B184" s="16" t="str">
        <f>Frota!$C184</f>
        <v>Trator</v>
      </c>
      <c r="C184" s="22" t="str">
        <f>INDEX(Cronograma!B$5:B$11,MATCH($B184,Premissas!$A$39:$A$45,0))</f>
        <v/>
      </c>
      <c r="D184" s="22" t="str">
        <f>INDEX(Cronograma!C$5:C$11,MATCH($B184,Premissas!$A$39:$A$45,0))</f>
        <v/>
      </c>
      <c r="E184" s="22" t="str">
        <f>INDEX(Cronograma!D$5:D$11,MATCH($B184,Premissas!$A$39:$A$45,0))</f>
        <v/>
      </c>
      <c r="F184" s="22" t="str">
        <f>INDEX(Cronograma!E$5:E$11,MATCH($B184,Premissas!$A$39:$A$45,0))</f>
        <v/>
      </c>
      <c r="G184" s="22" t="str">
        <f>INDEX(Cronograma!F$5:F$11,MATCH($B184,Premissas!$A$39:$A$45,0))</f>
        <v/>
      </c>
      <c r="H184" s="22" t="str">
        <f>INDEX(Cronograma!G$5:G$11,MATCH($B184,Premissas!$A$39:$A$45,0))</f>
        <v/>
      </c>
      <c r="I184" s="22" t="str">
        <f>INDEX(Cronograma!H$5:H$11,MATCH($B184,Premissas!$A$39:$A$45,0))</f>
        <v>S</v>
      </c>
      <c r="J184" s="22" t="str">
        <f>INDEX(Cronograma!I$5:I$11,MATCH($B184,Premissas!$A$39:$A$45,0))</f>
        <v/>
      </c>
      <c r="K184" s="22" t="str">
        <f>INDEX(Cronograma!J$5:J$11,MATCH($B184,Premissas!$A$39:$A$45,0))</f>
        <v/>
      </c>
      <c r="L184" s="22" t="str">
        <f>INDEX(Cronograma!K$5:K$11,MATCH($B184,Premissas!$A$39:$A$45,0))</f>
        <v/>
      </c>
      <c r="M184" s="22" t="str">
        <f>INDEX(Cronograma!L$5:L$11,MATCH($B184,Premissas!$A$39:$A$45,0))</f>
        <v/>
      </c>
      <c r="N184" s="22" t="str">
        <f>INDEX(Cronograma!M$5:M$11,MATCH($B184,Premissas!$A$39:$A$45,0))</f>
        <v/>
      </c>
      <c r="O184" s="22" t="str">
        <f>INDEX(Cronograma!N$5:N$11,MATCH($B184,Premissas!$A$39:$A$45,0))</f>
        <v>A</v>
      </c>
      <c r="P184" s="22" t="str">
        <f>INDEX(Cronograma!O$5:O$11,MATCH($B184,Premissas!$A$39:$A$45,0))</f>
        <v/>
      </c>
      <c r="Q184" s="22" t="str">
        <f>INDEX(Cronograma!P$5:P$11,MATCH($B184,Premissas!$A$39:$A$45,0))</f>
        <v/>
      </c>
      <c r="R184" s="22" t="str">
        <f>INDEX(Cronograma!Q$5:Q$11,MATCH($B184,Premissas!$A$39:$A$45,0))</f>
        <v/>
      </c>
      <c r="S184" s="22" t="str">
        <f>INDEX(Cronograma!R$5:R$11,MATCH($B184,Premissas!$A$39:$A$45,0))</f>
        <v/>
      </c>
      <c r="T184" s="22" t="str">
        <f>INDEX(Cronograma!S$5:S$11,MATCH($B184,Premissas!$A$39:$A$45,0))</f>
        <v/>
      </c>
      <c r="U184" s="22" t="str">
        <f>INDEX(Cronograma!T$5:T$11,MATCH($B184,Premissas!$A$39:$A$45,0))</f>
        <v>S</v>
      </c>
      <c r="V184" s="22" t="str">
        <f>INDEX(Cronograma!U$5:U$11,MATCH($B184,Premissas!$A$39:$A$45,0))</f>
        <v/>
      </c>
      <c r="W184" s="22" t="str">
        <f>INDEX(Cronograma!V$5:V$11,MATCH($B184,Premissas!$A$39:$A$45,0))</f>
        <v/>
      </c>
      <c r="X184" s="22" t="str">
        <f>INDEX(Cronograma!W$5:W$11,MATCH($B184,Premissas!$A$39:$A$45,0))</f>
        <v/>
      </c>
      <c r="Y184" s="22" t="str">
        <f>INDEX(Cronograma!X$5:X$11,MATCH($B184,Premissas!$A$39:$A$45,0))</f>
        <v/>
      </c>
      <c r="Z184" s="22" t="str">
        <f>INDEX(Cronograma!Y$5:Y$11,MATCH($B184,Premissas!$A$39:$A$45,0))</f>
        <v/>
      </c>
      <c r="AA184" s="22" t="str">
        <f>INDEX(Cronograma!Z$5:Z$11,MATCH($B184,Premissas!$A$39:$A$45,0))</f>
        <v>B</v>
      </c>
      <c r="AB184" s="22" t="str">
        <f>INDEX(Cronograma!AA$5:AA$11,MATCH($B184,Premissas!$A$39:$A$45,0))</f>
        <v/>
      </c>
      <c r="AC184" s="22" t="str">
        <f>INDEX(Cronograma!AB$5:AB$11,MATCH($B184,Premissas!$A$39:$A$45,0))</f>
        <v/>
      </c>
      <c r="AD184" s="22" t="str">
        <f>INDEX(Cronograma!AC$5:AC$11,MATCH($B184,Premissas!$A$39:$A$45,0))</f>
        <v/>
      </c>
      <c r="AE184" s="22" t="str">
        <f>INDEX(Cronograma!AD$5:AD$11,MATCH($B184,Premissas!$A$39:$A$45,0))</f>
        <v/>
      </c>
      <c r="AF184" s="22" t="str">
        <f>INDEX(Cronograma!AE$5:AE$11,MATCH($B184,Premissas!$A$39:$A$45,0))</f>
        <v/>
      </c>
      <c r="AG184" s="22" t="str">
        <f>INDEX(Cronograma!AF$5:AF$11,MATCH($B184,Premissas!$A$39:$A$45,0))</f>
        <v/>
      </c>
      <c r="AH184" s="22" t="str">
        <f>INDEX(Cronograma!AG$5:AG$11,MATCH($B184,Premissas!$A$39:$A$45,0))</f>
        <v>S</v>
      </c>
      <c r="AI184" s="22" t="str">
        <f>INDEX(Cronograma!AH$5:AH$11,MATCH($B184,Premissas!$A$39:$A$45,0))</f>
        <v/>
      </c>
      <c r="AJ184" s="22" t="str">
        <f>INDEX(Cronograma!AI$5:AI$11,MATCH($B184,Premissas!$A$39:$A$45,0))</f>
        <v/>
      </c>
      <c r="AK184" s="22" t="str">
        <f>INDEX(Cronograma!AJ$5:AJ$11,MATCH($B184,Premissas!$A$39:$A$45,0))</f>
        <v/>
      </c>
      <c r="AL184" s="22" t="str">
        <f>INDEX(Cronograma!AK$5:AK$11,MATCH($B184,Premissas!$A$39:$A$45,0))</f>
        <v/>
      </c>
      <c r="AM184" s="22" t="str">
        <f>INDEX(Cronograma!AL$5:AL$11,MATCH($B184,Premissas!$A$39:$A$45,0))</f>
        <v/>
      </c>
      <c r="AN184" s="22" t="str">
        <f>INDEX(Cronograma!AM$5:AM$11,MATCH($B184,Premissas!$A$39:$A$45,0))</f>
        <v/>
      </c>
      <c r="AO184" s="22" t="str">
        <f>INDEX(Cronograma!AN$5:AN$11,MATCH($B184,Premissas!$A$39:$A$45,0))</f>
        <v/>
      </c>
      <c r="AP184" s="22" t="str">
        <f>INDEX(Cronograma!AO$5:AO$11,MATCH($B184,Premissas!$A$39:$A$45,0))</f>
        <v/>
      </c>
      <c r="AQ184" s="22" t="str">
        <f>INDEX(Cronograma!AP$5:AP$11,MATCH($B184,Premissas!$A$39:$A$45,0))</f>
        <v/>
      </c>
      <c r="AR184" s="22" t="str">
        <f>INDEX(Cronograma!AQ$5:AQ$11,MATCH($B184,Premissas!$A$39:$A$45,0))</f>
        <v/>
      </c>
      <c r="AS184" s="22" t="str">
        <f>INDEX(Cronograma!AR$5:AR$11,MATCH($B184,Premissas!$A$39:$A$45,0))</f>
        <v/>
      </c>
      <c r="AT184" s="22" t="str">
        <f>INDEX(Cronograma!AS$5:AS$11,MATCH($B184,Premissas!$A$39:$A$45,0))</f>
        <v/>
      </c>
      <c r="AU184" s="22" t="str">
        <f>INDEX(Cronograma!AT$5:AT$11,MATCH($B184,Premissas!$A$39:$A$45,0))</f>
        <v/>
      </c>
      <c r="AV184" s="22" t="str">
        <f>INDEX(Cronograma!AU$5:AU$11,MATCH($B184,Premissas!$A$39:$A$45,0))</f>
        <v/>
      </c>
      <c r="AW184" s="22" t="str">
        <f>INDEX(Cronograma!AV$5:AV$11,MATCH($B184,Premissas!$A$39:$A$45,0))</f>
        <v/>
      </c>
      <c r="AX184" s="22" t="str">
        <f>INDEX(Cronograma!AW$5:AW$11,MATCH($B184,Premissas!$A$39:$A$45,0))</f>
        <v/>
      </c>
      <c r="AY184" s="22" t="str">
        <f>INDEX(Cronograma!AX$5:AX$11,MATCH($B184,Premissas!$A$39:$A$45,0))</f>
        <v>A</v>
      </c>
      <c r="AZ184" s="22" t="str">
        <f>INDEX(Cronograma!AY$5:AY$11,MATCH($B184,Premissas!$A$39:$A$45,0))</f>
        <v/>
      </c>
      <c r="BA184" s="22" t="str">
        <f>INDEX(Cronograma!AZ$5:AZ$11,MATCH($B184,Premissas!$A$39:$A$45,0))</f>
        <v/>
      </c>
      <c r="BB184" s="22" t="str">
        <f>INDEX(Cronograma!BA$5:BA$11,MATCH($B184,Premissas!$A$39:$A$45,0))</f>
        <v/>
      </c>
    </row>
    <row r="185" spans="1:54" ht="15" customHeight="1" x14ac:dyDescent="0.4">
      <c r="A185" s="15" t="str">
        <f>Frota!$B185&amp;" — "&amp;Frota!$A185</f>
        <v>John Deere 6135J — 105104</v>
      </c>
      <c r="B185" s="16" t="str">
        <f>Frota!$C185</f>
        <v>Trator</v>
      </c>
      <c r="C185" s="22" t="str">
        <f>INDEX(Cronograma!B$5:B$11,MATCH($B185,Premissas!$A$39:$A$45,0))</f>
        <v/>
      </c>
      <c r="D185" s="22" t="str">
        <f>INDEX(Cronograma!C$5:C$11,MATCH($B185,Premissas!$A$39:$A$45,0))</f>
        <v/>
      </c>
      <c r="E185" s="22" t="str">
        <f>INDEX(Cronograma!D$5:D$11,MATCH($B185,Premissas!$A$39:$A$45,0))</f>
        <v/>
      </c>
      <c r="F185" s="22" t="str">
        <f>INDEX(Cronograma!E$5:E$11,MATCH($B185,Premissas!$A$39:$A$45,0))</f>
        <v/>
      </c>
      <c r="G185" s="22" t="str">
        <f>INDEX(Cronograma!F$5:F$11,MATCH($B185,Premissas!$A$39:$A$45,0))</f>
        <v/>
      </c>
      <c r="H185" s="22" t="str">
        <f>INDEX(Cronograma!G$5:G$11,MATCH($B185,Premissas!$A$39:$A$45,0))</f>
        <v/>
      </c>
      <c r="I185" s="22" t="str">
        <f>INDEX(Cronograma!H$5:H$11,MATCH($B185,Premissas!$A$39:$A$45,0))</f>
        <v>S</v>
      </c>
      <c r="J185" s="22" t="str">
        <f>INDEX(Cronograma!I$5:I$11,MATCH($B185,Premissas!$A$39:$A$45,0))</f>
        <v/>
      </c>
      <c r="K185" s="22" t="str">
        <f>INDEX(Cronograma!J$5:J$11,MATCH($B185,Premissas!$A$39:$A$45,0))</f>
        <v/>
      </c>
      <c r="L185" s="22" t="str">
        <f>INDEX(Cronograma!K$5:K$11,MATCH($B185,Premissas!$A$39:$A$45,0))</f>
        <v/>
      </c>
      <c r="M185" s="22" t="str">
        <f>INDEX(Cronograma!L$5:L$11,MATCH($B185,Premissas!$A$39:$A$45,0))</f>
        <v/>
      </c>
      <c r="N185" s="22" t="str">
        <f>INDEX(Cronograma!M$5:M$11,MATCH($B185,Premissas!$A$39:$A$45,0))</f>
        <v/>
      </c>
      <c r="O185" s="22" t="str">
        <f>INDEX(Cronograma!N$5:N$11,MATCH($B185,Premissas!$A$39:$A$45,0))</f>
        <v>A</v>
      </c>
      <c r="P185" s="22" t="str">
        <f>INDEX(Cronograma!O$5:O$11,MATCH($B185,Premissas!$A$39:$A$45,0))</f>
        <v/>
      </c>
      <c r="Q185" s="22" t="str">
        <f>INDEX(Cronograma!P$5:P$11,MATCH($B185,Premissas!$A$39:$A$45,0))</f>
        <v/>
      </c>
      <c r="R185" s="22" t="str">
        <f>INDEX(Cronograma!Q$5:Q$11,MATCH($B185,Premissas!$A$39:$A$45,0))</f>
        <v/>
      </c>
      <c r="S185" s="22" t="str">
        <f>INDEX(Cronograma!R$5:R$11,MATCH($B185,Premissas!$A$39:$A$45,0))</f>
        <v/>
      </c>
      <c r="T185" s="22" t="str">
        <f>INDEX(Cronograma!S$5:S$11,MATCH($B185,Premissas!$A$39:$A$45,0))</f>
        <v/>
      </c>
      <c r="U185" s="22" t="str">
        <f>INDEX(Cronograma!T$5:T$11,MATCH($B185,Premissas!$A$39:$A$45,0))</f>
        <v>S</v>
      </c>
      <c r="V185" s="22" t="str">
        <f>INDEX(Cronograma!U$5:U$11,MATCH($B185,Premissas!$A$39:$A$45,0))</f>
        <v/>
      </c>
      <c r="W185" s="22" t="str">
        <f>INDEX(Cronograma!V$5:V$11,MATCH($B185,Premissas!$A$39:$A$45,0))</f>
        <v/>
      </c>
      <c r="X185" s="22" t="str">
        <f>INDEX(Cronograma!W$5:W$11,MATCH($B185,Premissas!$A$39:$A$45,0))</f>
        <v/>
      </c>
      <c r="Y185" s="22" t="str">
        <f>INDEX(Cronograma!X$5:X$11,MATCH($B185,Premissas!$A$39:$A$45,0))</f>
        <v/>
      </c>
      <c r="Z185" s="22" t="str">
        <f>INDEX(Cronograma!Y$5:Y$11,MATCH($B185,Premissas!$A$39:$A$45,0))</f>
        <v/>
      </c>
      <c r="AA185" s="22" t="str">
        <f>INDEX(Cronograma!Z$5:Z$11,MATCH($B185,Premissas!$A$39:$A$45,0))</f>
        <v>B</v>
      </c>
      <c r="AB185" s="22" t="str">
        <f>INDEX(Cronograma!AA$5:AA$11,MATCH($B185,Premissas!$A$39:$A$45,0))</f>
        <v/>
      </c>
      <c r="AC185" s="22" t="str">
        <f>INDEX(Cronograma!AB$5:AB$11,MATCH($B185,Premissas!$A$39:$A$45,0))</f>
        <v/>
      </c>
      <c r="AD185" s="22" t="str">
        <f>INDEX(Cronograma!AC$5:AC$11,MATCH($B185,Premissas!$A$39:$A$45,0))</f>
        <v/>
      </c>
      <c r="AE185" s="22" t="str">
        <f>INDEX(Cronograma!AD$5:AD$11,MATCH($B185,Premissas!$A$39:$A$45,0))</f>
        <v/>
      </c>
      <c r="AF185" s="22" t="str">
        <f>INDEX(Cronograma!AE$5:AE$11,MATCH($B185,Premissas!$A$39:$A$45,0))</f>
        <v/>
      </c>
      <c r="AG185" s="22" t="str">
        <f>INDEX(Cronograma!AF$5:AF$11,MATCH($B185,Premissas!$A$39:$A$45,0))</f>
        <v/>
      </c>
      <c r="AH185" s="22" t="str">
        <f>INDEX(Cronograma!AG$5:AG$11,MATCH($B185,Premissas!$A$39:$A$45,0))</f>
        <v>S</v>
      </c>
      <c r="AI185" s="22" t="str">
        <f>INDEX(Cronograma!AH$5:AH$11,MATCH($B185,Premissas!$A$39:$A$45,0))</f>
        <v/>
      </c>
      <c r="AJ185" s="22" t="str">
        <f>INDEX(Cronograma!AI$5:AI$11,MATCH($B185,Premissas!$A$39:$A$45,0))</f>
        <v/>
      </c>
      <c r="AK185" s="22" t="str">
        <f>INDEX(Cronograma!AJ$5:AJ$11,MATCH($B185,Premissas!$A$39:$A$45,0))</f>
        <v/>
      </c>
      <c r="AL185" s="22" t="str">
        <f>INDEX(Cronograma!AK$5:AK$11,MATCH($B185,Premissas!$A$39:$A$45,0))</f>
        <v/>
      </c>
      <c r="AM185" s="22" t="str">
        <f>INDEX(Cronograma!AL$5:AL$11,MATCH($B185,Premissas!$A$39:$A$45,0))</f>
        <v/>
      </c>
      <c r="AN185" s="22" t="str">
        <f>INDEX(Cronograma!AM$5:AM$11,MATCH($B185,Premissas!$A$39:$A$45,0))</f>
        <v/>
      </c>
      <c r="AO185" s="22" t="str">
        <f>INDEX(Cronograma!AN$5:AN$11,MATCH($B185,Premissas!$A$39:$A$45,0))</f>
        <v/>
      </c>
      <c r="AP185" s="22" t="str">
        <f>INDEX(Cronograma!AO$5:AO$11,MATCH($B185,Premissas!$A$39:$A$45,0))</f>
        <v/>
      </c>
      <c r="AQ185" s="22" t="str">
        <f>INDEX(Cronograma!AP$5:AP$11,MATCH($B185,Premissas!$A$39:$A$45,0))</f>
        <v/>
      </c>
      <c r="AR185" s="22" t="str">
        <f>INDEX(Cronograma!AQ$5:AQ$11,MATCH($B185,Premissas!$A$39:$A$45,0))</f>
        <v/>
      </c>
      <c r="AS185" s="22" t="str">
        <f>INDEX(Cronograma!AR$5:AR$11,MATCH($B185,Premissas!$A$39:$A$45,0))</f>
        <v/>
      </c>
      <c r="AT185" s="22" t="str">
        <f>INDEX(Cronograma!AS$5:AS$11,MATCH($B185,Premissas!$A$39:$A$45,0))</f>
        <v/>
      </c>
      <c r="AU185" s="22" t="str">
        <f>INDEX(Cronograma!AT$5:AT$11,MATCH($B185,Premissas!$A$39:$A$45,0))</f>
        <v/>
      </c>
      <c r="AV185" s="22" t="str">
        <f>INDEX(Cronograma!AU$5:AU$11,MATCH($B185,Premissas!$A$39:$A$45,0))</f>
        <v/>
      </c>
      <c r="AW185" s="22" t="str">
        <f>INDEX(Cronograma!AV$5:AV$11,MATCH($B185,Premissas!$A$39:$A$45,0))</f>
        <v/>
      </c>
      <c r="AX185" s="22" t="str">
        <f>INDEX(Cronograma!AW$5:AW$11,MATCH($B185,Premissas!$A$39:$A$45,0))</f>
        <v/>
      </c>
      <c r="AY185" s="22" t="str">
        <f>INDEX(Cronograma!AX$5:AX$11,MATCH($B185,Premissas!$A$39:$A$45,0))</f>
        <v>A</v>
      </c>
      <c r="AZ185" s="22" t="str">
        <f>INDEX(Cronograma!AY$5:AY$11,MATCH($B185,Premissas!$A$39:$A$45,0))</f>
        <v/>
      </c>
      <c r="BA185" s="22" t="str">
        <f>INDEX(Cronograma!AZ$5:AZ$11,MATCH($B185,Premissas!$A$39:$A$45,0))</f>
        <v/>
      </c>
      <c r="BB185" s="22" t="str">
        <f>INDEX(Cronograma!BA$5:BA$11,MATCH($B185,Premissas!$A$39:$A$45,0))</f>
        <v/>
      </c>
    </row>
    <row r="186" spans="1:54" ht="15" customHeight="1" x14ac:dyDescent="0.4">
      <c r="A186" s="15" t="str">
        <f>Frota!$B186&amp;" — "&amp;Frota!$A186</f>
        <v>John Deere 6135J — 105105</v>
      </c>
      <c r="B186" s="16" t="str">
        <f>Frota!$C186</f>
        <v>Trator</v>
      </c>
      <c r="C186" s="22" t="str">
        <f>INDEX(Cronograma!B$5:B$11,MATCH($B186,Premissas!$A$39:$A$45,0))</f>
        <v/>
      </c>
      <c r="D186" s="22" t="str">
        <f>INDEX(Cronograma!C$5:C$11,MATCH($B186,Premissas!$A$39:$A$45,0))</f>
        <v/>
      </c>
      <c r="E186" s="22" t="str">
        <f>INDEX(Cronograma!D$5:D$11,MATCH($B186,Premissas!$A$39:$A$45,0))</f>
        <v/>
      </c>
      <c r="F186" s="22" t="str">
        <f>INDEX(Cronograma!E$5:E$11,MATCH($B186,Premissas!$A$39:$A$45,0))</f>
        <v/>
      </c>
      <c r="G186" s="22" t="str">
        <f>INDEX(Cronograma!F$5:F$11,MATCH($B186,Premissas!$A$39:$A$45,0))</f>
        <v/>
      </c>
      <c r="H186" s="22" t="str">
        <f>INDEX(Cronograma!G$5:G$11,MATCH($B186,Premissas!$A$39:$A$45,0))</f>
        <v/>
      </c>
      <c r="I186" s="22" t="str">
        <f>INDEX(Cronograma!H$5:H$11,MATCH($B186,Premissas!$A$39:$A$45,0))</f>
        <v>S</v>
      </c>
      <c r="J186" s="22" t="str">
        <f>INDEX(Cronograma!I$5:I$11,MATCH($B186,Premissas!$A$39:$A$45,0))</f>
        <v/>
      </c>
      <c r="K186" s="22" t="str">
        <f>INDEX(Cronograma!J$5:J$11,MATCH($B186,Premissas!$A$39:$A$45,0))</f>
        <v/>
      </c>
      <c r="L186" s="22" t="str">
        <f>INDEX(Cronograma!K$5:K$11,MATCH($B186,Premissas!$A$39:$A$45,0))</f>
        <v/>
      </c>
      <c r="M186" s="22" t="str">
        <f>INDEX(Cronograma!L$5:L$11,MATCH($B186,Premissas!$A$39:$A$45,0))</f>
        <v/>
      </c>
      <c r="N186" s="22" t="str">
        <f>INDEX(Cronograma!M$5:M$11,MATCH($B186,Premissas!$A$39:$A$45,0))</f>
        <v/>
      </c>
      <c r="O186" s="22" t="str">
        <f>INDEX(Cronograma!N$5:N$11,MATCH($B186,Premissas!$A$39:$A$45,0))</f>
        <v>A</v>
      </c>
      <c r="P186" s="22" t="str">
        <f>INDEX(Cronograma!O$5:O$11,MATCH($B186,Premissas!$A$39:$A$45,0))</f>
        <v/>
      </c>
      <c r="Q186" s="22" t="str">
        <f>INDEX(Cronograma!P$5:P$11,MATCH($B186,Premissas!$A$39:$A$45,0))</f>
        <v/>
      </c>
      <c r="R186" s="22" t="str">
        <f>INDEX(Cronograma!Q$5:Q$11,MATCH($B186,Premissas!$A$39:$A$45,0))</f>
        <v/>
      </c>
      <c r="S186" s="22" t="str">
        <f>INDEX(Cronograma!R$5:R$11,MATCH($B186,Premissas!$A$39:$A$45,0))</f>
        <v/>
      </c>
      <c r="T186" s="22" t="str">
        <f>INDEX(Cronograma!S$5:S$11,MATCH($B186,Premissas!$A$39:$A$45,0))</f>
        <v/>
      </c>
      <c r="U186" s="22" t="str">
        <f>INDEX(Cronograma!T$5:T$11,MATCH($B186,Premissas!$A$39:$A$45,0))</f>
        <v>S</v>
      </c>
      <c r="V186" s="22" t="str">
        <f>INDEX(Cronograma!U$5:U$11,MATCH($B186,Premissas!$A$39:$A$45,0))</f>
        <v/>
      </c>
      <c r="W186" s="22" t="str">
        <f>INDEX(Cronograma!V$5:V$11,MATCH($B186,Premissas!$A$39:$A$45,0))</f>
        <v/>
      </c>
      <c r="X186" s="22" t="str">
        <f>INDEX(Cronograma!W$5:W$11,MATCH($B186,Premissas!$A$39:$A$45,0))</f>
        <v/>
      </c>
      <c r="Y186" s="22" t="str">
        <f>INDEX(Cronograma!X$5:X$11,MATCH($B186,Premissas!$A$39:$A$45,0))</f>
        <v/>
      </c>
      <c r="Z186" s="22" t="str">
        <f>INDEX(Cronograma!Y$5:Y$11,MATCH($B186,Premissas!$A$39:$A$45,0))</f>
        <v/>
      </c>
      <c r="AA186" s="22" t="str">
        <f>INDEX(Cronograma!Z$5:Z$11,MATCH($B186,Premissas!$A$39:$A$45,0))</f>
        <v>B</v>
      </c>
      <c r="AB186" s="22" t="str">
        <f>INDEX(Cronograma!AA$5:AA$11,MATCH($B186,Premissas!$A$39:$A$45,0))</f>
        <v/>
      </c>
      <c r="AC186" s="22" t="str">
        <f>INDEX(Cronograma!AB$5:AB$11,MATCH($B186,Premissas!$A$39:$A$45,0))</f>
        <v/>
      </c>
      <c r="AD186" s="22" t="str">
        <f>INDEX(Cronograma!AC$5:AC$11,MATCH($B186,Premissas!$A$39:$A$45,0))</f>
        <v/>
      </c>
      <c r="AE186" s="22" t="str">
        <f>INDEX(Cronograma!AD$5:AD$11,MATCH($B186,Premissas!$A$39:$A$45,0))</f>
        <v/>
      </c>
      <c r="AF186" s="22" t="str">
        <f>INDEX(Cronograma!AE$5:AE$11,MATCH($B186,Premissas!$A$39:$A$45,0))</f>
        <v/>
      </c>
      <c r="AG186" s="22" t="str">
        <f>INDEX(Cronograma!AF$5:AF$11,MATCH($B186,Premissas!$A$39:$A$45,0))</f>
        <v/>
      </c>
      <c r="AH186" s="22" t="str">
        <f>INDEX(Cronograma!AG$5:AG$11,MATCH($B186,Premissas!$A$39:$A$45,0))</f>
        <v>S</v>
      </c>
      <c r="AI186" s="22" t="str">
        <f>INDEX(Cronograma!AH$5:AH$11,MATCH($B186,Premissas!$A$39:$A$45,0))</f>
        <v/>
      </c>
      <c r="AJ186" s="22" t="str">
        <f>INDEX(Cronograma!AI$5:AI$11,MATCH($B186,Premissas!$A$39:$A$45,0))</f>
        <v/>
      </c>
      <c r="AK186" s="22" t="str">
        <f>INDEX(Cronograma!AJ$5:AJ$11,MATCH($B186,Premissas!$A$39:$A$45,0))</f>
        <v/>
      </c>
      <c r="AL186" s="22" t="str">
        <f>INDEX(Cronograma!AK$5:AK$11,MATCH($B186,Premissas!$A$39:$A$45,0))</f>
        <v/>
      </c>
      <c r="AM186" s="22" t="str">
        <f>INDEX(Cronograma!AL$5:AL$11,MATCH($B186,Premissas!$A$39:$A$45,0))</f>
        <v/>
      </c>
      <c r="AN186" s="22" t="str">
        <f>INDEX(Cronograma!AM$5:AM$11,MATCH($B186,Premissas!$A$39:$A$45,0))</f>
        <v/>
      </c>
      <c r="AO186" s="22" t="str">
        <f>INDEX(Cronograma!AN$5:AN$11,MATCH($B186,Premissas!$A$39:$A$45,0))</f>
        <v/>
      </c>
      <c r="AP186" s="22" t="str">
        <f>INDEX(Cronograma!AO$5:AO$11,MATCH($B186,Premissas!$A$39:$A$45,0))</f>
        <v/>
      </c>
      <c r="AQ186" s="22" t="str">
        <f>INDEX(Cronograma!AP$5:AP$11,MATCH($B186,Premissas!$A$39:$A$45,0))</f>
        <v/>
      </c>
      <c r="AR186" s="22" t="str">
        <f>INDEX(Cronograma!AQ$5:AQ$11,MATCH($B186,Premissas!$A$39:$A$45,0))</f>
        <v/>
      </c>
      <c r="AS186" s="22" t="str">
        <f>INDEX(Cronograma!AR$5:AR$11,MATCH($B186,Premissas!$A$39:$A$45,0))</f>
        <v/>
      </c>
      <c r="AT186" s="22" t="str">
        <f>INDEX(Cronograma!AS$5:AS$11,MATCH($B186,Premissas!$A$39:$A$45,0))</f>
        <v/>
      </c>
      <c r="AU186" s="22" t="str">
        <f>INDEX(Cronograma!AT$5:AT$11,MATCH($B186,Premissas!$A$39:$A$45,0))</f>
        <v/>
      </c>
      <c r="AV186" s="22" t="str">
        <f>INDEX(Cronograma!AU$5:AU$11,MATCH($B186,Premissas!$A$39:$A$45,0))</f>
        <v/>
      </c>
      <c r="AW186" s="22" t="str">
        <f>INDEX(Cronograma!AV$5:AV$11,MATCH($B186,Premissas!$A$39:$A$45,0))</f>
        <v/>
      </c>
      <c r="AX186" s="22" t="str">
        <f>INDEX(Cronograma!AW$5:AW$11,MATCH($B186,Premissas!$A$39:$A$45,0))</f>
        <v/>
      </c>
      <c r="AY186" s="22" t="str">
        <f>INDEX(Cronograma!AX$5:AX$11,MATCH($B186,Premissas!$A$39:$A$45,0))</f>
        <v>A</v>
      </c>
      <c r="AZ186" s="22" t="str">
        <f>INDEX(Cronograma!AY$5:AY$11,MATCH($B186,Premissas!$A$39:$A$45,0))</f>
        <v/>
      </c>
      <c r="BA186" s="22" t="str">
        <f>INDEX(Cronograma!AZ$5:AZ$11,MATCH($B186,Premissas!$A$39:$A$45,0))</f>
        <v/>
      </c>
      <c r="BB186" s="22" t="str">
        <f>INDEX(Cronograma!BA$5:BA$11,MATCH($B186,Premissas!$A$39:$A$45,0))</f>
        <v/>
      </c>
    </row>
    <row r="187" spans="1:54" ht="15" customHeight="1" x14ac:dyDescent="0.4">
      <c r="A187" s="15" t="str">
        <f>Frota!$B187&amp;" — "&amp;Frota!$A187</f>
        <v>John Deere 6135J — 105106</v>
      </c>
      <c r="B187" s="16" t="str">
        <f>Frota!$C187</f>
        <v>Trator</v>
      </c>
      <c r="C187" s="22" t="str">
        <f>INDEX(Cronograma!B$5:B$11,MATCH($B187,Premissas!$A$39:$A$45,0))</f>
        <v/>
      </c>
      <c r="D187" s="22" t="str">
        <f>INDEX(Cronograma!C$5:C$11,MATCH($B187,Premissas!$A$39:$A$45,0))</f>
        <v/>
      </c>
      <c r="E187" s="22" t="str">
        <f>INDEX(Cronograma!D$5:D$11,MATCH($B187,Premissas!$A$39:$A$45,0))</f>
        <v/>
      </c>
      <c r="F187" s="22" t="str">
        <f>INDEX(Cronograma!E$5:E$11,MATCH($B187,Premissas!$A$39:$A$45,0))</f>
        <v/>
      </c>
      <c r="G187" s="22" t="str">
        <f>INDEX(Cronograma!F$5:F$11,MATCH($B187,Premissas!$A$39:$A$45,0))</f>
        <v/>
      </c>
      <c r="H187" s="22" t="str">
        <f>INDEX(Cronograma!G$5:G$11,MATCH($B187,Premissas!$A$39:$A$45,0))</f>
        <v/>
      </c>
      <c r="I187" s="22" t="str">
        <f>INDEX(Cronograma!H$5:H$11,MATCH($B187,Premissas!$A$39:$A$45,0))</f>
        <v>S</v>
      </c>
      <c r="J187" s="22" t="str">
        <f>INDEX(Cronograma!I$5:I$11,MATCH($B187,Premissas!$A$39:$A$45,0))</f>
        <v/>
      </c>
      <c r="K187" s="22" t="str">
        <f>INDEX(Cronograma!J$5:J$11,MATCH($B187,Premissas!$A$39:$A$45,0))</f>
        <v/>
      </c>
      <c r="L187" s="22" t="str">
        <f>INDEX(Cronograma!K$5:K$11,MATCH($B187,Premissas!$A$39:$A$45,0))</f>
        <v/>
      </c>
      <c r="M187" s="22" t="str">
        <f>INDEX(Cronograma!L$5:L$11,MATCH($B187,Premissas!$A$39:$A$45,0))</f>
        <v/>
      </c>
      <c r="N187" s="22" t="str">
        <f>INDEX(Cronograma!M$5:M$11,MATCH($B187,Premissas!$A$39:$A$45,0))</f>
        <v/>
      </c>
      <c r="O187" s="22" t="str">
        <f>INDEX(Cronograma!N$5:N$11,MATCH($B187,Premissas!$A$39:$A$45,0))</f>
        <v>A</v>
      </c>
      <c r="P187" s="22" t="str">
        <f>INDEX(Cronograma!O$5:O$11,MATCH($B187,Premissas!$A$39:$A$45,0))</f>
        <v/>
      </c>
      <c r="Q187" s="22" t="str">
        <f>INDEX(Cronograma!P$5:P$11,MATCH($B187,Premissas!$A$39:$A$45,0))</f>
        <v/>
      </c>
      <c r="R187" s="22" t="str">
        <f>INDEX(Cronograma!Q$5:Q$11,MATCH($B187,Premissas!$A$39:$A$45,0))</f>
        <v/>
      </c>
      <c r="S187" s="22" t="str">
        <f>INDEX(Cronograma!R$5:R$11,MATCH($B187,Premissas!$A$39:$A$45,0))</f>
        <v/>
      </c>
      <c r="T187" s="22" t="str">
        <f>INDEX(Cronograma!S$5:S$11,MATCH($B187,Premissas!$A$39:$A$45,0))</f>
        <v/>
      </c>
      <c r="U187" s="22" t="str">
        <f>INDEX(Cronograma!T$5:T$11,MATCH($B187,Premissas!$A$39:$A$45,0))</f>
        <v>S</v>
      </c>
      <c r="V187" s="22" t="str">
        <f>INDEX(Cronograma!U$5:U$11,MATCH($B187,Premissas!$A$39:$A$45,0))</f>
        <v/>
      </c>
      <c r="W187" s="22" t="str">
        <f>INDEX(Cronograma!V$5:V$11,MATCH($B187,Premissas!$A$39:$A$45,0))</f>
        <v/>
      </c>
      <c r="X187" s="22" t="str">
        <f>INDEX(Cronograma!W$5:W$11,MATCH($B187,Premissas!$A$39:$A$45,0))</f>
        <v/>
      </c>
      <c r="Y187" s="22" t="str">
        <f>INDEX(Cronograma!X$5:X$11,MATCH($B187,Premissas!$A$39:$A$45,0))</f>
        <v/>
      </c>
      <c r="Z187" s="22" t="str">
        <f>INDEX(Cronograma!Y$5:Y$11,MATCH($B187,Premissas!$A$39:$A$45,0))</f>
        <v/>
      </c>
      <c r="AA187" s="22" t="str">
        <f>INDEX(Cronograma!Z$5:Z$11,MATCH($B187,Premissas!$A$39:$A$45,0))</f>
        <v>B</v>
      </c>
      <c r="AB187" s="22" t="str">
        <f>INDEX(Cronograma!AA$5:AA$11,MATCH($B187,Premissas!$A$39:$A$45,0))</f>
        <v/>
      </c>
      <c r="AC187" s="22" t="str">
        <f>INDEX(Cronograma!AB$5:AB$11,MATCH($B187,Premissas!$A$39:$A$45,0))</f>
        <v/>
      </c>
      <c r="AD187" s="22" t="str">
        <f>INDEX(Cronograma!AC$5:AC$11,MATCH($B187,Premissas!$A$39:$A$45,0))</f>
        <v/>
      </c>
      <c r="AE187" s="22" t="str">
        <f>INDEX(Cronograma!AD$5:AD$11,MATCH($B187,Premissas!$A$39:$A$45,0))</f>
        <v/>
      </c>
      <c r="AF187" s="22" t="str">
        <f>INDEX(Cronograma!AE$5:AE$11,MATCH($B187,Premissas!$A$39:$A$45,0))</f>
        <v/>
      </c>
      <c r="AG187" s="22" t="str">
        <f>INDEX(Cronograma!AF$5:AF$11,MATCH($B187,Premissas!$A$39:$A$45,0))</f>
        <v/>
      </c>
      <c r="AH187" s="22" t="str">
        <f>INDEX(Cronograma!AG$5:AG$11,MATCH($B187,Premissas!$A$39:$A$45,0))</f>
        <v>S</v>
      </c>
      <c r="AI187" s="22" t="str">
        <f>INDEX(Cronograma!AH$5:AH$11,MATCH($B187,Premissas!$A$39:$A$45,0))</f>
        <v/>
      </c>
      <c r="AJ187" s="22" t="str">
        <f>INDEX(Cronograma!AI$5:AI$11,MATCH($B187,Premissas!$A$39:$A$45,0))</f>
        <v/>
      </c>
      <c r="AK187" s="22" t="str">
        <f>INDEX(Cronograma!AJ$5:AJ$11,MATCH($B187,Premissas!$A$39:$A$45,0))</f>
        <v/>
      </c>
      <c r="AL187" s="22" t="str">
        <f>INDEX(Cronograma!AK$5:AK$11,MATCH($B187,Premissas!$A$39:$A$45,0))</f>
        <v/>
      </c>
      <c r="AM187" s="22" t="str">
        <f>INDEX(Cronograma!AL$5:AL$11,MATCH($B187,Premissas!$A$39:$A$45,0))</f>
        <v/>
      </c>
      <c r="AN187" s="22" t="str">
        <f>INDEX(Cronograma!AM$5:AM$11,MATCH($B187,Premissas!$A$39:$A$45,0))</f>
        <v/>
      </c>
      <c r="AO187" s="22" t="str">
        <f>INDEX(Cronograma!AN$5:AN$11,MATCH($B187,Premissas!$A$39:$A$45,0))</f>
        <v/>
      </c>
      <c r="AP187" s="22" t="str">
        <f>INDEX(Cronograma!AO$5:AO$11,MATCH($B187,Premissas!$A$39:$A$45,0))</f>
        <v/>
      </c>
      <c r="AQ187" s="22" t="str">
        <f>INDEX(Cronograma!AP$5:AP$11,MATCH($B187,Premissas!$A$39:$A$45,0))</f>
        <v/>
      </c>
      <c r="AR187" s="22" t="str">
        <f>INDEX(Cronograma!AQ$5:AQ$11,MATCH($B187,Premissas!$A$39:$A$45,0))</f>
        <v/>
      </c>
      <c r="AS187" s="22" t="str">
        <f>INDEX(Cronograma!AR$5:AR$11,MATCH($B187,Premissas!$A$39:$A$45,0))</f>
        <v/>
      </c>
      <c r="AT187" s="22" t="str">
        <f>INDEX(Cronograma!AS$5:AS$11,MATCH($B187,Premissas!$A$39:$A$45,0))</f>
        <v/>
      </c>
      <c r="AU187" s="22" t="str">
        <f>INDEX(Cronograma!AT$5:AT$11,MATCH($B187,Premissas!$A$39:$A$45,0))</f>
        <v/>
      </c>
      <c r="AV187" s="22" t="str">
        <f>INDEX(Cronograma!AU$5:AU$11,MATCH($B187,Premissas!$A$39:$A$45,0))</f>
        <v/>
      </c>
      <c r="AW187" s="22" t="str">
        <f>INDEX(Cronograma!AV$5:AV$11,MATCH($B187,Premissas!$A$39:$A$45,0))</f>
        <v/>
      </c>
      <c r="AX187" s="22" t="str">
        <f>INDEX(Cronograma!AW$5:AW$11,MATCH($B187,Premissas!$A$39:$A$45,0))</f>
        <v/>
      </c>
      <c r="AY187" s="22" t="str">
        <f>INDEX(Cronograma!AX$5:AX$11,MATCH($B187,Premissas!$A$39:$A$45,0))</f>
        <v>A</v>
      </c>
      <c r="AZ187" s="22" t="str">
        <f>INDEX(Cronograma!AY$5:AY$11,MATCH($B187,Premissas!$A$39:$A$45,0))</f>
        <v/>
      </c>
      <c r="BA187" s="22" t="str">
        <f>INDEX(Cronograma!AZ$5:AZ$11,MATCH($B187,Premissas!$A$39:$A$45,0))</f>
        <v/>
      </c>
      <c r="BB187" s="22" t="str">
        <f>INDEX(Cronograma!BA$5:BA$11,MATCH($B187,Premissas!$A$39:$A$45,0))</f>
        <v/>
      </c>
    </row>
    <row r="188" spans="1:54" ht="15" customHeight="1" x14ac:dyDescent="0.4">
      <c r="A188" s="15" t="str">
        <f>Frota!$B188&amp;" — "&amp;Frota!$A188</f>
        <v>John Deere 6135J — 105107</v>
      </c>
      <c r="B188" s="16" t="str">
        <f>Frota!$C188</f>
        <v>Trator</v>
      </c>
      <c r="C188" s="22" t="str">
        <f>INDEX(Cronograma!B$5:B$11,MATCH($B188,Premissas!$A$39:$A$45,0))</f>
        <v/>
      </c>
      <c r="D188" s="22" t="str">
        <f>INDEX(Cronograma!C$5:C$11,MATCH($B188,Premissas!$A$39:$A$45,0))</f>
        <v/>
      </c>
      <c r="E188" s="22" t="str">
        <f>INDEX(Cronograma!D$5:D$11,MATCH($B188,Premissas!$A$39:$A$45,0))</f>
        <v/>
      </c>
      <c r="F188" s="22" t="str">
        <f>INDEX(Cronograma!E$5:E$11,MATCH($B188,Premissas!$A$39:$A$45,0))</f>
        <v/>
      </c>
      <c r="G188" s="22" t="str">
        <f>INDEX(Cronograma!F$5:F$11,MATCH($B188,Premissas!$A$39:$A$45,0))</f>
        <v/>
      </c>
      <c r="H188" s="22" t="str">
        <f>INDEX(Cronograma!G$5:G$11,MATCH($B188,Premissas!$A$39:$A$45,0))</f>
        <v/>
      </c>
      <c r="I188" s="22" t="str">
        <f>INDEX(Cronograma!H$5:H$11,MATCH($B188,Premissas!$A$39:$A$45,0))</f>
        <v>S</v>
      </c>
      <c r="J188" s="22" t="str">
        <f>INDEX(Cronograma!I$5:I$11,MATCH($B188,Premissas!$A$39:$A$45,0))</f>
        <v/>
      </c>
      <c r="K188" s="22" t="str">
        <f>INDEX(Cronograma!J$5:J$11,MATCH($B188,Premissas!$A$39:$A$45,0))</f>
        <v/>
      </c>
      <c r="L188" s="22" t="str">
        <f>INDEX(Cronograma!K$5:K$11,MATCH($B188,Premissas!$A$39:$A$45,0))</f>
        <v/>
      </c>
      <c r="M188" s="22" t="str">
        <f>INDEX(Cronograma!L$5:L$11,MATCH($B188,Premissas!$A$39:$A$45,0))</f>
        <v/>
      </c>
      <c r="N188" s="22" t="str">
        <f>INDEX(Cronograma!M$5:M$11,MATCH($B188,Premissas!$A$39:$A$45,0))</f>
        <v/>
      </c>
      <c r="O188" s="22" t="str">
        <f>INDEX(Cronograma!N$5:N$11,MATCH($B188,Premissas!$A$39:$A$45,0))</f>
        <v>A</v>
      </c>
      <c r="P188" s="22" t="str">
        <f>INDEX(Cronograma!O$5:O$11,MATCH($B188,Premissas!$A$39:$A$45,0))</f>
        <v/>
      </c>
      <c r="Q188" s="22" t="str">
        <f>INDEX(Cronograma!P$5:P$11,MATCH($B188,Premissas!$A$39:$A$45,0))</f>
        <v/>
      </c>
      <c r="R188" s="22" t="str">
        <f>INDEX(Cronograma!Q$5:Q$11,MATCH($B188,Premissas!$A$39:$A$45,0))</f>
        <v/>
      </c>
      <c r="S188" s="22" t="str">
        <f>INDEX(Cronograma!R$5:R$11,MATCH($B188,Premissas!$A$39:$A$45,0))</f>
        <v/>
      </c>
      <c r="T188" s="22" t="str">
        <f>INDEX(Cronograma!S$5:S$11,MATCH($B188,Premissas!$A$39:$A$45,0))</f>
        <v/>
      </c>
      <c r="U188" s="22" t="str">
        <f>INDEX(Cronograma!T$5:T$11,MATCH($B188,Premissas!$A$39:$A$45,0))</f>
        <v>S</v>
      </c>
      <c r="V188" s="22" t="str">
        <f>INDEX(Cronograma!U$5:U$11,MATCH($B188,Premissas!$A$39:$A$45,0))</f>
        <v/>
      </c>
      <c r="W188" s="22" t="str">
        <f>INDEX(Cronograma!V$5:V$11,MATCH($B188,Premissas!$A$39:$A$45,0))</f>
        <v/>
      </c>
      <c r="X188" s="22" t="str">
        <f>INDEX(Cronograma!W$5:W$11,MATCH($B188,Premissas!$A$39:$A$45,0))</f>
        <v/>
      </c>
      <c r="Y188" s="22" t="str">
        <f>INDEX(Cronograma!X$5:X$11,MATCH($B188,Premissas!$A$39:$A$45,0))</f>
        <v/>
      </c>
      <c r="Z188" s="22" t="str">
        <f>INDEX(Cronograma!Y$5:Y$11,MATCH($B188,Premissas!$A$39:$A$45,0))</f>
        <v/>
      </c>
      <c r="AA188" s="22" t="str">
        <f>INDEX(Cronograma!Z$5:Z$11,MATCH($B188,Premissas!$A$39:$A$45,0))</f>
        <v>B</v>
      </c>
      <c r="AB188" s="22" t="str">
        <f>INDEX(Cronograma!AA$5:AA$11,MATCH($B188,Premissas!$A$39:$A$45,0))</f>
        <v/>
      </c>
      <c r="AC188" s="22" t="str">
        <f>INDEX(Cronograma!AB$5:AB$11,MATCH($B188,Premissas!$A$39:$A$45,0))</f>
        <v/>
      </c>
      <c r="AD188" s="22" t="str">
        <f>INDEX(Cronograma!AC$5:AC$11,MATCH($B188,Premissas!$A$39:$A$45,0))</f>
        <v/>
      </c>
      <c r="AE188" s="22" t="str">
        <f>INDEX(Cronograma!AD$5:AD$11,MATCH($B188,Premissas!$A$39:$A$45,0))</f>
        <v/>
      </c>
      <c r="AF188" s="22" t="str">
        <f>INDEX(Cronograma!AE$5:AE$11,MATCH($B188,Premissas!$A$39:$A$45,0))</f>
        <v/>
      </c>
      <c r="AG188" s="22" t="str">
        <f>INDEX(Cronograma!AF$5:AF$11,MATCH($B188,Premissas!$A$39:$A$45,0))</f>
        <v/>
      </c>
      <c r="AH188" s="22" t="str">
        <f>INDEX(Cronograma!AG$5:AG$11,MATCH($B188,Premissas!$A$39:$A$45,0))</f>
        <v>S</v>
      </c>
      <c r="AI188" s="22" t="str">
        <f>INDEX(Cronograma!AH$5:AH$11,MATCH($B188,Premissas!$A$39:$A$45,0))</f>
        <v/>
      </c>
      <c r="AJ188" s="22" t="str">
        <f>INDEX(Cronograma!AI$5:AI$11,MATCH($B188,Premissas!$A$39:$A$45,0))</f>
        <v/>
      </c>
      <c r="AK188" s="22" t="str">
        <f>INDEX(Cronograma!AJ$5:AJ$11,MATCH($B188,Premissas!$A$39:$A$45,0))</f>
        <v/>
      </c>
      <c r="AL188" s="22" t="str">
        <f>INDEX(Cronograma!AK$5:AK$11,MATCH($B188,Premissas!$A$39:$A$45,0))</f>
        <v/>
      </c>
      <c r="AM188" s="22" t="str">
        <f>INDEX(Cronograma!AL$5:AL$11,MATCH($B188,Premissas!$A$39:$A$45,0))</f>
        <v/>
      </c>
      <c r="AN188" s="22" t="str">
        <f>INDEX(Cronograma!AM$5:AM$11,MATCH($B188,Premissas!$A$39:$A$45,0))</f>
        <v/>
      </c>
      <c r="AO188" s="22" t="str">
        <f>INDEX(Cronograma!AN$5:AN$11,MATCH($B188,Premissas!$A$39:$A$45,0))</f>
        <v/>
      </c>
      <c r="AP188" s="22" t="str">
        <f>INDEX(Cronograma!AO$5:AO$11,MATCH($B188,Premissas!$A$39:$A$45,0))</f>
        <v/>
      </c>
      <c r="AQ188" s="22" t="str">
        <f>INDEX(Cronograma!AP$5:AP$11,MATCH($B188,Premissas!$A$39:$A$45,0))</f>
        <v/>
      </c>
      <c r="AR188" s="22" t="str">
        <f>INDEX(Cronograma!AQ$5:AQ$11,MATCH($B188,Premissas!$A$39:$A$45,0))</f>
        <v/>
      </c>
      <c r="AS188" s="22" t="str">
        <f>INDEX(Cronograma!AR$5:AR$11,MATCH($B188,Premissas!$A$39:$A$45,0))</f>
        <v/>
      </c>
      <c r="AT188" s="22" t="str">
        <f>INDEX(Cronograma!AS$5:AS$11,MATCH($B188,Premissas!$A$39:$A$45,0))</f>
        <v/>
      </c>
      <c r="AU188" s="22" t="str">
        <f>INDEX(Cronograma!AT$5:AT$11,MATCH($B188,Premissas!$A$39:$A$45,0))</f>
        <v/>
      </c>
      <c r="AV188" s="22" t="str">
        <f>INDEX(Cronograma!AU$5:AU$11,MATCH($B188,Premissas!$A$39:$A$45,0))</f>
        <v/>
      </c>
      <c r="AW188" s="22" t="str">
        <f>INDEX(Cronograma!AV$5:AV$11,MATCH($B188,Premissas!$A$39:$A$45,0))</f>
        <v/>
      </c>
      <c r="AX188" s="22" t="str">
        <f>INDEX(Cronograma!AW$5:AW$11,MATCH($B188,Premissas!$A$39:$A$45,0))</f>
        <v/>
      </c>
      <c r="AY188" s="22" t="str">
        <f>INDEX(Cronograma!AX$5:AX$11,MATCH($B188,Premissas!$A$39:$A$45,0))</f>
        <v>A</v>
      </c>
      <c r="AZ188" s="22" t="str">
        <f>INDEX(Cronograma!AY$5:AY$11,MATCH($B188,Premissas!$A$39:$A$45,0))</f>
        <v/>
      </c>
      <c r="BA188" s="22" t="str">
        <f>INDEX(Cronograma!AZ$5:AZ$11,MATCH($B188,Premissas!$A$39:$A$45,0))</f>
        <v/>
      </c>
      <c r="BB188" s="22" t="str">
        <f>INDEX(Cronograma!BA$5:BA$11,MATCH($B188,Premissas!$A$39:$A$45,0))</f>
        <v/>
      </c>
    </row>
    <row r="189" spans="1:54" ht="15" customHeight="1" x14ac:dyDescent="0.4">
      <c r="A189" s="15" t="str">
        <f>Frota!$B189&amp;" — "&amp;Frota!$A189</f>
        <v>John Deere 6190J — 105108</v>
      </c>
      <c r="B189" s="16" t="str">
        <f>Frota!$C189</f>
        <v>Trator</v>
      </c>
      <c r="C189" s="22" t="str">
        <f>INDEX(Cronograma!B$5:B$11,MATCH($B189,Premissas!$A$39:$A$45,0))</f>
        <v/>
      </c>
      <c r="D189" s="22" t="str">
        <f>INDEX(Cronograma!C$5:C$11,MATCH($B189,Premissas!$A$39:$A$45,0))</f>
        <v/>
      </c>
      <c r="E189" s="22" t="str">
        <f>INDEX(Cronograma!D$5:D$11,MATCH($B189,Premissas!$A$39:$A$45,0))</f>
        <v/>
      </c>
      <c r="F189" s="22" t="str">
        <f>INDEX(Cronograma!E$5:E$11,MATCH($B189,Premissas!$A$39:$A$45,0))</f>
        <v/>
      </c>
      <c r="G189" s="22" t="str">
        <f>INDEX(Cronograma!F$5:F$11,MATCH($B189,Premissas!$A$39:$A$45,0))</f>
        <v/>
      </c>
      <c r="H189" s="22" t="str">
        <f>INDEX(Cronograma!G$5:G$11,MATCH($B189,Premissas!$A$39:$A$45,0))</f>
        <v/>
      </c>
      <c r="I189" s="22" t="str">
        <f>INDEX(Cronograma!H$5:H$11,MATCH($B189,Premissas!$A$39:$A$45,0))</f>
        <v>S</v>
      </c>
      <c r="J189" s="22" t="str">
        <f>INDEX(Cronograma!I$5:I$11,MATCH($B189,Premissas!$A$39:$A$45,0))</f>
        <v/>
      </c>
      <c r="K189" s="22" t="str">
        <f>INDEX(Cronograma!J$5:J$11,MATCH($B189,Premissas!$A$39:$A$45,0))</f>
        <v/>
      </c>
      <c r="L189" s="22" t="str">
        <f>INDEX(Cronograma!K$5:K$11,MATCH($B189,Premissas!$A$39:$A$45,0))</f>
        <v/>
      </c>
      <c r="M189" s="22" t="str">
        <f>INDEX(Cronograma!L$5:L$11,MATCH($B189,Premissas!$A$39:$A$45,0))</f>
        <v/>
      </c>
      <c r="N189" s="22" t="str">
        <f>INDEX(Cronograma!M$5:M$11,MATCH($B189,Premissas!$A$39:$A$45,0))</f>
        <v/>
      </c>
      <c r="O189" s="22" t="str">
        <f>INDEX(Cronograma!N$5:N$11,MATCH($B189,Premissas!$A$39:$A$45,0))</f>
        <v>A</v>
      </c>
      <c r="P189" s="22" t="str">
        <f>INDEX(Cronograma!O$5:O$11,MATCH($B189,Premissas!$A$39:$A$45,0))</f>
        <v/>
      </c>
      <c r="Q189" s="22" t="str">
        <f>INDEX(Cronograma!P$5:P$11,MATCH($B189,Premissas!$A$39:$A$45,0))</f>
        <v/>
      </c>
      <c r="R189" s="22" t="str">
        <f>INDEX(Cronograma!Q$5:Q$11,MATCH($B189,Premissas!$A$39:$A$45,0))</f>
        <v/>
      </c>
      <c r="S189" s="22" t="str">
        <f>INDEX(Cronograma!R$5:R$11,MATCH($B189,Premissas!$A$39:$A$45,0))</f>
        <v/>
      </c>
      <c r="T189" s="22" t="str">
        <f>INDEX(Cronograma!S$5:S$11,MATCH($B189,Premissas!$A$39:$A$45,0))</f>
        <v/>
      </c>
      <c r="U189" s="22" t="str">
        <f>INDEX(Cronograma!T$5:T$11,MATCH($B189,Premissas!$A$39:$A$45,0))</f>
        <v>S</v>
      </c>
      <c r="V189" s="22" t="str">
        <f>INDEX(Cronograma!U$5:U$11,MATCH($B189,Premissas!$A$39:$A$45,0))</f>
        <v/>
      </c>
      <c r="W189" s="22" t="str">
        <f>INDEX(Cronograma!V$5:V$11,MATCH($B189,Premissas!$A$39:$A$45,0))</f>
        <v/>
      </c>
      <c r="X189" s="22" t="str">
        <f>INDEX(Cronograma!W$5:W$11,MATCH($B189,Premissas!$A$39:$A$45,0))</f>
        <v/>
      </c>
      <c r="Y189" s="22" t="str">
        <f>INDEX(Cronograma!X$5:X$11,MATCH($B189,Premissas!$A$39:$A$45,0))</f>
        <v/>
      </c>
      <c r="Z189" s="22" t="str">
        <f>INDEX(Cronograma!Y$5:Y$11,MATCH($B189,Premissas!$A$39:$A$45,0))</f>
        <v/>
      </c>
      <c r="AA189" s="22" t="str">
        <f>INDEX(Cronograma!Z$5:Z$11,MATCH($B189,Premissas!$A$39:$A$45,0))</f>
        <v>B</v>
      </c>
      <c r="AB189" s="22" t="str">
        <f>INDEX(Cronograma!AA$5:AA$11,MATCH($B189,Premissas!$A$39:$A$45,0))</f>
        <v/>
      </c>
      <c r="AC189" s="22" t="str">
        <f>INDEX(Cronograma!AB$5:AB$11,MATCH($B189,Premissas!$A$39:$A$45,0))</f>
        <v/>
      </c>
      <c r="AD189" s="22" t="str">
        <f>INDEX(Cronograma!AC$5:AC$11,MATCH($B189,Premissas!$A$39:$A$45,0))</f>
        <v/>
      </c>
      <c r="AE189" s="22" t="str">
        <f>INDEX(Cronograma!AD$5:AD$11,MATCH($B189,Premissas!$A$39:$A$45,0))</f>
        <v/>
      </c>
      <c r="AF189" s="22" t="str">
        <f>INDEX(Cronograma!AE$5:AE$11,MATCH($B189,Premissas!$A$39:$A$45,0))</f>
        <v/>
      </c>
      <c r="AG189" s="22" t="str">
        <f>INDEX(Cronograma!AF$5:AF$11,MATCH($B189,Premissas!$A$39:$A$45,0))</f>
        <v/>
      </c>
      <c r="AH189" s="22" t="str">
        <f>INDEX(Cronograma!AG$5:AG$11,MATCH($B189,Premissas!$A$39:$A$45,0))</f>
        <v>S</v>
      </c>
      <c r="AI189" s="22" t="str">
        <f>INDEX(Cronograma!AH$5:AH$11,MATCH($B189,Premissas!$A$39:$A$45,0))</f>
        <v/>
      </c>
      <c r="AJ189" s="22" t="str">
        <f>INDEX(Cronograma!AI$5:AI$11,MATCH($B189,Premissas!$A$39:$A$45,0))</f>
        <v/>
      </c>
      <c r="AK189" s="22" t="str">
        <f>INDEX(Cronograma!AJ$5:AJ$11,MATCH($B189,Premissas!$A$39:$A$45,0))</f>
        <v/>
      </c>
      <c r="AL189" s="22" t="str">
        <f>INDEX(Cronograma!AK$5:AK$11,MATCH($B189,Premissas!$A$39:$A$45,0))</f>
        <v/>
      </c>
      <c r="AM189" s="22" t="str">
        <f>INDEX(Cronograma!AL$5:AL$11,MATCH($B189,Premissas!$A$39:$A$45,0))</f>
        <v/>
      </c>
      <c r="AN189" s="22" t="str">
        <f>INDEX(Cronograma!AM$5:AM$11,MATCH($B189,Premissas!$A$39:$A$45,0))</f>
        <v/>
      </c>
      <c r="AO189" s="22" t="str">
        <f>INDEX(Cronograma!AN$5:AN$11,MATCH($B189,Premissas!$A$39:$A$45,0))</f>
        <v/>
      </c>
      <c r="AP189" s="22" t="str">
        <f>INDEX(Cronograma!AO$5:AO$11,MATCH($B189,Premissas!$A$39:$A$45,0))</f>
        <v/>
      </c>
      <c r="AQ189" s="22" t="str">
        <f>INDEX(Cronograma!AP$5:AP$11,MATCH($B189,Premissas!$A$39:$A$45,0))</f>
        <v/>
      </c>
      <c r="AR189" s="22" t="str">
        <f>INDEX(Cronograma!AQ$5:AQ$11,MATCH($B189,Premissas!$A$39:$A$45,0))</f>
        <v/>
      </c>
      <c r="AS189" s="22" t="str">
        <f>INDEX(Cronograma!AR$5:AR$11,MATCH($B189,Premissas!$A$39:$A$45,0))</f>
        <v/>
      </c>
      <c r="AT189" s="22" t="str">
        <f>INDEX(Cronograma!AS$5:AS$11,MATCH($B189,Premissas!$A$39:$A$45,0))</f>
        <v/>
      </c>
      <c r="AU189" s="22" t="str">
        <f>INDEX(Cronograma!AT$5:AT$11,MATCH($B189,Premissas!$A$39:$A$45,0))</f>
        <v/>
      </c>
      <c r="AV189" s="22" t="str">
        <f>INDEX(Cronograma!AU$5:AU$11,MATCH($B189,Premissas!$A$39:$A$45,0))</f>
        <v/>
      </c>
      <c r="AW189" s="22" t="str">
        <f>INDEX(Cronograma!AV$5:AV$11,MATCH($B189,Premissas!$A$39:$A$45,0))</f>
        <v/>
      </c>
      <c r="AX189" s="22" t="str">
        <f>INDEX(Cronograma!AW$5:AW$11,MATCH($B189,Premissas!$A$39:$A$45,0))</f>
        <v/>
      </c>
      <c r="AY189" s="22" t="str">
        <f>INDEX(Cronograma!AX$5:AX$11,MATCH($B189,Premissas!$A$39:$A$45,0))</f>
        <v>A</v>
      </c>
      <c r="AZ189" s="22" t="str">
        <f>INDEX(Cronograma!AY$5:AY$11,MATCH($B189,Premissas!$A$39:$A$45,0))</f>
        <v/>
      </c>
      <c r="BA189" s="22" t="str">
        <f>INDEX(Cronograma!AZ$5:AZ$11,MATCH($B189,Premissas!$A$39:$A$45,0))</f>
        <v/>
      </c>
      <c r="BB189" s="22" t="str">
        <f>INDEX(Cronograma!BA$5:BA$11,MATCH($B189,Premissas!$A$39:$A$45,0))</f>
        <v/>
      </c>
    </row>
    <row r="190" spans="1:54" ht="15" customHeight="1" x14ac:dyDescent="0.4">
      <c r="A190" s="15" t="str">
        <f>Frota!$B190&amp;" — "&amp;Frota!$A190</f>
        <v>John Deere- 5090E — 105109</v>
      </c>
      <c r="B190" s="16" t="str">
        <f>Frota!$C190</f>
        <v>Trator</v>
      </c>
      <c r="C190" s="22" t="str">
        <f>INDEX(Cronograma!B$5:B$11,MATCH($B190,Premissas!$A$39:$A$45,0))</f>
        <v/>
      </c>
      <c r="D190" s="22" t="str">
        <f>INDEX(Cronograma!C$5:C$11,MATCH($B190,Premissas!$A$39:$A$45,0))</f>
        <v/>
      </c>
      <c r="E190" s="22" t="str">
        <f>INDEX(Cronograma!D$5:D$11,MATCH($B190,Premissas!$A$39:$A$45,0))</f>
        <v/>
      </c>
      <c r="F190" s="22" t="str">
        <f>INDEX(Cronograma!E$5:E$11,MATCH($B190,Premissas!$A$39:$A$45,0))</f>
        <v/>
      </c>
      <c r="G190" s="22" t="str">
        <f>INDEX(Cronograma!F$5:F$11,MATCH($B190,Premissas!$A$39:$A$45,0))</f>
        <v/>
      </c>
      <c r="H190" s="22" t="str">
        <f>INDEX(Cronograma!G$5:G$11,MATCH($B190,Premissas!$A$39:$A$45,0))</f>
        <v/>
      </c>
      <c r="I190" s="22" t="str">
        <f>INDEX(Cronograma!H$5:H$11,MATCH($B190,Premissas!$A$39:$A$45,0))</f>
        <v>S</v>
      </c>
      <c r="J190" s="22" t="str">
        <f>INDEX(Cronograma!I$5:I$11,MATCH($B190,Premissas!$A$39:$A$45,0))</f>
        <v/>
      </c>
      <c r="K190" s="22" t="str">
        <f>INDEX(Cronograma!J$5:J$11,MATCH($B190,Premissas!$A$39:$A$45,0))</f>
        <v/>
      </c>
      <c r="L190" s="22" t="str">
        <f>INDEX(Cronograma!K$5:K$11,MATCH($B190,Premissas!$A$39:$A$45,0))</f>
        <v/>
      </c>
      <c r="M190" s="22" t="str">
        <f>INDEX(Cronograma!L$5:L$11,MATCH($B190,Premissas!$A$39:$A$45,0))</f>
        <v/>
      </c>
      <c r="N190" s="22" t="str">
        <f>INDEX(Cronograma!M$5:M$11,MATCH($B190,Premissas!$A$39:$A$45,0))</f>
        <v/>
      </c>
      <c r="O190" s="22" t="str">
        <f>INDEX(Cronograma!N$5:N$11,MATCH($B190,Premissas!$A$39:$A$45,0))</f>
        <v>A</v>
      </c>
      <c r="P190" s="22" t="str">
        <f>INDEX(Cronograma!O$5:O$11,MATCH($B190,Premissas!$A$39:$A$45,0))</f>
        <v/>
      </c>
      <c r="Q190" s="22" t="str">
        <f>INDEX(Cronograma!P$5:P$11,MATCH($B190,Premissas!$A$39:$A$45,0))</f>
        <v/>
      </c>
      <c r="R190" s="22" t="str">
        <f>INDEX(Cronograma!Q$5:Q$11,MATCH($B190,Premissas!$A$39:$A$45,0))</f>
        <v/>
      </c>
      <c r="S190" s="22" t="str">
        <f>INDEX(Cronograma!R$5:R$11,MATCH($B190,Premissas!$A$39:$A$45,0))</f>
        <v/>
      </c>
      <c r="T190" s="22" t="str">
        <f>INDEX(Cronograma!S$5:S$11,MATCH($B190,Premissas!$A$39:$A$45,0))</f>
        <v/>
      </c>
      <c r="U190" s="22" t="str">
        <f>INDEX(Cronograma!T$5:T$11,MATCH($B190,Premissas!$A$39:$A$45,0))</f>
        <v>S</v>
      </c>
      <c r="V190" s="22" t="str">
        <f>INDEX(Cronograma!U$5:U$11,MATCH($B190,Premissas!$A$39:$A$45,0))</f>
        <v/>
      </c>
      <c r="W190" s="22" t="str">
        <f>INDEX(Cronograma!V$5:V$11,MATCH($B190,Premissas!$A$39:$A$45,0))</f>
        <v/>
      </c>
      <c r="X190" s="22" t="str">
        <f>INDEX(Cronograma!W$5:W$11,MATCH($B190,Premissas!$A$39:$A$45,0))</f>
        <v/>
      </c>
      <c r="Y190" s="22" t="str">
        <f>INDEX(Cronograma!X$5:X$11,MATCH($B190,Premissas!$A$39:$A$45,0))</f>
        <v/>
      </c>
      <c r="Z190" s="22" t="str">
        <f>INDEX(Cronograma!Y$5:Y$11,MATCH($B190,Premissas!$A$39:$A$45,0))</f>
        <v/>
      </c>
      <c r="AA190" s="22" t="str">
        <f>INDEX(Cronograma!Z$5:Z$11,MATCH($B190,Premissas!$A$39:$A$45,0))</f>
        <v>B</v>
      </c>
      <c r="AB190" s="22" t="str">
        <f>INDEX(Cronograma!AA$5:AA$11,MATCH($B190,Premissas!$A$39:$A$45,0))</f>
        <v/>
      </c>
      <c r="AC190" s="22" t="str">
        <f>INDEX(Cronograma!AB$5:AB$11,MATCH($B190,Premissas!$A$39:$A$45,0))</f>
        <v/>
      </c>
      <c r="AD190" s="22" t="str">
        <f>INDEX(Cronograma!AC$5:AC$11,MATCH($B190,Premissas!$A$39:$A$45,0))</f>
        <v/>
      </c>
      <c r="AE190" s="22" t="str">
        <f>INDEX(Cronograma!AD$5:AD$11,MATCH($B190,Premissas!$A$39:$A$45,0))</f>
        <v/>
      </c>
      <c r="AF190" s="22" t="str">
        <f>INDEX(Cronograma!AE$5:AE$11,MATCH($B190,Premissas!$A$39:$A$45,0))</f>
        <v/>
      </c>
      <c r="AG190" s="22" t="str">
        <f>INDEX(Cronograma!AF$5:AF$11,MATCH($B190,Premissas!$A$39:$A$45,0))</f>
        <v/>
      </c>
      <c r="AH190" s="22" t="str">
        <f>INDEX(Cronograma!AG$5:AG$11,MATCH($B190,Premissas!$A$39:$A$45,0))</f>
        <v>S</v>
      </c>
      <c r="AI190" s="22" t="str">
        <f>INDEX(Cronograma!AH$5:AH$11,MATCH($B190,Premissas!$A$39:$A$45,0))</f>
        <v/>
      </c>
      <c r="AJ190" s="22" t="str">
        <f>INDEX(Cronograma!AI$5:AI$11,MATCH($B190,Premissas!$A$39:$A$45,0))</f>
        <v/>
      </c>
      <c r="AK190" s="22" t="str">
        <f>INDEX(Cronograma!AJ$5:AJ$11,MATCH($B190,Premissas!$A$39:$A$45,0))</f>
        <v/>
      </c>
      <c r="AL190" s="22" t="str">
        <f>INDEX(Cronograma!AK$5:AK$11,MATCH($B190,Premissas!$A$39:$A$45,0))</f>
        <v/>
      </c>
      <c r="AM190" s="22" t="str">
        <f>INDEX(Cronograma!AL$5:AL$11,MATCH($B190,Premissas!$A$39:$A$45,0))</f>
        <v/>
      </c>
      <c r="AN190" s="22" t="str">
        <f>INDEX(Cronograma!AM$5:AM$11,MATCH($B190,Premissas!$A$39:$A$45,0))</f>
        <v/>
      </c>
      <c r="AO190" s="22" t="str">
        <f>INDEX(Cronograma!AN$5:AN$11,MATCH($B190,Premissas!$A$39:$A$45,0))</f>
        <v/>
      </c>
      <c r="AP190" s="22" t="str">
        <f>INDEX(Cronograma!AO$5:AO$11,MATCH($B190,Premissas!$A$39:$A$45,0))</f>
        <v/>
      </c>
      <c r="AQ190" s="22" t="str">
        <f>INDEX(Cronograma!AP$5:AP$11,MATCH($B190,Premissas!$A$39:$A$45,0))</f>
        <v/>
      </c>
      <c r="AR190" s="22" t="str">
        <f>INDEX(Cronograma!AQ$5:AQ$11,MATCH($B190,Premissas!$A$39:$A$45,0))</f>
        <v/>
      </c>
      <c r="AS190" s="22" t="str">
        <f>INDEX(Cronograma!AR$5:AR$11,MATCH($B190,Premissas!$A$39:$A$45,0))</f>
        <v/>
      </c>
      <c r="AT190" s="22" t="str">
        <f>INDEX(Cronograma!AS$5:AS$11,MATCH($B190,Premissas!$A$39:$A$45,0))</f>
        <v/>
      </c>
      <c r="AU190" s="22" t="str">
        <f>INDEX(Cronograma!AT$5:AT$11,MATCH($B190,Premissas!$A$39:$A$45,0))</f>
        <v/>
      </c>
      <c r="AV190" s="22" t="str">
        <f>INDEX(Cronograma!AU$5:AU$11,MATCH($B190,Premissas!$A$39:$A$45,0))</f>
        <v/>
      </c>
      <c r="AW190" s="22" t="str">
        <f>INDEX(Cronograma!AV$5:AV$11,MATCH($B190,Premissas!$A$39:$A$45,0))</f>
        <v/>
      </c>
      <c r="AX190" s="22" t="str">
        <f>INDEX(Cronograma!AW$5:AW$11,MATCH($B190,Premissas!$A$39:$A$45,0))</f>
        <v/>
      </c>
      <c r="AY190" s="22" t="str">
        <f>INDEX(Cronograma!AX$5:AX$11,MATCH($B190,Premissas!$A$39:$A$45,0))</f>
        <v>A</v>
      </c>
      <c r="AZ190" s="22" t="str">
        <f>INDEX(Cronograma!AY$5:AY$11,MATCH($B190,Premissas!$A$39:$A$45,0))</f>
        <v/>
      </c>
      <c r="BA190" s="22" t="str">
        <f>INDEX(Cronograma!AZ$5:AZ$11,MATCH($B190,Premissas!$A$39:$A$45,0))</f>
        <v/>
      </c>
      <c r="BB190" s="22" t="str">
        <f>INDEX(Cronograma!BA$5:BA$11,MATCH($B190,Premissas!$A$39:$A$45,0))</f>
        <v/>
      </c>
    </row>
    <row r="191" spans="1:54" ht="15" customHeight="1" x14ac:dyDescent="0.4">
      <c r="A191" s="15" t="str">
        <f>Frota!$B191&amp;" — "&amp;Frota!$A191</f>
        <v>John Deere- 5090E — 105110</v>
      </c>
      <c r="B191" s="16" t="str">
        <f>Frota!$C191</f>
        <v>Trator</v>
      </c>
      <c r="C191" s="22" t="str">
        <f>INDEX(Cronograma!B$5:B$11,MATCH($B191,Premissas!$A$39:$A$45,0))</f>
        <v/>
      </c>
      <c r="D191" s="22" t="str">
        <f>INDEX(Cronograma!C$5:C$11,MATCH($B191,Premissas!$A$39:$A$45,0))</f>
        <v/>
      </c>
      <c r="E191" s="22" t="str">
        <f>INDEX(Cronograma!D$5:D$11,MATCH($B191,Premissas!$A$39:$A$45,0))</f>
        <v/>
      </c>
      <c r="F191" s="22" t="str">
        <f>INDEX(Cronograma!E$5:E$11,MATCH($B191,Premissas!$A$39:$A$45,0))</f>
        <v/>
      </c>
      <c r="G191" s="22" t="str">
        <f>INDEX(Cronograma!F$5:F$11,MATCH($B191,Premissas!$A$39:$A$45,0))</f>
        <v/>
      </c>
      <c r="H191" s="22" t="str">
        <f>INDEX(Cronograma!G$5:G$11,MATCH($B191,Premissas!$A$39:$A$45,0))</f>
        <v/>
      </c>
      <c r="I191" s="22" t="str">
        <f>INDEX(Cronograma!H$5:H$11,MATCH($B191,Premissas!$A$39:$A$45,0))</f>
        <v>S</v>
      </c>
      <c r="J191" s="22" t="str">
        <f>INDEX(Cronograma!I$5:I$11,MATCH($B191,Premissas!$A$39:$A$45,0))</f>
        <v/>
      </c>
      <c r="K191" s="22" t="str">
        <f>INDEX(Cronograma!J$5:J$11,MATCH($B191,Premissas!$A$39:$A$45,0))</f>
        <v/>
      </c>
      <c r="L191" s="22" t="str">
        <f>INDEX(Cronograma!K$5:K$11,MATCH($B191,Premissas!$A$39:$A$45,0))</f>
        <v/>
      </c>
      <c r="M191" s="22" t="str">
        <f>INDEX(Cronograma!L$5:L$11,MATCH($B191,Premissas!$A$39:$A$45,0))</f>
        <v/>
      </c>
      <c r="N191" s="22" t="str">
        <f>INDEX(Cronograma!M$5:M$11,MATCH($B191,Premissas!$A$39:$A$45,0))</f>
        <v/>
      </c>
      <c r="O191" s="22" t="str">
        <f>INDEX(Cronograma!N$5:N$11,MATCH($B191,Premissas!$A$39:$A$45,0))</f>
        <v>A</v>
      </c>
      <c r="P191" s="22" t="str">
        <f>INDEX(Cronograma!O$5:O$11,MATCH($B191,Premissas!$A$39:$A$45,0))</f>
        <v/>
      </c>
      <c r="Q191" s="22" t="str">
        <f>INDEX(Cronograma!P$5:P$11,MATCH($B191,Premissas!$A$39:$A$45,0))</f>
        <v/>
      </c>
      <c r="R191" s="22" t="str">
        <f>INDEX(Cronograma!Q$5:Q$11,MATCH($B191,Premissas!$A$39:$A$45,0))</f>
        <v/>
      </c>
      <c r="S191" s="22" t="str">
        <f>INDEX(Cronograma!R$5:R$11,MATCH($B191,Premissas!$A$39:$A$45,0))</f>
        <v/>
      </c>
      <c r="T191" s="22" t="str">
        <f>INDEX(Cronograma!S$5:S$11,MATCH($B191,Premissas!$A$39:$A$45,0))</f>
        <v/>
      </c>
      <c r="U191" s="22" t="str">
        <f>INDEX(Cronograma!T$5:T$11,MATCH($B191,Premissas!$A$39:$A$45,0))</f>
        <v>S</v>
      </c>
      <c r="V191" s="22" t="str">
        <f>INDEX(Cronograma!U$5:U$11,MATCH($B191,Premissas!$A$39:$A$45,0))</f>
        <v/>
      </c>
      <c r="W191" s="22" t="str">
        <f>INDEX(Cronograma!V$5:V$11,MATCH($B191,Premissas!$A$39:$A$45,0))</f>
        <v/>
      </c>
      <c r="X191" s="22" t="str">
        <f>INDEX(Cronograma!W$5:W$11,MATCH($B191,Premissas!$A$39:$A$45,0))</f>
        <v/>
      </c>
      <c r="Y191" s="22" t="str">
        <f>INDEX(Cronograma!X$5:X$11,MATCH($B191,Premissas!$A$39:$A$45,0))</f>
        <v/>
      </c>
      <c r="Z191" s="22" t="str">
        <f>INDEX(Cronograma!Y$5:Y$11,MATCH($B191,Premissas!$A$39:$A$45,0))</f>
        <v/>
      </c>
      <c r="AA191" s="22" t="str">
        <f>INDEX(Cronograma!Z$5:Z$11,MATCH($B191,Premissas!$A$39:$A$45,0))</f>
        <v>B</v>
      </c>
      <c r="AB191" s="22" t="str">
        <f>INDEX(Cronograma!AA$5:AA$11,MATCH($B191,Premissas!$A$39:$A$45,0))</f>
        <v/>
      </c>
      <c r="AC191" s="22" t="str">
        <f>INDEX(Cronograma!AB$5:AB$11,MATCH($B191,Premissas!$A$39:$A$45,0))</f>
        <v/>
      </c>
      <c r="AD191" s="22" t="str">
        <f>INDEX(Cronograma!AC$5:AC$11,MATCH($B191,Premissas!$A$39:$A$45,0))</f>
        <v/>
      </c>
      <c r="AE191" s="22" t="str">
        <f>INDEX(Cronograma!AD$5:AD$11,MATCH($B191,Premissas!$A$39:$A$45,0))</f>
        <v/>
      </c>
      <c r="AF191" s="22" t="str">
        <f>INDEX(Cronograma!AE$5:AE$11,MATCH($B191,Premissas!$A$39:$A$45,0))</f>
        <v/>
      </c>
      <c r="AG191" s="22" t="str">
        <f>INDEX(Cronograma!AF$5:AF$11,MATCH($B191,Premissas!$A$39:$A$45,0))</f>
        <v/>
      </c>
      <c r="AH191" s="22" t="str">
        <f>INDEX(Cronograma!AG$5:AG$11,MATCH($B191,Premissas!$A$39:$A$45,0))</f>
        <v>S</v>
      </c>
      <c r="AI191" s="22" t="str">
        <f>INDEX(Cronograma!AH$5:AH$11,MATCH($B191,Premissas!$A$39:$A$45,0))</f>
        <v/>
      </c>
      <c r="AJ191" s="22" t="str">
        <f>INDEX(Cronograma!AI$5:AI$11,MATCH($B191,Premissas!$A$39:$A$45,0))</f>
        <v/>
      </c>
      <c r="AK191" s="22" t="str">
        <f>INDEX(Cronograma!AJ$5:AJ$11,MATCH($B191,Premissas!$A$39:$A$45,0))</f>
        <v/>
      </c>
      <c r="AL191" s="22" t="str">
        <f>INDEX(Cronograma!AK$5:AK$11,MATCH($B191,Premissas!$A$39:$A$45,0))</f>
        <v/>
      </c>
      <c r="AM191" s="22" t="str">
        <f>INDEX(Cronograma!AL$5:AL$11,MATCH($B191,Premissas!$A$39:$A$45,0))</f>
        <v/>
      </c>
      <c r="AN191" s="22" t="str">
        <f>INDEX(Cronograma!AM$5:AM$11,MATCH($B191,Premissas!$A$39:$A$45,0))</f>
        <v/>
      </c>
      <c r="AO191" s="22" t="str">
        <f>INDEX(Cronograma!AN$5:AN$11,MATCH($B191,Premissas!$A$39:$A$45,0))</f>
        <v/>
      </c>
      <c r="AP191" s="22" t="str">
        <f>INDEX(Cronograma!AO$5:AO$11,MATCH($B191,Premissas!$A$39:$A$45,0))</f>
        <v/>
      </c>
      <c r="AQ191" s="22" t="str">
        <f>INDEX(Cronograma!AP$5:AP$11,MATCH($B191,Premissas!$A$39:$A$45,0))</f>
        <v/>
      </c>
      <c r="AR191" s="22" t="str">
        <f>INDEX(Cronograma!AQ$5:AQ$11,MATCH($B191,Premissas!$A$39:$A$45,0))</f>
        <v/>
      </c>
      <c r="AS191" s="22" t="str">
        <f>INDEX(Cronograma!AR$5:AR$11,MATCH($B191,Premissas!$A$39:$A$45,0))</f>
        <v/>
      </c>
      <c r="AT191" s="22" t="str">
        <f>INDEX(Cronograma!AS$5:AS$11,MATCH($B191,Premissas!$A$39:$A$45,0))</f>
        <v/>
      </c>
      <c r="AU191" s="22" t="str">
        <f>INDEX(Cronograma!AT$5:AT$11,MATCH($B191,Premissas!$A$39:$A$45,0))</f>
        <v/>
      </c>
      <c r="AV191" s="22" t="str">
        <f>INDEX(Cronograma!AU$5:AU$11,MATCH($B191,Premissas!$A$39:$A$45,0))</f>
        <v/>
      </c>
      <c r="AW191" s="22" t="str">
        <f>INDEX(Cronograma!AV$5:AV$11,MATCH($B191,Premissas!$A$39:$A$45,0))</f>
        <v/>
      </c>
      <c r="AX191" s="22" t="str">
        <f>INDEX(Cronograma!AW$5:AW$11,MATCH($B191,Premissas!$A$39:$A$45,0))</f>
        <v/>
      </c>
      <c r="AY191" s="22" t="str">
        <f>INDEX(Cronograma!AX$5:AX$11,MATCH($B191,Premissas!$A$39:$A$45,0))</f>
        <v>A</v>
      </c>
      <c r="AZ191" s="22" t="str">
        <f>INDEX(Cronograma!AY$5:AY$11,MATCH($B191,Premissas!$A$39:$A$45,0))</f>
        <v/>
      </c>
      <c r="BA191" s="22" t="str">
        <f>INDEX(Cronograma!AZ$5:AZ$11,MATCH($B191,Premissas!$A$39:$A$45,0))</f>
        <v/>
      </c>
      <c r="BB191" s="22" t="str">
        <f>INDEX(Cronograma!BA$5:BA$11,MATCH($B191,Premissas!$A$39:$A$45,0))</f>
        <v/>
      </c>
    </row>
    <row r="192" spans="1:54" ht="15" customHeight="1" x14ac:dyDescent="0.4">
      <c r="A192" s="15" t="str">
        <f>Frota!$B192&amp;" — "&amp;Frota!$A192</f>
        <v>John Deere- 5090E — 105111</v>
      </c>
      <c r="B192" s="16" t="str">
        <f>Frota!$C192</f>
        <v>Trator</v>
      </c>
      <c r="C192" s="22" t="str">
        <f>INDEX(Cronograma!B$5:B$11,MATCH($B192,Premissas!$A$39:$A$45,0))</f>
        <v/>
      </c>
      <c r="D192" s="22" t="str">
        <f>INDEX(Cronograma!C$5:C$11,MATCH($B192,Premissas!$A$39:$A$45,0))</f>
        <v/>
      </c>
      <c r="E192" s="22" t="str">
        <f>INDEX(Cronograma!D$5:D$11,MATCH($B192,Premissas!$A$39:$A$45,0))</f>
        <v/>
      </c>
      <c r="F192" s="22" t="str">
        <f>INDEX(Cronograma!E$5:E$11,MATCH($B192,Premissas!$A$39:$A$45,0))</f>
        <v/>
      </c>
      <c r="G192" s="22" t="str">
        <f>INDEX(Cronograma!F$5:F$11,MATCH($B192,Premissas!$A$39:$A$45,0))</f>
        <v/>
      </c>
      <c r="H192" s="22" t="str">
        <f>INDEX(Cronograma!G$5:G$11,MATCH($B192,Premissas!$A$39:$A$45,0))</f>
        <v/>
      </c>
      <c r="I192" s="22" t="str">
        <f>INDEX(Cronograma!H$5:H$11,MATCH($B192,Premissas!$A$39:$A$45,0))</f>
        <v>S</v>
      </c>
      <c r="J192" s="22" t="str">
        <f>INDEX(Cronograma!I$5:I$11,MATCH($B192,Premissas!$A$39:$A$45,0))</f>
        <v/>
      </c>
      <c r="K192" s="22" t="str">
        <f>INDEX(Cronograma!J$5:J$11,MATCH($B192,Premissas!$A$39:$A$45,0))</f>
        <v/>
      </c>
      <c r="L192" s="22" t="str">
        <f>INDEX(Cronograma!K$5:K$11,MATCH($B192,Premissas!$A$39:$A$45,0))</f>
        <v/>
      </c>
      <c r="M192" s="22" t="str">
        <f>INDEX(Cronograma!L$5:L$11,MATCH($B192,Premissas!$A$39:$A$45,0))</f>
        <v/>
      </c>
      <c r="N192" s="22" t="str">
        <f>INDEX(Cronograma!M$5:M$11,MATCH($B192,Premissas!$A$39:$A$45,0))</f>
        <v/>
      </c>
      <c r="O192" s="22" t="str">
        <f>INDEX(Cronograma!N$5:N$11,MATCH($B192,Premissas!$A$39:$A$45,0))</f>
        <v>A</v>
      </c>
      <c r="P192" s="22" t="str">
        <f>INDEX(Cronograma!O$5:O$11,MATCH($B192,Premissas!$A$39:$A$45,0))</f>
        <v/>
      </c>
      <c r="Q192" s="22" t="str">
        <f>INDEX(Cronograma!P$5:P$11,MATCH($B192,Premissas!$A$39:$A$45,0))</f>
        <v/>
      </c>
      <c r="R192" s="22" t="str">
        <f>INDEX(Cronograma!Q$5:Q$11,MATCH($B192,Premissas!$A$39:$A$45,0))</f>
        <v/>
      </c>
      <c r="S192" s="22" t="str">
        <f>INDEX(Cronograma!R$5:R$11,MATCH($B192,Premissas!$A$39:$A$45,0))</f>
        <v/>
      </c>
      <c r="T192" s="22" t="str">
        <f>INDEX(Cronograma!S$5:S$11,MATCH($B192,Premissas!$A$39:$A$45,0))</f>
        <v/>
      </c>
      <c r="U192" s="22" t="str">
        <f>INDEX(Cronograma!T$5:T$11,MATCH($B192,Premissas!$A$39:$A$45,0))</f>
        <v>S</v>
      </c>
      <c r="V192" s="22" t="str">
        <f>INDEX(Cronograma!U$5:U$11,MATCH($B192,Premissas!$A$39:$A$45,0))</f>
        <v/>
      </c>
      <c r="W192" s="22" t="str">
        <f>INDEX(Cronograma!V$5:V$11,MATCH($B192,Premissas!$A$39:$A$45,0))</f>
        <v/>
      </c>
      <c r="X192" s="22" t="str">
        <f>INDEX(Cronograma!W$5:W$11,MATCH($B192,Premissas!$A$39:$A$45,0))</f>
        <v/>
      </c>
      <c r="Y192" s="22" t="str">
        <f>INDEX(Cronograma!X$5:X$11,MATCH($B192,Premissas!$A$39:$A$45,0))</f>
        <v/>
      </c>
      <c r="Z192" s="22" t="str">
        <f>INDEX(Cronograma!Y$5:Y$11,MATCH($B192,Premissas!$A$39:$A$45,0))</f>
        <v/>
      </c>
      <c r="AA192" s="22" t="str">
        <f>INDEX(Cronograma!Z$5:Z$11,MATCH($B192,Premissas!$A$39:$A$45,0))</f>
        <v>B</v>
      </c>
      <c r="AB192" s="22" t="str">
        <f>INDEX(Cronograma!AA$5:AA$11,MATCH($B192,Premissas!$A$39:$A$45,0))</f>
        <v/>
      </c>
      <c r="AC192" s="22" t="str">
        <f>INDEX(Cronograma!AB$5:AB$11,MATCH($B192,Premissas!$A$39:$A$45,0))</f>
        <v/>
      </c>
      <c r="AD192" s="22" t="str">
        <f>INDEX(Cronograma!AC$5:AC$11,MATCH($B192,Premissas!$A$39:$A$45,0))</f>
        <v/>
      </c>
      <c r="AE192" s="22" t="str">
        <f>INDEX(Cronograma!AD$5:AD$11,MATCH($B192,Premissas!$A$39:$A$45,0))</f>
        <v/>
      </c>
      <c r="AF192" s="22" t="str">
        <f>INDEX(Cronograma!AE$5:AE$11,MATCH($B192,Premissas!$A$39:$A$45,0))</f>
        <v/>
      </c>
      <c r="AG192" s="22" t="str">
        <f>INDEX(Cronograma!AF$5:AF$11,MATCH($B192,Premissas!$A$39:$A$45,0))</f>
        <v/>
      </c>
      <c r="AH192" s="22" t="str">
        <f>INDEX(Cronograma!AG$5:AG$11,MATCH($B192,Premissas!$A$39:$A$45,0))</f>
        <v>S</v>
      </c>
      <c r="AI192" s="22" t="str">
        <f>INDEX(Cronograma!AH$5:AH$11,MATCH($B192,Premissas!$A$39:$A$45,0))</f>
        <v/>
      </c>
      <c r="AJ192" s="22" t="str">
        <f>INDEX(Cronograma!AI$5:AI$11,MATCH($B192,Premissas!$A$39:$A$45,0))</f>
        <v/>
      </c>
      <c r="AK192" s="22" t="str">
        <f>INDEX(Cronograma!AJ$5:AJ$11,MATCH($B192,Premissas!$A$39:$A$45,0))</f>
        <v/>
      </c>
      <c r="AL192" s="22" t="str">
        <f>INDEX(Cronograma!AK$5:AK$11,MATCH($B192,Premissas!$A$39:$A$45,0))</f>
        <v/>
      </c>
      <c r="AM192" s="22" t="str">
        <f>INDEX(Cronograma!AL$5:AL$11,MATCH($B192,Premissas!$A$39:$A$45,0))</f>
        <v/>
      </c>
      <c r="AN192" s="22" t="str">
        <f>INDEX(Cronograma!AM$5:AM$11,MATCH($B192,Premissas!$A$39:$A$45,0))</f>
        <v/>
      </c>
      <c r="AO192" s="22" t="str">
        <f>INDEX(Cronograma!AN$5:AN$11,MATCH($B192,Premissas!$A$39:$A$45,0))</f>
        <v/>
      </c>
      <c r="AP192" s="22" t="str">
        <f>INDEX(Cronograma!AO$5:AO$11,MATCH($B192,Premissas!$A$39:$A$45,0))</f>
        <v/>
      </c>
      <c r="AQ192" s="22" t="str">
        <f>INDEX(Cronograma!AP$5:AP$11,MATCH($B192,Premissas!$A$39:$A$45,0))</f>
        <v/>
      </c>
      <c r="AR192" s="22" t="str">
        <f>INDEX(Cronograma!AQ$5:AQ$11,MATCH($B192,Premissas!$A$39:$A$45,0))</f>
        <v/>
      </c>
      <c r="AS192" s="22" t="str">
        <f>INDEX(Cronograma!AR$5:AR$11,MATCH($B192,Premissas!$A$39:$A$45,0))</f>
        <v/>
      </c>
      <c r="AT192" s="22" t="str">
        <f>INDEX(Cronograma!AS$5:AS$11,MATCH($B192,Premissas!$A$39:$A$45,0))</f>
        <v/>
      </c>
      <c r="AU192" s="22" t="str">
        <f>INDEX(Cronograma!AT$5:AT$11,MATCH($B192,Premissas!$A$39:$A$45,0))</f>
        <v/>
      </c>
      <c r="AV192" s="22" t="str">
        <f>INDEX(Cronograma!AU$5:AU$11,MATCH($B192,Premissas!$A$39:$A$45,0))</f>
        <v/>
      </c>
      <c r="AW192" s="22" t="str">
        <f>INDEX(Cronograma!AV$5:AV$11,MATCH($B192,Premissas!$A$39:$A$45,0))</f>
        <v/>
      </c>
      <c r="AX192" s="22" t="str">
        <f>INDEX(Cronograma!AW$5:AW$11,MATCH($B192,Premissas!$A$39:$A$45,0))</f>
        <v/>
      </c>
      <c r="AY192" s="22" t="str">
        <f>INDEX(Cronograma!AX$5:AX$11,MATCH($B192,Premissas!$A$39:$A$45,0))</f>
        <v>A</v>
      </c>
      <c r="AZ192" s="22" t="str">
        <f>INDEX(Cronograma!AY$5:AY$11,MATCH($B192,Premissas!$A$39:$A$45,0))</f>
        <v/>
      </c>
      <c r="BA192" s="22" t="str">
        <f>INDEX(Cronograma!AZ$5:AZ$11,MATCH($B192,Premissas!$A$39:$A$45,0))</f>
        <v/>
      </c>
      <c r="BB192" s="22" t="str">
        <f>INDEX(Cronograma!BA$5:BA$11,MATCH($B192,Premissas!$A$39:$A$45,0))</f>
        <v/>
      </c>
    </row>
    <row r="193" spans="1:54" ht="15" customHeight="1" x14ac:dyDescent="0.4">
      <c r="A193" s="15" t="str">
        <f>Frota!$B193&amp;" — "&amp;Frota!$A193</f>
        <v>John Deere- 5090E — 105112</v>
      </c>
      <c r="B193" s="16" t="str">
        <f>Frota!$C193</f>
        <v>Trator</v>
      </c>
      <c r="C193" s="22" t="str">
        <f>INDEX(Cronograma!B$5:B$11,MATCH($B193,Premissas!$A$39:$A$45,0))</f>
        <v/>
      </c>
      <c r="D193" s="22" t="str">
        <f>INDEX(Cronograma!C$5:C$11,MATCH($B193,Premissas!$A$39:$A$45,0))</f>
        <v/>
      </c>
      <c r="E193" s="22" t="str">
        <f>INDEX(Cronograma!D$5:D$11,MATCH($B193,Premissas!$A$39:$A$45,0))</f>
        <v/>
      </c>
      <c r="F193" s="22" t="str">
        <f>INDEX(Cronograma!E$5:E$11,MATCH($B193,Premissas!$A$39:$A$45,0))</f>
        <v/>
      </c>
      <c r="G193" s="22" t="str">
        <f>INDEX(Cronograma!F$5:F$11,MATCH($B193,Premissas!$A$39:$A$45,0))</f>
        <v/>
      </c>
      <c r="H193" s="22" t="str">
        <f>INDEX(Cronograma!G$5:G$11,MATCH($B193,Premissas!$A$39:$A$45,0))</f>
        <v/>
      </c>
      <c r="I193" s="22" t="str">
        <f>INDEX(Cronograma!H$5:H$11,MATCH($B193,Premissas!$A$39:$A$45,0))</f>
        <v>S</v>
      </c>
      <c r="J193" s="22" t="str">
        <f>INDEX(Cronograma!I$5:I$11,MATCH($B193,Premissas!$A$39:$A$45,0))</f>
        <v/>
      </c>
      <c r="K193" s="22" t="str">
        <f>INDEX(Cronograma!J$5:J$11,MATCH($B193,Premissas!$A$39:$A$45,0))</f>
        <v/>
      </c>
      <c r="L193" s="22" t="str">
        <f>INDEX(Cronograma!K$5:K$11,MATCH($B193,Premissas!$A$39:$A$45,0))</f>
        <v/>
      </c>
      <c r="M193" s="22" t="str">
        <f>INDEX(Cronograma!L$5:L$11,MATCH($B193,Premissas!$A$39:$A$45,0))</f>
        <v/>
      </c>
      <c r="N193" s="22" t="str">
        <f>INDEX(Cronograma!M$5:M$11,MATCH($B193,Premissas!$A$39:$A$45,0))</f>
        <v/>
      </c>
      <c r="O193" s="22" t="str">
        <f>INDEX(Cronograma!N$5:N$11,MATCH($B193,Premissas!$A$39:$A$45,0))</f>
        <v>A</v>
      </c>
      <c r="P193" s="22" t="str">
        <f>INDEX(Cronograma!O$5:O$11,MATCH($B193,Premissas!$A$39:$A$45,0))</f>
        <v/>
      </c>
      <c r="Q193" s="22" t="str">
        <f>INDEX(Cronograma!P$5:P$11,MATCH($B193,Premissas!$A$39:$A$45,0))</f>
        <v/>
      </c>
      <c r="R193" s="22" t="str">
        <f>INDEX(Cronograma!Q$5:Q$11,MATCH($B193,Premissas!$A$39:$A$45,0))</f>
        <v/>
      </c>
      <c r="S193" s="22" t="str">
        <f>INDEX(Cronograma!R$5:R$11,MATCH($B193,Premissas!$A$39:$A$45,0))</f>
        <v/>
      </c>
      <c r="T193" s="22" t="str">
        <f>INDEX(Cronograma!S$5:S$11,MATCH($B193,Premissas!$A$39:$A$45,0))</f>
        <v/>
      </c>
      <c r="U193" s="22" t="str">
        <f>INDEX(Cronograma!T$5:T$11,MATCH($B193,Premissas!$A$39:$A$45,0))</f>
        <v>S</v>
      </c>
      <c r="V193" s="22" t="str">
        <f>INDEX(Cronograma!U$5:U$11,MATCH($B193,Premissas!$A$39:$A$45,0))</f>
        <v/>
      </c>
      <c r="W193" s="22" t="str">
        <f>INDEX(Cronograma!V$5:V$11,MATCH($B193,Premissas!$A$39:$A$45,0))</f>
        <v/>
      </c>
      <c r="X193" s="22" t="str">
        <f>INDEX(Cronograma!W$5:W$11,MATCH($B193,Premissas!$A$39:$A$45,0))</f>
        <v/>
      </c>
      <c r="Y193" s="22" t="str">
        <f>INDEX(Cronograma!X$5:X$11,MATCH($B193,Premissas!$A$39:$A$45,0))</f>
        <v/>
      </c>
      <c r="Z193" s="22" t="str">
        <f>INDEX(Cronograma!Y$5:Y$11,MATCH($B193,Premissas!$A$39:$A$45,0))</f>
        <v/>
      </c>
      <c r="AA193" s="22" t="str">
        <f>INDEX(Cronograma!Z$5:Z$11,MATCH($B193,Premissas!$A$39:$A$45,0))</f>
        <v>B</v>
      </c>
      <c r="AB193" s="22" t="str">
        <f>INDEX(Cronograma!AA$5:AA$11,MATCH($B193,Premissas!$A$39:$A$45,0))</f>
        <v/>
      </c>
      <c r="AC193" s="22" t="str">
        <f>INDEX(Cronograma!AB$5:AB$11,MATCH($B193,Premissas!$A$39:$A$45,0))</f>
        <v/>
      </c>
      <c r="AD193" s="22" t="str">
        <f>INDEX(Cronograma!AC$5:AC$11,MATCH($B193,Premissas!$A$39:$A$45,0))</f>
        <v/>
      </c>
      <c r="AE193" s="22" t="str">
        <f>INDEX(Cronograma!AD$5:AD$11,MATCH($B193,Premissas!$A$39:$A$45,0))</f>
        <v/>
      </c>
      <c r="AF193" s="22" t="str">
        <f>INDEX(Cronograma!AE$5:AE$11,MATCH($B193,Premissas!$A$39:$A$45,0))</f>
        <v/>
      </c>
      <c r="AG193" s="22" t="str">
        <f>INDEX(Cronograma!AF$5:AF$11,MATCH($B193,Premissas!$A$39:$A$45,0))</f>
        <v/>
      </c>
      <c r="AH193" s="22" t="str">
        <f>INDEX(Cronograma!AG$5:AG$11,MATCH($B193,Premissas!$A$39:$A$45,0))</f>
        <v>S</v>
      </c>
      <c r="AI193" s="22" t="str">
        <f>INDEX(Cronograma!AH$5:AH$11,MATCH($B193,Premissas!$A$39:$A$45,0))</f>
        <v/>
      </c>
      <c r="AJ193" s="22" t="str">
        <f>INDEX(Cronograma!AI$5:AI$11,MATCH($B193,Premissas!$A$39:$A$45,0))</f>
        <v/>
      </c>
      <c r="AK193" s="22" t="str">
        <f>INDEX(Cronograma!AJ$5:AJ$11,MATCH($B193,Premissas!$A$39:$A$45,0))</f>
        <v/>
      </c>
      <c r="AL193" s="22" t="str">
        <f>INDEX(Cronograma!AK$5:AK$11,MATCH($B193,Premissas!$A$39:$A$45,0))</f>
        <v/>
      </c>
      <c r="AM193" s="22" t="str">
        <f>INDEX(Cronograma!AL$5:AL$11,MATCH($B193,Premissas!$A$39:$A$45,0))</f>
        <v/>
      </c>
      <c r="AN193" s="22" t="str">
        <f>INDEX(Cronograma!AM$5:AM$11,MATCH($B193,Premissas!$A$39:$A$45,0))</f>
        <v/>
      </c>
      <c r="AO193" s="22" t="str">
        <f>INDEX(Cronograma!AN$5:AN$11,MATCH($B193,Premissas!$A$39:$A$45,0))</f>
        <v/>
      </c>
      <c r="AP193" s="22" t="str">
        <f>INDEX(Cronograma!AO$5:AO$11,MATCH($B193,Premissas!$A$39:$A$45,0))</f>
        <v/>
      </c>
      <c r="AQ193" s="22" t="str">
        <f>INDEX(Cronograma!AP$5:AP$11,MATCH($B193,Premissas!$A$39:$A$45,0))</f>
        <v/>
      </c>
      <c r="AR193" s="22" t="str">
        <f>INDEX(Cronograma!AQ$5:AQ$11,MATCH($B193,Premissas!$A$39:$A$45,0))</f>
        <v/>
      </c>
      <c r="AS193" s="22" t="str">
        <f>INDEX(Cronograma!AR$5:AR$11,MATCH($B193,Premissas!$A$39:$A$45,0))</f>
        <v/>
      </c>
      <c r="AT193" s="22" t="str">
        <f>INDEX(Cronograma!AS$5:AS$11,MATCH($B193,Premissas!$A$39:$A$45,0))</f>
        <v/>
      </c>
      <c r="AU193" s="22" t="str">
        <f>INDEX(Cronograma!AT$5:AT$11,MATCH($B193,Premissas!$A$39:$A$45,0))</f>
        <v/>
      </c>
      <c r="AV193" s="22" t="str">
        <f>INDEX(Cronograma!AU$5:AU$11,MATCH($B193,Premissas!$A$39:$A$45,0))</f>
        <v/>
      </c>
      <c r="AW193" s="22" t="str">
        <f>INDEX(Cronograma!AV$5:AV$11,MATCH($B193,Premissas!$A$39:$A$45,0))</f>
        <v/>
      </c>
      <c r="AX193" s="22" t="str">
        <f>INDEX(Cronograma!AW$5:AW$11,MATCH($B193,Premissas!$A$39:$A$45,0))</f>
        <v/>
      </c>
      <c r="AY193" s="22" t="str">
        <f>INDEX(Cronograma!AX$5:AX$11,MATCH($B193,Premissas!$A$39:$A$45,0))</f>
        <v>A</v>
      </c>
      <c r="AZ193" s="22" t="str">
        <f>INDEX(Cronograma!AY$5:AY$11,MATCH($B193,Premissas!$A$39:$A$45,0))</f>
        <v/>
      </c>
      <c r="BA193" s="22" t="str">
        <f>INDEX(Cronograma!AZ$5:AZ$11,MATCH($B193,Premissas!$A$39:$A$45,0))</f>
        <v/>
      </c>
      <c r="BB193" s="22" t="str">
        <f>INDEX(Cronograma!BA$5:BA$11,MATCH($B193,Premissas!$A$39:$A$45,0))</f>
        <v/>
      </c>
    </row>
    <row r="194" spans="1:54" ht="15" customHeight="1" x14ac:dyDescent="0.4">
      <c r="A194" s="15" t="str">
        <f>Frota!$B194&amp;" — "&amp;Frota!$A194</f>
        <v>John Deere- 5090E — 105113</v>
      </c>
      <c r="B194" s="16" t="str">
        <f>Frota!$C194</f>
        <v>Trator</v>
      </c>
      <c r="C194" s="22" t="str">
        <f>INDEX(Cronograma!B$5:B$11,MATCH($B194,Premissas!$A$39:$A$45,0))</f>
        <v/>
      </c>
      <c r="D194" s="22" t="str">
        <f>INDEX(Cronograma!C$5:C$11,MATCH($B194,Premissas!$A$39:$A$45,0))</f>
        <v/>
      </c>
      <c r="E194" s="22" t="str">
        <f>INDEX(Cronograma!D$5:D$11,MATCH($B194,Premissas!$A$39:$A$45,0))</f>
        <v/>
      </c>
      <c r="F194" s="22" t="str">
        <f>INDEX(Cronograma!E$5:E$11,MATCH($B194,Premissas!$A$39:$A$45,0))</f>
        <v/>
      </c>
      <c r="G194" s="22" t="str">
        <f>INDEX(Cronograma!F$5:F$11,MATCH($B194,Premissas!$A$39:$A$45,0))</f>
        <v/>
      </c>
      <c r="H194" s="22" t="str">
        <f>INDEX(Cronograma!G$5:G$11,MATCH($B194,Premissas!$A$39:$A$45,0))</f>
        <v/>
      </c>
      <c r="I194" s="22" t="str">
        <f>INDEX(Cronograma!H$5:H$11,MATCH($B194,Premissas!$A$39:$A$45,0))</f>
        <v>S</v>
      </c>
      <c r="J194" s="22" t="str">
        <f>INDEX(Cronograma!I$5:I$11,MATCH($B194,Premissas!$A$39:$A$45,0))</f>
        <v/>
      </c>
      <c r="K194" s="22" t="str">
        <f>INDEX(Cronograma!J$5:J$11,MATCH($B194,Premissas!$A$39:$A$45,0))</f>
        <v/>
      </c>
      <c r="L194" s="22" t="str">
        <f>INDEX(Cronograma!K$5:K$11,MATCH($B194,Premissas!$A$39:$A$45,0))</f>
        <v/>
      </c>
      <c r="M194" s="22" t="str">
        <f>INDEX(Cronograma!L$5:L$11,MATCH($B194,Premissas!$A$39:$A$45,0))</f>
        <v/>
      </c>
      <c r="N194" s="22" t="str">
        <f>INDEX(Cronograma!M$5:M$11,MATCH($B194,Premissas!$A$39:$A$45,0))</f>
        <v/>
      </c>
      <c r="O194" s="22" t="str">
        <f>INDEX(Cronograma!N$5:N$11,MATCH($B194,Premissas!$A$39:$A$45,0))</f>
        <v>A</v>
      </c>
      <c r="P194" s="22" t="str">
        <f>INDEX(Cronograma!O$5:O$11,MATCH($B194,Premissas!$A$39:$A$45,0))</f>
        <v/>
      </c>
      <c r="Q194" s="22" t="str">
        <f>INDEX(Cronograma!P$5:P$11,MATCH($B194,Premissas!$A$39:$A$45,0))</f>
        <v/>
      </c>
      <c r="R194" s="22" t="str">
        <f>INDEX(Cronograma!Q$5:Q$11,MATCH($B194,Premissas!$A$39:$A$45,0))</f>
        <v/>
      </c>
      <c r="S194" s="22" t="str">
        <f>INDEX(Cronograma!R$5:R$11,MATCH($B194,Premissas!$A$39:$A$45,0))</f>
        <v/>
      </c>
      <c r="T194" s="22" t="str">
        <f>INDEX(Cronograma!S$5:S$11,MATCH($B194,Premissas!$A$39:$A$45,0))</f>
        <v/>
      </c>
      <c r="U194" s="22" t="str">
        <f>INDEX(Cronograma!T$5:T$11,MATCH($B194,Premissas!$A$39:$A$45,0))</f>
        <v>S</v>
      </c>
      <c r="V194" s="22" t="str">
        <f>INDEX(Cronograma!U$5:U$11,MATCH($B194,Premissas!$A$39:$A$45,0))</f>
        <v/>
      </c>
      <c r="W194" s="22" t="str">
        <f>INDEX(Cronograma!V$5:V$11,MATCH($B194,Premissas!$A$39:$A$45,0))</f>
        <v/>
      </c>
      <c r="X194" s="22" t="str">
        <f>INDEX(Cronograma!W$5:W$11,MATCH($B194,Premissas!$A$39:$A$45,0))</f>
        <v/>
      </c>
      <c r="Y194" s="22" t="str">
        <f>INDEX(Cronograma!X$5:X$11,MATCH($B194,Premissas!$A$39:$A$45,0))</f>
        <v/>
      </c>
      <c r="Z194" s="22" t="str">
        <f>INDEX(Cronograma!Y$5:Y$11,MATCH($B194,Premissas!$A$39:$A$45,0))</f>
        <v/>
      </c>
      <c r="AA194" s="22" t="str">
        <f>INDEX(Cronograma!Z$5:Z$11,MATCH($B194,Premissas!$A$39:$A$45,0))</f>
        <v>B</v>
      </c>
      <c r="AB194" s="22" t="str">
        <f>INDEX(Cronograma!AA$5:AA$11,MATCH($B194,Premissas!$A$39:$A$45,0))</f>
        <v/>
      </c>
      <c r="AC194" s="22" t="str">
        <f>INDEX(Cronograma!AB$5:AB$11,MATCH($B194,Premissas!$A$39:$A$45,0))</f>
        <v/>
      </c>
      <c r="AD194" s="22" t="str">
        <f>INDEX(Cronograma!AC$5:AC$11,MATCH($B194,Premissas!$A$39:$A$45,0))</f>
        <v/>
      </c>
      <c r="AE194" s="22" t="str">
        <f>INDEX(Cronograma!AD$5:AD$11,MATCH($B194,Premissas!$A$39:$A$45,0))</f>
        <v/>
      </c>
      <c r="AF194" s="22" t="str">
        <f>INDEX(Cronograma!AE$5:AE$11,MATCH($B194,Premissas!$A$39:$A$45,0))</f>
        <v/>
      </c>
      <c r="AG194" s="22" t="str">
        <f>INDEX(Cronograma!AF$5:AF$11,MATCH($B194,Premissas!$A$39:$A$45,0))</f>
        <v/>
      </c>
      <c r="AH194" s="22" t="str">
        <f>INDEX(Cronograma!AG$5:AG$11,MATCH($B194,Premissas!$A$39:$A$45,0))</f>
        <v>S</v>
      </c>
      <c r="AI194" s="22" t="str">
        <f>INDEX(Cronograma!AH$5:AH$11,MATCH($B194,Premissas!$A$39:$A$45,0))</f>
        <v/>
      </c>
      <c r="AJ194" s="22" t="str">
        <f>INDEX(Cronograma!AI$5:AI$11,MATCH($B194,Premissas!$A$39:$A$45,0))</f>
        <v/>
      </c>
      <c r="AK194" s="22" t="str">
        <f>INDEX(Cronograma!AJ$5:AJ$11,MATCH($B194,Premissas!$A$39:$A$45,0))</f>
        <v/>
      </c>
      <c r="AL194" s="22" t="str">
        <f>INDEX(Cronograma!AK$5:AK$11,MATCH($B194,Premissas!$A$39:$A$45,0))</f>
        <v/>
      </c>
      <c r="AM194" s="22" t="str">
        <f>INDEX(Cronograma!AL$5:AL$11,MATCH($B194,Premissas!$A$39:$A$45,0))</f>
        <v/>
      </c>
      <c r="AN194" s="22" t="str">
        <f>INDEX(Cronograma!AM$5:AM$11,MATCH($B194,Premissas!$A$39:$A$45,0))</f>
        <v/>
      </c>
      <c r="AO194" s="22" t="str">
        <f>INDEX(Cronograma!AN$5:AN$11,MATCH($B194,Premissas!$A$39:$A$45,0))</f>
        <v/>
      </c>
      <c r="AP194" s="22" t="str">
        <f>INDEX(Cronograma!AO$5:AO$11,MATCH($B194,Premissas!$A$39:$A$45,0))</f>
        <v/>
      </c>
      <c r="AQ194" s="22" t="str">
        <f>INDEX(Cronograma!AP$5:AP$11,MATCH($B194,Premissas!$A$39:$A$45,0))</f>
        <v/>
      </c>
      <c r="AR194" s="22" t="str">
        <f>INDEX(Cronograma!AQ$5:AQ$11,MATCH($B194,Premissas!$A$39:$A$45,0))</f>
        <v/>
      </c>
      <c r="AS194" s="22" t="str">
        <f>INDEX(Cronograma!AR$5:AR$11,MATCH($B194,Premissas!$A$39:$A$45,0))</f>
        <v/>
      </c>
      <c r="AT194" s="22" t="str">
        <f>INDEX(Cronograma!AS$5:AS$11,MATCH($B194,Premissas!$A$39:$A$45,0))</f>
        <v/>
      </c>
      <c r="AU194" s="22" t="str">
        <f>INDEX(Cronograma!AT$5:AT$11,MATCH($B194,Premissas!$A$39:$A$45,0))</f>
        <v/>
      </c>
      <c r="AV194" s="22" t="str">
        <f>INDEX(Cronograma!AU$5:AU$11,MATCH($B194,Premissas!$A$39:$A$45,0))</f>
        <v/>
      </c>
      <c r="AW194" s="22" t="str">
        <f>INDEX(Cronograma!AV$5:AV$11,MATCH($B194,Premissas!$A$39:$A$45,0))</f>
        <v/>
      </c>
      <c r="AX194" s="22" t="str">
        <f>INDEX(Cronograma!AW$5:AW$11,MATCH($B194,Premissas!$A$39:$A$45,0))</f>
        <v/>
      </c>
      <c r="AY194" s="22" t="str">
        <f>INDEX(Cronograma!AX$5:AX$11,MATCH($B194,Premissas!$A$39:$A$45,0))</f>
        <v>A</v>
      </c>
      <c r="AZ194" s="22" t="str">
        <f>INDEX(Cronograma!AY$5:AY$11,MATCH($B194,Premissas!$A$39:$A$45,0))</f>
        <v/>
      </c>
      <c r="BA194" s="22" t="str">
        <f>INDEX(Cronograma!AZ$5:AZ$11,MATCH($B194,Premissas!$A$39:$A$45,0))</f>
        <v/>
      </c>
      <c r="BB194" s="22" t="str">
        <f>INDEX(Cronograma!BA$5:BA$11,MATCH($B194,Premissas!$A$39:$A$45,0))</f>
        <v/>
      </c>
    </row>
    <row r="195" spans="1:54" ht="15" customHeight="1" x14ac:dyDescent="0.4">
      <c r="A195" s="15" t="str">
        <f>Frota!$B195&amp;" — "&amp;Frota!$A195</f>
        <v>John Deere- 5090E — 105114</v>
      </c>
      <c r="B195" s="16" t="str">
        <f>Frota!$C195</f>
        <v>Trator</v>
      </c>
      <c r="C195" s="22" t="str">
        <f>INDEX(Cronograma!B$5:B$11,MATCH($B195,Premissas!$A$39:$A$45,0))</f>
        <v/>
      </c>
      <c r="D195" s="22" t="str">
        <f>INDEX(Cronograma!C$5:C$11,MATCH($B195,Premissas!$A$39:$A$45,0))</f>
        <v/>
      </c>
      <c r="E195" s="22" t="str">
        <f>INDEX(Cronograma!D$5:D$11,MATCH($B195,Premissas!$A$39:$A$45,0))</f>
        <v/>
      </c>
      <c r="F195" s="22" t="str">
        <f>INDEX(Cronograma!E$5:E$11,MATCH($B195,Premissas!$A$39:$A$45,0))</f>
        <v/>
      </c>
      <c r="G195" s="22" t="str">
        <f>INDEX(Cronograma!F$5:F$11,MATCH($B195,Premissas!$A$39:$A$45,0))</f>
        <v/>
      </c>
      <c r="H195" s="22" t="str">
        <f>INDEX(Cronograma!G$5:G$11,MATCH($B195,Premissas!$A$39:$A$45,0))</f>
        <v/>
      </c>
      <c r="I195" s="22" t="str">
        <f>INDEX(Cronograma!H$5:H$11,MATCH($B195,Premissas!$A$39:$A$45,0))</f>
        <v>S</v>
      </c>
      <c r="J195" s="22" t="str">
        <f>INDEX(Cronograma!I$5:I$11,MATCH($B195,Premissas!$A$39:$A$45,0))</f>
        <v/>
      </c>
      <c r="K195" s="22" t="str">
        <f>INDEX(Cronograma!J$5:J$11,MATCH($B195,Premissas!$A$39:$A$45,0))</f>
        <v/>
      </c>
      <c r="L195" s="22" t="str">
        <f>INDEX(Cronograma!K$5:K$11,MATCH($B195,Premissas!$A$39:$A$45,0))</f>
        <v/>
      </c>
      <c r="M195" s="22" t="str">
        <f>INDEX(Cronograma!L$5:L$11,MATCH($B195,Premissas!$A$39:$A$45,0))</f>
        <v/>
      </c>
      <c r="N195" s="22" t="str">
        <f>INDEX(Cronograma!M$5:M$11,MATCH($B195,Premissas!$A$39:$A$45,0))</f>
        <v/>
      </c>
      <c r="O195" s="22" t="str">
        <f>INDEX(Cronograma!N$5:N$11,MATCH($B195,Premissas!$A$39:$A$45,0))</f>
        <v>A</v>
      </c>
      <c r="P195" s="22" t="str">
        <f>INDEX(Cronograma!O$5:O$11,MATCH($B195,Premissas!$A$39:$A$45,0))</f>
        <v/>
      </c>
      <c r="Q195" s="22" t="str">
        <f>INDEX(Cronograma!P$5:P$11,MATCH($B195,Premissas!$A$39:$A$45,0))</f>
        <v/>
      </c>
      <c r="R195" s="22" t="str">
        <f>INDEX(Cronograma!Q$5:Q$11,MATCH($B195,Premissas!$A$39:$A$45,0))</f>
        <v/>
      </c>
      <c r="S195" s="22" t="str">
        <f>INDEX(Cronograma!R$5:R$11,MATCH($B195,Premissas!$A$39:$A$45,0))</f>
        <v/>
      </c>
      <c r="T195" s="22" t="str">
        <f>INDEX(Cronograma!S$5:S$11,MATCH($B195,Premissas!$A$39:$A$45,0))</f>
        <v/>
      </c>
      <c r="U195" s="22" t="str">
        <f>INDEX(Cronograma!T$5:T$11,MATCH($B195,Premissas!$A$39:$A$45,0))</f>
        <v>S</v>
      </c>
      <c r="V195" s="22" t="str">
        <f>INDEX(Cronograma!U$5:U$11,MATCH($B195,Premissas!$A$39:$A$45,0))</f>
        <v/>
      </c>
      <c r="W195" s="22" t="str">
        <f>INDEX(Cronograma!V$5:V$11,MATCH($B195,Premissas!$A$39:$A$45,0))</f>
        <v/>
      </c>
      <c r="X195" s="22" t="str">
        <f>INDEX(Cronograma!W$5:W$11,MATCH($B195,Premissas!$A$39:$A$45,0))</f>
        <v/>
      </c>
      <c r="Y195" s="22" t="str">
        <f>INDEX(Cronograma!X$5:X$11,MATCH($B195,Premissas!$A$39:$A$45,0))</f>
        <v/>
      </c>
      <c r="Z195" s="22" t="str">
        <f>INDEX(Cronograma!Y$5:Y$11,MATCH($B195,Premissas!$A$39:$A$45,0))</f>
        <v/>
      </c>
      <c r="AA195" s="22" t="str">
        <f>INDEX(Cronograma!Z$5:Z$11,MATCH($B195,Premissas!$A$39:$A$45,0))</f>
        <v>B</v>
      </c>
      <c r="AB195" s="22" t="str">
        <f>INDEX(Cronograma!AA$5:AA$11,MATCH($B195,Premissas!$A$39:$A$45,0))</f>
        <v/>
      </c>
      <c r="AC195" s="22" t="str">
        <f>INDEX(Cronograma!AB$5:AB$11,MATCH($B195,Premissas!$A$39:$A$45,0))</f>
        <v/>
      </c>
      <c r="AD195" s="22" t="str">
        <f>INDEX(Cronograma!AC$5:AC$11,MATCH($B195,Premissas!$A$39:$A$45,0))</f>
        <v/>
      </c>
      <c r="AE195" s="22" t="str">
        <f>INDEX(Cronograma!AD$5:AD$11,MATCH($B195,Premissas!$A$39:$A$45,0))</f>
        <v/>
      </c>
      <c r="AF195" s="22" t="str">
        <f>INDEX(Cronograma!AE$5:AE$11,MATCH($B195,Premissas!$A$39:$A$45,0))</f>
        <v/>
      </c>
      <c r="AG195" s="22" t="str">
        <f>INDEX(Cronograma!AF$5:AF$11,MATCH($B195,Premissas!$A$39:$A$45,0))</f>
        <v/>
      </c>
      <c r="AH195" s="22" t="str">
        <f>INDEX(Cronograma!AG$5:AG$11,MATCH($B195,Premissas!$A$39:$A$45,0))</f>
        <v>S</v>
      </c>
      <c r="AI195" s="22" t="str">
        <f>INDEX(Cronograma!AH$5:AH$11,MATCH($B195,Premissas!$A$39:$A$45,0))</f>
        <v/>
      </c>
      <c r="AJ195" s="22" t="str">
        <f>INDEX(Cronograma!AI$5:AI$11,MATCH($B195,Premissas!$A$39:$A$45,0))</f>
        <v/>
      </c>
      <c r="AK195" s="22" t="str">
        <f>INDEX(Cronograma!AJ$5:AJ$11,MATCH($B195,Premissas!$A$39:$A$45,0))</f>
        <v/>
      </c>
      <c r="AL195" s="22" t="str">
        <f>INDEX(Cronograma!AK$5:AK$11,MATCH($B195,Premissas!$A$39:$A$45,0))</f>
        <v/>
      </c>
      <c r="AM195" s="22" t="str">
        <f>INDEX(Cronograma!AL$5:AL$11,MATCH($B195,Premissas!$A$39:$A$45,0))</f>
        <v/>
      </c>
      <c r="AN195" s="22" t="str">
        <f>INDEX(Cronograma!AM$5:AM$11,MATCH($B195,Premissas!$A$39:$A$45,0))</f>
        <v/>
      </c>
      <c r="AO195" s="22" t="str">
        <f>INDEX(Cronograma!AN$5:AN$11,MATCH($B195,Premissas!$A$39:$A$45,0))</f>
        <v/>
      </c>
      <c r="AP195" s="22" t="str">
        <f>INDEX(Cronograma!AO$5:AO$11,MATCH($B195,Premissas!$A$39:$A$45,0))</f>
        <v/>
      </c>
      <c r="AQ195" s="22" t="str">
        <f>INDEX(Cronograma!AP$5:AP$11,MATCH($B195,Premissas!$A$39:$A$45,0))</f>
        <v/>
      </c>
      <c r="AR195" s="22" t="str">
        <f>INDEX(Cronograma!AQ$5:AQ$11,MATCH($B195,Premissas!$A$39:$A$45,0))</f>
        <v/>
      </c>
      <c r="AS195" s="22" t="str">
        <f>INDEX(Cronograma!AR$5:AR$11,MATCH($B195,Premissas!$A$39:$A$45,0))</f>
        <v/>
      </c>
      <c r="AT195" s="22" t="str">
        <f>INDEX(Cronograma!AS$5:AS$11,MATCH($B195,Premissas!$A$39:$A$45,0))</f>
        <v/>
      </c>
      <c r="AU195" s="22" t="str">
        <f>INDEX(Cronograma!AT$5:AT$11,MATCH($B195,Premissas!$A$39:$A$45,0))</f>
        <v/>
      </c>
      <c r="AV195" s="22" t="str">
        <f>INDEX(Cronograma!AU$5:AU$11,MATCH($B195,Premissas!$A$39:$A$45,0))</f>
        <v/>
      </c>
      <c r="AW195" s="22" t="str">
        <f>INDEX(Cronograma!AV$5:AV$11,MATCH($B195,Premissas!$A$39:$A$45,0))</f>
        <v/>
      </c>
      <c r="AX195" s="22" t="str">
        <f>INDEX(Cronograma!AW$5:AW$11,MATCH($B195,Premissas!$A$39:$A$45,0))</f>
        <v/>
      </c>
      <c r="AY195" s="22" t="str">
        <f>INDEX(Cronograma!AX$5:AX$11,MATCH($B195,Premissas!$A$39:$A$45,0))</f>
        <v>A</v>
      </c>
      <c r="AZ195" s="22" t="str">
        <f>INDEX(Cronograma!AY$5:AY$11,MATCH($B195,Premissas!$A$39:$A$45,0))</f>
        <v/>
      </c>
      <c r="BA195" s="22" t="str">
        <f>INDEX(Cronograma!AZ$5:AZ$11,MATCH($B195,Premissas!$A$39:$A$45,0))</f>
        <v/>
      </c>
      <c r="BB195" s="22" t="str">
        <f>INDEX(Cronograma!BA$5:BA$11,MATCH($B195,Premissas!$A$39:$A$45,0))</f>
        <v/>
      </c>
    </row>
    <row r="196" spans="1:54" ht="15" customHeight="1" x14ac:dyDescent="0.4">
      <c r="A196" s="15" t="str">
        <f>Frota!$B196&amp;" — "&amp;Frota!$A196</f>
        <v>John Deere- 5090E — 105115</v>
      </c>
      <c r="B196" s="16" t="str">
        <f>Frota!$C196</f>
        <v>Trator</v>
      </c>
      <c r="C196" s="22" t="str">
        <f>INDEX(Cronograma!B$5:B$11,MATCH($B196,Premissas!$A$39:$A$45,0))</f>
        <v/>
      </c>
      <c r="D196" s="22" t="str">
        <f>INDEX(Cronograma!C$5:C$11,MATCH($B196,Premissas!$A$39:$A$45,0))</f>
        <v/>
      </c>
      <c r="E196" s="22" t="str">
        <f>INDEX(Cronograma!D$5:D$11,MATCH($B196,Premissas!$A$39:$A$45,0))</f>
        <v/>
      </c>
      <c r="F196" s="22" t="str">
        <f>INDEX(Cronograma!E$5:E$11,MATCH($B196,Premissas!$A$39:$A$45,0))</f>
        <v/>
      </c>
      <c r="G196" s="22" t="str">
        <f>INDEX(Cronograma!F$5:F$11,MATCH($B196,Premissas!$A$39:$A$45,0))</f>
        <v/>
      </c>
      <c r="H196" s="22" t="str">
        <f>INDEX(Cronograma!G$5:G$11,MATCH($B196,Premissas!$A$39:$A$45,0))</f>
        <v/>
      </c>
      <c r="I196" s="22" t="str">
        <f>INDEX(Cronograma!H$5:H$11,MATCH($B196,Premissas!$A$39:$A$45,0))</f>
        <v>S</v>
      </c>
      <c r="J196" s="22" t="str">
        <f>INDEX(Cronograma!I$5:I$11,MATCH($B196,Premissas!$A$39:$A$45,0))</f>
        <v/>
      </c>
      <c r="K196" s="22" t="str">
        <f>INDEX(Cronograma!J$5:J$11,MATCH($B196,Premissas!$A$39:$A$45,0))</f>
        <v/>
      </c>
      <c r="L196" s="22" t="str">
        <f>INDEX(Cronograma!K$5:K$11,MATCH($B196,Premissas!$A$39:$A$45,0))</f>
        <v/>
      </c>
      <c r="M196" s="22" t="str">
        <f>INDEX(Cronograma!L$5:L$11,MATCH($B196,Premissas!$A$39:$A$45,0))</f>
        <v/>
      </c>
      <c r="N196" s="22" t="str">
        <f>INDEX(Cronograma!M$5:M$11,MATCH($B196,Premissas!$A$39:$A$45,0))</f>
        <v/>
      </c>
      <c r="O196" s="22" t="str">
        <f>INDEX(Cronograma!N$5:N$11,MATCH($B196,Premissas!$A$39:$A$45,0))</f>
        <v>A</v>
      </c>
      <c r="P196" s="22" t="str">
        <f>INDEX(Cronograma!O$5:O$11,MATCH($B196,Premissas!$A$39:$A$45,0))</f>
        <v/>
      </c>
      <c r="Q196" s="22" t="str">
        <f>INDEX(Cronograma!P$5:P$11,MATCH($B196,Premissas!$A$39:$A$45,0))</f>
        <v/>
      </c>
      <c r="R196" s="22" t="str">
        <f>INDEX(Cronograma!Q$5:Q$11,MATCH($B196,Premissas!$A$39:$A$45,0))</f>
        <v/>
      </c>
      <c r="S196" s="22" t="str">
        <f>INDEX(Cronograma!R$5:R$11,MATCH($B196,Premissas!$A$39:$A$45,0))</f>
        <v/>
      </c>
      <c r="T196" s="22" t="str">
        <f>INDEX(Cronograma!S$5:S$11,MATCH($B196,Premissas!$A$39:$A$45,0))</f>
        <v/>
      </c>
      <c r="U196" s="22" t="str">
        <f>INDEX(Cronograma!T$5:T$11,MATCH($B196,Premissas!$A$39:$A$45,0))</f>
        <v>S</v>
      </c>
      <c r="V196" s="22" t="str">
        <f>INDEX(Cronograma!U$5:U$11,MATCH($B196,Premissas!$A$39:$A$45,0))</f>
        <v/>
      </c>
      <c r="W196" s="22" t="str">
        <f>INDEX(Cronograma!V$5:V$11,MATCH($B196,Premissas!$A$39:$A$45,0))</f>
        <v/>
      </c>
      <c r="X196" s="22" t="str">
        <f>INDEX(Cronograma!W$5:W$11,MATCH($B196,Premissas!$A$39:$A$45,0))</f>
        <v/>
      </c>
      <c r="Y196" s="22" t="str">
        <f>INDEX(Cronograma!X$5:X$11,MATCH($B196,Premissas!$A$39:$A$45,0))</f>
        <v/>
      </c>
      <c r="Z196" s="22" t="str">
        <f>INDEX(Cronograma!Y$5:Y$11,MATCH($B196,Premissas!$A$39:$A$45,0))</f>
        <v/>
      </c>
      <c r="AA196" s="22" t="str">
        <f>INDEX(Cronograma!Z$5:Z$11,MATCH($B196,Premissas!$A$39:$A$45,0))</f>
        <v>B</v>
      </c>
      <c r="AB196" s="22" t="str">
        <f>INDEX(Cronograma!AA$5:AA$11,MATCH($B196,Premissas!$A$39:$A$45,0))</f>
        <v/>
      </c>
      <c r="AC196" s="22" t="str">
        <f>INDEX(Cronograma!AB$5:AB$11,MATCH($B196,Premissas!$A$39:$A$45,0))</f>
        <v/>
      </c>
      <c r="AD196" s="22" t="str">
        <f>INDEX(Cronograma!AC$5:AC$11,MATCH($B196,Premissas!$A$39:$A$45,0))</f>
        <v/>
      </c>
      <c r="AE196" s="22" t="str">
        <f>INDEX(Cronograma!AD$5:AD$11,MATCH($B196,Premissas!$A$39:$A$45,0))</f>
        <v/>
      </c>
      <c r="AF196" s="22" t="str">
        <f>INDEX(Cronograma!AE$5:AE$11,MATCH($B196,Premissas!$A$39:$A$45,0))</f>
        <v/>
      </c>
      <c r="AG196" s="22" t="str">
        <f>INDEX(Cronograma!AF$5:AF$11,MATCH($B196,Premissas!$A$39:$A$45,0))</f>
        <v/>
      </c>
      <c r="AH196" s="22" t="str">
        <f>INDEX(Cronograma!AG$5:AG$11,MATCH($B196,Premissas!$A$39:$A$45,0))</f>
        <v>S</v>
      </c>
      <c r="AI196" s="22" t="str">
        <f>INDEX(Cronograma!AH$5:AH$11,MATCH($B196,Premissas!$A$39:$A$45,0))</f>
        <v/>
      </c>
      <c r="AJ196" s="22" t="str">
        <f>INDEX(Cronograma!AI$5:AI$11,MATCH($B196,Premissas!$A$39:$A$45,0))</f>
        <v/>
      </c>
      <c r="AK196" s="22" t="str">
        <f>INDEX(Cronograma!AJ$5:AJ$11,MATCH($B196,Premissas!$A$39:$A$45,0))</f>
        <v/>
      </c>
      <c r="AL196" s="22" t="str">
        <f>INDEX(Cronograma!AK$5:AK$11,MATCH($B196,Premissas!$A$39:$A$45,0))</f>
        <v/>
      </c>
      <c r="AM196" s="22" t="str">
        <f>INDEX(Cronograma!AL$5:AL$11,MATCH($B196,Premissas!$A$39:$A$45,0))</f>
        <v/>
      </c>
      <c r="AN196" s="22" t="str">
        <f>INDEX(Cronograma!AM$5:AM$11,MATCH($B196,Premissas!$A$39:$A$45,0))</f>
        <v/>
      </c>
      <c r="AO196" s="22" t="str">
        <f>INDEX(Cronograma!AN$5:AN$11,MATCH($B196,Premissas!$A$39:$A$45,0))</f>
        <v/>
      </c>
      <c r="AP196" s="22" t="str">
        <f>INDEX(Cronograma!AO$5:AO$11,MATCH($B196,Premissas!$A$39:$A$45,0))</f>
        <v/>
      </c>
      <c r="AQ196" s="22" t="str">
        <f>INDEX(Cronograma!AP$5:AP$11,MATCH($B196,Premissas!$A$39:$A$45,0))</f>
        <v/>
      </c>
      <c r="AR196" s="22" t="str">
        <f>INDEX(Cronograma!AQ$5:AQ$11,MATCH($B196,Premissas!$A$39:$A$45,0))</f>
        <v/>
      </c>
      <c r="AS196" s="22" t="str">
        <f>INDEX(Cronograma!AR$5:AR$11,MATCH($B196,Premissas!$A$39:$A$45,0))</f>
        <v/>
      </c>
      <c r="AT196" s="22" t="str">
        <f>INDEX(Cronograma!AS$5:AS$11,MATCH($B196,Premissas!$A$39:$A$45,0))</f>
        <v/>
      </c>
      <c r="AU196" s="22" t="str">
        <f>INDEX(Cronograma!AT$5:AT$11,MATCH($B196,Premissas!$A$39:$A$45,0))</f>
        <v/>
      </c>
      <c r="AV196" s="22" t="str">
        <f>INDEX(Cronograma!AU$5:AU$11,MATCH($B196,Premissas!$A$39:$A$45,0))</f>
        <v/>
      </c>
      <c r="AW196" s="22" t="str">
        <f>INDEX(Cronograma!AV$5:AV$11,MATCH($B196,Premissas!$A$39:$A$45,0))</f>
        <v/>
      </c>
      <c r="AX196" s="22" t="str">
        <f>INDEX(Cronograma!AW$5:AW$11,MATCH($B196,Premissas!$A$39:$A$45,0))</f>
        <v/>
      </c>
      <c r="AY196" s="22" t="str">
        <f>INDEX(Cronograma!AX$5:AX$11,MATCH($B196,Premissas!$A$39:$A$45,0))</f>
        <v>A</v>
      </c>
      <c r="AZ196" s="22" t="str">
        <f>INDEX(Cronograma!AY$5:AY$11,MATCH($B196,Premissas!$A$39:$A$45,0))</f>
        <v/>
      </c>
      <c r="BA196" s="22" t="str">
        <f>INDEX(Cronograma!AZ$5:AZ$11,MATCH($B196,Premissas!$A$39:$A$45,0))</f>
        <v/>
      </c>
      <c r="BB196" s="22" t="str">
        <f>INDEX(Cronograma!BA$5:BA$11,MATCH($B196,Premissas!$A$39:$A$45,0))</f>
        <v/>
      </c>
    </row>
    <row r="197" spans="1:54" ht="15" customHeight="1" x14ac:dyDescent="0.4">
      <c r="A197" s="15" t="str">
        <f>Frota!$B197&amp;" — "&amp;Frota!$A197</f>
        <v>John Deere- 5090E — 105116</v>
      </c>
      <c r="B197" s="16" t="str">
        <f>Frota!$C197</f>
        <v>Trator</v>
      </c>
      <c r="C197" s="22" t="str">
        <f>INDEX(Cronograma!B$5:B$11,MATCH($B197,Premissas!$A$39:$A$45,0))</f>
        <v/>
      </c>
      <c r="D197" s="22" t="str">
        <f>INDEX(Cronograma!C$5:C$11,MATCH($B197,Premissas!$A$39:$A$45,0))</f>
        <v/>
      </c>
      <c r="E197" s="22" t="str">
        <f>INDEX(Cronograma!D$5:D$11,MATCH($B197,Premissas!$A$39:$A$45,0))</f>
        <v/>
      </c>
      <c r="F197" s="22" t="str">
        <f>INDEX(Cronograma!E$5:E$11,MATCH($B197,Premissas!$A$39:$A$45,0))</f>
        <v/>
      </c>
      <c r="G197" s="22" t="str">
        <f>INDEX(Cronograma!F$5:F$11,MATCH($B197,Premissas!$A$39:$A$45,0))</f>
        <v/>
      </c>
      <c r="H197" s="22" t="str">
        <f>INDEX(Cronograma!G$5:G$11,MATCH($B197,Premissas!$A$39:$A$45,0))</f>
        <v/>
      </c>
      <c r="I197" s="22" t="str">
        <f>INDEX(Cronograma!H$5:H$11,MATCH($B197,Premissas!$A$39:$A$45,0))</f>
        <v>S</v>
      </c>
      <c r="J197" s="22" t="str">
        <f>INDEX(Cronograma!I$5:I$11,MATCH($B197,Premissas!$A$39:$A$45,0))</f>
        <v/>
      </c>
      <c r="K197" s="22" t="str">
        <f>INDEX(Cronograma!J$5:J$11,MATCH($B197,Premissas!$A$39:$A$45,0))</f>
        <v/>
      </c>
      <c r="L197" s="22" t="str">
        <f>INDEX(Cronograma!K$5:K$11,MATCH($B197,Premissas!$A$39:$A$45,0))</f>
        <v/>
      </c>
      <c r="M197" s="22" t="str">
        <f>INDEX(Cronograma!L$5:L$11,MATCH($B197,Premissas!$A$39:$A$45,0))</f>
        <v/>
      </c>
      <c r="N197" s="22" t="str">
        <f>INDEX(Cronograma!M$5:M$11,MATCH($B197,Premissas!$A$39:$A$45,0))</f>
        <v/>
      </c>
      <c r="O197" s="22" t="str">
        <f>INDEX(Cronograma!N$5:N$11,MATCH($B197,Premissas!$A$39:$A$45,0))</f>
        <v>A</v>
      </c>
      <c r="P197" s="22" t="str">
        <f>INDEX(Cronograma!O$5:O$11,MATCH($B197,Premissas!$A$39:$A$45,0))</f>
        <v/>
      </c>
      <c r="Q197" s="22" t="str">
        <f>INDEX(Cronograma!P$5:P$11,MATCH($B197,Premissas!$A$39:$A$45,0))</f>
        <v/>
      </c>
      <c r="R197" s="22" t="str">
        <f>INDEX(Cronograma!Q$5:Q$11,MATCH($B197,Premissas!$A$39:$A$45,0))</f>
        <v/>
      </c>
      <c r="S197" s="22" t="str">
        <f>INDEX(Cronograma!R$5:R$11,MATCH($B197,Premissas!$A$39:$A$45,0))</f>
        <v/>
      </c>
      <c r="T197" s="22" t="str">
        <f>INDEX(Cronograma!S$5:S$11,MATCH($B197,Premissas!$A$39:$A$45,0))</f>
        <v/>
      </c>
      <c r="U197" s="22" t="str">
        <f>INDEX(Cronograma!T$5:T$11,MATCH($B197,Premissas!$A$39:$A$45,0))</f>
        <v>S</v>
      </c>
      <c r="V197" s="22" t="str">
        <f>INDEX(Cronograma!U$5:U$11,MATCH($B197,Premissas!$A$39:$A$45,0))</f>
        <v/>
      </c>
      <c r="W197" s="22" t="str">
        <f>INDEX(Cronograma!V$5:V$11,MATCH($B197,Premissas!$A$39:$A$45,0))</f>
        <v/>
      </c>
      <c r="X197" s="22" t="str">
        <f>INDEX(Cronograma!W$5:W$11,MATCH($B197,Premissas!$A$39:$A$45,0))</f>
        <v/>
      </c>
      <c r="Y197" s="22" t="str">
        <f>INDEX(Cronograma!X$5:X$11,MATCH($B197,Premissas!$A$39:$A$45,0))</f>
        <v/>
      </c>
      <c r="Z197" s="22" t="str">
        <f>INDEX(Cronograma!Y$5:Y$11,MATCH($B197,Premissas!$A$39:$A$45,0))</f>
        <v/>
      </c>
      <c r="AA197" s="22" t="str">
        <f>INDEX(Cronograma!Z$5:Z$11,MATCH($B197,Premissas!$A$39:$A$45,0))</f>
        <v>B</v>
      </c>
      <c r="AB197" s="22" t="str">
        <f>INDEX(Cronograma!AA$5:AA$11,MATCH($B197,Premissas!$A$39:$A$45,0))</f>
        <v/>
      </c>
      <c r="AC197" s="22" t="str">
        <f>INDEX(Cronograma!AB$5:AB$11,MATCH($B197,Premissas!$A$39:$A$45,0))</f>
        <v/>
      </c>
      <c r="AD197" s="22" t="str">
        <f>INDEX(Cronograma!AC$5:AC$11,MATCH($B197,Premissas!$A$39:$A$45,0))</f>
        <v/>
      </c>
      <c r="AE197" s="22" t="str">
        <f>INDEX(Cronograma!AD$5:AD$11,MATCH($B197,Premissas!$A$39:$A$45,0))</f>
        <v/>
      </c>
      <c r="AF197" s="22" t="str">
        <f>INDEX(Cronograma!AE$5:AE$11,MATCH($B197,Premissas!$A$39:$A$45,0))</f>
        <v/>
      </c>
      <c r="AG197" s="22" t="str">
        <f>INDEX(Cronograma!AF$5:AF$11,MATCH($B197,Premissas!$A$39:$A$45,0))</f>
        <v/>
      </c>
      <c r="AH197" s="22" t="str">
        <f>INDEX(Cronograma!AG$5:AG$11,MATCH($B197,Premissas!$A$39:$A$45,0))</f>
        <v>S</v>
      </c>
      <c r="AI197" s="22" t="str">
        <f>INDEX(Cronograma!AH$5:AH$11,MATCH($B197,Premissas!$A$39:$A$45,0))</f>
        <v/>
      </c>
      <c r="AJ197" s="22" t="str">
        <f>INDEX(Cronograma!AI$5:AI$11,MATCH($B197,Premissas!$A$39:$A$45,0))</f>
        <v/>
      </c>
      <c r="AK197" s="22" t="str">
        <f>INDEX(Cronograma!AJ$5:AJ$11,MATCH($B197,Premissas!$A$39:$A$45,0))</f>
        <v/>
      </c>
      <c r="AL197" s="22" t="str">
        <f>INDEX(Cronograma!AK$5:AK$11,MATCH($B197,Premissas!$A$39:$A$45,0))</f>
        <v/>
      </c>
      <c r="AM197" s="22" t="str">
        <f>INDEX(Cronograma!AL$5:AL$11,MATCH($B197,Premissas!$A$39:$A$45,0))</f>
        <v/>
      </c>
      <c r="AN197" s="22" t="str">
        <f>INDEX(Cronograma!AM$5:AM$11,MATCH($B197,Premissas!$A$39:$A$45,0))</f>
        <v/>
      </c>
      <c r="AO197" s="22" t="str">
        <f>INDEX(Cronograma!AN$5:AN$11,MATCH($B197,Premissas!$A$39:$A$45,0))</f>
        <v/>
      </c>
      <c r="AP197" s="22" t="str">
        <f>INDEX(Cronograma!AO$5:AO$11,MATCH($B197,Premissas!$A$39:$A$45,0))</f>
        <v/>
      </c>
      <c r="AQ197" s="22" t="str">
        <f>INDEX(Cronograma!AP$5:AP$11,MATCH($B197,Premissas!$A$39:$A$45,0))</f>
        <v/>
      </c>
      <c r="AR197" s="22" t="str">
        <f>INDEX(Cronograma!AQ$5:AQ$11,MATCH($B197,Premissas!$A$39:$A$45,0))</f>
        <v/>
      </c>
      <c r="AS197" s="22" t="str">
        <f>INDEX(Cronograma!AR$5:AR$11,MATCH($B197,Premissas!$A$39:$A$45,0))</f>
        <v/>
      </c>
      <c r="AT197" s="22" t="str">
        <f>INDEX(Cronograma!AS$5:AS$11,MATCH($B197,Premissas!$A$39:$A$45,0))</f>
        <v/>
      </c>
      <c r="AU197" s="22" t="str">
        <f>INDEX(Cronograma!AT$5:AT$11,MATCH($B197,Premissas!$A$39:$A$45,0))</f>
        <v/>
      </c>
      <c r="AV197" s="22" t="str">
        <f>INDEX(Cronograma!AU$5:AU$11,MATCH($B197,Premissas!$A$39:$A$45,0))</f>
        <v/>
      </c>
      <c r="AW197" s="22" t="str">
        <f>INDEX(Cronograma!AV$5:AV$11,MATCH($B197,Premissas!$A$39:$A$45,0))</f>
        <v/>
      </c>
      <c r="AX197" s="22" t="str">
        <f>INDEX(Cronograma!AW$5:AW$11,MATCH($B197,Premissas!$A$39:$A$45,0))</f>
        <v/>
      </c>
      <c r="AY197" s="22" t="str">
        <f>INDEX(Cronograma!AX$5:AX$11,MATCH($B197,Premissas!$A$39:$A$45,0))</f>
        <v>A</v>
      </c>
      <c r="AZ197" s="22" t="str">
        <f>INDEX(Cronograma!AY$5:AY$11,MATCH($B197,Premissas!$A$39:$A$45,0))</f>
        <v/>
      </c>
      <c r="BA197" s="22" t="str">
        <f>INDEX(Cronograma!AZ$5:AZ$11,MATCH($B197,Premissas!$A$39:$A$45,0))</f>
        <v/>
      </c>
      <c r="BB197" s="22" t="str">
        <f>INDEX(Cronograma!BA$5:BA$11,MATCH($B197,Premissas!$A$39:$A$45,0))</f>
        <v/>
      </c>
    </row>
    <row r="198" spans="1:54" ht="15" customHeight="1" x14ac:dyDescent="0.4">
      <c r="A198" s="15" t="str">
        <f>Frota!$B198&amp;" — "&amp;Frota!$A198</f>
        <v>John Deere- 5090E — 105117</v>
      </c>
      <c r="B198" s="16" t="str">
        <f>Frota!$C198</f>
        <v>Trator</v>
      </c>
      <c r="C198" s="22" t="str">
        <f>INDEX(Cronograma!B$5:B$11,MATCH($B198,Premissas!$A$39:$A$45,0))</f>
        <v/>
      </c>
      <c r="D198" s="22" t="str">
        <f>INDEX(Cronograma!C$5:C$11,MATCH($B198,Premissas!$A$39:$A$45,0))</f>
        <v/>
      </c>
      <c r="E198" s="22" t="str">
        <f>INDEX(Cronograma!D$5:D$11,MATCH($B198,Premissas!$A$39:$A$45,0))</f>
        <v/>
      </c>
      <c r="F198" s="22" t="str">
        <f>INDEX(Cronograma!E$5:E$11,MATCH($B198,Premissas!$A$39:$A$45,0))</f>
        <v/>
      </c>
      <c r="G198" s="22" t="str">
        <f>INDEX(Cronograma!F$5:F$11,MATCH($B198,Premissas!$A$39:$A$45,0))</f>
        <v/>
      </c>
      <c r="H198" s="22" t="str">
        <f>INDEX(Cronograma!G$5:G$11,MATCH($B198,Premissas!$A$39:$A$45,0))</f>
        <v/>
      </c>
      <c r="I198" s="22" t="str">
        <f>INDEX(Cronograma!H$5:H$11,MATCH($B198,Premissas!$A$39:$A$45,0))</f>
        <v>S</v>
      </c>
      <c r="J198" s="22" t="str">
        <f>INDEX(Cronograma!I$5:I$11,MATCH($B198,Premissas!$A$39:$A$45,0))</f>
        <v/>
      </c>
      <c r="K198" s="22" t="str">
        <f>INDEX(Cronograma!J$5:J$11,MATCH($B198,Premissas!$A$39:$A$45,0))</f>
        <v/>
      </c>
      <c r="L198" s="22" t="str">
        <f>INDEX(Cronograma!K$5:K$11,MATCH($B198,Premissas!$A$39:$A$45,0))</f>
        <v/>
      </c>
      <c r="M198" s="22" t="str">
        <f>INDEX(Cronograma!L$5:L$11,MATCH($B198,Premissas!$A$39:$A$45,0))</f>
        <v/>
      </c>
      <c r="N198" s="22" t="str">
        <f>INDEX(Cronograma!M$5:M$11,MATCH($B198,Premissas!$A$39:$A$45,0))</f>
        <v/>
      </c>
      <c r="O198" s="22" t="str">
        <f>INDEX(Cronograma!N$5:N$11,MATCH($B198,Premissas!$A$39:$A$45,0))</f>
        <v>A</v>
      </c>
      <c r="P198" s="22" t="str">
        <f>INDEX(Cronograma!O$5:O$11,MATCH($B198,Premissas!$A$39:$A$45,0))</f>
        <v/>
      </c>
      <c r="Q198" s="22" t="str">
        <f>INDEX(Cronograma!P$5:P$11,MATCH($B198,Premissas!$A$39:$A$45,0))</f>
        <v/>
      </c>
      <c r="R198" s="22" t="str">
        <f>INDEX(Cronograma!Q$5:Q$11,MATCH($B198,Premissas!$A$39:$A$45,0))</f>
        <v/>
      </c>
      <c r="S198" s="22" t="str">
        <f>INDEX(Cronograma!R$5:R$11,MATCH($B198,Premissas!$A$39:$A$45,0))</f>
        <v/>
      </c>
      <c r="T198" s="22" t="str">
        <f>INDEX(Cronograma!S$5:S$11,MATCH($B198,Premissas!$A$39:$A$45,0))</f>
        <v/>
      </c>
      <c r="U198" s="22" t="str">
        <f>INDEX(Cronograma!T$5:T$11,MATCH($B198,Premissas!$A$39:$A$45,0))</f>
        <v>S</v>
      </c>
      <c r="V198" s="22" t="str">
        <f>INDEX(Cronograma!U$5:U$11,MATCH($B198,Premissas!$A$39:$A$45,0))</f>
        <v/>
      </c>
      <c r="W198" s="22" t="str">
        <f>INDEX(Cronograma!V$5:V$11,MATCH($B198,Premissas!$A$39:$A$45,0))</f>
        <v/>
      </c>
      <c r="X198" s="22" t="str">
        <f>INDEX(Cronograma!W$5:W$11,MATCH($B198,Premissas!$A$39:$A$45,0))</f>
        <v/>
      </c>
      <c r="Y198" s="22" t="str">
        <f>INDEX(Cronograma!X$5:X$11,MATCH($B198,Premissas!$A$39:$A$45,0))</f>
        <v/>
      </c>
      <c r="Z198" s="22" t="str">
        <f>INDEX(Cronograma!Y$5:Y$11,MATCH($B198,Premissas!$A$39:$A$45,0))</f>
        <v/>
      </c>
      <c r="AA198" s="22" t="str">
        <f>INDEX(Cronograma!Z$5:Z$11,MATCH($B198,Premissas!$A$39:$A$45,0))</f>
        <v>B</v>
      </c>
      <c r="AB198" s="22" t="str">
        <f>INDEX(Cronograma!AA$5:AA$11,MATCH($B198,Premissas!$A$39:$A$45,0))</f>
        <v/>
      </c>
      <c r="AC198" s="22" t="str">
        <f>INDEX(Cronograma!AB$5:AB$11,MATCH($B198,Premissas!$A$39:$A$45,0))</f>
        <v/>
      </c>
      <c r="AD198" s="22" t="str">
        <f>INDEX(Cronograma!AC$5:AC$11,MATCH($B198,Premissas!$A$39:$A$45,0))</f>
        <v/>
      </c>
      <c r="AE198" s="22" t="str">
        <f>INDEX(Cronograma!AD$5:AD$11,MATCH($B198,Premissas!$A$39:$A$45,0))</f>
        <v/>
      </c>
      <c r="AF198" s="22" t="str">
        <f>INDEX(Cronograma!AE$5:AE$11,MATCH($B198,Premissas!$A$39:$A$45,0))</f>
        <v/>
      </c>
      <c r="AG198" s="22" t="str">
        <f>INDEX(Cronograma!AF$5:AF$11,MATCH($B198,Premissas!$A$39:$A$45,0))</f>
        <v/>
      </c>
      <c r="AH198" s="22" t="str">
        <f>INDEX(Cronograma!AG$5:AG$11,MATCH($B198,Premissas!$A$39:$A$45,0))</f>
        <v>S</v>
      </c>
      <c r="AI198" s="22" t="str">
        <f>INDEX(Cronograma!AH$5:AH$11,MATCH($B198,Premissas!$A$39:$A$45,0))</f>
        <v/>
      </c>
      <c r="AJ198" s="22" t="str">
        <f>INDEX(Cronograma!AI$5:AI$11,MATCH($B198,Premissas!$A$39:$A$45,0))</f>
        <v/>
      </c>
      <c r="AK198" s="22" t="str">
        <f>INDEX(Cronograma!AJ$5:AJ$11,MATCH($B198,Premissas!$A$39:$A$45,0))</f>
        <v/>
      </c>
      <c r="AL198" s="22" t="str">
        <f>INDEX(Cronograma!AK$5:AK$11,MATCH($B198,Premissas!$A$39:$A$45,0))</f>
        <v/>
      </c>
      <c r="AM198" s="22" t="str">
        <f>INDEX(Cronograma!AL$5:AL$11,MATCH($B198,Premissas!$A$39:$A$45,0))</f>
        <v/>
      </c>
      <c r="AN198" s="22" t="str">
        <f>INDEX(Cronograma!AM$5:AM$11,MATCH($B198,Premissas!$A$39:$A$45,0))</f>
        <v/>
      </c>
      <c r="AO198" s="22" t="str">
        <f>INDEX(Cronograma!AN$5:AN$11,MATCH($B198,Premissas!$A$39:$A$45,0))</f>
        <v/>
      </c>
      <c r="AP198" s="22" t="str">
        <f>INDEX(Cronograma!AO$5:AO$11,MATCH($B198,Premissas!$A$39:$A$45,0))</f>
        <v/>
      </c>
      <c r="AQ198" s="22" t="str">
        <f>INDEX(Cronograma!AP$5:AP$11,MATCH($B198,Premissas!$A$39:$A$45,0))</f>
        <v/>
      </c>
      <c r="AR198" s="22" t="str">
        <f>INDEX(Cronograma!AQ$5:AQ$11,MATCH($B198,Premissas!$A$39:$A$45,0))</f>
        <v/>
      </c>
      <c r="AS198" s="22" t="str">
        <f>INDEX(Cronograma!AR$5:AR$11,MATCH($B198,Premissas!$A$39:$A$45,0))</f>
        <v/>
      </c>
      <c r="AT198" s="22" t="str">
        <f>INDEX(Cronograma!AS$5:AS$11,MATCH($B198,Premissas!$A$39:$A$45,0))</f>
        <v/>
      </c>
      <c r="AU198" s="22" t="str">
        <f>INDEX(Cronograma!AT$5:AT$11,MATCH($B198,Premissas!$A$39:$A$45,0))</f>
        <v/>
      </c>
      <c r="AV198" s="22" t="str">
        <f>INDEX(Cronograma!AU$5:AU$11,MATCH($B198,Premissas!$A$39:$A$45,0))</f>
        <v/>
      </c>
      <c r="AW198" s="22" t="str">
        <f>INDEX(Cronograma!AV$5:AV$11,MATCH($B198,Premissas!$A$39:$A$45,0))</f>
        <v/>
      </c>
      <c r="AX198" s="22" t="str">
        <f>INDEX(Cronograma!AW$5:AW$11,MATCH($B198,Premissas!$A$39:$A$45,0))</f>
        <v/>
      </c>
      <c r="AY198" s="22" t="str">
        <f>INDEX(Cronograma!AX$5:AX$11,MATCH($B198,Premissas!$A$39:$A$45,0))</f>
        <v>A</v>
      </c>
      <c r="AZ198" s="22" t="str">
        <f>INDEX(Cronograma!AY$5:AY$11,MATCH($B198,Premissas!$A$39:$A$45,0))</f>
        <v/>
      </c>
      <c r="BA198" s="22" t="str">
        <f>INDEX(Cronograma!AZ$5:AZ$11,MATCH($B198,Premissas!$A$39:$A$45,0))</f>
        <v/>
      </c>
      <c r="BB198" s="22" t="str">
        <f>INDEX(Cronograma!BA$5:BA$11,MATCH($B198,Premissas!$A$39:$A$45,0))</f>
        <v/>
      </c>
    </row>
    <row r="199" spans="1:54" ht="15" customHeight="1" x14ac:dyDescent="0.4">
      <c r="A199" s="15" t="str">
        <f>Frota!$B199&amp;" — "&amp;Frota!$A199</f>
        <v>John Deere- 5090E — 105118</v>
      </c>
      <c r="B199" s="16" t="str">
        <f>Frota!$C199</f>
        <v>Trator</v>
      </c>
      <c r="C199" s="22" t="str">
        <f>INDEX(Cronograma!B$5:B$11,MATCH($B199,Premissas!$A$39:$A$45,0))</f>
        <v/>
      </c>
      <c r="D199" s="22" t="str">
        <f>INDEX(Cronograma!C$5:C$11,MATCH($B199,Premissas!$A$39:$A$45,0))</f>
        <v/>
      </c>
      <c r="E199" s="22" t="str">
        <f>INDEX(Cronograma!D$5:D$11,MATCH($B199,Premissas!$A$39:$A$45,0))</f>
        <v/>
      </c>
      <c r="F199" s="22" t="str">
        <f>INDEX(Cronograma!E$5:E$11,MATCH($B199,Premissas!$A$39:$A$45,0))</f>
        <v/>
      </c>
      <c r="G199" s="22" t="str">
        <f>INDEX(Cronograma!F$5:F$11,MATCH($B199,Premissas!$A$39:$A$45,0))</f>
        <v/>
      </c>
      <c r="H199" s="22" t="str">
        <f>INDEX(Cronograma!G$5:G$11,MATCH($B199,Premissas!$A$39:$A$45,0))</f>
        <v/>
      </c>
      <c r="I199" s="22" t="str">
        <f>INDEX(Cronograma!H$5:H$11,MATCH($B199,Premissas!$A$39:$A$45,0))</f>
        <v>S</v>
      </c>
      <c r="J199" s="22" t="str">
        <f>INDEX(Cronograma!I$5:I$11,MATCH($B199,Premissas!$A$39:$A$45,0))</f>
        <v/>
      </c>
      <c r="K199" s="22" t="str">
        <f>INDEX(Cronograma!J$5:J$11,MATCH($B199,Premissas!$A$39:$A$45,0))</f>
        <v/>
      </c>
      <c r="L199" s="22" t="str">
        <f>INDEX(Cronograma!K$5:K$11,MATCH($B199,Premissas!$A$39:$A$45,0))</f>
        <v/>
      </c>
      <c r="M199" s="22" t="str">
        <f>INDEX(Cronograma!L$5:L$11,MATCH($B199,Premissas!$A$39:$A$45,0))</f>
        <v/>
      </c>
      <c r="N199" s="22" t="str">
        <f>INDEX(Cronograma!M$5:M$11,MATCH($B199,Premissas!$A$39:$A$45,0))</f>
        <v/>
      </c>
      <c r="O199" s="22" t="str">
        <f>INDEX(Cronograma!N$5:N$11,MATCH($B199,Premissas!$A$39:$A$45,0))</f>
        <v>A</v>
      </c>
      <c r="P199" s="22" t="str">
        <f>INDEX(Cronograma!O$5:O$11,MATCH($B199,Premissas!$A$39:$A$45,0))</f>
        <v/>
      </c>
      <c r="Q199" s="22" t="str">
        <f>INDEX(Cronograma!P$5:P$11,MATCH($B199,Premissas!$A$39:$A$45,0))</f>
        <v/>
      </c>
      <c r="R199" s="22" t="str">
        <f>INDEX(Cronograma!Q$5:Q$11,MATCH($B199,Premissas!$A$39:$A$45,0))</f>
        <v/>
      </c>
      <c r="S199" s="22" t="str">
        <f>INDEX(Cronograma!R$5:R$11,MATCH($B199,Premissas!$A$39:$A$45,0))</f>
        <v/>
      </c>
      <c r="T199" s="22" t="str">
        <f>INDEX(Cronograma!S$5:S$11,MATCH($B199,Premissas!$A$39:$A$45,0))</f>
        <v/>
      </c>
      <c r="U199" s="22" t="str">
        <f>INDEX(Cronograma!T$5:T$11,MATCH($B199,Premissas!$A$39:$A$45,0))</f>
        <v>S</v>
      </c>
      <c r="V199" s="22" t="str">
        <f>INDEX(Cronograma!U$5:U$11,MATCH($B199,Premissas!$A$39:$A$45,0))</f>
        <v/>
      </c>
      <c r="W199" s="22" t="str">
        <f>INDEX(Cronograma!V$5:V$11,MATCH($B199,Premissas!$A$39:$A$45,0))</f>
        <v/>
      </c>
      <c r="X199" s="22" t="str">
        <f>INDEX(Cronograma!W$5:W$11,MATCH($B199,Premissas!$A$39:$A$45,0))</f>
        <v/>
      </c>
      <c r="Y199" s="22" t="str">
        <f>INDEX(Cronograma!X$5:X$11,MATCH($B199,Premissas!$A$39:$A$45,0))</f>
        <v/>
      </c>
      <c r="Z199" s="22" t="str">
        <f>INDEX(Cronograma!Y$5:Y$11,MATCH($B199,Premissas!$A$39:$A$45,0))</f>
        <v/>
      </c>
      <c r="AA199" s="22" t="str">
        <f>INDEX(Cronograma!Z$5:Z$11,MATCH($B199,Premissas!$A$39:$A$45,0))</f>
        <v>B</v>
      </c>
      <c r="AB199" s="22" t="str">
        <f>INDEX(Cronograma!AA$5:AA$11,MATCH($B199,Premissas!$A$39:$A$45,0))</f>
        <v/>
      </c>
      <c r="AC199" s="22" t="str">
        <f>INDEX(Cronograma!AB$5:AB$11,MATCH($B199,Premissas!$A$39:$A$45,0))</f>
        <v/>
      </c>
      <c r="AD199" s="22" t="str">
        <f>INDEX(Cronograma!AC$5:AC$11,MATCH($B199,Premissas!$A$39:$A$45,0))</f>
        <v/>
      </c>
      <c r="AE199" s="22" t="str">
        <f>INDEX(Cronograma!AD$5:AD$11,MATCH($B199,Premissas!$A$39:$A$45,0))</f>
        <v/>
      </c>
      <c r="AF199" s="22" t="str">
        <f>INDEX(Cronograma!AE$5:AE$11,MATCH($B199,Premissas!$A$39:$A$45,0))</f>
        <v/>
      </c>
      <c r="AG199" s="22" t="str">
        <f>INDEX(Cronograma!AF$5:AF$11,MATCH($B199,Premissas!$A$39:$A$45,0))</f>
        <v/>
      </c>
      <c r="AH199" s="22" t="str">
        <f>INDEX(Cronograma!AG$5:AG$11,MATCH($B199,Premissas!$A$39:$A$45,0))</f>
        <v>S</v>
      </c>
      <c r="AI199" s="22" t="str">
        <f>INDEX(Cronograma!AH$5:AH$11,MATCH($B199,Premissas!$A$39:$A$45,0))</f>
        <v/>
      </c>
      <c r="AJ199" s="22" t="str">
        <f>INDEX(Cronograma!AI$5:AI$11,MATCH($B199,Premissas!$A$39:$A$45,0))</f>
        <v/>
      </c>
      <c r="AK199" s="22" t="str">
        <f>INDEX(Cronograma!AJ$5:AJ$11,MATCH($B199,Premissas!$A$39:$A$45,0))</f>
        <v/>
      </c>
      <c r="AL199" s="22" t="str">
        <f>INDEX(Cronograma!AK$5:AK$11,MATCH($B199,Premissas!$A$39:$A$45,0))</f>
        <v/>
      </c>
      <c r="AM199" s="22" t="str">
        <f>INDEX(Cronograma!AL$5:AL$11,MATCH($B199,Premissas!$A$39:$A$45,0))</f>
        <v/>
      </c>
      <c r="AN199" s="22" t="str">
        <f>INDEX(Cronograma!AM$5:AM$11,MATCH($B199,Premissas!$A$39:$A$45,0))</f>
        <v/>
      </c>
      <c r="AO199" s="22" t="str">
        <f>INDEX(Cronograma!AN$5:AN$11,MATCH($B199,Premissas!$A$39:$A$45,0))</f>
        <v/>
      </c>
      <c r="AP199" s="22" t="str">
        <f>INDEX(Cronograma!AO$5:AO$11,MATCH($B199,Premissas!$A$39:$A$45,0))</f>
        <v/>
      </c>
      <c r="AQ199" s="22" t="str">
        <f>INDEX(Cronograma!AP$5:AP$11,MATCH($B199,Premissas!$A$39:$A$45,0))</f>
        <v/>
      </c>
      <c r="AR199" s="22" t="str">
        <f>INDEX(Cronograma!AQ$5:AQ$11,MATCH($B199,Premissas!$A$39:$A$45,0))</f>
        <v/>
      </c>
      <c r="AS199" s="22" t="str">
        <f>INDEX(Cronograma!AR$5:AR$11,MATCH($B199,Premissas!$A$39:$A$45,0))</f>
        <v/>
      </c>
      <c r="AT199" s="22" t="str">
        <f>INDEX(Cronograma!AS$5:AS$11,MATCH($B199,Premissas!$A$39:$A$45,0))</f>
        <v/>
      </c>
      <c r="AU199" s="22" t="str">
        <f>INDEX(Cronograma!AT$5:AT$11,MATCH($B199,Premissas!$A$39:$A$45,0))</f>
        <v/>
      </c>
      <c r="AV199" s="22" t="str">
        <f>INDEX(Cronograma!AU$5:AU$11,MATCH($B199,Premissas!$A$39:$A$45,0))</f>
        <v/>
      </c>
      <c r="AW199" s="22" t="str">
        <f>INDEX(Cronograma!AV$5:AV$11,MATCH($B199,Premissas!$A$39:$A$45,0))</f>
        <v/>
      </c>
      <c r="AX199" s="22" t="str">
        <f>INDEX(Cronograma!AW$5:AW$11,MATCH($B199,Premissas!$A$39:$A$45,0))</f>
        <v/>
      </c>
      <c r="AY199" s="22" t="str">
        <f>INDEX(Cronograma!AX$5:AX$11,MATCH($B199,Premissas!$A$39:$A$45,0))</f>
        <v>A</v>
      </c>
      <c r="AZ199" s="22" t="str">
        <f>INDEX(Cronograma!AY$5:AY$11,MATCH($B199,Premissas!$A$39:$A$45,0))</f>
        <v/>
      </c>
      <c r="BA199" s="22" t="str">
        <f>INDEX(Cronograma!AZ$5:AZ$11,MATCH($B199,Premissas!$A$39:$A$45,0))</f>
        <v/>
      </c>
      <c r="BB199" s="22" t="str">
        <f>INDEX(Cronograma!BA$5:BA$11,MATCH($B199,Premissas!$A$39:$A$45,0))</f>
        <v/>
      </c>
    </row>
    <row r="200" spans="1:54" ht="15" customHeight="1" x14ac:dyDescent="0.4">
      <c r="A200" s="15" t="str">
        <f>Frota!$B200&amp;" — "&amp;Frota!$A200</f>
        <v>John Deere- 5090E — 105119</v>
      </c>
      <c r="B200" s="16" t="str">
        <f>Frota!$C200</f>
        <v>Trator</v>
      </c>
      <c r="C200" s="22" t="str">
        <f>INDEX(Cronograma!B$5:B$11,MATCH($B200,Premissas!$A$39:$A$45,0))</f>
        <v/>
      </c>
      <c r="D200" s="22" t="str">
        <f>INDEX(Cronograma!C$5:C$11,MATCH($B200,Premissas!$A$39:$A$45,0))</f>
        <v/>
      </c>
      <c r="E200" s="22" t="str">
        <f>INDEX(Cronograma!D$5:D$11,MATCH($B200,Premissas!$A$39:$A$45,0))</f>
        <v/>
      </c>
      <c r="F200" s="22" t="str">
        <f>INDEX(Cronograma!E$5:E$11,MATCH($B200,Premissas!$A$39:$A$45,0))</f>
        <v/>
      </c>
      <c r="G200" s="22" t="str">
        <f>INDEX(Cronograma!F$5:F$11,MATCH($B200,Premissas!$A$39:$A$45,0))</f>
        <v/>
      </c>
      <c r="H200" s="22" t="str">
        <f>INDEX(Cronograma!G$5:G$11,MATCH($B200,Premissas!$A$39:$A$45,0))</f>
        <v/>
      </c>
      <c r="I200" s="22" t="str">
        <f>INDEX(Cronograma!H$5:H$11,MATCH($B200,Premissas!$A$39:$A$45,0))</f>
        <v>S</v>
      </c>
      <c r="J200" s="22" t="str">
        <f>INDEX(Cronograma!I$5:I$11,MATCH($B200,Premissas!$A$39:$A$45,0))</f>
        <v/>
      </c>
      <c r="K200" s="22" t="str">
        <f>INDEX(Cronograma!J$5:J$11,MATCH($B200,Premissas!$A$39:$A$45,0))</f>
        <v/>
      </c>
      <c r="L200" s="22" t="str">
        <f>INDEX(Cronograma!K$5:K$11,MATCH($B200,Premissas!$A$39:$A$45,0))</f>
        <v/>
      </c>
      <c r="M200" s="22" t="str">
        <f>INDEX(Cronograma!L$5:L$11,MATCH($B200,Premissas!$A$39:$A$45,0))</f>
        <v/>
      </c>
      <c r="N200" s="22" t="str">
        <f>INDEX(Cronograma!M$5:M$11,MATCH($B200,Premissas!$A$39:$A$45,0))</f>
        <v/>
      </c>
      <c r="O200" s="22" t="str">
        <f>INDEX(Cronograma!N$5:N$11,MATCH($B200,Premissas!$A$39:$A$45,0))</f>
        <v>A</v>
      </c>
      <c r="P200" s="22" t="str">
        <f>INDEX(Cronograma!O$5:O$11,MATCH($B200,Premissas!$A$39:$A$45,0))</f>
        <v/>
      </c>
      <c r="Q200" s="22" t="str">
        <f>INDEX(Cronograma!P$5:P$11,MATCH($B200,Premissas!$A$39:$A$45,0))</f>
        <v/>
      </c>
      <c r="R200" s="22" t="str">
        <f>INDEX(Cronograma!Q$5:Q$11,MATCH($B200,Premissas!$A$39:$A$45,0))</f>
        <v/>
      </c>
      <c r="S200" s="22" t="str">
        <f>INDEX(Cronograma!R$5:R$11,MATCH($B200,Premissas!$A$39:$A$45,0))</f>
        <v/>
      </c>
      <c r="T200" s="22" t="str">
        <f>INDEX(Cronograma!S$5:S$11,MATCH($B200,Premissas!$A$39:$A$45,0))</f>
        <v/>
      </c>
      <c r="U200" s="22" t="str">
        <f>INDEX(Cronograma!T$5:T$11,MATCH($B200,Premissas!$A$39:$A$45,0))</f>
        <v>S</v>
      </c>
      <c r="V200" s="22" t="str">
        <f>INDEX(Cronograma!U$5:U$11,MATCH($B200,Premissas!$A$39:$A$45,0))</f>
        <v/>
      </c>
      <c r="W200" s="22" t="str">
        <f>INDEX(Cronograma!V$5:V$11,MATCH($B200,Premissas!$A$39:$A$45,0))</f>
        <v/>
      </c>
      <c r="X200" s="22" t="str">
        <f>INDEX(Cronograma!W$5:W$11,MATCH($B200,Premissas!$A$39:$A$45,0))</f>
        <v/>
      </c>
      <c r="Y200" s="22" t="str">
        <f>INDEX(Cronograma!X$5:X$11,MATCH($B200,Premissas!$A$39:$A$45,0))</f>
        <v/>
      </c>
      <c r="Z200" s="22" t="str">
        <f>INDEX(Cronograma!Y$5:Y$11,MATCH($B200,Premissas!$A$39:$A$45,0))</f>
        <v/>
      </c>
      <c r="AA200" s="22" t="str">
        <f>INDEX(Cronograma!Z$5:Z$11,MATCH($B200,Premissas!$A$39:$A$45,0))</f>
        <v>B</v>
      </c>
      <c r="AB200" s="22" t="str">
        <f>INDEX(Cronograma!AA$5:AA$11,MATCH($B200,Premissas!$A$39:$A$45,0))</f>
        <v/>
      </c>
      <c r="AC200" s="22" t="str">
        <f>INDEX(Cronograma!AB$5:AB$11,MATCH($B200,Premissas!$A$39:$A$45,0))</f>
        <v/>
      </c>
      <c r="AD200" s="22" t="str">
        <f>INDEX(Cronograma!AC$5:AC$11,MATCH($B200,Premissas!$A$39:$A$45,0))</f>
        <v/>
      </c>
      <c r="AE200" s="22" t="str">
        <f>INDEX(Cronograma!AD$5:AD$11,MATCH($B200,Premissas!$A$39:$A$45,0))</f>
        <v/>
      </c>
      <c r="AF200" s="22" t="str">
        <f>INDEX(Cronograma!AE$5:AE$11,MATCH($B200,Premissas!$A$39:$A$45,0))</f>
        <v/>
      </c>
      <c r="AG200" s="22" t="str">
        <f>INDEX(Cronograma!AF$5:AF$11,MATCH($B200,Premissas!$A$39:$A$45,0))</f>
        <v/>
      </c>
      <c r="AH200" s="22" t="str">
        <f>INDEX(Cronograma!AG$5:AG$11,MATCH($B200,Premissas!$A$39:$A$45,0))</f>
        <v>S</v>
      </c>
      <c r="AI200" s="22" t="str">
        <f>INDEX(Cronograma!AH$5:AH$11,MATCH($B200,Premissas!$A$39:$A$45,0))</f>
        <v/>
      </c>
      <c r="AJ200" s="22" t="str">
        <f>INDEX(Cronograma!AI$5:AI$11,MATCH($B200,Premissas!$A$39:$A$45,0))</f>
        <v/>
      </c>
      <c r="AK200" s="22" t="str">
        <f>INDEX(Cronograma!AJ$5:AJ$11,MATCH($B200,Premissas!$A$39:$A$45,0))</f>
        <v/>
      </c>
      <c r="AL200" s="22" t="str">
        <f>INDEX(Cronograma!AK$5:AK$11,MATCH($B200,Premissas!$A$39:$A$45,0))</f>
        <v/>
      </c>
      <c r="AM200" s="22" t="str">
        <f>INDEX(Cronograma!AL$5:AL$11,MATCH($B200,Premissas!$A$39:$A$45,0))</f>
        <v/>
      </c>
      <c r="AN200" s="22" t="str">
        <f>INDEX(Cronograma!AM$5:AM$11,MATCH($B200,Premissas!$A$39:$A$45,0))</f>
        <v/>
      </c>
      <c r="AO200" s="22" t="str">
        <f>INDEX(Cronograma!AN$5:AN$11,MATCH($B200,Premissas!$A$39:$A$45,0))</f>
        <v/>
      </c>
      <c r="AP200" s="22" t="str">
        <f>INDEX(Cronograma!AO$5:AO$11,MATCH($B200,Premissas!$A$39:$A$45,0))</f>
        <v/>
      </c>
      <c r="AQ200" s="22" t="str">
        <f>INDEX(Cronograma!AP$5:AP$11,MATCH($B200,Premissas!$A$39:$A$45,0))</f>
        <v/>
      </c>
      <c r="AR200" s="22" t="str">
        <f>INDEX(Cronograma!AQ$5:AQ$11,MATCH($B200,Premissas!$A$39:$A$45,0))</f>
        <v/>
      </c>
      <c r="AS200" s="22" t="str">
        <f>INDEX(Cronograma!AR$5:AR$11,MATCH($B200,Premissas!$A$39:$A$45,0))</f>
        <v/>
      </c>
      <c r="AT200" s="22" t="str">
        <f>INDEX(Cronograma!AS$5:AS$11,MATCH($B200,Premissas!$A$39:$A$45,0))</f>
        <v/>
      </c>
      <c r="AU200" s="22" t="str">
        <f>INDEX(Cronograma!AT$5:AT$11,MATCH($B200,Premissas!$A$39:$A$45,0))</f>
        <v/>
      </c>
      <c r="AV200" s="22" t="str">
        <f>INDEX(Cronograma!AU$5:AU$11,MATCH($B200,Premissas!$A$39:$A$45,0))</f>
        <v/>
      </c>
      <c r="AW200" s="22" t="str">
        <f>INDEX(Cronograma!AV$5:AV$11,MATCH($B200,Premissas!$A$39:$A$45,0))</f>
        <v/>
      </c>
      <c r="AX200" s="22" t="str">
        <f>INDEX(Cronograma!AW$5:AW$11,MATCH($B200,Premissas!$A$39:$A$45,0))</f>
        <v/>
      </c>
      <c r="AY200" s="22" t="str">
        <f>INDEX(Cronograma!AX$5:AX$11,MATCH($B200,Premissas!$A$39:$A$45,0))</f>
        <v>A</v>
      </c>
      <c r="AZ200" s="22" t="str">
        <f>INDEX(Cronograma!AY$5:AY$11,MATCH($B200,Premissas!$A$39:$A$45,0))</f>
        <v/>
      </c>
      <c r="BA200" s="22" t="str">
        <f>INDEX(Cronograma!AZ$5:AZ$11,MATCH($B200,Premissas!$A$39:$A$45,0))</f>
        <v/>
      </c>
      <c r="BB200" s="22" t="str">
        <f>INDEX(Cronograma!BA$5:BA$11,MATCH($B200,Premissas!$A$39:$A$45,0))</f>
        <v/>
      </c>
    </row>
    <row r="201" spans="1:54" ht="15" customHeight="1" x14ac:dyDescent="0.4">
      <c r="A201" s="15" t="str">
        <f>Frota!$B201&amp;" — "&amp;Frota!$A201</f>
        <v>John Deere 6135J — 105133</v>
      </c>
      <c r="B201" s="16" t="str">
        <f>Frota!$C201</f>
        <v>Trator</v>
      </c>
      <c r="C201" s="22" t="str">
        <f>INDEX(Cronograma!B$5:B$11,MATCH($B201,Premissas!$A$39:$A$45,0))</f>
        <v/>
      </c>
      <c r="D201" s="22" t="str">
        <f>INDEX(Cronograma!C$5:C$11,MATCH($B201,Premissas!$A$39:$A$45,0))</f>
        <v/>
      </c>
      <c r="E201" s="22" t="str">
        <f>INDEX(Cronograma!D$5:D$11,MATCH($B201,Premissas!$A$39:$A$45,0))</f>
        <v/>
      </c>
      <c r="F201" s="22" t="str">
        <f>INDEX(Cronograma!E$5:E$11,MATCH($B201,Premissas!$A$39:$A$45,0))</f>
        <v/>
      </c>
      <c r="G201" s="22" t="str">
        <f>INDEX(Cronograma!F$5:F$11,MATCH($B201,Premissas!$A$39:$A$45,0))</f>
        <v/>
      </c>
      <c r="H201" s="22" t="str">
        <f>INDEX(Cronograma!G$5:G$11,MATCH($B201,Premissas!$A$39:$A$45,0))</f>
        <v/>
      </c>
      <c r="I201" s="22" t="str">
        <f>INDEX(Cronograma!H$5:H$11,MATCH($B201,Premissas!$A$39:$A$45,0))</f>
        <v>S</v>
      </c>
      <c r="J201" s="22" t="str">
        <f>INDEX(Cronograma!I$5:I$11,MATCH($B201,Premissas!$A$39:$A$45,0))</f>
        <v/>
      </c>
      <c r="K201" s="22" t="str">
        <f>INDEX(Cronograma!J$5:J$11,MATCH($B201,Premissas!$A$39:$A$45,0))</f>
        <v/>
      </c>
      <c r="L201" s="22" t="str">
        <f>INDEX(Cronograma!K$5:K$11,MATCH($B201,Premissas!$A$39:$A$45,0))</f>
        <v/>
      </c>
      <c r="M201" s="22" t="str">
        <f>INDEX(Cronograma!L$5:L$11,MATCH($B201,Premissas!$A$39:$A$45,0))</f>
        <v/>
      </c>
      <c r="N201" s="22" t="str">
        <f>INDEX(Cronograma!M$5:M$11,MATCH($B201,Premissas!$A$39:$A$45,0))</f>
        <v/>
      </c>
      <c r="O201" s="22" t="str">
        <f>INDEX(Cronograma!N$5:N$11,MATCH($B201,Premissas!$A$39:$A$45,0))</f>
        <v>A</v>
      </c>
      <c r="P201" s="22" t="str">
        <f>INDEX(Cronograma!O$5:O$11,MATCH($B201,Premissas!$A$39:$A$45,0))</f>
        <v/>
      </c>
      <c r="Q201" s="22" t="str">
        <f>INDEX(Cronograma!P$5:P$11,MATCH($B201,Premissas!$A$39:$A$45,0))</f>
        <v/>
      </c>
      <c r="R201" s="22" t="str">
        <f>INDEX(Cronograma!Q$5:Q$11,MATCH($B201,Premissas!$A$39:$A$45,0))</f>
        <v/>
      </c>
      <c r="S201" s="22" t="str">
        <f>INDEX(Cronograma!R$5:R$11,MATCH($B201,Premissas!$A$39:$A$45,0))</f>
        <v/>
      </c>
      <c r="T201" s="22" t="str">
        <f>INDEX(Cronograma!S$5:S$11,MATCH($B201,Premissas!$A$39:$A$45,0))</f>
        <v/>
      </c>
      <c r="U201" s="22" t="str">
        <f>INDEX(Cronograma!T$5:T$11,MATCH($B201,Premissas!$A$39:$A$45,0))</f>
        <v>S</v>
      </c>
      <c r="V201" s="22" t="str">
        <f>INDEX(Cronograma!U$5:U$11,MATCH($B201,Premissas!$A$39:$A$45,0))</f>
        <v/>
      </c>
      <c r="W201" s="22" t="str">
        <f>INDEX(Cronograma!V$5:V$11,MATCH($B201,Premissas!$A$39:$A$45,0))</f>
        <v/>
      </c>
      <c r="X201" s="22" t="str">
        <f>INDEX(Cronograma!W$5:W$11,MATCH($B201,Premissas!$A$39:$A$45,0))</f>
        <v/>
      </c>
      <c r="Y201" s="22" t="str">
        <f>INDEX(Cronograma!X$5:X$11,MATCH($B201,Premissas!$A$39:$A$45,0))</f>
        <v/>
      </c>
      <c r="Z201" s="22" t="str">
        <f>INDEX(Cronograma!Y$5:Y$11,MATCH($B201,Premissas!$A$39:$A$45,0))</f>
        <v/>
      </c>
      <c r="AA201" s="22" t="str">
        <f>INDEX(Cronograma!Z$5:Z$11,MATCH($B201,Premissas!$A$39:$A$45,0))</f>
        <v>B</v>
      </c>
      <c r="AB201" s="22" t="str">
        <f>INDEX(Cronograma!AA$5:AA$11,MATCH($B201,Premissas!$A$39:$A$45,0))</f>
        <v/>
      </c>
      <c r="AC201" s="22" t="str">
        <f>INDEX(Cronograma!AB$5:AB$11,MATCH($B201,Premissas!$A$39:$A$45,0))</f>
        <v/>
      </c>
      <c r="AD201" s="22" t="str">
        <f>INDEX(Cronograma!AC$5:AC$11,MATCH($B201,Premissas!$A$39:$A$45,0))</f>
        <v/>
      </c>
      <c r="AE201" s="22" t="str">
        <f>INDEX(Cronograma!AD$5:AD$11,MATCH($B201,Premissas!$A$39:$A$45,0))</f>
        <v/>
      </c>
      <c r="AF201" s="22" t="str">
        <f>INDEX(Cronograma!AE$5:AE$11,MATCH($B201,Premissas!$A$39:$A$45,0))</f>
        <v/>
      </c>
      <c r="AG201" s="22" t="str">
        <f>INDEX(Cronograma!AF$5:AF$11,MATCH($B201,Premissas!$A$39:$A$45,0))</f>
        <v/>
      </c>
      <c r="AH201" s="22" t="str">
        <f>INDEX(Cronograma!AG$5:AG$11,MATCH($B201,Premissas!$A$39:$A$45,0))</f>
        <v>S</v>
      </c>
      <c r="AI201" s="22" t="str">
        <f>INDEX(Cronograma!AH$5:AH$11,MATCH($B201,Premissas!$A$39:$A$45,0))</f>
        <v/>
      </c>
      <c r="AJ201" s="22" t="str">
        <f>INDEX(Cronograma!AI$5:AI$11,MATCH($B201,Premissas!$A$39:$A$45,0))</f>
        <v/>
      </c>
      <c r="AK201" s="22" t="str">
        <f>INDEX(Cronograma!AJ$5:AJ$11,MATCH($B201,Premissas!$A$39:$A$45,0))</f>
        <v/>
      </c>
      <c r="AL201" s="22" t="str">
        <f>INDEX(Cronograma!AK$5:AK$11,MATCH($B201,Premissas!$A$39:$A$45,0))</f>
        <v/>
      </c>
      <c r="AM201" s="22" t="str">
        <f>INDEX(Cronograma!AL$5:AL$11,MATCH($B201,Premissas!$A$39:$A$45,0))</f>
        <v/>
      </c>
      <c r="AN201" s="22" t="str">
        <f>INDEX(Cronograma!AM$5:AM$11,MATCH($B201,Premissas!$A$39:$A$45,0))</f>
        <v/>
      </c>
      <c r="AO201" s="22" t="str">
        <f>INDEX(Cronograma!AN$5:AN$11,MATCH($B201,Premissas!$A$39:$A$45,0))</f>
        <v/>
      </c>
      <c r="AP201" s="22" t="str">
        <f>INDEX(Cronograma!AO$5:AO$11,MATCH($B201,Premissas!$A$39:$A$45,0))</f>
        <v/>
      </c>
      <c r="AQ201" s="22" t="str">
        <f>INDEX(Cronograma!AP$5:AP$11,MATCH($B201,Premissas!$A$39:$A$45,0))</f>
        <v/>
      </c>
      <c r="AR201" s="22" t="str">
        <f>INDEX(Cronograma!AQ$5:AQ$11,MATCH($B201,Premissas!$A$39:$A$45,0))</f>
        <v/>
      </c>
      <c r="AS201" s="22" t="str">
        <f>INDEX(Cronograma!AR$5:AR$11,MATCH($B201,Premissas!$A$39:$A$45,0))</f>
        <v/>
      </c>
      <c r="AT201" s="22" t="str">
        <f>INDEX(Cronograma!AS$5:AS$11,MATCH($B201,Premissas!$A$39:$A$45,0))</f>
        <v/>
      </c>
      <c r="AU201" s="22" t="str">
        <f>INDEX(Cronograma!AT$5:AT$11,MATCH($B201,Premissas!$A$39:$A$45,0))</f>
        <v/>
      </c>
      <c r="AV201" s="22" t="str">
        <f>INDEX(Cronograma!AU$5:AU$11,MATCH($B201,Premissas!$A$39:$A$45,0))</f>
        <v/>
      </c>
      <c r="AW201" s="22" t="str">
        <f>INDEX(Cronograma!AV$5:AV$11,MATCH($B201,Premissas!$A$39:$A$45,0))</f>
        <v/>
      </c>
      <c r="AX201" s="22" t="str">
        <f>INDEX(Cronograma!AW$5:AW$11,MATCH($B201,Premissas!$A$39:$A$45,0))</f>
        <v/>
      </c>
      <c r="AY201" s="22" t="str">
        <f>INDEX(Cronograma!AX$5:AX$11,MATCH($B201,Premissas!$A$39:$A$45,0))</f>
        <v>A</v>
      </c>
      <c r="AZ201" s="22" t="str">
        <f>INDEX(Cronograma!AY$5:AY$11,MATCH($B201,Premissas!$A$39:$A$45,0))</f>
        <v/>
      </c>
      <c r="BA201" s="22" t="str">
        <f>INDEX(Cronograma!AZ$5:AZ$11,MATCH($B201,Premissas!$A$39:$A$45,0))</f>
        <v/>
      </c>
      <c r="BB201" s="22" t="str">
        <f>INDEX(Cronograma!BA$5:BA$11,MATCH($B201,Premissas!$A$39:$A$45,0))</f>
        <v/>
      </c>
    </row>
    <row r="202" spans="1:54" ht="15" customHeight="1" x14ac:dyDescent="0.4">
      <c r="A202" s="15" t="str">
        <f>Frota!$B202&amp;" — "&amp;Frota!$A202</f>
        <v>John Deere 6135J — 105134</v>
      </c>
      <c r="B202" s="16" t="str">
        <f>Frota!$C202</f>
        <v>Trator</v>
      </c>
      <c r="C202" s="22" t="str">
        <f>INDEX(Cronograma!B$5:B$11,MATCH($B202,Premissas!$A$39:$A$45,0))</f>
        <v/>
      </c>
      <c r="D202" s="22" t="str">
        <f>INDEX(Cronograma!C$5:C$11,MATCH($B202,Premissas!$A$39:$A$45,0))</f>
        <v/>
      </c>
      <c r="E202" s="22" t="str">
        <f>INDEX(Cronograma!D$5:D$11,MATCH($B202,Premissas!$A$39:$A$45,0))</f>
        <v/>
      </c>
      <c r="F202" s="22" t="str">
        <f>INDEX(Cronograma!E$5:E$11,MATCH($B202,Premissas!$A$39:$A$45,0))</f>
        <v/>
      </c>
      <c r="G202" s="22" t="str">
        <f>INDEX(Cronograma!F$5:F$11,MATCH($B202,Premissas!$A$39:$A$45,0))</f>
        <v/>
      </c>
      <c r="H202" s="22" t="str">
        <f>INDEX(Cronograma!G$5:G$11,MATCH($B202,Premissas!$A$39:$A$45,0))</f>
        <v/>
      </c>
      <c r="I202" s="22" t="str">
        <f>INDEX(Cronograma!H$5:H$11,MATCH($B202,Premissas!$A$39:$A$45,0))</f>
        <v>S</v>
      </c>
      <c r="J202" s="22" t="str">
        <f>INDEX(Cronograma!I$5:I$11,MATCH($B202,Premissas!$A$39:$A$45,0))</f>
        <v/>
      </c>
      <c r="K202" s="22" t="str">
        <f>INDEX(Cronograma!J$5:J$11,MATCH($B202,Premissas!$A$39:$A$45,0))</f>
        <v/>
      </c>
      <c r="L202" s="22" t="str">
        <f>INDEX(Cronograma!K$5:K$11,MATCH($B202,Premissas!$A$39:$A$45,0))</f>
        <v/>
      </c>
      <c r="M202" s="22" t="str">
        <f>INDEX(Cronograma!L$5:L$11,MATCH($B202,Premissas!$A$39:$A$45,0))</f>
        <v/>
      </c>
      <c r="N202" s="22" t="str">
        <f>INDEX(Cronograma!M$5:M$11,MATCH($B202,Premissas!$A$39:$A$45,0))</f>
        <v/>
      </c>
      <c r="O202" s="22" t="str">
        <f>INDEX(Cronograma!N$5:N$11,MATCH($B202,Premissas!$A$39:$A$45,0))</f>
        <v>A</v>
      </c>
      <c r="P202" s="22" t="str">
        <f>INDEX(Cronograma!O$5:O$11,MATCH($B202,Premissas!$A$39:$A$45,0))</f>
        <v/>
      </c>
      <c r="Q202" s="22" t="str">
        <f>INDEX(Cronograma!P$5:P$11,MATCH($B202,Premissas!$A$39:$A$45,0))</f>
        <v/>
      </c>
      <c r="R202" s="22" t="str">
        <f>INDEX(Cronograma!Q$5:Q$11,MATCH($B202,Premissas!$A$39:$A$45,0))</f>
        <v/>
      </c>
      <c r="S202" s="22" t="str">
        <f>INDEX(Cronograma!R$5:R$11,MATCH($B202,Premissas!$A$39:$A$45,0))</f>
        <v/>
      </c>
      <c r="T202" s="22" t="str">
        <f>INDEX(Cronograma!S$5:S$11,MATCH($B202,Premissas!$A$39:$A$45,0))</f>
        <v/>
      </c>
      <c r="U202" s="22" t="str">
        <f>INDEX(Cronograma!T$5:T$11,MATCH($B202,Premissas!$A$39:$A$45,0))</f>
        <v>S</v>
      </c>
      <c r="V202" s="22" t="str">
        <f>INDEX(Cronograma!U$5:U$11,MATCH($B202,Premissas!$A$39:$A$45,0))</f>
        <v/>
      </c>
      <c r="W202" s="22" t="str">
        <f>INDEX(Cronograma!V$5:V$11,MATCH($B202,Premissas!$A$39:$A$45,0))</f>
        <v/>
      </c>
      <c r="X202" s="22" t="str">
        <f>INDEX(Cronograma!W$5:W$11,MATCH($B202,Premissas!$A$39:$A$45,0))</f>
        <v/>
      </c>
      <c r="Y202" s="22" t="str">
        <f>INDEX(Cronograma!X$5:X$11,MATCH($B202,Premissas!$A$39:$A$45,0))</f>
        <v/>
      </c>
      <c r="Z202" s="22" t="str">
        <f>INDEX(Cronograma!Y$5:Y$11,MATCH($B202,Premissas!$A$39:$A$45,0))</f>
        <v/>
      </c>
      <c r="AA202" s="22" t="str">
        <f>INDEX(Cronograma!Z$5:Z$11,MATCH($B202,Premissas!$A$39:$A$45,0))</f>
        <v>B</v>
      </c>
      <c r="AB202" s="22" t="str">
        <f>INDEX(Cronograma!AA$5:AA$11,MATCH($B202,Premissas!$A$39:$A$45,0))</f>
        <v/>
      </c>
      <c r="AC202" s="22" t="str">
        <f>INDEX(Cronograma!AB$5:AB$11,MATCH($B202,Premissas!$A$39:$A$45,0))</f>
        <v/>
      </c>
      <c r="AD202" s="22" t="str">
        <f>INDEX(Cronograma!AC$5:AC$11,MATCH($B202,Premissas!$A$39:$A$45,0))</f>
        <v/>
      </c>
      <c r="AE202" s="22" t="str">
        <f>INDEX(Cronograma!AD$5:AD$11,MATCH($B202,Premissas!$A$39:$A$45,0))</f>
        <v/>
      </c>
      <c r="AF202" s="22" t="str">
        <f>INDEX(Cronograma!AE$5:AE$11,MATCH($B202,Premissas!$A$39:$A$45,0))</f>
        <v/>
      </c>
      <c r="AG202" s="22" t="str">
        <f>INDEX(Cronograma!AF$5:AF$11,MATCH($B202,Premissas!$A$39:$A$45,0))</f>
        <v/>
      </c>
      <c r="AH202" s="22" t="str">
        <f>INDEX(Cronograma!AG$5:AG$11,MATCH($B202,Premissas!$A$39:$A$45,0))</f>
        <v>S</v>
      </c>
      <c r="AI202" s="22" t="str">
        <f>INDEX(Cronograma!AH$5:AH$11,MATCH($B202,Premissas!$A$39:$A$45,0))</f>
        <v/>
      </c>
      <c r="AJ202" s="22" t="str">
        <f>INDEX(Cronograma!AI$5:AI$11,MATCH($B202,Premissas!$A$39:$A$45,0))</f>
        <v/>
      </c>
      <c r="AK202" s="22" t="str">
        <f>INDEX(Cronograma!AJ$5:AJ$11,MATCH($B202,Premissas!$A$39:$A$45,0))</f>
        <v/>
      </c>
      <c r="AL202" s="22" t="str">
        <f>INDEX(Cronograma!AK$5:AK$11,MATCH($B202,Premissas!$A$39:$A$45,0))</f>
        <v/>
      </c>
      <c r="AM202" s="22" t="str">
        <f>INDEX(Cronograma!AL$5:AL$11,MATCH($B202,Premissas!$A$39:$A$45,0))</f>
        <v/>
      </c>
      <c r="AN202" s="22" t="str">
        <f>INDEX(Cronograma!AM$5:AM$11,MATCH($B202,Premissas!$A$39:$A$45,0))</f>
        <v/>
      </c>
      <c r="AO202" s="22" t="str">
        <f>INDEX(Cronograma!AN$5:AN$11,MATCH($B202,Premissas!$A$39:$A$45,0))</f>
        <v/>
      </c>
      <c r="AP202" s="22" t="str">
        <f>INDEX(Cronograma!AO$5:AO$11,MATCH($B202,Premissas!$A$39:$A$45,0))</f>
        <v/>
      </c>
      <c r="AQ202" s="22" t="str">
        <f>INDEX(Cronograma!AP$5:AP$11,MATCH($B202,Premissas!$A$39:$A$45,0))</f>
        <v/>
      </c>
      <c r="AR202" s="22" t="str">
        <f>INDEX(Cronograma!AQ$5:AQ$11,MATCH($B202,Premissas!$A$39:$A$45,0))</f>
        <v/>
      </c>
      <c r="AS202" s="22" t="str">
        <f>INDEX(Cronograma!AR$5:AR$11,MATCH($B202,Premissas!$A$39:$A$45,0))</f>
        <v/>
      </c>
      <c r="AT202" s="22" t="str">
        <f>INDEX(Cronograma!AS$5:AS$11,MATCH($B202,Premissas!$A$39:$A$45,0))</f>
        <v/>
      </c>
      <c r="AU202" s="22" t="str">
        <f>INDEX(Cronograma!AT$5:AT$11,MATCH($B202,Premissas!$A$39:$A$45,0))</f>
        <v/>
      </c>
      <c r="AV202" s="22" t="str">
        <f>INDEX(Cronograma!AU$5:AU$11,MATCH($B202,Premissas!$A$39:$A$45,0))</f>
        <v/>
      </c>
      <c r="AW202" s="22" t="str">
        <f>INDEX(Cronograma!AV$5:AV$11,MATCH($B202,Premissas!$A$39:$A$45,0))</f>
        <v/>
      </c>
      <c r="AX202" s="22" t="str">
        <f>INDEX(Cronograma!AW$5:AW$11,MATCH($B202,Premissas!$A$39:$A$45,0))</f>
        <v/>
      </c>
      <c r="AY202" s="22" t="str">
        <f>INDEX(Cronograma!AX$5:AX$11,MATCH($B202,Premissas!$A$39:$A$45,0))</f>
        <v>A</v>
      </c>
      <c r="AZ202" s="22" t="str">
        <f>INDEX(Cronograma!AY$5:AY$11,MATCH($B202,Premissas!$A$39:$A$45,0))</f>
        <v/>
      </c>
      <c r="BA202" s="22" t="str">
        <f>INDEX(Cronograma!AZ$5:AZ$11,MATCH($B202,Premissas!$A$39:$A$45,0))</f>
        <v/>
      </c>
      <c r="BB202" s="22" t="str">
        <f>INDEX(Cronograma!BA$5:BA$11,MATCH($B202,Premissas!$A$39:$A$45,0))</f>
        <v/>
      </c>
    </row>
    <row r="203" spans="1:54" ht="15" customHeight="1" x14ac:dyDescent="0.4">
      <c r="A203" s="15" t="str">
        <f>Frota!$B203&amp;" — "&amp;Frota!$A203</f>
        <v>John Deere 6135J — 105135</v>
      </c>
      <c r="B203" s="16" t="str">
        <f>Frota!$C203</f>
        <v>Trator</v>
      </c>
      <c r="C203" s="22" t="str">
        <f>INDEX(Cronograma!B$5:B$11,MATCH($B203,Premissas!$A$39:$A$45,0))</f>
        <v/>
      </c>
      <c r="D203" s="22" t="str">
        <f>INDEX(Cronograma!C$5:C$11,MATCH($B203,Premissas!$A$39:$A$45,0))</f>
        <v/>
      </c>
      <c r="E203" s="22" t="str">
        <f>INDEX(Cronograma!D$5:D$11,MATCH($B203,Premissas!$A$39:$A$45,0))</f>
        <v/>
      </c>
      <c r="F203" s="22" t="str">
        <f>INDEX(Cronograma!E$5:E$11,MATCH($B203,Premissas!$A$39:$A$45,0))</f>
        <v/>
      </c>
      <c r="G203" s="22" t="str">
        <f>INDEX(Cronograma!F$5:F$11,MATCH($B203,Premissas!$A$39:$A$45,0))</f>
        <v/>
      </c>
      <c r="H203" s="22" t="str">
        <f>INDEX(Cronograma!G$5:G$11,MATCH($B203,Premissas!$A$39:$A$45,0))</f>
        <v/>
      </c>
      <c r="I203" s="22" t="str">
        <f>INDEX(Cronograma!H$5:H$11,MATCH($B203,Premissas!$A$39:$A$45,0))</f>
        <v>S</v>
      </c>
      <c r="J203" s="22" t="str">
        <f>INDEX(Cronograma!I$5:I$11,MATCH($B203,Premissas!$A$39:$A$45,0))</f>
        <v/>
      </c>
      <c r="K203" s="22" t="str">
        <f>INDEX(Cronograma!J$5:J$11,MATCH($B203,Premissas!$A$39:$A$45,0))</f>
        <v/>
      </c>
      <c r="L203" s="22" t="str">
        <f>INDEX(Cronograma!K$5:K$11,MATCH($B203,Premissas!$A$39:$A$45,0))</f>
        <v/>
      </c>
      <c r="M203" s="22" t="str">
        <f>INDEX(Cronograma!L$5:L$11,MATCH($B203,Premissas!$A$39:$A$45,0))</f>
        <v/>
      </c>
      <c r="N203" s="22" t="str">
        <f>INDEX(Cronograma!M$5:M$11,MATCH($B203,Premissas!$A$39:$A$45,0))</f>
        <v/>
      </c>
      <c r="O203" s="22" t="str">
        <f>INDEX(Cronograma!N$5:N$11,MATCH($B203,Premissas!$A$39:$A$45,0))</f>
        <v>A</v>
      </c>
      <c r="P203" s="22" t="str">
        <f>INDEX(Cronograma!O$5:O$11,MATCH($B203,Premissas!$A$39:$A$45,0))</f>
        <v/>
      </c>
      <c r="Q203" s="22" t="str">
        <f>INDEX(Cronograma!P$5:P$11,MATCH($B203,Premissas!$A$39:$A$45,0))</f>
        <v/>
      </c>
      <c r="R203" s="22" t="str">
        <f>INDEX(Cronograma!Q$5:Q$11,MATCH($B203,Premissas!$A$39:$A$45,0))</f>
        <v/>
      </c>
      <c r="S203" s="22" t="str">
        <f>INDEX(Cronograma!R$5:R$11,MATCH($B203,Premissas!$A$39:$A$45,0))</f>
        <v/>
      </c>
      <c r="T203" s="22" t="str">
        <f>INDEX(Cronograma!S$5:S$11,MATCH($B203,Premissas!$A$39:$A$45,0))</f>
        <v/>
      </c>
      <c r="U203" s="22" t="str">
        <f>INDEX(Cronograma!T$5:T$11,MATCH($B203,Premissas!$A$39:$A$45,0))</f>
        <v>S</v>
      </c>
      <c r="V203" s="22" t="str">
        <f>INDEX(Cronograma!U$5:U$11,MATCH($B203,Premissas!$A$39:$A$45,0))</f>
        <v/>
      </c>
      <c r="W203" s="22" t="str">
        <f>INDEX(Cronograma!V$5:V$11,MATCH($B203,Premissas!$A$39:$A$45,0))</f>
        <v/>
      </c>
      <c r="X203" s="22" t="str">
        <f>INDEX(Cronograma!W$5:W$11,MATCH($B203,Premissas!$A$39:$A$45,0))</f>
        <v/>
      </c>
      <c r="Y203" s="22" t="str">
        <f>INDEX(Cronograma!X$5:X$11,MATCH($B203,Premissas!$A$39:$A$45,0))</f>
        <v/>
      </c>
      <c r="Z203" s="22" t="str">
        <f>INDEX(Cronograma!Y$5:Y$11,MATCH($B203,Premissas!$A$39:$A$45,0))</f>
        <v/>
      </c>
      <c r="AA203" s="22" t="str">
        <f>INDEX(Cronograma!Z$5:Z$11,MATCH($B203,Premissas!$A$39:$A$45,0))</f>
        <v>B</v>
      </c>
      <c r="AB203" s="22" t="str">
        <f>INDEX(Cronograma!AA$5:AA$11,MATCH($B203,Premissas!$A$39:$A$45,0))</f>
        <v/>
      </c>
      <c r="AC203" s="22" t="str">
        <f>INDEX(Cronograma!AB$5:AB$11,MATCH($B203,Premissas!$A$39:$A$45,0))</f>
        <v/>
      </c>
      <c r="AD203" s="22" t="str">
        <f>INDEX(Cronograma!AC$5:AC$11,MATCH($B203,Premissas!$A$39:$A$45,0))</f>
        <v/>
      </c>
      <c r="AE203" s="22" t="str">
        <f>INDEX(Cronograma!AD$5:AD$11,MATCH($B203,Premissas!$A$39:$A$45,0))</f>
        <v/>
      </c>
      <c r="AF203" s="22" t="str">
        <f>INDEX(Cronograma!AE$5:AE$11,MATCH($B203,Premissas!$A$39:$A$45,0))</f>
        <v/>
      </c>
      <c r="AG203" s="22" t="str">
        <f>INDEX(Cronograma!AF$5:AF$11,MATCH($B203,Premissas!$A$39:$A$45,0))</f>
        <v/>
      </c>
      <c r="AH203" s="22" t="str">
        <f>INDEX(Cronograma!AG$5:AG$11,MATCH($B203,Premissas!$A$39:$A$45,0))</f>
        <v>S</v>
      </c>
      <c r="AI203" s="22" t="str">
        <f>INDEX(Cronograma!AH$5:AH$11,MATCH($B203,Premissas!$A$39:$A$45,0))</f>
        <v/>
      </c>
      <c r="AJ203" s="22" t="str">
        <f>INDEX(Cronograma!AI$5:AI$11,MATCH($B203,Premissas!$A$39:$A$45,0))</f>
        <v/>
      </c>
      <c r="AK203" s="22" t="str">
        <f>INDEX(Cronograma!AJ$5:AJ$11,MATCH($B203,Premissas!$A$39:$A$45,0))</f>
        <v/>
      </c>
      <c r="AL203" s="22" t="str">
        <f>INDEX(Cronograma!AK$5:AK$11,MATCH($B203,Premissas!$A$39:$A$45,0))</f>
        <v/>
      </c>
      <c r="AM203" s="22" t="str">
        <f>INDEX(Cronograma!AL$5:AL$11,MATCH($B203,Premissas!$A$39:$A$45,0))</f>
        <v/>
      </c>
      <c r="AN203" s="22" t="str">
        <f>INDEX(Cronograma!AM$5:AM$11,MATCH($B203,Premissas!$A$39:$A$45,0))</f>
        <v/>
      </c>
      <c r="AO203" s="22" t="str">
        <f>INDEX(Cronograma!AN$5:AN$11,MATCH($B203,Premissas!$A$39:$A$45,0))</f>
        <v/>
      </c>
      <c r="AP203" s="22" t="str">
        <f>INDEX(Cronograma!AO$5:AO$11,MATCH($B203,Premissas!$A$39:$A$45,0))</f>
        <v/>
      </c>
      <c r="AQ203" s="22" t="str">
        <f>INDEX(Cronograma!AP$5:AP$11,MATCH($B203,Premissas!$A$39:$A$45,0))</f>
        <v/>
      </c>
      <c r="AR203" s="22" t="str">
        <f>INDEX(Cronograma!AQ$5:AQ$11,MATCH($B203,Premissas!$A$39:$A$45,0))</f>
        <v/>
      </c>
      <c r="AS203" s="22" t="str">
        <f>INDEX(Cronograma!AR$5:AR$11,MATCH($B203,Premissas!$A$39:$A$45,0))</f>
        <v/>
      </c>
      <c r="AT203" s="22" t="str">
        <f>INDEX(Cronograma!AS$5:AS$11,MATCH($B203,Premissas!$A$39:$A$45,0))</f>
        <v/>
      </c>
      <c r="AU203" s="22" t="str">
        <f>INDEX(Cronograma!AT$5:AT$11,MATCH($B203,Premissas!$A$39:$A$45,0))</f>
        <v/>
      </c>
      <c r="AV203" s="22" t="str">
        <f>INDEX(Cronograma!AU$5:AU$11,MATCH($B203,Premissas!$A$39:$A$45,0))</f>
        <v/>
      </c>
      <c r="AW203" s="22" t="str">
        <f>INDEX(Cronograma!AV$5:AV$11,MATCH($B203,Premissas!$A$39:$A$45,0))</f>
        <v/>
      </c>
      <c r="AX203" s="22" t="str">
        <f>INDEX(Cronograma!AW$5:AW$11,MATCH($B203,Premissas!$A$39:$A$45,0))</f>
        <v/>
      </c>
      <c r="AY203" s="22" t="str">
        <f>INDEX(Cronograma!AX$5:AX$11,MATCH($B203,Premissas!$A$39:$A$45,0))</f>
        <v>A</v>
      </c>
      <c r="AZ203" s="22" t="str">
        <f>INDEX(Cronograma!AY$5:AY$11,MATCH($B203,Premissas!$A$39:$A$45,0))</f>
        <v/>
      </c>
      <c r="BA203" s="22" t="str">
        <f>INDEX(Cronograma!AZ$5:AZ$11,MATCH($B203,Premissas!$A$39:$A$45,0))</f>
        <v/>
      </c>
      <c r="BB203" s="22" t="str">
        <f>INDEX(Cronograma!BA$5:BA$11,MATCH($B203,Premissas!$A$39:$A$45,0))</f>
        <v/>
      </c>
    </row>
    <row r="204" spans="1:54" ht="15" customHeight="1" x14ac:dyDescent="0.4">
      <c r="A204" s="15" t="str">
        <f>Frota!$B204&amp;" — "&amp;Frota!$A204</f>
        <v>John Deere 6135J — 105136</v>
      </c>
      <c r="B204" s="16" t="str">
        <f>Frota!$C204</f>
        <v>Trator</v>
      </c>
      <c r="C204" s="22" t="str">
        <f>INDEX(Cronograma!B$5:B$11,MATCH($B204,Premissas!$A$39:$A$45,0))</f>
        <v/>
      </c>
      <c r="D204" s="22" t="str">
        <f>INDEX(Cronograma!C$5:C$11,MATCH($B204,Premissas!$A$39:$A$45,0))</f>
        <v/>
      </c>
      <c r="E204" s="22" t="str">
        <f>INDEX(Cronograma!D$5:D$11,MATCH($B204,Premissas!$A$39:$A$45,0))</f>
        <v/>
      </c>
      <c r="F204" s="22" t="str">
        <f>INDEX(Cronograma!E$5:E$11,MATCH($B204,Premissas!$A$39:$A$45,0))</f>
        <v/>
      </c>
      <c r="G204" s="22" t="str">
        <f>INDEX(Cronograma!F$5:F$11,MATCH($B204,Premissas!$A$39:$A$45,0))</f>
        <v/>
      </c>
      <c r="H204" s="22" t="str">
        <f>INDEX(Cronograma!G$5:G$11,MATCH($B204,Premissas!$A$39:$A$45,0))</f>
        <v/>
      </c>
      <c r="I204" s="22" t="str">
        <f>INDEX(Cronograma!H$5:H$11,MATCH($B204,Premissas!$A$39:$A$45,0))</f>
        <v>S</v>
      </c>
      <c r="J204" s="22" t="str">
        <f>INDEX(Cronograma!I$5:I$11,MATCH($B204,Premissas!$A$39:$A$45,0))</f>
        <v/>
      </c>
      <c r="K204" s="22" t="str">
        <f>INDEX(Cronograma!J$5:J$11,MATCH($B204,Premissas!$A$39:$A$45,0))</f>
        <v/>
      </c>
      <c r="L204" s="22" t="str">
        <f>INDEX(Cronograma!K$5:K$11,MATCH($B204,Premissas!$A$39:$A$45,0))</f>
        <v/>
      </c>
      <c r="M204" s="22" t="str">
        <f>INDEX(Cronograma!L$5:L$11,MATCH($B204,Premissas!$A$39:$A$45,0))</f>
        <v/>
      </c>
      <c r="N204" s="22" t="str">
        <f>INDEX(Cronograma!M$5:M$11,MATCH($B204,Premissas!$A$39:$A$45,0))</f>
        <v/>
      </c>
      <c r="O204" s="22" t="str">
        <f>INDEX(Cronograma!N$5:N$11,MATCH($B204,Premissas!$A$39:$A$45,0))</f>
        <v>A</v>
      </c>
      <c r="P204" s="22" t="str">
        <f>INDEX(Cronograma!O$5:O$11,MATCH($B204,Premissas!$A$39:$A$45,0))</f>
        <v/>
      </c>
      <c r="Q204" s="22" t="str">
        <f>INDEX(Cronograma!P$5:P$11,MATCH($B204,Premissas!$A$39:$A$45,0))</f>
        <v/>
      </c>
      <c r="R204" s="22" t="str">
        <f>INDEX(Cronograma!Q$5:Q$11,MATCH($B204,Premissas!$A$39:$A$45,0))</f>
        <v/>
      </c>
      <c r="S204" s="22" t="str">
        <f>INDEX(Cronograma!R$5:R$11,MATCH($B204,Premissas!$A$39:$A$45,0))</f>
        <v/>
      </c>
      <c r="T204" s="22" t="str">
        <f>INDEX(Cronograma!S$5:S$11,MATCH($B204,Premissas!$A$39:$A$45,0))</f>
        <v/>
      </c>
      <c r="U204" s="22" t="str">
        <f>INDEX(Cronograma!T$5:T$11,MATCH($B204,Premissas!$A$39:$A$45,0))</f>
        <v>S</v>
      </c>
      <c r="V204" s="22" t="str">
        <f>INDEX(Cronograma!U$5:U$11,MATCH($B204,Premissas!$A$39:$A$45,0))</f>
        <v/>
      </c>
      <c r="W204" s="22" t="str">
        <f>INDEX(Cronograma!V$5:V$11,MATCH($B204,Premissas!$A$39:$A$45,0))</f>
        <v/>
      </c>
      <c r="X204" s="22" t="str">
        <f>INDEX(Cronograma!W$5:W$11,MATCH($B204,Premissas!$A$39:$A$45,0))</f>
        <v/>
      </c>
      <c r="Y204" s="22" t="str">
        <f>INDEX(Cronograma!X$5:X$11,MATCH($B204,Premissas!$A$39:$A$45,0))</f>
        <v/>
      </c>
      <c r="Z204" s="22" t="str">
        <f>INDEX(Cronograma!Y$5:Y$11,MATCH($B204,Premissas!$A$39:$A$45,0))</f>
        <v/>
      </c>
      <c r="AA204" s="22" t="str">
        <f>INDEX(Cronograma!Z$5:Z$11,MATCH($B204,Premissas!$A$39:$A$45,0))</f>
        <v>B</v>
      </c>
      <c r="AB204" s="22" t="str">
        <f>INDEX(Cronograma!AA$5:AA$11,MATCH($B204,Premissas!$A$39:$A$45,0))</f>
        <v/>
      </c>
      <c r="AC204" s="22" t="str">
        <f>INDEX(Cronograma!AB$5:AB$11,MATCH($B204,Premissas!$A$39:$A$45,0))</f>
        <v/>
      </c>
      <c r="AD204" s="22" t="str">
        <f>INDEX(Cronograma!AC$5:AC$11,MATCH($B204,Premissas!$A$39:$A$45,0))</f>
        <v/>
      </c>
      <c r="AE204" s="22" t="str">
        <f>INDEX(Cronograma!AD$5:AD$11,MATCH($B204,Premissas!$A$39:$A$45,0))</f>
        <v/>
      </c>
      <c r="AF204" s="22" t="str">
        <f>INDEX(Cronograma!AE$5:AE$11,MATCH($B204,Premissas!$A$39:$A$45,0))</f>
        <v/>
      </c>
      <c r="AG204" s="22" t="str">
        <f>INDEX(Cronograma!AF$5:AF$11,MATCH($B204,Premissas!$A$39:$A$45,0))</f>
        <v/>
      </c>
      <c r="AH204" s="22" t="str">
        <f>INDEX(Cronograma!AG$5:AG$11,MATCH($B204,Premissas!$A$39:$A$45,0))</f>
        <v>S</v>
      </c>
      <c r="AI204" s="22" t="str">
        <f>INDEX(Cronograma!AH$5:AH$11,MATCH($B204,Premissas!$A$39:$A$45,0))</f>
        <v/>
      </c>
      <c r="AJ204" s="22" t="str">
        <f>INDEX(Cronograma!AI$5:AI$11,MATCH($B204,Premissas!$A$39:$A$45,0))</f>
        <v/>
      </c>
      <c r="AK204" s="22" t="str">
        <f>INDEX(Cronograma!AJ$5:AJ$11,MATCH($B204,Premissas!$A$39:$A$45,0))</f>
        <v/>
      </c>
      <c r="AL204" s="22" t="str">
        <f>INDEX(Cronograma!AK$5:AK$11,MATCH($B204,Premissas!$A$39:$A$45,0))</f>
        <v/>
      </c>
      <c r="AM204" s="22" t="str">
        <f>INDEX(Cronograma!AL$5:AL$11,MATCH($B204,Premissas!$A$39:$A$45,0))</f>
        <v/>
      </c>
      <c r="AN204" s="22" t="str">
        <f>INDEX(Cronograma!AM$5:AM$11,MATCH($B204,Premissas!$A$39:$A$45,0))</f>
        <v/>
      </c>
      <c r="AO204" s="22" t="str">
        <f>INDEX(Cronograma!AN$5:AN$11,MATCH($B204,Premissas!$A$39:$A$45,0))</f>
        <v/>
      </c>
      <c r="AP204" s="22" t="str">
        <f>INDEX(Cronograma!AO$5:AO$11,MATCH($B204,Premissas!$A$39:$A$45,0))</f>
        <v/>
      </c>
      <c r="AQ204" s="22" t="str">
        <f>INDEX(Cronograma!AP$5:AP$11,MATCH($B204,Premissas!$A$39:$A$45,0))</f>
        <v/>
      </c>
      <c r="AR204" s="22" t="str">
        <f>INDEX(Cronograma!AQ$5:AQ$11,MATCH($B204,Premissas!$A$39:$A$45,0))</f>
        <v/>
      </c>
      <c r="AS204" s="22" t="str">
        <f>INDEX(Cronograma!AR$5:AR$11,MATCH($B204,Premissas!$A$39:$A$45,0))</f>
        <v/>
      </c>
      <c r="AT204" s="22" t="str">
        <f>INDEX(Cronograma!AS$5:AS$11,MATCH($B204,Premissas!$A$39:$A$45,0))</f>
        <v/>
      </c>
      <c r="AU204" s="22" t="str">
        <f>INDEX(Cronograma!AT$5:AT$11,MATCH($B204,Premissas!$A$39:$A$45,0))</f>
        <v/>
      </c>
      <c r="AV204" s="22" t="str">
        <f>INDEX(Cronograma!AU$5:AU$11,MATCH($B204,Premissas!$A$39:$A$45,0))</f>
        <v/>
      </c>
      <c r="AW204" s="22" t="str">
        <f>INDEX(Cronograma!AV$5:AV$11,MATCH($B204,Premissas!$A$39:$A$45,0))</f>
        <v/>
      </c>
      <c r="AX204" s="22" t="str">
        <f>INDEX(Cronograma!AW$5:AW$11,MATCH($B204,Premissas!$A$39:$A$45,0))</f>
        <v/>
      </c>
      <c r="AY204" s="22" t="str">
        <f>INDEX(Cronograma!AX$5:AX$11,MATCH($B204,Premissas!$A$39:$A$45,0))</f>
        <v>A</v>
      </c>
      <c r="AZ204" s="22" t="str">
        <f>INDEX(Cronograma!AY$5:AY$11,MATCH($B204,Premissas!$A$39:$A$45,0))</f>
        <v/>
      </c>
      <c r="BA204" s="22" t="str">
        <f>INDEX(Cronograma!AZ$5:AZ$11,MATCH($B204,Premissas!$A$39:$A$45,0))</f>
        <v/>
      </c>
      <c r="BB204" s="22" t="str">
        <f>INDEX(Cronograma!BA$5:BA$11,MATCH($B204,Premissas!$A$39:$A$45,0))</f>
        <v/>
      </c>
    </row>
    <row r="205" spans="1:54" ht="15" customHeight="1" x14ac:dyDescent="0.4">
      <c r="A205" s="15" t="str">
        <f>Frota!$B205&amp;" — "&amp;Frota!$A205</f>
        <v>John Deere 6135J — 105137</v>
      </c>
      <c r="B205" s="16" t="str">
        <f>Frota!$C205</f>
        <v>Trator</v>
      </c>
      <c r="C205" s="22" t="str">
        <f>INDEX(Cronograma!B$5:B$11,MATCH($B205,Premissas!$A$39:$A$45,0))</f>
        <v/>
      </c>
      <c r="D205" s="22" t="str">
        <f>INDEX(Cronograma!C$5:C$11,MATCH($B205,Premissas!$A$39:$A$45,0))</f>
        <v/>
      </c>
      <c r="E205" s="22" t="str">
        <f>INDEX(Cronograma!D$5:D$11,MATCH($B205,Premissas!$A$39:$A$45,0))</f>
        <v/>
      </c>
      <c r="F205" s="22" t="str">
        <f>INDEX(Cronograma!E$5:E$11,MATCH($B205,Premissas!$A$39:$A$45,0))</f>
        <v/>
      </c>
      <c r="G205" s="22" t="str">
        <f>INDEX(Cronograma!F$5:F$11,MATCH($B205,Premissas!$A$39:$A$45,0))</f>
        <v/>
      </c>
      <c r="H205" s="22" t="str">
        <f>INDEX(Cronograma!G$5:G$11,MATCH($B205,Premissas!$A$39:$A$45,0))</f>
        <v/>
      </c>
      <c r="I205" s="22" t="str">
        <f>INDEX(Cronograma!H$5:H$11,MATCH($B205,Premissas!$A$39:$A$45,0))</f>
        <v>S</v>
      </c>
      <c r="J205" s="22" t="str">
        <f>INDEX(Cronograma!I$5:I$11,MATCH($B205,Premissas!$A$39:$A$45,0))</f>
        <v/>
      </c>
      <c r="K205" s="22" t="str">
        <f>INDEX(Cronograma!J$5:J$11,MATCH($B205,Premissas!$A$39:$A$45,0))</f>
        <v/>
      </c>
      <c r="L205" s="22" t="str">
        <f>INDEX(Cronograma!K$5:K$11,MATCH($B205,Premissas!$A$39:$A$45,0))</f>
        <v/>
      </c>
      <c r="M205" s="22" t="str">
        <f>INDEX(Cronograma!L$5:L$11,MATCH($B205,Premissas!$A$39:$A$45,0))</f>
        <v/>
      </c>
      <c r="N205" s="22" t="str">
        <f>INDEX(Cronograma!M$5:M$11,MATCH($B205,Premissas!$A$39:$A$45,0))</f>
        <v/>
      </c>
      <c r="O205" s="22" t="str">
        <f>INDEX(Cronograma!N$5:N$11,MATCH($B205,Premissas!$A$39:$A$45,0))</f>
        <v>A</v>
      </c>
      <c r="P205" s="22" t="str">
        <f>INDEX(Cronograma!O$5:O$11,MATCH($B205,Premissas!$A$39:$A$45,0))</f>
        <v/>
      </c>
      <c r="Q205" s="22" t="str">
        <f>INDEX(Cronograma!P$5:P$11,MATCH($B205,Premissas!$A$39:$A$45,0))</f>
        <v/>
      </c>
      <c r="R205" s="22" t="str">
        <f>INDEX(Cronograma!Q$5:Q$11,MATCH($B205,Premissas!$A$39:$A$45,0))</f>
        <v/>
      </c>
      <c r="S205" s="22" t="str">
        <f>INDEX(Cronograma!R$5:R$11,MATCH($B205,Premissas!$A$39:$A$45,0))</f>
        <v/>
      </c>
      <c r="T205" s="22" t="str">
        <f>INDEX(Cronograma!S$5:S$11,MATCH($B205,Premissas!$A$39:$A$45,0))</f>
        <v/>
      </c>
      <c r="U205" s="22" t="str">
        <f>INDEX(Cronograma!T$5:T$11,MATCH($B205,Premissas!$A$39:$A$45,0))</f>
        <v>S</v>
      </c>
      <c r="V205" s="22" t="str">
        <f>INDEX(Cronograma!U$5:U$11,MATCH($B205,Premissas!$A$39:$A$45,0))</f>
        <v/>
      </c>
      <c r="W205" s="22" t="str">
        <f>INDEX(Cronograma!V$5:V$11,MATCH($B205,Premissas!$A$39:$A$45,0))</f>
        <v/>
      </c>
      <c r="X205" s="22" t="str">
        <f>INDEX(Cronograma!W$5:W$11,MATCH($B205,Premissas!$A$39:$A$45,0))</f>
        <v/>
      </c>
      <c r="Y205" s="22" t="str">
        <f>INDEX(Cronograma!X$5:X$11,MATCH($B205,Premissas!$A$39:$A$45,0))</f>
        <v/>
      </c>
      <c r="Z205" s="22" t="str">
        <f>INDEX(Cronograma!Y$5:Y$11,MATCH($B205,Premissas!$A$39:$A$45,0))</f>
        <v/>
      </c>
      <c r="AA205" s="22" t="str">
        <f>INDEX(Cronograma!Z$5:Z$11,MATCH($B205,Premissas!$A$39:$A$45,0))</f>
        <v>B</v>
      </c>
      <c r="AB205" s="22" t="str">
        <f>INDEX(Cronograma!AA$5:AA$11,MATCH($B205,Premissas!$A$39:$A$45,0))</f>
        <v/>
      </c>
      <c r="AC205" s="22" t="str">
        <f>INDEX(Cronograma!AB$5:AB$11,MATCH($B205,Premissas!$A$39:$A$45,0))</f>
        <v/>
      </c>
      <c r="AD205" s="22" t="str">
        <f>INDEX(Cronograma!AC$5:AC$11,MATCH($B205,Premissas!$A$39:$A$45,0))</f>
        <v/>
      </c>
      <c r="AE205" s="22" t="str">
        <f>INDEX(Cronograma!AD$5:AD$11,MATCH($B205,Premissas!$A$39:$A$45,0))</f>
        <v/>
      </c>
      <c r="AF205" s="22" t="str">
        <f>INDEX(Cronograma!AE$5:AE$11,MATCH($B205,Premissas!$A$39:$A$45,0))</f>
        <v/>
      </c>
      <c r="AG205" s="22" t="str">
        <f>INDEX(Cronograma!AF$5:AF$11,MATCH($B205,Premissas!$A$39:$A$45,0))</f>
        <v/>
      </c>
      <c r="AH205" s="22" t="str">
        <f>INDEX(Cronograma!AG$5:AG$11,MATCH($B205,Premissas!$A$39:$A$45,0))</f>
        <v>S</v>
      </c>
      <c r="AI205" s="22" t="str">
        <f>INDEX(Cronograma!AH$5:AH$11,MATCH($B205,Premissas!$A$39:$A$45,0))</f>
        <v/>
      </c>
      <c r="AJ205" s="22" t="str">
        <f>INDEX(Cronograma!AI$5:AI$11,MATCH($B205,Premissas!$A$39:$A$45,0))</f>
        <v/>
      </c>
      <c r="AK205" s="22" t="str">
        <f>INDEX(Cronograma!AJ$5:AJ$11,MATCH($B205,Premissas!$A$39:$A$45,0))</f>
        <v/>
      </c>
      <c r="AL205" s="22" t="str">
        <f>INDEX(Cronograma!AK$5:AK$11,MATCH($B205,Premissas!$A$39:$A$45,0))</f>
        <v/>
      </c>
      <c r="AM205" s="22" t="str">
        <f>INDEX(Cronograma!AL$5:AL$11,MATCH($B205,Premissas!$A$39:$A$45,0))</f>
        <v/>
      </c>
      <c r="AN205" s="22" t="str">
        <f>INDEX(Cronograma!AM$5:AM$11,MATCH($B205,Premissas!$A$39:$A$45,0))</f>
        <v/>
      </c>
      <c r="AO205" s="22" t="str">
        <f>INDEX(Cronograma!AN$5:AN$11,MATCH($B205,Premissas!$A$39:$A$45,0))</f>
        <v/>
      </c>
      <c r="AP205" s="22" t="str">
        <f>INDEX(Cronograma!AO$5:AO$11,MATCH($B205,Premissas!$A$39:$A$45,0))</f>
        <v/>
      </c>
      <c r="AQ205" s="22" t="str">
        <f>INDEX(Cronograma!AP$5:AP$11,MATCH($B205,Premissas!$A$39:$A$45,0))</f>
        <v/>
      </c>
      <c r="AR205" s="22" t="str">
        <f>INDEX(Cronograma!AQ$5:AQ$11,MATCH($B205,Premissas!$A$39:$A$45,0))</f>
        <v/>
      </c>
      <c r="AS205" s="22" t="str">
        <f>INDEX(Cronograma!AR$5:AR$11,MATCH($B205,Premissas!$A$39:$A$45,0))</f>
        <v/>
      </c>
      <c r="AT205" s="22" t="str">
        <f>INDEX(Cronograma!AS$5:AS$11,MATCH($B205,Premissas!$A$39:$A$45,0))</f>
        <v/>
      </c>
      <c r="AU205" s="22" t="str">
        <f>INDEX(Cronograma!AT$5:AT$11,MATCH($B205,Premissas!$A$39:$A$45,0))</f>
        <v/>
      </c>
      <c r="AV205" s="22" t="str">
        <f>INDEX(Cronograma!AU$5:AU$11,MATCH($B205,Premissas!$A$39:$A$45,0))</f>
        <v/>
      </c>
      <c r="AW205" s="22" t="str">
        <f>INDEX(Cronograma!AV$5:AV$11,MATCH($B205,Premissas!$A$39:$A$45,0))</f>
        <v/>
      </c>
      <c r="AX205" s="22" t="str">
        <f>INDEX(Cronograma!AW$5:AW$11,MATCH($B205,Premissas!$A$39:$A$45,0))</f>
        <v/>
      </c>
      <c r="AY205" s="22" t="str">
        <f>INDEX(Cronograma!AX$5:AX$11,MATCH($B205,Premissas!$A$39:$A$45,0))</f>
        <v>A</v>
      </c>
      <c r="AZ205" s="22" t="str">
        <f>INDEX(Cronograma!AY$5:AY$11,MATCH($B205,Premissas!$A$39:$A$45,0))</f>
        <v/>
      </c>
      <c r="BA205" s="22" t="str">
        <f>INDEX(Cronograma!AZ$5:AZ$11,MATCH($B205,Premissas!$A$39:$A$45,0))</f>
        <v/>
      </c>
      <c r="BB205" s="22" t="str">
        <f>INDEX(Cronograma!BA$5:BA$11,MATCH($B205,Premissas!$A$39:$A$45,0))</f>
        <v/>
      </c>
    </row>
    <row r="206" spans="1:54" ht="15" customHeight="1" x14ac:dyDescent="0.4">
      <c r="A206" s="15" t="str">
        <f>Frota!$B206&amp;" — "&amp;Frota!$A206</f>
        <v>John Deere 6135J — 105138</v>
      </c>
      <c r="B206" s="16" t="str">
        <f>Frota!$C206</f>
        <v>Trator</v>
      </c>
      <c r="C206" s="22" t="str">
        <f>INDEX(Cronograma!B$5:B$11,MATCH($B206,Premissas!$A$39:$A$45,0))</f>
        <v/>
      </c>
      <c r="D206" s="22" t="str">
        <f>INDEX(Cronograma!C$5:C$11,MATCH($B206,Premissas!$A$39:$A$45,0))</f>
        <v/>
      </c>
      <c r="E206" s="22" t="str">
        <f>INDEX(Cronograma!D$5:D$11,MATCH($B206,Premissas!$A$39:$A$45,0))</f>
        <v/>
      </c>
      <c r="F206" s="22" t="str">
        <f>INDEX(Cronograma!E$5:E$11,MATCH($B206,Premissas!$A$39:$A$45,0))</f>
        <v/>
      </c>
      <c r="G206" s="22" t="str">
        <f>INDEX(Cronograma!F$5:F$11,MATCH($B206,Premissas!$A$39:$A$45,0))</f>
        <v/>
      </c>
      <c r="H206" s="22" t="str">
        <f>INDEX(Cronograma!G$5:G$11,MATCH($B206,Premissas!$A$39:$A$45,0))</f>
        <v/>
      </c>
      <c r="I206" s="22" t="str">
        <f>INDEX(Cronograma!H$5:H$11,MATCH($B206,Premissas!$A$39:$A$45,0))</f>
        <v>S</v>
      </c>
      <c r="J206" s="22" t="str">
        <f>INDEX(Cronograma!I$5:I$11,MATCH($B206,Premissas!$A$39:$A$45,0))</f>
        <v/>
      </c>
      <c r="K206" s="22" t="str">
        <f>INDEX(Cronograma!J$5:J$11,MATCH($B206,Premissas!$A$39:$A$45,0))</f>
        <v/>
      </c>
      <c r="L206" s="22" t="str">
        <f>INDEX(Cronograma!K$5:K$11,MATCH($B206,Premissas!$A$39:$A$45,0))</f>
        <v/>
      </c>
      <c r="M206" s="22" t="str">
        <f>INDEX(Cronograma!L$5:L$11,MATCH($B206,Premissas!$A$39:$A$45,0))</f>
        <v/>
      </c>
      <c r="N206" s="22" t="str">
        <f>INDEX(Cronograma!M$5:M$11,MATCH($B206,Premissas!$A$39:$A$45,0))</f>
        <v/>
      </c>
      <c r="O206" s="22" t="str">
        <f>INDEX(Cronograma!N$5:N$11,MATCH($B206,Premissas!$A$39:$A$45,0))</f>
        <v>A</v>
      </c>
      <c r="P206" s="22" t="str">
        <f>INDEX(Cronograma!O$5:O$11,MATCH($B206,Premissas!$A$39:$A$45,0))</f>
        <v/>
      </c>
      <c r="Q206" s="22" t="str">
        <f>INDEX(Cronograma!P$5:P$11,MATCH($B206,Premissas!$A$39:$A$45,0))</f>
        <v/>
      </c>
      <c r="R206" s="22" t="str">
        <f>INDEX(Cronograma!Q$5:Q$11,MATCH($B206,Premissas!$A$39:$A$45,0))</f>
        <v/>
      </c>
      <c r="S206" s="22" t="str">
        <f>INDEX(Cronograma!R$5:R$11,MATCH($B206,Premissas!$A$39:$A$45,0))</f>
        <v/>
      </c>
      <c r="T206" s="22" t="str">
        <f>INDEX(Cronograma!S$5:S$11,MATCH($B206,Premissas!$A$39:$A$45,0))</f>
        <v/>
      </c>
      <c r="U206" s="22" t="str">
        <f>INDEX(Cronograma!T$5:T$11,MATCH($B206,Premissas!$A$39:$A$45,0))</f>
        <v>S</v>
      </c>
      <c r="V206" s="22" t="str">
        <f>INDEX(Cronograma!U$5:U$11,MATCH($B206,Premissas!$A$39:$A$45,0))</f>
        <v/>
      </c>
      <c r="W206" s="22" t="str">
        <f>INDEX(Cronograma!V$5:V$11,MATCH($B206,Premissas!$A$39:$A$45,0))</f>
        <v/>
      </c>
      <c r="X206" s="22" t="str">
        <f>INDEX(Cronograma!W$5:W$11,MATCH($B206,Premissas!$A$39:$A$45,0))</f>
        <v/>
      </c>
      <c r="Y206" s="22" t="str">
        <f>INDEX(Cronograma!X$5:X$11,MATCH($B206,Premissas!$A$39:$A$45,0))</f>
        <v/>
      </c>
      <c r="Z206" s="22" t="str">
        <f>INDEX(Cronograma!Y$5:Y$11,MATCH($B206,Premissas!$A$39:$A$45,0))</f>
        <v/>
      </c>
      <c r="AA206" s="22" t="str">
        <f>INDEX(Cronograma!Z$5:Z$11,MATCH($B206,Premissas!$A$39:$A$45,0))</f>
        <v>B</v>
      </c>
      <c r="AB206" s="22" t="str">
        <f>INDEX(Cronograma!AA$5:AA$11,MATCH($B206,Premissas!$A$39:$A$45,0))</f>
        <v/>
      </c>
      <c r="AC206" s="22" t="str">
        <f>INDEX(Cronograma!AB$5:AB$11,MATCH($B206,Premissas!$A$39:$A$45,0))</f>
        <v/>
      </c>
      <c r="AD206" s="22" t="str">
        <f>INDEX(Cronograma!AC$5:AC$11,MATCH($B206,Premissas!$A$39:$A$45,0))</f>
        <v/>
      </c>
      <c r="AE206" s="22" t="str">
        <f>INDEX(Cronograma!AD$5:AD$11,MATCH($B206,Premissas!$A$39:$A$45,0))</f>
        <v/>
      </c>
      <c r="AF206" s="22" t="str">
        <f>INDEX(Cronograma!AE$5:AE$11,MATCH($B206,Premissas!$A$39:$A$45,0))</f>
        <v/>
      </c>
      <c r="AG206" s="22" t="str">
        <f>INDEX(Cronograma!AF$5:AF$11,MATCH($B206,Premissas!$A$39:$A$45,0))</f>
        <v/>
      </c>
      <c r="AH206" s="22" t="str">
        <f>INDEX(Cronograma!AG$5:AG$11,MATCH($B206,Premissas!$A$39:$A$45,0))</f>
        <v>S</v>
      </c>
      <c r="AI206" s="22" t="str">
        <f>INDEX(Cronograma!AH$5:AH$11,MATCH($B206,Premissas!$A$39:$A$45,0))</f>
        <v/>
      </c>
      <c r="AJ206" s="22" t="str">
        <f>INDEX(Cronograma!AI$5:AI$11,MATCH($B206,Premissas!$A$39:$A$45,0))</f>
        <v/>
      </c>
      <c r="AK206" s="22" t="str">
        <f>INDEX(Cronograma!AJ$5:AJ$11,MATCH($B206,Premissas!$A$39:$A$45,0))</f>
        <v/>
      </c>
      <c r="AL206" s="22" t="str">
        <f>INDEX(Cronograma!AK$5:AK$11,MATCH($B206,Premissas!$A$39:$A$45,0))</f>
        <v/>
      </c>
      <c r="AM206" s="22" t="str">
        <f>INDEX(Cronograma!AL$5:AL$11,MATCH($B206,Premissas!$A$39:$A$45,0))</f>
        <v/>
      </c>
      <c r="AN206" s="22" t="str">
        <f>INDEX(Cronograma!AM$5:AM$11,MATCH($B206,Premissas!$A$39:$A$45,0))</f>
        <v/>
      </c>
      <c r="AO206" s="22" t="str">
        <f>INDEX(Cronograma!AN$5:AN$11,MATCH($B206,Premissas!$A$39:$A$45,0))</f>
        <v/>
      </c>
      <c r="AP206" s="22" t="str">
        <f>INDEX(Cronograma!AO$5:AO$11,MATCH($B206,Premissas!$A$39:$A$45,0))</f>
        <v/>
      </c>
      <c r="AQ206" s="22" t="str">
        <f>INDEX(Cronograma!AP$5:AP$11,MATCH($B206,Premissas!$A$39:$A$45,0))</f>
        <v/>
      </c>
      <c r="AR206" s="22" t="str">
        <f>INDEX(Cronograma!AQ$5:AQ$11,MATCH($B206,Premissas!$A$39:$A$45,0))</f>
        <v/>
      </c>
      <c r="AS206" s="22" t="str">
        <f>INDEX(Cronograma!AR$5:AR$11,MATCH($B206,Premissas!$A$39:$A$45,0))</f>
        <v/>
      </c>
      <c r="AT206" s="22" t="str">
        <f>INDEX(Cronograma!AS$5:AS$11,MATCH($B206,Premissas!$A$39:$A$45,0))</f>
        <v/>
      </c>
      <c r="AU206" s="22" t="str">
        <f>INDEX(Cronograma!AT$5:AT$11,MATCH($B206,Premissas!$A$39:$A$45,0))</f>
        <v/>
      </c>
      <c r="AV206" s="22" t="str">
        <f>INDEX(Cronograma!AU$5:AU$11,MATCH($B206,Premissas!$A$39:$A$45,0))</f>
        <v/>
      </c>
      <c r="AW206" s="22" t="str">
        <f>INDEX(Cronograma!AV$5:AV$11,MATCH($B206,Premissas!$A$39:$A$45,0))</f>
        <v/>
      </c>
      <c r="AX206" s="22" t="str">
        <f>INDEX(Cronograma!AW$5:AW$11,MATCH($B206,Premissas!$A$39:$A$45,0))</f>
        <v/>
      </c>
      <c r="AY206" s="22" t="str">
        <f>INDEX(Cronograma!AX$5:AX$11,MATCH($B206,Premissas!$A$39:$A$45,0))</f>
        <v>A</v>
      </c>
      <c r="AZ206" s="22" t="str">
        <f>INDEX(Cronograma!AY$5:AY$11,MATCH($B206,Premissas!$A$39:$A$45,0))</f>
        <v/>
      </c>
      <c r="BA206" s="22" t="str">
        <f>INDEX(Cronograma!AZ$5:AZ$11,MATCH($B206,Premissas!$A$39:$A$45,0))</f>
        <v/>
      </c>
      <c r="BB206" s="22" t="str">
        <f>INDEX(Cronograma!BA$5:BA$11,MATCH($B206,Premissas!$A$39:$A$45,0))</f>
        <v/>
      </c>
    </row>
    <row r="207" spans="1:54" ht="15" customHeight="1" x14ac:dyDescent="0.4">
      <c r="A207" s="15" t="str">
        <f>Frota!$B207&amp;" — "&amp;Frota!$A207</f>
        <v>John Deere 6135J — 105139</v>
      </c>
      <c r="B207" s="16" t="str">
        <f>Frota!$C207</f>
        <v>Trator</v>
      </c>
      <c r="C207" s="22" t="str">
        <f>INDEX(Cronograma!B$5:B$11,MATCH($B207,Premissas!$A$39:$A$45,0))</f>
        <v/>
      </c>
      <c r="D207" s="22" t="str">
        <f>INDEX(Cronograma!C$5:C$11,MATCH($B207,Premissas!$A$39:$A$45,0))</f>
        <v/>
      </c>
      <c r="E207" s="22" t="str">
        <f>INDEX(Cronograma!D$5:D$11,MATCH($B207,Premissas!$A$39:$A$45,0))</f>
        <v/>
      </c>
      <c r="F207" s="22" t="str">
        <f>INDEX(Cronograma!E$5:E$11,MATCH($B207,Premissas!$A$39:$A$45,0))</f>
        <v/>
      </c>
      <c r="G207" s="22" t="str">
        <f>INDEX(Cronograma!F$5:F$11,MATCH($B207,Premissas!$A$39:$A$45,0))</f>
        <v/>
      </c>
      <c r="H207" s="22" t="str">
        <f>INDEX(Cronograma!G$5:G$11,MATCH($B207,Premissas!$A$39:$A$45,0))</f>
        <v/>
      </c>
      <c r="I207" s="22" t="str">
        <f>INDEX(Cronograma!H$5:H$11,MATCH($B207,Premissas!$A$39:$A$45,0))</f>
        <v>S</v>
      </c>
      <c r="J207" s="22" t="str">
        <f>INDEX(Cronograma!I$5:I$11,MATCH($B207,Premissas!$A$39:$A$45,0))</f>
        <v/>
      </c>
      <c r="K207" s="22" t="str">
        <f>INDEX(Cronograma!J$5:J$11,MATCH($B207,Premissas!$A$39:$A$45,0))</f>
        <v/>
      </c>
      <c r="L207" s="22" t="str">
        <f>INDEX(Cronograma!K$5:K$11,MATCH($B207,Premissas!$A$39:$A$45,0))</f>
        <v/>
      </c>
      <c r="M207" s="22" t="str">
        <f>INDEX(Cronograma!L$5:L$11,MATCH($B207,Premissas!$A$39:$A$45,0))</f>
        <v/>
      </c>
      <c r="N207" s="22" t="str">
        <f>INDEX(Cronograma!M$5:M$11,MATCH($B207,Premissas!$A$39:$A$45,0))</f>
        <v/>
      </c>
      <c r="O207" s="22" t="str">
        <f>INDEX(Cronograma!N$5:N$11,MATCH($B207,Premissas!$A$39:$A$45,0))</f>
        <v>A</v>
      </c>
      <c r="P207" s="22" t="str">
        <f>INDEX(Cronograma!O$5:O$11,MATCH($B207,Premissas!$A$39:$A$45,0))</f>
        <v/>
      </c>
      <c r="Q207" s="22" t="str">
        <f>INDEX(Cronograma!P$5:P$11,MATCH($B207,Premissas!$A$39:$A$45,0))</f>
        <v/>
      </c>
      <c r="R207" s="22" t="str">
        <f>INDEX(Cronograma!Q$5:Q$11,MATCH($B207,Premissas!$A$39:$A$45,0))</f>
        <v/>
      </c>
      <c r="S207" s="22" t="str">
        <f>INDEX(Cronograma!R$5:R$11,MATCH($B207,Premissas!$A$39:$A$45,0))</f>
        <v/>
      </c>
      <c r="T207" s="22" t="str">
        <f>INDEX(Cronograma!S$5:S$11,MATCH($B207,Premissas!$A$39:$A$45,0))</f>
        <v/>
      </c>
      <c r="U207" s="22" t="str">
        <f>INDEX(Cronograma!T$5:T$11,MATCH($B207,Premissas!$A$39:$A$45,0))</f>
        <v>S</v>
      </c>
      <c r="V207" s="22" t="str">
        <f>INDEX(Cronograma!U$5:U$11,MATCH($B207,Premissas!$A$39:$A$45,0))</f>
        <v/>
      </c>
      <c r="W207" s="22" t="str">
        <f>INDEX(Cronograma!V$5:V$11,MATCH($B207,Premissas!$A$39:$A$45,0))</f>
        <v/>
      </c>
      <c r="X207" s="22" t="str">
        <f>INDEX(Cronograma!W$5:W$11,MATCH($B207,Premissas!$A$39:$A$45,0))</f>
        <v/>
      </c>
      <c r="Y207" s="22" t="str">
        <f>INDEX(Cronograma!X$5:X$11,MATCH($B207,Premissas!$A$39:$A$45,0))</f>
        <v/>
      </c>
      <c r="Z207" s="22" t="str">
        <f>INDEX(Cronograma!Y$5:Y$11,MATCH($B207,Premissas!$A$39:$A$45,0))</f>
        <v/>
      </c>
      <c r="AA207" s="22" t="str">
        <f>INDEX(Cronograma!Z$5:Z$11,MATCH($B207,Premissas!$A$39:$A$45,0))</f>
        <v>B</v>
      </c>
      <c r="AB207" s="22" t="str">
        <f>INDEX(Cronograma!AA$5:AA$11,MATCH($B207,Premissas!$A$39:$A$45,0))</f>
        <v/>
      </c>
      <c r="AC207" s="22" t="str">
        <f>INDEX(Cronograma!AB$5:AB$11,MATCH($B207,Premissas!$A$39:$A$45,0))</f>
        <v/>
      </c>
      <c r="AD207" s="22" t="str">
        <f>INDEX(Cronograma!AC$5:AC$11,MATCH($B207,Premissas!$A$39:$A$45,0))</f>
        <v/>
      </c>
      <c r="AE207" s="22" t="str">
        <f>INDEX(Cronograma!AD$5:AD$11,MATCH($B207,Premissas!$A$39:$A$45,0))</f>
        <v/>
      </c>
      <c r="AF207" s="22" t="str">
        <f>INDEX(Cronograma!AE$5:AE$11,MATCH($B207,Premissas!$A$39:$A$45,0))</f>
        <v/>
      </c>
      <c r="AG207" s="22" t="str">
        <f>INDEX(Cronograma!AF$5:AF$11,MATCH($B207,Premissas!$A$39:$A$45,0))</f>
        <v/>
      </c>
      <c r="AH207" s="22" t="str">
        <f>INDEX(Cronograma!AG$5:AG$11,MATCH($B207,Premissas!$A$39:$A$45,0))</f>
        <v>S</v>
      </c>
      <c r="AI207" s="22" t="str">
        <f>INDEX(Cronograma!AH$5:AH$11,MATCH($B207,Premissas!$A$39:$A$45,0))</f>
        <v/>
      </c>
      <c r="AJ207" s="22" t="str">
        <f>INDEX(Cronograma!AI$5:AI$11,MATCH($B207,Premissas!$A$39:$A$45,0))</f>
        <v/>
      </c>
      <c r="AK207" s="22" t="str">
        <f>INDEX(Cronograma!AJ$5:AJ$11,MATCH($B207,Premissas!$A$39:$A$45,0))</f>
        <v/>
      </c>
      <c r="AL207" s="22" t="str">
        <f>INDEX(Cronograma!AK$5:AK$11,MATCH($B207,Premissas!$A$39:$A$45,0))</f>
        <v/>
      </c>
      <c r="AM207" s="22" t="str">
        <f>INDEX(Cronograma!AL$5:AL$11,MATCH($B207,Premissas!$A$39:$A$45,0))</f>
        <v/>
      </c>
      <c r="AN207" s="22" t="str">
        <f>INDEX(Cronograma!AM$5:AM$11,MATCH($B207,Premissas!$A$39:$A$45,0))</f>
        <v/>
      </c>
      <c r="AO207" s="22" t="str">
        <f>INDEX(Cronograma!AN$5:AN$11,MATCH($B207,Premissas!$A$39:$A$45,0))</f>
        <v/>
      </c>
      <c r="AP207" s="22" t="str">
        <f>INDEX(Cronograma!AO$5:AO$11,MATCH($B207,Premissas!$A$39:$A$45,0))</f>
        <v/>
      </c>
      <c r="AQ207" s="22" t="str">
        <f>INDEX(Cronograma!AP$5:AP$11,MATCH($B207,Premissas!$A$39:$A$45,0))</f>
        <v/>
      </c>
      <c r="AR207" s="22" t="str">
        <f>INDEX(Cronograma!AQ$5:AQ$11,MATCH($B207,Premissas!$A$39:$A$45,0))</f>
        <v/>
      </c>
      <c r="AS207" s="22" t="str">
        <f>INDEX(Cronograma!AR$5:AR$11,MATCH($B207,Premissas!$A$39:$A$45,0))</f>
        <v/>
      </c>
      <c r="AT207" s="22" t="str">
        <f>INDEX(Cronograma!AS$5:AS$11,MATCH($B207,Premissas!$A$39:$A$45,0))</f>
        <v/>
      </c>
      <c r="AU207" s="22" t="str">
        <f>INDEX(Cronograma!AT$5:AT$11,MATCH($B207,Premissas!$A$39:$A$45,0))</f>
        <v/>
      </c>
      <c r="AV207" s="22" t="str">
        <f>INDEX(Cronograma!AU$5:AU$11,MATCH($B207,Premissas!$A$39:$A$45,0))</f>
        <v/>
      </c>
      <c r="AW207" s="22" t="str">
        <f>INDEX(Cronograma!AV$5:AV$11,MATCH($B207,Premissas!$A$39:$A$45,0))</f>
        <v/>
      </c>
      <c r="AX207" s="22" t="str">
        <f>INDEX(Cronograma!AW$5:AW$11,MATCH($B207,Premissas!$A$39:$A$45,0))</f>
        <v/>
      </c>
      <c r="AY207" s="22" t="str">
        <f>INDEX(Cronograma!AX$5:AX$11,MATCH($B207,Premissas!$A$39:$A$45,0))</f>
        <v>A</v>
      </c>
      <c r="AZ207" s="22" t="str">
        <f>INDEX(Cronograma!AY$5:AY$11,MATCH($B207,Premissas!$A$39:$A$45,0))</f>
        <v/>
      </c>
      <c r="BA207" s="22" t="str">
        <f>INDEX(Cronograma!AZ$5:AZ$11,MATCH($B207,Premissas!$A$39:$A$45,0))</f>
        <v/>
      </c>
      <c r="BB207" s="22" t="str">
        <f>INDEX(Cronograma!BA$5:BA$11,MATCH($B207,Premissas!$A$39:$A$45,0))</f>
        <v/>
      </c>
    </row>
    <row r="208" spans="1:54" ht="15" customHeight="1" x14ac:dyDescent="0.4">
      <c r="A208" s="15" t="str">
        <f>Frota!$B208&amp;" — "&amp;Frota!$A208</f>
        <v>John Deere 6190J — 105140</v>
      </c>
      <c r="B208" s="16" t="str">
        <f>Frota!$C208</f>
        <v>Trator</v>
      </c>
      <c r="C208" s="22" t="str">
        <f>INDEX(Cronograma!B$5:B$11,MATCH($B208,Premissas!$A$39:$A$45,0))</f>
        <v/>
      </c>
      <c r="D208" s="22" t="str">
        <f>INDEX(Cronograma!C$5:C$11,MATCH($B208,Premissas!$A$39:$A$45,0))</f>
        <v/>
      </c>
      <c r="E208" s="22" t="str">
        <f>INDEX(Cronograma!D$5:D$11,MATCH($B208,Premissas!$A$39:$A$45,0))</f>
        <v/>
      </c>
      <c r="F208" s="22" t="str">
        <f>INDEX(Cronograma!E$5:E$11,MATCH($B208,Premissas!$A$39:$A$45,0))</f>
        <v/>
      </c>
      <c r="G208" s="22" t="str">
        <f>INDEX(Cronograma!F$5:F$11,MATCH($B208,Premissas!$A$39:$A$45,0))</f>
        <v/>
      </c>
      <c r="H208" s="22" t="str">
        <f>INDEX(Cronograma!G$5:G$11,MATCH($B208,Premissas!$A$39:$A$45,0))</f>
        <v/>
      </c>
      <c r="I208" s="22" t="str">
        <f>INDEX(Cronograma!H$5:H$11,MATCH($B208,Premissas!$A$39:$A$45,0))</f>
        <v>S</v>
      </c>
      <c r="J208" s="22" t="str">
        <f>INDEX(Cronograma!I$5:I$11,MATCH($B208,Premissas!$A$39:$A$45,0))</f>
        <v/>
      </c>
      <c r="K208" s="22" t="str">
        <f>INDEX(Cronograma!J$5:J$11,MATCH($B208,Premissas!$A$39:$A$45,0))</f>
        <v/>
      </c>
      <c r="L208" s="22" t="str">
        <f>INDEX(Cronograma!K$5:K$11,MATCH($B208,Premissas!$A$39:$A$45,0))</f>
        <v/>
      </c>
      <c r="M208" s="22" t="str">
        <f>INDEX(Cronograma!L$5:L$11,MATCH($B208,Premissas!$A$39:$A$45,0))</f>
        <v/>
      </c>
      <c r="N208" s="22" t="str">
        <f>INDEX(Cronograma!M$5:M$11,MATCH($B208,Premissas!$A$39:$A$45,0))</f>
        <v/>
      </c>
      <c r="O208" s="22" t="str">
        <f>INDEX(Cronograma!N$5:N$11,MATCH($B208,Premissas!$A$39:$A$45,0))</f>
        <v>A</v>
      </c>
      <c r="P208" s="22" t="str">
        <f>INDEX(Cronograma!O$5:O$11,MATCH($B208,Premissas!$A$39:$A$45,0))</f>
        <v/>
      </c>
      <c r="Q208" s="22" t="str">
        <f>INDEX(Cronograma!P$5:P$11,MATCH($B208,Premissas!$A$39:$A$45,0))</f>
        <v/>
      </c>
      <c r="R208" s="22" t="str">
        <f>INDEX(Cronograma!Q$5:Q$11,MATCH($B208,Premissas!$A$39:$A$45,0))</f>
        <v/>
      </c>
      <c r="S208" s="22" t="str">
        <f>INDEX(Cronograma!R$5:R$11,MATCH($B208,Premissas!$A$39:$A$45,0))</f>
        <v/>
      </c>
      <c r="T208" s="22" t="str">
        <f>INDEX(Cronograma!S$5:S$11,MATCH($B208,Premissas!$A$39:$A$45,0))</f>
        <v/>
      </c>
      <c r="U208" s="22" t="str">
        <f>INDEX(Cronograma!T$5:T$11,MATCH($B208,Premissas!$A$39:$A$45,0))</f>
        <v>S</v>
      </c>
      <c r="V208" s="22" t="str">
        <f>INDEX(Cronograma!U$5:U$11,MATCH($B208,Premissas!$A$39:$A$45,0))</f>
        <v/>
      </c>
      <c r="W208" s="22" t="str">
        <f>INDEX(Cronograma!V$5:V$11,MATCH($B208,Premissas!$A$39:$A$45,0))</f>
        <v/>
      </c>
      <c r="X208" s="22" t="str">
        <f>INDEX(Cronograma!W$5:W$11,MATCH($B208,Premissas!$A$39:$A$45,0))</f>
        <v/>
      </c>
      <c r="Y208" s="22" t="str">
        <f>INDEX(Cronograma!X$5:X$11,MATCH($B208,Premissas!$A$39:$A$45,0))</f>
        <v/>
      </c>
      <c r="Z208" s="22" t="str">
        <f>INDEX(Cronograma!Y$5:Y$11,MATCH($B208,Premissas!$A$39:$A$45,0))</f>
        <v/>
      </c>
      <c r="AA208" s="22" t="str">
        <f>INDEX(Cronograma!Z$5:Z$11,MATCH($B208,Premissas!$A$39:$A$45,0))</f>
        <v>B</v>
      </c>
      <c r="AB208" s="22" t="str">
        <f>INDEX(Cronograma!AA$5:AA$11,MATCH($B208,Premissas!$A$39:$A$45,0))</f>
        <v/>
      </c>
      <c r="AC208" s="22" t="str">
        <f>INDEX(Cronograma!AB$5:AB$11,MATCH($B208,Premissas!$A$39:$A$45,0))</f>
        <v/>
      </c>
      <c r="AD208" s="22" t="str">
        <f>INDEX(Cronograma!AC$5:AC$11,MATCH($B208,Premissas!$A$39:$A$45,0))</f>
        <v/>
      </c>
      <c r="AE208" s="22" t="str">
        <f>INDEX(Cronograma!AD$5:AD$11,MATCH($B208,Premissas!$A$39:$A$45,0))</f>
        <v/>
      </c>
      <c r="AF208" s="22" t="str">
        <f>INDEX(Cronograma!AE$5:AE$11,MATCH($B208,Premissas!$A$39:$A$45,0))</f>
        <v/>
      </c>
      <c r="AG208" s="22" t="str">
        <f>INDEX(Cronograma!AF$5:AF$11,MATCH($B208,Premissas!$A$39:$A$45,0))</f>
        <v/>
      </c>
      <c r="AH208" s="22" t="str">
        <f>INDEX(Cronograma!AG$5:AG$11,MATCH($B208,Premissas!$A$39:$A$45,0))</f>
        <v>S</v>
      </c>
      <c r="AI208" s="22" t="str">
        <f>INDEX(Cronograma!AH$5:AH$11,MATCH($B208,Premissas!$A$39:$A$45,0))</f>
        <v/>
      </c>
      <c r="AJ208" s="22" t="str">
        <f>INDEX(Cronograma!AI$5:AI$11,MATCH($B208,Premissas!$A$39:$A$45,0))</f>
        <v/>
      </c>
      <c r="AK208" s="22" t="str">
        <f>INDEX(Cronograma!AJ$5:AJ$11,MATCH($B208,Premissas!$A$39:$A$45,0))</f>
        <v/>
      </c>
      <c r="AL208" s="22" t="str">
        <f>INDEX(Cronograma!AK$5:AK$11,MATCH($B208,Premissas!$A$39:$A$45,0))</f>
        <v/>
      </c>
      <c r="AM208" s="22" t="str">
        <f>INDEX(Cronograma!AL$5:AL$11,MATCH($B208,Premissas!$A$39:$A$45,0))</f>
        <v/>
      </c>
      <c r="AN208" s="22" t="str">
        <f>INDEX(Cronograma!AM$5:AM$11,MATCH($B208,Premissas!$A$39:$A$45,0))</f>
        <v/>
      </c>
      <c r="AO208" s="22" t="str">
        <f>INDEX(Cronograma!AN$5:AN$11,MATCH($B208,Premissas!$A$39:$A$45,0))</f>
        <v/>
      </c>
      <c r="AP208" s="22" t="str">
        <f>INDEX(Cronograma!AO$5:AO$11,MATCH($B208,Premissas!$A$39:$A$45,0))</f>
        <v/>
      </c>
      <c r="AQ208" s="22" t="str">
        <f>INDEX(Cronograma!AP$5:AP$11,MATCH($B208,Premissas!$A$39:$A$45,0))</f>
        <v/>
      </c>
      <c r="AR208" s="22" t="str">
        <f>INDEX(Cronograma!AQ$5:AQ$11,MATCH($B208,Premissas!$A$39:$A$45,0))</f>
        <v/>
      </c>
      <c r="AS208" s="22" t="str">
        <f>INDEX(Cronograma!AR$5:AR$11,MATCH($B208,Premissas!$A$39:$A$45,0))</f>
        <v/>
      </c>
      <c r="AT208" s="22" t="str">
        <f>INDEX(Cronograma!AS$5:AS$11,MATCH($B208,Premissas!$A$39:$A$45,0))</f>
        <v/>
      </c>
      <c r="AU208" s="22" t="str">
        <f>INDEX(Cronograma!AT$5:AT$11,MATCH($B208,Premissas!$A$39:$A$45,0))</f>
        <v/>
      </c>
      <c r="AV208" s="22" t="str">
        <f>INDEX(Cronograma!AU$5:AU$11,MATCH($B208,Premissas!$A$39:$A$45,0))</f>
        <v/>
      </c>
      <c r="AW208" s="22" t="str">
        <f>INDEX(Cronograma!AV$5:AV$11,MATCH($B208,Premissas!$A$39:$A$45,0))</f>
        <v/>
      </c>
      <c r="AX208" s="22" t="str">
        <f>INDEX(Cronograma!AW$5:AW$11,MATCH($B208,Premissas!$A$39:$A$45,0))</f>
        <v/>
      </c>
      <c r="AY208" s="22" t="str">
        <f>INDEX(Cronograma!AX$5:AX$11,MATCH($B208,Premissas!$A$39:$A$45,0))</f>
        <v>A</v>
      </c>
      <c r="AZ208" s="22" t="str">
        <f>INDEX(Cronograma!AY$5:AY$11,MATCH($B208,Premissas!$A$39:$A$45,0))</f>
        <v/>
      </c>
      <c r="BA208" s="22" t="str">
        <f>INDEX(Cronograma!AZ$5:AZ$11,MATCH($B208,Premissas!$A$39:$A$45,0))</f>
        <v/>
      </c>
      <c r="BB208" s="22" t="str">
        <f>INDEX(Cronograma!BA$5:BA$11,MATCH($B208,Premissas!$A$39:$A$45,0))</f>
        <v/>
      </c>
    </row>
    <row r="209" spans="1:54" ht="15" customHeight="1" x14ac:dyDescent="0.4">
      <c r="A209" s="15" t="str">
        <f>Frota!$B209&amp;" — "&amp;Frota!$A209</f>
        <v>John Deere 6190J — 105141</v>
      </c>
      <c r="B209" s="16" t="str">
        <f>Frota!$C209</f>
        <v>Trator</v>
      </c>
      <c r="C209" s="22" t="str">
        <f>INDEX(Cronograma!B$5:B$11,MATCH($B209,Premissas!$A$39:$A$45,0))</f>
        <v/>
      </c>
      <c r="D209" s="22" t="str">
        <f>INDEX(Cronograma!C$5:C$11,MATCH($B209,Premissas!$A$39:$A$45,0))</f>
        <v/>
      </c>
      <c r="E209" s="22" t="str">
        <f>INDEX(Cronograma!D$5:D$11,MATCH($B209,Premissas!$A$39:$A$45,0))</f>
        <v/>
      </c>
      <c r="F209" s="22" t="str">
        <f>INDEX(Cronograma!E$5:E$11,MATCH($B209,Premissas!$A$39:$A$45,0))</f>
        <v/>
      </c>
      <c r="G209" s="22" t="str">
        <f>INDEX(Cronograma!F$5:F$11,MATCH($B209,Premissas!$A$39:$A$45,0))</f>
        <v/>
      </c>
      <c r="H209" s="22" t="str">
        <f>INDEX(Cronograma!G$5:G$11,MATCH($B209,Premissas!$A$39:$A$45,0))</f>
        <v/>
      </c>
      <c r="I209" s="22" t="str">
        <f>INDEX(Cronograma!H$5:H$11,MATCH($B209,Premissas!$A$39:$A$45,0))</f>
        <v>S</v>
      </c>
      <c r="J209" s="22" t="str">
        <f>INDEX(Cronograma!I$5:I$11,MATCH($B209,Premissas!$A$39:$A$45,0))</f>
        <v/>
      </c>
      <c r="K209" s="22" t="str">
        <f>INDEX(Cronograma!J$5:J$11,MATCH($B209,Premissas!$A$39:$A$45,0))</f>
        <v/>
      </c>
      <c r="L209" s="22" t="str">
        <f>INDEX(Cronograma!K$5:K$11,MATCH($B209,Premissas!$A$39:$A$45,0))</f>
        <v/>
      </c>
      <c r="M209" s="22" t="str">
        <f>INDEX(Cronograma!L$5:L$11,MATCH($B209,Premissas!$A$39:$A$45,0))</f>
        <v/>
      </c>
      <c r="N209" s="22" t="str">
        <f>INDEX(Cronograma!M$5:M$11,MATCH($B209,Premissas!$A$39:$A$45,0))</f>
        <v/>
      </c>
      <c r="O209" s="22" t="str">
        <f>INDEX(Cronograma!N$5:N$11,MATCH($B209,Premissas!$A$39:$A$45,0))</f>
        <v>A</v>
      </c>
      <c r="P209" s="22" t="str">
        <f>INDEX(Cronograma!O$5:O$11,MATCH($B209,Premissas!$A$39:$A$45,0))</f>
        <v/>
      </c>
      <c r="Q209" s="22" t="str">
        <f>INDEX(Cronograma!P$5:P$11,MATCH($B209,Premissas!$A$39:$A$45,0))</f>
        <v/>
      </c>
      <c r="R209" s="22" t="str">
        <f>INDEX(Cronograma!Q$5:Q$11,MATCH($B209,Premissas!$A$39:$A$45,0))</f>
        <v/>
      </c>
      <c r="S209" s="22" t="str">
        <f>INDEX(Cronograma!R$5:R$11,MATCH($B209,Premissas!$A$39:$A$45,0))</f>
        <v/>
      </c>
      <c r="T209" s="22" t="str">
        <f>INDEX(Cronograma!S$5:S$11,MATCH($B209,Premissas!$A$39:$A$45,0))</f>
        <v/>
      </c>
      <c r="U209" s="22" t="str">
        <f>INDEX(Cronograma!T$5:T$11,MATCH($B209,Premissas!$A$39:$A$45,0))</f>
        <v>S</v>
      </c>
      <c r="V209" s="22" t="str">
        <f>INDEX(Cronograma!U$5:U$11,MATCH($B209,Premissas!$A$39:$A$45,0))</f>
        <v/>
      </c>
      <c r="W209" s="22" t="str">
        <f>INDEX(Cronograma!V$5:V$11,MATCH($B209,Premissas!$A$39:$A$45,0))</f>
        <v/>
      </c>
      <c r="X209" s="22" t="str">
        <f>INDEX(Cronograma!W$5:W$11,MATCH($B209,Premissas!$A$39:$A$45,0))</f>
        <v/>
      </c>
      <c r="Y209" s="22" t="str">
        <f>INDEX(Cronograma!X$5:X$11,MATCH($B209,Premissas!$A$39:$A$45,0))</f>
        <v/>
      </c>
      <c r="Z209" s="22" t="str">
        <f>INDEX(Cronograma!Y$5:Y$11,MATCH($B209,Premissas!$A$39:$A$45,0))</f>
        <v/>
      </c>
      <c r="AA209" s="22" t="str">
        <f>INDEX(Cronograma!Z$5:Z$11,MATCH($B209,Premissas!$A$39:$A$45,0))</f>
        <v>B</v>
      </c>
      <c r="AB209" s="22" t="str">
        <f>INDEX(Cronograma!AA$5:AA$11,MATCH($B209,Premissas!$A$39:$A$45,0))</f>
        <v/>
      </c>
      <c r="AC209" s="22" t="str">
        <f>INDEX(Cronograma!AB$5:AB$11,MATCH($B209,Premissas!$A$39:$A$45,0))</f>
        <v/>
      </c>
      <c r="AD209" s="22" t="str">
        <f>INDEX(Cronograma!AC$5:AC$11,MATCH($B209,Premissas!$A$39:$A$45,0))</f>
        <v/>
      </c>
      <c r="AE209" s="22" t="str">
        <f>INDEX(Cronograma!AD$5:AD$11,MATCH($B209,Premissas!$A$39:$A$45,0))</f>
        <v/>
      </c>
      <c r="AF209" s="22" t="str">
        <f>INDEX(Cronograma!AE$5:AE$11,MATCH($B209,Premissas!$A$39:$A$45,0))</f>
        <v/>
      </c>
      <c r="AG209" s="22" t="str">
        <f>INDEX(Cronograma!AF$5:AF$11,MATCH($B209,Premissas!$A$39:$A$45,0))</f>
        <v/>
      </c>
      <c r="AH209" s="22" t="str">
        <f>INDEX(Cronograma!AG$5:AG$11,MATCH($B209,Premissas!$A$39:$A$45,0))</f>
        <v>S</v>
      </c>
      <c r="AI209" s="22" t="str">
        <f>INDEX(Cronograma!AH$5:AH$11,MATCH($B209,Premissas!$A$39:$A$45,0))</f>
        <v/>
      </c>
      <c r="AJ209" s="22" t="str">
        <f>INDEX(Cronograma!AI$5:AI$11,MATCH($B209,Premissas!$A$39:$A$45,0))</f>
        <v/>
      </c>
      <c r="AK209" s="22" t="str">
        <f>INDEX(Cronograma!AJ$5:AJ$11,MATCH($B209,Premissas!$A$39:$A$45,0))</f>
        <v/>
      </c>
      <c r="AL209" s="22" t="str">
        <f>INDEX(Cronograma!AK$5:AK$11,MATCH($B209,Premissas!$A$39:$A$45,0))</f>
        <v/>
      </c>
      <c r="AM209" s="22" t="str">
        <f>INDEX(Cronograma!AL$5:AL$11,MATCH($B209,Premissas!$A$39:$A$45,0))</f>
        <v/>
      </c>
      <c r="AN209" s="22" t="str">
        <f>INDEX(Cronograma!AM$5:AM$11,MATCH($B209,Premissas!$A$39:$A$45,0))</f>
        <v/>
      </c>
      <c r="AO209" s="22" t="str">
        <f>INDEX(Cronograma!AN$5:AN$11,MATCH($B209,Premissas!$A$39:$A$45,0))</f>
        <v/>
      </c>
      <c r="AP209" s="22" t="str">
        <f>INDEX(Cronograma!AO$5:AO$11,MATCH($B209,Premissas!$A$39:$A$45,0))</f>
        <v/>
      </c>
      <c r="AQ209" s="22" t="str">
        <f>INDEX(Cronograma!AP$5:AP$11,MATCH($B209,Premissas!$A$39:$A$45,0))</f>
        <v/>
      </c>
      <c r="AR209" s="22" t="str">
        <f>INDEX(Cronograma!AQ$5:AQ$11,MATCH($B209,Premissas!$A$39:$A$45,0))</f>
        <v/>
      </c>
      <c r="AS209" s="22" t="str">
        <f>INDEX(Cronograma!AR$5:AR$11,MATCH($B209,Premissas!$A$39:$A$45,0))</f>
        <v/>
      </c>
      <c r="AT209" s="22" t="str">
        <f>INDEX(Cronograma!AS$5:AS$11,MATCH($B209,Premissas!$A$39:$A$45,0))</f>
        <v/>
      </c>
      <c r="AU209" s="22" t="str">
        <f>INDEX(Cronograma!AT$5:AT$11,MATCH($B209,Premissas!$A$39:$A$45,0))</f>
        <v/>
      </c>
      <c r="AV209" s="22" t="str">
        <f>INDEX(Cronograma!AU$5:AU$11,MATCH($B209,Premissas!$A$39:$A$45,0))</f>
        <v/>
      </c>
      <c r="AW209" s="22" t="str">
        <f>INDEX(Cronograma!AV$5:AV$11,MATCH($B209,Premissas!$A$39:$A$45,0))</f>
        <v/>
      </c>
      <c r="AX209" s="22" t="str">
        <f>INDEX(Cronograma!AW$5:AW$11,MATCH($B209,Premissas!$A$39:$A$45,0))</f>
        <v/>
      </c>
      <c r="AY209" s="22" t="str">
        <f>INDEX(Cronograma!AX$5:AX$11,MATCH($B209,Premissas!$A$39:$A$45,0))</f>
        <v>A</v>
      </c>
      <c r="AZ209" s="22" t="str">
        <f>INDEX(Cronograma!AY$5:AY$11,MATCH($B209,Premissas!$A$39:$A$45,0))</f>
        <v/>
      </c>
      <c r="BA209" s="22" t="str">
        <f>INDEX(Cronograma!AZ$5:AZ$11,MATCH($B209,Premissas!$A$39:$A$45,0))</f>
        <v/>
      </c>
      <c r="BB209" s="22" t="str">
        <f>INDEX(Cronograma!BA$5:BA$11,MATCH($B209,Premissas!$A$39:$A$45,0))</f>
        <v/>
      </c>
    </row>
    <row r="210" spans="1:54" ht="15" customHeight="1" x14ac:dyDescent="0.4">
      <c r="A210" s="15" t="str">
        <f>Frota!$B210&amp;" — "&amp;Frota!$A210</f>
        <v>John Deere 6190J — 105142</v>
      </c>
      <c r="B210" s="16" t="str">
        <f>Frota!$C210</f>
        <v>Trator</v>
      </c>
      <c r="C210" s="22" t="str">
        <f>INDEX(Cronograma!B$5:B$11,MATCH($B210,Premissas!$A$39:$A$45,0))</f>
        <v/>
      </c>
      <c r="D210" s="22" t="str">
        <f>INDEX(Cronograma!C$5:C$11,MATCH($B210,Premissas!$A$39:$A$45,0))</f>
        <v/>
      </c>
      <c r="E210" s="22" t="str">
        <f>INDEX(Cronograma!D$5:D$11,MATCH($B210,Premissas!$A$39:$A$45,0))</f>
        <v/>
      </c>
      <c r="F210" s="22" t="str">
        <f>INDEX(Cronograma!E$5:E$11,MATCH($B210,Premissas!$A$39:$A$45,0))</f>
        <v/>
      </c>
      <c r="G210" s="22" t="str">
        <f>INDEX(Cronograma!F$5:F$11,MATCH($B210,Premissas!$A$39:$A$45,0))</f>
        <v/>
      </c>
      <c r="H210" s="22" t="str">
        <f>INDEX(Cronograma!G$5:G$11,MATCH($B210,Premissas!$A$39:$A$45,0))</f>
        <v/>
      </c>
      <c r="I210" s="22" t="str">
        <f>INDEX(Cronograma!H$5:H$11,MATCH($B210,Premissas!$A$39:$A$45,0))</f>
        <v>S</v>
      </c>
      <c r="J210" s="22" t="str">
        <f>INDEX(Cronograma!I$5:I$11,MATCH($B210,Premissas!$A$39:$A$45,0))</f>
        <v/>
      </c>
      <c r="K210" s="22" t="str">
        <f>INDEX(Cronograma!J$5:J$11,MATCH($B210,Premissas!$A$39:$A$45,0))</f>
        <v/>
      </c>
      <c r="L210" s="22" t="str">
        <f>INDEX(Cronograma!K$5:K$11,MATCH($B210,Premissas!$A$39:$A$45,0))</f>
        <v/>
      </c>
      <c r="M210" s="22" t="str">
        <f>INDEX(Cronograma!L$5:L$11,MATCH($B210,Premissas!$A$39:$A$45,0))</f>
        <v/>
      </c>
      <c r="N210" s="22" t="str">
        <f>INDEX(Cronograma!M$5:M$11,MATCH($B210,Premissas!$A$39:$A$45,0))</f>
        <v/>
      </c>
      <c r="O210" s="22" t="str">
        <f>INDEX(Cronograma!N$5:N$11,MATCH($B210,Premissas!$A$39:$A$45,0))</f>
        <v>A</v>
      </c>
      <c r="P210" s="22" t="str">
        <f>INDEX(Cronograma!O$5:O$11,MATCH($B210,Premissas!$A$39:$A$45,0))</f>
        <v/>
      </c>
      <c r="Q210" s="22" t="str">
        <f>INDEX(Cronograma!P$5:P$11,MATCH($B210,Premissas!$A$39:$A$45,0))</f>
        <v/>
      </c>
      <c r="R210" s="22" t="str">
        <f>INDEX(Cronograma!Q$5:Q$11,MATCH($B210,Premissas!$A$39:$A$45,0))</f>
        <v/>
      </c>
      <c r="S210" s="22" t="str">
        <f>INDEX(Cronograma!R$5:R$11,MATCH($B210,Premissas!$A$39:$A$45,0))</f>
        <v/>
      </c>
      <c r="T210" s="22" t="str">
        <f>INDEX(Cronograma!S$5:S$11,MATCH($B210,Premissas!$A$39:$A$45,0))</f>
        <v/>
      </c>
      <c r="U210" s="22" t="str">
        <f>INDEX(Cronograma!T$5:T$11,MATCH($B210,Premissas!$A$39:$A$45,0))</f>
        <v>S</v>
      </c>
      <c r="V210" s="22" t="str">
        <f>INDEX(Cronograma!U$5:U$11,MATCH($B210,Premissas!$A$39:$A$45,0))</f>
        <v/>
      </c>
      <c r="W210" s="22" t="str">
        <f>INDEX(Cronograma!V$5:V$11,MATCH($B210,Premissas!$A$39:$A$45,0))</f>
        <v/>
      </c>
      <c r="X210" s="22" t="str">
        <f>INDEX(Cronograma!W$5:W$11,MATCH($B210,Premissas!$A$39:$A$45,0))</f>
        <v/>
      </c>
      <c r="Y210" s="22" t="str">
        <f>INDEX(Cronograma!X$5:X$11,MATCH($B210,Premissas!$A$39:$A$45,0))</f>
        <v/>
      </c>
      <c r="Z210" s="22" t="str">
        <f>INDEX(Cronograma!Y$5:Y$11,MATCH($B210,Premissas!$A$39:$A$45,0))</f>
        <v/>
      </c>
      <c r="AA210" s="22" t="str">
        <f>INDEX(Cronograma!Z$5:Z$11,MATCH($B210,Premissas!$A$39:$A$45,0))</f>
        <v>B</v>
      </c>
      <c r="AB210" s="22" t="str">
        <f>INDEX(Cronograma!AA$5:AA$11,MATCH($B210,Premissas!$A$39:$A$45,0))</f>
        <v/>
      </c>
      <c r="AC210" s="22" t="str">
        <f>INDEX(Cronograma!AB$5:AB$11,MATCH($B210,Premissas!$A$39:$A$45,0))</f>
        <v/>
      </c>
      <c r="AD210" s="22" t="str">
        <f>INDEX(Cronograma!AC$5:AC$11,MATCH($B210,Premissas!$A$39:$A$45,0))</f>
        <v/>
      </c>
      <c r="AE210" s="22" t="str">
        <f>INDEX(Cronograma!AD$5:AD$11,MATCH($B210,Premissas!$A$39:$A$45,0))</f>
        <v/>
      </c>
      <c r="AF210" s="22" t="str">
        <f>INDEX(Cronograma!AE$5:AE$11,MATCH($B210,Premissas!$A$39:$A$45,0))</f>
        <v/>
      </c>
      <c r="AG210" s="22" t="str">
        <f>INDEX(Cronograma!AF$5:AF$11,MATCH($B210,Premissas!$A$39:$A$45,0))</f>
        <v/>
      </c>
      <c r="AH210" s="22" t="str">
        <f>INDEX(Cronograma!AG$5:AG$11,MATCH($B210,Premissas!$A$39:$A$45,0))</f>
        <v>S</v>
      </c>
      <c r="AI210" s="22" t="str">
        <f>INDEX(Cronograma!AH$5:AH$11,MATCH($B210,Premissas!$A$39:$A$45,0))</f>
        <v/>
      </c>
      <c r="AJ210" s="22" t="str">
        <f>INDEX(Cronograma!AI$5:AI$11,MATCH($B210,Premissas!$A$39:$A$45,0))</f>
        <v/>
      </c>
      <c r="AK210" s="22" t="str">
        <f>INDEX(Cronograma!AJ$5:AJ$11,MATCH($B210,Premissas!$A$39:$A$45,0))</f>
        <v/>
      </c>
      <c r="AL210" s="22" t="str">
        <f>INDEX(Cronograma!AK$5:AK$11,MATCH($B210,Premissas!$A$39:$A$45,0))</f>
        <v/>
      </c>
      <c r="AM210" s="22" t="str">
        <f>INDEX(Cronograma!AL$5:AL$11,MATCH($B210,Premissas!$A$39:$A$45,0))</f>
        <v/>
      </c>
      <c r="AN210" s="22" t="str">
        <f>INDEX(Cronograma!AM$5:AM$11,MATCH($B210,Premissas!$A$39:$A$45,0))</f>
        <v/>
      </c>
      <c r="AO210" s="22" t="str">
        <f>INDEX(Cronograma!AN$5:AN$11,MATCH($B210,Premissas!$A$39:$A$45,0))</f>
        <v/>
      </c>
      <c r="AP210" s="22" t="str">
        <f>INDEX(Cronograma!AO$5:AO$11,MATCH($B210,Premissas!$A$39:$A$45,0))</f>
        <v/>
      </c>
      <c r="AQ210" s="22" t="str">
        <f>INDEX(Cronograma!AP$5:AP$11,MATCH($B210,Premissas!$A$39:$A$45,0))</f>
        <v/>
      </c>
      <c r="AR210" s="22" t="str">
        <f>INDEX(Cronograma!AQ$5:AQ$11,MATCH($B210,Premissas!$A$39:$A$45,0))</f>
        <v/>
      </c>
      <c r="AS210" s="22" t="str">
        <f>INDEX(Cronograma!AR$5:AR$11,MATCH($B210,Premissas!$A$39:$A$45,0))</f>
        <v/>
      </c>
      <c r="AT210" s="22" t="str">
        <f>INDEX(Cronograma!AS$5:AS$11,MATCH($B210,Premissas!$A$39:$A$45,0))</f>
        <v/>
      </c>
      <c r="AU210" s="22" t="str">
        <f>INDEX(Cronograma!AT$5:AT$11,MATCH($B210,Premissas!$A$39:$A$45,0))</f>
        <v/>
      </c>
      <c r="AV210" s="22" t="str">
        <f>INDEX(Cronograma!AU$5:AU$11,MATCH($B210,Premissas!$A$39:$A$45,0))</f>
        <v/>
      </c>
      <c r="AW210" s="22" t="str">
        <f>INDEX(Cronograma!AV$5:AV$11,MATCH($B210,Premissas!$A$39:$A$45,0))</f>
        <v/>
      </c>
      <c r="AX210" s="22" t="str">
        <f>INDEX(Cronograma!AW$5:AW$11,MATCH($B210,Premissas!$A$39:$A$45,0))</f>
        <v/>
      </c>
      <c r="AY210" s="22" t="str">
        <f>INDEX(Cronograma!AX$5:AX$11,MATCH($B210,Premissas!$A$39:$A$45,0))</f>
        <v>A</v>
      </c>
      <c r="AZ210" s="22" t="str">
        <f>INDEX(Cronograma!AY$5:AY$11,MATCH($B210,Premissas!$A$39:$A$45,0))</f>
        <v/>
      </c>
      <c r="BA210" s="22" t="str">
        <f>INDEX(Cronograma!AZ$5:AZ$11,MATCH($B210,Premissas!$A$39:$A$45,0))</f>
        <v/>
      </c>
      <c r="BB210" s="22" t="str">
        <f>INDEX(Cronograma!BA$5:BA$11,MATCH($B210,Premissas!$A$39:$A$45,0))</f>
        <v/>
      </c>
    </row>
    <row r="211" spans="1:54" ht="15" customHeight="1" x14ac:dyDescent="0.4">
      <c r="A211" s="15" t="str">
        <f>Frota!$B211&amp;" — "&amp;Frota!$A211</f>
        <v>John Deere 6190J — 105143</v>
      </c>
      <c r="B211" s="16" t="str">
        <f>Frota!$C211</f>
        <v>Trator</v>
      </c>
      <c r="C211" s="22" t="str">
        <f>INDEX(Cronograma!B$5:B$11,MATCH($B211,Premissas!$A$39:$A$45,0))</f>
        <v/>
      </c>
      <c r="D211" s="22" t="str">
        <f>INDEX(Cronograma!C$5:C$11,MATCH($B211,Premissas!$A$39:$A$45,0))</f>
        <v/>
      </c>
      <c r="E211" s="22" t="str">
        <f>INDEX(Cronograma!D$5:D$11,MATCH($B211,Premissas!$A$39:$A$45,0))</f>
        <v/>
      </c>
      <c r="F211" s="22" t="str">
        <f>INDEX(Cronograma!E$5:E$11,MATCH($B211,Premissas!$A$39:$A$45,0))</f>
        <v/>
      </c>
      <c r="G211" s="22" t="str">
        <f>INDEX(Cronograma!F$5:F$11,MATCH($B211,Premissas!$A$39:$A$45,0))</f>
        <v/>
      </c>
      <c r="H211" s="22" t="str">
        <f>INDEX(Cronograma!G$5:G$11,MATCH($B211,Premissas!$A$39:$A$45,0))</f>
        <v/>
      </c>
      <c r="I211" s="22" t="str">
        <f>INDEX(Cronograma!H$5:H$11,MATCH($B211,Premissas!$A$39:$A$45,0))</f>
        <v>S</v>
      </c>
      <c r="J211" s="22" t="str">
        <f>INDEX(Cronograma!I$5:I$11,MATCH($B211,Premissas!$A$39:$A$45,0))</f>
        <v/>
      </c>
      <c r="K211" s="22" t="str">
        <f>INDEX(Cronograma!J$5:J$11,MATCH($B211,Premissas!$A$39:$A$45,0))</f>
        <v/>
      </c>
      <c r="L211" s="22" t="str">
        <f>INDEX(Cronograma!K$5:K$11,MATCH($B211,Premissas!$A$39:$A$45,0))</f>
        <v/>
      </c>
      <c r="M211" s="22" t="str">
        <f>INDEX(Cronograma!L$5:L$11,MATCH($B211,Premissas!$A$39:$A$45,0))</f>
        <v/>
      </c>
      <c r="N211" s="22" t="str">
        <f>INDEX(Cronograma!M$5:M$11,MATCH($B211,Premissas!$A$39:$A$45,0))</f>
        <v/>
      </c>
      <c r="O211" s="22" t="str">
        <f>INDEX(Cronograma!N$5:N$11,MATCH($B211,Premissas!$A$39:$A$45,0))</f>
        <v>A</v>
      </c>
      <c r="P211" s="22" t="str">
        <f>INDEX(Cronograma!O$5:O$11,MATCH($B211,Premissas!$A$39:$A$45,0))</f>
        <v/>
      </c>
      <c r="Q211" s="22" t="str">
        <f>INDEX(Cronograma!P$5:P$11,MATCH($B211,Premissas!$A$39:$A$45,0))</f>
        <v/>
      </c>
      <c r="R211" s="22" t="str">
        <f>INDEX(Cronograma!Q$5:Q$11,MATCH($B211,Premissas!$A$39:$A$45,0))</f>
        <v/>
      </c>
      <c r="S211" s="22" t="str">
        <f>INDEX(Cronograma!R$5:R$11,MATCH($B211,Premissas!$A$39:$A$45,0))</f>
        <v/>
      </c>
      <c r="T211" s="22" t="str">
        <f>INDEX(Cronograma!S$5:S$11,MATCH($B211,Premissas!$A$39:$A$45,0))</f>
        <v/>
      </c>
      <c r="U211" s="22" t="str">
        <f>INDEX(Cronograma!T$5:T$11,MATCH($B211,Premissas!$A$39:$A$45,0))</f>
        <v>S</v>
      </c>
      <c r="V211" s="22" t="str">
        <f>INDEX(Cronograma!U$5:U$11,MATCH($B211,Premissas!$A$39:$A$45,0))</f>
        <v/>
      </c>
      <c r="W211" s="22" t="str">
        <f>INDEX(Cronograma!V$5:V$11,MATCH($B211,Premissas!$A$39:$A$45,0))</f>
        <v/>
      </c>
      <c r="X211" s="22" t="str">
        <f>INDEX(Cronograma!W$5:W$11,MATCH($B211,Premissas!$A$39:$A$45,0))</f>
        <v/>
      </c>
      <c r="Y211" s="22" t="str">
        <f>INDEX(Cronograma!X$5:X$11,MATCH($B211,Premissas!$A$39:$A$45,0))</f>
        <v/>
      </c>
      <c r="Z211" s="22" t="str">
        <f>INDEX(Cronograma!Y$5:Y$11,MATCH($B211,Premissas!$A$39:$A$45,0))</f>
        <v/>
      </c>
      <c r="AA211" s="22" t="str">
        <f>INDEX(Cronograma!Z$5:Z$11,MATCH($B211,Premissas!$A$39:$A$45,0))</f>
        <v>B</v>
      </c>
      <c r="AB211" s="22" t="str">
        <f>INDEX(Cronograma!AA$5:AA$11,MATCH($B211,Premissas!$A$39:$A$45,0))</f>
        <v/>
      </c>
      <c r="AC211" s="22" t="str">
        <f>INDEX(Cronograma!AB$5:AB$11,MATCH($B211,Premissas!$A$39:$A$45,0))</f>
        <v/>
      </c>
      <c r="AD211" s="22" t="str">
        <f>INDEX(Cronograma!AC$5:AC$11,MATCH($B211,Premissas!$A$39:$A$45,0))</f>
        <v/>
      </c>
      <c r="AE211" s="22" t="str">
        <f>INDEX(Cronograma!AD$5:AD$11,MATCH($B211,Premissas!$A$39:$A$45,0))</f>
        <v/>
      </c>
      <c r="AF211" s="22" t="str">
        <f>INDEX(Cronograma!AE$5:AE$11,MATCH($B211,Premissas!$A$39:$A$45,0))</f>
        <v/>
      </c>
      <c r="AG211" s="22" t="str">
        <f>INDEX(Cronograma!AF$5:AF$11,MATCH($B211,Premissas!$A$39:$A$45,0))</f>
        <v/>
      </c>
      <c r="AH211" s="22" t="str">
        <f>INDEX(Cronograma!AG$5:AG$11,MATCH($B211,Premissas!$A$39:$A$45,0))</f>
        <v>S</v>
      </c>
      <c r="AI211" s="22" t="str">
        <f>INDEX(Cronograma!AH$5:AH$11,MATCH($B211,Premissas!$A$39:$A$45,0))</f>
        <v/>
      </c>
      <c r="AJ211" s="22" t="str">
        <f>INDEX(Cronograma!AI$5:AI$11,MATCH($B211,Premissas!$A$39:$A$45,0))</f>
        <v/>
      </c>
      <c r="AK211" s="22" t="str">
        <f>INDEX(Cronograma!AJ$5:AJ$11,MATCH($B211,Premissas!$A$39:$A$45,0))</f>
        <v/>
      </c>
      <c r="AL211" s="22" t="str">
        <f>INDEX(Cronograma!AK$5:AK$11,MATCH($B211,Premissas!$A$39:$A$45,0))</f>
        <v/>
      </c>
      <c r="AM211" s="22" t="str">
        <f>INDEX(Cronograma!AL$5:AL$11,MATCH($B211,Premissas!$A$39:$A$45,0))</f>
        <v/>
      </c>
      <c r="AN211" s="22" t="str">
        <f>INDEX(Cronograma!AM$5:AM$11,MATCH($B211,Premissas!$A$39:$A$45,0))</f>
        <v/>
      </c>
      <c r="AO211" s="22" t="str">
        <f>INDEX(Cronograma!AN$5:AN$11,MATCH($B211,Premissas!$A$39:$A$45,0))</f>
        <v/>
      </c>
      <c r="AP211" s="22" t="str">
        <f>INDEX(Cronograma!AO$5:AO$11,MATCH($B211,Premissas!$A$39:$A$45,0))</f>
        <v/>
      </c>
      <c r="AQ211" s="22" t="str">
        <f>INDEX(Cronograma!AP$5:AP$11,MATCH($B211,Premissas!$A$39:$A$45,0))</f>
        <v/>
      </c>
      <c r="AR211" s="22" t="str">
        <f>INDEX(Cronograma!AQ$5:AQ$11,MATCH($B211,Premissas!$A$39:$A$45,0))</f>
        <v/>
      </c>
      <c r="AS211" s="22" t="str">
        <f>INDEX(Cronograma!AR$5:AR$11,MATCH($B211,Premissas!$A$39:$A$45,0))</f>
        <v/>
      </c>
      <c r="AT211" s="22" t="str">
        <f>INDEX(Cronograma!AS$5:AS$11,MATCH($B211,Premissas!$A$39:$A$45,0))</f>
        <v/>
      </c>
      <c r="AU211" s="22" t="str">
        <f>INDEX(Cronograma!AT$5:AT$11,MATCH($B211,Premissas!$A$39:$A$45,0))</f>
        <v/>
      </c>
      <c r="AV211" s="22" t="str">
        <f>INDEX(Cronograma!AU$5:AU$11,MATCH($B211,Premissas!$A$39:$A$45,0))</f>
        <v/>
      </c>
      <c r="AW211" s="22" t="str">
        <f>INDEX(Cronograma!AV$5:AV$11,MATCH($B211,Premissas!$A$39:$A$45,0))</f>
        <v/>
      </c>
      <c r="AX211" s="22" t="str">
        <f>INDEX(Cronograma!AW$5:AW$11,MATCH($B211,Premissas!$A$39:$A$45,0))</f>
        <v/>
      </c>
      <c r="AY211" s="22" t="str">
        <f>INDEX(Cronograma!AX$5:AX$11,MATCH($B211,Premissas!$A$39:$A$45,0))</f>
        <v>A</v>
      </c>
      <c r="AZ211" s="22" t="str">
        <f>INDEX(Cronograma!AY$5:AY$11,MATCH($B211,Premissas!$A$39:$A$45,0))</f>
        <v/>
      </c>
      <c r="BA211" s="22" t="str">
        <f>INDEX(Cronograma!AZ$5:AZ$11,MATCH($B211,Premissas!$A$39:$A$45,0))</f>
        <v/>
      </c>
      <c r="BB211" s="22" t="str">
        <f>INDEX(Cronograma!BA$5:BA$11,MATCH($B211,Premissas!$A$39:$A$45,0))</f>
        <v/>
      </c>
    </row>
    <row r="212" spans="1:54" ht="15" customHeight="1" x14ac:dyDescent="0.4">
      <c r="A212" s="15" t="str">
        <f>Frota!$B212&amp;" — "&amp;Frota!$A212</f>
        <v>John Deere 6190J — 105144</v>
      </c>
      <c r="B212" s="16" t="str">
        <f>Frota!$C212</f>
        <v>Trator</v>
      </c>
      <c r="C212" s="22" t="str">
        <f>INDEX(Cronograma!B$5:B$11,MATCH($B212,Premissas!$A$39:$A$45,0))</f>
        <v/>
      </c>
      <c r="D212" s="22" t="str">
        <f>INDEX(Cronograma!C$5:C$11,MATCH($B212,Premissas!$A$39:$A$45,0))</f>
        <v/>
      </c>
      <c r="E212" s="22" t="str">
        <f>INDEX(Cronograma!D$5:D$11,MATCH($B212,Premissas!$A$39:$A$45,0))</f>
        <v/>
      </c>
      <c r="F212" s="22" t="str">
        <f>INDEX(Cronograma!E$5:E$11,MATCH($B212,Premissas!$A$39:$A$45,0))</f>
        <v/>
      </c>
      <c r="G212" s="22" t="str">
        <f>INDEX(Cronograma!F$5:F$11,MATCH($B212,Premissas!$A$39:$A$45,0))</f>
        <v/>
      </c>
      <c r="H212" s="22" t="str">
        <f>INDEX(Cronograma!G$5:G$11,MATCH($B212,Premissas!$A$39:$A$45,0))</f>
        <v/>
      </c>
      <c r="I212" s="22" t="str">
        <f>INDEX(Cronograma!H$5:H$11,MATCH($B212,Premissas!$A$39:$A$45,0))</f>
        <v>S</v>
      </c>
      <c r="J212" s="22" t="str">
        <f>INDEX(Cronograma!I$5:I$11,MATCH($B212,Premissas!$A$39:$A$45,0))</f>
        <v/>
      </c>
      <c r="K212" s="22" t="str">
        <f>INDEX(Cronograma!J$5:J$11,MATCH($B212,Premissas!$A$39:$A$45,0))</f>
        <v/>
      </c>
      <c r="L212" s="22" t="str">
        <f>INDEX(Cronograma!K$5:K$11,MATCH($B212,Premissas!$A$39:$A$45,0))</f>
        <v/>
      </c>
      <c r="M212" s="22" t="str">
        <f>INDEX(Cronograma!L$5:L$11,MATCH($B212,Premissas!$A$39:$A$45,0))</f>
        <v/>
      </c>
      <c r="N212" s="22" t="str">
        <f>INDEX(Cronograma!M$5:M$11,MATCH($B212,Premissas!$A$39:$A$45,0))</f>
        <v/>
      </c>
      <c r="O212" s="22" t="str">
        <f>INDEX(Cronograma!N$5:N$11,MATCH($B212,Premissas!$A$39:$A$45,0))</f>
        <v>A</v>
      </c>
      <c r="P212" s="22" t="str">
        <f>INDEX(Cronograma!O$5:O$11,MATCH($B212,Premissas!$A$39:$A$45,0))</f>
        <v/>
      </c>
      <c r="Q212" s="22" t="str">
        <f>INDEX(Cronograma!P$5:P$11,MATCH($B212,Premissas!$A$39:$A$45,0))</f>
        <v/>
      </c>
      <c r="R212" s="22" t="str">
        <f>INDEX(Cronograma!Q$5:Q$11,MATCH($B212,Premissas!$A$39:$A$45,0))</f>
        <v/>
      </c>
      <c r="S212" s="22" t="str">
        <f>INDEX(Cronograma!R$5:R$11,MATCH($B212,Premissas!$A$39:$A$45,0))</f>
        <v/>
      </c>
      <c r="T212" s="22" t="str">
        <f>INDEX(Cronograma!S$5:S$11,MATCH($B212,Premissas!$A$39:$A$45,0))</f>
        <v/>
      </c>
      <c r="U212" s="22" t="str">
        <f>INDEX(Cronograma!T$5:T$11,MATCH($B212,Premissas!$A$39:$A$45,0))</f>
        <v>S</v>
      </c>
      <c r="V212" s="22" t="str">
        <f>INDEX(Cronograma!U$5:U$11,MATCH($B212,Premissas!$A$39:$A$45,0))</f>
        <v/>
      </c>
      <c r="W212" s="22" t="str">
        <f>INDEX(Cronograma!V$5:V$11,MATCH($B212,Premissas!$A$39:$A$45,0))</f>
        <v/>
      </c>
      <c r="X212" s="22" t="str">
        <f>INDEX(Cronograma!W$5:W$11,MATCH($B212,Premissas!$A$39:$A$45,0))</f>
        <v/>
      </c>
      <c r="Y212" s="22" t="str">
        <f>INDEX(Cronograma!X$5:X$11,MATCH($B212,Premissas!$A$39:$A$45,0))</f>
        <v/>
      </c>
      <c r="Z212" s="22" t="str">
        <f>INDEX(Cronograma!Y$5:Y$11,MATCH($B212,Premissas!$A$39:$A$45,0))</f>
        <v/>
      </c>
      <c r="AA212" s="22" t="str">
        <f>INDEX(Cronograma!Z$5:Z$11,MATCH($B212,Premissas!$A$39:$A$45,0))</f>
        <v>B</v>
      </c>
      <c r="AB212" s="22" t="str">
        <f>INDEX(Cronograma!AA$5:AA$11,MATCH($B212,Premissas!$A$39:$A$45,0))</f>
        <v/>
      </c>
      <c r="AC212" s="22" t="str">
        <f>INDEX(Cronograma!AB$5:AB$11,MATCH($B212,Premissas!$A$39:$A$45,0))</f>
        <v/>
      </c>
      <c r="AD212" s="22" t="str">
        <f>INDEX(Cronograma!AC$5:AC$11,MATCH($B212,Premissas!$A$39:$A$45,0))</f>
        <v/>
      </c>
      <c r="AE212" s="22" t="str">
        <f>INDEX(Cronograma!AD$5:AD$11,MATCH($B212,Premissas!$A$39:$A$45,0))</f>
        <v/>
      </c>
      <c r="AF212" s="22" t="str">
        <f>INDEX(Cronograma!AE$5:AE$11,MATCH($B212,Premissas!$A$39:$A$45,0))</f>
        <v/>
      </c>
      <c r="AG212" s="22" t="str">
        <f>INDEX(Cronograma!AF$5:AF$11,MATCH($B212,Premissas!$A$39:$A$45,0))</f>
        <v/>
      </c>
      <c r="AH212" s="22" t="str">
        <f>INDEX(Cronograma!AG$5:AG$11,MATCH($B212,Premissas!$A$39:$A$45,0))</f>
        <v>S</v>
      </c>
      <c r="AI212" s="22" t="str">
        <f>INDEX(Cronograma!AH$5:AH$11,MATCH($B212,Premissas!$A$39:$A$45,0))</f>
        <v/>
      </c>
      <c r="AJ212" s="22" t="str">
        <f>INDEX(Cronograma!AI$5:AI$11,MATCH($B212,Premissas!$A$39:$A$45,0))</f>
        <v/>
      </c>
      <c r="AK212" s="22" t="str">
        <f>INDEX(Cronograma!AJ$5:AJ$11,MATCH($B212,Premissas!$A$39:$A$45,0))</f>
        <v/>
      </c>
      <c r="AL212" s="22" t="str">
        <f>INDEX(Cronograma!AK$5:AK$11,MATCH($B212,Premissas!$A$39:$A$45,0))</f>
        <v/>
      </c>
      <c r="AM212" s="22" t="str">
        <f>INDEX(Cronograma!AL$5:AL$11,MATCH($B212,Premissas!$A$39:$A$45,0))</f>
        <v/>
      </c>
      <c r="AN212" s="22" t="str">
        <f>INDEX(Cronograma!AM$5:AM$11,MATCH($B212,Premissas!$A$39:$A$45,0))</f>
        <v/>
      </c>
      <c r="AO212" s="22" t="str">
        <f>INDEX(Cronograma!AN$5:AN$11,MATCH($B212,Premissas!$A$39:$A$45,0))</f>
        <v/>
      </c>
      <c r="AP212" s="22" t="str">
        <f>INDEX(Cronograma!AO$5:AO$11,MATCH($B212,Premissas!$A$39:$A$45,0))</f>
        <v/>
      </c>
      <c r="AQ212" s="22" t="str">
        <f>INDEX(Cronograma!AP$5:AP$11,MATCH($B212,Premissas!$A$39:$A$45,0))</f>
        <v/>
      </c>
      <c r="AR212" s="22" t="str">
        <f>INDEX(Cronograma!AQ$5:AQ$11,MATCH($B212,Premissas!$A$39:$A$45,0))</f>
        <v/>
      </c>
      <c r="AS212" s="22" t="str">
        <f>INDEX(Cronograma!AR$5:AR$11,MATCH($B212,Premissas!$A$39:$A$45,0))</f>
        <v/>
      </c>
      <c r="AT212" s="22" t="str">
        <f>INDEX(Cronograma!AS$5:AS$11,MATCH($B212,Premissas!$A$39:$A$45,0))</f>
        <v/>
      </c>
      <c r="AU212" s="22" t="str">
        <f>INDEX(Cronograma!AT$5:AT$11,MATCH($B212,Premissas!$A$39:$A$45,0))</f>
        <v/>
      </c>
      <c r="AV212" s="22" t="str">
        <f>INDEX(Cronograma!AU$5:AU$11,MATCH($B212,Premissas!$A$39:$A$45,0))</f>
        <v/>
      </c>
      <c r="AW212" s="22" t="str">
        <f>INDEX(Cronograma!AV$5:AV$11,MATCH($B212,Premissas!$A$39:$A$45,0))</f>
        <v/>
      </c>
      <c r="AX212" s="22" t="str">
        <f>INDEX(Cronograma!AW$5:AW$11,MATCH($B212,Premissas!$A$39:$A$45,0))</f>
        <v/>
      </c>
      <c r="AY212" s="22" t="str">
        <f>INDEX(Cronograma!AX$5:AX$11,MATCH($B212,Premissas!$A$39:$A$45,0))</f>
        <v>A</v>
      </c>
      <c r="AZ212" s="22" t="str">
        <f>INDEX(Cronograma!AY$5:AY$11,MATCH($B212,Premissas!$A$39:$A$45,0))</f>
        <v/>
      </c>
      <c r="BA212" s="22" t="str">
        <f>INDEX(Cronograma!AZ$5:AZ$11,MATCH($B212,Premissas!$A$39:$A$45,0))</f>
        <v/>
      </c>
      <c r="BB212" s="22" t="str">
        <f>INDEX(Cronograma!BA$5:BA$11,MATCH($B212,Premissas!$A$39:$A$45,0))</f>
        <v/>
      </c>
    </row>
    <row r="213" spans="1:54" ht="15" customHeight="1" x14ac:dyDescent="0.4">
      <c r="A213" s="15" t="str">
        <f>Frota!$B213&amp;" — "&amp;Frota!$A213</f>
        <v>John Deere 6190J — 105145</v>
      </c>
      <c r="B213" s="16" t="str">
        <f>Frota!$C213</f>
        <v>Trator</v>
      </c>
      <c r="C213" s="22" t="str">
        <f>INDEX(Cronograma!B$5:B$11,MATCH($B213,Premissas!$A$39:$A$45,0))</f>
        <v/>
      </c>
      <c r="D213" s="22" t="str">
        <f>INDEX(Cronograma!C$5:C$11,MATCH($B213,Premissas!$A$39:$A$45,0))</f>
        <v/>
      </c>
      <c r="E213" s="22" t="str">
        <f>INDEX(Cronograma!D$5:D$11,MATCH($B213,Premissas!$A$39:$A$45,0))</f>
        <v/>
      </c>
      <c r="F213" s="22" t="str">
        <f>INDEX(Cronograma!E$5:E$11,MATCH($B213,Premissas!$A$39:$A$45,0))</f>
        <v/>
      </c>
      <c r="G213" s="22" t="str">
        <f>INDEX(Cronograma!F$5:F$11,MATCH($B213,Premissas!$A$39:$A$45,0))</f>
        <v/>
      </c>
      <c r="H213" s="22" t="str">
        <f>INDEX(Cronograma!G$5:G$11,MATCH($B213,Premissas!$A$39:$A$45,0))</f>
        <v/>
      </c>
      <c r="I213" s="22" t="str">
        <f>INDEX(Cronograma!H$5:H$11,MATCH($B213,Premissas!$A$39:$A$45,0))</f>
        <v>S</v>
      </c>
      <c r="J213" s="22" t="str">
        <f>INDEX(Cronograma!I$5:I$11,MATCH($B213,Premissas!$A$39:$A$45,0))</f>
        <v/>
      </c>
      <c r="K213" s="22" t="str">
        <f>INDEX(Cronograma!J$5:J$11,MATCH($B213,Premissas!$A$39:$A$45,0))</f>
        <v/>
      </c>
      <c r="L213" s="22" t="str">
        <f>INDEX(Cronograma!K$5:K$11,MATCH($B213,Premissas!$A$39:$A$45,0))</f>
        <v/>
      </c>
      <c r="M213" s="22" t="str">
        <f>INDEX(Cronograma!L$5:L$11,MATCH($B213,Premissas!$A$39:$A$45,0))</f>
        <v/>
      </c>
      <c r="N213" s="22" t="str">
        <f>INDEX(Cronograma!M$5:M$11,MATCH($B213,Premissas!$A$39:$A$45,0))</f>
        <v/>
      </c>
      <c r="O213" s="22" t="str">
        <f>INDEX(Cronograma!N$5:N$11,MATCH($B213,Premissas!$A$39:$A$45,0))</f>
        <v>A</v>
      </c>
      <c r="P213" s="22" t="str">
        <f>INDEX(Cronograma!O$5:O$11,MATCH($B213,Premissas!$A$39:$A$45,0))</f>
        <v/>
      </c>
      <c r="Q213" s="22" t="str">
        <f>INDEX(Cronograma!P$5:P$11,MATCH($B213,Premissas!$A$39:$A$45,0))</f>
        <v/>
      </c>
      <c r="R213" s="22" t="str">
        <f>INDEX(Cronograma!Q$5:Q$11,MATCH($B213,Premissas!$A$39:$A$45,0))</f>
        <v/>
      </c>
      <c r="S213" s="22" t="str">
        <f>INDEX(Cronograma!R$5:R$11,MATCH($B213,Premissas!$A$39:$A$45,0))</f>
        <v/>
      </c>
      <c r="T213" s="22" t="str">
        <f>INDEX(Cronograma!S$5:S$11,MATCH($B213,Premissas!$A$39:$A$45,0))</f>
        <v/>
      </c>
      <c r="U213" s="22" t="str">
        <f>INDEX(Cronograma!T$5:T$11,MATCH($B213,Premissas!$A$39:$A$45,0))</f>
        <v>S</v>
      </c>
      <c r="V213" s="22" t="str">
        <f>INDEX(Cronograma!U$5:U$11,MATCH($B213,Premissas!$A$39:$A$45,0))</f>
        <v/>
      </c>
      <c r="W213" s="22" t="str">
        <f>INDEX(Cronograma!V$5:V$11,MATCH($B213,Premissas!$A$39:$A$45,0))</f>
        <v/>
      </c>
      <c r="X213" s="22" t="str">
        <f>INDEX(Cronograma!W$5:W$11,MATCH($B213,Premissas!$A$39:$A$45,0))</f>
        <v/>
      </c>
      <c r="Y213" s="22" t="str">
        <f>INDEX(Cronograma!X$5:X$11,MATCH($B213,Premissas!$A$39:$A$45,0))</f>
        <v/>
      </c>
      <c r="Z213" s="22" t="str">
        <f>INDEX(Cronograma!Y$5:Y$11,MATCH($B213,Premissas!$A$39:$A$45,0))</f>
        <v/>
      </c>
      <c r="AA213" s="22" t="str">
        <f>INDEX(Cronograma!Z$5:Z$11,MATCH($B213,Premissas!$A$39:$A$45,0))</f>
        <v>B</v>
      </c>
      <c r="AB213" s="22" t="str">
        <f>INDEX(Cronograma!AA$5:AA$11,MATCH($B213,Premissas!$A$39:$A$45,0))</f>
        <v/>
      </c>
      <c r="AC213" s="22" t="str">
        <f>INDEX(Cronograma!AB$5:AB$11,MATCH($B213,Premissas!$A$39:$A$45,0))</f>
        <v/>
      </c>
      <c r="AD213" s="22" t="str">
        <f>INDEX(Cronograma!AC$5:AC$11,MATCH($B213,Premissas!$A$39:$A$45,0))</f>
        <v/>
      </c>
      <c r="AE213" s="22" t="str">
        <f>INDEX(Cronograma!AD$5:AD$11,MATCH($B213,Premissas!$A$39:$A$45,0))</f>
        <v/>
      </c>
      <c r="AF213" s="22" t="str">
        <f>INDEX(Cronograma!AE$5:AE$11,MATCH($B213,Premissas!$A$39:$A$45,0))</f>
        <v/>
      </c>
      <c r="AG213" s="22" t="str">
        <f>INDEX(Cronograma!AF$5:AF$11,MATCH($B213,Premissas!$A$39:$A$45,0))</f>
        <v/>
      </c>
      <c r="AH213" s="22" t="str">
        <f>INDEX(Cronograma!AG$5:AG$11,MATCH($B213,Premissas!$A$39:$A$45,0))</f>
        <v>S</v>
      </c>
      <c r="AI213" s="22" t="str">
        <f>INDEX(Cronograma!AH$5:AH$11,MATCH($B213,Premissas!$A$39:$A$45,0))</f>
        <v/>
      </c>
      <c r="AJ213" s="22" t="str">
        <f>INDEX(Cronograma!AI$5:AI$11,MATCH($B213,Premissas!$A$39:$A$45,0))</f>
        <v/>
      </c>
      <c r="AK213" s="22" t="str">
        <f>INDEX(Cronograma!AJ$5:AJ$11,MATCH($B213,Premissas!$A$39:$A$45,0))</f>
        <v/>
      </c>
      <c r="AL213" s="22" t="str">
        <f>INDEX(Cronograma!AK$5:AK$11,MATCH($B213,Premissas!$A$39:$A$45,0))</f>
        <v/>
      </c>
      <c r="AM213" s="22" t="str">
        <f>INDEX(Cronograma!AL$5:AL$11,MATCH($B213,Premissas!$A$39:$A$45,0))</f>
        <v/>
      </c>
      <c r="AN213" s="22" t="str">
        <f>INDEX(Cronograma!AM$5:AM$11,MATCH($B213,Premissas!$A$39:$A$45,0))</f>
        <v/>
      </c>
      <c r="AO213" s="22" t="str">
        <f>INDEX(Cronograma!AN$5:AN$11,MATCH($B213,Premissas!$A$39:$A$45,0))</f>
        <v/>
      </c>
      <c r="AP213" s="22" t="str">
        <f>INDEX(Cronograma!AO$5:AO$11,MATCH($B213,Premissas!$A$39:$A$45,0))</f>
        <v/>
      </c>
      <c r="AQ213" s="22" t="str">
        <f>INDEX(Cronograma!AP$5:AP$11,MATCH($B213,Premissas!$A$39:$A$45,0))</f>
        <v/>
      </c>
      <c r="AR213" s="22" t="str">
        <f>INDEX(Cronograma!AQ$5:AQ$11,MATCH($B213,Premissas!$A$39:$A$45,0))</f>
        <v/>
      </c>
      <c r="AS213" s="22" t="str">
        <f>INDEX(Cronograma!AR$5:AR$11,MATCH($B213,Premissas!$A$39:$A$45,0))</f>
        <v/>
      </c>
      <c r="AT213" s="22" t="str">
        <f>INDEX(Cronograma!AS$5:AS$11,MATCH($B213,Premissas!$A$39:$A$45,0))</f>
        <v/>
      </c>
      <c r="AU213" s="22" t="str">
        <f>INDEX(Cronograma!AT$5:AT$11,MATCH($B213,Premissas!$A$39:$A$45,0))</f>
        <v/>
      </c>
      <c r="AV213" s="22" t="str">
        <f>INDEX(Cronograma!AU$5:AU$11,MATCH($B213,Premissas!$A$39:$A$45,0))</f>
        <v/>
      </c>
      <c r="AW213" s="22" t="str">
        <f>INDEX(Cronograma!AV$5:AV$11,MATCH($B213,Premissas!$A$39:$A$45,0))</f>
        <v/>
      </c>
      <c r="AX213" s="22" t="str">
        <f>INDEX(Cronograma!AW$5:AW$11,MATCH($B213,Premissas!$A$39:$A$45,0))</f>
        <v/>
      </c>
      <c r="AY213" s="22" t="str">
        <f>INDEX(Cronograma!AX$5:AX$11,MATCH($B213,Premissas!$A$39:$A$45,0))</f>
        <v>A</v>
      </c>
      <c r="AZ213" s="22" t="str">
        <f>INDEX(Cronograma!AY$5:AY$11,MATCH($B213,Premissas!$A$39:$A$45,0))</f>
        <v/>
      </c>
      <c r="BA213" s="22" t="str">
        <f>INDEX(Cronograma!AZ$5:AZ$11,MATCH($B213,Premissas!$A$39:$A$45,0))</f>
        <v/>
      </c>
      <c r="BB213" s="22" t="str">
        <f>INDEX(Cronograma!BA$5:BA$11,MATCH($B213,Premissas!$A$39:$A$45,0))</f>
        <v/>
      </c>
    </row>
    <row r="214" spans="1:54" ht="15" customHeight="1" x14ac:dyDescent="0.4">
      <c r="A214" s="15" t="str">
        <f>Frota!$B214&amp;" — "&amp;Frota!$A214</f>
        <v>John Deere 6190J — 105146</v>
      </c>
      <c r="B214" s="16" t="str">
        <f>Frota!$C214</f>
        <v>Trator</v>
      </c>
      <c r="C214" s="22" t="str">
        <f>INDEX(Cronograma!B$5:B$11,MATCH($B214,Premissas!$A$39:$A$45,0))</f>
        <v/>
      </c>
      <c r="D214" s="22" t="str">
        <f>INDEX(Cronograma!C$5:C$11,MATCH($B214,Premissas!$A$39:$A$45,0))</f>
        <v/>
      </c>
      <c r="E214" s="22" t="str">
        <f>INDEX(Cronograma!D$5:D$11,MATCH($B214,Premissas!$A$39:$A$45,0))</f>
        <v/>
      </c>
      <c r="F214" s="22" t="str">
        <f>INDEX(Cronograma!E$5:E$11,MATCH($B214,Premissas!$A$39:$A$45,0))</f>
        <v/>
      </c>
      <c r="G214" s="22" t="str">
        <f>INDEX(Cronograma!F$5:F$11,MATCH($B214,Premissas!$A$39:$A$45,0))</f>
        <v/>
      </c>
      <c r="H214" s="22" t="str">
        <f>INDEX(Cronograma!G$5:G$11,MATCH($B214,Premissas!$A$39:$A$45,0))</f>
        <v/>
      </c>
      <c r="I214" s="22" t="str">
        <f>INDEX(Cronograma!H$5:H$11,MATCH($B214,Premissas!$A$39:$A$45,0))</f>
        <v>S</v>
      </c>
      <c r="J214" s="22" t="str">
        <f>INDEX(Cronograma!I$5:I$11,MATCH($B214,Premissas!$A$39:$A$45,0))</f>
        <v/>
      </c>
      <c r="K214" s="22" t="str">
        <f>INDEX(Cronograma!J$5:J$11,MATCH($B214,Premissas!$A$39:$A$45,0))</f>
        <v/>
      </c>
      <c r="L214" s="22" t="str">
        <f>INDEX(Cronograma!K$5:K$11,MATCH($B214,Premissas!$A$39:$A$45,0))</f>
        <v/>
      </c>
      <c r="M214" s="22" t="str">
        <f>INDEX(Cronograma!L$5:L$11,MATCH($B214,Premissas!$A$39:$A$45,0))</f>
        <v/>
      </c>
      <c r="N214" s="22" t="str">
        <f>INDEX(Cronograma!M$5:M$11,MATCH($B214,Premissas!$A$39:$A$45,0))</f>
        <v/>
      </c>
      <c r="O214" s="22" t="str">
        <f>INDEX(Cronograma!N$5:N$11,MATCH($B214,Premissas!$A$39:$A$45,0))</f>
        <v>A</v>
      </c>
      <c r="P214" s="22" t="str">
        <f>INDEX(Cronograma!O$5:O$11,MATCH($B214,Premissas!$A$39:$A$45,0))</f>
        <v/>
      </c>
      <c r="Q214" s="22" t="str">
        <f>INDEX(Cronograma!P$5:P$11,MATCH($B214,Premissas!$A$39:$A$45,0))</f>
        <v/>
      </c>
      <c r="R214" s="22" t="str">
        <f>INDEX(Cronograma!Q$5:Q$11,MATCH($B214,Premissas!$A$39:$A$45,0))</f>
        <v/>
      </c>
      <c r="S214" s="22" t="str">
        <f>INDEX(Cronograma!R$5:R$11,MATCH($B214,Premissas!$A$39:$A$45,0))</f>
        <v/>
      </c>
      <c r="T214" s="22" t="str">
        <f>INDEX(Cronograma!S$5:S$11,MATCH($B214,Premissas!$A$39:$A$45,0))</f>
        <v/>
      </c>
      <c r="U214" s="22" t="str">
        <f>INDEX(Cronograma!T$5:T$11,MATCH($B214,Premissas!$A$39:$A$45,0))</f>
        <v>S</v>
      </c>
      <c r="V214" s="22" t="str">
        <f>INDEX(Cronograma!U$5:U$11,MATCH($B214,Premissas!$A$39:$A$45,0))</f>
        <v/>
      </c>
      <c r="W214" s="22" t="str">
        <f>INDEX(Cronograma!V$5:V$11,MATCH($B214,Premissas!$A$39:$A$45,0))</f>
        <v/>
      </c>
      <c r="X214" s="22" t="str">
        <f>INDEX(Cronograma!W$5:W$11,MATCH($B214,Premissas!$A$39:$A$45,0))</f>
        <v/>
      </c>
      <c r="Y214" s="22" t="str">
        <f>INDEX(Cronograma!X$5:X$11,MATCH($B214,Premissas!$A$39:$A$45,0))</f>
        <v/>
      </c>
      <c r="Z214" s="22" t="str">
        <f>INDEX(Cronograma!Y$5:Y$11,MATCH($B214,Premissas!$A$39:$A$45,0))</f>
        <v/>
      </c>
      <c r="AA214" s="22" t="str">
        <f>INDEX(Cronograma!Z$5:Z$11,MATCH($B214,Premissas!$A$39:$A$45,0))</f>
        <v>B</v>
      </c>
      <c r="AB214" s="22" t="str">
        <f>INDEX(Cronograma!AA$5:AA$11,MATCH($B214,Premissas!$A$39:$A$45,0))</f>
        <v/>
      </c>
      <c r="AC214" s="22" t="str">
        <f>INDEX(Cronograma!AB$5:AB$11,MATCH($B214,Premissas!$A$39:$A$45,0))</f>
        <v/>
      </c>
      <c r="AD214" s="22" t="str">
        <f>INDEX(Cronograma!AC$5:AC$11,MATCH($B214,Premissas!$A$39:$A$45,0))</f>
        <v/>
      </c>
      <c r="AE214" s="22" t="str">
        <f>INDEX(Cronograma!AD$5:AD$11,MATCH($B214,Premissas!$A$39:$A$45,0))</f>
        <v/>
      </c>
      <c r="AF214" s="22" t="str">
        <f>INDEX(Cronograma!AE$5:AE$11,MATCH($B214,Premissas!$A$39:$A$45,0))</f>
        <v/>
      </c>
      <c r="AG214" s="22" t="str">
        <f>INDEX(Cronograma!AF$5:AF$11,MATCH($B214,Premissas!$A$39:$A$45,0))</f>
        <v/>
      </c>
      <c r="AH214" s="22" t="str">
        <f>INDEX(Cronograma!AG$5:AG$11,MATCH($B214,Premissas!$A$39:$A$45,0))</f>
        <v>S</v>
      </c>
      <c r="AI214" s="22" t="str">
        <f>INDEX(Cronograma!AH$5:AH$11,MATCH($B214,Premissas!$A$39:$A$45,0))</f>
        <v/>
      </c>
      <c r="AJ214" s="22" t="str">
        <f>INDEX(Cronograma!AI$5:AI$11,MATCH($B214,Premissas!$A$39:$A$45,0))</f>
        <v/>
      </c>
      <c r="AK214" s="22" t="str">
        <f>INDEX(Cronograma!AJ$5:AJ$11,MATCH($B214,Premissas!$A$39:$A$45,0))</f>
        <v/>
      </c>
      <c r="AL214" s="22" t="str">
        <f>INDEX(Cronograma!AK$5:AK$11,MATCH($B214,Premissas!$A$39:$A$45,0))</f>
        <v/>
      </c>
      <c r="AM214" s="22" t="str">
        <f>INDEX(Cronograma!AL$5:AL$11,MATCH($B214,Premissas!$A$39:$A$45,0))</f>
        <v/>
      </c>
      <c r="AN214" s="22" t="str">
        <f>INDEX(Cronograma!AM$5:AM$11,MATCH($B214,Premissas!$A$39:$A$45,0))</f>
        <v/>
      </c>
      <c r="AO214" s="22" t="str">
        <f>INDEX(Cronograma!AN$5:AN$11,MATCH($B214,Premissas!$A$39:$A$45,0))</f>
        <v/>
      </c>
      <c r="AP214" s="22" t="str">
        <f>INDEX(Cronograma!AO$5:AO$11,MATCH($B214,Premissas!$A$39:$A$45,0))</f>
        <v/>
      </c>
      <c r="AQ214" s="22" t="str">
        <f>INDEX(Cronograma!AP$5:AP$11,MATCH($B214,Premissas!$A$39:$A$45,0))</f>
        <v/>
      </c>
      <c r="AR214" s="22" t="str">
        <f>INDEX(Cronograma!AQ$5:AQ$11,MATCH($B214,Premissas!$A$39:$A$45,0))</f>
        <v/>
      </c>
      <c r="AS214" s="22" t="str">
        <f>INDEX(Cronograma!AR$5:AR$11,MATCH($B214,Premissas!$A$39:$A$45,0))</f>
        <v/>
      </c>
      <c r="AT214" s="22" t="str">
        <f>INDEX(Cronograma!AS$5:AS$11,MATCH($B214,Premissas!$A$39:$A$45,0))</f>
        <v/>
      </c>
      <c r="AU214" s="22" t="str">
        <f>INDEX(Cronograma!AT$5:AT$11,MATCH($B214,Premissas!$A$39:$A$45,0))</f>
        <v/>
      </c>
      <c r="AV214" s="22" t="str">
        <f>INDEX(Cronograma!AU$5:AU$11,MATCH($B214,Premissas!$A$39:$A$45,0))</f>
        <v/>
      </c>
      <c r="AW214" s="22" t="str">
        <f>INDEX(Cronograma!AV$5:AV$11,MATCH($B214,Premissas!$A$39:$A$45,0))</f>
        <v/>
      </c>
      <c r="AX214" s="22" t="str">
        <f>INDEX(Cronograma!AW$5:AW$11,MATCH($B214,Premissas!$A$39:$A$45,0))</f>
        <v/>
      </c>
      <c r="AY214" s="22" t="str">
        <f>INDEX(Cronograma!AX$5:AX$11,MATCH($B214,Premissas!$A$39:$A$45,0))</f>
        <v>A</v>
      </c>
      <c r="AZ214" s="22" t="str">
        <f>INDEX(Cronograma!AY$5:AY$11,MATCH($B214,Premissas!$A$39:$A$45,0))</f>
        <v/>
      </c>
      <c r="BA214" s="22" t="str">
        <f>INDEX(Cronograma!AZ$5:AZ$11,MATCH($B214,Premissas!$A$39:$A$45,0))</f>
        <v/>
      </c>
      <c r="BB214" s="22" t="str">
        <f>INDEX(Cronograma!BA$5:BA$11,MATCH($B214,Premissas!$A$39:$A$45,0))</f>
        <v/>
      </c>
    </row>
    <row r="215" spans="1:54" ht="15" customHeight="1" x14ac:dyDescent="0.4">
      <c r="A215" s="15" t="str">
        <f>Frota!$B215&amp;" — "&amp;Frota!$A215</f>
        <v>John Deere 6190J — 105147</v>
      </c>
      <c r="B215" s="16" t="str">
        <f>Frota!$C215</f>
        <v>Trator</v>
      </c>
      <c r="C215" s="22" t="str">
        <f>INDEX(Cronograma!B$5:B$11,MATCH($B215,Premissas!$A$39:$A$45,0))</f>
        <v/>
      </c>
      <c r="D215" s="22" t="str">
        <f>INDEX(Cronograma!C$5:C$11,MATCH($B215,Premissas!$A$39:$A$45,0))</f>
        <v/>
      </c>
      <c r="E215" s="22" t="str">
        <f>INDEX(Cronograma!D$5:D$11,MATCH($B215,Premissas!$A$39:$A$45,0))</f>
        <v/>
      </c>
      <c r="F215" s="22" t="str">
        <f>INDEX(Cronograma!E$5:E$11,MATCH($B215,Premissas!$A$39:$A$45,0))</f>
        <v/>
      </c>
      <c r="G215" s="22" t="str">
        <f>INDEX(Cronograma!F$5:F$11,MATCH($B215,Premissas!$A$39:$A$45,0))</f>
        <v/>
      </c>
      <c r="H215" s="22" t="str">
        <f>INDEX(Cronograma!G$5:G$11,MATCH($B215,Premissas!$A$39:$A$45,0))</f>
        <v/>
      </c>
      <c r="I215" s="22" t="str">
        <f>INDEX(Cronograma!H$5:H$11,MATCH($B215,Premissas!$A$39:$A$45,0))</f>
        <v>S</v>
      </c>
      <c r="J215" s="22" t="str">
        <f>INDEX(Cronograma!I$5:I$11,MATCH($B215,Premissas!$A$39:$A$45,0))</f>
        <v/>
      </c>
      <c r="K215" s="22" t="str">
        <f>INDEX(Cronograma!J$5:J$11,MATCH($B215,Premissas!$A$39:$A$45,0))</f>
        <v/>
      </c>
      <c r="L215" s="22" t="str">
        <f>INDEX(Cronograma!K$5:K$11,MATCH($B215,Premissas!$A$39:$A$45,0))</f>
        <v/>
      </c>
      <c r="M215" s="22" t="str">
        <f>INDEX(Cronograma!L$5:L$11,MATCH($B215,Premissas!$A$39:$A$45,0))</f>
        <v/>
      </c>
      <c r="N215" s="22" t="str">
        <f>INDEX(Cronograma!M$5:M$11,MATCH($B215,Premissas!$A$39:$A$45,0))</f>
        <v/>
      </c>
      <c r="O215" s="22" t="str">
        <f>INDEX(Cronograma!N$5:N$11,MATCH($B215,Premissas!$A$39:$A$45,0))</f>
        <v>A</v>
      </c>
      <c r="P215" s="22" t="str">
        <f>INDEX(Cronograma!O$5:O$11,MATCH($B215,Premissas!$A$39:$A$45,0))</f>
        <v/>
      </c>
      <c r="Q215" s="22" t="str">
        <f>INDEX(Cronograma!P$5:P$11,MATCH($B215,Premissas!$A$39:$A$45,0))</f>
        <v/>
      </c>
      <c r="R215" s="22" t="str">
        <f>INDEX(Cronograma!Q$5:Q$11,MATCH($B215,Premissas!$A$39:$A$45,0))</f>
        <v/>
      </c>
      <c r="S215" s="22" t="str">
        <f>INDEX(Cronograma!R$5:R$11,MATCH($B215,Premissas!$A$39:$A$45,0))</f>
        <v/>
      </c>
      <c r="T215" s="22" t="str">
        <f>INDEX(Cronograma!S$5:S$11,MATCH($B215,Premissas!$A$39:$A$45,0))</f>
        <v/>
      </c>
      <c r="U215" s="22" t="str">
        <f>INDEX(Cronograma!T$5:T$11,MATCH($B215,Premissas!$A$39:$A$45,0))</f>
        <v>S</v>
      </c>
      <c r="V215" s="22" t="str">
        <f>INDEX(Cronograma!U$5:U$11,MATCH($B215,Premissas!$A$39:$A$45,0))</f>
        <v/>
      </c>
      <c r="W215" s="22" t="str">
        <f>INDEX(Cronograma!V$5:V$11,MATCH($B215,Premissas!$A$39:$A$45,0))</f>
        <v/>
      </c>
      <c r="X215" s="22" t="str">
        <f>INDEX(Cronograma!W$5:W$11,MATCH($B215,Premissas!$A$39:$A$45,0))</f>
        <v/>
      </c>
      <c r="Y215" s="22" t="str">
        <f>INDEX(Cronograma!X$5:X$11,MATCH($B215,Premissas!$A$39:$A$45,0))</f>
        <v/>
      </c>
      <c r="Z215" s="22" t="str">
        <f>INDEX(Cronograma!Y$5:Y$11,MATCH($B215,Premissas!$A$39:$A$45,0))</f>
        <v/>
      </c>
      <c r="AA215" s="22" t="str">
        <f>INDEX(Cronograma!Z$5:Z$11,MATCH($B215,Premissas!$A$39:$A$45,0))</f>
        <v>B</v>
      </c>
      <c r="AB215" s="22" t="str">
        <f>INDEX(Cronograma!AA$5:AA$11,MATCH($B215,Premissas!$A$39:$A$45,0))</f>
        <v/>
      </c>
      <c r="AC215" s="22" t="str">
        <f>INDEX(Cronograma!AB$5:AB$11,MATCH($B215,Premissas!$A$39:$A$45,0))</f>
        <v/>
      </c>
      <c r="AD215" s="22" t="str">
        <f>INDEX(Cronograma!AC$5:AC$11,MATCH($B215,Premissas!$A$39:$A$45,0))</f>
        <v/>
      </c>
      <c r="AE215" s="22" t="str">
        <f>INDEX(Cronograma!AD$5:AD$11,MATCH($B215,Premissas!$A$39:$A$45,0))</f>
        <v/>
      </c>
      <c r="AF215" s="22" t="str">
        <f>INDEX(Cronograma!AE$5:AE$11,MATCH($B215,Premissas!$A$39:$A$45,0))</f>
        <v/>
      </c>
      <c r="AG215" s="22" t="str">
        <f>INDEX(Cronograma!AF$5:AF$11,MATCH($B215,Premissas!$A$39:$A$45,0))</f>
        <v/>
      </c>
      <c r="AH215" s="22" t="str">
        <f>INDEX(Cronograma!AG$5:AG$11,MATCH($B215,Premissas!$A$39:$A$45,0))</f>
        <v>S</v>
      </c>
      <c r="AI215" s="22" t="str">
        <f>INDEX(Cronograma!AH$5:AH$11,MATCH($B215,Premissas!$A$39:$A$45,0))</f>
        <v/>
      </c>
      <c r="AJ215" s="22" t="str">
        <f>INDEX(Cronograma!AI$5:AI$11,MATCH($B215,Premissas!$A$39:$A$45,0))</f>
        <v/>
      </c>
      <c r="AK215" s="22" t="str">
        <f>INDEX(Cronograma!AJ$5:AJ$11,MATCH($B215,Premissas!$A$39:$A$45,0))</f>
        <v/>
      </c>
      <c r="AL215" s="22" t="str">
        <f>INDEX(Cronograma!AK$5:AK$11,MATCH($B215,Premissas!$A$39:$A$45,0))</f>
        <v/>
      </c>
      <c r="AM215" s="22" t="str">
        <f>INDEX(Cronograma!AL$5:AL$11,MATCH($B215,Premissas!$A$39:$A$45,0))</f>
        <v/>
      </c>
      <c r="AN215" s="22" t="str">
        <f>INDEX(Cronograma!AM$5:AM$11,MATCH($B215,Premissas!$A$39:$A$45,0))</f>
        <v/>
      </c>
      <c r="AO215" s="22" t="str">
        <f>INDEX(Cronograma!AN$5:AN$11,MATCH($B215,Premissas!$A$39:$A$45,0))</f>
        <v/>
      </c>
      <c r="AP215" s="22" t="str">
        <f>INDEX(Cronograma!AO$5:AO$11,MATCH($B215,Premissas!$A$39:$A$45,0))</f>
        <v/>
      </c>
      <c r="AQ215" s="22" t="str">
        <f>INDEX(Cronograma!AP$5:AP$11,MATCH($B215,Premissas!$A$39:$A$45,0))</f>
        <v/>
      </c>
      <c r="AR215" s="22" t="str">
        <f>INDEX(Cronograma!AQ$5:AQ$11,MATCH($B215,Premissas!$A$39:$A$45,0))</f>
        <v/>
      </c>
      <c r="AS215" s="22" t="str">
        <f>INDEX(Cronograma!AR$5:AR$11,MATCH($B215,Premissas!$A$39:$A$45,0))</f>
        <v/>
      </c>
      <c r="AT215" s="22" t="str">
        <f>INDEX(Cronograma!AS$5:AS$11,MATCH($B215,Premissas!$A$39:$A$45,0))</f>
        <v/>
      </c>
      <c r="AU215" s="22" t="str">
        <f>INDEX(Cronograma!AT$5:AT$11,MATCH($B215,Premissas!$A$39:$A$45,0))</f>
        <v/>
      </c>
      <c r="AV215" s="22" t="str">
        <f>INDEX(Cronograma!AU$5:AU$11,MATCH($B215,Premissas!$A$39:$A$45,0))</f>
        <v/>
      </c>
      <c r="AW215" s="22" t="str">
        <f>INDEX(Cronograma!AV$5:AV$11,MATCH($B215,Premissas!$A$39:$A$45,0))</f>
        <v/>
      </c>
      <c r="AX215" s="22" t="str">
        <f>INDEX(Cronograma!AW$5:AW$11,MATCH($B215,Premissas!$A$39:$A$45,0))</f>
        <v/>
      </c>
      <c r="AY215" s="22" t="str">
        <f>INDEX(Cronograma!AX$5:AX$11,MATCH($B215,Premissas!$A$39:$A$45,0))</f>
        <v>A</v>
      </c>
      <c r="AZ215" s="22" t="str">
        <f>INDEX(Cronograma!AY$5:AY$11,MATCH($B215,Premissas!$A$39:$A$45,0))</f>
        <v/>
      </c>
      <c r="BA215" s="22" t="str">
        <f>INDEX(Cronograma!AZ$5:AZ$11,MATCH($B215,Premissas!$A$39:$A$45,0))</f>
        <v/>
      </c>
      <c r="BB215" s="22" t="str">
        <f>INDEX(Cronograma!BA$5:BA$11,MATCH($B215,Premissas!$A$39:$A$45,0))</f>
        <v/>
      </c>
    </row>
    <row r="216" spans="1:54" ht="15" customHeight="1" x14ac:dyDescent="0.4">
      <c r="A216" s="15" t="str">
        <f>Frota!$B216&amp;" — "&amp;Frota!$A216</f>
        <v>John Deere 6190J — 105148</v>
      </c>
      <c r="B216" s="16" t="str">
        <f>Frota!$C216</f>
        <v>Trator</v>
      </c>
      <c r="C216" s="22" t="str">
        <f>INDEX(Cronograma!B$5:B$11,MATCH($B216,Premissas!$A$39:$A$45,0))</f>
        <v/>
      </c>
      <c r="D216" s="22" t="str">
        <f>INDEX(Cronograma!C$5:C$11,MATCH($B216,Premissas!$A$39:$A$45,0))</f>
        <v/>
      </c>
      <c r="E216" s="22" t="str">
        <f>INDEX(Cronograma!D$5:D$11,MATCH($B216,Premissas!$A$39:$A$45,0))</f>
        <v/>
      </c>
      <c r="F216" s="22" t="str">
        <f>INDEX(Cronograma!E$5:E$11,MATCH($B216,Premissas!$A$39:$A$45,0))</f>
        <v/>
      </c>
      <c r="G216" s="22" t="str">
        <f>INDEX(Cronograma!F$5:F$11,MATCH($B216,Premissas!$A$39:$A$45,0))</f>
        <v/>
      </c>
      <c r="H216" s="22" t="str">
        <f>INDEX(Cronograma!G$5:G$11,MATCH($B216,Premissas!$A$39:$A$45,0))</f>
        <v/>
      </c>
      <c r="I216" s="22" t="str">
        <f>INDEX(Cronograma!H$5:H$11,MATCH($B216,Premissas!$A$39:$A$45,0))</f>
        <v>S</v>
      </c>
      <c r="J216" s="22" t="str">
        <f>INDEX(Cronograma!I$5:I$11,MATCH($B216,Premissas!$A$39:$A$45,0))</f>
        <v/>
      </c>
      <c r="K216" s="22" t="str">
        <f>INDEX(Cronograma!J$5:J$11,MATCH($B216,Premissas!$A$39:$A$45,0))</f>
        <v/>
      </c>
      <c r="L216" s="22" t="str">
        <f>INDEX(Cronograma!K$5:K$11,MATCH($B216,Premissas!$A$39:$A$45,0))</f>
        <v/>
      </c>
      <c r="M216" s="22" t="str">
        <f>INDEX(Cronograma!L$5:L$11,MATCH($B216,Premissas!$A$39:$A$45,0))</f>
        <v/>
      </c>
      <c r="N216" s="22" t="str">
        <f>INDEX(Cronograma!M$5:M$11,MATCH($B216,Premissas!$A$39:$A$45,0))</f>
        <v/>
      </c>
      <c r="O216" s="22" t="str">
        <f>INDEX(Cronograma!N$5:N$11,MATCH($B216,Premissas!$A$39:$A$45,0))</f>
        <v>A</v>
      </c>
      <c r="P216" s="22" t="str">
        <f>INDEX(Cronograma!O$5:O$11,MATCH($B216,Premissas!$A$39:$A$45,0))</f>
        <v/>
      </c>
      <c r="Q216" s="22" t="str">
        <f>INDEX(Cronograma!P$5:P$11,MATCH($B216,Premissas!$A$39:$A$45,0))</f>
        <v/>
      </c>
      <c r="R216" s="22" t="str">
        <f>INDEX(Cronograma!Q$5:Q$11,MATCH($B216,Premissas!$A$39:$A$45,0))</f>
        <v/>
      </c>
      <c r="S216" s="22" t="str">
        <f>INDEX(Cronograma!R$5:R$11,MATCH($B216,Premissas!$A$39:$A$45,0))</f>
        <v/>
      </c>
      <c r="T216" s="22" t="str">
        <f>INDEX(Cronograma!S$5:S$11,MATCH($B216,Premissas!$A$39:$A$45,0))</f>
        <v/>
      </c>
      <c r="U216" s="22" t="str">
        <f>INDEX(Cronograma!T$5:T$11,MATCH($B216,Premissas!$A$39:$A$45,0))</f>
        <v>S</v>
      </c>
      <c r="V216" s="22" t="str">
        <f>INDEX(Cronograma!U$5:U$11,MATCH($B216,Premissas!$A$39:$A$45,0))</f>
        <v/>
      </c>
      <c r="W216" s="22" t="str">
        <f>INDEX(Cronograma!V$5:V$11,MATCH($B216,Premissas!$A$39:$A$45,0))</f>
        <v/>
      </c>
      <c r="X216" s="22" t="str">
        <f>INDEX(Cronograma!W$5:W$11,MATCH($B216,Premissas!$A$39:$A$45,0))</f>
        <v/>
      </c>
      <c r="Y216" s="22" t="str">
        <f>INDEX(Cronograma!X$5:X$11,MATCH($B216,Premissas!$A$39:$A$45,0))</f>
        <v/>
      </c>
      <c r="Z216" s="22" t="str">
        <f>INDEX(Cronograma!Y$5:Y$11,MATCH($B216,Premissas!$A$39:$A$45,0))</f>
        <v/>
      </c>
      <c r="AA216" s="22" t="str">
        <f>INDEX(Cronograma!Z$5:Z$11,MATCH($B216,Premissas!$A$39:$A$45,0))</f>
        <v>B</v>
      </c>
      <c r="AB216" s="22" t="str">
        <f>INDEX(Cronograma!AA$5:AA$11,MATCH($B216,Premissas!$A$39:$A$45,0))</f>
        <v/>
      </c>
      <c r="AC216" s="22" t="str">
        <f>INDEX(Cronograma!AB$5:AB$11,MATCH($B216,Premissas!$A$39:$A$45,0))</f>
        <v/>
      </c>
      <c r="AD216" s="22" t="str">
        <f>INDEX(Cronograma!AC$5:AC$11,MATCH($B216,Premissas!$A$39:$A$45,0))</f>
        <v/>
      </c>
      <c r="AE216" s="22" t="str">
        <f>INDEX(Cronograma!AD$5:AD$11,MATCH($B216,Premissas!$A$39:$A$45,0))</f>
        <v/>
      </c>
      <c r="AF216" s="22" t="str">
        <f>INDEX(Cronograma!AE$5:AE$11,MATCH($B216,Premissas!$A$39:$A$45,0))</f>
        <v/>
      </c>
      <c r="AG216" s="22" t="str">
        <f>INDEX(Cronograma!AF$5:AF$11,MATCH($B216,Premissas!$A$39:$A$45,0))</f>
        <v/>
      </c>
      <c r="AH216" s="22" t="str">
        <f>INDEX(Cronograma!AG$5:AG$11,MATCH($B216,Premissas!$A$39:$A$45,0))</f>
        <v>S</v>
      </c>
      <c r="AI216" s="22" t="str">
        <f>INDEX(Cronograma!AH$5:AH$11,MATCH($B216,Premissas!$A$39:$A$45,0))</f>
        <v/>
      </c>
      <c r="AJ216" s="22" t="str">
        <f>INDEX(Cronograma!AI$5:AI$11,MATCH($B216,Premissas!$A$39:$A$45,0))</f>
        <v/>
      </c>
      <c r="AK216" s="22" t="str">
        <f>INDEX(Cronograma!AJ$5:AJ$11,MATCH($B216,Premissas!$A$39:$A$45,0))</f>
        <v/>
      </c>
      <c r="AL216" s="22" t="str">
        <f>INDEX(Cronograma!AK$5:AK$11,MATCH($B216,Premissas!$A$39:$A$45,0))</f>
        <v/>
      </c>
      <c r="AM216" s="22" t="str">
        <f>INDEX(Cronograma!AL$5:AL$11,MATCH($B216,Premissas!$A$39:$A$45,0))</f>
        <v/>
      </c>
      <c r="AN216" s="22" t="str">
        <f>INDEX(Cronograma!AM$5:AM$11,MATCH($B216,Premissas!$A$39:$A$45,0))</f>
        <v/>
      </c>
      <c r="AO216" s="22" t="str">
        <f>INDEX(Cronograma!AN$5:AN$11,MATCH($B216,Premissas!$A$39:$A$45,0))</f>
        <v/>
      </c>
      <c r="AP216" s="22" t="str">
        <f>INDEX(Cronograma!AO$5:AO$11,MATCH($B216,Premissas!$A$39:$A$45,0))</f>
        <v/>
      </c>
      <c r="AQ216" s="22" t="str">
        <f>INDEX(Cronograma!AP$5:AP$11,MATCH($B216,Premissas!$A$39:$A$45,0))</f>
        <v/>
      </c>
      <c r="AR216" s="22" t="str">
        <f>INDEX(Cronograma!AQ$5:AQ$11,MATCH($B216,Premissas!$A$39:$A$45,0))</f>
        <v/>
      </c>
      <c r="AS216" s="22" t="str">
        <f>INDEX(Cronograma!AR$5:AR$11,MATCH($B216,Premissas!$A$39:$A$45,0))</f>
        <v/>
      </c>
      <c r="AT216" s="22" t="str">
        <f>INDEX(Cronograma!AS$5:AS$11,MATCH($B216,Premissas!$A$39:$A$45,0))</f>
        <v/>
      </c>
      <c r="AU216" s="22" t="str">
        <f>INDEX(Cronograma!AT$5:AT$11,MATCH($B216,Premissas!$A$39:$A$45,0))</f>
        <v/>
      </c>
      <c r="AV216" s="22" t="str">
        <f>INDEX(Cronograma!AU$5:AU$11,MATCH($B216,Premissas!$A$39:$A$45,0))</f>
        <v/>
      </c>
      <c r="AW216" s="22" t="str">
        <f>INDEX(Cronograma!AV$5:AV$11,MATCH($B216,Premissas!$A$39:$A$45,0))</f>
        <v/>
      </c>
      <c r="AX216" s="22" t="str">
        <f>INDEX(Cronograma!AW$5:AW$11,MATCH($B216,Premissas!$A$39:$A$45,0))</f>
        <v/>
      </c>
      <c r="AY216" s="22" t="str">
        <f>INDEX(Cronograma!AX$5:AX$11,MATCH($B216,Premissas!$A$39:$A$45,0))</f>
        <v>A</v>
      </c>
      <c r="AZ216" s="22" t="str">
        <f>INDEX(Cronograma!AY$5:AY$11,MATCH($B216,Premissas!$A$39:$A$45,0))</f>
        <v/>
      </c>
      <c r="BA216" s="22" t="str">
        <f>INDEX(Cronograma!AZ$5:AZ$11,MATCH($B216,Premissas!$A$39:$A$45,0))</f>
        <v/>
      </c>
      <c r="BB216" s="22" t="str">
        <f>INDEX(Cronograma!BA$5:BA$11,MATCH($B216,Premissas!$A$39:$A$45,0))</f>
        <v/>
      </c>
    </row>
    <row r="217" spans="1:54" ht="15" customHeight="1" x14ac:dyDescent="0.4">
      <c r="A217" s="15" t="str">
        <f>Frota!$B217&amp;" — "&amp;Frota!$A217</f>
        <v>John Deere 6190J — 105149</v>
      </c>
      <c r="B217" s="16" t="str">
        <f>Frota!$C217</f>
        <v>Trator</v>
      </c>
      <c r="C217" s="22" t="str">
        <f>INDEX(Cronograma!B$5:B$11,MATCH($B217,Premissas!$A$39:$A$45,0))</f>
        <v/>
      </c>
      <c r="D217" s="22" t="str">
        <f>INDEX(Cronograma!C$5:C$11,MATCH($B217,Premissas!$A$39:$A$45,0))</f>
        <v/>
      </c>
      <c r="E217" s="22" t="str">
        <f>INDEX(Cronograma!D$5:D$11,MATCH($B217,Premissas!$A$39:$A$45,0))</f>
        <v/>
      </c>
      <c r="F217" s="22" t="str">
        <f>INDEX(Cronograma!E$5:E$11,MATCH($B217,Premissas!$A$39:$A$45,0))</f>
        <v/>
      </c>
      <c r="G217" s="22" t="str">
        <f>INDEX(Cronograma!F$5:F$11,MATCH($B217,Premissas!$A$39:$A$45,0))</f>
        <v/>
      </c>
      <c r="H217" s="22" t="str">
        <f>INDEX(Cronograma!G$5:G$11,MATCH($B217,Premissas!$A$39:$A$45,0))</f>
        <v/>
      </c>
      <c r="I217" s="22" t="str">
        <f>INDEX(Cronograma!H$5:H$11,MATCH($B217,Premissas!$A$39:$A$45,0))</f>
        <v>S</v>
      </c>
      <c r="J217" s="22" t="str">
        <f>INDEX(Cronograma!I$5:I$11,MATCH($B217,Premissas!$A$39:$A$45,0))</f>
        <v/>
      </c>
      <c r="K217" s="22" t="str">
        <f>INDEX(Cronograma!J$5:J$11,MATCH($B217,Premissas!$A$39:$A$45,0))</f>
        <v/>
      </c>
      <c r="L217" s="22" t="str">
        <f>INDEX(Cronograma!K$5:K$11,MATCH($B217,Premissas!$A$39:$A$45,0))</f>
        <v/>
      </c>
      <c r="M217" s="22" t="str">
        <f>INDEX(Cronograma!L$5:L$11,MATCH($B217,Premissas!$A$39:$A$45,0))</f>
        <v/>
      </c>
      <c r="N217" s="22" t="str">
        <f>INDEX(Cronograma!M$5:M$11,MATCH($B217,Premissas!$A$39:$A$45,0))</f>
        <v/>
      </c>
      <c r="O217" s="22" t="str">
        <f>INDEX(Cronograma!N$5:N$11,MATCH($B217,Premissas!$A$39:$A$45,0))</f>
        <v>A</v>
      </c>
      <c r="P217" s="22" t="str">
        <f>INDEX(Cronograma!O$5:O$11,MATCH($B217,Premissas!$A$39:$A$45,0))</f>
        <v/>
      </c>
      <c r="Q217" s="22" t="str">
        <f>INDEX(Cronograma!P$5:P$11,MATCH($B217,Premissas!$A$39:$A$45,0))</f>
        <v/>
      </c>
      <c r="R217" s="22" t="str">
        <f>INDEX(Cronograma!Q$5:Q$11,MATCH($B217,Premissas!$A$39:$A$45,0))</f>
        <v/>
      </c>
      <c r="S217" s="22" t="str">
        <f>INDEX(Cronograma!R$5:R$11,MATCH($B217,Premissas!$A$39:$A$45,0))</f>
        <v/>
      </c>
      <c r="T217" s="22" t="str">
        <f>INDEX(Cronograma!S$5:S$11,MATCH($B217,Premissas!$A$39:$A$45,0))</f>
        <v/>
      </c>
      <c r="U217" s="22" t="str">
        <f>INDEX(Cronograma!T$5:T$11,MATCH($B217,Premissas!$A$39:$A$45,0))</f>
        <v>S</v>
      </c>
      <c r="V217" s="22" t="str">
        <f>INDEX(Cronograma!U$5:U$11,MATCH($B217,Premissas!$A$39:$A$45,0))</f>
        <v/>
      </c>
      <c r="W217" s="22" t="str">
        <f>INDEX(Cronograma!V$5:V$11,MATCH($B217,Premissas!$A$39:$A$45,0))</f>
        <v/>
      </c>
      <c r="X217" s="22" t="str">
        <f>INDEX(Cronograma!W$5:W$11,MATCH($B217,Premissas!$A$39:$A$45,0))</f>
        <v/>
      </c>
      <c r="Y217" s="22" t="str">
        <f>INDEX(Cronograma!X$5:X$11,MATCH($B217,Premissas!$A$39:$A$45,0))</f>
        <v/>
      </c>
      <c r="Z217" s="22" t="str">
        <f>INDEX(Cronograma!Y$5:Y$11,MATCH($B217,Premissas!$A$39:$A$45,0))</f>
        <v/>
      </c>
      <c r="AA217" s="22" t="str">
        <f>INDEX(Cronograma!Z$5:Z$11,MATCH($B217,Premissas!$A$39:$A$45,0))</f>
        <v>B</v>
      </c>
      <c r="AB217" s="22" t="str">
        <f>INDEX(Cronograma!AA$5:AA$11,MATCH($B217,Premissas!$A$39:$A$45,0))</f>
        <v/>
      </c>
      <c r="AC217" s="22" t="str">
        <f>INDEX(Cronograma!AB$5:AB$11,MATCH($B217,Premissas!$A$39:$A$45,0))</f>
        <v/>
      </c>
      <c r="AD217" s="22" t="str">
        <f>INDEX(Cronograma!AC$5:AC$11,MATCH($B217,Premissas!$A$39:$A$45,0))</f>
        <v/>
      </c>
      <c r="AE217" s="22" t="str">
        <f>INDEX(Cronograma!AD$5:AD$11,MATCH($B217,Premissas!$A$39:$A$45,0))</f>
        <v/>
      </c>
      <c r="AF217" s="22" t="str">
        <f>INDEX(Cronograma!AE$5:AE$11,MATCH($B217,Premissas!$A$39:$A$45,0))</f>
        <v/>
      </c>
      <c r="AG217" s="22" t="str">
        <f>INDEX(Cronograma!AF$5:AF$11,MATCH($B217,Premissas!$A$39:$A$45,0))</f>
        <v/>
      </c>
      <c r="AH217" s="22" t="str">
        <f>INDEX(Cronograma!AG$5:AG$11,MATCH($B217,Premissas!$A$39:$A$45,0))</f>
        <v>S</v>
      </c>
      <c r="AI217" s="22" t="str">
        <f>INDEX(Cronograma!AH$5:AH$11,MATCH($B217,Premissas!$A$39:$A$45,0))</f>
        <v/>
      </c>
      <c r="AJ217" s="22" t="str">
        <f>INDEX(Cronograma!AI$5:AI$11,MATCH($B217,Premissas!$A$39:$A$45,0))</f>
        <v/>
      </c>
      <c r="AK217" s="22" t="str">
        <f>INDEX(Cronograma!AJ$5:AJ$11,MATCH($B217,Premissas!$A$39:$A$45,0))</f>
        <v/>
      </c>
      <c r="AL217" s="22" t="str">
        <f>INDEX(Cronograma!AK$5:AK$11,MATCH($B217,Premissas!$A$39:$A$45,0))</f>
        <v/>
      </c>
      <c r="AM217" s="22" t="str">
        <f>INDEX(Cronograma!AL$5:AL$11,MATCH($B217,Premissas!$A$39:$A$45,0))</f>
        <v/>
      </c>
      <c r="AN217" s="22" t="str">
        <f>INDEX(Cronograma!AM$5:AM$11,MATCH($B217,Premissas!$A$39:$A$45,0))</f>
        <v/>
      </c>
      <c r="AO217" s="22" t="str">
        <f>INDEX(Cronograma!AN$5:AN$11,MATCH($B217,Premissas!$A$39:$A$45,0))</f>
        <v/>
      </c>
      <c r="AP217" s="22" t="str">
        <f>INDEX(Cronograma!AO$5:AO$11,MATCH($B217,Premissas!$A$39:$A$45,0))</f>
        <v/>
      </c>
      <c r="AQ217" s="22" t="str">
        <f>INDEX(Cronograma!AP$5:AP$11,MATCH($B217,Premissas!$A$39:$A$45,0))</f>
        <v/>
      </c>
      <c r="AR217" s="22" t="str">
        <f>INDEX(Cronograma!AQ$5:AQ$11,MATCH($B217,Premissas!$A$39:$A$45,0))</f>
        <v/>
      </c>
      <c r="AS217" s="22" t="str">
        <f>INDEX(Cronograma!AR$5:AR$11,MATCH($B217,Premissas!$A$39:$A$45,0))</f>
        <v/>
      </c>
      <c r="AT217" s="22" t="str">
        <f>INDEX(Cronograma!AS$5:AS$11,MATCH($B217,Premissas!$A$39:$A$45,0))</f>
        <v/>
      </c>
      <c r="AU217" s="22" t="str">
        <f>INDEX(Cronograma!AT$5:AT$11,MATCH($B217,Premissas!$A$39:$A$45,0))</f>
        <v/>
      </c>
      <c r="AV217" s="22" t="str">
        <f>INDEX(Cronograma!AU$5:AU$11,MATCH($B217,Premissas!$A$39:$A$45,0))</f>
        <v/>
      </c>
      <c r="AW217" s="22" t="str">
        <f>INDEX(Cronograma!AV$5:AV$11,MATCH($B217,Premissas!$A$39:$A$45,0))</f>
        <v/>
      </c>
      <c r="AX217" s="22" t="str">
        <f>INDEX(Cronograma!AW$5:AW$11,MATCH($B217,Premissas!$A$39:$A$45,0))</f>
        <v/>
      </c>
      <c r="AY217" s="22" t="str">
        <f>INDEX(Cronograma!AX$5:AX$11,MATCH($B217,Premissas!$A$39:$A$45,0))</f>
        <v>A</v>
      </c>
      <c r="AZ217" s="22" t="str">
        <f>INDEX(Cronograma!AY$5:AY$11,MATCH($B217,Premissas!$A$39:$A$45,0))</f>
        <v/>
      </c>
      <c r="BA217" s="22" t="str">
        <f>INDEX(Cronograma!AZ$5:AZ$11,MATCH($B217,Premissas!$A$39:$A$45,0))</f>
        <v/>
      </c>
      <c r="BB217" s="22" t="str">
        <f>INDEX(Cronograma!BA$5:BA$11,MATCH($B217,Premissas!$A$39:$A$45,0))</f>
        <v/>
      </c>
    </row>
    <row r="218" spans="1:54" ht="15" customHeight="1" x14ac:dyDescent="0.4">
      <c r="A218" s="15" t="str">
        <f>Frota!$B218&amp;" — "&amp;Frota!$A218</f>
        <v>John Deere 6190J — 105150</v>
      </c>
      <c r="B218" s="16" t="str">
        <f>Frota!$C218</f>
        <v>Trator</v>
      </c>
      <c r="C218" s="22" t="str">
        <f>INDEX(Cronograma!B$5:B$11,MATCH($B218,Premissas!$A$39:$A$45,0))</f>
        <v/>
      </c>
      <c r="D218" s="22" t="str">
        <f>INDEX(Cronograma!C$5:C$11,MATCH($B218,Premissas!$A$39:$A$45,0))</f>
        <v/>
      </c>
      <c r="E218" s="22" t="str">
        <f>INDEX(Cronograma!D$5:D$11,MATCH($B218,Premissas!$A$39:$A$45,0))</f>
        <v/>
      </c>
      <c r="F218" s="22" t="str">
        <f>INDEX(Cronograma!E$5:E$11,MATCH($B218,Premissas!$A$39:$A$45,0))</f>
        <v/>
      </c>
      <c r="G218" s="22" t="str">
        <f>INDEX(Cronograma!F$5:F$11,MATCH($B218,Premissas!$A$39:$A$45,0))</f>
        <v/>
      </c>
      <c r="H218" s="22" t="str">
        <f>INDEX(Cronograma!G$5:G$11,MATCH($B218,Premissas!$A$39:$A$45,0))</f>
        <v/>
      </c>
      <c r="I218" s="22" t="str">
        <f>INDEX(Cronograma!H$5:H$11,MATCH($B218,Premissas!$A$39:$A$45,0))</f>
        <v>S</v>
      </c>
      <c r="J218" s="22" t="str">
        <f>INDEX(Cronograma!I$5:I$11,MATCH($B218,Premissas!$A$39:$A$45,0))</f>
        <v/>
      </c>
      <c r="K218" s="22" t="str">
        <f>INDEX(Cronograma!J$5:J$11,MATCH($B218,Premissas!$A$39:$A$45,0))</f>
        <v/>
      </c>
      <c r="L218" s="22" t="str">
        <f>INDEX(Cronograma!K$5:K$11,MATCH($B218,Premissas!$A$39:$A$45,0))</f>
        <v/>
      </c>
      <c r="M218" s="22" t="str">
        <f>INDEX(Cronograma!L$5:L$11,MATCH($B218,Premissas!$A$39:$A$45,0))</f>
        <v/>
      </c>
      <c r="N218" s="22" t="str">
        <f>INDEX(Cronograma!M$5:M$11,MATCH($B218,Premissas!$A$39:$A$45,0))</f>
        <v/>
      </c>
      <c r="O218" s="22" t="str">
        <f>INDEX(Cronograma!N$5:N$11,MATCH($B218,Premissas!$A$39:$A$45,0))</f>
        <v>A</v>
      </c>
      <c r="P218" s="22" t="str">
        <f>INDEX(Cronograma!O$5:O$11,MATCH($B218,Premissas!$A$39:$A$45,0))</f>
        <v/>
      </c>
      <c r="Q218" s="22" t="str">
        <f>INDEX(Cronograma!P$5:P$11,MATCH($B218,Premissas!$A$39:$A$45,0))</f>
        <v/>
      </c>
      <c r="R218" s="22" t="str">
        <f>INDEX(Cronograma!Q$5:Q$11,MATCH($B218,Premissas!$A$39:$A$45,0))</f>
        <v/>
      </c>
      <c r="S218" s="22" t="str">
        <f>INDEX(Cronograma!R$5:R$11,MATCH($B218,Premissas!$A$39:$A$45,0))</f>
        <v/>
      </c>
      <c r="T218" s="22" t="str">
        <f>INDEX(Cronograma!S$5:S$11,MATCH($B218,Premissas!$A$39:$A$45,0))</f>
        <v/>
      </c>
      <c r="U218" s="22" t="str">
        <f>INDEX(Cronograma!T$5:T$11,MATCH($B218,Premissas!$A$39:$A$45,0))</f>
        <v>S</v>
      </c>
      <c r="V218" s="22" t="str">
        <f>INDEX(Cronograma!U$5:U$11,MATCH($B218,Premissas!$A$39:$A$45,0))</f>
        <v/>
      </c>
      <c r="W218" s="22" t="str">
        <f>INDEX(Cronograma!V$5:V$11,MATCH($B218,Premissas!$A$39:$A$45,0))</f>
        <v/>
      </c>
      <c r="X218" s="22" t="str">
        <f>INDEX(Cronograma!W$5:W$11,MATCH($B218,Premissas!$A$39:$A$45,0))</f>
        <v/>
      </c>
      <c r="Y218" s="22" t="str">
        <f>INDEX(Cronograma!X$5:X$11,MATCH($B218,Premissas!$A$39:$A$45,0))</f>
        <v/>
      </c>
      <c r="Z218" s="22" t="str">
        <f>INDEX(Cronograma!Y$5:Y$11,MATCH($B218,Premissas!$A$39:$A$45,0))</f>
        <v/>
      </c>
      <c r="AA218" s="22" t="str">
        <f>INDEX(Cronograma!Z$5:Z$11,MATCH($B218,Premissas!$A$39:$A$45,0))</f>
        <v>B</v>
      </c>
      <c r="AB218" s="22" t="str">
        <f>INDEX(Cronograma!AA$5:AA$11,MATCH($B218,Premissas!$A$39:$A$45,0))</f>
        <v/>
      </c>
      <c r="AC218" s="22" t="str">
        <f>INDEX(Cronograma!AB$5:AB$11,MATCH($B218,Premissas!$A$39:$A$45,0))</f>
        <v/>
      </c>
      <c r="AD218" s="22" t="str">
        <f>INDEX(Cronograma!AC$5:AC$11,MATCH($B218,Premissas!$A$39:$A$45,0))</f>
        <v/>
      </c>
      <c r="AE218" s="22" t="str">
        <f>INDEX(Cronograma!AD$5:AD$11,MATCH($B218,Premissas!$A$39:$A$45,0))</f>
        <v/>
      </c>
      <c r="AF218" s="22" t="str">
        <f>INDEX(Cronograma!AE$5:AE$11,MATCH($B218,Premissas!$A$39:$A$45,0))</f>
        <v/>
      </c>
      <c r="AG218" s="22" t="str">
        <f>INDEX(Cronograma!AF$5:AF$11,MATCH($B218,Premissas!$A$39:$A$45,0))</f>
        <v/>
      </c>
      <c r="AH218" s="22" t="str">
        <f>INDEX(Cronograma!AG$5:AG$11,MATCH($B218,Premissas!$A$39:$A$45,0))</f>
        <v>S</v>
      </c>
      <c r="AI218" s="22" t="str">
        <f>INDEX(Cronograma!AH$5:AH$11,MATCH($B218,Premissas!$A$39:$A$45,0))</f>
        <v/>
      </c>
      <c r="AJ218" s="22" t="str">
        <f>INDEX(Cronograma!AI$5:AI$11,MATCH($B218,Premissas!$A$39:$A$45,0))</f>
        <v/>
      </c>
      <c r="AK218" s="22" t="str">
        <f>INDEX(Cronograma!AJ$5:AJ$11,MATCH($B218,Premissas!$A$39:$A$45,0))</f>
        <v/>
      </c>
      <c r="AL218" s="22" t="str">
        <f>INDEX(Cronograma!AK$5:AK$11,MATCH($B218,Premissas!$A$39:$A$45,0))</f>
        <v/>
      </c>
      <c r="AM218" s="22" t="str">
        <f>INDEX(Cronograma!AL$5:AL$11,MATCH($B218,Premissas!$A$39:$A$45,0))</f>
        <v/>
      </c>
      <c r="AN218" s="22" t="str">
        <f>INDEX(Cronograma!AM$5:AM$11,MATCH($B218,Premissas!$A$39:$A$45,0))</f>
        <v/>
      </c>
      <c r="AO218" s="22" t="str">
        <f>INDEX(Cronograma!AN$5:AN$11,MATCH($B218,Premissas!$A$39:$A$45,0))</f>
        <v/>
      </c>
      <c r="AP218" s="22" t="str">
        <f>INDEX(Cronograma!AO$5:AO$11,MATCH($B218,Premissas!$A$39:$A$45,0))</f>
        <v/>
      </c>
      <c r="AQ218" s="22" t="str">
        <f>INDEX(Cronograma!AP$5:AP$11,MATCH($B218,Premissas!$A$39:$A$45,0))</f>
        <v/>
      </c>
      <c r="AR218" s="22" t="str">
        <f>INDEX(Cronograma!AQ$5:AQ$11,MATCH($B218,Premissas!$A$39:$A$45,0))</f>
        <v/>
      </c>
      <c r="AS218" s="22" t="str">
        <f>INDEX(Cronograma!AR$5:AR$11,MATCH($B218,Premissas!$A$39:$A$45,0))</f>
        <v/>
      </c>
      <c r="AT218" s="22" t="str">
        <f>INDEX(Cronograma!AS$5:AS$11,MATCH($B218,Premissas!$A$39:$A$45,0))</f>
        <v/>
      </c>
      <c r="AU218" s="22" t="str">
        <f>INDEX(Cronograma!AT$5:AT$11,MATCH($B218,Premissas!$A$39:$A$45,0))</f>
        <v/>
      </c>
      <c r="AV218" s="22" t="str">
        <f>INDEX(Cronograma!AU$5:AU$11,MATCH($B218,Premissas!$A$39:$A$45,0))</f>
        <v/>
      </c>
      <c r="AW218" s="22" t="str">
        <f>INDEX(Cronograma!AV$5:AV$11,MATCH($B218,Premissas!$A$39:$A$45,0))</f>
        <v/>
      </c>
      <c r="AX218" s="22" t="str">
        <f>INDEX(Cronograma!AW$5:AW$11,MATCH($B218,Premissas!$A$39:$A$45,0))</f>
        <v/>
      </c>
      <c r="AY218" s="22" t="str">
        <f>INDEX(Cronograma!AX$5:AX$11,MATCH($B218,Premissas!$A$39:$A$45,0))</f>
        <v>A</v>
      </c>
      <c r="AZ218" s="22" t="str">
        <f>INDEX(Cronograma!AY$5:AY$11,MATCH($B218,Premissas!$A$39:$A$45,0))</f>
        <v/>
      </c>
      <c r="BA218" s="22" t="str">
        <f>INDEX(Cronograma!AZ$5:AZ$11,MATCH($B218,Premissas!$A$39:$A$45,0))</f>
        <v/>
      </c>
      <c r="BB218" s="22" t="str">
        <f>INDEX(Cronograma!BA$5:BA$11,MATCH($B218,Premissas!$A$39:$A$45,0))</f>
        <v/>
      </c>
    </row>
    <row r="219" spans="1:54" ht="15" customHeight="1" x14ac:dyDescent="0.4">
      <c r="A219" s="15" t="str">
        <f>Frota!$B219&amp;" — "&amp;Frota!$A219</f>
        <v>John Deere 6190J — 105151</v>
      </c>
      <c r="B219" s="16" t="str">
        <f>Frota!$C219</f>
        <v>Trator</v>
      </c>
      <c r="C219" s="22" t="str">
        <f>INDEX(Cronograma!B$5:B$11,MATCH($B219,Premissas!$A$39:$A$45,0))</f>
        <v/>
      </c>
      <c r="D219" s="22" t="str">
        <f>INDEX(Cronograma!C$5:C$11,MATCH($B219,Premissas!$A$39:$A$45,0))</f>
        <v/>
      </c>
      <c r="E219" s="22" t="str">
        <f>INDEX(Cronograma!D$5:D$11,MATCH($B219,Premissas!$A$39:$A$45,0))</f>
        <v/>
      </c>
      <c r="F219" s="22" t="str">
        <f>INDEX(Cronograma!E$5:E$11,MATCH($B219,Premissas!$A$39:$A$45,0))</f>
        <v/>
      </c>
      <c r="G219" s="22" t="str">
        <f>INDEX(Cronograma!F$5:F$11,MATCH($B219,Premissas!$A$39:$A$45,0))</f>
        <v/>
      </c>
      <c r="H219" s="22" t="str">
        <f>INDEX(Cronograma!G$5:G$11,MATCH($B219,Premissas!$A$39:$A$45,0))</f>
        <v/>
      </c>
      <c r="I219" s="22" t="str">
        <f>INDEX(Cronograma!H$5:H$11,MATCH($B219,Premissas!$A$39:$A$45,0))</f>
        <v>S</v>
      </c>
      <c r="J219" s="22" t="str">
        <f>INDEX(Cronograma!I$5:I$11,MATCH($B219,Premissas!$A$39:$A$45,0))</f>
        <v/>
      </c>
      <c r="K219" s="22" t="str">
        <f>INDEX(Cronograma!J$5:J$11,MATCH($B219,Premissas!$A$39:$A$45,0))</f>
        <v/>
      </c>
      <c r="L219" s="22" t="str">
        <f>INDEX(Cronograma!K$5:K$11,MATCH($B219,Premissas!$A$39:$A$45,0))</f>
        <v/>
      </c>
      <c r="M219" s="22" t="str">
        <f>INDEX(Cronograma!L$5:L$11,MATCH($B219,Premissas!$A$39:$A$45,0))</f>
        <v/>
      </c>
      <c r="N219" s="22" t="str">
        <f>INDEX(Cronograma!M$5:M$11,MATCH($B219,Premissas!$A$39:$A$45,0))</f>
        <v/>
      </c>
      <c r="O219" s="22" t="str">
        <f>INDEX(Cronograma!N$5:N$11,MATCH($B219,Premissas!$A$39:$A$45,0))</f>
        <v>A</v>
      </c>
      <c r="P219" s="22" t="str">
        <f>INDEX(Cronograma!O$5:O$11,MATCH($B219,Premissas!$A$39:$A$45,0))</f>
        <v/>
      </c>
      <c r="Q219" s="22" t="str">
        <f>INDEX(Cronograma!P$5:P$11,MATCH($B219,Premissas!$A$39:$A$45,0))</f>
        <v/>
      </c>
      <c r="R219" s="22" t="str">
        <f>INDEX(Cronograma!Q$5:Q$11,MATCH($B219,Premissas!$A$39:$A$45,0))</f>
        <v/>
      </c>
      <c r="S219" s="22" t="str">
        <f>INDEX(Cronograma!R$5:R$11,MATCH($B219,Premissas!$A$39:$A$45,0))</f>
        <v/>
      </c>
      <c r="T219" s="22" t="str">
        <f>INDEX(Cronograma!S$5:S$11,MATCH($B219,Premissas!$A$39:$A$45,0))</f>
        <v/>
      </c>
      <c r="U219" s="22" t="str">
        <f>INDEX(Cronograma!T$5:T$11,MATCH($B219,Premissas!$A$39:$A$45,0))</f>
        <v>S</v>
      </c>
      <c r="V219" s="22" t="str">
        <f>INDEX(Cronograma!U$5:U$11,MATCH($B219,Premissas!$A$39:$A$45,0))</f>
        <v/>
      </c>
      <c r="W219" s="22" t="str">
        <f>INDEX(Cronograma!V$5:V$11,MATCH($B219,Premissas!$A$39:$A$45,0))</f>
        <v/>
      </c>
      <c r="X219" s="22" t="str">
        <f>INDEX(Cronograma!W$5:W$11,MATCH($B219,Premissas!$A$39:$A$45,0))</f>
        <v/>
      </c>
      <c r="Y219" s="22" t="str">
        <f>INDEX(Cronograma!X$5:X$11,MATCH($B219,Premissas!$A$39:$A$45,0))</f>
        <v/>
      </c>
      <c r="Z219" s="22" t="str">
        <f>INDEX(Cronograma!Y$5:Y$11,MATCH($B219,Premissas!$A$39:$A$45,0))</f>
        <v/>
      </c>
      <c r="AA219" s="22" t="str">
        <f>INDEX(Cronograma!Z$5:Z$11,MATCH($B219,Premissas!$A$39:$A$45,0))</f>
        <v>B</v>
      </c>
      <c r="AB219" s="22" t="str">
        <f>INDEX(Cronograma!AA$5:AA$11,MATCH($B219,Premissas!$A$39:$A$45,0))</f>
        <v/>
      </c>
      <c r="AC219" s="22" t="str">
        <f>INDEX(Cronograma!AB$5:AB$11,MATCH($B219,Premissas!$A$39:$A$45,0))</f>
        <v/>
      </c>
      <c r="AD219" s="22" t="str">
        <f>INDEX(Cronograma!AC$5:AC$11,MATCH($B219,Premissas!$A$39:$A$45,0))</f>
        <v/>
      </c>
      <c r="AE219" s="22" t="str">
        <f>INDEX(Cronograma!AD$5:AD$11,MATCH($B219,Premissas!$A$39:$A$45,0))</f>
        <v/>
      </c>
      <c r="AF219" s="22" t="str">
        <f>INDEX(Cronograma!AE$5:AE$11,MATCH($B219,Premissas!$A$39:$A$45,0))</f>
        <v/>
      </c>
      <c r="AG219" s="22" t="str">
        <f>INDEX(Cronograma!AF$5:AF$11,MATCH($B219,Premissas!$A$39:$A$45,0))</f>
        <v/>
      </c>
      <c r="AH219" s="22" t="str">
        <f>INDEX(Cronograma!AG$5:AG$11,MATCH($B219,Premissas!$A$39:$A$45,0))</f>
        <v>S</v>
      </c>
      <c r="AI219" s="22" t="str">
        <f>INDEX(Cronograma!AH$5:AH$11,MATCH($B219,Premissas!$A$39:$A$45,0))</f>
        <v/>
      </c>
      <c r="AJ219" s="22" t="str">
        <f>INDEX(Cronograma!AI$5:AI$11,MATCH($B219,Premissas!$A$39:$A$45,0))</f>
        <v/>
      </c>
      <c r="AK219" s="22" t="str">
        <f>INDEX(Cronograma!AJ$5:AJ$11,MATCH($B219,Premissas!$A$39:$A$45,0))</f>
        <v/>
      </c>
      <c r="AL219" s="22" t="str">
        <f>INDEX(Cronograma!AK$5:AK$11,MATCH($B219,Premissas!$A$39:$A$45,0))</f>
        <v/>
      </c>
      <c r="AM219" s="22" t="str">
        <f>INDEX(Cronograma!AL$5:AL$11,MATCH($B219,Premissas!$A$39:$A$45,0))</f>
        <v/>
      </c>
      <c r="AN219" s="22" t="str">
        <f>INDEX(Cronograma!AM$5:AM$11,MATCH($B219,Premissas!$A$39:$A$45,0))</f>
        <v/>
      </c>
      <c r="AO219" s="22" t="str">
        <f>INDEX(Cronograma!AN$5:AN$11,MATCH($B219,Premissas!$A$39:$A$45,0))</f>
        <v/>
      </c>
      <c r="AP219" s="22" t="str">
        <f>INDEX(Cronograma!AO$5:AO$11,MATCH($B219,Premissas!$A$39:$A$45,0))</f>
        <v/>
      </c>
      <c r="AQ219" s="22" t="str">
        <f>INDEX(Cronograma!AP$5:AP$11,MATCH($B219,Premissas!$A$39:$A$45,0))</f>
        <v/>
      </c>
      <c r="AR219" s="22" t="str">
        <f>INDEX(Cronograma!AQ$5:AQ$11,MATCH($B219,Premissas!$A$39:$A$45,0))</f>
        <v/>
      </c>
      <c r="AS219" s="22" t="str">
        <f>INDEX(Cronograma!AR$5:AR$11,MATCH($B219,Premissas!$A$39:$A$45,0))</f>
        <v/>
      </c>
      <c r="AT219" s="22" t="str">
        <f>INDEX(Cronograma!AS$5:AS$11,MATCH($B219,Premissas!$A$39:$A$45,0))</f>
        <v/>
      </c>
      <c r="AU219" s="22" t="str">
        <f>INDEX(Cronograma!AT$5:AT$11,MATCH($B219,Premissas!$A$39:$A$45,0))</f>
        <v/>
      </c>
      <c r="AV219" s="22" t="str">
        <f>INDEX(Cronograma!AU$5:AU$11,MATCH($B219,Premissas!$A$39:$A$45,0))</f>
        <v/>
      </c>
      <c r="AW219" s="22" t="str">
        <f>INDEX(Cronograma!AV$5:AV$11,MATCH($B219,Premissas!$A$39:$A$45,0))</f>
        <v/>
      </c>
      <c r="AX219" s="22" t="str">
        <f>INDEX(Cronograma!AW$5:AW$11,MATCH($B219,Premissas!$A$39:$A$45,0))</f>
        <v/>
      </c>
      <c r="AY219" s="22" t="str">
        <f>INDEX(Cronograma!AX$5:AX$11,MATCH($B219,Premissas!$A$39:$A$45,0))</f>
        <v>A</v>
      </c>
      <c r="AZ219" s="22" t="str">
        <f>INDEX(Cronograma!AY$5:AY$11,MATCH($B219,Premissas!$A$39:$A$45,0))</f>
        <v/>
      </c>
      <c r="BA219" s="22" t="str">
        <f>INDEX(Cronograma!AZ$5:AZ$11,MATCH($B219,Premissas!$A$39:$A$45,0))</f>
        <v/>
      </c>
      <c r="BB219" s="22" t="str">
        <f>INDEX(Cronograma!BA$5:BA$11,MATCH($B219,Premissas!$A$39:$A$45,0))</f>
        <v/>
      </c>
    </row>
    <row r="220" spans="1:54" ht="15" customHeight="1" x14ac:dyDescent="0.4">
      <c r="A220" s="15" t="str">
        <f>Frota!$B220&amp;" — "&amp;Frota!$A220</f>
        <v>John Deere 6190J — 105152</v>
      </c>
      <c r="B220" s="16" t="str">
        <f>Frota!$C220</f>
        <v>Trator</v>
      </c>
      <c r="C220" s="22" t="str">
        <f>INDEX(Cronograma!B$5:B$11,MATCH($B220,Premissas!$A$39:$A$45,0))</f>
        <v/>
      </c>
      <c r="D220" s="22" t="str">
        <f>INDEX(Cronograma!C$5:C$11,MATCH($B220,Premissas!$A$39:$A$45,0))</f>
        <v/>
      </c>
      <c r="E220" s="22" t="str">
        <f>INDEX(Cronograma!D$5:D$11,MATCH($B220,Premissas!$A$39:$A$45,0))</f>
        <v/>
      </c>
      <c r="F220" s="22" t="str">
        <f>INDEX(Cronograma!E$5:E$11,MATCH($B220,Premissas!$A$39:$A$45,0))</f>
        <v/>
      </c>
      <c r="G220" s="22" t="str">
        <f>INDEX(Cronograma!F$5:F$11,MATCH($B220,Premissas!$A$39:$A$45,0))</f>
        <v/>
      </c>
      <c r="H220" s="22" t="str">
        <f>INDEX(Cronograma!G$5:G$11,MATCH($B220,Premissas!$A$39:$A$45,0))</f>
        <v/>
      </c>
      <c r="I220" s="22" t="str">
        <f>INDEX(Cronograma!H$5:H$11,MATCH($B220,Premissas!$A$39:$A$45,0))</f>
        <v>S</v>
      </c>
      <c r="J220" s="22" t="str">
        <f>INDEX(Cronograma!I$5:I$11,MATCH($B220,Premissas!$A$39:$A$45,0))</f>
        <v/>
      </c>
      <c r="K220" s="22" t="str">
        <f>INDEX(Cronograma!J$5:J$11,MATCH($B220,Premissas!$A$39:$A$45,0))</f>
        <v/>
      </c>
      <c r="L220" s="22" t="str">
        <f>INDEX(Cronograma!K$5:K$11,MATCH($B220,Premissas!$A$39:$A$45,0))</f>
        <v/>
      </c>
      <c r="M220" s="22" t="str">
        <f>INDEX(Cronograma!L$5:L$11,MATCH($B220,Premissas!$A$39:$A$45,0))</f>
        <v/>
      </c>
      <c r="N220" s="22" t="str">
        <f>INDEX(Cronograma!M$5:M$11,MATCH($B220,Premissas!$A$39:$A$45,0))</f>
        <v/>
      </c>
      <c r="O220" s="22" t="str">
        <f>INDEX(Cronograma!N$5:N$11,MATCH($B220,Premissas!$A$39:$A$45,0))</f>
        <v>A</v>
      </c>
      <c r="P220" s="22" t="str">
        <f>INDEX(Cronograma!O$5:O$11,MATCH($B220,Premissas!$A$39:$A$45,0))</f>
        <v/>
      </c>
      <c r="Q220" s="22" t="str">
        <f>INDEX(Cronograma!P$5:P$11,MATCH($B220,Premissas!$A$39:$A$45,0))</f>
        <v/>
      </c>
      <c r="R220" s="22" t="str">
        <f>INDEX(Cronograma!Q$5:Q$11,MATCH($B220,Premissas!$A$39:$A$45,0))</f>
        <v/>
      </c>
      <c r="S220" s="22" t="str">
        <f>INDEX(Cronograma!R$5:R$11,MATCH($B220,Premissas!$A$39:$A$45,0))</f>
        <v/>
      </c>
      <c r="T220" s="22" t="str">
        <f>INDEX(Cronograma!S$5:S$11,MATCH($B220,Premissas!$A$39:$A$45,0))</f>
        <v/>
      </c>
      <c r="U220" s="22" t="str">
        <f>INDEX(Cronograma!T$5:T$11,MATCH($B220,Premissas!$A$39:$A$45,0))</f>
        <v>S</v>
      </c>
      <c r="V220" s="22" t="str">
        <f>INDEX(Cronograma!U$5:U$11,MATCH($B220,Premissas!$A$39:$A$45,0))</f>
        <v/>
      </c>
      <c r="W220" s="22" t="str">
        <f>INDEX(Cronograma!V$5:V$11,MATCH($B220,Premissas!$A$39:$A$45,0))</f>
        <v/>
      </c>
      <c r="X220" s="22" t="str">
        <f>INDEX(Cronograma!W$5:W$11,MATCH($B220,Premissas!$A$39:$A$45,0))</f>
        <v/>
      </c>
      <c r="Y220" s="22" t="str">
        <f>INDEX(Cronograma!X$5:X$11,MATCH($B220,Premissas!$A$39:$A$45,0))</f>
        <v/>
      </c>
      <c r="Z220" s="22" t="str">
        <f>INDEX(Cronograma!Y$5:Y$11,MATCH($B220,Premissas!$A$39:$A$45,0))</f>
        <v/>
      </c>
      <c r="AA220" s="22" t="str">
        <f>INDEX(Cronograma!Z$5:Z$11,MATCH($B220,Premissas!$A$39:$A$45,0))</f>
        <v>B</v>
      </c>
      <c r="AB220" s="22" t="str">
        <f>INDEX(Cronograma!AA$5:AA$11,MATCH($B220,Premissas!$A$39:$A$45,0))</f>
        <v/>
      </c>
      <c r="AC220" s="22" t="str">
        <f>INDEX(Cronograma!AB$5:AB$11,MATCH($B220,Premissas!$A$39:$A$45,0))</f>
        <v/>
      </c>
      <c r="AD220" s="22" t="str">
        <f>INDEX(Cronograma!AC$5:AC$11,MATCH($B220,Premissas!$A$39:$A$45,0))</f>
        <v/>
      </c>
      <c r="AE220" s="22" t="str">
        <f>INDEX(Cronograma!AD$5:AD$11,MATCH($B220,Premissas!$A$39:$A$45,0))</f>
        <v/>
      </c>
      <c r="AF220" s="22" t="str">
        <f>INDEX(Cronograma!AE$5:AE$11,MATCH($B220,Premissas!$A$39:$A$45,0))</f>
        <v/>
      </c>
      <c r="AG220" s="22" t="str">
        <f>INDEX(Cronograma!AF$5:AF$11,MATCH($B220,Premissas!$A$39:$A$45,0))</f>
        <v/>
      </c>
      <c r="AH220" s="22" t="str">
        <f>INDEX(Cronograma!AG$5:AG$11,MATCH($B220,Premissas!$A$39:$A$45,0))</f>
        <v>S</v>
      </c>
      <c r="AI220" s="22" t="str">
        <f>INDEX(Cronograma!AH$5:AH$11,MATCH($B220,Premissas!$A$39:$A$45,0))</f>
        <v/>
      </c>
      <c r="AJ220" s="22" t="str">
        <f>INDEX(Cronograma!AI$5:AI$11,MATCH($B220,Premissas!$A$39:$A$45,0))</f>
        <v/>
      </c>
      <c r="AK220" s="22" t="str">
        <f>INDEX(Cronograma!AJ$5:AJ$11,MATCH($B220,Premissas!$A$39:$A$45,0))</f>
        <v/>
      </c>
      <c r="AL220" s="22" t="str">
        <f>INDEX(Cronograma!AK$5:AK$11,MATCH($B220,Premissas!$A$39:$A$45,0))</f>
        <v/>
      </c>
      <c r="AM220" s="22" t="str">
        <f>INDEX(Cronograma!AL$5:AL$11,MATCH($B220,Premissas!$A$39:$A$45,0))</f>
        <v/>
      </c>
      <c r="AN220" s="22" t="str">
        <f>INDEX(Cronograma!AM$5:AM$11,MATCH($B220,Premissas!$A$39:$A$45,0))</f>
        <v/>
      </c>
      <c r="AO220" s="22" t="str">
        <f>INDEX(Cronograma!AN$5:AN$11,MATCH($B220,Premissas!$A$39:$A$45,0))</f>
        <v/>
      </c>
      <c r="AP220" s="22" t="str">
        <f>INDEX(Cronograma!AO$5:AO$11,MATCH($B220,Premissas!$A$39:$A$45,0))</f>
        <v/>
      </c>
      <c r="AQ220" s="22" t="str">
        <f>INDEX(Cronograma!AP$5:AP$11,MATCH($B220,Premissas!$A$39:$A$45,0))</f>
        <v/>
      </c>
      <c r="AR220" s="22" t="str">
        <f>INDEX(Cronograma!AQ$5:AQ$11,MATCH($B220,Premissas!$A$39:$A$45,0))</f>
        <v/>
      </c>
      <c r="AS220" s="22" t="str">
        <f>INDEX(Cronograma!AR$5:AR$11,MATCH($B220,Premissas!$A$39:$A$45,0))</f>
        <v/>
      </c>
      <c r="AT220" s="22" t="str">
        <f>INDEX(Cronograma!AS$5:AS$11,MATCH($B220,Premissas!$A$39:$A$45,0))</f>
        <v/>
      </c>
      <c r="AU220" s="22" t="str">
        <f>INDEX(Cronograma!AT$5:AT$11,MATCH($B220,Premissas!$A$39:$A$45,0))</f>
        <v/>
      </c>
      <c r="AV220" s="22" t="str">
        <f>INDEX(Cronograma!AU$5:AU$11,MATCH($B220,Premissas!$A$39:$A$45,0))</f>
        <v/>
      </c>
      <c r="AW220" s="22" t="str">
        <f>INDEX(Cronograma!AV$5:AV$11,MATCH($B220,Premissas!$A$39:$A$45,0))</f>
        <v/>
      </c>
      <c r="AX220" s="22" t="str">
        <f>INDEX(Cronograma!AW$5:AW$11,MATCH($B220,Premissas!$A$39:$A$45,0))</f>
        <v/>
      </c>
      <c r="AY220" s="22" t="str">
        <f>INDEX(Cronograma!AX$5:AX$11,MATCH($B220,Premissas!$A$39:$A$45,0))</f>
        <v>A</v>
      </c>
      <c r="AZ220" s="22" t="str">
        <f>INDEX(Cronograma!AY$5:AY$11,MATCH($B220,Premissas!$A$39:$A$45,0))</f>
        <v/>
      </c>
      <c r="BA220" s="22" t="str">
        <f>INDEX(Cronograma!AZ$5:AZ$11,MATCH($B220,Premissas!$A$39:$A$45,0))</f>
        <v/>
      </c>
      <c r="BB220" s="22" t="str">
        <f>INDEX(Cronograma!BA$5:BA$11,MATCH($B220,Premissas!$A$39:$A$45,0))</f>
        <v/>
      </c>
    </row>
    <row r="221" spans="1:54" ht="15" customHeight="1" x14ac:dyDescent="0.4">
      <c r="A221" s="15" t="str">
        <f>Frota!$B221&amp;" — "&amp;Frota!$A221</f>
        <v>John Deere 6190J — 105153</v>
      </c>
      <c r="B221" s="16" t="str">
        <f>Frota!$C221</f>
        <v>Trator</v>
      </c>
      <c r="C221" s="22" t="str">
        <f>INDEX(Cronograma!B$5:B$11,MATCH($B221,Premissas!$A$39:$A$45,0))</f>
        <v/>
      </c>
      <c r="D221" s="22" t="str">
        <f>INDEX(Cronograma!C$5:C$11,MATCH($B221,Premissas!$A$39:$A$45,0))</f>
        <v/>
      </c>
      <c r="E221" s="22" t="str">
        <f>INDEX(Cronograma!D$5:D$11,MATCH($B221,Premissas!$A$39:$A$45,0))</f>
        <v/>
      </c>
      <c r="F221" s="22" t="str">
        <f>INDEX(Cronograma!E$5:E$11,MATCH($B221,Premissas!$A$39:$A$45,0))</f>
        <v/>
      </c>
      <c r="G221" s="22" t="str">
        <f>INDEX(Cronograma!F$5:F$11,MATCH($B221,Premissas!$A$39:$A$45,0))</f>
        <v/>
      </c>
      <c r="H221" s="22" t="str">
        <f>INDEX(Cronograma!G$5:G$11,MATCH($B221,Premissas!$A$39:$A$45,0))</f>
        <v/>
      </c>
      <c r="I221" s="22" t="str">
        <f>INDEX(Cronograma!H$5:H$11,MATCH($B221,Premissas!$A$39:$A$45,0))</f>
        <v>S</v>
      </c>
      <c r="J221" s="22" t="str">
        <f>INDEX(Cronograma!I$5:I$11,MATCH($B221,Premissas!$A$39:$A$45,0))</f>
        <v/>
      </c>
      <c r="K221" s="22" t="str">
        <f>INDEX(Cronograma!J$5:J$11,MATCH($B221,Premissas!$A$39:$A$45,0))</f>
        <v/>
      </c>
      <c r="L221" s="22" t="str">
        <f>INDEX(Cronograma!K$5:K$11,MATCH($B221,Premissas!$A$39:$A$45,0))</f>
        <v/>
      </c>
      <c r="M221" s="22" t="str">
        <f>INDEX(Cronograma!L$5:L$11,MATCH($B221,Premissas!$A$39:$A$45,0))</f>
        <v/>
      </c>
      <c r="N221" s="22" t="str">
        <f>INDEX(Cronograma!M$5:M$11,MATCH($B221,Premissas!$A$39:$A$45,0))</f>
        <v/>
      </c>
      <c r="O221" s="22" t="str">
        <f>INDEX(Cronograma!N$5:N$11,MATCH($B221,Premissas!$A$39:$A$45,0))</f>
        <v>A</v>
      </c>
      <c r="P221" s="22" t="str">
        <f>INDEX(Cronograma!O$5:O$11,MATCH($B221,Premissas!$A$39:$A$45,0))</f>
        <v/>
      </c>
      <c r="Q221" s="22" t="str">
        <f>INDEX(Cronograma!P$5:P$11,MATCH($B221,Premissas!$A$39:$A$45,0))</f>
        <v/>
      </c>
      <c r="R221" s="22" t="str">
        <f>INDEX(Cronograma!Q$5:Q$11,MATCH($B221,Premissas!$A$39:$A$45,0))</f>
        <v/>
      </c>
      <c r="S221" s="22" t="str">
        <f>INDEX(Cronograma!R$5:R$11,MATCH($B221,Premissas!$A$39:$A$45,0))</f>
        <v/>
      </c>
      <c r="T221" s="22" t="str">
        <f>INDEX(Cronograma!S$5:S$11,MATCH($B221,Premissas!$A$39:$A$45,0))</f>
        <v/>
      </c>
      <c r="U221" s="22" t="str">
        <f>INDEX(Cronograma!T$5:T$11,MATCH($B221,Premissas!$A$39:$A$45,0))</f>
        <v>S</v>
      </c>
      <c r="V221" s="22" t="str">
        <f>INDEX(Cronograma!U$5:U$11,MATCH($B221,Premissas!$A$39:$A$45,0))</f>
        <v/>
      </c>
      <c r="W221" s="22" t="str">
        <f>INDEX(Cronograma!V$5:V$11,MATCH($B221,Premissas!$A$39:$A$45,0))</f>
        <v/>
      </c>
      <c r="X221" s="22" t="str">
        <f>INDEX(Cronograma!W$5:W$11,MATCH($B221,Premissas!$A$39:$A$45,0))</f>
        <v/>
      </c>
      <c r="Y221" s="22" t="str">
        <f>INDEX(Cronograma!X$5:X$11,MATCH($B221,Premissas!$A$39:$A$45,0))</f>
        <v/>
      </c>
      <c r="Z221" s="22" t="str">
        <f>INDEX(Cronograma!Y$5:Y$11,MATCH($B221,Premissas!$A$39:$A$45,0))</f>
        <v/>
      </c>
      <c r="AA221" s="22" t="str">
        <f>INDEX(Cronograma!Z$5:Z$11,MATCH($B221,Premissas!$A$39:$A$45,0))</f>
        <v>B</v>
      </c>
      <c r="AB221" s="22" t="str">
        <f>INDEX(Cronograma!AA$5:AA$11,MATCH($B221,Premissas!$A$39:$A$45,0))</f>
        <v/>
      </c>
      <c r="AC221" s="22" t="str">
        <f>INDEX(Cronograma!AB$5:AB$11,MATCH($B221,Premissas!$A$39:$A$45,0))</f>
        <v/>
      </c>
      <c r="AD221" s="22" t="str">
        <f>INDEX(Cronograma!AC$5:AC$11,MATCH($B221,Premissas!$A$39:$A$45,0))</f>
        <v/>
      </c>
      <c r="AE221" s="22" t="str">
        <f>INDEX(Cronograma!AD$5:AD$11,MATCH($B221,Premissas!$A$39:$A$45,0))</f>
        <v/>
      </c>
      <c r="AF221" s="22" t="str">
        <f>INDEX(Cronograma!AE$5:AE$11,MATCH($B221,Premissas!$A$39:$A$45,0))</f>
        <v/>
      </c>
      <c r="AG221" s="22" t="str">
        <f>INDEX(Cronograma!AF$5:AF$11,MATCH($B221,Premissas!$A$39:$A$45,0))</f>
        <v/>
      </c>
      <c r="AH221" s="22" t="str">
        <f>INDEX(Cronograma!AG$5:AG$11,MATCH($B221,Premissas!$A$39:$A$45,0))</f>
        <v>S</v>
      </c>
      <c r="AI221" s="22" t="str">
        <f>INDEX(Cronograma!AH$5:AH$11,MATCH($B221,Premissas!$A$39:$A$45,0))</f>
        <v/>
      </c>
      <c r="AJ221" s="22" t="str">
        <f>INDEX(Cronograma!AI$5:AI$11,MATCH($B221,Premissas!$A$39:$A$45,0))</f>
        <v/>
      </c>
      <c r="AK221" s="22" t="str">
        <f>INDEX(Cronograma!AJ$5:AJ$11,MATCH($B221,Premissas!$A$39:$A$45,0))</f>
        <v/>
      </c>
      <c r="AL221" s="22" t="str">
        <f>INDEX(Cronograma!AK$5:AK$11,MATCH($B221,Premissas!$A$39:$A$45,0))</f>
        <v/>
      </c>
      <c r="AM221" s="22" t="str">
        <f>INDEX(Cronograma!AL$5:AL$11,MATCH($B221,Premissas!$A$39:$A$45,0))</f>
        <v/>
      </c>
      <c r="AN221" s="22" t="str">
        <f>INDEX(Cronograma!AM$5:AM$11,MATCH($B221,Premissas!$A$39:$A$45,0))</f>
        <v/>
      </c>
      <c r="AO221" s="22" t="str">
        <f>INDEX(Cronograma!AN$5:AN$11,MATCH($B221,Premissas!$A$39:$A$45,0))</f>
        <v/>
      </c>
      <c r="AP221" s="22" t="str">
        <f>INDEX(Cronograma!AO$5:AO$11,MATCH($B221,Premissas!$A$39:$A$45,0))</f>
        <v/>
      </c>
      <c r="AQ221" s="22" t="str">
        <f>INDEX(Cronograma!AP$5:AP$11,MATCH($B221,Premissas!$A$39:$A$45,0))</f>
        <v/>
      </c>
      <c r="AR221" s="22" t="str">
        <f>INDEX(Cronograma!AQ$5:AQ$11,MATCH($B221,Premissas!$A$39:$A$45,0))</f>
        <v/>
      </c>
      <c r="AS221" s="22" t="str">
        <f>INDEX(Cronograma!AR$5:AR$11,MATCH($B221,Premissas!$A$39:$A$45,0))</f>
        <v/>
      </c>
      <c r="AT221" s="22" t="str">
        <f>INDEX(Cronograma!AS$5:AS$11,MATCH($B221,Premissas!$A$39:$A$45,0))</f>
        <v/>
      </c>
      <c r="AU221" s="22" t="str">
        <f>INDEX(Cronograma!AT$5:AT$11,MATCH($B221,Premissas!$A$39:$A$45,0))</f>
        <v/>
      </c>
      <c r="AV221" s="22" t="str">
        <f>INDEX(Cronograma!AU$5:AU$11,MATCH($B221,Premissas!$A$39:$A$45,0))</f>
        <v/>
      </c>
      <c r="AW221" s="22" t="str">
        <f>INDEX(Cronograma!AV$5:AV$11,MATCH($B221,Premissas!$A$39:$A$45,0))</f>
        <v/>
      </c>
      <c r="AX221" s="22" t="str">
        <f>INDEX(Cronograma!AW$5:AW$11,MATCH($B221,Premissas!$A$39:$A$45,0))</f>
        <v/>
      </c>
      <c r="AY221" s="22" t="str">
        <f>INDEX(Cronograma!AX$5:AX$11,MATCH($B221,Premissas!$A$39:$A$45,0))</f>
        <v>A</v>
      </c>
      <c r="AZ221" s="22" t="str">
        <f>INDEX(Cronograma!AY$5:AY$11,MATCH($B221,Premissas!$A$39:$A$45,0))</f>
        <v/>
      </c>
      <c r="BA221" s="22" t="str">
        <f>INDEX(Cronograma!AZ$5:AZ$11,MATCH($B221,Premissas!$A$39:$A$45,0))</f>
        <v/>
      </c>
      <c r="BB221" s="22" t="str">
        <f>INDEX(Cronograma!BA$5:BA$11,MATCH($B221,Premissas!$A$39:$A$45,0))</f>
        <v/>
      </c>
    </row>
    <row r="222" spans="1:54" ht="15" customHeight="1" x14ac:dyDescent="0.4">
      <c r="A222" s="15" t="str">
        <f>Frota!$B222&amp;" — "&amp;Frota!$A222</f>
        <v>John Deere 6190J — 105154</v>
      </c>
      <c r="B222" s="16" t="str">
        <f>Frota!$C222</f>
        <v>Trator</v>
      </c>
      <c r="C222" s="22" t="str">
        <f>INDEX(Cronograma!B$5:B$11,MATCH($B222,Premissas!$A$39:$A$45,0))</f>
        <v/>
      </c>
      <c r="D222" s="22" t="str">
        <f>INDEX(Cronograma!C$5:C$11,MATCH($B222,Premissas!$A$39:$A$45,0))</f>
        <v/>
      </c>
      <c r="E222" s="22" t="str">
        <f>INDEX(Cronograma!D$5:D$11,MATCH($B222,Premissas!$A$39:$A$45,0))</f>
        <v/>
      </c>
      <c r="F222" s="22" t="str">
        <f>INDEX(Cronograma!E$5:E$11,MATCH($B222,Premissas!$A$39:$A$45,0))</f>
        <v/>
      </c>
      <c r="G222" s="22" t="str">
        <f>INDEX(Cronograma!F$5:F$11,MATCH($B222,Premissas!$A$39:$A$45,0))</f>
        <v/>
      </c>
      <c r="H222" s="22" t="str">
        <f>INDEX(Cronograma!G$5:G$11,MATCH($B222,Premissas!$A$39:$A$45,0))</f>
        <v/>
      </c>
      <c r="I222" s="22" t="str">
        <f>INDEX(Cronograma!H$5:H$11,MATCH($B222,Premissas!$A$39:$A$45,0))</f>
        <v>S</v>
      </c>
      <c r="J222" s="22" t="str">
        <f>INDEX(Cronograma!I$5:I$11,MATCH($B222,Premissas!$A$39:$A$45,0))</f>
        <v/>
      </c>
      <c r="K222" s="22" t="str">
        <f>INDEX(Cronograma!J$5:J$11,MATCH($B222,Premissas!$A$39:$A$45,0))</f>
        <v/>
      </c>
      <c r="L222" s="22" t="str">
        <f>INDEX(Cronograma!K$5:K$11,MATCH($B222,Premissas!$A$39:$A$45,0))</f>
        <v/>
      </c>
      <c r="M222" s="22" t="str">
        <f>INDEX(Cronograma!L$5:L$11,MATCH($B222,Premissas!$A$39:$A$45,0))</f>
        <v/>
      </c>
      <c r="N222" s="22" t="str">
        <f>INDEX(Cronograma!M$5:M$11,MATCH($B222,Premissas!$A$39:$A$45,0))</f>
        <v/>
      </c>
      <c r="O222" s="22" t="str">
        <f>INDEX(Cronograma!N$5:N$11,MATCH($B222,Premissas!$A$39:$A$45,0))</f>
        <v>A</v>
      </c>
      <c r="P222" s="22" t="str">
        <f>INDEX(Cronograma!O$5:O$11,MATCH($B222,Premissas!$A$39:$A$45,0))</f>
        <v/>
      </c>
      <c r="Q222" s="22" t="str">
        <f>INDEX(Cronograma!P$5:P$11,MATCH($B222,Premissas!$A$39:$A$45,0))</f>
        <v/>
      </c>
      <c r="R222" s="22" t="str">
        <f>INDEX(Cronograma!Q$5:Q$11,MATCH($B222,Premissas!$A$39:$A$45,0))</f>
        <v/>
      </c>
      <c r="S222" s="22" t="str">
        <f>INDEX(Cronograma!R$5:R$11,MATCH($B222,Premissas!$A$39:$A$45,0))</f>
        <v/>
      </c>
      <c r="T222" s="22" t="str">
        <f>INDEX(Cronograma!S$5:S$11,MATCH($B222,Premissas!$A$39:$A$45,0))</f>
        <v/>
      </c>
      <c r="U222" s="22" t="str">
        <f>INDEX(Cronograma!T$5:T$11,MATCH($B222,Premissas!$A$39:$A$45,0))</f>
        <v>S</v>
      </c>
      <c r="V222" s="22" t="str">
        <f>INDEX(Cronograma!U$5:U$11,MATCH($B222,Premissas!$A$39:$A$45,0))</f>
        <v/>
      </c>
      <c r="W222" s="22" t="str">
        <f>INDEX(Cronograma!V$5:V$11,MATCH($B222,Premissas!$A$39:$A$45,0))</f>
        <v/>
      </c>
      <c r="X222" s="22" t="str">
        <f>INDEX(Cronograma!W$5:W$11,MATCH($B222,Premissas!$A$39:$A$45,0))</f>
        <v/>
      </c>
      <c r="Y222" s="22" t="str">
        <f>INDEX(Cronograma!X$5:X$11,MATCH($B222,Premissas!$A$39:$A$45,0))</f>
        <v/>
      </c>
      <c r="Z222" s="22" t="str">
        <f>INDEX(Cronograma!Y$5:Y$11,MATCH($B222,Premissas!$A$39:$A$45,0))</f>
        <v/>
      </c>
      <c r="AA222" s="22" t="str">
        <f>INDEX(Cronograma!Z$5:Z$11,MATCH($B222,Premissas!$A$39:$A$45,0))</f>
        <v>B</v>
      </c>
      <c r="AB222" s="22" t="str">
        <f>INDEX(Cronograma!AA$5:AA$11,MATCH($B222,Premissas!$A$39:$A$45,0))</f>
        <v/>
      </c>
      <c r="AC222" s="22" t="str">
        <f>INDEX(Cronograma!AB$5:AB$11,MATCH($B222,Premissas!$A$39:$A$45,0))</f>
        <v/>
      </c>
      <c r="AD222" s="22" t="str">
        <f>INDEX(Cronograma!AC$5:AC$11,MATCH($B222,Premissas!$A$39:$A$45,0))</f>
        <v/>
      </c>
      <c r="AE222" s="22" t="str">
        <f>INDEX(Cronograma!AD$5:AD$11,MATCH($B222,Premissas!$A$39:$A$45,0))</f>
        <v/>
      </c>
      <c r="AF222" s="22" t="str">
        <f>INDEX(Cronograma!AE$5:AE$11,MATCH($B222,Premissas!$A$39:$A$45,0))</f>
        <v/>
      </c>
      <c r="AG222" s="22" t="str">
        <f>INDEX(Cronograma!AF$5:AF$11,MATCH($B222,Premissas!$A$39:$A$45,0))</f>
        <v/>
      </c>
      <c r="AH222" s="22" t="str">
        <f>INDEX(Cronograma!AG$5:AG$11,MATCH($B222,Premissas!$A$39:$A$45,0))</f>
        <v>S</v>
      </c>
      <c r="AI222" s="22" t="str">
        <f>INDEX(Cronograma!AH$5:AH$11,MATCH($B222,Premissas!$A$39:$A$45,0))</f>
        <v/>
      </c>
      <c r="AJ222" s="22" t="str">
        <f>INDEX(Cronograma!AI$5:AI$11,MATCH($B222,Premissas!$A$39:$A$45,0))</f>
        <v/>
      </c>
      <c r="AK222" s="22" t="str">
        <f>INDEX(Cronograma!AJ$5:AJ$11,MATCH($B222,Premissas!$A$39:$A$45,0))</f>
        <v/>
      </c>
      <c r="AL222" s="22" t="str">
        <f>INDEX(Cronograma!AK$5:AK$11,MATCH($B222,Premissas!$A$39:$A$45,0))</f>
        <v/>
      </c>
      <c r="AM222" s="22" t="str">
        <f>INDEX(Cronograma!AL$5:AL$11,MATCH($B222,Premissas!$A$39:$A$45,0))</f>
        <v/>
      </c>
      <c r="AN222" s="22" t="str">
        <f>INDEX(Cronograma!AM$5:AM$11,MATCH($B222,Premissas!$A$39:$A$45,0))</f>
        <v/>
      </c>
      <c r="AO222" s="22" t="str">
        <f>INDEX(Cronograma!AN$5:AN$11,MATCH($B222,Premissas!$A$39:$A$45,0))</f>
        <v/>
      </c>
      <c r="AP222" s="22" t="str">
        <f>INDEX(Cronograma!AO$5:AO$11,MATCH($B222,Premissas!$A$39:$A$45,0))</f>
        <v/>
      </c>
      <c r="AQ222" s="22" t="str">
        <f>INDEX(Cronograma!AP$5:AP$11,MATCH($B222,Premissas!$A$39:$A$45,0))</f>
        <v/>
      </c>
      <c r="AR222" s="22" t="str">
        <f>INDEX(Cronograma!AQ$5:AQ$11,MATCH($B222,Premissas!$A$39:$A$45,0))</f>
        <v/>
      </c>
      <c r="AS222" s="22" t="str">
        <f>INDEX(Cronograma!AR$5:AR$11,MATCH($B222,Premissas!$A$39:$A$45,0))</f>
        <v/>
      </c>
      <c r="AT222" s="22" t="str">
        <f>INDEX(Cronograma!AS$5:AS$11,MATCH($B222,Premissas!$A$39:$A$45,0))</f>
        <v/>
      </c>
      <c r="AU222" s="22" t="str">
        <f>INDEX(Cronograma!AT$5:AT$11,MATCH($B222,Premissas!$A$39:$A$45,0))</f>
        <v/>
      </c>
      <c r="AV222" s="22" t="str">
        <f>INDEX(Cronograma!AU$5:AU$11,MATCH($B222,Premissas!$A$39:$A$45,0))</f>
        <v/>
      </c>
      <c r="AW222" s="22" t="str">
        <f>INDEX(Cronograma!AV$5:AV$11,MATCH($B222,Premissas!$A$39:$A$45,0))</f>
        <v/>
      </c>
      <c r="AX222" s="22" t="str">
        <f>INDEX(Cronograma!AW$5:AW$11,MATCH($B222,Premissas!$A$39:$A$45,0))</f>
        <v/>
      </c>
      <c r="AY222" s="22" t="str">
        <f>INDEX(Cronograma!AX$5:AX$11,MATCH($B222,Premissas!$A$39:$A$45,0))</f>
        <v>A</v>
      </c>
      <c r="AZ222" s="22" t="str">
        <f>INDEX(Cronograma!AY$5:AY$11,MATCH($B222,Premissas!$A$39:$A$45,0))</f>
        <v/>
      </c>
      <c r="BA222" s="22" t="str">
        <f>INDEX(Cronograma!AZ$5:AZ$11,MATCH($B222,Premissas!$A$39:$A$45,0))</f>
        <v/>
      </c>
      <c r="BB222" s="22" t="str">
        <f>INDEX(Cronograma!BA$5:BA$11,MATCH($B222,Premissas!$A$39:$A$45,0))</f>
        <v/>
      </c>
    </row>
    <row r="223" spans="1:54" ht="15" customHeight="1" x14ac:dyDescent="0.4">
      <c r="A223" s="15" t="str">
        <f>Frota!$B223&amp;" — "&amp;Frota!$A223</f>
        <v>John Deere 6190J — 105155</v>
      </c>
      <c r="B223" s="16" t="str">
        <f>Frota!$C223</f>
        <v>Trator</v>
      </c>
      <c r="C223" s="22" t="str">
        <f>INDEX(Cronograma!B$5:B$11,MATCH($B223,Premissas!$A$39:$A$45,0))</f>
        <v/>
      </c>
      <c r="D223" s="22" t="str">
        <f>INDEX(Cronograma!C$5:C$11,MATCH($B223,Premissas!$A$39:$A$45,0))</f>
        <v/>
      </c>
      <c r="E223" s="22" t="str">
        <f>INDEX(Cronograma!D$5:D$11,MATCH($B223,Premissas!$A$39:$A$45,0))</f>
        <v/>
      </c>
      <c r="F223" s="22" t="str">
        <f>INDEX(Cronograma!E$5:E$11,MATCH($B223,Premissas!$A$39:$A$45,0))</f>
        <v/>
      </c>
      <c r="G223" s="22" t="str">
        <f>INDEX(Cronograma!F$5:F$11,MATCH($B223,Premissas!$A$39:$A$45,0))</f>
        <v/>
      </c>
      <c r="H223" s="22" t="str">
        <f>INDEX(Cronograma!G$5:G$11,MATCH($B223,Premissas!$A$39:$A$45,0))</f>
        <v/>
      </c>
      <c r="I223" s="22" t="str">
        <f>INDEX(Cronograma!H$5:H$11,MATCH($B223,Premissas!$A$39:$A$45,0))</f>
        <v>S</v>
      </c>
      <c r="J223" s="22" t="str">
        <f>INDEX(Cronograma!I$5:I$11,MATCH($B223,Premissas!$A$39:$A$45,0))</f>
        <v/>
      </c>
      <c r="K223" s="22" t="str">
        <f>INDEX(Cronograma!J$5:J$11,MATCH($B223,Premissas!$A$39:$A$45,0))</f>
        <v/>
      </c>
      <c r="L223" s="22" t="str">
        <f>INDEX(Cronograma!K$5:K$11,MATCH($B223,Premissas!$A$39:$A$45,0))</f>
        <v/>
      </c>
      <c r="M223" s="22" t="str">
        <f>INDEX(Cronograma!L$5:L$11,MATCH($B223,Premissas!$A$39:$A$45,0))</f>
        <v/>
      </c>
      <c r="N223" s="22" t="str">
        <f>INDEX(Cronograma!M$5:M$11,MATCH($B223,Premissas!$A$39:$A$45,0))</f>
        <v/>
      </c>
      <c r="O223" s="22" t="str">
        <f>INDEX(Cronograma!N$5:N$11,MATCH($B223,Premissas!$A$39:$A$45,0))</f>
        <v>A</v>
      </c>
      <c r="P223" s="22" t="str">
        <f>INDEX(Cronograma!O$5:O$11,MATCH($B223,Premissas!$A$39:$A$45,0))</f>
        <v/>
      </c>
      <c r="Q223" s="22" t="str">
        <f>INDEX(Cronograma!P$5:P$11,MATCH($B223,Premissas!$A$39:$A$45,0))</f>
        <v/>
      </c>
      <c r="R223" s="22" t="str">
        <f>INDEX(Cronograma!Q$5:Q$11,MATCH($B223,Premissas!$A$39:$A$45,0))</f>
        <v/>
      </c>
      <c r="S223" s="22" t="str">
        <f>INDEX(Cronograma!R$5:R$11,MATCH($B223,Premissas!$A$39:$A$45,0))</f>
        <v/>
      </c>
      <c r="T223" s="22" t="str">
        <f>INDEX(Cronograma!S$5:S$11,MATCH($B223,Premissas!$A$39:$A$45,0))</f>
        <v/>
      </c>
      <c r="U223" s="22" t="str">
        <f>INDEX(Cronograma!T$5:T$11,MATCH($B223,Premissas!$A$39:$A$45,0))</f>
        <v>S</v>
      </c>
      <c r="V223" s="22" t="str">
        <f>INDEX(Cronograma!U$5:U$11,MATCH($B223,Premissas!$A$39:$A$45,0))</f>
        <v/>
      </c>
      <c r="W223" s="22" t="str">
        <f>INDEX(Cronograma!V$5:V$11,MATCH($B223,Premissas!$A$39:$A$45,0))</f>
        <v/>
      </c>
      <c r="X223" s="22" t="str">
        <f>INDEX(Cronograma!W$5:W$11,MATCH($B223,Premissas!$A$39:$A$45,0))</f>
        <v/>
      </c>
      <c r="Y223" s="22" t="str">
        <f>INDEX(Cronograma!X$5:X$11,MATCH($B223,Premissas!$A$39:$A$45,0))</f>
        <v/>
      </c>
      <c r="Z223" s="22" t="str">
        <f>INDEX(Cronograma!Y$5:Y$11,MATCH($B223,Premissas!$A$39:$A$45,0))</f>
        <v/>
      </c>
      <c r="AA223" s="22" t="str">
        <f>INDEX(Cronograma!Z$5:Z$11,MATCH($B223,Premissas!$A$39:$A$45,0))</f>
        <v>B</v>
      </c>
      <c r="AB223" s="22" t="str">
        <f>INDEX(Cronograma!AA$5:AA$11,MATCH($B223,Premissas!$A$39:$A$45,0))</f>
        <v/>
      </c>
      <c r="AC223" s="22" t="str">
        <f>INDEX(Cronograma!AB$5:AB$11,MATCH($B223,Premissas!$A$39:$A$45,0))</f>
        <v/>
      </c>
      <c r="AD223" s="22" t="str">
        <f>INDEX(Cronograma!AC$5:AC$11,MATCH($B223,Premissas!$A$39:$A$45,0))</f>
        <v/>
      </c>
      <c r="AE223" s="22" t="str">
        <f>INDEX(Cronograma!AD$5:AD$11,MATCH($B223,Premissas!$A$39:$A$45,0))</f>
        <v/>
      </c>
      <c r="AF223" s="22" t="str">
        <f>INDEX(Cronograma!AE$5:AE$11,MATCH($B223,Premissas!$A$39:$A$45,0))</f>
        <v/>
      </c>
      <c r="AG223" s="22" t="str">
        <f>INDEX(Cronograma!AF$5:AF$11,MATCH($B223,Premissas!$A$39:$A$45,0))</f>
        <v/>
      </c>
      <c r="AH223" s="22" t="str">
        <f>INDEX(Cronograma!AG$5:AG$11,MATCH($B223,Premissas!$A$39:$A$45,0))</f>
        <v>S</v>
      </c>
      <c r="AI223" s="22" t="str">
        <f>INDEX(Cronograma!AH$5:AH$11,MATCH($B223,Premissas!$A$39:$A$45,0))</f>
        <v/>
      </c>
      <c r="AJ223" s="22" t="str">
        <f>INDEX(Cronograma!AI$5:AI$11,MATCH($B223,Premissas!$A$39:$A$45,0))</f>
        <v/>
      </c>
      <c r="AK223" s="22" t="str">
        <f>INDEX(Cronograma!AJ$5:AJ$11,MATCH($B223,Premissas!$A$39:$A$45,0))</f>
        <v/>
      </c>
      <c r="AL223" s="22" t="str">
        <f>INDEX(Cronograma!AK$5:AK$11,MATCH($B223,Premissas!$A$39:$A$45,0))</f>
        <v/>
      </c>
      <c r="AM223" s="22" t="str">
        <f>INDEX(Cronograma!AL$5:AL$11,MATCH($B223,Premissas!$A$39:$A$45,0))</f>
        <v/>
      </c>
      <c r="AN223" s="22" t="str">
        <f>INDEX(Cronograma!AM$5:AM$11,MATCH($B223,Premissas!$A$39:$A$45,0))</f>
        <v/>
      </c>
      <c r="AO223" s="22" t="str">
        <f>INDEX(Cronograma!AN$5:AN$11,MATCH($B223,Premissas!$A$39:$A$45,0))</f>
        <v/>
      </c>
      <c r="AP223" s="22" t="str">
        <f>INDEX(Cronograma!AO$5:AO$11,MATCH($B223,Premissas!$A$39:$A$45,0))</f>
        <v/>
      </c>
      <c r="AQ223" s="22" t="str">
        <f>INDEX(Cronograma!AP$5:AP$11,MATCH($B223,Premissas!$A$39:$A$45,0))</f>
        <v/>
      </c>
      <c r="AR223" s="22" t="str">
        <f>INDEX(Cronograma!AQ$5:AQ$11,MATCH($B223,Premissas!$A$39:$A$45,0))</f>
        <v/>
      </c>
      <c r="AS223" s="22" t="str">
        <f>INDEX(Cronograma!AR$5:AR$11,MATCH($B223,Premissas!$A$39:$A$45,0))</f>
        <v/>
      </c>
      <c r="AT223" s="22" t="str">
        <f>INDEX(Cronograma!AS$5:AS$11,MATCH($B223,Premissas!$A$39:$A$45,0))</f>
        <v/>
      </c>
      <c r="AU223" s="22" t="str">
        <f>INDEX(Cronograma!AT$5:AT$11,MATCH($B223,Premissas!$A$39:$A$45,0))</f>
        <v/>
      </c>
      <c r="AV223" s="22" t="str">
        <f>INDEX(Cronograma!AU$5:AU$11,MATCH($B223,Premissas!$A$39:$A$45,0))</f>
        <v/>
      </c>
      <c r="AW223" s="22" t="str">
        <f>INDEX(Cronograma!AV$5:AV$11,MATCH($B223,Premissas!$A$39:$A$45,0))</f>
        <v/>
      </c>
      <c r="AX223" s="22" t="str">
        <f>INDEX(Cronograma!AW$5:AW$11,MATCH($B223,Premissas!$A$39:$A$45,0))</f>
        <v/>
      </c>
      <c r="AY223" s="22" t="str">
        <f>INDEX(Cronograma!AX$5:AX$11,MATCH($B223,Premissas!$A$39:$A$45,0))</f>
        <v>A</v>
      </c>
      <c r="AZ223" s="22" t="str">
        <f>INDEX(Cronograma!AY$5:AY$11,MATCH($B223,Premissas!$A$39:$A$45,0))</f>
        <v/>
      </c>
      <c r="BA223" s="22" t="str">
        <f>INDEX(Cronograma!AZ$5:AZ$11,MATCH($B223,Premissas!$A$39:$A$45,0))</f>
        <v/>
      </c>
      <c r="BB223" s="22" t="str">
        <f>INDEX(Cronograma!BA$5:BA$11,MATCH($B223,Premissas!$A$39:$A$45,0))</f>
        <v/>
      </c>
    </row>
    <row r="224" spans="1:54" ht="15" customHeight="1" x14ac:dyDescent="0.4">
      <c r="A224" s="15" t="str">
        <f>Frota!$B224&amp;" — "&amp;Frota!$A224</f>
        <v>John Deere 7200 — 105156</v>
      </c>
      <c r="B224" s="16" t="str">
        <f>Frota!$C224</f>
        <v>Trator</v>
      </c>
      <c r="C224" s="22" t="str">
        <f>INDEX(Cronograma!B$5:B$11,MATCH($B224,Premissas!$A$39:$A$45,0))</f>
        <v/>
      </c>
      <c r="D224" s="22" t="str">
        <f>INDEX(Cronograma!C$5:C$11,MATCH($B224,Premissas!$A$39:$A$45,0))</f>
        <v/>
      </c>
      <c r="E224" s="22" t="str">
        <f>INDEX(Cronograma!D$5:D$11,MATCH($B224,Premissas!$A$39:$A$45,0))</f>
        <v/>
      </c>
      <c r="F224" s="22" t="str">
        <f>INDEX(Cronograma!E$5:E$11,MATCH($B224,Premissas!$A$39:$A$45,0))</f>
        <v/>
      </c>
      <c r="G224" s="22" t="str">
        <f>INDEX(Cronograma!F$5:F$11,MATCH($B224,Premissas!$A$39:$A$45,0))</f>
        <v/>
      </c>
      <c r="H224" s="22" t="str">
        <f>INDEX(Cronograma!G$5:G$11,MATCH($B224,Premissas!$A$39:$A$45,0))</f>
        <v/>
      </c>
      <c r="I224" s="22" t="str">
        <f>INDEX(Cronograma!H$5:H$11,MATCH($B224,Premissas!$A$39:$A$45,0))</f>
        <v>S</v>
      </c>
      <c r="J224" s="22" t="str">
        <f>INDEX(Cronograma!I$5:I$11,MATCH($B224,Premissas!$A$39:$A$45,0))</f>
        <v/>
      </c>
      <c r="K224" s="22" t="str">
        <f>INDEX(Cronograma!J$5:J$11,MATCH($B224,Premissas!$A$39:$A$45,0))</f>
        <v/>
      </c>
      <c r="L224" s="22" t="str">
        <f>INDEX(Cronograma!K$5:K$11,MATCH($B224,Premissas!$A$39:$A$45,0))</f>
        <v/>
      </c>
      <c r="M224" s="22" t="str">
        <f>INDEX(Cronograma!L$5:L$11,MATCH($B224,Premissas!$A$39:$A$45,0))</f>
        <v/>
      </c>
      <c r="N224" s="22" t="str">
        <f>INDEX(Cronograma!M$5:M$11,MATCH($B224,Premissas!$A$39:$A$45,0))</f>
        <v/>
      </c>
      <c r="O224" s="22" t="str">
        <f>INDEX(Cronograma!N$5:N$11,MATCH($B224,Premissas!$A$39:$A$45,0))</f>
        <v>A</v>
      </c>
      <c r="P224" s="22" t="str">
        <f>INDEX(Cronograma!O$5:O$11,MATCH($B224,Premissas!$A$39:$A$45,0))</f>
        <v/>
      </c>
      <c r="Q224" s="22" t="str">
        <f>INDEX(Cronograma!P$5:P$11,MATCH($B224,Premissas!$A$39:$A$45,0))</f>
        <v/>
      </c>
      <c r="R224" s="22" t="str">
        <f>INDEX(Cronograma!Q$5:Q$11,MATCH($B224,Premissas!$A$39:$A$45,0))</f>
        <v/>
      </c>
      <c r="S224" s="22" t="str">
        <f>INDEX(Cronograma!R$5:R$11,MATCH($B224,Premissas!$A$39:$A$45,0))</f>
        <v/>
      </c>
      <c r="T224" s="22" t="str">
        <f>INDEX(Cronograma!S$5:S$11,MATCH($B224,Premissas!$A$39:$A$45,0))</f>
        <v/>
      </c>
      <c r="U224" s="22" t="str">
        <f>INDEX(Cronograma!T$5:T$11,MATCH($B224,Premissas!$A$39:$A$45,0))</f>
        <v>S</v>
      </c>
      <c r="V224" s="22" t="str">
        <f>INDEX(Cronograma!U$5:U$11,MATCH($B224,Premissas!$A$39:$A$45,0))</f>
        <v/>
      </c>
      <c r="W224" s="22" t="str">
        <f>INDEX(Cronograma!V$5:V$11,MATCH($B224,Premissas!$A$39:$A$45,0))</f>
        <v/>
      </c>
      <c r="X224" s="22" t="str">
        <f>INDEX(Cronograma!W$5:W$11,MATCH($B224,Premissas!$A$39:$A$45,0))</f>
        <v/>
      </c>
      <c r="Y224" s="22" t="str">
        <f>INDEX(Cronograma!X$5:X$11,MATCH($B224,Premissas!$A$39:$A$45,0))</f>
        <v/>
      </c>
      <c r="Z224" s="22" t="str">
        <f>INDEX(Cronograma!Y$5:Y$11,MATCH($B224,Premissas!$A$39:$A$45,0))</f>
        <v/>
      </c>
      <c r="AA224" s="22" t="str">
        <f>INDEX(Cronograma!Z$5:Z$11,MATCH($B224,Premissas!$A$39:$A$45,0))</f>
        <v>B</v>
      </c>
      <c r="AB224" s="22" t="str">
        <f>INDEX(Cronograma!AA$5:AA$11,MATCH($B224,Premissas!$A$39:$A$45,0))</f>
        <v/>
      </c>
      <c r="AC224" s="22" t="str">
        <f>INDEX(Cronograma!AB$5:AB$11,MATCH($B224,Premissas!$A$39:$A$45,0))</f>
        <v/>
      </c>
      <c r="AD224" s="22" t="str">
        <f>INDEX(Cronograma!AC$5:AC$11,MATCH($B224,Premissas!$A$39:$A$45,0))</f>
        <v/>
      </c>
      <c r="AE224" s="22" t="str">
        <f>INDEX(Cronograma!AD$5:AD$11,MATCH($B224,Premissas!$A$39:$A$45,0))</f>
        <v/>
      </c>
      <c r="AF224" s="22" t="str">
        <f>INDEX(Cronograma!AE$5:AE$11,MATCH($B224,Premissas!$A$39:$A$45,0))</f>
        <v/>
      </c>
      <c r="AG224" s="22" t="str">
        <f>INDEX(Cronograma!AF$5:AF$11,MATCH($B224,Premissas!$A$39:$A$45,0))</f>
        <v/>
      </c>
      <c r="AH224" s="22" t="str">
        <f>INDEX(Cronograma!AG$5:AG$11,MATCH($B224,Premissas!$A$39:$A$45,0))</f>
        <v>S</v>
      </c>
      <c r="AI224" s="22" t="str">
        <f>INDEX(Cronograma!AH$5:AH$11,MATCH($B224,Premissas!$A$39:$A$45,0))</f>
        <v/>
      </c>
      <c r="AJ224" s="22" t="str">
        <f>INDEX(Cronograma!AI$5:AI$11,MATCH($B224,Premissas!$A$39:$A$45,0))</f>
        <v/>
      </c>
      <c r="AK224" s="22" t="str">
        <f>INDEX(Cronograma!AJ$5:AJ$11,MATCH($B224,Premissas!$A$39:$A$45,0))</f>
        <v/>
      </c>
      <c r="AL224" s="22" t="str">
        <f>INDEX(Cronograma!AK$5:AK$11,MATCH($B224,Premissas!$A$39:$A$45,0))</f>
        <v/>
      </c>
      <c r="AM224" s="22" t="str">
        <f>INDEX(Cronograma!AL$5:AL$11,MATCH($B224,Premissas!$A$39:$A$45,0))</f>
        <v/>
      </c>
      <c r="AN224" s="22" t="str">
        <f>INDEX(Cronograma!AM$5:AM$11,MATCH($B224,Premissas!$A$39:$A$45,0))</f>
        <v/>
      </c>
      <c r="AO224" s="22" t="str">
        <f>INDEX(Cronograma!AN$5:AN$11,MATCH($B224,Premissas!$A$39:$A$45,0))</f>
        <v/>
      </c>
      <c r="AP224" s="22" t="str">
        <f>INDEX(Cronograma!AO$5:AO$11,MATCH($B224,Premissas!$A$39:$A$45,0))</f>
        <v/>
      </c>
      <c r="AQ224" s="22" t="str">
        <f>INDEX(Cronograma!AP$5:AP$11,MATCH($B224,Premissas!$A$39:$A$45,0))</f>
        <v/>
      </c>
      <c r="AR224" s="22" t="str">
        <f>INDEX(Cronograma!AQ$5:AQ$11,MATCH($B224,Premissas!$A$39:$A$45,0))</f>
        <v/>
      </c>
      <c r="AS224" s="22" t="str">
        <f>INDEX(Cronograma!AR$5:AR$11,MATCH($B224,Premissas!$A$39:$A$45,0))</f>
        <v/>
      </c>
      <c r="AT224" s="22" t="str">
        <f>INDEX(Cronograma!AS$5:AS$11,MATCH($B224,Premissas!$A$39:$A$45,0))</f>
        <v/>
      </c>
      <c r="AU224" s="22" t="str">
        <f>INDEX(Cronograma!AT$5:AT$11,MATCH($B224,Premissas!$A$39:$A$45,0))</f>
        <v/>
      </c>
      <c r="AV224" s="22" t="str">
        <f>INDEX(Cronograma!AU$5:AU$11,MATCH($B224,Premissas!$A$39:$A$45,0))</f>
        <v/>
      </c>
      <c r="AW224" s="22" t="str">
        <f>INDEX(Cronograma!AV$5:AV$11,MATCH($B224,Premissas!$A$39:$A$45,0))</f>
        <v/>
      </c>
      <c r="AX224" s="22" t="str">
        <f>INDEX(Cronograma!AW$5:AW$11,MATCH($B224,Premissas!$A$39:$A$45,0))</f>
        <v/>
      </c>
      <c r="AY224" s="22" t="str">
        <f>INDEX(Cronograma!AX$5:AX$11,MATCH($B224,Premissas!$A$39:$A$45,0))</f>
        <v>A</v>
      </c>
      <c r="AZ224" s="22" t="str">
        <f>INDEX(Cronograma!AY$5:AY$11,MATCH($B224,Premissas!$A$39:$A$45,0))</f>
        <v/>
      </c>
      <c r="BA224" s="22" t="str">
        <f>INDEX(Cronograma!AZ$5:AZ$11,MATCH($B224,Premissas!$A$39:$A$45,0))</f>
        <v/>
      </c>
      <c r="BB224" s="22" t="str">
        <f>INDEX(Cronograma!BA$5:BA$11,MATCH($B224,Premissas!$A$39:$A$45,0))</f>
        <v/>
      </c>
    </row>
    <row r="225" spans="1:54" ht="15" customHeight="1" x14ac:dyDescent="0.4">
      <c r="A225" s="15" t="str">
        <f>Frota!$B225&amp;" — "&amp;Frota!$A225</f>
        <v>John Deere 7200 — 105157</v>
      </c>
      <c r="B225" s="16" t="str">
        <f>Frota!$C225</f>
        <v>Trator</v>
      </c>
      <c r="C225" s="22" t="str">
        <f>INDEX(Cronograma!B$5:B$11,MATCH($B225,Premissas!$A$39:$A$45,0))</f>
        <v/>
      </c>
      <c r="D225" s="22" t="str">
        <f>INDEX(Cronograma!C$5:C$11,MATCH($B225,Premissas!$A$39:$A$45,0))</f>
        <v/>
      </c>
      <c r="E225" s="22" t="str">
        <f>INDEX(Cronograma!D$5:D$11,MATCH($B225,Premissas!$A$39:$A$45,0))</f>
        <v/>
      </c>
      <c r="F225" s="22" t="str">
        <f>INDEX(Cronograma!E$5:E$11,MATCH($B225,Premissas!$A$39:$A$45,0))</f>
        <v/>
      </c>
      <c r="G225" s="22" t="str">
        <f>INDEX(Cronograma!F$5:F$11,MATCH($B225,Premissas!$A$39:$A$45,0))</f>
        <v/>
      </c>
      <c r="H225" s="22" t="str">
        <f>INDEX(Cronograma!G$5:G$11,MATCH($B225,Premissas!$A$39:$A$45,0))</f>
        <v/>
      </c>
      <c r="I225" s="22" t="str">
        <f>INDEX(Cronograma!H$5:H$11,MATCH($B225,Premissas!$A$39:$A$45,0))</f>
        <v>S</v>
      </c>
      <c r="J225" s="22" t="str">
        <f>INDEX(Cronograma!I$5:I$11,MATCH($B225,Premissas!$A$39:$A$45,0))</f>
        <v/>
      </c>
      <c r="K225" s="22" t="str">
        <f>INDEX(Cronograma!J$5:J$11,MATCH($B225,Premissas!$A$39:$A$45,0))</f>
        <v/>
      </c>
      <c r="L225" s="22" t="str">
        <f>INDEX(Cronograma!K$5:K$11,MATCH($B225,Premissas!$A$39:$A$45,0))</f>
        <v/>
      </c>
      <c r="M225" s="22" t="str">
        <f>INDEX(Cronograma!L$5:L$11,MATCH($B225,Premissas!$A$39:$A$45,0))</f>
        <v/>
      </c>
      <c r="N225" s="22" t="str">
        <f>INDEX(Cronograma!M$5:M$11,MATCH($B225,Premissas!$A$39:$A$45,0))</f>
        <v/>
      </c>
      <c r="O225" s="22" t="str">
        <f>INDEX(Cronograma!N$5:N$11,MATCH($B225,Premissas!$A$39:$A$45,0))</f>
        <v>A</v>
      </c>
      <c r="P225" s="22" t="str">
        <f>INDEX(Cronograma!O$5:O$11,MATCH($B225,Premissas!$A$39:$A$45,0))</f>
        <v/>
      </c>
      <c r="Q225" s="22" t="str">
        <f>INDEX(Cronograma!P$5:P$11,MATCH($B225,Premissas!$A$39:$A$45,0))</f>
        <v/>
      </c>
      <c r="R225" s="22" t="str">
        <f>INDEX(Cronograma!Q$5:Q$11,MATCH($B225,Premissas!$A$39:$A$45,0))</f>
        <v/>
      </c>
      <c r="S225" s="22" t="str">
        <f>INDEX(Cronograma!R$5:R$11,MATCH($B225,Premissas!$A$39:$A$45,0))</f>
        <v/>
      </c>
      <c r="T225" s="22" t="str">
        <f>INDEX(Cronograma!S$5:S$11,MATCH($B225,Premissas!$A$39:$A$45,0))</f>
        <v/>
      </c>
      <c r="U225" s="22" t="str">
        <f>INDEX(Cronograma!T$5:T$11,MATCH($B225,Premissas!$A$39:$A$45,0))</f>
        <v>S</v>
      </c>
      <c r="V225" s="22" t="str">
        <f>INDEX(Cronograma!U$5:U$11,MATCH($B225,Premissas!$A$39:$A$45,0))</f>
        <v/>
      </c>
      <c r="W225" s="22" t="str">
        <f>INDEX(Cronograma!V$5:V$11,MATCH($B225,Premissas!$A$39:$A$45,0))</f>
        <v/>
      </c>
      <c r="X225" s="22" t="str">
        <f>INDEX(Cronograma!W$5:W$11,MATCH($B225,Premissas!$A$39:$A$45,0))</f>
        <v/>
      </c>
      <c r="Y225" s="22" t="str">
        <f>INDEX(Cronograma!X$5:X$11,MATCH($B225,Premissas!$A$39:$A$45,0))</f>
        <v/>
      </c>
      <c r="Z225" s="22" t="str">
        <f>INDEX(Cronograma!Y$5:Y$11,MATCH($B225,Premissas!$A$39:$A$45,0))</f>
        <v/>
      </c>
      <c r="AA225" s="22" t="str">
        <f>INDEX(Cronograma!Z$5:Z$11,MATCH($B225,Premissas!$A$39:$A$45,0))</f>
        <v>B</v>
      </c>
      <c r="AB225" s="22" t="str">
        <f>INDEX(Cronograma!AA$5:AA$11,MATCH($B225,Premissas!$A$39:$A$45,0))</f>
        <v/>
      </c>
      <c r="AC225" s="22" t="str">
        <f>INDEX(Cronograma!AB$5:AB$11,MATCH($B225,Premissas!$A$39:$A$45,0))</f>
        <v/>
      </c>
      <c r="AD225" s="22" t="str">
        <f>INDEX(Cronograma!AC$5:AC$11,MATCH($B225,Premissas!$A$39:$A$45,0))</f>
        <v/>
      </c>
      <c r="AE225" s="22" t="str">
        <f>INDEX(Cronograma!AD$5:AD$11,MATCH($B225,Premissas!$A$39:$A$45,0))</f>
        <v/>
      </c>
      <c r="AF225" s="22" t="str">
        <f>INDEX(Cronograma!AE$5:AE$11,MATCH($B225,Premissas!$A$39:$A$45,0))</f>
        <v/>
      </c>
      <c r="AG225" s="22" t="str">
        <f>INDEX(Cronograma!AF$5:AF$11,MATCH($B225,Premissas!$A$39:$A$45,0))</f>
        <v/>
      </c>
      <c r="AH225" s="22" t="str">
        <f>INDEX(Cronograma!AG$5:AG$11,MATCH($B225,Premissas!$A$39:$A$45,0))</f>
        <v>S</v>
      </c>
      <c r="AI225" s="22" t="str">
        <f>INDEX(Cronograma!AH$5:AH$11,MATCH($B225,Premissas!$A$39:$A$45,0))</f>
        <v/>
      </c>
      <c r="AJ225" s="22" t="str">
        <f>INDEX(Cronograma!AI$5:AI$11,MATCH($B225,Premissas!$A$39:$A$45,0))</f>
        <v/>
      </c>
      <c r="AK225" s="22" t="str">
        <f>INDEX(Cronograma!AJ$5:AJ$11,MATCH($B225,Premissas!$A$39:$A$45,0))</f>
        <v/>
      </c>
      <c r="AL225" s="22" t="str">
        <f>INDEX(Cronograma!AK$5:AK$11,MATCH($B225,Premissas!$A$39:$A$45,0))</f>
        <v/>
      </c>
      <c r="AM225" s="22" t="str">
        <f>INDEX(Cronograma!AL$5:AL$11,MATCH($B225,Premissas!$A$39:$A$45,0))</f>
        <v/>
      </c>
      <c r="AN225" s="22" t="str">
        <f>INDEX(Cronograma!AM$5:AM$11,MATCH($B225,Premissas!$A$39:$A$45,0))</f>
        <v/>
      </c>
      <c r="AO225" s="22" t="str">
        <f>INDEX(Cronograma!AN$5:AN$11,MATCH($B225,Premissas!$A$39:$A$45,0))</f>
        <v/>
      </c>
      <c r="AP225" s="22" t="str">
        <f>INDEX(Cronograma!AO$5:AO$11,MATCH($B225,Premissas!$A$39:$A$45,0))</f>
        <v/>
      </c>
      <c r="AQ225" s="22" t="str">
        <f>INDEX(Cronograma!AP$5:AP$11,MATCH($B225,Premissas!$A$39:$A$45,0))</f>
        <v/>
      </c>
      <c r="AR225" s="22" t="str">
        <f>INDEX(Cronograma!AQ$5:AQ$11,MATCH($B225,Premissas!$A$39:$A$45,0))</f>
        <v/>
      </c>
      <c r="AS225" s="22" t="str">
        <f>INDEX(Cronograma!AR$5:AR$11,MATCH($B225,Premissas!$A$39:$A$45,0))</f>
        <v/>
      </c>
      <c r="AT225" s="22" t="str">
        <f>INDEX(Cronograma!AS$5:AS$11,MATCH($B225,Premissas!$A$39:$A$45,0))</f>
        <v/>
      </c>
      <c r="AU225" s="22" t="str">
        <f>INDEX(Cronograma!AT$5:AT$11,MATCH($B225,Premissas!$A$39:$A$45,0))</f>
        <v/>
      </c>
      <c r="AV225" s="22" t="str">
        <f>INDEX(Cronograma!AU$5:AU$11,MATCH($B225,Premissas!$A$39:$A$45,0))</f>
        <v/>
      </c>
      <c r="AW225" s="22" t="str">
        <f>INDEX(Cronograma!AV$5:AV$11,MATCH($B225,Premissas!$A$39:$A$45,0))</f>
        <v/>
      </c>
      <c r="AX225" s="22" t="str">
        <f>INDEX(Cronograma!AW$5:AW$11,MATCH($B225,Premissas!$A$39:$A$45,0))</f>
        <v/>
      </c>
      <c r="AY225" s="22" t="str">
        <f>INDEX(Cronograma!AX$5:AX$11,MATCH($B225,Premissas!$A$39:$A$45,0))</f>
        <v>A</v>
      </c>
      <c r="AZ225" s="22" t="str">
        <f>INDEX(Cronograma!AY$5:AY$11,MATCH($B225,Premissas!$A$39:$A$45,0))</f>
        <v/>
      </c>
      <c r="BA225" s="22" t="str">
        <f>INDEX(Cronograma!AZ$5:AZ$11,MATCH($B225,Premissas!$A$39:$A$45,0))</f>
        <v/>
      </c>
      <c r="BB225" s="22" t="str">
        <f>INDEX(Cronograma!BA$5:BA$11,MATCH($B225,Premissas!$A$39:$A$45,0))</f>
        <v/>
      </c>
    </row>
    <row r="226" spans="1:54" ht="15" customHeight="1" x14ac:dyDescent="0.4">
      <c r="A226" s="15" t="str">
        <f>Frota!$B226&amp;" — "&amp;Frota!$A226</f>
        <v>John Deere 7200 — 105158</v>
      </c>
      <c r="B226" s="16" t="str">
        <f>Frota!$C226</f>
        <v>Trator</v>
      </c>
      <c r="C226" s="22" t="str">
        <f>INDEX(Cronograma!B$5:B$11,MATCH($B226,Premissas!$A$39:$A$45,0))</f>
        <v/>
      </c>
      <c r="D226" s="22" t="str">
        <f>INDEX(Cronograma!C$5:C$11,MATCH($B226,Premissas!$A$39:$A$45,0))</f>
        <v/>
      </c>
      <c r="E226" s="22" t="str">
        <f>INDEX(Cronograma!D$5:D$11,MATCH($B226,Premissas!$A$39:$A$45,0))</f>
        <v/>
      </c>
      <c r="F226" s="22" t="str">
        <f>INDEX(Cronograma!E$5:E$11,MATCH($B226,Premissas!$A$39:$A$45,0))</f>
        <v/>
      </c>
      <c r="G226" s="22" t="str">
        <f>INDEX(Cronograma!F$5:F$11,MATCH($B226,Premissas!$A$39:$A$45,0))</f>
        <v/>
      </c>
      <c r="H226" s="22" t="str">
        <f>INDEX(Cronograma!G$5:G$11,MATCH($B226,Premissas!$A$39:$A$45,0))</f>
        <v/>
      </c>
      <c r="I226" s="22" t="str">
        <f>INDEX(Cronograma!H$5:H$11,MATCH($B226,Premissas!$A$39:$A$45,0))</f>
        <v>S</v>
      </c>
      <c r="J226" s="22" t="str">
        <f>INDEX(Cronograma!I$5:I$11,MATCH($B226,Premissas!$A$39:$A$45,0))</f>
        <v/>
      </c>
      <c r="K226" s="22" t="str">
        <f>INDEX(Cronograma!J$5:J$11,MATCH($B226,Premissas!$A$39:$A$45,0))</f>
        <v/>
      </c>
      <c r="L226" s="22" t="str">
        <f>INDEX(Cronograma!K$5:K$11,MATCH($B226,Premissas!$A$39:$A$45,0))</f>
        <v/>
      </c>
      <c r="M226" s="22" t="str">
        <f>INDEX(Cronograma!L$5:L$11,MATCH($B226,Premissas!$A$39:$A$45,0))</f>
        <v/>
      </c>
      <c r="N226" s="22" t="str">
        <f>INDEX(Cronograma!M$5:M$11,MATCH($B226,Premissas!$A$39:$A$45,0))</f>
        <v/>
      </c>
      <c r="O226" s="22" t="str">
        <f>INDEX(Cronograma!N$5:N$11,MATCH($B226,Premissas!$A$39:$A$45,0))</f>
        <v>A</v>
      </c>
      <c r="P226" s="22" t="str">
        <f>INDEX(Cronograma!O$5:O$11,MATCH($B226,Premissas!$A$39:$A$45,0))</f>
        <v/>
      </c>
      <c r="Q226" s="22" t="str">
        <f>INDEX(Cronograma!P$5:P$11,MATCH($B226,Premissas!$A$39:$A$45,0))</f>
        <v/>
      </c>
      <c r="R226" s="22" t="str">
        <f>INDEX(Cronograma!Q$5:Q$11,MATCH($B226,Premissas!$A$39:$A$45,0))</f>
        <v/>
      </c>
      <c r="S226" s="22" t="str">
        <f>INDEX(Cronograma!R$5:R$11,MATCH($B226,Premissas!$A$39:$A$45,0))</f>
        <v/>
      </c>
      <c r="T226" s="22" t="str">
        <f>INDEX(Cronograma!S$5:S$11,MATCH($B226,Premissas!$A$39:$A$45,0))</f>
        <v/>
      </c>
      <c r="U226" s="22" t="str">
        <f>INDEX(Cronograma!T$5:T$11,MATCH($B226,Premissas!$A$39:$A$45,0))</f>
        <v>S</v>
      </c>
      <c r="V226" s="22" t="str">
        <f>INDEX(Cronograma!U$5:U$11,MATCH($B226,Premissas!$A$39:$A$45,0))</f>
        <v/>
      </c>
      <c r="W226" s="22" t="str">
        <f>INDEX(Cronograma!V$5:V$11,MATCH($B226,Premissas!$A$39:$A$45,0))</f>
        <v/>
      </c>
      <c r="X226" s="22" t="str">
        <f>INDEX(Cronograma!W$5:W$11,MATCH($B226,Premissas!$A$39:$A$45,0))</f>
        <v/>
      </c>
      <c r="Y226" s="22" t="str">
        <f>INDEX(Cronograma!X$5:X$11,MATCH($B226,Premissas!$A$39:$A$45,0))</f>
        <v/>
      </c>
      <c r="Z226" s="22" t="str">
        <f>INDEX(Cronograma!Y$5:Y$11,MATCH($B226,Premissas!$A$39:$A$45,0))</f>
        <v/>
      </c>
      <c r="AA226" s="22" t="str">
        <f>INDEX(Cronograma!Z$5:Z$11,MATCH($B226,Premissas!$A$39:$A$45,0))</f>
        <v>B</v>
      </c>
      <c r="AB226" s="22" t="str">
        <f>INDEX(Cronograma!AA$5:AA$11,MATCH($B226,Premissas!$A$39:$A$45,0))</f>
        <v/>
      </c>
      <c r="AC226" s="22" t="str">
        <f>INDEX(Cronograma!AB$5:AB$11,MATCH($B226,Premissas!$A$39:$A$45,0))</f>
        <v/>
      </c>
      <c r="AD226" s="22" t="str">
        <f>INDEX(Cronograma!AC$5:AC$11,MATCH($B226,Premissas!$A$39:$A$45,0))</f>
        <v/>
      </c>
      <c r="AE226" s="22" t="str">
        <f>INDEX(Cronograma!AD$5:AD$11,MATCH($B226,Premissas!$A$39:$A$45,0))</f>
        <v/>
      </c>
      <c r="AF226" s="22" t="str">
        <f>INDEX(Cronograma!AE$5:AE$11,MATCH($B226,Premissas!$A$39:$A$45,0))</f>
        <v/>
      </c>
      <c r="AG226" s="22" t="str">
        <f>INDEX(Cronograma!AF$5:AF$11,MATCH($B226,Premissas!$A$39:$A$45,0))</f>
        <v/>
      </c>
      <c r="AH226" s="22" t="str">
        <f>INDEX(Cronograma!AG$5:AG$11,MATCH($B226,Premissas!$A$39:$A$45,0))</f>
        <v>S</v>
      </c>
      <c r="AI226" s="22" t="str">
        <f>INDEX(Cronograma!AH$5:AH$11,MATCH($B226,Premissas!$A$39:$A$45,0))</f>
        <v/>
      </c>
      <c r="AJ226" s="22" t="str">
        <f>INDEX(Cronograma!AI$5:AI$11,MATCH($B226,Premissas!$A$39:$A$45,0))</f>
        <v/>
      </c>
      <c r="AK226" s="22" t="str">
        <f>INDEX(Cronograma!AJ$5:AJ$11,MATCH($B226,Premissas!$A$39:$A$45,0))</f>
        <v/>
      </c>
      <c r="AL226" s="22" t="str">
        <f>INDEX(Cronograma!AK$5:AK$11,MATCH($B226,Premissas!$A$39:$A$45,0))</f>
        <v/>
      </c>
      <c r="AM226" s="22" t="str">
        <f>INDEX(Cronograma!AL$5:AL$11,MATCH($B226,Premissas!$A$39:$A$45,0))</f>
        <v/>
      </c>
      <c r="AN226" s="22" t="str">
        <f>INDEX(Cronograma!AM$5:AM$11,MATCH($B226,Premissas!$A$39:$A$45,0))</f>
        <v/>
      </c>
      <c r="AO226" s="22" t="str">
        <f>INDEX(Cronograma!AN$5:AN$11,MATCH($B226,Premissas!$A$39:$A$45,0))</f>
        <v/>
      </c>
      <c r="AP226" s="22" t="str">
        <f>INDEX(Cronograma!AO$5:AO$11,MATCH($B226,Premissas!$A$39:$A$45,0))</f>
        <v/>
      </c>
      <c r="AQ226" s="22" t="str">
        <f>INDEX(Cronograma!AP$5:AP$11,MATCH($B226,Premissas!$A$39:$A$45,0))</f>
        <v/>
      </c>
      <c r="AR226" s="22" t="str">
        <f>INDEX(Cronograma!AQ$5:AQ$11,MATCH($B226,Premissas!$A$39:$A$45,0))</f>
        <v/>
      </c>
      <c r="AS226" s="22" t="str">
        <f>INDEX(Cronograma!AR$5:AR$11,MATCH($B226,Premissas!$A$39:$A$45,0))</f>
        <v/>
      </c>
      <c r="AT226" s="22" t="str">
        <f>INDEX(Cronograma!AS$5:AS$11,MATCH($B226,Premissas!$A$39:$A$45,0))</f>
        <v/>
      </c>
      <c r="AU226" s="22" t="str">
        <f>INDEX(Cronograma!AT$5:AT$11,MATCH($B226,Premissas!$A$39:$A$45,0))</f>
        <v/>
      </c>
      <c r="AV226" s="22" t="str">
        <f>INDEX(Cronograma!AU$5:AU$11,MATCH($B226,Premissas!$A$39:$A$45,0))</f>
        <v/>
      </c>
      <c r="AW226" s="22" t="str">
        <f>INDEX(Cronograma!AV$5:AV$11,MATCH($B226,Premissas!$A$39:$A$45,0))</f>
        <v/>
      </c>
      <c r="AX226" s="22" t="str">
        <f>INDEX(Cronograma!AW$5:AW$11,MATCH($B226,Premissas!$A$39:$A$45,0))</f>
        <v/>
      </c>
      <c r="AY226" s="22" t="str">
        <f>INDEX(Cronograma!AX$5:AX$11,MATCH($B226,Premissas!$A$39:$A$45,0))</f>
        <v>A</v>
      </c>
      <c r="AZ226" s="22" t="str">
        <f>INDEX(Cronograma!AY$5:AY$11,MATCH($B226,Premissas!$A$39:$A$45,0))</f>
        <v/>
      </c>
      <c r="BA226" s="22" t="str">
        <f>INDEX(Cronograma!AZ$5:AZ$11,MATCH($B226,Premissas!$A$39:$A$45,0))</f>
        <v/>
      </c>
      <c r="BB226" s="22" t="str">
        <f>INDEX(Cronograma!BA$5:BA$11,MATCH($B226,Premissas!$A$39:$A$45,0))</f>
        <v/>
      </c>
    </row>
    <row r="227" spans="1:54" ht="15" customHeight="1" x14ac:dyDescent="0.4">
      <c r="A227" s="15" t="str">
        <f>Frota!$B227&amp;" — "&amp;Frota!$A227</f>
        <v>John Deere 7200 — 105159</v>
      </c>
      <c r="B227" s="16" t="str">
        <f>Frota!$C227</f>
        <v>Trator</v>
      </c>
      <c r="C227" s="22" t="str">
        <f>INDEX(Cronograma!B$5:B$11,MATCH($B227,Premissas!$A$39:$A$45,0))</f>
        <v/>
      </c>
      <c r="D227" s="22" t="str">
        <f>INDEX(Cronograma!C$5:C$11,MATCH($B227,Premissas!$A$39:$A$45,0))</f>
        <v/>
      </c>
      <c r="E227" s="22" t="str">
        <f>INDEX(Cronograma!D$5:D$11,MATCH($B227,Premissas!$A$39:$A$45,0))</f>
        <v/>
      </c>
      <c r="F227" s="22" t="str">
        <f>INDEX(Cronograma!E$5:E$11,MATCH($B227,Premissas!$A$39:$A$45,0))</f>
        <v/>
      </c>
      <c r="G227" s="22" t="str">
        <f>INDEX(Cronograma!F$5:F$11,MATCH($B227,Premissas!$A$39:$A$45,0))</f>
        <v/>
      </c>
      <c r="H227" s="22" t="str">
        <f>INDEX(Cronograma!G$5:G$11,MATCH($B227,Premissas!$A$39:$A$45,0))</f>
        <v/>
      </c>
      <c r="I227" s="22" t="str">
        <f>INDEX(Cronograma!H$5:H$11,MATCH($B227,Premissas!$A$39:$A$45,0))</f>
        <v>S</v>
      </c>
      <c r="J227" s="22" t="str">
        <f>INDEX(Cronograma!I$5:I$11,MATCH($B227,Premissas!$A$39:$A$45,0))</f>
        <v/>
      </c>
      <c r="K227" s="22" t="str">
        <f>INDEX(Cronograma!J$5:J$11,MATCH($B227,Premissas!$A$39:$A$45,0))</f>
        <v/>
      </c>
      <c r="L227" s="22" t="str">
        <f>INDEX(Cronograma!K$5:K$11,MATCH($B227,Premissas!$A$39:$A$45,0))</f>
        <v/>
      </c>
      <c r="M227" s="22" t="str">
        <f>INDEX(Cronograma!L$5:L$11,MATCH($B227,Premissas!$A$39:$A$45,0))</f>
        <v/>
      </c>
      <c r="N227" s="22" t="str">
        <f>INDEX(Cronograma!M$5:M$11,MATCH($B227,Premissas!$A$39:$A$45,0))</f>
        <v/>
      </c>
      <c r="O227" s="22" t="str">
        <f>INDEX(Cronograma!N$5:N$11,MATCH($B227,Premissas!$A$39:$A$45,0))</f>
        <v>A</v>
      </c>
      <c r="P227" s="22" t="str">
        <f>INDEX(Cronograma!O$5:O$11,MATCH($B227,Premissas!$A$39:$A$45,0))</f>
        <v/>
      </c>
      <c r="Q227" s="22" t="str">
        <f>INDEX(Cronograma!P$5:P$11,MATCH($B227,Premissas!$A$39:$A$45,0))</f>
        <v/>
      </c>
      <c r="R227" s="22" t="str">
        <f>INDEX(Cronograma!Q$5:Q$11,MATCH($B227,Premissas!$A$39:$A$45,0))</f>
        <v/>
      </c>
      <c r="S227" s="22" t="str">
        <f>INDEX(Cronograma!R$5:R$11,MATCH($B227,Premissas!$A$39:$A$45,0))</f>
        <v/>
      </c>
      <c r="T227" s="22" t="str">
        <f>INDEX(Cronograma!S$5:S$11,MATCH($B227,Premissas!$A$39:$A$45,0))</f>
        <v/>
      </c>
      <c r="U227" s="22" t="str">
        <f>INDEX(Cronograma!T$5:T$11,MATCH($B227,Premissas!$A$39:$A$45,0))</f>
        <v>S</v>
      </c>
      <c r="V227" s="22" t="str">
        <f>INDEX(Cronograma!U$5:U$11,MATCH($B227,Premissas!$A$39:$A$45,0))</f>
        <v/>
      </c>
      <c r="W227" s="22" t="str">
        <f>INDEX(Cronograma!V$5:V$11,MATCH($B227,Premissas!$A$39:$A$45,0))</f>
        <v/>
      </c>
      <c r="X227" s="22" t="str">
        <f>INDEX(Cronograma!W$5:W$11,MATCH($B227,Premissas!$A$39:$A$45,0))</f>
        <v/>
      </c>
      <c r="Y227" s="22" t="str">
        <f>INDEX(Cronograma!X$5:X$11,MATCH($B227,Premissas!$A$39:$A$45,0))</f>
        <v/>
      </c>
      <c r="Z227" s="22" t="str">
        <f>INDEX(Cronograma!Y$5:Y$11,MATCH($B227,Premissas!$A$39:$A$45,0))</f>
        <v/>
      </c>
      <c r="AA227" s="22" t="str">
        <f>INDEX(Cronograma!Z$5:Z$11,MATCH($B227,Premissas!$A$39:$A$45,0))</f>
        <v>B</v>
      </c>
      <c r="AB227" s="22" t="str">
        <f>INDEX(Cronograma!AA$5:AA$11,MATCH($B227,Premissas!$A$39:$A$45,0))</f>
        <v/>
      </c>
      <c r="AC227" s="22" t="str">
        <f>INDEX(Cronograma!AB$5:AB$11,MATCH($B227,Premissas!$A$39:$A$45,0))</f>
        <v/>
      </c>
      <c r="AD227" s="22" t="str">
        <f>INDEX(Cronograma!AC$5:AC$11,MATCH($B227,Premissas!$A$39:$A$45,0))</f>
        <v/>
      </c>
      <c r="AE227" s="22" t="str">
        <f>INDEX(Cronograma!AD$5:AD$11,MATCH($B227,Premissas!$A$39:$A$45,0))</f>
        <v/>
      </c>
      <c r="AF227" s="22" t="str">
        <f>INDEX(Cronograma!AE$5:AE$11,MATCH($B227,Premissas!$A$39:$A$45,0))</f>
        <v/>
      </c>
      <c r="AG227" s="22" t="str">
        <f>INDEX(Cronograma!AF$5:AF$11,MATCH($B227,Premissas!$A$39:$A$45,0))</f>
        <v/>
      </c>
      <c r="AH227" s="22" t="str">
        <f>INDEX(Cronograma!AG$5:AG$11,MATCH($B227,Premissas!$A$39:$A$45,0))</f>
        <v>S</v>
      </c>
      <c r="AI227" s="22" t="str">
        <f>INDEX(Cronograma!AH$5:AH$11,MATCH($B227,Premissas!$A$39:$A$45,0))</f>
        <v/>
      </c>
      <c r="AJ227" s="22" t="str">
        <f>INDEX(Cronograma!AI$5:AI$11,MATCH($B227,Premissas!$A$39:$A$45,0))</f>
        <v/>
      </c>
      <c r="AK227" s="22" t="str">
        <f>INDEX(Cronograma!AJ$5:AJ$11,MATCH($B227,Premissas!$A$39:$A$45,0))</f>
        <v/>
      </c>
      <c r="AL227" s="22" t="str">
        <f>INDEX(Cronograma!AK$5:AK$11,MATCH($B227,Premissas!$A$39:$A$45,0))</f>
        <v/>
      </c>
      <c r="AM227" s="22" t="str">
        <f>INDEX(Cronograma!AL$5:AL$11,MATCH($B227,Premissas!$A$39:$A$45,0))</f>
        <v/>
      </c>
      <c r="AN227" s="22" t="str">
        <f>INDEX(Cronograma!AM$5:AM$11,MATCH($B227,Premissas!$A$39:$A$45,0))</f>
        <v/>
      </c>
      <c r="AO227" s="22" t="str">
        <f>INDEX(Cronograma!AN$5:AN$11,MATCH($B227,Premissas!$A$39:$A$45,0))</f>
        <v/>
      </c>
      <c r="AP227" s="22" t="str">
        <f>INDEX(Cronograma!AO$5:AO$11,MATCH($B227,Premissas!$A$39:$A$45,0))</f>
        <v/>
      </c>
      <c r="AQ227" s="22" t="str">
        <f>INDEX(Cronograma!AP$5:AP$11,MATCH($B227,Premissas!$A$39:$A$45,0))</f>
        <v/>
      </c>
      <c r="AR227" s="22" t="str">
        <f>INDEX(Cronograma!AQ$5:AQ$11,MATCH($B227,Premissas!$A$39:$A$45,0))</f>
        <v/>
      </c>
      <c r="AS227" s="22" t="str">
        <f>INDEX(Cronograma!AR$5:AR$11,MATCH($B227,Premissas!$A$39:$A$45,0))</f>
        <v/>
      </c>
      <c r="AT227" s="22" t="str">
        <f>INDEX(Cronograma!AS$5:AS$11,MATCH($B227,Premissas!$A$39:$A$45,0))</f>
        <v/>
      </c>
      <c r="AU227" s="22" t="str">
        <f>INDEX(Cronograma!AT$5:AT$11,MATCH($B227,Premissas!$A$39:$A$45,0))</f>
        <v/>
      </c>
      <c r="AV227" s="22" t="str">
        <f>INDEX(Cronograma!AU$5:AU$11,MATCH($B227,Premissas!$A$39:$A$45,0))</f>
        <v/>
      </c>
      <c r="AW227" s="22" t="str">
        <f>INDEX(Cronograma!AV$5:AV$11,MATCH($B227,Premissas!$A$39:$A$45,0))</f>
        <v/>
      </c>
      <c r="AX227" s="22" t="str">
        <f>INDEX(Cronograma!AW$5:AW$11,MATCH($B227,Premissas!$A$39:$A$45,0))</f>
        <v/>
      </c>
      <c r="AY227" s="22" t="str">
        <f>INDEX(Cronograma!AX$5:AX$11,MATCH($B227,Premissas!$A$39:$A$45,0))</f>
        <v>A</v>
      </c>
      <c r="AZ227" s="22" t="str">
        <f>INDEX(Cronograma!AY$5:AY$11,MATCH($B227,Premissas!$A$39:$A$45,0))</f>
        <v/>
      </c>
      <c r="BA227" s="22" t="str">
        <f>INDEX(Cronograma!AZ$5:AZ$11,MATCH($B227,Premissas!$A$39:$A$45,0))</f>
        <v/>
      </c>
      <c r="BB227" s="22" t="str">
        <f>INDEX(Cronograma!BA$5:BA$11,MATCH($B227,Premissas!$A$39:$A$45,0))</f>
        <v/>
      </c>
    </row>
    <row r="228" spans="1:54" ht="15" customHeight="1" x14ac:dyDescent="0.4">
      <c r="A228" s="15" t="str">
        <f>Frota!$B228&amp;" — "&amp;Frota!$A228</f>
        <v>John Deere 7200 — 105160</v>
      </c>
      <c r="B228" s="16" t="str">
        <f>Frota!$C228</f>
        <v>Trator</v>
      </c>
      <c r="C228" s="22" t="str">
        <f>INDEX(Cronograma!B$5:B$11,MATCH($B228,Premissas!$A$39:$A$45,0))</f>
        <v/>
      </c>
      <c r="D228" s="22" t="str">
        <f>INDEX(Cronograma!C$5:C$11,MATCH($B228,Premissas!$A$39:$A$45,0))</f>
        <v/>
      </c>
      <c r="E228" s="22" t="str">
        <f>INDEX(Cronograma!D$5:D$11,MATCH($B228,Premissas!$A$39:$A$45,0))</f>
        <v/>
      </c>
      <c r="F228" s="22" t="str">
        <f>INDEX(Cronograma!E$5:E$11,MATCH($B228,Premissas!$A$39:$A$45,0))</f>
        <v/>
      </c>
      <c r="G228" s="22" t="str">
        <f>INDEX(Cronograma!F$5:F$11,MATCH($B228,Premissas!$A$39:$A$45,0))</f>
        <v/>
      </c>
      <c r="H228" s="22" t="str">
        <f>INDEX(Cronograma!G$5:G$11,MATCH($B228,Premissas!$A$39:$A$45,0))</f>
        <v/>
      </c>
      <c r="I228" s="22" t="str">
        <f>INDEX(Cronograma!H$5:H$11,MATCH($B228,Premissas!$A$39:$A$45,0))</f>
        <v>S</v>
      </c>
      <c r="J228" s="22" t="str">
        <f>INDEX(Cronograma!I$5:I$11,MATCH($B228,Premissas!$A$39:$A$45,0))</f>
        <v/>
      </c>
      <c r="K228" s="22" t="str">
        <f>INDEX(Cronograma!J$5:J$11,MATCH($B228,Premissas!$A$39:$A$45,0))</f>
        <v/>
      </c>
      <c r="L228" s="22" t="str">
        <f>INDEX(Cronograma!K$5:K$11,MATCH($B228,Premissas!$A$39:$A$45,0))</f>
        <v/>
      </c>
      <c r="M228" s="22" t="str">
        <f>INDEX(Cronograma!L$5:L$11,MATCH($B228,Premissas!$A$39:$A$45,0))</f>
        <v/>
      </c>
      <c r="N228" s="22" t="str">
        <f>INDEX(Cronograma!M$5:M$11,MATCH($B228,Premissas!$A$39:$A$45,0))</f>
        <v/>
      </c>
      <c r="O228" s="22" t="str">
        <f>INDEX(Cronograma!N$5:N$11,MATCH($B228,Premissas!$A$39:$A$45,0))</f>
        <v>A</v>
      </c>
      <c r="P228" s="22" t="str">
        <f>INDEX(Cronograma!O$5:O$11,MATCH($B228,Premissas!$A$39:$A$45,0))</f>
        <v/>
      </c>
      <c r="Q228" s="22" t="str">
        <f>INDEX(Cronograma!P$5:P$11,MATCH($B228,Premissas!$A$39:$A$45,0))</f>
        <v/>
      </c>
      <c r="R228" s="22" t="str">
        <f>INDEX(Cronograma!Q$5:Q$11,MATCH($B228,Premissas!$A$39:$A$45,0))</f>
        <v/>
      </c>
      <c r="S228" s="22" t="str">
        <f>INDEX(Cronograma!R$5:R$11,MATCH($B228,Premissas!$A$39:$A$45,0))</f>
        <v/>
      </c>
      <c r="T228" s="22" t="str">
        <f>INDEX(Cronograma!S$5:S$11,MATCH($B228,Premissas!$A$39:$A$45,0))</f>
        <v/>
      </c>
      <c r="U228" s="22" t="str">
        <f>INDEX(Cronograma!T$5:T$11,MATCH($B228,Premissas!$A$39:$A$45,0))</f>
        <v>S</v>
      </c>
      <c r="V228" s="22" t="str">
        <f>INDEX(Cronograma!U$5:U$11,MATCH($B228,Premissas!$A$39:$A$45,0))</f>
        <v/>
      </c>
      <c r="W228" s="22" t="str">
        <f>INDEX(Cronograma!V$5:V$11,MATCH($B228,Premissas!$A$39:$A$45,0))</f>
        <v/>
      </c>
      <c r="X228" s="22" t="str">
        <f>INDEX(Cronograma!W$5:W$11,MATCH($B228,Premissas!$A$39:$A$45,0))</f>
        <v/>
      </c>
      <c r="Y228" s="22" t="str">
        <f>INDEX(Cronograma!X$5:X$11,MATCH($B228,Premissas!$A$39:$A$45,0))</f>
        <v/>
      </c>
      <c r="Z228" s="22" t="str">
        <f>INDEX(Cronograma!Y$5:Y$11,MATCH($B228,Premissas!$A$39:$A$45,0))</f>
        <v/>
      </c>
      <c r="AA228" s="22" t="str">
        <f>INDEX(Cronograma!Z$5:Z$11,MATCH($B228,Premissas!$A$39:$A$45,0))</f>
        <v>B</v>
      </c>
      <c r="AB228" s="22" t="str">
        <f>INDEX(Cronograma!AA$5:AA$11,MATCH($B228,Premissas!$A$39:$A$45,0))</f>
        <v/>
      </c>
      <c r="AC228" s="22" t="str">
        <f>INDEX(Cronograma!AB$5:AB$11,MATCH($B228,Premissas!$A$39:$A$45,0))</f>
        <v/>
      </c>
      <c r="AD228" s="22" t="str">
        <f>INDEX(Cronograma!AC$5:AC$11,MATCH($B228,Premissas!$A$39:$A$45,0))</f>
        <v/>
      </c>
      <c r="AE228" s="22" t="str">
        <f>INDEX(Cronograma!AD$5:AD$11,MATCH($B228,Premissas!$A$39:$A$45,0))</f>
        <v/>
      </c>
      <c r="AF228" s="22" t="str">
        <f>INDEX(Cronograma!AE$5:AE$11,MATCH($B228,Premissas!$A$39:$A$45,0))</f>
        <v/>
      </c>
      <c r="AG228" s="22" t="str">
        <f>INDEX(Cronograma!AF$5:AF$11,MATCH($B228,Premissas!$A$39:$A$45,0))</f>
        <v/>
      </c>
      <c r="AH228" s="22" t="str">
        <f>INDEX(Cronograma!AG$5:AG$11,MATCH($B228,Premissas!$A$39:$A$45,0))</f>
        <v>S</v>
      </c>
      <c r="AI228" s="22" t="str">
        <f>INDEX(Cronograma!AH$5:AH$11,MATCH($B228,Premissas!$A$39:$A$45,0))</f>
        <v/>
      </c>
      <c r="AJ228" s="22" t="str">
        <f>INDEX(Cronograma!AI$5:AI$11,MATCH($B228,Premissas!$A$39:$A$45,0))</f>
        <v/>
      </c>
      <c r="AK228" s="22" t="str">
        <f>INDEX(Cronograma!AJ$5:AJ$11,MATCH($B228,Premissas!$A$39:$A$45,0))</f>
        <v/>
      </c>
      <c r="AL228" s="22" t="str">
        <f>INDEX(Cronograma!AK$5:AK$11,MATCH($B228,Premissas!$A$39:$A$45,0))</f>
        <v/>
      </c>
      <c r="AM228" s="22" t="str">
        <f>INDEX(Cronograma!AL$5:AL$11,MATCH($B228,Premissas!$A$39:$A$45,0))</f>
        <v/>
      </c>
      <c r="AN228" s="22" t="str">
        <f>INDEX(Cronograma!AM$5:AM$11,MATCH($B228,Premissas!$A$39:$A$45,0))</f>
        <v/>
      </c>
      <c r="AO228" s="22" t="str">
        <f>INDEX(Cronograma!AN$5:AN$11,MATCH($B228,Premissas!$A$39:$A$45,0))</f>
        <v/>
      </c>
      <c r="AP228" s="22" t="str">
        <f>INDEX(Cronograma!AO$5:AO$11,MATCH($B228,Premissas!$A$39:$A$45,0))</f>
        <v/>
      </c>
      <c r="AQ228" s="22" t="str">
        <f>INDEX(Cronograma!AP$5:AP$11,MATCH($B228,Premissas!$A$39:$A$45,0))</f>
        <v/>
      </c>
      <c r="AR228" s="22" t="str">
        <f>INDEX(Cronograma!AQ$5:AQ$11,MATCH($B228,Premissas!$A$39:$A$45,0))</f>
        <v/>
      </c>
      <c r="AS228" s="22" t="str">
        <f>INDEX(Cronograma!AR$5:AR$11,MATCH($B228,Premissas!$A$39:$A$45,0))</f>
        <v/>
      </c>
      <c r="AT228" s="22" t="str">
        <f>INDEX(Cronograma!AS$5:AS$11,MATCH($B228,Premissas!$A$39:$A$45,0))</f>
        <v/>
      </c>
      <c r="AU228" s="22" t="str">
        <f>INDEX(Cronograma!AT$5:AT$11,MATCH($B228,Premissas!$A$39:$A$45,0))</f>
        <v/>
      </c>
      <c r="AV228" s="22" t="str">
        <f>INDEX(Cronograma!AU$5:AU$11,MATCH($B228,Premissas!$A$39:$A$45,0))</f>
        <v/>
      </c>
      <c r="AW228" s="22" t="str">
        <f>INDEX(Cronograma!AV$5:AV$11,MATCH($B228,Premissas!$A$39:$A$45,0))</f>
        <v/>
      </c>
      <c r="AX228" s="22" t="str">
        <f>INDEX(Cronograma!AW$5:AW$11,MATCH($B228,Premissas!$A$39:$A$45,0))</f>
        <v/>
      </c>
      <c r="AY228" s="22" t="str">
        <f>INDEX(Cronograma!AX$5:AX$11,MATCH($B228,Premissas!$A$39:$A$45,0))</f>
        <v>A</v>
      </c>
      <c r="AZ228" s="22" t="str">
        <f>INDEX(Cronograma!AY$5:AY$11,MATCH($B228,Premissas!$A$39:$A$45,0))</f>
        <v/>
      </c>
      <c r="BA228" s="22" t="str">
        <f>INDEX(Cronograma!AZ$5:AZ$11,MATCH($B228,Premissas!$A$39:$A$45,0))</f>
        <v/>
      </c>
      <c r="BB228" s="22" t="str">
        <f>INDEX(Cronograma!BA$5:BA$11,MATCH($B228,Premissas!$A$39:$A$45,0))</f>
        <v/>
      </c>
    </row>
    <row r="229" spans="1:54" ht="15" customHeight="1" x14ac:dyDescent="0.4">
      <c r="A229" s="15" t="str">
        <f>Frota!$B229&amp;" — "&amp;Frota!$A229</f>
        <v>John Deere 7200 — 105161</v>
      </c>
      <c r="B229" s="16" t="str">
        <f>Frota!$C229</f>
        <v>Trator</v>
      </c>
      <c r="C229" s="22" t="str">
        <f>INDEX(Cronograma!B$5:B$11,MATCH($B229,Premissas!$A$39:$A$45,0))</f>
        <v/>
      </c>
      <c r="D229" s="22" t="str">
        <f>INDEX(Cronograma!C$5:C$11,MATCH($B229,Premissas!$A$39:$A$45,0))</f>
        <v/>
      </c>
      <c r="E229" s="22" t="str">
        <f>INDEX(Cronograma!D$5:D$11,MATCH($B229,Premissas!$A$39:$A$45,0))</f>
        <v/>
      </c>
      <c r="F229" s="22" t="str">
        <f>INDEX(Cronograma!E$5:E$11,MATCH($B229,Premissas!$A$39:$A$45,0))</f>
        <v/>
      </c>
      <c r="G229" s="22" t="str">
        <f>INDEX(Cronograma!F$5:F$11,MATCH($B229,Premissas!$A$39:$A$45,0))</f>
        <v/>
      </c>
      <c r="H229" s="22" t="str">
        <f>INDEX(Cronograma!G$5:G$11,MATCH($B229,Premissas!$A$39:$A$45,0))</f>
        <v/>
      </c>
      <c r="I229" s="22" t="str">
        <f>INDEX(Cronograma!H$5:H$11,MATCH($B229,Premissas!$A$39:$A$45,0))</f>
        <v>S</v>
      </c>
      <c r="J229" s="22" t="str">
        <f>INDEX(Cronograma!I$5:I$11,MATCH($B229,Premissas!$A$39:$A$45,0))</f>
        <v/>
      </c>
      <c r="K229" s="22" t="str">
        <f>INDEX(Cronograma!J$5:J$11,MATCH($B229,Premissas!$A$39:$A$45,0))</f>
        <v/>
      </c>
      <c r="L229" s="22" t="str">
        <f>INDEX(Cronograma!K$5:K$11,MATCH($B229,Premissas!$A$39:$A$45,0))</f>
        <v/>
      </c>
      <c r="M229" s="22" t="str">
        <f>INDEX(Cronograma!L$5:L$11,MATCH($B229,Premissas!$A$39:$A$45,0))</f>
        <v/>
      </c>
      <c r="N229" s="22" t="str">
        <f>INDEX(Cronograma!M$5:M$11,MATCH($B229,Premissas!$A$39:$A$45,0))</f>
        <v/>
      </c>
      <c r="O229" s="22" t="str">
        <f>INDEX(Cronograma!N$5:N$11,MATCH($B229,Premissas!$A$39:$A$45,0))</f>
        <v>A</v>
      </c>
      <c r="P229" s="22" t="str">
        <f>INDEX(Cronograma!O$5:O$11,MATCH($B229,Premissas!$A$39:$A$45,0))</f>
        <v/>
      </c>
      <c r="Q229" s="22" t="str">
        <f>INDEX(Cronograma!P$5:P$11,MATCH($B229,Premissas!$A$39:$A$45,0))</f>
        <v/>
      </c>
      <c r="R229" s="22" t="str">
        <f>INDEX(Cronograma!Q$5:Q$11,MATCH($B229,Premissas!$A$39:$A$45,0))</f>
        <v/>
      </c>
      <c r="S229" s="22" t="str">
        <f>INDEX(Cronograma!R$5:R$11,MATCH($B229,Premissas!$A$39:$A$45,0))</f>
        <v/>
      </c>
      <c r="T229" s="22" t="str">
        <f>INDEX(Cronograma!S$5:S$11,MATCH($B229,Premissas!$A$39:$A$45,0))</f>
        <v/>
      </c>
      <c r="U229" s="22" t="str">
        <f>INDEX(Cronograma!T$5:T$11,MATCH($B229,Premissas!$A$39:$A$45,0))</f>
        <v>S</v>
      </c>
      <c r="V229" s="22" t="str">
        <f>INDEX(Cronograma!U$5:U$11,MATCH($B229,Premissas!$A$39:$A$45,0))</f>
        <v/>
      </c>
      <c r="W229" s="22" t="str">
        <f>INDEX(Cronograma!V$5:V$11,MATCH($B229,Premissas!$A$39:$A$45,0))</f>
        <v/>
      </c>
      <c r="X229" s="22" t="str">
        <f>INDEX(Cronograma!W$5:W$11,MATCH($B229,Premissas!$A$39:$A$45,0))</f>
        <v/>
      </c>
      <c r="Y229" s="22" t="str">
        <f>INDEX(Cronograma!X$5:X$11,MATCH($B229,Premissas!$A$39:$A$45,0))</f>
        <v/>
      </c>
      <c r="Z229" s="22" t="str">
        <f>INDEX(Cronograma!Y$5:Y$11,MATCH($B229,Premissas!$A$39:$A$45,0))</f>
        <v/>
      </c>
      <c r="AA229" s="22" t="str">
        <f>INDEX(Cronograma!Z$5:Z$11,MATCH($B229,Premissas!$A$39:$A$45,0))</f>
        <v>B</v>
      </c>
      <c r="AB229" s="22" t="str">
        <f>INDEX(Cronograma!AA$5:AA$11,MATCH($B229,Premissas!$A$39:$A$45,0))</f>
        <v/>
      </c>
      <c r="AC229" s="22" t="str">
        <f>INDEX(Cronograma!AB$5:AB$11,MATCH($B229,Premissas!$A$39:$A$45,0))</f>
        <v/>
      </c>
      <c r="AD229" s="22" t="str">
        <f>INDEX(Cronograma!AC$5:AC$11,MATCH($B229,Premissas!$A$39:$A$45,0))</f>
        <v/>
      </c>
      <c r="AE229" s="22" t="str">
        <f>INDEX(Cronograma!AD$5:AD$11,MATCH($B229,Premissas!$A$39:$A$45,0))</f>
        <v/>
      </c>
      <c r="AF229" s="22" t="str">
        <f>INDEX(Cronograma!AE$5:AE$11,MATCH($B229,Premissas!$A$39:$A$45,0))</f>
        <v/>
      </c>
      <c r="AG229" s="22" t="str">
        <f>INDEX(Cronograma!AF$5:AF$11,MATCH($B229,Premissas!$A$39:$A$45,0))</f>
        <v/>
      </c>
      <c r="AH229" s="22" t="str">
        <f>INDEX(Cronograma!AG$5:AG$11,MATCH($B229,Premissas!$A$39:$A$45,0))</f>
        <v>S</v>
      </c>
      <c r="AI229" s="22" t="str">
        <f>INDEX(Cronograma!AH$5:AH$11,MATCH($B229,Premissas!$A$39:$A$45,0))</f>
        <v/>
      </c>
      <c r="AJ229" s="22" t="str">
        <f>INDEX(Cronograma!AI$5:AI$11,MATCH($B229,Premissas!$A$39:$A$45,0))</f>
        <v/>
      </c>
      <c r="AK229" s="22" t="str">
        <f>INDEX(Cronograma!AJ$5:AJ$11,MATCH($B229,Premissas!$A$39:$A$45,0))</f>
        <v/>
      </c>
      <c r="AL229" s="22" t="str">
        <f>INDEX(Cronograma!AK$5:AK$11,MATCH($B229,Premissas!$A$39:$A$45,0))</f>
        <v/>
      </c>
      <c r="AM229" s="22" t="str">
        <f>INDEX(Cronograma!AL$5:AL$11,MATCH($B229,Premissas!$A$39:$A$45,0))</f>
        <v/>
      </c>
      <c r="AN229" s="22" t="str">
        <f>INDEX(Cronograma!AM$5:AM$11,MATCH($B229,Premissas!$A$39:$A$45,0))</f>
        <v/>
      </c>
      <c r="AO229" s="22" t="str">
        <f>INDEX(Cronograma!AN$5:AN$11,MATCH($B229,Premissas!$A$39:$A$45,0))</f>
        <v/>
      </c>
      <c r="AP229" s="22" t="str">
        <f>INDEX(Cronograma!AO$5:AO$11,MATCH($B229,Premissas!$A$39:$A$45,0))</f>
        <v/>
      </c>
      <c r="AQ229" s="22" t="str">
        <f>INDEX(Cronograma!AP$5:AP$11,MATCH($B229,Premissas!$A$39:$A$45,0))</f>
        <v/>
      </c>
      <c r="AR229" s="22" t="str">
        <f>INDEX(Cronograma!AQ$5:AQ$11,MATCH($B229,Premissas!$A$39:$A$45,0))</f>
        <v/>
      </c>
      <c r="AS229" s="22" t="str">
        <f>INDEX(Cronograma!AR$5:AR$11,MATCH($B229,Premissas!$A$39:$A$45,0))</f>
        <v/>
      </c>
      <c r="AT229" s="22" t="str">
        <f>INDEX(Cronograma!AS$5:AS$11,MATCH($B229,Premissas!$A$39:$A$45,0))</f>
        <v/>
      </c>
      <c r="AU229" s="22" t="str">
        <f>INDEX(Cronograma!AT$5:AT$11,MATCH($B229,Premissas!$A$39:$A$45,0))</f>
        <v/>
      </c>
      <c r="AV229" s="22" t="str">
        <f>INDEX(Cronograma!AU$5:AU$11,MATCH($B229,Premissas!$A$39:$A$45,0))</f>
        <v/>
      </c>
      <c r="AW229" s="22" t="str">
        <f>INDEX(Cronograma!AV$5:AV$11,MATCH($B229,Premissas!$A$39:$A$45,0))</f>
        <v/>
      </c>
      <c r="AX229" s="22" t="str">
        <f>INDEX(Cronograma!AW$5:AW$11,MATCH($B229,Premissas!$A$39:$A$45,0))</f>
        <v/>
      </c>
      <c r="AY229" s="22" t="str">
        <f>INDEX(Cronograma!AX$5:AX$11,MATCH($B229,Premissas!$A$39:$A$45,0))</f>
        <v>A</v>
      </c>
      <c r="AZ229" s="22" t="str">
        <f>INDEX(Cronograma!AY$5:AY$11,MATCH($B229,Premissas!$A$39:$A$45,0))</f>
        <v/>
      </c>
      <c r="BA229" s="22" t="str">
        <f>INDEX(Cronograma!AZ$5:AZ$11,MATCH($B229,Premissas!$A$39:$A$45,0))</f>
        <v/>
      </c>
      <c r="BB229" s="22" t="str">
        <f>INDEX(Cronograma!BA$5:BA$11,MATCH($B229,Premissas!$A$39:$A$45,0))</f>
        <v/>
      </c>
    </row>
    <row r="230" spans="1:54" ht="15" customHeight="1" x14ac:dyDescent="0.4">
      <c r="A230" s="15" t="str">
        <f>Frota!$B230&amp;" — "&amp;Frota!$A230</f>
        <v>John Deere 7200 — 105162</v>
      </c>
      <c r="B230" s="16" t="str">
        <f>Frota!$C230</f>
        <v>Trator</v>
      </c>
      <c r="C230" s="22" t="str">
        <f>INDEX(Cronograma!B$5:B$11,MATCH($B230,Premissas!$A$39:$A$45,0))</f>
        <v/>
      </c>
      <c r="D230" s="22" t="str">
        <f>INDEX(Cronograma!C$5:C$11,MATCH($B230,Premissas!$A$39:$A$45,0))</f>
        <v/>
      </c>
      <c r="E230" s="22" t="str">
        <f>INDEX(Cronograma!D$5:D$11,MATCH($B230,Premissas!$A$39:$A$45,0))</f>
        <v/>
      </c>
      <c r="F230" s="22" t="str">
        <f>INDEX(Cronograma!E$5:E$11,MATCH($B230,Premissas!$A$39:$A$45,0))</f>
        <v/>
      </c>
      <c r="G230" s="22" t="str">
        <f>INDEX(Cronograma!F$5:F$11,MATCH($B230,Premissas!$A$39:$A$45,0))</f>
        <v/>
      </c>
      <c r="H230" s="22" t="str">
        <f>INDEX(Cronograma!G$5:G$11,MATCH($B230,Premissas!$A$39:$A$45,0))</f>
        <v/>
      </c>
      <c r="I230" s="22" t="str">
        <f>INDEX(Cronograma!H$5:H$11,MATCH($B230,Premissas!$A$39:$A$45,0))</f>
        <v>S</v>
      </c>
      <c r="J230" s="22" t="str">
        <f>INDEX(Cronograma!I$5:I$11,MATCH($B230,Premissas!$A$39:$A$45,0))</f>
        <v/>
      </c>
      <c r="K230" s="22" t="str">
        <f>INDEX(Cronograma!J$5:J$11,MATCH($B230,Premissas!$A$39:$A$45,0))</f>
        <v/>
      </c>
      <c r="L230" s="22" t="str">
        <f>INDEX(Cronograma!K$5:K$11,MATCH($B230,Premissas!$A$39:$A$45,0))</f>
        <v/>
      </c>
      <c r="M230" s="22" t="str">
        <f>INDEX(Cronograma!L$5:L$11,MATCH($B230,Premissas!$A$39:$A$45,0))</f>
        <v/>
      </c>
      <c r="N230" s="22" t="str">
        <f>INDEX(Cronograma!M$5:M$11,MATCH($B230,Premissas!$A$39:$A$45,0))</f>
        <v/>
      </c>
      <c r="O230" s="22" t="str">
        <f>INDEX(Cronograma!N$5:N$11,MATCH($B230,Premissas!$A$39:$A$45,0))</f>
        <v>A</v>
      </c>
      <c r="P230" s="22" t="str">
        <f>INDEX(Cronograma!O$5:O$11,MATCH($B230,Premissas!$A$39:$A$45,0))</f>
        <v/>
      </c>
      <c r="Q230" s="22" t="str">
        <f>INDEX(Cronograma!P$5:P$11,MATCH($B230,Premissas!$A$39:$A$45,0))</f>
        <v/>
      </c>
      <c r="R230" s="22" t="str">
        <f>INDEX(Cronograma!Q$5:Q$11,MATCH($B230,Premissas!$A$39:$A$45,0))</f>
        <v/>
      </c>
      <c r="S230" s="22" t="str">
        <f>INDEX(Cronograma!R$5:R$11,MATCH($B230,Premissas!$A$39:$A$45,0))</f>
        <v/>
      </c>
      <c r="T230" s="22" t="str">
        <f>INDEX(Cronograma!S$5:S$11,MATCH($B230,Premissas!$A$39:$A$45,0))</f>
        <v/>
      </c>
      <c r="U230" s="22" t="str">
        <f>INDEX(Cronograma!T$5:T$11,MATCH($B230,Premissas!$A$39:$A$45,0))</f>
        <v>S</v>
      </c>
      <c r="V230" s="22" t="str">
        <f>INDEX(Cronograma!U$5:U$11,MATCH($B230,Premissas!$A$39:$A$45,0))</f>
        <v/>
      </c>
      <c r="W230" s="22" t="str">
        <f>INDEX(Cronograma!V$5:V$11,MATCH($B230,Premissas!$A$39:$A$45,0))</f>
        <v/>
      </c>
      <c r="X230" s="22" t="str">
        <f>INDEX(Cronograma!W$5:W$11,MATCH($B230,Premissas!$A$39:$A$45,0))</f>
        <v/>
      </c>
      <c r="Y230" s="22" t="str">
        <f>INDEX(Cronograma!X$5:X$11,MATCH($B230,Premissas!$A$39:$A$45,0))</f>
        <v/>
      </c>
      <c r="Z230" s="22" t="str">
        <f>INDEX(Cronograma!Y$5:Y$11,MATCH($B230,Premissas!$A$39:$A$45,0))</f>
        <v/>
      </c>
      <c r="AA230" s="22" t="str">
        <f>INDEX(Cronograma!Z$5:Z$11,MATCH($B230,Premissas!$A$39:$A$45,0))</f>
        <v>B</v>
      </c>
      <c r="AB230" s="22" t="str">
        <f>INDEX(Cronograma!AA$5:AA$11,MATCH($B230,Premissas!$A$39:$A$45,0))</f>
        <v/>
      </c>
      <c r="AC230" s="22" t="str">
        <f>INDEX(Cronograma!AB$5:AB$11,MATCH($B230,Premissas!$A$39:$A$45,0))</f>
        <v/>
      </c>
      <c r="AD230" s="22" t="str">
        <f>INDEX(Cronograma!AC$5:AC$11,MATCH($B230,Premissas!$A$39:$A$45,0))</f>
        <v/>
      </c>
      <c r="AE230" s="22" t="str">
        <f>INDEX(Cronograma!AD$5:AD$11,MATCH($B230,Premissas!$A$39:$A$45,0))</f>
        <v/>
      </c>
      <c r="AF230" s="22" t="str">
        <f>INDEX(Cronograma!AE$5:AE$11,MATCH($B230,Premissas!$A$39:$A$45,0))</f>
        <v/>
      </c>
      <c r="AG230" s="22" t="str">
        <f>INDEX(Cronograma!AF$5:AF$11,MATCH($B230,Premissas!$A$39:$A$45,0))</f>
        <v/>
      </c>
      <c r="AH230" s="22" t="str">
        <f>INDEX(Cronograma!AG$5:AG$11,MATCH($B230,Premissas!$A$39:$A$45,0))</f>
        <v>S</v>
      </c>
      <c r="AI230" s="22" t="str">
        <f>INDEX(Cronograma!AH$5:AH$11,MATCH($B230,Premissas!$A$39:$A$45,0))</f>
        <v/>
      </c>
      <c r="AJ230" s="22" t="str">
        <f>INDEX(Cronograma!AI$5:AI$11,MATCH($B230,Premissas!$A$39:$A$45,0))</f>
        <v/>
      </c>
      <c r="AK230" s="22" t="str">
        <f>INDEX(Cronograma!AJ$5:AJ$11,MATCH($B230,Premissas!$A$39:$A$45,0))</f>
        <v/>
      </c>
      <c r="AL230" s="22" t="str">
        <f>INDEX(Cronograma!AK$5:AK$11,MATCH($B230,Premissas!$A$39:$A$45,0))</f>
        <v/>
      </c>
      <c r="AM230" s="22" t="str">
        <f>INDEX(Cronograma!AL$5:AL$11,MATCH($B230,Premissas!$A$39:$A$45,0))</f>
        <v/>
      </c>
      <c r="AN230" s="22" t="str">
        <f>INDEX(Cronograma!AM$5:AM$11,MATCH($B230,Premissas!$A$39:$A$45,0))</f>
        <v/>
      </c>
      <c r="AO230" s="22" t="str">
        <f>INDEX(Cronograma!AN$5:AN$11,MATCH($B230,Premissas!$A$39:$A$45,0))</f>
        <v/>
      </c>
      <c r="AP230" s="22" t="str">
        <f>INDEX(Cronograma!AO$5:AO$11,MATCH($B230,Premissas!$A$39:$A$45,0))</f>
        <v/>
      </c>
      <c r="AQ230" s="22" t="str">
        <f>INDEX(Cronograma!AP$5:AP$11,MATCH($B230,Premissas!$A$39:$A$45,0))</f>
        <v/>
      </c>
      <c r="AR230" s="22" t="str">
        <f>INDEX(Cronograma!AQ$5:AQ$11,MATCH($B230,Premissas!$A$39:$A$45,0))</f>
        <v/>
      </c>
      <c r="AS230" s="22" t="str">
        <f>INDEX(Cronograma!AR$5:AR$11,MATCH($B230,Premissas!$A$39:$A$45,0))</f>
        <v/>
      </c>
      <c r="AT230" s="22" t="str">
        <f>INDEX(Cronograma!AS$5:AS$11,MATCH($B230,Premissas!$A$39:$A$45,0))</f>
        <v/>
      </c>
      <c r="AU230" s="22" t="str">
        <f>INDEX(Cronograma!AT$5:AT$11,MATCH($B230,Premissas!$A$39:$A$45,0))</f>
        <v/>
      </c>
      <c r="AV230" s="22" t="str">
        <f>INDEX(Cronograma!AU$5:AU$11,MATCH($B230,Premissas!$A$39:$A$45,0))</f>
        <v/>
      </c>
      <c r="AW230" s="22" t="str">
        <f>INDEX(Cronograma!AV$5:AV$11,MATCH($B230,Premissas!$A$39:$A$45,0))</f>
        <v/>
      </c>
      <c r="AX230" s="22" t="str">
        <f>INDEX(Cronograma!AW$5:AW$11,MATCH($B230,Premissas!$A$39:$A$45,0))</f>
        <v/>
      </c>
      <c r="AY230" s="22" t="str">
        <f>INDEX(Cronograma!AX$5:AX$11,MATCH($B230,Premissas!$A$39:$A$45,0))</f>
        <v>A</v>
      </c>
      <c r="AZ230" s="22" t="str">
        <f>INDEX(Cronograma!AY$5:AY$11,MATCH($B230,Premissas!$A$39:$A$45,0))</f>
        <v/>
      </c>
      <c r="BA230" s="22" t="str">
        <f>INDEX(Cronograma!AZ$5:AZ$11,MATCH($B230,Premissas!$A$39:$A$45,0))</f>
        <v/>
      </c>
      <c r="BB230" s="22" t="str">
        <f>INDEX(Cronograma!BA$5:BA$11,MATCH($B230,Premissas!$A$39:$A$45,0))</f>
        <v/>
      </c>
    </row>
    <row r="231" spans="1:54" ht="15" customHeight="1" x14ac:dyDescent="0.4">
      <c r="A231" s="15" t="str">
        <f>Frota!$B231&amp;" — "&amp;Frota!$A231</f>
        <v>NH TL-95E 4x4 — 105163</v>
      </c>
      <c r="B231" s="16" t="str">
        <f>Frota!$C231</f>
        <v>Trator</v>
      </c>
      <c r="C231" s="22" t="str">
        <f>INDEX(Cronograma!B$5:B$11,MATCH($B231,Premissas!$A$39:$A$45,0))</f>
        <v/>
      </c>
      <c r="D231" s="22" t="str">
        <f>INDEX(Cronograma!C$5:C$11,MATCH($B231,Premissas!$A$39:$A$45,0))</f>
        <v/>
      </c>
      <c r="E231" s="22" t="str">
        <f>INDEX(Cronograma!D$5:D$11,MATCH($B231,Premissas!$A$39:$A$45,0))</f>
        <v/>
      </c>
      <c r="F231" s="22" t="str">
        <f>INDEX(Cronograma!E$5:E$11,MATCH($B231,Premissas!$A$39:$A$45,0))</f>
        <v/>
      </c>
      <c r="G231" s="22" t="str">
        <f>INDEX(Cronograma!F$5:F$11,MATCH($B231,Premissas!$A$39:$A$45,0))</f>
        <v/>
      </c>
      <c r="H231" s="22" t="str">
        <f>INDEX(Cronograma!G$5:G$11,MATCH($B231,Premissas!$A$39:$A$45,0))</f>
        <v/>
      </c>
      <c r="I231" s="22" t="str">
        <f>INDEX(Cronograma!H$5:H$11,MATCH($B231,Premissas!$A$39:$A$45,0))</f>
        <v>S</v>
      </c>
      <c r="J231" s="22" t="str">
        <f>INDEX(Cronograma!I$5:I$11,MATCH($B231,Premissas!$A$39:$A$45,0))</f>
        <v/>
      </c>
      <c r="K231" s="22" t="str">
        <f>INDEX(Cronograma!J$5:J$11,MATCH($B231,Premissas!$A$39:$A$45,0))</f>
        <v/>
      </c>
      <c r="L231" s="22" t="str">
        <f>INDEX(Cronograma!K$5:K$11,MATCH($B231,Premissas!$A$39:$A$45,0))</f>
        <v/>
      </c>
      <c r="M231" s="22" t="str">
        <f>INDEX(Cronograma!L$5:L$11,MATCH($B231,Premissas!$A$39:$A$45,0))</f>
        <v/>
      </c>
      <c r="N231" s="22" t="str">
        <f>INDEX(Cronograma!M$5:M$11,MATCH($B231,Premissas!$A$39:$A$45,0))</f>
        <v/>
      </c>
      <c r="O231" s="22" t="str">
        <f>INDEX(Cronograma!N$5:N$11,MATCH($B231,Premissas!$A$39:$A$45,0))</f>
        <v>A</v>
      </c>
      <c r="P231" s="22" t="str">
        <f>INDEX(Cronograma!O$5:O$11,MATCH($B231,Premissas!$A$39:$A$45,0))</f>
        <v/>
      </c>
      <c r="Q231" s="22" t="str">
        <f>INDEX(Cronograma!P$5:P$11,MATCH($B231,Premissas!$A$39:$A$45,0))</f>
        <v/>
      </c>
      <c r="R231" s="22" t="str">
        <f>INDEX(Cronograma!Q$5:Q$11,MATCH($B231,Premissas!$A$39:$A$45,0))</f>
        <v/>
      </c>
      <c r="S231" s="22" t="str">
        <f>INDEX(Cronograma!R$5:R$11,MATCH($B231,Premissas!$A$39:$A$45,0))</f>
        <v/>
      </c>
      <c r="T231" s="22" t="str">
        <f>INDEX(Cronograma!S$5:S$11,MATCH($B231,Premissas!$A$39:$A$45,0))</f>
        <v/>
      </c>
      <c r="U231" s="22" t="str">
        <f>INDEX(Cronograma!T$5:T$11,MATCH($B231,Premissas!$A$39:$A$45,0))</f>
        <v>S</v>
      </c>
      <c r="V231" s="22" t="str">
        <f>INDEX(Cronograma!U$5:U$11,MATCH($B231,Premissas!$A$39:$A$45,0))</f>
        <v/>
      </c>
      <c r="W231" s="22" t="str">
        <f>INDEX(Cronograma!V$5:V$11,MATCH($B231,Premissas!$A$39:$A$45,0))</f>
        <v/>
      </c>
      <c r="X231" s="22" t="str">
        <f>INDEX(Cronograma!W$5:W$11,MATCH($B231,Premissas!$A$39:$A$45,0))</f>
        <v/>
      </c>
      <c r="Y231" s="22" t="str">
        <f>INDEX(Cronograma!X$5:X$11,MATCH($B231,Premissas!$A$39:$A$45,0))</f>
        <v/>
      </c>
      <c r="Z231" s="22" t="str">
        <f>INDEX(Cronograma!Y$5:Y$11,MATCH($B231,Premissas!$A$39:$A$45,0))</f>
        <v/>
      </c>
      <c r="AA231" s="22" t="str">
        <f>INDEX(Cronograma!Z$5:Z$11,MATCH($B231,Premissas!$A$39:$A$45,0))</f>
        <v>B</v>
      </c>
      <c r="AB231" s="22" t="str">
        <f>INDEX(Cronograma!AA$5:AA$11,MATCH($B231,Premissas!$A$39:$A$45,0))</f>
        <v/>
      </c>
      <c r="AC231" s="22" t="str">
        <f>INDEX(Cronograma!AB$5:AB$11,MATCH($B231,Premissas!$A$39:$A$45,0))</f>
        <v/>
      </c>
      <c r="AD231" s="22" t="str">
        <f>INDEX(Cronograma!AC$5:AC$11,MATCH($B231,Premissas!$A$39:$A$45,0))</f>
        <v/>
      </c>
      <c r="AE231" s="22" t="str">
        <f>INDEX(Cronograma!AD$5:AD$11,MATCH($B231,Premissas!$A$39:$A$45,0))</f>
        <v/>
      </c>
      <c r="AF231" s="22" t="str">
        <f>INDEX(Cronograma!AE$5:AE$11,MATCH($B231,Premissas!$A$39:$A$45,0))</f>
        <v/>
      </c>
      <c r="AG231" s="22" t="str">
        <f>INDEX(Cronograma!AF$5:AF$11,MATCH($B231,Premissas!$A$39:$A$45,0))</f>
        <v/>
      </c>
      <c r="AH231" s="22" t="str">
        <f>INDEX(Cronograma!AG$5:AG$11,MATCH($B231,Premissas!$A$39:$A$45,0))</f>
        <v>S</v>
      </c>
      <c r="AI231" s="22" t="str">
        <f>INDEX(Cronograma!AH$5:AH$11,MATCH($B231,Premissas!$A$39:$A$45,0))</f>
        <v/>
      </c>
      <c r="AJ231" s="22" t="str">
        <f>INDEX(Cronograma!AI$5:AI$11,MATCH($B231,Premissas!$A$39:$A$45,0))</f>
        <v/>
      </c>
      <c r="AK231" s="22" t="str">
        <f>INDEX(Cronograma!AJ$5:AJ$11,MATCH($B231,Premissas!$A$39:$A$45,0))</f>
        <v/>
      </c>
      <c r="AL231" s="22" t="str">
        <f>INDEX(Cronograma!AK$5:AK$11,MATCH($B231,Premissas!$A$39:$A$45,0))</f>
        <v/>
      </c>
      <c r="AM231" s="22" t="str">
        <f>INDEX(Cronograma!AL$5:AL$11,MATCH($B231,Premissas!$A$39:$A$45,0))</f>
        <v/>
      </c>
      <c r="AN231" s="22" t="str">
        <f>INDEX(Cronograma!AM$5:AM$11,MATCH($B231,Premissas!$A$39:$A$45,0))</f>
        <v/>
      </c>
      <c r="AO231" s="22" t="str">
        <f>INDEX(Cronograma!AN$5:AN$11,MATCH($B231,Premissas!$A$39:$A$45,0))</f>
        <v/>
      </c>
      <c r="AP231" s="22" t="str">
        <f>INDEX(Cronograma!AO$5:AO$11,MATCH($B231,Premissas!$A$39:$A$45,0))</f>
        <v/>
      </c>
      <c r="AQ231" s="22" t="str">
        <f>INDEX(Cronograma!AP$5:AP$11,MATCH($B231,Premissas!$A$39:$A$45,0))</f>
        <v/>
      </c>
      <c r="AR231" s="22" t="str">
        <f>INDEX(Cronograma!AQ$5:AQ$11,MATCH($B231,Premissas!$A$39:$A$45,0))</f>
        <v/>
      </c>
      <c r="AS231" s="22" t="str">
        <f>INDEX(Cronograma!AR$5:AR$11,MATCH($B231,Premissas!$A$39:$A$45,0))</f>
        <v/>
      </c>
      <c r="AT231" s="22" t="str">
        <f>INDEX(Cronograma!AS$5:AS$11,MATCH($B231,Premissas!$A$39:$A$45,0))</f>
        <v/>
      </c>
      <c r="AU231" s="22" t="str">
        <f>INDEX(Cronograma!AT$5:AT$11,MATCH($B231,Premissas!$A$39:$A$45,0))</f>
        <v/>
      </c>
      <c r="AV231" s="22" t="str">
        <f>INDEX(Cronograma!AU$5:AU$11,MATCH($B231,Premissas!$A$39:$A$45,0))</f>
        <v/>
      </c>
      <c r="AW231" s="22" t="str">
        <f>INDEX(Cronograma!AV$5:AV$11,MATCH($B231,Premissas!$A$39:$A$45,0))</f>
        <v/>
      </c>
      <c r="AX231" s="22" t="str">
        <f>INDEX(Cronograma!AW$5:AW$11,MATCH($B231,Premissas!$A$39:$A$45,0))</f>
        <v/>
      </c>
      <c r="AY231" s="22" t="str">
        <f>INDEX(Cronograma!AX$5:AX$11,MATCH($B231,Premissas!$A$39:$A$45,0))</f>
        <v>A</v>
      </c>
      <c r="AZ231" s="22" t="str">
        <f>INDEX(Cronograma!AY$5:AY$11,MATCH($B231,Premissas!$A$39:$A$45,0))</f>
        <v/>
      </c>
      <c r="BA231" s="22" t="str">
        <f>INDEX(Cronograma!AZ$5:AZ$11,MATCH($B231,Premissas!$A$39:$A$45,0))</f>
        <v/>
      </c>
      <c r="BB231" s="22" t="str">
        <f>INDEX(Cronograma!BA$5:BA$11,MATCH($B231,Premissas!$A$39:$A$45,0))</f>
        <v/>
      </c>
    </row>
    <row r="232" spans="1:54" ht="15" customHeight="1" x14ac:dyDescent="0.4">
      <c r="A232" s="15" t="str">
        <f>Frota!$B232&amp;" — "&amp;Frota!$A232</f>
        <v>Valtra BH-194 4x4 — 105164</v>
      </c>
      <c r="B232" s="16" t="str">
        <f>Frota!$C232</f>
        <v>Trator</v>
      </c>
      <c r="C232" s="22" t="str">
        <f>INDEX(Cronograma!B$5:B$11,MATCH($B232,Premissas!$A$39:$A$45,0))</f>
        <v/>
      </c>
      <c r="D232" s="22" t="str">
        <f>INDEX(Cronograma!C$5:C$11,MATCH($B232,Premissas!$A$39:$A$45,0))</f>
        <v/>
      </c>
      <c r="E232" s="22" t="str">
        <f>INDEX(Cronograma!D$5:D$11,MATCH($B232,Premissas!$A$39:$A$45,0))</f>
        <v/>
      </c>
      <c r="F232" s="22" t="str">
        <f>INDEX(Cronograma!E$5:E$11,MATCH($B232,Premissas!$A$39:$A$45,0))</f>
        <v/>
      </c>
      <c r="G232" s="22" t="str">
        <f>INDEX(Cronograma!F$5:F$11,MATCH($B232,Premissas!$A$39:$A$45,0))</f>
        <v/>
      </c>
      <c r="H232" s="22" t="str">
        <f>INDEX(Cronograma!G$5:G$11,MATCH($B232,Premissas!$A$39:$A$45,0))</f>
        <v/>
      </c>
      <c r="I232" s="22" t="str">
        <f>INDEX(Cronograma!H$5:H$11,MATCH($B232,Premissas!$A$39:$A$45,0))</f>
        <v>S</v>
      </c>
      <c r="J232" s="22" t="str">
        <f>INDEX(Cronograma!I$5:I$11,MATCH($B232,Premissas!$A$39:$A$45,0))</f>
        <v/>
      </c>
      <c r="K232" s="22" t="str">
        <f>INDEX(Cronograma!J$5:J$11,MATCH($B232,Premissas!$A$39:$A$45,0))</f>
        <v/>
      </c>
      <c r="L232" s="22" t="str">
        <f>INDEX(Cronograma!K$5:K$11,MATCH($B232,Premissas!$A$39:$A$45,0))</f>
        <v/>
      </c>
      <c r="M232" s="22" t="str">
        <f>INDEX(Cronograma!L$5:L$11,MATCH($B232,Premissas!$A$39:$A$45,0))</f>
        <v/>
      </c>
      <c r="N232" s="22" t="str">
        <f>INDEX(Cronograma!M$5:M$11,MATCH($B232,Premissas!$A$39:$A$45,0))</f>
        <v/>
      </c>
      <c r="O232" s="22" t="str">
        <f>INDEX(Cronograma!N$5:N$11,MATCH($B232,Premissas!$A$39:$A$45,0))</f>
        <v>A</v>
      </c>
      <c r="P232" s="22" t="str">
        <f>INDEX(Cronograma!O$5:O$11,MATCH($B232,Premissas!$A$39:$A$45,0))</f>
        <v/>
      </c>
      <c r="Q232" s="22" t="str">
        <f>INDEX(Cronograma!P$5:P$11,MATCH($B232,Premissas!$A$39:$A$45,0))</f>
        <v/>
      </c>
      <c r="R232" s="22" t="str">
        <f>INDEX(Cronograma!Q$5:Q$11,MATCH($B232,Premissas!$A$39:$A$45,0))</f>
        <v/>
      </c>
      <c r="S232" s="22" t="str">
        <f>INDEX(Cronograma!R$5:R$11,MATCH($B232,Premissas!$A$39:$A$45,0))</f>
        <v/>
      </c>
      <c r="T232" s="22" t="str">
        <f>INDEX(Cronograma!S$5:S$11,MATCH($B232,Premissas!$A$39:$A$45,0))</f>
        <v/>
      </c>
      <c r="U232" s="22" t="str">
        <f>INDEX(Cronograma!T$5:T$11,MATCH($B232,Premissas!$A$39:$A$45,0))</f>
        <v>S</v>
      </c>
      <c r="V232" s="22" t="str">
        <f>INDEX(Cronograma!U$5:U$11,MATCH($B232,Premissas!$A$39:$A$45,0))</f>
        <v/>
      </c>
      <c r="W232" s="22" t="str">
        <f>INDEX(Cronograma!V$5:V$11,MATCH($B232,Premissas!$A$39:$A$45,0))</f>
        <v/>
      </c>
      <c r="X232" s="22" t="str">
        <f>INDEX(Cronograma!W$5:W$11,MATCH($B232,Premissas!$A$39:$A$45,0))</f>
        <v/>
      </c>
      <c r="Y232" s="22" t="str">
        <f>INDEX(Cronograma!X$5:X$11,MATCH($B232,Premissas!$A$39:$A$45,0))</f>
        <v/>
      </c>
      <c r="Z232" s="22" t="str">
        <f>INDEX(Cronograma!Y$5:Y$11,MATCH($B232,Premissas!$A$39:$A$45,0))</f>
        <v/>
      </c>
      <c r="AA232" s="22" t="str">
        <f>INDEX(Cronograma!Z$5:Z$11,MATCH($B232,Premissas!$A$39:$A$45,0))</f>
        <v>B</v>
      </c>
      <c r="AB232" s="22" t="str">
        <f>INDEX(Cronograma!AA$5:AA$11,MATCH($B232,Premissas!$A$39:$A$45,0))</f>
        <v/>
      </c>
      <c r="AC232" s="22" t="str">
        <f>INDEX(Cronograma!AB$5:AB$11,MATCH($B232,Premissas!$A$39:$A$45,0))</f>
        <v/>
      </c>
      <c r="AD232" s="22" t="str">
        <f>INDEX(Cronograma!AC$5:AC$11,MATCH($B232,Premissas!$A$39:$A$45,0))</f>
        <v/>
      </c>
      <c r="AE232" s="22" t="str">
        <f>INDEX(Cronograma!AD$5:AD$11,MATCH($B232,Premissas!$A$39:$A$45,0))</f>
        <v/>
      </c>
      <c r="AF232" s="22" t="str">
        <f>INDEX(Cronograma!AE$5:AE$11,MATCH($B232,Premissas!$A$39:$A$45,0))</f>
        <v/>
      </c>
      <c r="AG232" s="22" t="str">
        <f>INDEX(Cronograma!AF$5:AF$11,MATCH($B232,Premissas!$A$39:$A$45,0))</f>
        <v/>
      </c>
      <c r="AH232" s="22" t="str">
        <f>INDEX(Cronograma!AG$5:AG$11,MATCH($B232,Premissas!$A$39:$A$45,0))</f>
        <v>S</v>
      </c>
      <c r="AI232" s="22" t="str">
        <f>INDEX(Cronograma!AH$5:AH$11,MATCH($B232,Premissas!$A$39:$A$45,0))</f>
        <v/>
      </c>
      <c r="AJ232" s="22" t="str">
        <f>INDEX(Cronograma!AI$5:AI$11,MATCH($B232,Premissas!$A$39:$A$45,0))</f>
        <v/>
      </c>
      <c r="AK232" s="22" t="str">
        <f>INDEX(Cronograma!AJ$5:AJ$11,MATCH($B232,Premissas!$A$39:$A$45,0))</f>
        <v/>
      </c>
      <c r="AL232" s="22" t="str">
        <f>INDEX(Cronograma!AK$5:AK$11,MATCH($B232,Premissas!$A$39:$A$45,0))</f>
        <v/>
      </c>
      <c r="AM232" s="22" t="str">
        <f>INDEX(Cronograma!AL$5:AL$11,MATCH($B232,Premissas!$A$39:$A$45,0))</f>
        <v/>
      </c>
      <c r="AN232" s="22" t="str">
        <f>INDEX(Cronograma!AM$5:AM$11,MATCH($B232,Premissas!$A$39:$A$45,0))</f>
        <v/>
      </c>
      <c r="AO232" s="22" t="str">
        <f>INDEX(Cronograma!AN$5:AN$11,MATCH($B232,Premissas!$A$39:$A$45,0))</f>
        <v/>
      </c>
      <c r="AP232" s="22" t="str">
        <f>INDEX(Cronograma!AO$5:AO$11,MATCH($B232,Premissas!$A$39:$A$45,0))</f>
        <v/>
      </c>
      <c r="AQ232" s="22" t="str">
        <f>INDEX(Cronograma!AP$5:AP$11,MATCH($B232,Premissas!$A$39:$A$45,0))</f>
        <v/>
      </c>
      <c r="AR232" s="22" t="str">
        <f>INDEX(Cronograma!AQ$5:AQ$11,MATCH($B232,Premissas!$A$39:$A$45,0))</f>
        <v/>
      </c>
      <c r="AS232" s="22" t="str">
        <f>INDEX(Cronograma!AR$5:AR$11,MATCH($B232,Premissas!$A$39:$A$45,0))</f>
        <v/>
      </c>
      <c r="AT232" s="22" t="str">
        <f>INDEX(Cronograma!AS$5:AS$11,MATCH($B232,Premissas!$A$39:$A$45,0))</f>
        <v/>
      </c>
      <c r="AU232" s="22" t="str">
        <f>INDEX(Cronograma!AT$5:AT$11,MATCH($B232,Premissas!$A$39:$A$45,0))</f>
        <v/>
      </c>
      <c r="AV232" s="22" t="str">
        <f>INDEX(Cronograma!AU$5:AU$11,MATCH($B232,Premissas!$A$39:$A$45,0))</f>
        <v/>
      </c>
      <c r="AW232" s="22" t="str">
        <f>INDEX(Cronograma!AV$5:AV$11,MATCH($B232,Premissas!$A$39:$A$45,0))</f>
        <v/>
      </c>
      <c r="AX232" s="22" t="str">
        <f>INDEX(Cronograma!AW$5:AW$11,MATCH($B232,Premissas!$A$39:$A$45,0))</f>
        <v/>
      </c>
      <c r="AY232" s="22" t="str">
        <f>INDEX(Cronograma!AX$5:AX$11,MATCH($B232,Premissas!$A$39:$A$45,0))</f>
        <v>A</v>
      </c>
      <c r="AZ232" s="22" t="str">
        <f>INDEX(Cronograma!AY$5:AY$11,MATCH($B232,Premissas!$A$39:$A$45,0))</f>
        <v/>
      </c>
      <c r="BA232" s="22" t="str">
        <f>INDEX(Cronograma!AZ$5:AZ$11,MATCH($B232,Premissas!$A$39:$A$45,0))</f>
        <v/>
      </c>
      <c r="BB232" s="22" t="str">
        <f>INDEX(Cronograma!BA$5:BA$11,MATCH($B232,Premissas!$A$39:$A$45,0))</f>
        <v/>
      </c>
    </row>
    <row r="233" spans="1:54" ht="15" customHeight="1" x14ac:dyDescent="0.4">
      <c r="A233" s="15" t="str">
        <f>Frota!$B233&amp;" — "&amp;Frota!$A233</f>
        <v>Valtra BH-194 4x4 — 105165</v>
      </c>
      <c r="B233" s="16" t="str">
        <f>Frota!$C233</f>
        <v>Trator</v>
      </c>
      <c r="C233" s="22" t="str">
        <f>INDEX(Cronograma!B$5:B$11,MATCH($B233,Premissas!$A$39:$A$45,0))</f>
        <v/>
      </c>
      <c r="D233" s="22" t="str">
        <f>INDEX(Cronograma!C$5:C$11,MATCH($B233,Premissas!$A$39:$A$45,0))</f>
        <v/>
      </c>
      <c r="E233" s="22" t="str">
        <f>INDEX(Cronograma!D$5:D$11,MATCH($B233,Premissas!$A$39:$A$45,0))</f>
        <v/>
      </c>
      <c r="F233" s="22" t="str">
        <f>INDEX(Cronograma!E$5:E$11,MATCH($B233,Premissas!$A$39:$A$45,0))</f>
        <v/>
      </c>
      <c r="G233" s="22" t="str">
        <f>INDEX(Cronograma!F$5:F$11,MATCH($B233,Premissas!$A$39:$A$45,0))</f>
        <v/>
      </c>
      <c r="H233" s="22" t="str">
        <f>INDEX(Cronograma!G$5:G$11,MATCH($B233,Premissas!$A$39:$A$45,0))</f>
        <v/>
      </c>
      <c r="I233" s="22" t="str">
        <f>INDEX(Cronograma!H$5:H$11,MATCH($B233,Premissas!$A$39:$A$45,0))</f>
        <v>S</v>
      </c>
      <c r="J233" s="22" t="str">
        <f>INDEX(Cronograma!I$5:I$11,MATCH($B233,Premissas!$A$39:$A$45,0))</f>
        <v/>
      </c>
      <c r="K233" s="22" t="str">
        <f>INDEX(Cronograma!J$5:J$11,MATCH($B233,Premissas!$A$39:$A$45,0))</f>
        <v/>
      </c>
      <c r="L233" s="22" t="str">
        <f>INDEX(Cronograma!K$5:K$11,MATCH($B233,Premissas!$A$39:$A$45,0))</f>
        <v/>
      </c>
      <c r="M233" s="22" t="str">
        <f>INDEX(Cronograma!L$5:L$11,MATCH($B233,Premissas!$A$39:$A$45,0))</f>
        <v/>
      </c>
      <c r="N233" s="22" t="str">
        <f>INDEX(Cronograma!M$5:M$11,MATCH($B233,Premissas!$A$39:$A$45,0))</f>
        <v/>
      </c>
      <c r="O233" s="22" t="str">
        <f>INDEX(Cronograma!N$5:N$11,MATCH($B233,Premissas!$A$39:$A$45,0))</f>
        <v>A</v>
      </c>
      <c r="P233" s="22" t="str">
        <f>INDEX(Cronograma!O$5:O$11,MATCH($B233,Premissas!$A$39:$A$45,0))</f>
        <v/>
      </c>
      <c r="Q233" s="22" t="str">
        <f>INDEX(Cronograma!P$5:P$11,MATCH($B233,Premissas!$A$39:$A$45,0))</f>
        <v/>
      </c>
      <c r="R233" s="22" t="str">
        <f>INDEX(Cronograma!Q$5:Q$11,MATCH($B233,Premissas!$A$39:$A$45,0))</f>
        <v/>
      </c>
      <c r="S233" s="22" t="str">
        <f>INDEX(Cronograma!R$5:R$11,MATCH($B233,Premissas!$A$39:$A$45,0))</f>
        <v/>
      </c>
      <c r="T233" s="22" t="str">
        <f>INDEX(Cronograma!S$5:S$11,MATCH($B233,Premissas!$A$39:$A$45,0))</f>
        <v/>
      </c>
      <c r="U233" s="22" t="str">
        <f>INDEX(Cronograma!T$5:T$11,MATCH($B233,Premissas!$A$39:$A$45,0))</f>
        <v>S</v>
      </c>
      <c r="V233" s="22" t="str">
        <f>INDEX(Cronograma!U$5:U$11,MATCH($B233,Premissas!$A$39:$A$45,0))</f>
        <v/>
      </c>
      <c r="W233" s="22" t="str">
        <f>INDEX(Cronograma!V$5:V$11,MATCH($B233,Premissas!$A$39:$A$45,0))</f>
        <v/>
      </c>
      <c r="X233" s="22" t="str">
        <f>INDEX(Cronograma!W$5:W$11,MATCH($B233,Premissas!$A$39:$A$45,0))</f>
        <v/>
      </c>
      <c r="Y233" s="22" t="str">
        <f>INDEX(Cronograma!X$5:X$11,MATCH($B233,Premissas!$A$39:$A$45,0))</f>
        <v/>
      </c>
      <c r="Z233" s="22" t="str">
        <f>INDEX(Cronograma!Y$5:Y$11,MATCH($B233,Premissas!$A$39:$A$45,0))</f>
        <v/>
      </c>
      <c r="AA233" s="22" t="str">
        <f>INDEX(Cronograma!Z$5:Z$11,MATCH($B233,Premissas!$A$39:$A$45,0))</f>
        <v>B</v>
      </c>
      <c r="AB233" s="22" t="str">
        <f>INDEX(Cronograma!AA$5:AA$11,MATCH($B233,Premissas!$A$39:$A$45,0))</f>
        <v/>
      </c>
      <c r="AC233" s="22" t="str">
        <f>INDEX(Cronograma!AB$5:AB$11,MATCH($B233,Premissas!$A$39:$A$45,0))</f>
        <v/>
      </c>
      <c r="AD233" s="22" t="str">
        <f>INDEX(Cronograma!AC$5:AC$11,MATCH($B233,Premissas!$A$39:$A$45,0))</f>
        <v/>
      </c>
      <c r="AE233" s="22" t="str">
        <f>INDEX(Cronograma!AD$5:AD$11,MATCH($B233,Premissas!$A$39:$A$45,0))</f>
        <v/>
      </c>
      <c r="AF233" s="22" t="str">
        <f>INDEX(Cronograma!AE$5:AE$11,MATCH($B233,Premissas!$A$39:$A$45,0))</f>
        <v/>
      </c>
      <c r="AG233" s="22" t="str">
        <f>INDEX(Cronograma!AF$5:AF$11,MATCH($B233,Premissas!$A$39:$A$45,0))</f>
        <v/>
      </c>
      <c r="AH233" s="22" t="str">
        <f>INDEX(Cronograma!AG$5:AG$11,MATCH($B233,Premissas!$A$39:$A$45,0))</f>
        <v>S</v>
      </c>
      <c r="AI233" s="22" t="str">
        <f>INDEX(Cronograma!AH$5:AH$11,MATCH($B233,Premissas!$A$39:$A$45,0))</f>
        <v/>
      </c>
      <c r="AJ233" s="22" t="str">
        <f>INDEX(Cronograma!AI$5:AI$11,MATCH($B233,Premissas!$A$39:$A$45,0))</f>
        <v/>
      </c>
      <c r="AK233" s="22" t="str">
        <f>INDEX(Cronograma!AJ$5:AJ$11,MATCH($B233,Premissas!$A$39:$A$45,0))</f>
        <v/>
      </c>
      <c r="AL233" s="22" t="str">
        <f>INDEX(Cronograma!AK$5:AK$11,MATCH($B233,Premissas!$A$39:$A$45,0))</f>
        <v/>
      </c>
      <c r="AM233" s="22" t="str">
        <f>INDEX(Cronograma!AL$5:AL$11,MATCH($B233,Premissas!$A$39:$A$45,0))</f>
        <v/>
      </c>
      <c r="AN233" s="22" t="str">
        <f>INDEX(Cronograma!AM$5:AM$11,MATCH($B233,Premissas!$A$39:$A$45,0))</f>
        <v/>
      </c>
      <c r="AO233" s="22" t="str">
        <f>INDEX(Cronograma!AN$5:AN$11,MATCH($B233,Premissas!$A$39:$A$45,0))</f>
        <v/>
      </c>
      <c r="AP233" s="22" t="str">
        <f>INDEX(Cronograma!AO$5:AO$11,MATCH($B233,Premissas!$A$39:$A$45,0))</f>
        <v/>
      </c>
      <c r="AQ233" s="22" t="str">
        <f>INDEX(Cronograma!AP$5:AP$11,MATCH($B233,Premissas!$A$39:$A$45,0))</f>
        <v/>
      </c>
      <c r="AR233" s="22" t="str">
        <f>INDEX(Cronograma!AQ$5:AQ$11,MATCH($B233,Premissas!$A$39:$A$45,0))</f>
        <v/>
      </c>
      <c r="AS233" s="22" t="str">
        <f>INDEX(Cronograma!AR$5:AR$11,MATCH($B233,Premissas!$A$39:$A$45,0))</f>
        <v/>
      </c>
      <c r="AT233" s="22" t="str">
        <f>INDEX(Cronograma!AS$5:AS$11,MATCH($B233,Premissas!$A$39:$A$45,0))</f>
        <v/>
      </c>
      <c r="AU233" s="22" t="str">
        <f>INDEX(Cronograma!AT$5:AT$11,MATCH($B233,Premissas!$A$39:$A$45,0))</f>
        <v/>
      </c>
      <c r="AV233" s="22" t="str">
        <f>INDEX(Cronograma!AU$5:AU$11,MATCH($B233,Premissas!$A$39:$A$45,0))</f>
        <v/>
      </c>
      <c r="AW233" s="22" t="str">
        <f>INDEX(Cronograma!AV$5:AV$11,MATCH($B233,Premissas!$A$39:$A$45,0))</f>
        <v/>
      </c>
      <c r="AX233" s="22" t="str">
        <f>INDEX(Cronograma!AW$5:AW$11,MATCH($B233,Premissas!$A$39:$A$45,0))</f>
        <v/>
      </c>
      <c r="AY233" s="22" t="str">
        <f>INDEX(Cronograma!AX$5:AX$11,MATCH($B233,Premissas!$A$39:$A$45,0))</f>
        <v>A</v>
      </c>
      <c r="AZ233" s="22" t="str">
        <f>INDEX(Cronograma!AY$5:AY$11,MATCH($B233,Premissas!$A$39:$A$45,0))</f>
        <v/>
      </c>
      <c r="BA233" s="22" t="str">
        <f>INDEX(Cronograma!AZ$5:AZ$11,MATCH($B233,Premissas!$A$39:$A$45,0))</f>
        <v/>
      </c>
      <c r="BB233" s="22" t="str">
        <f>INDEX(Cronograma!BA$5:BA$11,MATCH($B233,Premissas!$A$39:$A$45,0))</f>
        <v/>
      </c>
    </row>
    <row r="234" spans="1:54" ht="15" customHeight="1" x14ac:dyDescent="0.4">
      <c r="A234" s="15" t="str">
        <f>Frota!$B234&amp;" — "&amp;Frota!$A234</f>
        <v>Valtra BH-194 4x4 — 105166</v>
      </c>
      <c r="B234" s="16" t="str">
        <f>Frota!$C234</f>
        <v>Trator</v>
      </c>
      <c r="C234" s="22" t="str">
        <f>INDEX(Cronograma!B$5:B$11,MATCH($B234,Premissas!$A$39:$A$45,0))</f>
        <v/>
      </c>
      <c r="D234" s="22" t="str">
        <f>INDEX(Cronograma!C$5:C$11,MATCH($B234,Premissas!$A$39:$A$45,0))</f>
        <v/>
      </c>
      <c r="E234" s="22" t="str">
        <f>INDEX(Cronograma!D$5:D$11,MATCH($B234,Premissas!$A$39:$A$45,0))</f>
        <v/>
      </c>
      <c r="F234" s="22" t="str">
        <f>INDEX(Cronograma!E$5:E$11,MATCH($B234,Premissas!$A$39:$A$45,0))</f>
        <v/>
      </c>
      <c r="G234" s="22" t="str">
        <f>INDEX(Cronograma!F$5:F$11,MATCH($B234,Premissas!$A$39:$A$45,0))</f>
        <v/>
      </c>
      <c r="H234" s="22" t="str">
        <f>INDEX(Cronograma!G$5:G$11,MATCH($B234,Premissas!$A$39:$A$45,0))</f>
        <v/>
      </c>
      <c r="I234" s="22" t="str">
        <f>INDEX(Cronograma!H$5:H$11,MATCH($B234,Premissas!$A$39:$A$45,0))</f>
        <v>S</v>
      </c>
      <c r="J234" s="22" t="str">
        <f>INDEX(Cronograma!I$5:I$11,MATCH($B234,Premissas!$A$39:$A$45,0))</f>
        <v/>
      </c>
      <c r="K234" s="22" t="str">
        <f>INDEX(Cronograma!J$5:J$11,MATCH($B234,Premissas!$A$39:$A$45,0))</f>
        <v/>
      </c>
      <c r="L234" s="22" t="str">
        <f>INDEX(Cronograma!K$5:K$11,MATCH($B234,Premissas!$A$39:$A$45,0))</f>
        <v/>
      </c>
      <c r="M234" s="22" t="str">
        <f>INDEX(Cronograma!L$5:L$11,MATCH($B234,Premissas!$A$39:$A$45,0))</f>
        <v/>
      </c>
      <c r="N234" s="22" t="str">
        <f>INDEX(Cronograma!M$5:M$11,MATCH($B234,Premissas!$A$39:$A$45,0))</f>
        <v/>
      </c>
      <c r="O234" s="22" t="str">
        <f>INDEX(Cronograma!N$5:N$11,MATCH($B234,Premissas!$A$39:$A$45,0))</f>
        <v>A</v>
      </c>
      <c r="P234" s="22" t="str">
        <f>INDEX(Cronograma!O$5:O$11,MATCH($B234,Premissas!$A$39:$A$45,0))</f>
        <v/>
      </c>
      <c r="Q234" s="22" t="str">
        <f>INDEX(Cronograma!P$5:P$11,MATCH($B234,Premissas!$A$39:$A$45,0))</f>
        <v/>
      </c>
      <c r="R234" s="22" t="str">
        <f>INDEX(Cronograma!Q$5:Q$11,MATCH($B234,Premissas!$A$39:$A$45,0))</f>
        <v/>
      </c>
      <c r="S234" s="22" t="str">
        <f>INDEX(Cronograma!R$5:R$11,MATCH($B234,Premissas!$A$39:$A$45,0))</f>
        <v/>
      </c>
      <c r="T234" s="22" t="str">
        <f>INDEX(Cronograma!S$5:S$11,MATCH($B234,Premissas!$A$39:$A$45,0))</f>
        <v/>
      </c>
      <c r="U234" s="22" t="str">
        <f>INDEX(Cronograma!T$5:T$11,MATCH($B234,Premissas!$A$39:$A$45,0))</f>
        <v>S</v>
      </c>
      <c r="V234" s="22" t="str">
        <f>INDEX(Cronograma!U$5:U$11,MATCH($B234,Premissas!$A$39:$A$45,0))</f>
        <v/>
      </c>
      <c r="W234" s="22" t="str">
        <f>INDEX(Cronograma!V$5:V$11,MATCH($B234,Premissas!$A$39:$A$45,0))</f>
        <v/>
      </c>
      <c r="X234" s="22" t="str">
        <f>INDEX(Cronograma!W$5:W$11,MATCH($B234,Premissas!$A$39:$A$45,0))</f>
        <v/>
      </c>
      <c r="Y234" s="22" t="str">
        <f>INDEX(Cronograma!X$5:X$11,MATCH($B234,Premissas!$A$39:$A$45,0))</f>
        <v/>
      </c>
      <c r="Z234" s="22" t="str">
        <f>INDEX(Cronograma!Y$5:Y$11,MATCH($B234,Premissas!$A$39:$A$45,0))</f>
        <v/>
      </c>
      <c r="AA234" s="22" t="str">
        <f>INDEX(Cronograma!Z$5:Z$11,MATCH($B234,Premissas!$A$39:$A$45,0))</f>
        <v>B</v>
      </c>
      <c r="AB234" s="22" t="str">
        <f>INDEX(Cronograma!AA$5:AA$11,MATCH($B234,Premissas!$A$39:$A$45,0))</f>
        <v/>
      </c>
      <c r="AC234" s="22" t="str">
        <f>INDEX(Cronograma!AB$5:AB$11,MATCH($B234,Premissas!$A$39:$A$45,0))</f>
        <v/>
      </c>
      <c r="AD234" s="22" t="str">
        <f>INDEX(Cronograma!AC$5:AC$11,MATCH($B234,Premissas!$A$39:$A$45,0))</f>
        <v/>
      </c>
      <c r="AE234" s="22" t="str">
        <f>INDEX(Cronograma!AD$5:AD$11,MATCH($B234,Premissas!$A$39:$A$45,0))</f>
        <v/>
      </c>
      <c r="AF234" s="22" t="str">
        <f>INDEX(Cronograma!AE$5:AE$11,MATCH($B234,Premissas!$A$39:$A$45,0))</f>
        <v/>
      </c>
      <c r="AG234" s="22" t="str">
        <f>INDEX(Cronograma!AF$5:AF$11,MATCH($B234,Premissas!$A$39:$A$45,0))</f>
        <v/>
      </c>
      <c r="AH234" s="22" t="str">
        <f>INDEX(Cronograma!AG$5:AG$11,MATCH($B234,Premissas!$A$39:$A$45,0))</f>
        <v>S</v>
      </c>
      <c r="AI234" s="22" t="str">
        <f>INDEX(Cronograma!AH$5:AH$11,MATCH($B234,Premissas!$A$39:$A$45,0))</f>
        <v/>
      </c>
      <c r="AJ234" s="22" t="str">
        <f>INDEX(Cronograma!AI$5:AI$11,MATCH($B234,Premissas!$A$39:$A$45,0))</f>
        <v/>
      </c>
      <c r="AK234" s="22" t="str">
        <f>INDEX(Cronograma!AJ$5:AJ$11,MATCH($B234,Premissas!$A$39:$A$45,0))</f>
        <v/>
      </c>
      <c r="AL234" s="22" t="str">
        <f>INDEX(Cronograma!AK$5:AK$11,MATCH($B234,Premissas!$A$39:$A$45,0))</f>
        <v/>
      </c>
      <c r="AM234" s="22" t="str">
        <f>INDEX(Cronograma!AL$5:AL$11,MATCH($B234,Premissas!$A$39:$A$45,0))</f>
        <v/>
      </c>
      <c r="AN234" s="22" t="str">
        <f>INDEX(Cronograma!AM$5:AM$11,MATCH($B234,Premissas!$A$39:$A$45,0))</f>
        <v/>
      </c>
      <c r="AO234" s="22" t="str">
        <f>INDEX(Cronograma!AN$5:AN$11,MATCH($B234,Premissas!$A$39:$A$45,0))</f>
        <v/>
      </c>
      <c r="AP234" s="22" t="str">
        <f>INDEX(Cronograma!AO$5:AO$11,MATCH($B234,Premissas!$A$39:$A$45,0))</f>
        <v/>
      </c>
      <c r="AQ234" s="22" t="str">
        <f>INDEX(Cronograma!AP$5:AP$11,MATCH($B234,Premissas!$A$39:$A$45,0))</f>
        <v/>
      </c>
      <c r="AR234" s="22" t="str">
        <f>INDEX(Cronograma!AQ$5:AQ$11,MATCH($B234,Premissas!$A$39:$A$45,0))</f>
        <v/>
      </c>
      <c r="AS234" s="22" t="str">
        <f>INDEX(Cronograma!AR$5:AR$11,MATCH($B234,Premissas!$A$39:$A$45,0))</f>
        <v/>
      </c>
      <c r="AT234" s="22" t="str">
        <f>INDEX(Cronograma!AS$5:AS$11,MATCH($B234,Premissas!$A$39:$A$45,0))</f>
        <v/>
      </c>
      <c r="AU234" s="22" t="str">
        <f>INDEX(Cronograma!AT$5:AT$11,MATCH($B234,Premissas!$A$39:$A$45,0))</f>
        <v/>
      </c>
      <c r="AV234" s="22" t="str">
        <f>INDEX(Cronograma!AU$5:AU$11,MATCH($B234,Premissas!$A$39:$A$45,0))</f>
        <v/>
      </c>
      <c r="AW234" s="22" t="str">
        <f>INDEX(Cronograma!AV$5:AV$11,MATCH($B234,Premissas!$A$39:$A$45,0))</f>
        <v/>
      </c>
      <c r="AX234" s="22" t="str">
        <f>INDEX(Cronograma!AW$5:AW$11,MATCH($B234,Premissas!$A$39:$A$45,0))</f>
        <v/>
      </c>
      <c r="AY234" s="22" t="str">
        <f>INDEX(Cronograma!AX$5:AX$11,MATCH($B234,Premissas!$A$39:$A$45,0))</f>
        <v>A</v>
      </c>
      <c r="AZ234" s="22" t="str">
        <f>INDEX(Cronograma!AY$5:AY$11,MATCH($B234,Premissas!$A$39:$A$45,0))</f>
        <v/>
      </c>
      <c r="BA234" s="22" t="str">
        <f>INDEX(Cronograma!AZ$5:AZ$11,MATCH($B234,Premissas!$A$39:$A$45,0))</f>
        <v/>
      </c>
      <c r="BB234" s="22" t="str">
        <f>INDEX(Cronograma!BA$5:BA$11,MATCH($B234,Premissas!$A$39:$A$45,0))</f>
        <v/>
      </c>
    </row>
    <row r="235" spans="1:54" ht="15" customHeight="1" x14ac:dyDescent="0.4">
      <c r="A235" s="15" t="str">
        <f>Frota!$B235&amp;" — "&amp;Frota!$A235</f>
        <v>Valtra BH-194 4x4 — 105167</v>
      </c>
      <c r="B235" s="16" t="str">
        <f>Frota!$C235</f>
        <v>Trator</v>
      </c>
      <c r="C235" s="22" t="str">
        <f>INDEX(Cronograma!B$5:B$11,MATCH($B235,Premissas!$A$39:$A$45,0))</f>
        <v/>
      </c>
      <c r="D235" s="22" t="str">
        <f>INDEX(Cronograma!C$5:C$11,MATCH($B235,Premissas!$A$39:$A$45,0))</f>
        <v/>
      </c>
      <c r="E235" s="22" t="str">
        <f>INDEX(Cronograma!D$5:D$11,MATCH($B235,Premissas!$A$39:$A$45,0))</f>
        <v/>
      </c>
      <c r="F235" s="22" t="str">
        <f>INDEX(Cronograma!E$5:E$11,MATCH($B235,Premissas!$A$39:$A$45,0))</f>
        <v/>
      </c>
      <c r="G235" s="22" t="str">
        <f>INDEX(Cronograma!F$5:F$11,MATCH($B235,Premissas!$A$39:$A$45,0))</f>
        <v/>
      </c>
      <c r="H235" s="22" t="str">
        <f>INDEX(Cronograma!G$5:G$11,MATCH($B235,Premissas!$A$39:$A$45,0))</f>
        <v/>
      </c>
      <c r="I235" s="22" t="str">
        <f>INDEX(Cronograma!H$5:H$11,MATCH($B235,Premissas!$A$39:$A$45,0))</f>
        <v>S</v>
      </c>
      <c r="J235" s="22" t="str">
        <f>INDEX(Cronograma!I$5:I$11,MATCH($B235,Premissas!$A$39:$A$45,0))</f>
        <v/>
      </c>
      <c r="K235" s="22" t="str">
        <f>INDEX(Cronograma!J$5:J$11,MATCH($B235,Premissas!$A$39:$A$45,0))</f>
        <v/>
      </c>
      <c r="L235" s="22" t="str">
        <f>INDEX(Cronograma!K$5:K$11,MATCH($B235,Premissas!$A$39:$A$45,0))</f>
        <v/>
      </c>
      <c r="M235" s="22" t="str">
        <f>INDEX(Cronograma!L$5:L$11,MATCH($B235,Premissas!$A$39:$A$45,0))</f>
        <v/>
      </c>
      <c r="N235" s="22" t="str">
        <f>INDEX(Cronograma!M$5:M$11,MATCH($B235,Premissas!$A$39:$A$45,0))</f>
        <v/>
      </c>
      <c r="O235" s="22" t="str">
        <f>INDEX(Cronograma!N$5:N$11,MATCH($B235,Premissas!$A$39:$A$45,0))</f>
        <v>A</v>
      </c>
      <c r="P235" s="22" t="str">
        <f>INDEX(Cronograma!O$5:O$11,MATCH($B235,Premissas!$A$39:$A$45,0))</f>
        <v/>
      </c>
      <c r="Q235" s="22" t="str">
        <f>INDEX(Cronograma!P$5:P$11,MATCH($B235,Premissas!$A$39:$A$45,0))</f>
        <v/>
      </c>
      <c r="R235" s="22" t="str">
        <f>INDEX(Cronograma!Q$5:Q$11,MATCH($B235,Premissas!$A$39:$A$45,0))</f>
        <v/>
      </c>
      <c r="S235" s="22" t="str">
        <f>INDEX(Cronograma!R$5:R$11,MATCH($B235,Premissas!$A$39:$A$45,0))</f>
        <v/>
      </c>
      <c r="T235" s="22" t="str">
        <f>INDEX(Cronograma!S$5:S$11,MATCH($B235,Premissas!$A$39:$A$45,0))</f>
        <v/>
      </c>
      <c r="U235" s="22" t="str">
        <f>INDEX(Cronograma!T$5:T$11,MATCH($B235,Premissas!$A$39:$A$45,0))</f>
        <v>S</v>
      </c>
      <c r="V235" s="22" t="str">
        <f>INDEX(Cronograma!U$5:U$11,MATCH($B235,Premissas!$A$39:$A$45,0))</f>
        <v/>
      </c>
      <c r="W235" s="22" t="str">
        <f>INDEX(Cronograma!V$5:V$11,MATCH($B235,Premissas!$A$39:$A$45,0))</f>
        <v/>
      </c>
      <c r="X235" s="22" t="str">
        <f>INDEX(Cronograma!W$5:W$11,MATCH($B235,Premissas!$A$39:$A$45,0))</f>
        <v/>
      </c>
      <c r="Y235" s="22" t="str">
        <f>INDEX(Cronograma!X$5:X$11,MATCH($B235,Premissas!$A$39:$A$45,0))</f>
        <v/>
      </c>
      <c r="Z235" s="22" t="str">
        <f>INDEX(Cronograma!Y$5:Y$11,MATCH($B235,Premissas!$A$39:$A$45,0))</f>
        <v/>
      </c>
      <c r="AA235" s="22" t="str">
        <f>INDEX(Cronograma!Z$5:Z$11,MATCH($B235,Premissas!$A$39:$A$45,0))</f>
        <v>B</v>
      </c>
      <c r="AB235" s="22" t="str">
        <f>INDEX(Cronograma!AA$5:AA$11,MATCH($B235,Premissas!$A$39:$A$45,0))</f>
        <v/>
      </c>
      <c r="AC235" s="22" t="str">
        <f>INDEX(Cronograma!AB$5:AB$11,MATCH($B235,Premissas!$A$39:$A$45,0))</f>
        <v/>
      </c>
      <c r="AD235" s="22" t="str">
        <f>INDEX(Cronograma!AC$5:AC$11,MATCH($B235,Premissas!$A$39:$A$45,0))</f>
        <v/>
      </c>
      <c r="AE235" s="22" t="str">
        <f>INDEX(Cronograma!AD$5:AD$11,MATCH($B235,Premissas!$A$39:$A$45,0))</f>
        <v/>
      </c>
      <c r="AF235" s="22" t="str">
        <f>INDEX(Cronograma!AE$5:AE$11,MATCH($B235,Premissas!$A$39:$A$45,0))</f>
        <v/>
      </c>
      <c r="AG235" s="22" t="str">
        <f>INDEX(Cronograma!AF$5:AF$11,MATCH($B235,Premissas!$A$39:$A$45,0))</f>
        <v/>
      </c>
      <c r="AH235" s="22" t="str">
        <f>INDEX(Cronograma!AG$5:AG$11,MATCH($B235,Premissas!$A$39:$A$45,0))</f>
        <v>S</v>
      </c>
      <c r="AI235" s="22" t="str">
        <f>INDEX(Cronograma!AH$5:AH$11,MATCH($B235,Premissas!$A$39:$A$45,0))</f>
        <v/>
      </c>
      <c r="AJ235" s="22" t="str">
        <f>INDEX(Cronograma!AI$5:AI$11,MATCH($B235,Premissas!$A$39:$A$45,0))</f>
        <v/>
      </c>
      <c r="AK235" s="22" t="str">
        <f>INDEX(Cronograma!AJ$5:AJ$11,MATCH($B235,Premissas!$A$39:$A$45,0))</f>
        <v/>
      </c>
      <c r="AL235" s="22" t="str">
        <f>INDEX(Cronograma!AK$5:AK$11,MATCH($B235,Premissas!$A$39:$A$45,0))</f>
        <v/>
      </c>
      <c r="AM235" s="22" t="str">
        <f>INDEX(Cronograma!AL$5:AL$11,MATCH($B235,Premissas!$A$39:$A$45,0))</f>
        <v/>
      </c>
      <c r="AN235" s="22" t="str">
        <f>INDEX(Cronograma!AM$5:AM$11,MATCH($B235,Premissas!$A$39:$A$45,0))</f>
        <v/>
      </c>
      <c r="AO235" s="22" t="str">
        <f>INDEX(Cronograma!AN$5:AN$11,MATCH($B235,Premissas!$A$39:$A$45,0))</f>
        <v/>
      </c>
      <c r="AP235" s="22" t="str">
        <f>INDEX(Cronograma!AO$5:AO$11,MATCH($B235,Premissas!$A$39:$A$45,0))</f>
        <v/>
      </c>
      <c r="AQ235" s="22" t="str">
        <f>INDEX(Cronograma!AP$5:AP$11,MATCH($B235,Premissas!$A$39:$A$45,0))</f>
        <v/>
      </c>
      <c r="AR235" s="22" t="str">
        <f>INDEX(Cronograma!AQ$5:AQ$11,MATCH($B235,Premissas!$A$39:$A$45,0))</f>
        <v/>
      </c>
      <c r="AS235" s="22" t="str">
        <f>INDEX(Cronograma!AR$5:AR$11,MATCH($B235,Premissas!$A$39:$A$45,0))</f>
        <v/>
      </c>
      <c r="AT235" s="22" t="str">
        <f>INDEX(Cronograma!AS$5:AS$11,MATCH($B235,Premissas!$A$39:$A$45,0))</f>
        <v/>
      </c>
      <c r="AU235" s="22" t="str">
        <f>INDEX(Cronograma!AT$5:AT$11,MATCH($B235,Premissas!$A$39:$A$45,0))</f>
        <v/>
      </c>
      <c r="AV235" s="22" t="str">
        <f>INDEX(Cronograma!AU$5:AU$11,MATCH($B235,Premissas!$A$39:$A$45,0))</f>
        <v/>
      </c>
      <c r="AW235" s="22" t="str">
        <f>INDEX(Cronograma!AV$5:AV$11,MATCH($B235,Premissas!$A$39:$A$45,0))</f>
        <v/>
      </c>
      <c r="AX235" s="22" t="str">
        <f>INDEX(Cronograma!AW$5:AW$11,MATCH($B235,Premissas!$A$39:$A$45,0))</f>
        <v/>
      </c>
      <c r="AY235" s="22" t="str">
        <f>INDEX(Cronograma!AX$5:AX$11,MATCH($B235,Premissas!$A$39:$A$45,0))</f>
        <v>A</v>
      </c>
      <c r="AZ235" s="22" t="str">
        <f>INDEX(Cronograma!AY$5:AY$11,MATCH($B235,Premissas!$A$39:$A$45,0))</f>
        <v/>
      </c>
      <c r="BA235" s="22" t="str">
        <f>INDEX(Cronograma!AZ$5:AZ$11,MATCH($B235,Premissas!$A$39:$A$45,0))</f>
        <v/>
      </c>
      <c r="BB235" s="22" t="str">
        <f>INDEX(Cronograma!BA$5:BA$11,MATCH($B235,Premissas!$A$39:$A$45,0))</f>
        <v/>
      </c>
    </row>
    <row r="236" spans="1:54" ht="15" customHeight="1" x14ac:dyDescent="0.4">
      <c r="A236" s="15" t="str">
        <f>Frota!$B236&amp;" — "&amp;Frota!$A236</f>
        <v>Valtra BH-194 4x4 — 105168</v>
      </c>
      <c r="B236" s="16" t="str">
        <f>Frota!$C236</f>
        <v>Trator</v>
      </c>
      <c r="C236" s="22" t="str">
        <f>INDEX(Cronograma!B$5:B$11,MATCH($B236,Premissas!$A$39:$A$45,0))</f>
        <v/>
      </c>
      <c r="D236" s="22" t="str">
        <f>INDEX(Cronograma!C$5:C$11,MATCH($B236,Premissas!$A$39:$A$45,0))</f>
        <v/>
      </c>
      <c r="E236" s="22" t="str">
        <f>INDEX(Cronograma!D$5:D$11,MATCH($B236,Premissas!$A$39:$A$45,0))</f>
        <v/>
      </c>
      <c r="F236" s="22" t="str">
        <f>INDEX(Cronograma!E$5:E$11,MATCH($B236,Premissas!$A$39:$A$45,0))</f>
        <v/>
      </c>
      <c r="G236" s="22" t="str">
        <f>INDEX(Cronograma!F$5:F$11,MATCH($B236,Premissas!$A$39:$A$45,0))</f>
        <v/>
      </c>
      <c r="H236" s="22" t="str">
        <f>INDEX(Cronograma!G$5:G$11,MATCH($B236,Premissas!$A$39:$A$45,0))</f>
        <v/>
      </c>
      <c r="I236" s="22" t="str">
        <f>INDEX(Cronograma!H$5:H$11,MATCH($B236,Premissas!$A$39:$A$45,0))</f>
        <v>S</v>
      </c>
      <c r="J236" s="22" t="str">
        <f>INDEX(Cronograma!I$5:I$11,MATCH($B236,Premissas!$A$39:$A$45,0))</f>
        <v/>
      </c>
      <c r="K236" s="22" t="str">
        <f>INDEX(Cronograma!J$5:J$11,MATCH($B236,Premissas!$A$39:$A$45,0))</f>
        <v/>
      </c>
      <c r="L236" s="22" t="str">
        <f>INDEX(Cronograma!K$5:K$11,MATCH($B236,Premissas!$A$39:$A$45,0))</f>
        <v/>
      </c>
      <c r="M236" s="22" t="str">
        <f>INDEX(Cronograma!L$5:L$11,MATCH($B236,Premissas!$A$39:$A$45,0))</f>
        <v/>
      </c>
      <c r="N236" s="22" t="str">
        <f>INDEX(Cronograma!M$5:M$11,MATCH($B236,Premissas!$A$39:$A$45,0))</f>
        <v/>
      </c>
      <c r="O236" s="22" t="str">
        <f>INDEX(Cronograma!N$5:N$11,MATCH($B236,Premissas!$A$39:$A$45,0))</f>
        <v>A</v>
      </c>
      <c r="P236" s="22" t="str">
        <f>INDEX(Cronograma!O$5:O$11,MATCH($B236,Premissas!$A$39:$A$45,0))</f>
        <v/>
      </c>
      <c r="Q236" s="22" t="str">
        <f>INDEX(Cronograma!P$5:P$11,MATCH($B236,Premissas!$A$39:$A$45,0))</f>
        <v/>
      </c>
      <c r="R236" s="22" t="str">
        <f>INDEX(Cronograma!Q$5:Q$11,MATCH($B236,Premissas!$A$39:$A$45,0))</f>
        <v/>
      </c>
      <c r="S236" s="22" t="str">
        <f>INDEX(Cronograma!R$5:R$11,MATCH($B236,Premissas!$A$39:$A$45,0))</f>
        <v/>
      </c>
      <c r="T236" s="22" t="str">
        <f>INDEX(Cronograma!S$5:S$11,MATCH($B236,Premissas!$A$39:$A$45,0))</f>
        <v/>
      </c>
      <c r="U236" s="22" t="str">
        <f>INDEX(Cronograma!T$5:T$11,MATCH($B236,Premissas!$A$39:$A$45,0))</f>
        <v>S</v>
      </c>
      <c r="V236" s="22" t="str">
        <f>INDEX(Cronograma!U$5:U$11,MATCH($B236,Premissas!$A$39:$A$45,0))</f>
        <v/>
      </c>
      <c r="W236" s="22" t="str">
        <f>INDEX(Cronograma!V$5:V$11,MATCH($B236,Premissas!$A$39:$A$45,0))</f>
        <v/>
      </c>
      <c r="X236" s="22" t="str">
        <f>INDEX(Cronograma!W$5:W$11,MATCH($B236,Premissas!$A$39:$A$45,0))</f>
        <v/>
      </c>
      <c r="Y236" s="22" t="str">
        <f>INDEX(Cronograma!X$5:X$11,MATCH($B236,Premissas!$A$39:$A$45,0))</f>
        <v/>
      </c>
      <c r="Z236" s="22" t="str">
        <f>INDEX(Cronograma!Y$5:Y$11,MATCH($B236,Premissas!$A$39:$A$45,0))</f>
        <v/>
      </c>
      <c r="AA236" s="22" t="str">
        <f>INDEX(Cronograma!Z$5:Z$11,MATCH($B236,Premissas!$A$39:$A$45,0))</f>
        <v>B</v>
      </c>
      <c r="AB236" s="22" t="str">
        <f>INDEX(Cronograma!AA$5:AA$11,MATCH($B236,Premissas!$A$39:$A$45,0))</f>
        <v/>
      </c>
      <c r="AC236" s="22" t="str">
        <f>INDEX(Cronograma!AB$5:AB$11,MATCH($B236,Premissas!$A$39:$A$45,0))</f>
        <v/>
      </c>
      <c r="AD236" s="22" t="str">
        <f>INDEX(Cronograma!AC$5:AC$11,MATCH($B236,Premissas!$A$39:$A$45,0))</f>
        <v/>
      </c>
      <c r="AE236" s="22" t="str">
        <f>INDEX(Cronograma!AD$5:AD$11,MATCH($B236,Premissas!$A$39:$A$45,0))</f>
        <v/>
      </c>
      <c r="AF236" s="22" t="str">
        <f>INDEX(Cronograma!AE$5:AE$11,MATCH($B236,Premissas!$A$39:$A$45,0))</f>
        <v/>
      </c>
      <c r="AG236" s="22" t="str">
        <f>INDEX(Cronograma!AF$5:AF$11,MATCH($B236,Premissas!$A$39:$A$45,0))</f>
        <v/>
      </c>
      <c r="AH236" s="22" t="str">
        <f>INDEX(Cronograma!AG$5:AG$11,MATCH($B236,Premissas!$A$39:$A$45,0))</f>
        <v>S</v>
      </c>
      <c r="AI236" s="22" t="str">
        <f>INDEX(Cronograma!AH$5:AH$11,MATCH($B236,Premissas!$A$39:$A$45,0))</f>
        <v/>
      </c>
      <c r="AJ236" s="22" t="str">
        <f>INDEX(Cronograma!AI$5:AI$11,MATCH($B236,Premissas!$A$39:$A$45,0))</f>
        <v/>
      </c>
      <c r="AK236" s="22" t="str">
        <f>INDEX(Cronograma!AJ$5:AJ$11,MATCH($B236,Premissas!$A$39:$A$45,0))</f>
        <v/>
      </c>
      <c r="AL236" s="22" t="str">
        <f>INDEX(Cronograma!AK$5:AK$11,MATCH($B236,Premissas!$A$39:$A$45,0))</f>
        <v/>
      </c>
      <c r="AM236" s="22" t="str">
        <f>INDEX(Cronograma!AL$5:AL$11,MATCH($B236,Premissas!$A$39:$A$45,0))</f>
        <v/>
      </c>
      <c r="AN236" s="22" t="str">
        <f>INDEX(Cronograma!AM$5:AM$11,MATCH($B236,Premissas!$A$39:$A$45,0))</f>
        <v/>
      </c>
      <c r="AO236" s="22" t="str">
        <f>INDEX(Cronograma!AN$5:AN$11,MATCH($B236,Premissas!$A$39:$A$45,0))</f>
        <v/>
      </c>
      <c r="AP236" s="22" t="str">
        <f>INDEX(Cronograma!AO$5:AO$11,MATCH($B236,Premissas!$A$39:$A$45,0))</f>
        <v/>
      </c>
      <c r="AQ236" s="22" t="str">
        <f>INDEX(Cronograma!AP$5:AP$11,MATCH($B236,Premissas!$A$39:$A$45,0))</f>
        <v/>
      </c>
      <c r="AR236" s="22" t="str">
        <f>INDEX(Cronograma!AQ$5:AQ$11,MATCH($B236,Premissas!$A$39:$A$45,0))</f>
        <v/>
      </c>
      <c r="AS236" s="22" t="str">
        <f>INDEX(Cronograma!AR$5:AR$11,MATCH($B236,Premissas!$A$39:$A$45,0))</f>
        <v/>
      </c>
      <c r="AT236" s="22" t="str">
        <f>INDEX(Cronograma!AS$5:AS$11,MATCH($B236,Premissas!$A$39:$A$45,0))</f>
        <v/>
      </c>
      <c r="AU236" s="22" t="str">
        <f>INDEX(Cronograma!AT$5:AT$11,MATCH($B236,Premissas!$A$39:$A$45,0))</f>
        <v/>
      </c>
      <c r="AV236" s="22" t="str">
        <f>INDEX(Cronograma!AU$5:AU$11,MATCH($B236,Premissas!$A$39:$A$45,0))</f>
        <v/>
      </c>
      <c r="AW236" s="22" t="str">
        <f>INDEX(Cronograma!AV$5:AV$11,MATCH($B236,Premissas!$A$39:$A$45,0))</f>
        <v/>
      </c>
      <c r="AX236" s="22" t="str">
        <f>INDEX(Cronograma!AW$5:AW$11,MATCH($B236,Premissas!$A$39:$A$45,0))</f>
        <v/>
      </c>
      <c r="AY236" s="22" t="str">
        <f>INDEX(Cronograma!AX$5:AX$11,MATCH($B236,Premissas!$A$39:$A$45,0))</f>
        <v>A</v>
      </c>
      <c r="AZ236" s="22" t="str">
        <f>INDEX(Cronograma!AY$5:AY$11,MATCH($B236,Premissas!$A$39:$A$45,0))</f>
        <v/>
      </c>
      <c r="BA236" s="22" t="str">
        <f>INDEX(Cronograma!AZ$5:AZ$11,MATCH($B236,Premissas!$A$39:$A$45,0))</f>
        <v/>
      </c>
      <c r="BB236" s="22" t="str">
        <f>INDEX(Cronograma!BA$5:BA$11,MATCH($B236,Premissas!$A$39:$A$45,0))</f>
        <v/>
      </c>
    </row>
    <row r="237" spans="1:54" ht="15" customHeight="1" x14ac:dyDescent="0.4">
      <c r="A237" s="15" t="str">
        <f>Frota!$B237&amp;" — "&amp;Frota!$A237</f>
        <v>Valtra BH-194 4x4 — 105169</v>
      </c>
      <c r="B237" s="16" t="str">
        <f>Frota!$C237</f>
        <v>Trator</v>
      </c>
      <c r="C237" s="22" t="str">
        <f>INDEX(Cronograma!B$5:B$11,MATCH($B237,Premissas!$A$39:$A$45,0))</f>
        <v/>
      </c>
      <c r="D237" s="22" t="str">
        <f>INDEX(Cronograma!C$5:C$11,MATCH($B237,Premissas!$A$39:$A$45,0))</f>
        <v/>
      </c>
      <c r="E237" s="22" t="str">
        <f>INDEX(Cronograma!D$5:D$11,MATCH($B237,Premissas!$A$39:$A$45,0))</f>
        <v/>
      </c>
      <c r="F237" s="22" t="str">
        <f>INDEX(Cronograma!E$5:E$11,MATCH($B237,Premissas!$A$39:$A$45,0))</f>
        <v/>
      </c>
      <c r="G237" s="22" t="str">
        <f>INDEX(Cronograma!F$5:F$11,MATCH($B237,Premissas!$A$39:$A$45,0))</f>
        <v/>
      </c>
      <c r="H237" s="22" t="str">
        <f>INDEX(Cronograma!G$5:G$11,MATCH($B237,Premissas!$A$39:$A$45,0))</f>
        <v/>
      </c>
      <c r="I237" s="22" t="str">
        <f>INDEX(Cronograma!H$5:H$11,MATCH($B237,Premissas!$A$39:$A$45,0))</f>
        <v>S</v>
      </c>
      <c r="J237" s="22" t="str">
        <f>INDEX(Cronograma!I$5:I$11,MATCH($B237,Premissas!$A$39:$A$45,0))</f>
        <v/>
      </c>
      <c r="K237" s="22" t="str">
        <f>INDEX(Cronograma!J$5:J$11,MATCH($B237,Premissas!$A$39:$A$45,0))</f>
        <v/>
      </c>
      <c r="L237" s="22" t="str">
        <f>INDEX(Cronograma!K$5:K$11,MATCH($B237,Premissas!$A$39:$A$45,0))</f>
        <v/>
      </c>
      <c r="M237" s="22" t="str">
        <f>INDEX(Cronograma!L$5:L$11,MATCH($B237,Premissas!$A$39:$A$45,0))</f>
        <v/>
      </c>
      <c r="N237" s="22" t="str">
        <f>INDEX(Cronograma!M$5:M$11,MATCH($B237,Premissas!$A$39:$A$45,0))</f>
        <v/>
      </c>
      <c r="O237" s="22" t="str">
        <f>INDEX(Cronograma!N$5:N$11,MATCH($B237,Premissas!$A$39:$A$45,0))</f>
        <v>A</v>
      </c>
      <c r="P237" s="22" t="str">
        <f>INDEX(Cronograma!O$5:O$11,MATCH($B237,Premissas!$A$39:$A$45,0))</f>
        <v/>
      </c>
      <c r="Q237" s="22" t="str">
        <f>INDEX(Cronograma!P$5:P$11,MATCH($B237,Premissas!$A$39:$A$45,0))</f>
        <v/>
      </c>
      <c r="R237" s="22" t="str">
        <f>INDEX(Cronograma!Q$5:Q$11,MATCH($B237,Premissas!$A$39:$A$45,0))</f>
        <v/>
      </c>
      <c r="S237" s="22" t="str">
        <f>INDEX(Cronograma!R$5:R$11,MATCH($B237,Premissas!$A$39:$A$45,0))</f>
        <v/>
      </c>
      <c r="T237" s="22" t="str">
        <f>INDEX(Cronograma!S$5:S$11,MATCH($B237,Premissas!$A$39:$A$45,0))</f>
        <v/>
      </c>
      <c r="U237" s="22" t="str">
        <f>INDEX(Cronograma!T$5:T$11,MATCH($B237,Premissas!$A$39:$A$45,0))</f>
        <v>S</v>
      </c>
      <c r="V237" s="22" t="str">
        <f>INDEX(Cronograma!U$5:U$11,MATCH($B237,Premissas!$A$39:$A$45,0))</f>
        <v/>
      </c>
      <c r="W237" s="22" t="str">
        <f>INDEX(Cronograma!V$5:V$11,MATCH($B237,Premissas!$A$39:$A$45,0))</f>
        <v/>
      </c>
      <c r="X237" s="22" t="str">
        <f>INDEX(Cronograma!W$5:W$11,MATCH($B237,Premissas!$A$39:$A$45,0))</f>
        <v/>
      </c>
      <c r="Y237" s="22" t="str">
        <f>INDEX(Cronograma!X$5:X$11,MATCH($B237,Premissas!$A$39:$A$45,0))</f>
        <v/>
      </c>
      <c r="Z237" s="22" t="str">
        <f>INDEX(Cronograma!Y$5:Y$11,MATCH($B237,Premissas!$A$39:$A$45,0))</f>
        <v/>
      </c>
      <c r="AA237" s="22" t="str">
        <f>INDEX(Cronograma!Z$5:Z$11,MATCH($B237,Premissas!$A$39:$A$45,0))</f>
        <v>B</v>
      </c>
      <c r="AB237" s="22" t="str">
        <f>INDEX(Cronograma!AA$5:AA$11,MATCH($B237,Premissas!$A$39:$A$45,0))</f>
        <v/>
      </c>
      <c r="AC237" s="22" t="str">
        <f>INDEX(Cronograma!AB$5:AB$11,MATCH($B237,Premissas!$A$39:$A$45,0))</f>
        <v/>
      </c>
      <c r="AD237" s="22" t="str">
        <f>INDEX(Cronograma!AC$5:AC$11,MATCH($B237,Premissas!$A$39:$A$45,0))</f>
        <v/>
      </c>
      <c r="AE237" s="22" t="str">
        <f>INDEX(Cronograma!AD$5:AD$11,MATCH($B237,Premissas!$A$39:$A$45,0))</f>
        <v/>
      </c>
      <c r="AF237" s="22" t="str">
        <f>INDEX(Cronograma!AE$5:AE$11,MATCH($B237,Premissas!$A$39:$A$45,0))</f>
        <v/>
      </c>
      <c r="AG237" s="22" t="str">
        <f>INDEX(Cronograma!AF$5:AF$11,MATCH($B237,Premissas!$A$39:$A$45,0))</f>
        <v/>
      </c>
      <c r="AH237" s="22" t="str">
        <f>INDEX(Cronograma!AG$5:AG$11,MATCH($B237,Premissas!$A$39:$A$45,0))</f>
        <v>S</v>
      </c>
      <c r="AI237" s="22" t="str">
        <f>INDEX(Cronograma!AH$5:AH$11,MATCH($B237,Premissas!$A$39:$A$45,0))</f>
        <v/>
      </c>
      <c r="AJ237" s="22" t="str">
        <f>INDEX(Cronograma!AI$5:AI$11,MATCH($B237,Premissas!$A$39:$A$45,0))</f>
        <v/>
      </c>
      <c r="AK237" s="22" t="str">
        <f>INDEX(Cronograma!AJ$5:AJ$11,MATCH($B237,Premissas!$A$39:$A$45,0))</f>
        <v/>
      </c>
      <c r="AL237" s="22" t="str">
        <f>INDEX(Cronograma!AK$5:AK$11,MATCH($B237,Premissas!$A$39:$A$45,0))</f>
        <v/>
      </c>
      <c r="AM237" s="22" t="str">
        <f>INDEX(Cronograma!AL$5:AL$11,MATCH($B237,Premissas!$A$39:$A$45,0))</f>
        <v/>
      </c>
      <c r="AN237" s="22" t="str">
        <f>INDEX(Cronograma!AM$5:AM$11,MATCH($B237,Premissas!$A$39:$A$45,0))</f>
        <v/>
      </c>
      <c r="AO237" s="22" t="str">
        <f>INDEX(Cronograma!AN$5:AN$11,MATCH($B237,Premissas!$A$39:$A$45,0))</f>
        <v/>
      </c>
      <c r="AP237" s="22" t="str">
        <f>INDEX(Cronograma!AO$5:AO$11,MATCH($B237,Premissas!$A$39:$A$45,0))</f>
        <v/>
      </c>
      <c r="AQ237" s="22" t="str">
        <f>INDEX(Cronograma!AP$5:AP$11,MATCH($B237,Premissas!$A$39:$A$45,0))</f>
        <v/>
      </c>
      <c r="AR237" s="22" t="str">
        <f>INDEX(Cronograma!AQ$5:AQ$11,MATCH($B237,Premissas!$A$39:$A$45,0))</f>
        <v/>
      </c>
      <c r="AS237" s="22" t="str">
        <f>INDEX(Cronograma!AR$5:AR$11,MATCH($B237,Premissas!$A$39:$A$45,0))</f>
        <v/>
      </c>
      <c r="AT237" s="22" t="str">
        <f>INDEX(Cronograma!AS$5:AS$11,MATCH($B237,Premissas!$A$39:$A$45,0))</f>
        <v/>
      </c>
      <c r="AU237" s="22" t="str">
        <f>INDEX(Cronograma!AT$5:AT$11,MATCH($B237,Premissas!$A$39:$A$45,0))</f>
        <v/>
      </c>
      <c r="AV237" s="22" t="str">
        <f>INDEX(Cronograma!AU$5:AU$11,MATCH($B237,Premissas!$A$39:$A$45,0))</f>
        <v/>
      </c>
      <c r="AW237" s="22" t="str">
        <f>INDEX(Cronograma!AV$5:AV$11,MATCH($B237,Premissas!$A$39:$A$45,0))</f>
        <v/>
      </c>
      <c r="AX237" s="22" t="str">
        <f>INDEX(Cronograma!AW$5:AW$11,MATCH($B237,Premissas!$A$39:$A$45,0))</f>
        <v/>
      </c>
      <c r="AY237" s="22" t="str">
        <f>INDEX(Cronograma!AX$5:AX$11,MATCH($B237,Premissas!$A$39:$A$45,0))</f>
        <v>A</v>
      </c>
      <c r="AZ237" s="22" t="str">
        <f>INDEX(Cronograma!AY$5:AY$11,MATCH($B237,Premissas!$A$39:$A$45,0))</f>
        <v/>
      </c>
      <c r="BA237" s="22" t="str">
        <f>INDEX(Cronograma!AZ$5:AZ$11,MATCH($B237,Premissas!$A$39:$A$45,0))</f>
        <v/>
      </c>
      <c r="BB237" s="22" t="str">
        <f>INDEX(Cronograma!BA$5:BA$11,MATCH($B237,Premissas!$A$39:$A$45,0))</f>
        <v/>
      </c>
    </row>
    <row r="238" spans="1:54" ht="15" customHeight="1" x14ac:dyDescent="0.4">
      <c r="A238" s="15" t="str">
        <f>Frota!$B238&amp;" — "&amp;Frota!$A238</f>
        <v>Valtra BH-194 4x4 — 105170</v>
      </c>
      <c r="B238" s="16" t="str">
        <f>Frota!$C238</f>
        <v>Trator</v>
      </c>
      <c r="C238" s="22" t="str">
        <f>INDEX(Cronograma!B$5:B$11,MATCH($B238,Premissas!$A$39:$A$45,0))</f>
        <v/>
      </c>
      <c r="D238" s="22" t="str">
        <f>INDEX(Cronograma!C$5:C$11,MATCH($B238,Premissas!$A$39:$A$45,0))</f>
        <v/>
      </c>
      <c r="E238" s="22" t="str">
        <f>INDEX(Cronograma!D$5:D$11,MATCH($B238,Premissas!$A$39:$A$45,0))</f>
        <v/>
      </c>
      <c r="F238" s="22" t="str">
        <f>INDEX(Cronograma!E$5:E$11,MATCH($B238,Premissas!$A$39:$A$45,0))</f>
        <v/>
      </c>
      <c r="G238" s="22" t="str">
        <f>INDEX(Cronograma!F$5:F$11,MATCH($B238,Premissas!$A$39:$A$45,0))</f>
        <v/>
      </c>
      <c r="H238" s="22" t="str">
        <f>INDEX(Cronograma!G$5:G$11,MATCH($B238,Premissas!$A$39:$A$45,0))</f>
        <v/>
      </c>
      <c r="I238" s="22" t="str">
        <f>INDEX(Cronograma!H$5:H$11,MATCH($B238,Premissas!$A$39:$A$45,0))</f>
        <v>S</v>
      </c>
      <c r="J238" s="22" t="str">
        <f>INDEX(Cronograma!I$5:I$11,MATCH($B238,Premissas!$A$39:$A$45,0))</f>
        <v/>
      </c>
      <c r="K238" s="22" t="str">
        <f>INDEX(Cronograma!J$5:J$11,MATCH($B238,Premissas!$A$39:$A$45,0))</f>
        <v/>
      </c>
      <c r="L238" s="22" t="str">
        <f>INDEX(Cronograma!K$5:K$11,MATCH($B238,Premissas!$A$39:$A$45,0))</f>
        <v/>
      </c>
      <c r="M238" s="22" t="str">
        <f>INDEX(Cronograma!L$5:L$11,MATCH($B238,Premissas!$A$39:$A$45,0))</f>
        <v/>
      </c>
      <c r="N238" s="22" t="str">
        <f>INDEX(Cronograma!M$5:M$11,MATCH($B238,Premissas!$A$39:$A$45,0))</f>
        <v/>
      </c>
      <c r="O238" s="22" t="str">
        <f>INDEX(Cronograma!N$5:N$11,MATCH($B238,Premissas!$A$39:$A$45,0))</f>
        <v>A</v>
      </c>
      <c r="P238" s="22" t="str">
        <f>INDEX(Cronograma!O$5:O$11,MATCH($B238,Premissas!$A$39:$A$45,0))</f>
        <v/>
      </c>
      <c r="Q238" s="22" t="str">
        <f>INDEX(Cronograma!P$5:P$11,MATCH($B238,Premissas!$A$39:$A$45,0))</f>
        <v/>
      </c>
      <c r="R238" s="22" t="str">
        <f>INDEX(Cronograma!Q$5:Q$11,MATCH($B238,Premissas!$A$39:$A$45,0))</f>
        <v/>
      </c>
      <c r="S238" s="22" t="str">
        <f>INDEX(Cronograma!R$5:R$11,MATCH($B238,Premissas!$A$39:$A$45,0))</f>
        <v/>
      </c>
      <c r="T238" s="22" t="str">
        <f>INDEX(Cronograma!S$5:S$11,MATCH($B238,Premissas!$A$39:$A$45,0))</f>
        <v/>
      </c>
      <c r="U238" s="22" t="str">
        <f>INDEX(Cronograma!T$5:T$11,MATCH($B238,Premissas!$A$39:$A$45,0))</f>
        <v>S</v>
      </c>
      <c r="V238" s="22" t="str">
        <f>INDEX(Cronograma!U$5:U$11,MATCH($B238,Premissas!$A$39:$A$45,0))</f>
        <v/>
      </c>
      <c r="W238" s="22" t="str">
        <f>INDEX(Cronograma!V$5:V$11,MATCH($B238,Premissas!$A$39:$A$45,0))</f>
        <v/>
      </c>
      <c r="X238" s="22" t="str">
        <f>INDEX(Cronograma!W$5:W$11,MATCH($B238,Premissas!$A$39:$A$45,0))</f>
        <v/>
      </c>
      <c r="Y238" s="22" t="str">
        <f>INDEX(Cronograma!X$5:X$11,MATCH($B238,Premissas!$A$39:$A$45,0))</f>
        <v/>
      </c>
      <c r="Z238" s="22" t="str">
        <f>INDEX(Cronograma!Y$5:Y$11,MATCH($B238,Premissas!$A$39:$A$45,0))</f>
        <v/>
      </c>
      <c r="AA238" s="22" t="str">
        <f>INDEX(Cronograma!Z$5:Z$11,MATCH($B238,Premissas!$A$39:$A$45,0))</f>
        <v>B</v>
      </c>
      <c r="AB238" s="22" t="str">
        <f>INDEX(Cronograma!AA$5:AA$11,MATCH($B238,Premissas!$A$39:$A$45,0))</f>
        <v/>
      </c>
      <c r="AC238" s="22" t="str">
        <f>INDEX(Cronograma!AB$5:AB$11,MATCH($B238,Premissas!$A$39:$A$45,0))</f>
        <v/>
      </c>
      <c r="AD238" s="22" t="str">
        <f>INDEX(Cronograma!AC$5:AC$11,MATCH($B238,Premissas!$A$39:$A$45,0))</f>
        <v/>
      </c>
      <c r="AE238" s="22" t="str">
        <f>INDEX(Cronograma!AD$5:AD$11,MATCH($B238,Premissas!$A$39:$A$45,0))</f>
        <v/>
      </c>
      <c r="AF238" s="22" t="str">
        <f>INDEX(Cronograma!AE$5:AE$11,MATCH($B238,Premissas!$A$39:$A$45,0))</f>
        <v/>
      </c>
      <c r="AG238" s="22" t="str">
        <f>INDEX(Cronograma!AF$5:AF$11,MATCH($B238,Premissas!$A$39:$A$45,0))</f>
        <v/>
      </c>
      <c r="AH238" s="22" t="str">
        <f>INDEX(Cronograma!AG$5:AG$11,MATCH($B238,Premissas!$A$39:$A$45,0))</f>
        <v>S</v>
      </c>
      <c r="AI238" s="22" t="str">
        <f>INDEX(Cronograma!AH$5:AH$11,MATCH($B238,Premissas!$A$39:$A$45,0))</f>
        <v/>
      </c>
      <c r="AJ238" s="22" t="str">
        <f>INDEX(Cronograma!AI$5:AI$11,MATCH($B238,Premissas!$A$39:$A$45,0))</f>
        <v/>
      </c>
      <c r="AK238" s="22" t="str">
        <f>INDEX(Cronograma!AJ$5:AJ$11,MATCH($B238,Premissas!$A$39:$A$45,0))</f>
        <v/>
      </c>
      <c r="AL238" s="22" t="str">
        <f>INDEX(Cronograma!AK$5:AK$11,MATCH($B238,Premissas!$A$39:$A$45,0))</f>
        <v/>
      </c>
      <c r="AM238" s="22" t="str">
        <f>INDEX(Cronograma!AL$5:AL$11,MATCH($B238,Premissas!$A$39:$A$45,0))</f>
        <v/>
      </c>
      <c r="AN238" s="22" t="str">
        <f>INDEX(Cronograma!AM$5:AM$11,MATCH($B238,Premissas!$A$39:$A$45,0))</f>
        <v/>
      </c>
      <c r="AO238" s="22" t="str">
        <f>INDEX(Cronograma!AN$5:AN$11,MATCH($B238,Premissas!$A$39:$A$45,0))</f>
        <v/>
      </c>
      <c r="AP238" s="22" t="str">
        <f>INDEX(Cronograma!AO$5:AO$11,MATCH($B238,Premissas!$A$39:$A$45,0))</f>
        <v/>
      </c>
      <c r="AQ238" s="22" t="str">
        <f>INDEX(Cronograma!AP$5:AP$11,MATCH($B238,Premissas!$A$39:$A$45,0))</f>
        <v/>
      </c>
      <c r="AR238" s="22" t="str">
        <f>INDEX(Cronograma!AQ$5:AQ$11,MATCH($B238,Premissas!$A$39:$A$45,0))</f>
        <v/>
      </c>
      <c r="AS238" s="22" t="str">
        <f>INDEX(Cronograma!AR$5:AR$11,MATCH($B238,Premissas!$A$39:$A$45,0))</f>
        <v/>
      </c>
      <c r="AT238" s="22" t="str">
        <f>INDEX(Cronograma!AS$5:AS$11,MATCH($B238,Premissas!$A$39:$A$45,0))</f>
        <v/>
      </c>
      <c r="AU238" s="22" t="str">
        <f>INDEX(Cronograma!AT$5:AT$11,MATCH($B238,Premissas!$A$39:$A$45,0))</f>
        <v/>
      </c>
      <c r="AV238" s="22" t="str">
        <f>INDEX(Cronograma!AU$5:AU$11,MATCH($B238,Premissas!$A$39:$A$45,0))</f>
        <v/>
      </c>
      <c r="AW238" s="22" t="str">
        <f>INDEX(Cronograma!AV$5:AV$11,MATCH($B238,Premissas!$A$39:$A$45,0))</f>
        <v/>
      </c>
      <c r="AX238" s="22" t="str">
        <f>INDEX(Cronograma!AW$5:AW$11,MATCH($B238,Premissas!$A$39:$A$45,0))</f>
        <v/>
      </c>
      <c r="AY238" s="22" t="str">
        <f>INDEX(Cronograma!AX$5:AX$11,MATCH($B238,Premissas!$A$39:$A$45,0))</f>
        <v>A</v>
      </c>
      <c r="AZ238" s="22" t="str">
        <f>INDEX(Cronograma!AY$5:AY$11,MATCH($B238,Premissas!$A$39:$A$45,0))</f>
        <v/>
      </c>
      <c r="BA238" s="22" t="str">
        <f>INDEX(Cronograma!AZ$5:AZ$11,MATCH($B238,Premissas!$A$39:$A$45,0))</f>
        <v/>
      </c>
      <c r="BB238" s="22" t="str">
        <f>INDEX(Cronograma!BA$5:BA$11,MATCH($B238,Premissas!$A$39:$A$45,0))</f>
        <v/>
      </c>
    </row>
    <row r="239" spans="1:54" ht="15" customHeight="1" x14ac:dyDescent="0.4">
      <c r="A239" s="15" t="str">
        <f>Frota!$B239&amp;" — "&amp;Frota!$A239</f>
        <v>Valtra BH-194 4x4 — 105171</v>
      </c>
      <c r="B239" s="16" t="str">
        <f>Frota!$C239</f>
        <v>Trator</v>
      </c>
      <c r="C239" s="22" t="str">
        <f>INDEX(Cronograma!B$5:B$11,MATCH($B239,Premissas!$A$39:$A$45,0))</f>
        <v/>
      </c>
      <c r="D239" s="22" t="str">
        <f>INDEX(Cronograma!C$5:C$11,MATCH($B239,Premissas!$A$39:$A$45,0))</f>
        <v/>
      </c>
      <c r="E239" s="22" t="str">
        <f>INDEX(Cronograma!D$5:D$11,MATCH($B239,Premissas!$A$39:$A$45,0))</f>
        <v/>
      </c>
      <c r="F239" s="22" t="str">
        <f>INDEX(Cronograma!E$5:E$11,MATCH($B239,Premissas!$A$39:$A$45,0))</f>
        <v/>
      </c>
      <c r="G239" s="22" t="str">
        <f>INDEX(Cronograma!F$5:F$11,MATCH($B239,Premissas!$A$39:$A$45,0))</f>
        <v/>
      </c>
      <c r="H239" s="22" t="str">
        <f>INDEX(Cronograma!G$5:G$11,MATCH($B239,Premissas!$A$39:$A$45,0))</f>
        <v/>
      </c>
      <c r="I239" s="22" t="str">
        <f>INDEX(Cronograma!H$5:H$11,MATCH($B239,Premissas!$A$39:$A$45,0))</f>
        <v>S</v>
      </c>
      <c r="J239" s="22" t="str">
        <f>INDEX(Cronograma!I$5:I$11,MATCH($B239,Premissas!$A$39:$A$45,0))</f>
        <v/>
      </c>
      <c r="K239" s="22" t="str">
        <f>INDEX(Cronograma!J$5:J$11,MATCH($B239,Premissas!$A$39:$A$45,0))</f>
        <v/>
      </c>
      <c r="L239" s="22" t="str">
        <f>INDEX(Cronograma!K$5:K$11,MATCH($B239,Premissas!$A$39:$A$45,0))</f>
        <v/>
      </c>
      <c r="M239" s="22" t="str">
        <f>INDEX(Cronograma!L$5:L$11,MATCH($B239,Premissas!$A$39:$A$45,0))</f>
        <v/>
      </c>
      <c r="N239" s="22" t="str">
        <f>INDEX(Cronograma!M$5:M$11,MATCH($B239,Premissas!$A$39:$A$45,0))</f>
        <v/>
      </c>
      <c r="O239" s="22" t="str">
        <f>INDEX(Cronograma!N$5:N$11,MATCH($B239,Premissas!$A$39:$A$45,0))</f>
        <v>A</v>
      </c>
      <c r="P239" s="22" t="str">
        <f>INDEX(Cronograma!O$5:O$11,MATCH($B239,Premissas!$A$39:$A$45,0))</f>
        <v/>
      </c>
      <c r="Q239" s="22" t="str">
        <f>INDEX(Cronograma!P$5:P$11,MATCH($B239,Premissas!$A$39:$A$45,0))</f>
        <v/>
      </c>
      <c r="R239" s="22" t="str">
        <f>INDEX(Cronograma!Q$5:Q$11,MATCH($B239,Premissas!$A$39:$A$45,0))</f>
        <v/>
      </c>
      <c r="S239" s="22" t="str">
        <f>INDEX(Cronograma!R$5:R$11,MATCH($B239,Premissas!$A$39:$A$45,0))</f>
        <v/>
      </c>
      <c r="T239" s="22" t="str">
        <f>INDEX(Cronograma!S$5:S$11,MATCH($B239,Premissas!$A$39:$A$45,0))</f>
        <v/>
      </c>
      <c r="U239" s="22" t="str">
        <f>INDEX(Cronograma!T$5:T$11,MATCH($B239,Premissas!$A$39:$A$45,0))</f>
        <v>S</v>
      </c>
      <c r="V239" s="22" t="str">
        <f>INDEX(Cronograma!U$5:U$11,MATCH($B239,Premissas!$A$39:$A$45,0))</f>
        <v/>
      </c>
      <c r="W239" s="22" t="str">
        <f>INDEX(Cronograma!V$5:V$11,MATCH($B239,Premissas!$A$39:$A$45,0))</f>
        <v/>
      </c>
      <c r="X239" s="22" t="str">
        <f>INDEX(Cronograma!W$5:W$11,MATCH($B239,Premissas!$A$39:$A$45,0))</f>
        <v/>
      </c>
      <c r="Y239" s="22" t="str">
        <f>INDEX(Cronograma!X$5:X$11,MATCH($B239,Premissas!$A$39:$A$45,0))</f>
        <v/>
      </c>
      <c r="Z239" s="22" t="str">
        <f>INDEX(Cronograma!Y$5:Y$11,MATCH($B239,Premissas!$A$39:$A$45,0))</f>
        <v/>
      </c>
      <c r="AA239" s="22" t="str">
        <f>INDEX(Cronograma!Z$5:Z$11,MATCH($B239,Premissas!$A$39:$A$45,0))</f>
        <v>B</v>
      </c>
      <c r="AB239" s="22" t="str">
        <f>INDEX(Cronograma!AA$5:AA$11,MATCH($B239,Premissas!$A$39:$A$45,0))</f>
        <v/>
      </c>
      <c r="AC239" s="22" t="str">
        <f>INDEX(Cronograma!AB$5:AB$11,MATCH($B239,Premissas!$A$39:$A$45,0))</f>
        <v/>
      </c>
      <c r="AD239" s="22" t="str">
        <f>INDEX(Cronograma!AC$5:AC$11,MATCH($B239,Premissas!$A$39:$A$45,0))</f>
        <v/>
      </c>
      <c r="AE239" s="22" t="str">
        <f>INDEX(Cronograma!AD$5:AD$11,MATCH($B239,Premissas!$A$39:$A$45,0))</f>
        <v/>
      </c>
      <c r="AF239" s="22" t="str">
        <f>INDEX(Cronograma!AE$5:AE$11,MATCH($B239,Premissas!$A$39:$A$45,0))</f>
        <v/>
      </c>
      <c r="AG239" s="22" t="str">
        <f>INDEX(Cronograma!AF$5:AF$11,MATCH($B239,Premissas!$A$39:$A$45,0))</f>
        <v/>
      </c>
      <c r="AH239" s="22" t="str">
        <f>INDEX(Cronograma!AG$5:AG$11,MATCH($B239,Premissas!$A$39:$A$45,0))</f>
        <v>S</v>
      </c>
      <c r="AI239" s="22" t="str">
        <f>INDEX(Cronograma!AH$5:AH$11,MATCH($B239,Premissas!$A$39:$A$45,0))</f>
        <v/>
      </c>
      <c r="AJ239" s="22" t="str">
        <f>INDEX(Cronograma!AI$5:AI$11,MATCH($B239,Premissas!$A$39:$A$45,0))</f>
        <v/>
      </c>
      <c r="AK239" s="22" t="str">
        <f>INDEX(Cronograma!AJ$5:AJ$11,MATCH($B239,Premissas!$A$39:$A$45,0))</f>
        <v/>
      </c>
      <c r="AL239" s="22" t="str">
        <f>INDEX(Cronograma!AK$5:AK$11,MATCH($B239,Premissas!$A$39:$A$45,0))</f>
        <v/>
      </c>
      <c r="AM239" s="22" t="str">
        <f>INDEX(Cronograma!AL$5:AL$11,MATCH($B239,Premissas!$A$39:$A$45,0))</f>
        <v/>
      </c>
      <c r="AN239" s="22" t="str">
        <f>INDEX(Cronograma!AM$5:AM$11,MATCH($B239,Premissas!$A$39:$A$45,0))</f>
        <v/>
      </c>
      <c r="AO239" s="22" t="str">
        <f>INDEX(Cronograma!AN$5:AN$11,MATCH($B239,Premissas!$A$39:$A$45,0))</f>
        <v/>
      </c>
      <c r="AP239" s="22" t="str">
        <f>INDEX(Cronograma!AO$5:AO$11,MATCH($B239,Premissas!$A$39:$A$45,0))</f>
        <v/>
      </c>
      <c r="AQ239" s="22" t="str">
        <f>INDEX(Cronograma!AP$5:AP$11,MATCH($B239,Premissas!$A$39:$A$45,0))</f>
        <v/>
      </c>
      <c r="AR239" s="22" t="str">
        <f>INDEX(Cronograma!AQ$5:AQ$11,MATCH($B239,Premissas!$A$39:$A$45,0))</f>
        <v/>
      </c>
      <c r="AS239" s="22" t="str">
        <f>INDEX(Cronograma!AR$5:AR$11,MATCH($B239,Premissas!$A$39:$A$45,0))</f>
        <v/>
      </c>
      <c r="AT239" s="22" t="str">
        <f>INDEX(Cronograma!AS$5:AS$11,MATCH($B239,Premissas!$A$39:$A$45,0))</f>
        <v/>
      </c>
      <c r="AU239" s="22" t="str">
        <f>INDEX(Cronograma!AT$5:AT$11,MATCH($B239,Premissas!$A$39:$A$45,0))</f>
        <v/>
      </c>
      <c r="AV239" s="22" t="str">
        <f>INDEX(Cronograma!AU$5:AU$11,MATCH($B239,Premissas!$A$39:$A$45,0))</f>
        <v/>
      </c>
      <c r="AW239" s="22" t="str">
        <f>INDEX(Cronograma!AV$5:AV$11,MATCH($B239,Premissas!$A$39:$A$45,0))</f>
        <v/>
      </c>
      <c r="AX239" s="22" t="str">
        <f>INDEX(Cronograma!AW$5:AW$11,MATCH($B239,Premissas!$A$39:$A$45,0))</f>
        <v/>
      </c>
      <c r="AY239" s="22" t="str">
        <f>INDEX(Cronograma!AX$5:AX$11,MATCH($B239,Premissas!$A$39:$A$45,0))</f>
        <v>A</v>
      </c>
      <c r="AZ239" s="22" t="str">
        <f>INDEX(Cronograma!AY$5:AY$11,MATCH($B239,Premissas!$A$39:$A$45,0))</f>
        <v/>
      </c>
      <c r="BA239" s="22" t="str">
        <f>INDEX(Cronograma!AZ$5:AZ$11,MATCH($B239,Premissas!$A$39:$A$45,0))</f>
        <v/>
      </c>
      <c r="BB239" s="22" t="str">
        <f>INDEX(Cronograma!BA$5:BA$11,MATCH($B239,Premissas!$A$39:$A$45,0))</f>
        <v/>
      </c>
    </row>
    <row r="240" spans="1:54" ht="15" customHeight="1" x14ac:dyDescent="0.4">
      <c r="A240" s="15" t="str">
        <f>Frota!$B240&amp;" — "&amp;Frota!$A240</f>
        <v>Valtra BH-194 4x4 — 105172</v>
      </c>
      <c r="B240" s="16" t="str">
        <f>Frota!$C240</f>
        <v>Trator</v>
      </c>
      <c r="C240" s="22" t="str">
        <f>INDEX(Cronograma!B$5:B$11,MATCH($B240,Premissas!$A$39:$A$45,0))</f>
        <v/>
      </c>
      <c r="D240" s="22" t="str">
        <f>INDEX(Cronograma!C$5:C$11,MATCH($B240,Premissas!$A$39:$A$45,0))</f>
        <v/>
      </c>
      <c r="E240" s="22" t="str">
        <f>INDEX(Cronograma!D$5:D$11,MATCH($B240,Premissas!$A$39:$A$45,0))</f>
        <v/>
      </c>
      <c r="F240" s="22" t="str">
        <f>INDEX(Cronograma!E$5:E$11,MATCH($B240,Premissas!$A$39:$A$45,0))</f>
        <v/>
      </c>
      <c r="G240" s="22" t="str">
        <f>INDEX(Cronograma!F$5:F$11,MATCH($B240,Premissas!$A$39:$A$45,0))</f>
        <v/>
      </c>
      <c r="H240" s="22" t="str">
        <f>INDEX(Cronograma!G$5:G$11,MATCH($B240,Premissas!$A$39:$A$45,0))</f>
        <v/>
      </c>
      <c r="I240" s="22" t="str">
        <f>INDEX(Cronograma!H$5:H$11,MATCH($B240,Premissas!$A$39:$A$45,0))</f>
        <v>S</v>
      </c>
      <c r="J240" s="22" t="str">
        <f>INDEX(Cronograma!I$5:I$11,MATCH($B240,Premissas!$A$39:$A$45,0))</f>
        <v/>
      </c>
      <c r="K240" s="22" t="str">
        <f>INDEX(Cronograma!J$5:J$11,MATCH($B240,Premissas!$A$39:$A$45,0))</f>
        <v/>
      </c>
      <c r="L240" s="22" t="str">
        <f>INDEX(Cronograma!K$5:K$11,MATCH($B240,Premissas!$A$39:$A$45,0))</f>
        <v/>
      </c>
      <c r="M240" s="22" t="str">
        <f>INDEX(Cronograma!L$5:L$11,MATCH($B240,Premissas!$A$39:$A$45,0))</f>
        <v/>
      </c>
      <c r="N240" s="22" t="str">
        <f>INDEX(Cronograma!M$5:M$11,MATCH($B240,Premissas!$A$39:$A$45,0))</f>
        <v/>
      </c>
      <c r="O240" s="22" t="str">
        <f>INDEX(Cronograma!N$5:N$11,MATCH($B240,Premissas!$A$39:$A$45,0))</f>
        <v>A</v>
      </c>
      <c r="P240" s="22" t="str">
        <f>INDEX(Cronograma!O$5:O$11,MATCH($B240,Premissas!$A$39:$A$45,0))</f>
        <v/>
      </c>
      <c r="Q240" s="22" t="str">
        <f>INDEX(Cronograma!P$5:P$11,MATCH($B240,Premissas!$A$39:$A$45,0))</f>
        <v/>
      </c>
      <c r="R240" s="22" t="str">
        <f>INDEX(Cronograma!Q$5:Q$11,MATCH($B240,Premissas!$A$39:$A$45,0))</f>
        <v/>
      </c>
      <c r="S240" s="22" t="str">
        <f>INDEX(Cronograma!R$5:R$11,MATCH($B240,Premissas!$A$39:$A$45,0))</f>
        <v/>
      </c>
      <c r="T240" s="22" t="str">
        <f>INDEX(Cronograma!S$5:S$11,MATCH($B240,Premissas!$A$39:$A$45,0))</f>
        <v/>
      </c>
      <c r="U240" s="22" t="str">
        <f>INDEX(Cronograma!T$5:T$11,MATCH($B240,Premissas!$A$39:$A$45,0))</f>
        <v>S</v>
      </c>
      <c r="V240" s="22" t="str">
        <f>INDEX(Cronograma!U$5:U$11,MATCH($B240,Premissas!$A$39:$A$45,0))</f>
        <v/>
      </c>
      <c r="W240" s="22" t="str">
        <f>INDEX(Cronograma!V$5:V$11,MATCH($B240,Premissas!$A$39:$A$45,0))</f>
        <v/>
      </c>
      <c r="X240" s="22" t="str">
        <f>INDEX(Cronograma!W$5:W$11,MATCH($B240,Premissas!$A$39:$A$45,0))</f>
        <v/>
      </c>
      <c r="Y240" s="22" t="str">
        <f>INDEX(Cronograma!X$5:X$11,MATCH($B240,Premissas!$A$39:$A$45,0))</f>
        <v/>
      </c>
      <c r="Z240" s="22" t="str">
        <f>INDEX(Cronograma!Y$5:Y$11,MATCH($B240,Premissas!$A$39:$A$45,0))</f>
        <v/>
      </c>
      <c r="AA240" s="22" t="str">
        <f>INDEX(Cronograma!Z$5:Z$11,MATCH($B240,Premissas!$A$39:$A$45,0))</f>
        <v>B</v>
      </c>
      <c r="AB240" s="22" t="str">
        <f>INDEX(Cronograma!AA$5:AA$11,MATCH($B240,Premissas!$A$39:$A$45,0))</f>
        <v/>
      </c>
      <c r="AC240" s="22" t="str">
        <f>INDEX(Cronograma!AB$5:AB$11,MATCH($B240,Premissas!$A$39:$A$45,0))</f>
        <v/>
      </c>
      <c r="AD240" s="22" t="str">
        <f>INDEX(Cronograma!AC$5:AC$11,MATCH($B240,Premissas!$A$39:$A$45,0))</f>
        <v/>
      </c>
      <c r="AE240" s="22" t="str">
        <f>INDEX(Cronograma!AD$5:AD$11,MATCH($B240,Premissas!$A$39:$A$45,0))</f>
        <v/>
      </c>
      <c r="AF240" s="22" t="str">
        <f>INDEX(Cronograma!AE$5:AE$11,MATCH($B240,Premissas!$A$39:$A$45,0))</f>
        <v/>
      </c>
      <c r="AG240" s="22" t="str">
        <f>INDEX(Cronograma!AF$5:AF$11,MATCH($B240,Premissas!$A$39:$A$45,0))</f>
        <v/>
      </c>
      <c r="AH240" s="22" t="str">
        <f>INDEX(Cronograma!AG$5:AG$11,MATCH($B240,Premissas!$A$39:$A$45,0))</f>
        <v>S</v>
      </c>
      <c r="AI240" s="22" t="str">
        <f>INDEX(Cronograma!AH$5:AH$11,MATCH($B240,Premissas!$A$39:$A$45,0))</f>
        <v/>
      </c>
      <c r="AJ240" s="22" t="str">
        <f>INDEX(Cronograma!AI$5:AI$11,MATCH($B240,Premissas!$A$39:$A$45,0))</f>
        <v/>
      </c>
      <c r="AK240" s="22" t="str">
        <f>INDEX(Cronograma!AJ$5:AJ$11,MATCH($B240,Premissas!$A$39:$A$45,0))</f>
        <v/>
      </c>
      <c r="AL240" s="22" t="str">
        <f>INDEX(Cronograma!AK$5:AK$11,MATCH($B240,Premissas!$A$39:$A$45,0))</f>
        <v/>
      </c>
      <c r="AM240" s="22" t="str">
        <f>INDEX(Cronograma!AL$5:AL$11,MATCH($B240,Premissas!$A$39:$A$45,0))</f>
        <v/>
      </c>
      <c r="AN240" s="22" t="str">
        <f>INDEX(Cronograma!AM$5:AM$11,MATCH($B240,Premissas!$A$39:$A$45,0))</f>
        <v/>
      </c>
      <c r="AO240" s="22" t="str">
        <f>INDEX(Cronograma!AN$5:AN$11,MATCH($B240,Premissas!$A$39:$A$45,0))</f>
        <v/>
      </c>
      <c r="AP240" s="22" t="str">
        <f>INDEX(Cronograma!AO$5:AO$11,MATCH($B240,Premissas!$A$39:$A$45,0))</f>
        <v/>
      </c>
      <c r="AQ240" s="22" t="str">
        <f>INDEX(Cronograma!AP$5:AP$11,MATCH($B240,Premissas!$A$39:$A$45,0))</f>
        <v/>
      </c>
      <c r="AR240" s="22" t="str">
        <f>INDEX(Cronograma!AQ$5:AQ$11,MATCH($B240,Premissas!$A$39:$A$45,0))</f>
        <v/>
      </c>
      <c r="AS240" s="22" t="str">
        <f>INDEX(Cronograma!AR$5:AR$11,MATCH($B240,Premissas!$A$39:$A$45,0))</f>
        <v/>
      </c>
      <c r="AT240" s="22" t="str">
        <f>INDEX(Cronograma!AS$5:AS$11,MATCH($B240,Premissas!$A$39:$A$45,0))</f>
        <v/>
      </c>
      <c r="AU240" s="22" t="str">
        <f>INDEX(Cronograma!AT$5:AT$11,MATCH($B240,Premissas!$A$39:$A$45,0))</f>
        <v/>
      </c>
      <c r="AV240" s="22" t="str">
        <f>INDEX(Cronograma!AU$5:AU$11,MATCH($B240,Premissas!$A$39:$A$45,0))</f>
        <v/>
      </c>
      <c r="AW240" s="22" t="str">
        <f>INDEX(Cronograma!AV$5:AV$11,MATCH($B240,Premissas!$A$39:$A$45,0))</f>
        <v/>
      </c>
      <c r="AX240" s="22" t="str">
        <f>INDEX(Cronograma!AW$5:AW$11,MATCH($B240,Premissas!$A$39:$A$45,0))</f>
        <v/>
      </c>
      <c r="AY240" s="22" t="str">
        <f>INDEX(Cronograma!AX$5:AX$11,MATCH($B240,Premissas!$A$39:$A$45,0))</f>
        <v>A</v>
      </c>
      <c r="AZ240" s="22" t="str">
        <f>INDEX(Cronograma!AY$5:AY$11,MATCH($B240,Premissas!$A$39:$A$45,0))</f>
        <v/>
      </c>
      <c r="BA240" s="22" t="str">
        <f>INDEX(Cronograma!AZ$5:AZ$11,MATCH($B240,Premissas!$A$39:$A$45,0))</f>
        <v/>
      </c>
      <c r="BB240" s="22" t="str">
        <f>INDEX(Cronograma!BA$5:BA$11,MATCH($B240,Premissas!$A$39:$A$45,0))</f>
        <v/>
      </c>
    </row>
    <row r="241" spans="1:54" ht="15" customHeight="1" x14ac:dyDescent="0.4">
      <c r="A241" s="15" t="str">
        <f>Frota!$B241&amp;" — "&amp;Frota!$A241</f>
        <v>Valtra BH-194 4x4 — 105173</v>
      </c>
      <c r="B241" s="16" t="str">
        <f>Frota!$C241</f>
        <v>Trator</v>
      </c>
      <c r="C241" s="22" t="str">
        <f>INDEX(Cronograma!B$5:B$11,MATCH($B241,Premissas!$A$39:$A$45,0))</f>
        <v/>
      </c>
      <c r="D241" s="22" t="str">
        <f>INDEX(Cronograma!C$5:C$11,MATCH($B241,Premissas!$A$39:$A$45,0))</f>
        <v/>
      </c>
      <c r="E241" s="22" t="str">
        <f>INDEX(Cronograma!D$5:D$11,MATCH($B241,Premissas!$A$39:$A$45,0))</f>
        <v/>
      </c>
      <c r="F241" s="22" t="str">
        <f>INDEX(Cronograma!E$5:E$11,MATCH($B241,Premissas!$A$39:$A$45,0))</f>
        <v/>
      </c>
      <c r="G241" s="22" t="str">
        <f>INDEX(Cronograma!F$5:F$11,MATCH($B241,Premissas!$A$39:$A$45,0))</f>
        <v/>
      </c>
      <c r="H241" s="22" t="str">
        <f>INDEX(Cronograma!G$5:G$11,MATCH($B241,Premissas!$A$39:$A$45,0))</f>
        <v/>
      </c>
      <c r="I241" s="22" t="str">
        <f>INDEX(Cronograma!H$5:H$11,MATCH($B241,Premissas!$A$39:$A$45,0))</f>
        <v>S</v>
      </c>
      <c r="J241" s="22" t="str">
        <f>INDEX(Cronograma!I$5:I$11,MATCH($B241,Premissas!$A$39:$A$45,0))</f>
        <v/>
      </c>
      <c r="K241" s="22" t="str">
        <f>INDEX(Cronograma!J$5:J$11,MATCH($B241,Premissas!$A$39:$A$45,0))</f>
        <v/>
      </c>
      <c r="L241" s="22" t="str">
        <f>INDEX(Cronograma!K$5:K$11,MATCH($B241,Premissas!$A$39:$A$45,0))</f>
        <v/>
      </c>
      <c r="M241" s="22" t="str">
        <f>INDEX(Cronograma!L$5:L$11,MATCH($B241,Premissas!$A$39:$A$45,0))</f>
        <v/>
      </c>
      <c r="N241" s="22" t="str">
        <f>INDEX(Cronograma!M$5:M$11,MATCH($B241,Premissas!$A$39:$A$45,0))</f>
        <v/>
      </c>
      <c r="O241" s="22" t="str">
        <f>INDEX(Cronograma!N$5:N$11,MATCH($B241,Premissas!$A$39:$A$45,0))</f>
        <v>A</v>
      </c>
      <c r="P241" s="22" t="str">
        <f>INDEX(Cronograma!O$5:O$11,MATCH($B241,Premissas!$A$39:$A$45,0))</f>
        <v/>
      </c>
      <c r="Q241" s="22" t="str">
        <f>INDEX(Cronograma!P$5:P$11,MATCH($B241,Premissas!$A$39:$A$45,0))</f>
        <v/>
      </c>
      <c r="R241" s="22" t="str">
        <f>INDEX(Cronograma!Q$5:Q$11,MATCH($B241,Premissas!$A$39:$A$45,0))</f>
        <v/>
      </c>
      <c r="S241" s="22" t="str">
        <f>INDEX(Cronograma!R$5:R$11,MATCH($B241,Premissas!$A$39:$A$45,0))</f>
        <v/>
      </c>
      <c r="T241" s="22" t="str">
        <f>INDEX(Cronograma!S$5:S$11,MATCH($B241,Premissas!$A$39:$A$45,0))</f>
        <v/>
      </c>
      <c r="U241" s="22" t="str">
        <f>INDEX(Cronograma!T$5:T$11,MATCH($B241,Premissas!$A$39:$A$45,0))</f>
        <v>S</v>
      </c>
      <c r="V241" s="22" t="str">
        <f>INDEX(Cronograma!U$5:U$11,MATCH($B241,Premissas!$A$39:$A$45,0))</f>
        <v/>
      </c>
      <c r="W241" s="22" t="str">
        <f>INDEX(Cronograma!V$5:V$11,MATCH($B241,Premissas!$A$39:$A$45,0))</f>
        <v/>
      </c>
      <c r="X241" s="22" t="str">
        <f>INDEX(Cronograma!W$5:W$11,MATCH($B241,Premissas!$A$39:$A$45,0))</f>
        <v/>
      </c>
      <c r="Y241" s="22" t="str">
        <f>INDEX(Cronograma!X$5:X$11,MATCH($B241,Premissas!$A$39:$A$45,0))</f>
        <v/>
      </c>
      <c r="Z241" s="22" t="str">
        <f>INDEX(Cronograma!Y$5:Y$11,MATCH($B241,Premissas!$A$39:$A$45,0))</f>
        <v/>
      </c>
      <c r="AA241" s="22" t="str">
        <f>INDEX(Cronograma!Z$5:Z$11,MATCH($B241,Premissas!$A$39:$A$45,0))</f>
        <v>B</v>
      </c>
      <c r="AB241" s="22" t="str">
        <f>INDEX(Cronograma!AA$5:AA$11,MATCH($B241,Premissas!$A$39:$A$45,0))</f>
        <v/>
      </c>
      <c r="AC241" s="22" t="str">
        <f>INDEX(Cronograma!AB$5:AB$11,MATCH($B241,Premissas!$A$39:$A$45,0))</f>
        <v/>
      </c>
      <c r="AD241" s="22" t="str">
        <f>INDEX(Cronograma!AC$5:AC$11,MATCH($B241,Premissas!$A$39:$A$45,0))</f>
        <v/>
      </c>
      <c r="AE241" s="22" t="str">
        <f>INDEX(Cronograma!AD$5:AD$11,MATCH($B241,Premissas!$A$39:$A$45,0))</f>
        <v/>
      </c>
      <c r="AF241" s="22" t="str">
        <f>INDEX(Cronograma!AE$5:AE$11,MATCH($B241,Premissas!$A$39:$A$45,0))</f>
        <v/>
      </c>
      <c r="AG241" s="22" t="str">
        <f>INDEX(Cronograma!AF$5:AF$11,MATCH($B241,Premissas!$A$39:$A$45,0))</f>
        <v/>
      </c>
      <c r="AH241" s="22" t="str">
        <f>INDEX(Cronograma!AG$5:AG$11,MATCH($B241,Premissas!$A$39:$A$45,0))</f>
        <v>S</v>
      </c>
      <c r="AI241" s="22" t="str">
        <f>INDEX(Cronograma!AH$5:AH$11,MATCH($B241,Premissas!$A$39:$A$45,0))</f>
        <v/>
      </c>
      <c r="AJ241" s="22" t="str">
        <f>INDEX(Cronograma!AI$5:AI$11,MATCH($B241,Premissas!$A$39:$A$45,0))</f>
        <v/>
      </c>
      <c r="AK241" s="22" t="str">
        <f>INDEX(Cronograma!AJ$5:AJ$11,MATCH($B241,Premissas!$A$39:$A$45,0))</f>
        <v/>
      </c>
      <c r="AL241" s="22" t="str">
        <f>INDEX(Cronograma!AK$5:AK$11,MATCH($B241,Premissas!$A$39:$A$45,0))</f>
        <v/>
      </c>
      <c r="AM241" s="22" t="str">
        <f>INDEX(Cronograma!AL$5:AL$11,MATCH($B241,Premissas!$A$39:$A$45,0))</f>
        <v/>
      </c>
      <c r="AN241" s="22" t="str">
        <f>INDEX(Cronograma!AM$5:AM$11,MATCH($B241,Premissas!$A$39:$A$45,0))</f>
        <v/>
      </c>
      <c r="AO241" s="22" t="str">
        <f>INDEX(Cronograma!AN$5:AN$11,MATCH($B241,Premissas!$A$39:$A$45,0))</f>
        <v/>
      </c>
      <c r="AP241" s="22" t="str">
        <f>INDEX(Cronograma!AO$5:AO$11,MATCH($B241,Premissas!$A$39:$A$45,0))</f>
        <v/>
      </c>
      <c r="AQ241" s="22" t="str">
        <f>INDEX(Cronograma!AP$5:AP$11,MATCH($B241,Premissas!$A$39:$A$45,0))</f>
        <v/>
      </c>
      <c r="AR241" s="22" t="str">
        <f>INDEX(Cronograma!AQ$5:AQ$11,MATCH($B241,Premissas!$A$39:$A$45,0))</f>
        <v/>
      </c>
      <c r="AS241" s="22" t="str">
        <f>INDEX(Cronograma!AR$5:AR$11,MATCH($B241,Premissas!$A$39:$A$45,0))</f>
        <v/>
      </c>
      <c r="AT241" s="22" t="str">
        <f>INDEX(Cronograma!AS$5:AS$11,MATCH($B241,Premissas!$A$39:$A$45,0))</f>
        <v/>
      </c>
      <c r="AU241" s="22" t="str">
        <f>INDEX(Cronograma!AT$5:AT$11,MATCH($B241,Premissas!$A$39:$A$45,0))</f>
        <v/>
      </c>
      <c r="AV241" s="22" t="str">
        <f>INDEX(Cronograma!AU$5:AU$11,MATCH($B241,Premissas!$A$39:$A$45,0))</f>
        <v/>
      </c>
      <c r="AW241" s="22" t="str">
        <f>INDEX(Cronograma!AV$5:AV$11,MATCH($B241,Premissas!$A$39:$A$45,0))</f>
        <v/>
      </c>
      <c r="AX241" s="22" t="str">
        <f>INDEX(Cronograma!AW$5:AW$11,MATCH($B241,Premissas!$A$39:$A$45,0))</f>
        <v/>
      </c>
      <c r="AY241" s="22" t="str">
        <f>INDEX(Cronograma!AX$5:AX$11,MATCH($B241,Premissas!$A$39:$A$45,0))</f>
        <v>A</v>
      </c>
      <c r="AZ241" s="22" t="str">
        <f>INDEX(Cronograma!AY$5:AY$11,MATCH($B241,Premissas!$A$39:$A$45,0))</f>
        <v/>
      </c>
      <c r="BA241" s="22" t="str">
        <f>INDEX(Cronograma!AZ$5:AZ$11,MATCH($B241,Premissas!$A$39:$A$45,0))</f>
        <v/>
      </c>
      <c r="BB241" s="22" t="str">
        <f>INDEX(Cronograma!BA$5:BA$11,MATCH($B241,Premissas!$A$39:$A$45,0))</f>
        <v/>
      </c>
    </row>
    <row r="242" spans="1:54" ht="15" customHeight="1" x14ac:dyDescent="0.4">
      <c r="A242" s="15" t="str">
        <f>Frota!$B242&amp;" — "&amp;Frota!$A242</f>
        <v>Valtra BH-194 4x4 — 105174</v>
      </c>
      <c r="B242" s="16" t="str">
        <f>Frota!$C242</f>
        <v>Trator</v>
      </c>
      <c r="C242" s="22" t="str">
        <f>INDEX(Cronograma!B$5:B$11,MATCH($B242,Premissas!$A$39:$A$45,0))</f>
        <v/>
      </c>
      <c r="D242" s="22" t="str">
        <f>INDEX(Cronograma!C$5:C$11,MATCH($B242,Premissas!$A$39:$A$45,0))</f>
        <v/>
      </c>
      <c r="E242" s="22" t="str">
        <f>INDEX(Cronograma!D$5:D$11,MATCH($B242,Premissas!$A$39:$A$45,0))</f>
        <v/>
      </c>
      <c r="F242" s="22" t="str">
        <f>INDEX(Cronograma!E$5:E$11,MATCH($B242,Premissas!$A$39:$A$45,0))</f>
        <v/>
      </c>
      <c r="G242" s="22" t="str">
        <f>INDEX(Cronograma!F$5:F$11,MATCH($B242,Premissas!$A$39:$A$45,0))</f>
        <v/>
      </c>
      <c r="H242" s="22" t="str">
        <f>INDEX(Cronograma!G$5:G$11,MATCH($B242,Premissas!$A$39:$A$45,0))</f>
        <v/>
      </c>
      <c r="I242" s="22" t="str">
        <f>INDEX(Cronograma!H$5:H$11,MATCH($B242,Premissas!$A$39:$A$45,0))</f>
        <v>S</v>
      </c>
      <c r="J242" s="22" t="str">
        <f>INDEX(Cronograma!I$5:I$11,MATCH($B242,Premissas!$A$39:$A$45,0))</f>
        <v/>
      </c>
      <c r="K242" s="22" t="str">
        <f>INDEX(Cronograma!J$5:J$11,MATCH($B242,Premissas!$A$39:$A$45,0))</f>
        <v/>
      </c>
      <c r="L242" s="22" t="str">
        <f>INDEX(Cronograma!K$5:K$11,MATCH($B242,Premissas!$A$39:$A$45,0))</f>
        <v/>
      </c>
      <c r="M242" s="22" t="str">
        <f>INDEX(Cronograma!L$5:L$11,MATCH($B242,Premissas!$A$39:$A$45,0))</f>
        <v/>
      </c>
      <c r="N242" s="22" t="str">
        <f>INDEX(Cronograma!M$5:M$11,MATCH($B242,Premissas!$A$39:$A$45,0))</f>
        <v/>
      </c>
      <c r="O242" s="22" t="str">
        <f>INDEX(Cronograma!N$5:N$11,MATCH($B242,Premissas!$A$39:$A$45,0))</f>
        <v>A</v>
      </c>
      <c r="P242" s="22" t="str">
        <f>INDEX(Cronograma!O$5:O$11,MATCH($B242,Premissas!$A$39:$A$45,0))</f>
        <v/>
      </c>
      <c r="Q242" s="22" t="str">
        <f>INDEX(Cronograma!P$5:P$11,MATCH($B242,Premissas!$A$39:$A$45,0))</f>
        <v/>
      </c>
      <c r="R242" s="22" t="str">
        <f>INDEX(Cronograma!Q$5:Q$11,MATCH($B242,Premissas!$A$39:$A$45,0))</f>
        <v/>
      </c>
      <c r="S242" s="22" t="str">
        <f>INDEX(Cronograma!R$5:R$11,MATCH($B242,Premissas!$A$39:$A$45,0))</f>
        <v/>
      </c>
      <c r="T242" s="22" t="str">
        <f>INDEX(Cronograma!S$5:S$11,MATCH($B242,Premissas!$A$39:$A$45,0))</f>
        <v/>
      </c>
      <c r="U242" s="22" t="str">
        <f>INDEX(Cronograma!T$5:T$11,MATCH($B242,Premissas!$A$39:$A$45,0))</f>
        <v>S</v>
      </c>
      <c r="V242" s="22" t="str">
        <f>INDEX(Cronograma!U$5:U$11,MATCH($B242,Premissas!$A$39:$A$45,0))</f>
        <v/>
      </c>
      <c r="W242" s="22" t="str">
        <f>INDEX(Cronograma!V$5:V$11,MATCH($B242,Premissas!$A$39:$A$45,0))</f>
        <v/>
      </c>
      <c r="X242" s="22" t="str">
        <f>INDEX(Cronograma!W$5:W$11,MATCH($B242,Premissas!$A$39:$A$45,0))</f>
        <v/>
      </c>
      <c r="Y242" s="22" t="str">
        <f>INDEX(Cronograma!X$5:X$11,MATCH($B242,Premissas!$A$39:$A$45,0))</f>
        <v/>
      </c>
      <c r="Z242" s="22" t="str">
        <f>INDEX(Cronograma!Y$5:Y$11,MATCH($B242,Premissas!$A$39:$A$45,0))</f>
        <v/>
      </c>
      <c r="AA242" s="22" t="str">
        <f>INDEX(Cronograma!Z$5:Z$11,MATCH($B242,Premissas!$A$39:$A$45,0))</f>
        <v>B</v>
      </c>
      <c r="AB242" s="22" t="str">
        <f>INDEX(Cronograma!AA$5:AA$11,MATCH($B242,Premissas!$A$39:$A$45,0))</f>
        <v/>
      </c>
      <c r="AC242" s="22" t="str">
        <f>INDEX(Cronograma!AB$5:AB$11,MATCH($B242,Premissas!$A$39:$A$45,0))</f>
        <v/>
      </c>
      <c r="AD242" s="22" t="str">
        <f>INDEX(Cronograma!AC$5:AC$11,MATCH($B242,Premissas!$A$39:$A$45,0))</f>
        <v/>
      </c>
      <c r="AE242" s="22" t="str">
        <f>INDEX(Cronograma!AD$5:AD$11,MATCH($B242,Premissas!$A$39:$A$45,0))</f>
        <v/>
      </c>
      <c r="AF242" s="22" t="str">
        <f>INDEX(Cronograma!AE$5:AE$11,MATCH($B242,Premissas!$A$39:$A$45,0))</f>
        <v/>
      </c>
      <c r="AG242" s="22" t="str">
        <f>INDEX(Cronograma!AF$5:AF$11,MATCH($B242,Premissas!$A$39:$A$45,0))</f>
        <v/>
      </c>
      <c r="AH242" s="22" t="str">
        <f>INDEX(Cronograma!AG$5:AG$11,MATCH($B242,Premissas!$A$39:$A$45,0))</f>
        <v>S</v>
      </c>
      <c r="AI242" s="22" t="str">
        <f>INDEX(Cronograma!AH$5:AH$11,MATCH($B242,Premissas!$A$39:$A$45,0))</f>
        <v/>
      </c>
      <c r="AJ242" s="22" t="str">
        <f>INDEX(Cronograma!AI$5:AI$11,MATCH($B242,Premissas!$A$39:$A$45,0))</f>
        <v/>
      </c>
      <c r="AK242" s="22" t="str">
        <f>INDEX(Cronograma!AJ$5:AJ$11,MATCH($B242,Premissas!$A$39:$A$45,0))</f>
        <v/>
      </c>
      <c r="AL242" s="22" t="str">
        <f>INDEX(Cronograma!AK$5:AK$11,MATCH($B242,Premissas!$A$39:$A$45,0))</f>
        <v/>
      </c>
      <c r="AM242" s="22" t="str">
        <f>INDEX(Cronograma!AL$5:AL$11,MATCH($B242,Premissas!$A$39:$A$45,0))</f>
        <v/>
      </c>
      <c r="AN242" s="22" t="str">
        <f>INDEX(Cronograma!AM$5:AM$11,MATCH($B242,Premissas!$A$39:$A$45,0))</f>
        <v/>
      </c>
      <c r="AO242" s="22" t="str">
        <f>INDEX(Cronograma!AN$5:AN$11,MATCH($B242,Premissas!$A$39:$A$45,0))</f>
        <v/>
      </c>
      <c r="AP242" s="22" t="str">
        <f>INDEX(Cronograma!AO$5:AO$11,MATCH($B242,Premissas!$A$39:$A$45,0))</f>
        <v/>
      </c>
      <c r="AQ242" s="22" t="str">
        <f>INDEX(Cronograma!AP$5:AP$11,MATCH($B242,Premissas!$A$39:$A$45,0))</f>
        <v/>
      </c>
      <c r="AR242" s="22" t="str">
        <f>INDEX(Cronograma!AQ$5:AQ$11,MATCH($B242,Premissas!$A$39:$A$45,0))</f>
        <v/>
      </c>
      <c r="AS242" s="22" t="str">
        <f>INDEX(Cronograma!AR$5:AR$11,MATCH($B242,Premissas!$A$39:$A$45,0))</f>
        <v/>
      </c>
      <c r="AT242" s="22" t="str">
        <f>INDEX(Cronograma!AS$5:AS$11,MATCH($B242,Premissas!$A$39:$A$45,0))</f>
        <v/>
      </c>
      <c r="AU242" s="22" t="str">
        <f>INDEX(Cronograma!AT$5:AT$11,MATCH($B242,Premissas!$A$39:$A$45,0))</f>
        <v/>
      </c>
      <c r="AV242" s="22" t="str">
        <f>INDEX(Cronograma!AU$5:AU$11,MATCH($B242,Premissas!$A$39:$A$45,0))</f>
        <v/>
      </c>
      <c r="AW242" s="22" t="str">
        <f>INDEX(Cronograma!AV$5:AV$11,MATCH($B242,Premissas!$A$39:$A$45,0))</f>
        <v/>
      </c>
      <c r="AX242" s="22" t="str">
        <f>INDEX(Cronograma!AW$5:AW$11,MATCH($B242,Premissas!$A$39:$A$45,0))</f>
        <v/>
      </c>
      <c r="AY242" s="22" t="str">
        <f>INDEX(Cronograma!AX$5:AX$11,MATCH($B242,Premissas!$A$39:$A$45,0))</f>
        <v>A</v>
      </c>
      <c r="AZ242" s="22" t="str">
        <f>INDEX(Cronograma!AY$5:AY$11,MATCH($B242,Premissas!$A$39:$A$45,0))</f>
        <v/>
      </c>
      <c r="BA242" s="22" t="str">
        <f>INDEX(Cronograma!AZ$5:AZ$11,MATCH($B242,Premissas!$A$39:$A$45,0))</f>
        <v/>
      </c>
      <c r="BB242" s="22" t="str">
        <f>INDEX(Cronograma!BA$5:BA$11,MATCH($B242,Premissas!$A$39:$A$45,0))</f>
        <v/>
      </c>
    </row>
    <row r="243" spans="1:54" ht="15" customHeight="1" x14ac:dyDescent="0.4">
      <c r="A243" s="15" t="str">
        <f>Frota!$B243&amp;" — "&amp;Frota!$A243</f>
        <v>Valtra BM-135 4x4 — 105175</v>
      </c>
      <c r="B243" s="16" t="str">
        <f>Frota!$C243</f>
        <v>Trator</v>
      </c>
      <c r="C243" s="22" t="str">
        <f>INDEX(Cronograma!B$5:B$11,MATCH($B243,Premissas!$A$39:$A$45,0))</f>
        <v/>
      </c>
      <c r="D243" s="22" t="str">
        <f>INDEX(Cronograma!C$5:C$11,MATCH($B243,Premissas!$A$39:$A$45,0))</f>
        <v/>
      </c>
      <c r="E243" s="22" t="str">
        <f>INDEX(Cronograma!D$5:D$11,MATCH($B243,Premissas!$A$39:$A$45,0))</f>
        <v/>
      </c>
      <c r="F243" s="22" t="str">
        <f>INDEX(Cronograma!E$5:E$11,MATCH($B243,Premissas!$A$39:$A$45,0))</f>
        <v/>
      </c>
      <c r="G243" s="22" t="str">
        <f>INDEX(Cronograma!F$5:F$11,MATCH($B243,Premissas!$A$39:$A$45,0))</f>
        <v/>
      </c>
      <c r="H243" s="22" t="str">
        <f>INDEX(Cronograma!G$5:G$11,MATCH($B243,Premissas!$A$39:$A$45,0))</f>
        <v/>
      </c>
      <c r="I243" s="22" t="str">
        <f>INDEX(Cronograma!H$5:H$11,MATCH($B243,Premissas!$A$39:$A$45,0))</f>
        <v>S</v>
      </c>
      <c r="J243" s="22" t="str">
        <f>INDEX(Cronograma!I$5:I$11,MATCH($B243,Premissas!$A$39:$A$45,0))</f>
        <v/>
      </c>
      <c r="K243" s="22" t="str">
        <f>INDEX(Cronograma!J$5:J$11,MATCH($B243,Premissas!$A$39:$A$45,0))</f>
        <v/>
      </c>
      <c r="L243" s="22" t="str">
        <f>INDEX(Cronograma!K$5:K$11,MATCH($B243,Premissas!$A$39:$A$45,0))</f>
        <v/>
      </c>
      <c r="M243" s="22" t="str">
        <f>INDEX(Cronograma!L$5:L$11,MATCH($B243,Premissas!$A$39:$A$45,0))</f>
        <v/>
      </c>
      <c r="N243" s="22" t="str">
        <f>INDEX(Cronograma!M$5:M$11,MATCH($B243,Premissas!$A$39:$A$45,0))</f>
        <v/>
      </c>
      <c r="O243" s="22" t="str">
        <f>INDEX(Cronograma!N$5:N$11,MATCH($B243,Premissas!$A$39:$A$45,0))</f>
        <v>A</v>
      </c>
      <c r="P243" s="22" t="str">
        <f>INDEX(Cronograma!O$5:O$11,MATCH($B243,Premissas!$A$39:$A$45,0))</f>
        <v/>
      </c>
      <c r="Q243" s="22" t="str">
        <f>INDEX(Cronograma!P$5:P$11,MATCH($B243,Premissas!$A$39:$A$45,0))</f>
        <v/>
      </c>
      <c r="R243" s="22" t="str">
        <f>INDEX(Cronograma!Q$5:Q$11,MATCH($B243,Premissas!$A$39:$A$45,0))</f>
        <v/>
      </c>
      <c r="S243" s="22" t="str">
        <f>INDEX(Cronograma!R$5:R$11,MATCH($B243,Premissas!$A$39:$A$45,0))</f>
        <v/>
      </c>
      <c r="T243" s="22" t="str">
        <f>INDEX(Cronograma!S$5:S$11,MATCH($B243,Premissas!$A$39:$A$45,0))</f>
        <v/>
      </c>
      <c r="U243" s="22" t="str">
        <f>INDEX(Cronograma!T$5:T$11,MATCH($B243,Premissas!$A$39:$A$45,0))</f>
        <v>S</v>
      </c>
      <c r="V243" s="22" t="str">
        <f>INDEX(Cronograma!U$5:U$11,MATCH($B243,Premissas!$A$39:$A$45,0))</f>
        <v/>
      </c>
      <c r="W243" s="22" t="str">
        <f>INDEX(Cronograma!V$5:V$11,MATCH($B243,Premissas!$A$39:$A$45,0))</f>
        <v/>
      </c>
      <c r="X243" s="22" t="str">
        <f>INDEX(Cronograma!W$5:W$11,MATCH($B243,Premissas!$A$39:$A$45,0))</f>
        <v/>
      </c>
      <c r="Y243" s="22" t="str">
        <f>INDEX(Cronograma!X$5:X$11,MATCH($B243,Premissas!$A$39:$A$45,0))</f>
        <v/>
      </c>
      <c r="Z243" s="22" t="str">
        <f>INDEX(Cronograma!Y$5:Y$11,MATCH($B243,Premissas!$A$39:$A$45,0))</f>
        <v/>
      </c>
      <c r="AA243" s="22" t="str">
        <f>INDEX(Cronograma!Z$5:Z$11,MATCH($B243,Premissas!$A$39:$A$45,0))</f>
        <v>B</v>
      </c>
      <c r="AB243" s="22" t="str">
        <f>INDEX(Cronograma!AA$5:AA$11,MATCH($B243,Premissas!$A$39:$A$45,0))</f>
        <v/>
      </c>
      <c r="AC243" s="22" t="str">
        <f>INDEX(Cronograma!AB$5:AB$11,MATCH($B243,Premissas!$A$39:$A$45,0))</f>
        <v/>
      </c>
      <c r="AD243" s="22" t="str">
        <f>INDEX(Cronograma!AC$5:AC$11,MATCH($B243,Premissas!$A$39:$A$45,0))</f>
        <v/>
      </c>
      <c r="AE243" s="22" t="str">
        <f>INDEX(Cronograma!AD$5:AD$11,MATCH($B243,Premissas!$A$39:$A$45,0))</f>
        <v/>
      </c>
      <c r="AF243" s="22" t="str">
        <f>INDEX(Cronograma!AE$5:AE$11,MATCH($B243,Premissas!$A$39:$A$45,0))</f>
        <v/>
      </c>
      <c r="AG243" s="22" t="str">
        <f>INDEX(Cronograma!AF$5:AF$11,MATCH($B243,Premissas!$A$39:$A$45,0))</f>
        <v/>
      </c>
      <c r="AH243" s="22" t="str">
        <f>INDEX(Cronograma!AG$5:AG$11,MATCH($B243,Premissas!$A$39:$A$45,0))</f>
        <v>S</v>
      </c>
      <c r="AI243" s="22" t="str">
        <f>INDEX(Cronograma!AH$5:AH$11,MATCH($B243,Premissas!$A$39:$A$45,0))</f>
        <v/>
      </c>
      <c r="AJ243" s="22" t="str">
        <f>INDEX(Cronograma!AI$5:AI$11,MATCH($B243,Premissas!$A$39:$A$45,0))</f>
        <v/>
      </c>
      <c r="AK243" s="22" t="str">
        <f>INDEX(Cronograma!AJ$5:AJ$11,MATCH($B243,Premissas!$A$39:$A$45,0))</f>
        <v/>
      </c>
      <c r="AL243" s="22" t="str">
        <f>INDEX(Cronograma!AK$5:AK$11,MATCH($B243,Premissas!$A$39:$A$45,0))</f>
        <v/>
      </c>
      <c r="AM243" s="22" t="str">
        <f>INDEX(Cronograma!AL$5:AL$11,MATCH($B243,Premissas!$A$39:$A$45,0))</f>
        <v/>
      </c>
      <c r="AN243" s="22" t="str">
        <f>INDEX(Cronograma!AM$5:AM$11,MATCH($B243,Premissas!$A$39:$A$45,0))</f>
        <v/>
      </c>
      <c r="AO243" s="22" t="str">
        <f>INDEX(Cronograma!AN$5:AN$11,MATCH($B243,Premissas!$A$39:$A$45,0))</f>
        <v/>
      </c>
      <c r="AP243" s="22" t="str">
        <f>INDEX(Cronograma!AO$5:AO$11,MATCH($B243,Premissas!$A$39:$A$45,0))</f>
        <v/>
      </c>
      <c r="AQ243" s="22" t="str">
        <f>INDEX(Cronograma!AP$5:AP$11,MATCH($B243,Premissas!$A$39:$A$45,0))</f>
        <v/>
      </c>
      <c r="AR243" s="22" t="str">
        <f>INDEX(Cronograma!AQ$5:AQ$11,MATCH($B243,Premissas!$A$39:$A$45,0))</f>
        <v/>
      </c>
      <c r="AS243" s="22" t="str">
        <f>INDEX(Cronograma!AR$5:AR$11,MATCH($B243,Premissas!$A$39:$A$45,0))</f>
        <v/>
      </c>
      <c r="AT243" s="22" t="str">
        <f>INDEX(Cronograma!AS$5:AS$11,MATCH($B243,Premissas!$A$39:$A$45,0))</f>
        <v/>
      </c>
      <c r="AU243" s="22" t="str">
        <f>INDEX(Cronograma!AT$5:AT$11,MATCH($B243,Premissas!$A$39:$A$45,0))</f>
        <v/>
      </c>
      <c r="AV243" s="22" t="str">
        <f>INDEX(Cronograma!AU$5:AU$11,MATCH($B243,Premissas!$A$39:$A$45,0))</f>
        <v/>
      </c>
      <c r="AW243" s="22" t="str">
        <f>INDEX(Cronograma!AV$5:AV$11,MATCH($B243,Premissas!$A$39:$A$45,0))</f>
        <v/>
      </c>
      <c r="AX243" s="22" t="str">
        <f>INDEX(Cronograma!AW$5:AW$11,MATCH($B243,Premissas!$A$39:$A$45,0))</f>
        <v/>
      </c>
      <c r="AY243" s="22" t="str">
        <f>INDEX(Cronograma!AX$5:AX$11,MATCH($B243,Premissas!$A$39:$A$45,0))</f>
        <v>A</v>
      </c>
      <c r="AZ243" s="22" t="str">
        <f>INDEX(Cronograma!AY$5:AY$11,MATCH($B243,Premissas!$A$39:$A$45,0))</f>
        <v/>
      </c>
      <c r="BA243" s="22" t="str">
        <f>INDEX(Cronograma!AZ$5:AZ$11,MATCH($B243,Premissas!$A$39:$A$45,0))</f>
        <v/>
      </c>
      <c r="BB243" s="22" t="str">
        <f>INDEX(Cronograma!BA$5:BA$11,MATCH($B243,Premissas!$A$39:$A$45,0))</f>
        <v/>
      </c>
    </row>
    <row r="244" spans="1:54" ht="15" customHeight="1" x14ac:dyDescent="0.4">
      <c r="A244" s="15" t="str">
        <f>Frota!$B244&amp;" — "&amp;Frota!$A244</f>
        <v>Valtra BM-135 4x4 — 105176</v>
      </c>
      <c r="B244" s="16" t="str">
        <f>Frota!$C244</f>
        <v>Trator</v>
      </c>
      <c r="C244" s="22" t="str">
        <f>INDEX(Cronograma!B$5:B$11,MATCH($B244,Premissas!$A$39:$A$45,0))</f>
        <v/>
      </c>
      <c r="D244" s="22" t="str">
        <f>INDEX(Cronograma!C$5:C$11,MATCH($B244,Premissas!$A$39:$A$45,0))</f>
        <v/>
      </c>
      <c r="E244" s="22" t="str">
        <f>INDEX(Cronograma!D$5:D$11,MATCH($B244,Premissas!$A$39:$A$45,0))</f>
        <v/>
      </c>
      <c r="F244" s="22" t="str">
        <f>INDEX(Cronograma!E$5:E$11,MATCH($B244,Premissas!$A$39:$A$45,0))</f>
        <v/>
      </c>
      <c r="G244" s="22" t="str">
        <f>INDEX(Cronograma!F$5:F$11,MATCH($B244,Premissas!$A$39:$A$45,0))</f>
        <v/>
      </c>
      <c r="H244" s="22" t="str">
        <f>INDEX(Cronograma!G$5:G$11,MATCH($B244,Premissas!$A$39:$A$45,0))</f>
        <v/>
      </c>
      <c r="I244" s="22" t="str">
        <f>INDEX(Cronograma!H$5:H$11,MATCH($B244,Premissas!$A$39:$A$45,0))</f>
        <v>S</v>
      </c>
      <c r="J244" s="22" t="str">
        <f>INDEX(Cronograma!I$5:I$11,MATCH($B244,Premissas!$A$39:$A$45,0))</f>
        <v/>
      </c>
      <c r="K244" s="22" t="str">
        <f>INDEX(Cronograma!J$5:J$11,MATCH($B244,Premissas!$A$39:$A$45,0))</f>
        <v/>
      </c>
      <c r="L244" s="22" t="str">
        <f>INDEX(Cronograma!K$5:K$11,MATCH($B244,Premissas!$A$39:$A$45,0))</f>
        <v/>
      </c>
      <c r="M244" s="22" t="str">
        <f>INDEX(Cronograma!L$5:L$11,MATCH($B244,Premissas!$A$39:$A$45,0))</f>
        <v/>
      </c>
      <c r="N244" s="22" t="str">
        <f>INDEX(Cronograma!M$5:M$11,MATCH($B244,Premissas!$A$39:$A$45,0))</f>
        <v/>
      </c>
      <c r="O244" s="22" t="str">
        <f>INDEX(Cronograma!N$5:N$11,MATCH($B244,Premissas!$A$39:$A$45,0))</f>
        <v>A</v>
      </c>
      <c r="P244" s="22" t="str">
        <f>INDEX(Cronograma!O$5:O$11,MATCH($B244,Premissas!$A$39:$A$45,0))</f>
        <v/>
      </c>
      <c r="Q244" s="22" t="str">
        <f>INDEX(Cronograma!P$5:P$11,MATCH($B244,Premissas!$A$39:$A$45,0))</f>
        <v/>
      </c>
      <c r="R244" s="22" t="str">
        <f>INDEX(Cronograma!Q$5:Q$11,MATCH($B244,Premissas!$A$39:$A$45,0))</f>
        <v/>
      </c>
      <c r="S244" s="22" t="str">
        <f>INDEX(Cronograma!R$5:R$11,MATCH($B244,Premissas!$A$39:$A$45,0))</f>
        <v/>
      </c>
      <c r="T244" s="22" t="str">
        <f>INDEX(Cronograma!S$5:S$11,MATCH($B244,Premissas!$A$39:$A$45,0))</f>
        <v/>
      </c>
      <c r="U244" s="22" t="str">
        <f>INDEX(Cronograma!T$5:T$11,MATCH($B244,Premissas!$A$39:$A$45,0))</f>
        <v>S</v>
      </c>
      <c r="V244" s="22" t="str">
        <f>INDEX(Cronograma!U$5:U$11,MATCH($B244,Premissas!$A$39:$A$45,0))</f>
        <v/>
      </c>
      <c r="W244" s="22" t="str">
        <f>INDEX(Cronograma!V$5:V$11,MATCH($B244,Premissas!$A$39:$A$45,0))</f>
        <v/>
      </c>
      <c r="X244" s="22" t="str">
        <f>INDEX(Cronograma!W$5:W$11,MATCH($B244,Premissas!$A$39:$A$45,0))</f>
        <v/>
      </c>
      <c r="Y244" s="22" t="str">
        <f>INDEX(Cronograma!X$5:X$11,MATCH($B244,Premissas!$A$39:$A$45,0))</f>
        <v/>
      </c>
      <c r="Z244" s="22" t="str">
        <f>INDEX(Cronograma!Y$5:Y$11,MATCH($B244,Premissas!$A$39:$A$45,0))</f>
        <v/>
      </c>
      <c r="AA244" s="22" t="str">
        <f>INDEX(Cronograma!Z$5:Z$11,MATCH($B244,Premissas!$A$39:$A$45,0))</f>
        <v>B</v>
      </c>
      <c r="AB244" s="22" t="str">
        <f>INDEX(Cronograma!AA$5:AA$11,MATCH($B244,Premissas!$A$39:$A$45,0))</f>
        <v/>
      </c>
      <c r="AC244" s="22" t="str">
        <f>INDEX(Cronograma!AB$5:AB$11,MATCH($B244,Premissas!$A$39:$A$45,0))</f>
        <v/>
      </c>
      <c r="AD244" s="22" t="str">
        <f>INDEX(Cronograma!AC$5:AC$11,MATCH($B244,Premissas!$A$39:$A$45,0))</f>
        <v/>
      </c>
      <c r="AE244" s="22" t="str">
        <f>INDEX(Cronograma!AD$5:AD$11,MATCH($B244,Premissas!$A$39:$A$45,0))</f>
        <v/>
      </c>
      <c r="AF244" s="22" t="str">
        <f>INDEX(Cronograma!AE$5:AE$11,MATCH($B244,Premissas!$A$39:$A$45,0))</f>
        <v/>
      </c>
      <c r="AG244" s="22" t="str">
        <f>INDEX(Cronograma!AF$5:AF$11,MATCH($B244,Premissas!$A$39:$A$45,0))</f>
        <v/>
      </c>
      <c r="AH244" s="22" t="str">
        <f>INDEX(Cronograma!AG$5:AG$11,MATCH($B244,Premissas!$A$39:$A$45,0))</f>
        <v>S</v>
      </c>
      <c r="AI244" s="22" t="str">
        <f>INDEX(Cronograma!AH$5:AH$11,MATCH($B244,Premissas!$A$39:$A$45,0))</f>
        <v/>
      </c>
      <c r="AJ244" s="22" t="str">
        <f>INDEX(Cronograma!AI$5:AI$11,MATCH($B244,Premissas!$A$39:$A$45,0))</f>
        <v/>
      </c>
      <c r="AK244" s="22" t="str">
        <f>INDEX(Cronograma!AJ$5:AJ$11,MATCH($B244,Premissas!$A$39:$A$45,0))</f>
        <v/>
      </c>
      <c r="AL244" s="22" t="str">
        <f>INDEX(Cronograma!AK$5:AK$11,MATCH($B244,Premissas!$A$39:$A$45,0))</f>
        <v/>
      </c>
      <c r="AM244" s="22" t="str">
        <f>INDEX(Cronograma!AL$5:AL$11,MATCH($B244,Premissas!$A$39:$A$45,0))</f>
        <v/>
      </c>
      <c r="AN244" s="22" t="str">
        <f>INDEX(Cronograma!AM$5:AM$11,MATCH($B244,Premissas!$A$39:$A$45,0))</f>
        <v/>
      </c>
      <c r="AO244" s="22" t="str">
        <f>INDEX(Cronograma!AN$5:AN$11,MATCH($B244,Premissas!$A$39:$A$45,0))</f>
        <v/>
      </c>
      <c r="AP244" s="22" t="str">
        <f>INDEX(Cronograma!AO$5:AO$11,MATCH($B244,Premissas!$A$39:$A$45,0))</f>
        <v/>
      </c>
      <c r="AQ244" s="22" t="str">
        <f>INDEX(Cronograma!AP$5:AP$11,MATCH($B244,Premissas!$A$39:$A$45,0))</f>
        <v/>
      </c>
      <c r="AR244" s="22" t="str">
        <f>INDEX(Cronograma!AQ$5:AQ$11,MATCH($B244,Premissas!$A$39:$A$45,0))</f>
        <v/>
      </c>
      <c r="AS244" s="22" t="str">
        <f>INDEX(Cronograma!AR$5:AR$11,MATCH($B244,Premissas!$A$39:$A$45,0))</f>
        <v/>
      </c>
      <c r="AT244" s="22" t="str">
        <f>INDEX(Cronograma!AS$5:AS$11,MATCH($B244,Premissas!$A$39:$A$45,0))</f>
        <v/>
      </c>
      <c r="AU244" s="22" t="str">
        <f>INDEX(Cronograma!AT$5:AT$11,MATCH($B244,Premissas!$A$39:$A$45,0))</f>
        <v/>
      </c>
      <c r="AV244" s="22" t="str">
        <f>INDEX(Cronograma!AU$5:AU$11,MATCH($B244,Premissas!$A$39:$A$45,0))</f>
        <v/>
      </c>
      <c r="AW244" s="22" t="str">
        <f>INDEX(Cronograma!AV$5:AV$11,MATCH($B244,Premissas!$A$39:$A$45,0))</f>
        <v/>
      </c>
      <c r="AX244" s="22" t="str">
        <f>INDEX(Cronograma!AW$5:AW$11,MATCH($B244,Premissas!$A$39:$A$45,0))</f>
        <v/>
      </c>
      <c r="AY244" s="22" t="str">
        <f>INDEX(Cronograma!AX$5:AX$11,MATCH($B244,Premissas!$A$39:$A$45,0))</f>
        <v>A</v>
      </c>
      <c r="AZ244" s="22" t="str">
        <f>INDEX(Cronograma!AY$5:AY$11,MATCH($B244,Premissas!$A$39:$A$45,0))</f>
        <v/>
      </c>
      <c r="BA244" s="22" t="str">
        <f>INDEX(Cronograma!AZ$5:AZ$11,MATCH($B244,Premissas!$A$39:$A$45,0))</f>
        <v/>
      </c>
      <c r="BB244" s="22" t="str">
        <f>INDEX(Cronograma!BA$5:BA$11,MATCH($B244,Premissas!$A$39:$A$45,0))</f>
        <v/>
      </c>
    </row>
    <row r="245" spans="1:54" ht="15" customHeight="1" x14ac:dyDescent="0.4">
      <c r="A245" s="15" t="str">
        <f>Frota!$B245&amp;" — "&amp;Frota!$A245</f>
        <v>Valtra BM-135 4x4 — 105177</v>
      </c>
      <c r="B245" s="16" t="str">
        <f>Frota!$C245</f>
        <v>Trator</v>
      </c>
      <c r="C245" s="22" t="str">
        <f>INDEX(Cronograma!B$5:B$11,MATCH($B245,Premissas!$A$39:$A$45,0))</f>
        <v/>
      </c>
      <c r="D245" s="22" t="str">
        <f>INDEX(Cronograma!C$5:C$11,MATCH($B245,Premissas!$A$39:$A$45,0))</f>
        <v/>
      </c>
      <c r="E245" s="22" t="str">
        <f>INDEX(Cronograma!D$5:D$11,MATCH($B245,Premissas!$A$39:$A$45,0))</f>
        <v/>
      </c>
      <c r="F245" s="22" t="str">
        <f>INDEX(Cronograma!E$5:E$11,MATCH($B245,Premissas!$A$39:$A$45,0))</f>
        <v/>
      </c>
      <c r="G245" s="22" t="str">
        <f>INDEX(Cronograma!F$5:F$11,MATCH($B245,Premissas!$A$39:$A$45,0))</f>
        <v/>
      </c>
      <c r="H245" s="22" t="str">
        <f>INDEX(Cronograma!G$5:G$11,MATCH($B245,Premissas!$A$39:$A$45,0))</f>
        <v/>
      </c>
      <c r="I245" s="22" t="str">
        <f>INDEX(Cronograma!H$5:H$11,MATCH($B245,Premissas!$A$39:$A$45,0))</f>
        <v>S</v>
      </c>
      <c r="J245" s="22" t="str">
        <f>INDEX(Cronograma!I$5:I$11,MATCH($B245,Premissas!$A$39:$A$45,0))</f>
        <v/>
      </c>
      <c r="K245" s="22" t="str">
        <f>INDEX(Cronograma!J$5:J$11,MATCH($B245,Premissas!$A$39:$A$45,0))</f>
        <v/>
      </c>
      <c r="L245" s="22" t="str">
        <f>INDEX(Cronograma!K$5:K$11,MATCH($B245,Premissas!$A$39:$A$45,0))</f>
        <v/>
      </c>
      <c r="M245" s="22" t="str">
        <f>INDEX(Cronograma!L$5:L$11,MATCH($B245,Premissas!$A$39:$A$45,0))</f>
        <v/>
      </c>
      <c r="N245" s="22" t="str">
        <f>INDEX(Cronograma!M$5:M$11,MATCH($B245,Premissas!$A$39:$A$45,0))</f>
        <v/>
      </c>
      <c r="O245" s="22" t="str">
        <f>INDEX(Cronograma!N$5:N$11,MATCH($B245,Premissas!$A$39:$A$45,0))</f>
        <v>A</v>
      </c>
      <c r="P245" s="22" t="str">
        <f>INDEX(Cronograma!O$5:O$11,MATCH($B245,Premissas!$A$39:$A$45,0))</f>
        <v/>
      </c>
      <c r="Q245" s="22" t="str">
        <f>INDEX(Cronograma!P$5:P$11,MATCH($B245,Premissas!$A$39:$A$45,0))</f>
        <v/>
      </c>
      <c r="R245" s="22" t="str">
        <f>INDEX(Cronograma!Q$5:Q$11,MATCH($B245,Premissas!$A$39:$A$45,0))</f>
        <v/>
      </c>
      <c r="S245" s="22" t="str">
        <f>INDEX(Cronograma!R$5:R$11,MATCH($B245,Premissas!$A$39:$A$45,0))</f>
        <v/>
      </c>
      <c r="T245" s="22" t="str">
        <f>INDEX(Cronograma!S$5:S$11,MATCH($B245,Premissas!$A$39:$A$45,0))</f>
        <v/>
      </c>
      <c r="U245" s="22" t="str">
        <f>INDEX(Cronograma!T$5:T$11,MATCH($B245,Premissas!$A$39:$A$45,0))</f>
        <v>S</v>
      </c>
      <c r="V245" s="22" t="str">
        <f>INDEX(Cronograma!U$5:U$11,MATCH($B245,Premissas!$A$39:$A$45,0))</f>
        <v/>
      </c>
      <c r="W245" s="22" t="str">
        <f>INDEX(Cronograma!V$5:V$11,MATCH($B245,Premissas!$A$39:$A$45,0))</f>
        <v/>
      </c>
      <c r="X245" s="22" t="str">
        <f>INDEX(Cronograma!W$5:W$11,MATCH($B245,Premissas!$A$39:$A$45,0))</f>
        <v/>
      </c>
      <c r="Y245" s="22" t="str">
        <f>INDEX(Cronograma!X$5:X$11,MATCH($B245,Premissas!$A$39:$A$45,0))</f>
        <v/>
      </c>
      <c r="Z245" s="22" t="str">
        <f>INDEX(Cronograma!Y$5:Y$11,MATCH($B245,Premissas!$A$39:$A$45,0))</f>
        <v/>
      </c>
      <c r="AA245" s="22" t="str">
        <f>INDEX(Cronograma!Z$5:Z$11,MATCH($B245,Premissas!$A$39:$A$45,0))</f>
        <v>B</v>
      </c>
      <c r="AB245" s="22" t="str">
        <f>INDEX(Cronograma!AA$5:AA$11,MATCH($B245,Premissas!$A$39:$A$45,0))</f>
        <v/>
      </c>
      <c r="AC245" s="22" t="str">
        <f>INDEX(Cronograma!AB$5:AB$11,MATCH($B245,Premissas!$A$39:$A$45,0))</f>
        <v/>
      </c>
      <c r="AD245" s="22" t="str">
        <f>INDEX(Cronograma!AC$5:AC$11,MATCH($B245,Premissas!$A$39:$A$45,0))</f>
        <v/>
      </c>
      <c r="AE245" s="22" t="str">
        <f>INDEX(Cronograma!AD$5:AD$11,MATCH($B245,Premissas!$A$39:$A$45,0))</f>
        <v/>
      </c>
      <c r="AF245" s="22" t="str">
        <f>INDEX(Cronograma!AE$5:AE$11,MATCH($B245,Premissas!$A$39:$A$45,0))</f>
        <v/>
      </c>
      <c r="AG245" s="22" t="str">
        <f>INDEX(Cronograma!AF$5:AF$11,MATCH($B245,Premissas!$A$39:$A$45,0))</f>
        <v/>
      </c>
      <c r="AH245" s="22" t="str">
        <f>INDEX(Cronograma!AG$5:AG$11,MATCH($B245,Premissas!$A$39:$A$45,0))</f>
        <v>S</v>
      </c>
      <c r="AI245" s="22" t="str">
        <f>INDEX(Cronograma!AH$5:AH$11,MATCH($B245,Premissas!$A$39:$A$45,0))</f>
        <v/>
      </c>
      <c r="AJ245" s="22" t="str">
        <f>INDEX(Cronograma!AI$5:AI$11,MATCH($B245,Premissas!$A$39:$A$45,0))</f>
        <v/>
      </c>
      <c r="AK245" s="22" t="str">
        <f>INDEX(Cronograma!AJ$5:AJ$11,MATCH($B245,Premissas!$A$39:$A$45,0))</f>
        <v/>
      </c>
      <c r="AL245" s="22" t="str">
        <f>INDEX(Cronograma!AK$5:AK$11,MATCH($B245,Premissas!$A$39:$A$45,0))</f>
        <v/>
      </c>
      <c r="AM245" s="22" t="str">
        <f>INDEX(Cronograma!AL$5:AL$11,MATCH($B245,Premissas!$A$39:$A$45,0))</f>
        <v/>
      </c>
      <c r="AN245" s="22" t="str">
        <f>INDEX(Cronograma!AM$5:AM$11,MATCH($B245,Premissas!$A$39:$A$45,0))</f>
        <v/>
      </c>
      <c r="AO245" s="22" t="str">
        <f>INDEX(Cronograma!AN$5:AN$11,MATCH($B245,Premissas!$A$39:$A$45,0))</f>
        <v/>
      </c>
      <c r="AP245" s="22" t="str">
        <f>INDEX(Cronograma!AO$5:AO$11,MATCH($B245,Premissas!$A$39:$A$45,0))</f>
        <v/>
      </c>
      <c r="AQ245" s="22" t="str">
        <f>INDEX(Cronograma!AP$5:AP$11,MATCH($B245,Premissas!$A$39:$A$45,0))</f>
        <v/>
      </c>
      <c r="AR245" s="22" t="str">
        <f>INDEX(Cronograma!AQ$5:AQ$11,MATCH($B245,Premissas!$A$39:$A$45,0))</f>
        <v/>
      </c>
      <c r="AS245" s="22" t="str">
        <f>INDEX(Cronograma!AR$5:AR$11,MATCH($B245,Premissas!$A$39:$A$45,0))</f>
        <v/>
      </c>
      <c r="AT245" s="22" t="str">
        <f>INDEX(Cronograma!AS$5:AS$11,MATCH($B245,Premissas!$A$39:$A$45,0))</f>
        <v/>
      </c>
      <c r="AU245" s="22" t="str">
        <f>INDEX(Cronograma!AT$5:AT$11,MATCH($B245,Premissas!$A$39:$A$45,0))</f>
        <v/>
      </c>
      <c r="AV245" s="22" t="str">
        <f>INDEX(Cronograma!AU$5:AU$11,MATCH($B245,Premissas!$A$39:$A$45,0))</f>
        <v/>
      </c>
      <c r="AW245" s="22" t="str">
        <f>INDEX(Cronograma!AV$5:AV$11,MATCH($B245,Premissas!$A$39:$A$45,0))</f>
        <v/>
      </c>
      <c r="AX245" s="22" t="str">
        <f>INDEX(Cronograma!AW$5:AW$11,MATCH($B245,Premissas!$A$39:$A$45,0))</f>
        <v/>
      </c>
      <c r="AY245" s="22" t="str">
        <f>INDEX(Cronograma!AX$5:AX$11,MATCH($B245,Premissas!$A$39:$A$45,0))</f>
        <v>A</v>
      </c>
      <c r="AZ245" s="22" t="str">
        <f>INDEX(Cronograma!AY$5:AY$11,MATCH($B245,Premissas!$A$39:$A$45,0))</f>
        <v/>
      </c>
      <c r="BA245" s="22" t="str">
        <f>INDEX(Cronograma!AZ$5:AZ$11,MATCH($B245,Premissas!$A$39:$A$45,0))</f>
        <v/>
      </c>
      <c r="BB245" s="22" t="str">
        <f>INDEX(Cronograma!BA$5:BA$11,MATCH($B245,Premissas!$A$39:$A$45,0))</f>
        <v/>
      </c>
    </row>
    <row r="246" spans="1:54" ht="15" customHeight="1" x14ac:dyDescent="0.4">
      <c r="A246" s="15" t="str">
        <f>Frota!$B246&amp;" — "&amp;Frota!$A246</f>
        <v>Valtra BM-135 4x4 — 105178</v>
      </c>
      <c r="B246" s="16" t="str">
        <f>Frota!$C246</f>
        <v>Trator</v>
      </c>
      <c r="C246" s="22" t="str">
        <f>INDEX(Cronograma!B$5:B$11,MATCH($B246,Premissas!$A$39:$A$45,0))</f>
        <v/>
      </c>
      <c r="D246" s="22" t="str">
        <f>INDEX(Cronograma!C$5:C$11,MATCH($B246,Premissas!$A$39:$A$45,0))</f>
        <v/>
      </c>
      <c r="E246" s="22" t="str">
        <f>INDEX(Cronograma!D$5:D$11,MATCH($B246,Premissas!$A$39:$A$45,0))</f>
        <v/>
      </c>
      <c r="F246" s="22" t="str">
        <f>INDEX(Cronograma!E$5:E$11,MATCH($B246,Premissas!$A$39:$A$45,0))</f>
        <v/>
      </c>
      <c r="G246" s="22" t="str">
        <f>INDEX(Cronograma!F$5:F$11,MATCH($B246,Premissas!$A$39:$A$45,0))</f>
        <v/>
      </c>
      <c r="H246" s="22" t="str">
        <f>INDEX(Cronograma!G$5:G$11,MATCH($B246,Premissas!$A$39:$A$45,0))</f>
        <v/>
      </c>
      <c r="I246" s="22" t="str">
        <f>INDEX(Cronograma!H$5:H$11,MATCH($B246,Premissas!$A$39:$A$45,0))</f>
        <v>S</v>
      </c>
      <c r="J246" s="22" t="str">
        <f>INDEX(Cronograma!I$5:I$11,MATCH($B246,Premissas!$A$39:$A$45,0))</f>
        <v/>
      </c>
      <c r="K246" s="22" t="str">
        <f>INDEX(Cronograma!J$5:J$11,MATCH($B246,Premissas!$A$39:$A$45,0))</f>
        <v/>
      </c>
      <c r="L246" s="22" t="str">
        <f>INDEX(Cronograma!K$5:K$11,MATCH($B246,Premissas!$A$39:$A$45,0))</f>
        <v/>
      </c>
      <c r="M246" s="22" t="str">
        <f>INDEX(Cronograma!L$5:L$11,MATCH($B246,Premissas!$A$39:$A$45,0))</f>
        <v/>
      </c>
      <c r="N246" s="22" t="str">
        <f>INDEX(Cronograma!M$5:M$11,MATCH($B246,Premissas!$A$39:$A$45,0))</f>
        <v/>
      </c>
      <c r="O246" s="22" t="str">
        <f>INDEX(Cronograma!N$5:N$11,MATCH($B246,Premissas!$A$39:$A$45,0))</f>
        <v>A</v>
      </c>
      <c r="P246" s="22" t="str">
        <f>INDEX(Cronograma!O$5:O$11,MATCH($B246,Premissas!$A$39:$A$45,0))</f>
        <v/>
      </c>
      <c r="Q246" s="22" t="str">
        <f>INDEX(Cronograma!P$5:P$11,MATCH($B246,Premissas!$A$39:$A$45,0))</f>
        <v/>
      </c>
      <c r="R246" s="22" t="str">
        <f>INDEX(Cronograma!Q$5:Q$11,MATCH($B246,Premissas!$A$39:$A$45,0))</f>
        <v/>
      </c>
      <c r="S246" s="22" t="str">
        <f>INDEX(Cronograma!R$5:R$11,MATCH($B246,Premissas!$A$39:$A$45,0))</f>
        <v/>
      </c>
      <c r="T246" s="22" t="str">
        <f>INDEX(Cronograma!S$5:S$11,MATCH($B246,Premissas!$A$39:$A$45,0))</f>
        <v/>
      </c>
      <c r="U246" s="22" t="str">
        <f>INDEX(Cronograma!T$5:T$11,MATCH($B246,Premissas!$A$39:$A$45,0))</f>
        <v>S</v>
      </c>
      <c r="V246" s="22" t="str">
        <f>INDEX(Cronograma!U$5:U$11,MATCH($B246,Premissas!$A$39:$A$45,0))</f>
        <v/>
      </c>
      <c r="W246" s="22" t="str">
        <f>INDEX(Cronograma!V$5:V$11,MATCH($B246,Premissas!$A$39:$A$45,0))</f>
        <v/>
      </c>
      <c r="X246" s="22" t="str">
        <f>INDEX(Cronograma!W$5:W$11,MATCH($B246,Premissas!$A$39:$A$45,0))</f>
        <v/>
      </c>
      <c r="Y246" s="22" t="str">
        <f>INDEX(Cronograma!X$5:X$11,MATCH($B246,Premissas!$A$39:$A$45,0))</f>
        <v/>
      </c>
      <c r="Z246" s="22" t="str">
        <f>INDEX(Cronograma!Y$5:Y$11,MATCH($B246,Premissas!$A$39:$A$45,0))</f>
        <v/>
      </c>
      <c r="AA246" s="22" t="str">
        <f>INDEX(Cronograma!Z$5:Z$11,MATCH($B246,Premissas!$A$39:$A$45,0))</f>
        <v>B</v>
      </c>
      <c r="AB246" s="22" t="str">
        <f>INDEX(Cronograma!AA$5:AA$11,MATCH($B246,Premissas!$A$39:$A$45,0))</f>
        <v/>
      </c>
      <c r="AC246" s="22" t="str">
        <f>INDEX(Cronograma!AB$5:AB$11,MATCH($B246,Premissas!$A$39:$A$45,0))</f>
        <v/>
      </c>
      <c r="AD246" s="22" t="str">
        <f>INDEX(Cronograma!AC$5:AC$11,MATCH($B246,Premissas!$A$39:$A$45,0))</f>
        <v/>
      </c>
      <c r="AE246" s="22" t="str">
        <f>INDEX(Cronograma!AD$5:AD$11,MATCH($B246,Premissas!$A$39:$A$45,0))</f>
        <v/>
      </c>
      <c r="AF246" s="22" t="str">
        <f>INDEX(Cronograma!AE$5:AE$11,MATCH($B246,Premissas!$A$39:$A$45,0))</f>
        <v/>
      </c>
      <c r="AG246" s="22" t="str">
        <f>INDEX(Cronograma!AF$5:AF$11,MATCH($B246,Premissas!$A$39:$A$45,0))</f>
        <v/>
      </c>
      <c r="AH246" s="22" t="str">
        <f>INDEX(Cronograma!AG$5:AG$11,MATCH($B246,Premissas!$A$39:$A$45,0))</f>
        <v>S</v>
      </c>
      <c r="AI246" s="22" t="str">
        <f>INDEX(Cronograma!AH$5:AH$11,MATCH($B246,Premissas!$A$39:$A$45,0))</f>
        <v/>
      </c>
      <c r="AJ246" s="22" t="str">
        <f>INDEX(Cronograma!AI$5:AI$11,MATCH($B246,Premissas!$A$39:$A$45,0))</f>
        <v/>
      </c>
      <c r="AK246" s="22" t="str">
        <f>INDEX(Cronograma!AJ$5:AJ$11,MATCH($B246,Premissas!$A$39:$A$45,0))</f>
        <v/>
      </c>
      <c r="AL246" s="22" t="str">
        <f>INDEX(Cronograma!AK$5:AK$11,MATCH($B246,Premissas!$A$39:$A$45,0))</f>
        <v/>
      </c>
      <c r="AM246" s="22" t="str">
        <f>INDEX(Cronograma!AL$5:AL$11,MATCH($B246,Premissas!$A$39:$A$45,0))</f>
        <v/>
      </c>
      <c r="AN246" s="22" t="str">
        <f>INDEX(Cronograma!AM$5:AM$11,MATCH($B246,Premissas!$A$39:$A$45,0))</f>
        <v/>
      </c>
      <c r="AO246" s="22" t="str">
        <f>INDEX(Cronograma!AN$5:AN$11,MATCH($B246,Premissas!$A$39:$A$45,0))</f>
        <v/>
      </c>
      <c r="AP246" s="22" t="str">
        <f>INDEX(Cronograma!AO$5:AO$11,MATCH($B246,Premissas!$A$39:$A$45,0))</f>
        <v/>
      </c>
      <c r="AQ246" s="22" t="str">
        <f>INDEX(Cronograma!AP$5:AP$11,MATCH($B246,Premissas!$A$39:$A$45,0))</f>
        <v/>
      </c>
      <c r="AR246" s="22" t="str">
        <f>INDEX(Cronograma!AQ$5:AQ$11,MATCH($B246,Premissas!$A$39:$A$45,0))</f>
        <v/>
      </c>
      <c r="AS246" s="22" t="str">
        <f>INDEX(Cronograma!AR$5:AR$11,MATCH($B246,Premissas!$A$39:$A$45,0))</f>
        <v/>
      </c>
      <c r="AT246" s="22" t="str">
        <f>INDEX(Cronograma!AS$5:AS$11,MATCH($B246,Premissas!$A$39:$A$45,0))</f>
        <v/>
      </c>
      <c r="AU246" s="22" t="str">
        <f>INDEX(Cronograma!AT$5:AT$11,MATCH($B246,Premissas!$A$39:$A$45,0))</f>
        <v/>
      </c>
      <c r="AV246" s="22" t="str">
        <f>INDEX(Cronograma!AU$5:AU$11,MATCH($B246,Premissas!$A$39:$A$45,0))</f>
        <v/>
      </c>
      <c r="AW246" s="22" t="str">
        <f>INDEX(Cronograma!AV$5:AV$11,MATCH($B246,Premissas!$A$39:$A$45,0))</f>
        <v/>
      </c>
      <c r="AX246" s="22" t="str">
        <f>INDEX(Cronograma!AW$5:AW$11,MATCH($B246,Premissas!$A$39:$A$45,0))</f>
        <v/>
      </c>
      <c r="AY246" s="22" t="str">
        <f>INDEX(Cronograma!AX$5:AX$11,MATCH($B246,Premissas!$A$39:$A$45,0))</f>
        <v>A</v>
      </c>
      <c r="AZ246" s="22" t="str">
        <f>INDEX(Cronograma!AY$5:AY$11,MATCH($B246,Premissas!$A$39:$A$45,0))</f>
        <v/>
      </c>
      <c r="BA246" s="22" t="str">
        <f>INDEX(Cronograma!AZ$5:AZ$11,MATCH($B246,Premissas!$A$39:$A$45,0))</f>
        <v/>
      </c>
      <c r="BB246" s="22" t="str">
        <f>INDEX(Cronograma!BA$5:BA$11,MATCH($B246,Premissas!$A$39:$A$45,0))</f>
        <v/>
      </c>
    </row>
    <row r="247" spans="1:54" ht="15" customHeight="1" x14ac:dyDescent="0.4">
      <c r="A247" s="15" t="str">
        <f>Frota!$B247&amp;" — "&amp;Frota!$A247</f>
        <v>Valtra BM-135 4x4 — 105179</v>
      </c>
      <c r="B247" s="16" t="str">
        <f>Frota!$C247</f>
        <v>Trator</v>
      </c>
      <c r="C247" s="22" t="str">
        <f>INDEX(Cronograma!B$5:B$11,MATCH($B247,Premissas!$A$39:$A$45,0))</f>
        <v/>
      </c>
      <c r="D247" s="22" t="str">
        <f>INDEX(Cronograma!C$5:C$11,MATCH($B247,Premissas!$A$39:$A$45,0))</f>
        <v/>
      </c>
      <c r="E247" s="22" t="str">
        <f>INDEX(Cronograma!D$5:D$11,MATCH($B247,Premissas!$A$39:$A$45,0))</f>
        <v/>
      </c>
      <c r="F247" s="22" t="str">
        <f>INDEX(Cronograma!E$5:E$11,MATCH($B247,Premissas!$A$39:$A$45,0))</f>
        <v/>
      </c>
      <c r="G247" s="22" t="str">
        <f>INDEX(Cronograma!F$5:F$11,MATCH($B247,Premissas!$A$39:$A$45,0))</f>
        <v/>
      </c>
      <c r="H247" s="22" t="str">
        <f>INDEX(Cronograma!G$5:G$11,MATCH($B247,Premissas!$A$39:$A$45,0))</f>
        <v/>
      </c>
      <c r="I247" s="22" t="str">
        <f>INDEX(Cronograma!H$5:H$11,MATCH($B247,Premissas!$A$39:$A$45,0))</f>
        <v>S</v>
      </c>
      <c r="J247" s="22" t="str">
        <f>INDEX(Cronograma!I$5:I$11,MATCH($B247,Premissas!$A$39:$A$45,0))</f>
        <v/>
      </c>
      <c r="K247" s="22" t="str">
        <f>INDEX(Cronograma!J$5:J$11,MATCH($B247,Premissas!$A$39:$A$45,0))</f>
        <v/>
      </c>
      <c r="L247" s="22" t="str">
        <f>INDEX(Cronograma!K$5:K$11,MATCH($B247,Premissas!$A$39:$A$45,0))</f>
        <v/>
      </c>
      <c r="M247" s="22" t="str">
        <f>INDEX(Cronograma!L$5:L$11,MATCH($B247,Premissas!$A$39:$A$45,0))</f>
        <v/>
      </c>
      <c r="N247" s="22" t="str">
        <f>INDEX(Cronograma!M$5:M$11,MATCH($B247,Premissas!$A$39:$A$45,0))</f>
        <v/>
      </c>
      <c r="O247" s="22" t="str">
        <f>INDEX(Cronograma!N$5:N$11,MATCH($B247,Premissas!$A$39:$A$45,0))</f>
        <v>A</v>
      </c>
      <c r="P247" s="22" t="str">
        <f>INDEX(Cronograma!O$5:O$11,MATCH($B247,Premissas!$A$39:$A$45,0))</f>
        <v/>
      </c>
      <c r="Q247" s="22" t="str">
        <f>INDEX(Cronograma!P$5:P$11,MATCH($B247,Premissas!$A$39:$A$45,0))</f>
        <v/>
      </c>
      <c r="R247" s="22" t="str">
        <f>INDEX(Cronograma!Q$5:Q$11,MATCH($B247,Premissas!$A$39:$A$45,0))</f>
        <v/>
      </c>
      <c r="S247" s="22" t="str">
        <f>INDEX(Cronograma!R$5:R$11,MATCH($B247,Premissas!$A$39:$A$45,0))</f>
        <v/>
      </c>
      <c r="T247" s="22" t="str">
        <f>INDEX(Cronograma!S$5:S$11,MATCH($B247,Premissas!$A$39:$A$45,0))</f>
        <v/>
      </c>
      <c r="U247" s="22" t="str">
        <f>INDEX(Cronograma!T$5:T$11,MATCH($B247,Premissas!$A$39:$A$45,0))</f>
        <v>S</v>
      </c>
      <c r="V247" s="22" t="str">
        <f>INDEX(Cronograma!U$5:U$11,MATCH($B247,Premissas!$A$39:$A$45,0))</f>
        <v/>
      </c>
      <c r="W247" s="22" t="str">
        <f>INDEX(Cronograma!V$5:V$11,MATCH($B247,Premissas!$A$39:$A$45,0))</f>
        <v/>
      </c>
      <c r="X247" s="22" t="str">
        <f>INDEX(Cronograma!W$5:W$11,MATCH($B247,Premissas!$A$39:$A$45,0))</f>
        <v/>
      </c>
      <c r="Y247" s="22" t="str">
        <f>INDEX(Cronograma!X$5:X$11,MATCH($B247,Premissas!$A$39:$A$45,0))</f>
        <v/>
      </c>
      <c r="Z247" s="22" t="str">
        <f>INDEX(Cronograma!Y$5:Y$11,MATCH($B247,Premissas!$A$39:$A$45,0))</f>
        <v/>
      </c>
      <c r="AA247" s="22" t="str">
        <f>INDEX(Cronograma!Z$5:Z$11,MATCH($B247,Premissas!$A$39:$A$45,0))</f>
        <v>B</v>
      </c>
      <c r="AB247" s="22" t="str">
        <f>INDEX(Cronograma!AA$5:AA$11,MATCH($B247,Premissas!$A$39:$A$45,0))</f>
        <v/>
      </c>
      <c r="AC247" s="22" t="str">
        <f>INDEX(Cronograma!AB$5:AB$11,MATCH($B247,Premissas!$A$39:$A$45,0))</f>
        <v/>
      </c>
      <c r="AD247" s="22" t="str">
        <f>INDEX(Cronograma!AC$5:AC$11,MATCH($B247,Premissas!$A$39:$A$45,0))</f>
        <v/>
      </c>
      <c r="AE247" s="22" t="str">
        <f>INDEX(Cronograma!AD$5:AD$11,MATCH($B247,Premissas!$A$39:$A$45,0))</f>
        <v/>
      </c>
      <c r="AF247" s="22" t="str">
        <f>INDEX(Cronograma!AE$5:AE$11,MATCH($B247,Premissas!$A$39:$A$45,0))</f>
        <v/>
      </c>
      <c r="AG247" s="22" t="str">
        <f>INDEX(Cronograma!AF$5:AF$11,MATCH($B247,Premissas!$A$39:$A$45,0))</f>
        <v/>
      </c>
      <c r="AH247" s="22" t="str">
        <f>INDEX(Cronograma!AG$5:AG$11,MATCH($B247,Premissas!$A$39:$A$45,0))</f>
        <v>S</v>
      </c>
      <c r="AI247" s="22" t="str">
        <f>INDEX(Cronograma!AH$5:AH$11,MATCH($B247,Premissas!$A$39:$A$45,0))</f>
        <v/>
      </c>
      <c r="AJ247" s="22" t="str">
        <f>INDEX(Cronograma!AI$5:AI$11,MATCH($B247,Premissas!$A$39:$A$45,0))</f>
        <v/>
      </c>
      <c r="AK247" s="22" t="str">
        <f>INDEX(Cronograma!AJ$5:AJ$11,MATCH($B247,Premissas!$A$39:$A$45,0))</f>
        <v/>
      </c>
      <c r="AL247" s="22" t="str">
        <f>INDEX(Cronograma!AK$5:AK$11,MATCH($B247,Premissas!$A$39:$A$45,0))</f>
        <v/>
      </c>
      <c r="AM247" s="22" t="str">
        <f>INDEX(Cronograma!AL$5:AL$11,MATCH($B247,Premissas!$A$39:$A$45,0))</f>
        <v/>
      </c>
      <c r="AN247" s="22" t="str">
        <f>INDEX(Cronograma!AM$5:AM$11,MATCH($B247,Premissas!$A$39:$A$45,0))</f>
        <v/>
      </c>
      <c r="AO247" s="22" t="str">
        <f>INDEX(Cronograma!AN$5:AN$11,MATCH($B247,Premissas!$A$39:$A$45,0))</f>
        <v/>
      </c>
      <c r="AP247" s="22" t="str">
        <f>INDEX(Cronograma!AO$5:AO$11,MATCH($B247,Premissas!$A$39:$A$45,0))</f>
        <v/>
      </c>
      <c r="AQ247" s="22" t="str">
        <f>INDEX(Cronograma!AP$5:AP$11,MATCH($B247,Premissas!$A$39:$A$45,0))</f>
        <v/>
      </c>
      <c r="AR247" s="22" t="str">
        <f>INDEX(Cronograma!AQ$5:AQ$11,MATCH($B247,Premissas!$A$39:$A$45,0))</f>
        <v/>
      </c>
      <c r="AS247" s="22" t="str">
        <f>INDEX(Cronograma!AR$5:AR$11,MATCH($B247,Premissas!$A$39:$A$45,0))</f>
        <v/>
      </c>
      <c r="AT247" s="22" t="str">
        <f>INDEX(Cronograma!AS$5:AS$11,MATCH($B247,Premissas!$A$39:$A$45,0))</f>
        <v/>
      </c>
      <c r="AU247" s="22" t="str">
        <f>INDEX(Cronograma!AT$5:AT$11,MATCH($B247,Premissas!$A$39:$A$45,0))</f>
        <v/>
      </c>
      <c r="AV247" s="22" t="str">
        <f>INDEX(Cronograma!AU$5:AU$11,MATCH($B247,Premissas!$A$39:$A$45,0))</f>
        <v/>
      </c>
      <c r="AW247" s="22" t="str">
        <f>INDEX(Cronograma!AV$5:AV$11,MATCH($B247,Premissas!$A$39:$A$45,0))</f>
        <v/>
      </c>
      <c r="AX247" s="22" t="str">
        <f>INDEX(Cronograma!AW$5:AW$11,MATCH($B247,Premissas!$A$39:$A$45,0))</f>
        <v/>
      </c>
      <c r="AY247" s="22" t="str">
        <f>INDEX(Cronograma!AX$5:AX$11,MATCH($B247,Premissas!$A$39:$A$45,0))</f>
        <v>A</v>
      </c>
      <c r="AZ247" s="22" t="str">
        <f>INDEX(Cronograma!AY$5:AY$11,MATCH($B247,Premissas!$A$39:$A$45,0))</f>
        <v/>
      </c>
      <c r="BA247" s="22" t="str">
        <f>INDEX(Cronograma!AZ$5:AZ$11,MATCH($B247,Premissas!$A$39:$A$45,0))</f>
        <v/>
      </c>
      <c r="BB247" s="22" t="str">
        <f>INDEX(Cronograma!BA$5:BA$11,MATCH($B247,Premissas!$A$39:$A$45,0))</f>
        <v/>
      </c>
    </row>
    <row r="248" spans="1:54" ht="15" customHeight="1" x14ac:dyDescent="0.4">
      <c r="A248" s="15" t="str">
        <f>Frota!$B248&amp;" — "&amp;Frota!$A248</f>
        <v>Valtra BM-135 4x4 — 105180</v>
      </c>
      <c r="B248" s="16" t="str">
        <f>Frota!$C248</f>
        <v>Trator</v>
      </c>
      <c r="C248" s="22" t="str">
        <f>INDEX(Cronograma!B$5:B$11,MATCH($B248,Premissas!$A$39:$A$45,0))</f>
        <v/>
      </c>
      <c r="D248" s="22" t="str">
        <f>INDEX(Cronograma!C$5:C$11,MATCH($B248,Premissas!$A$39:$A$45,0))</f>
        <v/>
      </c>
      <c r="E248" s="22" t="str">
        <f>INDEX(Cronograma!D$5:D$11,MATCH($B248,Premissas!$A$39:$A$45,0))</f>
        <v/>
      </c>
      <c r="F248" s="22" t="str">
        <f>INDEX(Cronograma!E$5:E$11,MATCH($B248,Premissas!$A$39:$A$45,0))</f>
        <v/>
      </c>
      <c r="G248" s="22" t="str">
        <f>INDEX(Cronograma!F$5:F$11,MATCH($B248,Premissas!$A$39:$A$45,0))</f>
        <v/>
      </c>
      <c r="H248" s="22" t="str">
        <f>INDEX(Cronograma!G$5:G$11,MATCH($B248,Premissas!$A$39:$A$45,0))</f>
        <v/>
      </c>
      <c r="I248" s="22" t="str">
        <f>INDEX(Cronograma!H$5:H$11,MATCH($B248,Premissas!$A$39:$A$45,0))</f>
        <v>S</v>
      </c>
      <c r="J248" s="22" t="str">
        <f>INDEX(Cronograma!I$5:I$11,MATCH($B248,Premissas!$A$39:$A$45,0))</f>
        <v/>
      </c>
      <c r="K248" s="22" t="str">
        <f>INDEX(Cronograma!J$5:J$11,MATCH($B248,Premissas!$A$39:$A$45,0))</f>
        <v/>
      </c>
      <c r="L248" s="22" t="str">
        <f>INDEX(Cronograma!K$5:K$11,MATCH($B248,Premissas!$A$39:$A$45,0))</f>
        <v/>
      </c>
      <c r="M248" s="22" t="str">
        <f>INDEX(Cronograma!L$5:L$11,MATCH($B248,Premissas!$A$39:$A$45,0))</f>
        <v/>
      </c>
      <c r="N248" s="22" t="str">
        <f>INDEX(Cronograma!M$5:M$11,MATCH($B248,Premissas!$A$39:$A$45,0))</f>
        <v/>
      </c>
      <c r="O248" s="22" t="str">
        <f>INDEX(Cronograma!N$5:N$11,MATCH($B248,Premissas!$A$39:$A$45,0))</f>
        <v>A</v>
      </c>
      <c r="P248" s="22" t="str">
        <f>INDEX(Cronograma!O$5:O$11,MATCH($B248,Premissas!$A$39:$A$45,0))</f>
        <v/>
      </c>
      <c r="Q248" s="22" t="str">
        <f>INDEX(Cronograma!P$5:P$11,MATCH($B248,Premissas!$A$39:$A$45,0))</f>
        <v/>
      </c>
      <c r="R248" s="22" t="str">
        <f>INDEX(Cronograma!Q$5:Q$11,MATCH($B248,Premissas!$A$39:$A$45,0))</f>
        <v/>
      </c>
      <c r="S248" s="22" t="str">
        <f>INDEX(Cronograma!R$5:R$11,MATCH($B248,Premissas!$A$39:$A$45,0))</f>
        <v/>
      </c>
      <c r="T248" s="22" t="str">
        <f>INDEX(Cronograma!S$5:S$11,MATCH($B248,Premissas!$A$39:$A$45,0))</f>
        <v/>
      </c>
      <c r="U248" s="22" t="str">
        <f>INDEX(Cronograma!T$5:T$11,MATCH($B248,Premissas!$A$39:$A$45,0))</f>
        <v>S</v>
      </c>
      <c r="V248" s="22" t="str">
        <f>INDEX(Cronograma!U$5:U$11,MATCH($B248,Premissas!$A$39:$A$45,0))</f>
        <v/>
      </c>
      <c r="W248" s="22" t="str">
        <f>INDEX(Cronograma!V$5:V$11,MATCH($B248,Premissas!$A$39:$A$45,0))</f>
        <v/>
      </c>
      <c r="X248" s="22" t="str">
        <f>INDEX(Cronograma!W$5:W$11,MATCH($B248,Premissas!$A$39:$A$45,0))</f>
        <v/>
      </c>
      <c r="Y248" s="22" t="str">
        <f>INDEX(Cronograma!X$5:X$11,MATCH($B248,Premissas!$A$39:$A$45,0))</f>
        <v/>
      </c>
      <c r="Z248" s="22" t="str">
        <f>INDEX(Cronograma!Y$5:Y$11,MATCH($B248,Premissas!$A$39:$A$45,0))</f>
        <v/>
      </c>
      <c r="AA248" s="22" t="str">
        <f>INDEX(Cronograma!Z$5:Z$11,MATCH($B248,Premissas!$A$39:$A$45,0))</f>
        <v>B</v>
      </c>
      <c r="AB248" s="22" t="str">
        <f>INDEX(Cronograma!AA$5:AA$11,MATCH($B248,Premissas!$A$39:$A$45,0))</f>
        <v/>
      </c>
      <c r="AC248" s="22" t="str">
        <f>INDEX(Cronograma!AB$5:AB$11,MATCH($B248,Premissas!$A$39:$A$45,0))</f>
        <v/>
      </c>
      <c r="AD248" s="22" t="str">
        <f>INDEX(Cronograma!AC$5:AC$11,MATCH($B248,Premissas!$A$39:$A$45,0))</f>
        <v/>
      </c>
      <c r="AE248" s="22" t="str">
        <f>INDEX(Cronograma!AD$5:AD$11,MATCH($B248,Premissas!$A$39:$A$45,0))</f>
        <v/>
      </c>
      <c r="AF248" s="22" t="str">
        <f>INDEX(Cronograma!AE$5:AE$11,MATCH($B248,Premissas!$A$39:$A$45,0))</f>
        <v/>
      </c>
      <c r="AG248" s="22" t="str">
        <f>INDEX(Cronograma!AF$5:AF$11,MATCH($B248,Premissas!$A$39:$A$45,0))</f>
        <v/>
      </c>
      <c r="AH248" s="22" t="str">
        <f>INDEX(Cronograma!AG$5:AG$11,MATCH($B248,Premissas!$A$39:$A$45,0))</f>
        <v>S</v>
      </c>
      <c r="AI248" s="22" t="str">
        <f>INDEX(Cronograma!AH$5:AH$11,MATCH($B248,Premissas!$A$39:$A$45,0))</f>
        <v/>
      </c>
      <c r="AJ248" s="22" t="str">
        <f>INDEX(Cronograma!AI$5:AI$11,MATCH($B248,Premissas!$A$39:$A$45,0))</f>
        <v/>
      </c>
      <c r="AK248" s="22" t="str">
        <f>INDEX(Cronograma!AJ$5:AJ$11,MATCH($B248,Premissas!$A$39:$A$45,0))</f>
        <v/>
      </c>
      <c r="AL248" s="22" t="str">
        <f>INDEX(Cronograma!AK$5:AK$11,MATCH($B248,Premissas!$A$39:$A$45,0))</f>
        <v/>
      </c>
      <c r="AM248" s="22" t="str">
        <f>INDEX(Cronograma!AL$5:AL$11,MATCH($B248,Premissas!$A$39:$A$45,0))</f>
        <v/>
      </c>
      <c r="AN248" s="22" t="str">
        <f>INDEX(Cronograma!AM$5:AM$11,MATCH($B248,Premissas!$A$39:$A$45,0))</f>
        <v/>
      </c>
      <c r="AO248" s="22" t="str">
        <f>INDEX(Cronograma!AN$5:AN$11,MATCH($B248,Premissas!$A$39:$A$45,0))</f>
        <v/>
      </c>
      <c r="AP248" s="22" t="str">
        <f>INDEX(Cronograma!AO$5:AO$11,MATCH($B248,Premissas!$A$39:$A$45,0))</f>
        <v/>
      </c>
      <c r="AQ248" s="22" t="str">
        <f>INDEX(Cronograma!AP$5:AP$11,MATCH($B248,Premissas!$A$39:$A$45,0))</f>
        <v/>
      </c>
      <c r="AR248" s="22" t="str">
        <f>INDEX(Cronograma!AQ$5:AQ$11,MATCH($B248,Premissas!$A$39:$A$45,0))</f>
        <v/>
      </c>
      <c r="AS248" s="22" t="str">
        <f>INDEX(Cronograma!AR$5:AR$11,MATCH($B248,Premissas!$A$39:$A$45,0))</f>
        <v/>
      </c>
      <c r="AT248" s="22" t="str">
        <f>INDEX(Cronograma!AS$5:AS$11,MATCH($B248,Premissas!$A$39:$A$45,0))</f>
        <v/>
      </c>
      <c r="AU248" s="22" t="str">
        <f>INDEX(Cronograma!AT$5:AT$11,MATCH($B248,Premissas!$A$39:$A$45,0))</f>
        <v/>
      </c>
      <c r="AV248" s="22" t="str">
        <f>INDEX(Cronograma!AU$5:AU$11,MATCH($B248,Premissas!$A$39:$A$45,0))</f>
        <v/>
      </c>
      <c r="AW248" s="22" t="str">
        <f>INDEX(Cronograma!AV$5:AV$11,MATCH($B248,Premissas!$A$39:$A$45,0))</f>
        <v/>
      </c>
      <c r="AX248" s="22" t="str">
        <f>INDEX(Cronograma!AW$5:AW$11,MATCH($B248,Premissas!$A$39:$A$45,0))</f>
        <v/>
      </c>
      <c r="AY248" s="22" t="str">
        <f>INDEX(Cronograma!AX$5:AX$11,MATCH($B248,Premissas!$A$39:$A$45,0))</f>
        <v>A</v>
      </c>
      <c r="AZ248" s="22" t="str">
        <f>INDEX(Cronograma!AY$5:AY$11,MATCH($B248,Premissas!$A$39:$A$45,0))</f>
        <v/>
      </c>
      <c r="BA248" s="22" t="str">
        <f>INDEX(Cronograma!AZ$5:AZ$11,MATCH($B248,Premissas!$A$39:$A$45,0))</f>
        <v/>
      </c>
      <c r="BB248" s="22" t="str">
        <f>INDEX(Cronograma!BA$5:BA$11,MATCH($B248,Premissas!$A$39:$A$45,0))</f>
        <v/>
      </c>
    </row>
    <row r="249" spans="1:54" ht="15" customHeight="1" x14ac:dyDescent="0.4">
      <c r="A249" s="15" t="str">
        <f>Frota!$B249&amp;" — "&amp;Frota!$A249</f>
        <v>Valtra BM-135 4x4 — 105181</v>
      </c>
      <c r="B249" s="16" t="str">
        <f>Frota!$C249</f>
        <v>Trator</v>
      </c>
      <c r="C249" s="22" t="str">
        <f>INDEX(Cronograma!B$5:B$11,MATCH($B249,Premissas!$A$39:$A$45,0))</f>
        <v/>
      </c>
      <c r="D249" s="22" t="str">
        <f>INDEX(Cronograma!C$5:C$11,MATCH($B249,Premissas!$A$39:$A$45,0))</f>
        <v/>
      </c>
      <c r="E249" s="22" t="str">
        <f>INDEX(Cronograma!D$5:D$11,MATCH($B249,Premissas!$A$39:$A$45,0))</f>
        <v/>
      </c>
      <c r="F249" s="22" t="str">
        <f>INDEX(Cronograma!E$5:E$11,MATCH($B249,Premissas!$A$39:$A$45,0))</f>
        <v/>
      </c>
      <c r="G249" s="22" t="str">
        <f>INDEX(Cronograma!F$5:F$11,MATCH($B249,Premissas!$A$39:$A$45,0))</f>
        <v/>
      </c>
      <c r="H249" s="22" t="str">
        <f>INDEX(Cronograma!G$5:G$11,MATCH($B249,Premissas!$A$39:$A$45,0))</f>
        <v/>
      </c>
      <c r="I249" s="22" t="str">
        <f>INDEX(Cronograma!H$5:H$11,MATCH($B249,Premissas!$A$39:$A$45,0))</f>
        <v>S</v>
      </c>
      <c r="J249" s="22" t="str">
        <f>INDEX(Cronograma!I$5:I$11,MATCH($B249,Premissas!$A$39:$A$45,0))</f>
        <v/>
      </c>
      <c r="K249" s="22" t="str">
        <f>INDEX(Cronograma!J$5:J$11,MATCH($B249,Premissas!$A$39:$A$45,0))</f>
        <v/>
      </c>
      <c r="L249" s="22" t="str">
        <f>INDEX(Cronograma!K$5:K$11,MATCH($B249,Premissas!$A$39:$A$45,0))</f>
        <v/>
      </c>
      <c r="M249" s="22" t="str">
        <f>INDEX(Cronograma!L$5:L$11,MATCH($B249,Premissas!$A$39:$A$45,0))</f>
        <v/>
      </c>
      <c r="N249" s="22" t="str">
        <f>INDEX(Cronograma!M$5:M$11,MATCH($B249,Premissas!$A$39:$A$45,0))</f>
        <v/>
      </c>
      <c r="O249" s="22" t="str">
        <f>INDEX(Cronograma!N$5:N$11,MATCH($B249,Premissas!$A$39:$A$45,0))</f>
        <v>A</v>
      </c>
      <c r="P249" s="22" t="str">
        <f>INDEX(Cronograma!O$5:O$11,MATCH($B249,Premissas!$A$39:$A$45,0))</f>
        <v/>
      </c>
      <c r="Q249" s="22" t="str">
        <f>INDEX(Cronograma!P$5:P$11,MATCH($B249,Premissas!$A$39:$A$45,0))</f>
        <v/>
      </c>
      <c r="R249" s="22" t="str">
        <f>INDEX(Cronograma!Q$5:Q$11,MATCH($B249,Premissas!$A$39:$A$45,0))</f>
        <v/>
      </c>
      <c r="S249" s="22" t="str">
        <f>INDEX(Cronograma!R$5:R$11,MATCH($B249,Premissas!$A$39:$A$45,0))</f>
        <v/>
      </c>
      <c r="T249" s="22" t="str">
        <f>INDEX(Cronograma!S$5:S$11,MATCH($B249,Premissas!$A$39:$A$45,0))</f>
        <v/>
      </c>
      <c r="U249" s="22" t="str">
        <f>INDEX(Cronograma!T$5:T$11,MATCH($B249,Premissas!$A$39:$A$45,0))</f>
        <v>S</v>
      </c>
      <c r="V249" s="22" t="str">
        <f>INDEX(Cronograma!U$5:U$11,MATCH($B249,Premissas!$A$39:$A$45,0))</f>
        <v/>
      </c>
      <c r="W249" s="22" t="str">
        <f>INDEX(Cronograma!V$5:V$11,MATCH($B249,Premissas!$A$39:$A$45,0))</f>
        <v/>
      </c>
      <c r="X249" s="22" t="str">
        <f>INDEX(Cronograma!W$5:W$11,MATCH($B249,Premissas!$A$39:$A$45,0))</f>
        <v/>
      </c>
      <c r="Y249" s="22" t="str">
        <f>INDEX(Cronograma!X$5:X$11,MATCH($B249,Premissas!$A$39:$A$45,0))</f>
        <v/>
      </c>
      <c r="Z249" s="22" t="str">
        <f>INDEX(Cronograma!Y$5:Y$11,MATCH($B249,Premissas!$A$39:$A$45,0))</f>
        <v/>
      </c>
      <c r="AA249" s="22" t="str">
        <f>INDEX(Cronograma!Z$5:Z$11,MATCH($B249,Premissas!$A$39:$A$45,0))</f>
        <v>B</v>
      </c>
      <c r="AB249" s="22" t="str">
        <f>INDEX(Cronograma!AA$5:AA$11,MATCH($B249,Premissas!$A$39:$A$45,0))</f>
        <v/>
      </c>
      <c r="AC249" s="22" t="str">
        <f>INDEX(Cronograma!AB$5:AB$11,MATCH($B249,Premissas!$A$39:$A$45,0))</f>
        <v/>
      </c>
      <c r="AD249" s="22" t="str">
        <f>INDEX(Cronograma!AC$5:AC$11,MATCH($B249,Premissas!$A$39:$A$45,0))</f>
        <v/>
      </c>
      <c r="AE249" s="22" t="str">
        <f>INDEX(Cronograma!AD$5:AD$11,MATCH($B249,Premissas!$A$39:$A$45,0))</f>
        <v/>
      </c>
      <c r="AF249" s="22" t="str">
        <f>INDEX(Cronograma!AE$5:AE$11,MATCH($B249,Premissas!$A$39:$A$45,0))</f>
        <v/>
      </c>
      <c r="AG249" s="22" t="str">
        <f>INDEX(Cronograma!AF$5:AF$11,MATCH($B249,Premissas!$A$39:$A$45,0))</f>
        <v/>
      </c>
      <c r="AH249" s="22" t="str">
        <f>INDEX(Cronograma!AG$5:AG$11,MATCH($B249,Premissas!$A$39:$A$45,0))</f>
        <v>S</v>
      </c>
      <c r="AI249" s="22" t="str">
        <f>INDEX(Cronograma!AH$5:AH$11,MATCH($B249,Premissas!$A$39:$A$45,0))</f>
        <v/>
      </c>
      <c r="AJ249" s="22" t="str">
        <f>INDEX(Cronograma!AI$5:AI$11,MATCH($B249,Premissas!$A$39:$A$45,0))</f>
        <v/>
      </c>
      <c r="AK249" s="22" t="str">
        <f>INDEX(Cronograma!AJ$5:AJ$11,MATCH($B249,Premissas!$A$39:$A$45,0))</f>
        <v/>
      </c>
      <c r="AL249" s="22" t="str">
        <f>INDEX(Cronograma!AK$5:AK$11,MATCH($B249,Premissas!$A$39:$A$45,0))</f>
        <v/>
      </c>
      <c r="AM249" s="22" t="str">
        <f>INDEX(Cronograma!AL$5:AL$11,MATCH($B249,Premissas!$A$39:$A$45,0))</f>
        <v/>
      </c>
      <c r="AN249" s="22" t="str">
        <f>INDEX(Cronograma!AM$5:AM$11,MATCH($B249,Premissas!$A$39:$A$45,0))</f>
        <v/>
      </c>
      <c r="AO249" s="22" t="str">
        <f>INDEX(Cronograma!AN$5:AN$11,MATCH($B249,Premissas!$A$39:$A$45,0))</f>
        <v/>
      </c>
      <c r="AP249" s="22" t="str">
        <f>INDEX(Cronograma!AO$5:AO$11,MATCH($B249,Premissas!$A$39:$A$45,0))</f>
        <v/>
      </c>
      <c r="AQ249" s="22" t="str">
        <f>INDEX(Cronograma!AP$5:AP$11,MATCH($B249,Premissas!$A$39:$A$45,0))</f>
        <v/>
      </c>
      <c r="AR249" s="22" t="str">
        <f>INDEX(Cronograma!AQ$5:AQ$11,MATCH($B249,Premissas!$A$39:$A$45,0))</f>
        <v/>
      </c>
      <c r="AS249" s="22" t="str">
        <f>INDEX(Cronograma!AR$5:AR$11,MATCH($B249,Premissas!$A$39:$A$45,0))</f>
        <v/>
      </c>
      <c r="AT249" s="22" t="str">
        <f>INDEX(Cronograma!AS$5:AS$11,MATCH($B249,Premissas!$A$39:$A$45,0))</f>
        <v/>
      </c>
      <c r="AU249" s="22" t="str">
        <f>INDEX(Cronograma!AT$5:AT$11,MATCH($B249,Premissas!$A$39:$A$45,0))</f>
        <v/>
      </c>
      <c r="AV249" s="22" t="str">
        <f>INDEX(Cronograma!AU$5:AU$11,MATCH($B249,Premissas!$A$39:$A$45,0))</f>
        <v/>
      </c>
      <c r="AW249" s="22" t="str">
        <f>INDEX(Cronograma!AV$5:AV$11,MATCH($B249,Premissas!$A$39:$A$45,0))</f>
        <v/>
      </c>
      <c r="AX249" s="22" t="str">
        <f>INDEX(Cronograma!AW$5:AW$11,MATCH($B249,Premissas!$A$39:$A$45,0))</f>
        <v/>
      </c>
      <c r="AY249" s="22" t="str">
        <f>INDEX(Cronograma!AX$5:AX$11,MATCH($B249,Premissas!$A$39:$A$45,0))</f>
        <v>A</v>
      </c>
      <c r="AZ249" s="22" t="str">
        <f>INDEX(Cronograma!AY$5:AY$11,MATCH($B249,Premissas!$A$39:$A$45,0))</f>
        <v/>
      </c>
      <c r="BA249" s="22" t="str">
        <f>INDEX(Cronograma!AZ$5:AZ$11,MATCH($B249,Premissas!$A$39:$A$45,0))</f>
        <v/>
      </c>
      <c r="BB249" s="22" t="str">
        <f>INDEX(Cronograma!BA$5:BA$11,MATCH($B249,Premissas!$A$39:$A$45,0))</f>
        <v/>
      </c>
    </row>
    <row r="250" spans="1:54" ht="15" customHeight="1" x14ac:dyDescent="0.4">
      <c r="A250" s="15" t="str">
        <f>Frota!$B250&amp;" — "&amp;Frota!$A250</f>
        <v>Valtra BM-135 4x4 — 105182</v>
      </c>
      <c r="B250" s="16" t="str">
        <f>Frota!$C250</f>
        <v>Trator</v>
      </c>
      <c r="C250" s="22" t="str">
        <f>INDEX(Cronograma!B$5:B$11,MATCH($B250,Premissas!$A$39:$A$45,0))</f>
        <v/>
      </c>
      <c r="D250" s="22" t="str">
        <f>INDEX(Cronograma!C$5:C$11,MATCH($B250,Premissas!$A$39:$A$45,0))</f>
        <v/>
      </c>
      <c r="E250" s="22" t="str">
        <f>INDEX(Cronograma!D$5:D$11,MATCH($B250,Premissas!$A$39:$A$45,0))</f>
        <v/>
      </c>
      <c r="F250" s="22" t="str">
        <f>INDEX(Cronograma!E$5:E$11,MATCH($B250,Premissas!$A$39:$A$45,0))</f>
        <v/>
      </c>
      <c r="G250" s="22" t="str">
        <f>INDEX(Cronograma!F$5:F$11,MATCH($B250,Premissas!$A$39:$A$45,0))</f>
        <v/>
      </c>
      <c r="H250" s="22" t="str">
        <f>INDEX(Cronograma!G$5:G$11,MATCH($B250,Premissas!$A$39:$A$45,0))</f>
        <v/>
      </c>
      <c r="I250" s="22" t="str">
        <f>INDEX(Cronograma!H$5:H$11,MATCH($B250,Premissas!$A$39:$A$45,0))</f>
        <v>S</v>
      </c>
      <c r="J250" s="22" t="str">
        <f>INDEX(Cronograma!I$5:I$11,MATCH($B250,Premissas!$A$39:$A$45,0))</f>
        <v/>
      </c>
      <c r="K250" s="22" t="str">
        <f>INDEX(Cronograma!J$5:J$11,MATCH($B250,Premissas!$A$39:$A$45,0))</f>
        <v/>
      </c>
      <c r="L250" s="22" t="str">
        <f>INDEX(Cronograma!K$5:K$11,MATCH($B250,Premissas!$A$39:$A$45,0))</f>
        <v/>
      </c>
      <c r="M250" s="22" t="str">
        <f>INDEX(Cronograma!L$5:L$11,MATCH($B250,Premissas!$A$39:$A$45,0))</f>
        <v/>
      </c>
      <c r="N250" s="22" t="str">
        <f>INDEX(Cronograma!M$5:M$11,MATCH($B250,Premissas!$A$39:$A$45,0))</f>
        <v/>
      </c>
      <c r="O250" s="22" t="str">
        <f>INDEX(Cronograma!N$5:N$11,MATCH($B250,Premissas!$A$39:$A$45,0))</f>
        <v>A</v>
      </c>
      <c r="P250" s="22" t="str">
        <f>INDEX(Cronograma!O$5:O$11,MATCH($B250,Premissas!$A$39:$A$45,0))</f>
        <v/>
      </c>
      <c r="Q250" s="22" t="str">
        <f>INDEX(Cronograma!P$5:P$11,MATCH($B250,Premissas!$A$39:$A$45,0))</f>
        <v/>
      </c>
      <c r="R250" s="22" t="str">
        <f>INDEX(Cronograma!Q$5:Q$11,MATCH($B250,Premissas!$A$39:$A$45,0))</f>
        <v/>
      </c>
      <c r="S250" s="22" t="str">
        <f>INDEX(Cronograma!R$5:R$11,MATCH($B250,Premissas!$A$39:$A$45,0))</f>
        <v/>
      </c>
      <c r="T250" s="22" t="str">
        <f>INDEX(Cronograma!S$5:S$11,MATCH($B250,Premissas!$A$39:$A$45,0))</f>
        <v/>
      </c>
      <c r="U250" s="22" t="str">
        <f>INDEX(Cronograma!T$5:T$11,MATCH($B250,Premissas!$A$39:$A$45,0))</f>
        <v>S</v>
      </c>
      <c r="V250" s="22" t="str">
        <f>INDEX(Cronograma!U$5:U$11,MATCH($B250,Premissas!$A$39:$A$45,0))</f>
        <v/>
      </c>
      <c r="W250" s="22" t="str">
        <f>INDEX(Cronograma!V$5:V$11,MATCH($B250,Premissas!$A$39:$A$45,0))</f>
        <v/>
      </c>
      <c r="X250" s="22" t="str">
        <f>INDEX(Cronograma!W$5:W$11,MATCH($B250,Premissas!$A$39:$A$45,0))</f>
        <v/>
      </c>
      <c r="Y250" s="22" t="str">
        <f>INDEX(Cronograma!X$5:X$11,MATCH($B250,Premissas!$A$39:$A$45,0))</f>
        <v/>
      </c>
      <c r="Z250" s="22" t="str">
        <f>INDEX(Cronograma!Y$5:Y$11,MATCH($B250,Premissas!$A$39:$A$45,0))</f>
        <v/>
      </c>
      <c r="AA250" s="22" t="str">
        <f>INDEX(Cronograma!Z$5:Z$11,MATCH($B250,Premissas!$A$39:$A$45,0))</f>
        <v>B</v>
      </c>
      <c r="AB250" s="22" t="str">
        <f>INDEX(Cronograma!AA$5:AA$11,MATCH($B250,Premissas!$A$39:$A$45,0))</f>
        <v/>
      </c>
      <c r="AC250" s="22" t="str">
        <f>INDEX(Cronograma!AB$5:AB$11,MATCH($B250,Premissas!$A$39:$A$45,0))</f>
        <v/>
      </c>
      <c r="AD250" s="22" t="str">
        <f>INDEX(Cronograma!AC$5:AC$11,MATCH($B250,Premissas!$A$39:$A$45,0))</f>
        <v/>
      </c>
      <c r="AE250" s="22" t="str">
        <f>INDEX(Cronograma!AD$5:AD$11,MATCH($B250,Premissas!$A$39:$A$45,0))</f>
        <v/>
      </c>
      <c r="AF250" s="22" t="str">
        <f>INDEX(Cronograma!AE$5:AE$11,MATCH($B250,Premissas!$A$39:$A$45,0))</f>
        <v/>
      </c>
      <c r="AG250" s="22" t="str">
        <f>INDEX(Cronograma!AF$5:AF$11,MATCH($B250,Premissas!$A$39:$A$45,0))</f>
        <v/>
      </c>
      <c r="AH250" s="22" t="str">
        <f>INDEX(Cronograma!AG$5:AG$11,MATCH($B250,Premissas!$A$39:$A$45,0))</f>
        <v>S</v>
      </c>
      <c r="AI250" s="22" t="str">
        <f>INDEX(Cronograma!AH$5:AH$11,MATCH($B250,Premissas!$A$39:$A$45,0))</f>
        <v/>
      </c>
      <c r="AJ250" s="22" t="str">
        <f>INDEX(Cronograma!AI$5:AI$11,MATCH($B250,Premissas!$A$39:$A$45,0))</f>
        <v/>
      </c>
      <c r="AK250" s="22" t="str">
        <f>INDEX(Cronograma!AJ$5:AJ$11,MATCH($B250,Premissas!$A$39:$A$45,0))</f>
        <v/>
      </c>
      <c r="AL250" s="22" t="str">
        <f>INDEX(Cronograma!AK$5:AK$11,MATCH($B250,Premissas!$A$39:$A$45,0))</f>
        <v/>
      </c>
      <c r="AM250" s="22" t="str">
        <f>INDEX(Cronograma!AL$5:AL$11,MATCH($B250,Premissas!$A$39:$A$45,0))</f>
        <v/>
      </c>
      <c r="AN250" s="22" t="str">
        <f>INDEX(Cronograma!AM$5:AM$11,MATCH($B250,Premissas!$A$39:$A$45,0))</f>
        <v/>
      </c>
      <c r="AO250" s="22" t="str">
        <f>INDEX(Cronograma!AN$5:AN$11,MATCH($B250,Premissas!$A$39:$A$45,0))</f>
        <v/>
      </c>
      <c r="AP250" s="22" t="str">
        <f>INDEX(Cronograma!AO$5:AO$11,MATCH($B250,Premissas!$A$39:$A$45,0))</f>
        <v/>
      </c>
      <c r="AQ250" s="22" t="str">
        <f>INDEX(Cronograma!AP$5:AP$11,MATCH($B250,Premissas!$A$39:$A$45,0))</f>
        <v/>
      </c>
      <c r="AR250" s="22" t="str">
        <f>INDEX(Cronograma!AQ$5:AQ$11,MATCH($B250,Premissas!$A$39:$A$45,0))</f>
        <v/>
      </c>
      <c r="AS250" s="22" t="str">
        <f>INDEX(Cronograma!AR$5:AR$11,MATCH($B250,Premissas!$A$39:$A$45,0))</f>
        <v/>
      </c>
      <c r="AT250" s="22" t="str">
        <f>INDEX(Cronograma!AS$5:AS$11,MATCH($B250,Premissas!$A$39:$A$45,0))</f>
        <v/>
      </c>
      <c r="AU250" s="22" t="str">
        <f>INDEX(Cronograma!AT$5:AT$11,MATCH($B250,Premissas!$A$39:$A$45,0))</f>
        <v/>
      </c>
      <c r="AV250" s="22" t="str">
        <f>INDEX(Cronograma!AU$5:AU$11,MATCH($B250,Premissas!$A$39:$A$45,0))</f>
        <v/>
      </c>
      <c r="AW250" s="22" t="str">
        <f>INDEX(Cronograma!AV$5:AV$11,MATCH($B250,Premissas!$A$39:$A$45,0))</f>
        <v/>
      </c>
      <c r="AX250" s="22" t="str">
        <f>INDEX(Cronograma!AW$5:AW$11,MATCH($B250,Premissas!$A$39:$A$45,0))</f>
        <v/>
      </c>
      <c r="AY250" s="22" t="str">
        <f>INDEX(Cronograma!AX$5:AX$11,MATCH($B250,Premissas!$A$39:$A$45,0))</f>
        <v>A</v>
      </c>
      <c r="AZ250" s="22" t="str">
        <f>INDEX(Cronograma!AY$5:AY$11,MATCH($B250,Premissas!$A$39:$A$45,0))</f>
        <v/>
      </c>
      <c r="BA250" s="22" t="str">
        <f>INDEX(Cronograma!AZ$5:AZ$11,MATCH($B250,Premissas!$A$39:$A$45,0))</f>
        <v/>
      </c>
      <c r="BB250" s="22" t="str">
        <f>INDEX(Cronograma!BA$5:BA$11,MATCH($B250,Premissas!$A$39:$A$45,0))</f>
        <v/>
      </c>
    </row>
    <row r="251" spans="1:54" ht="15" customHeight="1" x14ac:dyDescent="0.4">
      <c r="A251" s="15" t="str">
        <f>Frota!$B251&amp;" — "&amp;Frota!$A251</f>
        <v>Valtra BM-135 4x4 — 105183</v>
      </c>
      <c r="B251" s="16" t="str">
        <f>Frota!$C251</f>
        <v>Trator</v>
      </c>
      <c r="C251" s="22" t="str">
        <f>INDEX(Cronograma!B$5:B$11,MATCH($B251,Premissas!$A$39:$A$45,0))</f>
        <v/>
      </c>
      <c r="D251" s="22" t="str">
        <f>INDEX(Cronograma!C$5:C$11,MATCH($B251,Premissas!$A$39:$A$45,0))</f>
        <v/>
      </c>
      <c r="E251" s="22" t="str">
        <f>INDEX(Cronograma!D$5:D$11,MATCH($B251,Premissas!$A$39:$A$45,0))</f>
        <v/>
      </c>
      <c r="F251" s="22" t="str">
        <f>INDEX(Cronograma!E$5:E$11,MATCH($B251,Premissas!$A$39:$A$45,0))</f>
        <v/>
      </c>
      <c r="G251" s="22" t="str">
        <f>INDEX(Cronograma!F$5:F$11,MATCH($B251,Premissas!$A$39:$A$45,0))</f>
        <v/>
      </c>
      <c r="H251" s="22" t="str">
        <f>INDEX(Cronograma!G$5:G$11,MATCH($B251,Premissas!$A$39:$A$45,0))</f>
        <v/>
      </c>
      <c r="I251" s="22" t="str">
        <f>INDEX(Cronograma!H$5:H$11,MATCH($B251,Premissas!$A$39:$A$45,0))</f>
        <v>S</v>
      </c>
      <c r="J251" s="22" t="str">
        <f>INDEX(Cronograma!I$5:I$11,MATCH($B251,Premissas!$A$39:$A$45,0))</f>
        <v/>
      </c>
      <c r="K251" s="22" t="str">
        <f>INDEX(Cronograma!J$5:J$11,MATCH($B251,Premissas!$A$39:$A$45,0))</f>
        <v/>
      </c>
      <c r="L251" s="22" t="str">
        <f>INDEX(Cronograma!K$5:K$11,MATCH($B251,Premissas!$A$39:$A$45,0))</f>
        <v/>
      </c>
      <c r="M251" s="22" t="str">
        <f>INDEX(Cronograma!L$5:L$11,MATCH($B251,Premissas!$A$39:$A$45,0))</f>
        <v/>
      </c>
      <c r="N251" s="22" t="str">
        <f>INDEX(Cronograma!M$5:M$11,MATCH($B251,Premissas!$A$39:$A$45,0))</f>
        <v/>
      </c>
      <c r="O251" s="22" t="str">
        <f>INDEX(Cronograma!N$5:N$11,MATCH($B251,Premissas!$A$39:$A$45,0))</f>
        <v>A</v>
      </c>
      <c r="P251" s="22" t="str">
        <f>INDEX(Cronograma!O$5:O$11,MATCH($B251,Premissas!$A$39:$A$45,0))</f>
        <v/>
      </c>
      <c r="Q251" s="22" t="str">
        <f>INDEX(Cronograma!P$5:P$11,MATCH($B251,Premissas!$A$39:$A$45,0))</f>
        <v/>
      </c>
      <c r="R251" s="22" t="str">
        <f>INDEX(Cronograma!Q$5:Q$11,MATCH($B251,Premissas!$A$39:$A$45,0))</f>
        <v/>
      </c>
      <c r="S251" s="22" t="str">
        <f>INDEX(Cronograma!R$5:R$11,MATCH($B251,Premissas!$A$39:$A$45,0))</f>
        <v/>
      </c>
      <c r="T251" s="22" t="str">
        <f>INDEX(Cronograma!S$5:S$11,MATCH($B251,Premissas!$A$39:$A$45,0))</f>
        <v/>
      </c>
      <c r="U251" s="22" t="str">
        <f>INDEX(Cronograma!T$5:T$11,MATCH($B251,Premissas!$A$39:$A$45,0))</f>
        <v>S</v>
      </c>
      <c r="V251" s="22" t="str">
        <f>INDEX(Cronograma!U$5:U$11,MATCH($B251,Premissas!$A$39:$A$45,0))</f>
        <v/>
      </c>
      <c r="W251" s="22" t="str">
        <f>INDEX(Cronograma!V$5:V$11,MATCH($B251,Premissas!$A$39:$A$45,0))</f>
        <v/>
      </c>
      <c r="X251" s="22" t="str">
        <f>INDEX(Cronograma!W$5:W$11,MATCH($B251,Premissas!$A$39:$A$45,0))</f>
        <v/>
      </c>
      <c r="Y251" s="22" t="str">
        <f>INDEX(Cronograma!X$5:X$11,MATCH($B251,Premissas!$A$39:$A$45,0))</f>
        <v/>
      </c>
      <c r="Z251" s="22" t="str">
        <f>INDEX(Cronograma!Y$5:Y$11,MATCH($B251,Premissas!$A$39:$A$45,0))</f>
        <v/>
      </c>
      <c r="AA251" s="22" t="str">
        <f>INDEX(Cronograma!Z$5:Z$11,MATCH($B251,Premissas!$A$39:$A$45,0))</f>
        <v>B</v>
      </c>
      <c r="AB251" s="22" t="str">
        <f>INDEX(Cronograma!AA$5:AA$11,MATCH($B251,Premissas!$A$39:$A$45,0))</f>
        <v/>
      </c>
      <c r="AC251" s="22" t="str">
        <f>INDEX(Cronograma!AB$5:AB$11,MATCH($B251,Premissas!$A$39:$A$45,0))</f>
        <v/>
      </c>
      <c r="AD251" s="22" t="str">
        <f>INDEX(Cronograma!AC$5:AC$11,MATCH($B251,Premissas!$A$39:$A$45,0))</f>
        <v/>
      </c>
      <c r="AE251" s="22" t="str">
        <f>INDEX(Cronograma!AD$5:AD$11,MATCH($B251,Premissas!$A$39:$A$45,0))</f>
        <v/>
      </c>
      <c r="AF251" s="22" t="str">
        <f>INDEX(Cronograma!AE$5:AE$11,MATCH($B251,Premissas!$A$39:$A$45,0))</f>
        <v/>
      </c>
      <c r="AG251" s="22" t="str">
        <f>INDEX(Cronograma!AF$5:AF$11,MATCH($B251,Premissas!$A$39:$A$45,0))</f>
        <v/>
      </c>
      <c r="AH251" s="22" t="str">
        <f>INDEX(Cronograma!AG$5:AG$11,MATCH($B251,Premissas!$A$39:$A$45,0))</f>
        <v>S</v>
      </c>
      <c r="AI251" s="22" t="str">
        <f>INDEX(Cronograma!AH$5:AH$11,MATCH($B251,Premissas!$A$39:$A$45,0))</f>
        <v/>
      </c>
      <c r="AJ251" s="22" t="str">
        <f>INDEX(Cronograma!AI$5:AI$11,MATCH($B251,Premissas!$A$39:$A$45,0))</f>
        <v/>
      </c>
      <c r="AK251" s="22" t="str">
        <f>INDEX(Cronograma!AJ$5:AJ$11,MATCH($B251,Premissas!$A$39:$A$45,0))</f>
        <v/>
      </c>
      <c r="AL251" s="22" t="str">
        <f>INDEX(Cronograma!AK$5:AK$11,MATCH($B251,Premissas!$A$39:$A$45,0))</f>
        <v/>
      </c>
      <c r="AM251" s="22" t="str">
        <f>INDEX(Cronograma!AL$5:AL$11,MATCH($B251,Premissas!$A$39:$A$45,0))</f>
        <v/>
      </c>
      <c r="AN251" s="22" t="str">
        <f>INDEX(Cronograma!AM$5:AM$11,MATCH($B251,Premissas!$A$39:$A$45,0))</f>
        <v/>
      </c>
      <c r="AO251" s="22" t="str">
        <f>INDEX(Cronograma!AN$5:AN$11,MATCH($B251,Premissas!$A$39:$A$45,0))</f>
        <v/>
      </c>
      <c r="AP251" s="22" t="str">
        <f>INDEX(Cronograma!AO$5:AO$11,MATCH($B251,Premissas!$A$39:$A$45,0))</f>
        <v/>
      </c>
      <c r="AQ251" s="22" t="str">
        <f>INDEX(Cronograma!AP$5:AP$11,MATCH($B251,Premissas!$A$39:$A$45,0))</f>
        <v/>
      </c>
      <c r="AR251" s="22" t="str">
        <f>INDEX(Cronograma!AQ$5:AQ$11,MATCH($B251,Premissas!$A$39:$A$45,0))</f>
        <v/>
      </c>
      <c r="AS251" s="22" t="str">
        <f>INDEX(Cronograma!AR$5:AR$11,MATCH($B251,Premissas!$A$39:$A$45,0))</f>
        <v/>
      </c>
      <c r="AT251" s="22" t="str">
        <f>INDEX(Cronograma!AS$5:AS$11,MATCH($B251,Premissas!$A$39:$A$45,0))</f>
        <v/>
      </c>
      <c r="AU251" s="22" t="str">
        <f>INDEX(Cronograma!AT$5:AT$11,MATCH($B251,Premissas!$A$39:$A$45,0))</f>
        <v/>
      </c>
      <c r="AV251" s="22" t="str">
        <f>INDEX(Cronograma!AU$5:AU$11,MATCH($B251,Premissas!$A$39:$A$45,0))</f>
        <v/>
      </c>
      <c r="AW251" s="22" t="str">
        <f>INDEX(Cronograma!AV$5:AV$11,MATCH($B251,Premissas!$A$39:$A$45,0))</f>
        <v/>
      </c>
      <c r="AX251" s="22" t="str">
        <f>INDEX(Cronograma!AW$5:AW$11,MATCH($B251,Premissas!$A$39:$A$45,0))</f>
        <v/>
      </c>
      <c r="AY251" s="22" t="str">
        <f>INDEX(Cronograma!AX$5:AX$11,MATCH($B251,Premissas!$A$39:$A$45,0))</f>
        <v>A</v>
      </c>
      <c r="AZ251" s="22" t="str">
        <f>INDEX(Cronograma!AY$5:AY$11,MATCH($B251,Premissas!$A$39:$A$45,0))</f>
        <v/>
      </c>
      <c r="BA251" s="22" t="str">
        <f>INDEX(Cronograma!AZ$5:AZ$11,MATCH($B251,Premissas!$A$39:$A$45,0))</f>
        <v/>
      </c>
      <c r="BB251" s="22" t="str">
        <f>INDEX(Cronograma!BA$5:BA$11,MATCH($B251,Premissas!$A$39:$A$45,0))</f>
        <v/>
      </c>
    </row>
    <row r="252" spans="1:54" ht="15" customHeight="1" x14ac:dyDescent="0.4">
      <c r="A252" s="15" t="str">
        <f>Frota!$B252&amp;" — "&amp;Frota!$A252</f>
        <v>Valtra BM-135 4x4 — 105184</v>
      </c>
      <c r="B252" s="16" t="str">
        <f>Frota!$C252</f>
        <v>Trator</v>
      </c>
      <c r="C252" s="22" t="str">
        <f>INDEX(Cronograma!B$5:B$11,MATCH($B252,Premissas!$A$39:$A$45,0))</f>
        <v/>
      </c>
      <c r="D252" s="22" t="str">
        <f>INDEX(Cronograma!C$5:C$11,MATCH($B252,Premissas!$A$39:$A$45,0))</f>
        <v/>
      </c>
      <c r="E252" s="22" t="str">
        <f>INDEX(Cronograma!D$5:D$11,MATCH($B252,Premissas!$A$39:$A$45,0))</f>
        <v/>
      </c>
      <c r="F252" s="22" t="str">
        <f>INDEX(Cronograma!E$5:E$11,MATCH($B252,Premissas!$A$39:$A$45,0))</f>
        <v/>
      </c>
      <c r="G252" s="22" t="str">
        <f>INDEX(Cronograma!F$5:F$11,MATCH($B252,Premissas!$A$39:$A$45,0))</f>
        <v/>
      </c>
      <c r="H252" s="22" t="str">
        <f>INDEX(Cronograma!G$5:G$11,MATCH($B252,Premissas!$A$39:$A$45,0))</f>
        <v/>
      </c>
      <c r="I252" s="22" t="str">
        <f>INDEX(Cronograma!H$5:H$11,MATCH($B252,Premissas!$A$39:$A$45,0))</f>
        <v>S</v>
      </c>
      <c r="J252" s="22" t="str">
        <f>INDEX(Cronograma!I$5:I$11,MATCH($B252,Premissas!$A$39:$A$45,0))</f>
        <v/>
      </c>
      <c r="K252" s="22" t="str">
        <f>INDEX(Cronograma!J$5:J$11,MATCH($B252,Premissas!$A$39:$A$45,0))</f>
        <v/>
      </c>
      <c r="L252" s="22" t="str">
        <f>INDEX(Cronograma!K$5:K$11,MATCH($B252,Premissas!$A$39:$A$45,0))</f>
        <v/>
      </c>
      <c r="M252" s="22" t="str">
        <f>INDEX(Cronograma!L$5:L$11,MATCH($B252,Premissas!$A$39:$A$45,0))</f>
        <v/>
      </c>
      <c r="N252" s="22" t="str">
        <f>INDEX(Cronograma!M$5:M$11,MATCH($B252,Premissas!$A$39:$A$45,0))</f>
        <v/>
      </c>
      <c r="O252" s="22" t="str">
        <f>INDEX(Cronograma!N$5:N$11,MATCH($B252,Premissas!$A$39:$A$45,0))</f>
        <v>A</v>
      </c>
      <c r="P252" s="22" t="str">
        <f>INDEX(Cronograma!O$5:O$11,MATCH($B252,Premissas!$A$39:$A$45,0))</f>
        <v/>
      </c>
      <c r="Q252" s="22" t="str">
        <f>INDEX(Cronograma!P$5:P$11,MATCH($B252,Premissas!$A$39:$A$45,0))</f>
        <v/>
      </c>
      <c r="R252" s="22" t="str">
        <f>INDEX(Cronograma!Q$5:Q$11,MATCH($B252,Premissas!$A$39:$A$45,0))</f>
        <v/>
      </c>
      <c r="S252" s="22" t="str">
        <f>INDEX(Cronograma!R$5:R$11,MATCH($B252,Premissas!$A$39:$A$45,0))</f>
        <v/>
      </c>
      <c r="T252" s="22" t="str">
        <f>INDEX(Cronograma!S$5:S$11,MATCH($B252,Premissas!$A$39:$A$45,0))</f>
        <v/>
      </c>
      <c r="U252" s="22" t="str">
        <f>INDEX(Cronograma!T$5:T$11,MATCH($B252,Premissas!$A$39:$A$45,0))</f>
        <v>S</v>
      </c>
      <c r="V252" s="22" t="str">
        <f>INDEX(Cronograma!U$5:U$11,MATCH($B252,Premissas!$A$39:$A$45,0))</f>
        <v/>
      </c>
      <c r="W252" s="22" t="str">
        <f>INDEX(Cronograma!V$5:V$11,MATCH($B252,Premissas!$A$39:$A$45,0))</f>
        <v/>
      </c>
      <c r="X252" s="22" t="str">
        <f>INDEX(Cronograma!W$5:W$11,MATCH($B252,Premissas!$A$39:$A$45,0))</f>
        <v/>
      </c>
      <c r="Y252" s="22" t="str">
        <f>INDEX(Cronograma!X$5:X$11,MATCH($B252,Premissas!$A$39:$A$45,0))</f>
        <v/>
      </c>
      <c r="Z252" s="22" t="str">
        <f>INDEX(Cronograma!Y$5:Y$11,MATCH($B252,Premissas!$A$39:$A$45,0))</f>
        <v/>
      </c>
      <c r="AA252" s="22" t="str">
        <f>INDEX(Cronograma!Z$5:Z$11,MATCH($B252,Premissas!$A$39:$A$45,0))</f>
        <v>B</v>
      </c>
      <c r="AB252" s="22" t="str">
        <f>INDEX(Cronograma!AA$5:AA$11,MATCH($B252,Premissas!$A$39:$A$45,0))</f>
        <v/>
      </c>
      <c r="AC252" s="22" t="str">
        <f>INDEX(Cronograma!AB$5:AB$11,MATCH($B252,Premissas!$A$39:$A$45,0))</f>
        <v/>
      </c>
      <c r="AD252" s="22" t="str">
        <f>INDEX(Cronograma!AC$5:AC$11,MATCH($B252,Premissas!$A$39:$A$45,0))</f>
        <v/>
      </c>
      <c r="AE252" s="22" t="str">
        <f>INDEX(Cronograma!AD$5:AD$11,MATCH($B252,Premissas!$A$39:$A$45,0))</f>
        <v/>
      </c>
      <c r="AF252" s="22" t="str">
        <f>INDEX(Cronograma!AE$5:AE$11,MATCH($B252,Premissas!$A$39:$A$45,0))</f>
        <v/>
      </c>
      <c r="AG252" s="22" t="str">
        <f>INDEX(Cronograma!AF$5:AF$11,MATCH($B252,Premissas!$A$39:$A$45,0))</f>
        <v/>
      </c>
      <c r="AH252" s="22" t="str">
        <f>INDEX(Cronograma!AG$5:AG$11,MATCH($B252,Premissas!$A$39:$A$45,0))</f>
        <v>S</v>
      </c>
      <c r="AI252" s="22" t="str">
        <f>INDEX(Cronograma!AH$5:AH$11,MATCH($B252,Premissas!$A$39:$A$45,0))</f>
        <v/>
      </c>
      <c r="AJ252" s="22" t="str">
        <f>INDEX(Cronograma!AI$5:AI$11,MATCH($B252,Premissas!$A$39:$A$45,0))</f>
        <v/>
      </c>
      <c r="AK252" s="22" t="str">
        <f>INDEX(Cronograma!AJ$5:AJ$11,MATCH($B252,Premissas!$A$39:$A$45,0))</f>
        <v/>
      </c>
      <c r="AL252" s="22" t="str">
        <f>INDEX(Cronograma!AK$5:AK$11,MATCH($B252,Premissas!$A$39:$A$45,0))</f>
        <v/>
      </c>
      <c r="AM252" s="22" t="str">
        <f>INDEX(Cronograma!AL$5:AL$11,MATCH($B252,Premissas!$A$39:$A$45,0))</f>
        <v/>
      </c>
      <c r="AN252" s="22" t="str">
        <f>INDEX(Cronograma!AM$5:AM$11,MATCH($B252,Premissas!$A$39:$A$45,0))</f>
        <v/>
      </c>
      <c r="AO252" s="22" t="str">
        <f>INDEX(Cronograma!AN$5:AN$11,MATCH($B252,Premissas!$A$39:$A$45,0))</f>
        <v/>
      </c>
      <c r="AP252" s="22" t="str">
        <f>INDEX(Cronograma!AO$5:AO$11,MATCH($B252,Premissas!$A$39:$A$45,0))</f>
        <v/>
      </c>
      <c r="AQ252" s="22" t="str">
        <f>INDEX(Cronograma!AP$5:AP$11,MATCH($B252,Premissas!$A$39:$A$45,0))</f>
        <v/>
      </c>
      <c r="AR252" s="22" t="str">
        <f>INDEX(Cronograma!AQ$5:AQ$11,MATCH($B252,Premissas!$A$39:$A$45,0))</f>
        <v/>
      </c>
      <c r="AS252" s="22" t="str">
        <f>INDEX(Cronograma!AR$5:AR$11,MATCH($B252,Premissas!$A$39:$A$45,0))</f>
        <v/>
      </c>
      <c r="AT252" s="22" t="str">
        <f>INDEX(Cronograma!AS$5:AS$11,MATCH($B252,Premissas!$A$39:$A$45,0))</f>
        <v/>
      </c>
      <c r="AU252" s="22" t="str">
        <f>INDEX(Cronograma!AT$5:AT$11,MATCH($B252,Premissas!$A$39:$A$45,0))</f>
        <v/>
      </c>
      <c r="AV252" s="22" t="str">
        <f>INDEX(Cronograma!AU$5:AU$11,MATCH($B252,Premissas!$A$39:$A$45,0))</f>
        <v/>
      </c>
      <c r="AW252" s="22" t="str">
        <f>INDEX(Cronograma!AV$5:AV$11,MATCH($B252,Premissas!$A$39:$A$45,0))</f>
        <v/>
      </c>
      <c r="AX252" s="22" t="str">
        <f>INDEX(Cronograma!AW$5:AW$11,MATCH($B252,Premissas!$A$39:$A$45,0))</f>
        <v/>
      </c>
      <c r="AY252" s="22" t="str">
        <f>INDEX(Cronograma!AX$5:AX$11,MATCH($B252,Premissas!$A$39:$A$45,0))</f>
        <v>A</v>
      </c>
      <c r="AZ252" s="22" t="str">
        <f>INDEX(Cronograma!AY$5:AY$11,MATCH($B252,Premissas!$A$39:$A$45,0))</f>
        <v/>
      </c>
      <c r="BA252" s="22" t="str">
        <f>INDEX(Cronograma!AZ$5:AZ$11,MATCH($B252,Premissas!$A$39:$A$45,0))</f>
        <v/>
      </c>
      <c r="BB252" s="22" t="str">
        <f>INDEX(Cronograma!BA$5:BA$11,MATCH($B252,Premissas!$A$39:$A$45,0))</f>
        <v/>
      </c>
    </row>
    <row r="253" spans="1:54" ht="15" customHeight="1" x14ac:dyDescent="0.4">
      <c r="A253" s="15" t="str">
        <f>Frota!$B253&amp;" — "&amp;Frota!$A253</f>
        <v>Valtra BM-135 4x4 — 105185</v>
      </c>
      <c r="B253" s="16" t="str">
        <f>Frota!$C253</f>
        <v>Trator</v>
      </c>
      <c r="C253" s="22" t="str">
        <f>INDEX(Cronograma!B$5:B$11,MATCH($B253,Premissas!$A$39:$A$45,0))</f>
        <v/>
      </c>
      <c r="D253" s="22" t="str">
        <f>INDEX(Cronograma!C$5:C$11,MATCH($B253,Premissas!$A$39:$A$45,0))</f>
        <v/>
      </c>
      <c r="E253" s="22" t="str">
        <f>INDEX(Cronograma!D$5:D$11,MATCH($B253,Premissas!$A$39:$A$45,0))</f>
        <v/>
      </c>
      <c r="F253" s="22" t="str">
        <f>INDEX(Cronograma!E$5:E$11,MATCH($B253,Premissas!$A$39:$A$45,0))</f>
        <v/>
      </c>
      <c r="G253" s="22" t="str">
        <f>INDEX(Cronograma!F$5:F$11,MATCH($B253,Premissas!$A$39:$A$45,0))</f>
        <v/>
      </c>
      <c r="H253" s="22" t="str">
        <f>INDEX(Cronograma!G$5:G$11,MATCH($B253,Premissas!$A$39:$A$45,0))</f>
        <v/>
      </c>
      <c r="I253" s="22" t="str">
        <f>INDEX(Cronograma!H$5:H$11,MATCH($B253,Premissas!$A$39:$A$45,0))</f>
        <v>S</v>
      </c>
      <c r="J253" s="22" t="str">
        <f>INDEX(Cronograma!I$5:I$11,MATCH($B253,Premissas!$A$39:$A$45,0))</f>
        <v/>
      </c>
      <c r="K253" s="22" t="str">
        <f>INDEX(Cronograma!J$5:J$11,MATCH($B253,Premissas!$A$39:$A$45,0))</f>
        <v/>
      </c>
      <c r="L253" s="22" t="str">
        <f>INDEX(Cronograma!K$5:K$11,MATCH($B253,Premissas!$A$39:$A$45,0))</f>
        <v/>
      </c>
      <c r="M253" s="22" t="str">
        <f>INDEX(Cronograma!L$5:L$11,MATCH($B253,Premissas!$A$39:$A$45,0))</f>
        <v/>
      </c>
      <c r="N253" s="22" t="str">
        <f>INDEX(Cronograma!M$5:M$11,MATCH($B253,Premissas!$A$39:$A$45,0))</f>
        <v/>
      </c>
      <c r="O253" s="22" t="str">
        <f>INDEX(Cronograma!N$5:N$11,MATCH($B253,Premissas!$A$39:$A$45,0))</f>
        <v>A</v>
      </c>
      <c r="P253" s="22" t="str">
        <f>INDEX(Cronograma!O$5:O$11,MATCH($B253,Premissas!$A$39:$A$45,0))</f>
        <v/>
      </c>
      <c r="Q253" s="22" t="str">
        <f>INDEX(Cronograma!P$5:P$11,MATCH($B253,Premissas!$A$39:$A$45,0))</f>
        <v/>
      </c>
      <c r="R253" s="22" t="str">
        <f>INDEX(Cronograma!Q$5:Q$11,MATCH($B253,Premissas!$A$39:$A$45,0))</f>
        <v/>
      </c>
      <c r="S253" s="22" t="str">
        <f>INDEX(Cronograma!R$5:R$11,MATCH($B253,Premissas!$A$39:$A$45,0))</f>
        <v/>
      </c>
      <c r="T253" s="22" t="str">
        <f>INDEX(Cronograma!S$5:S$11,MATCH($B253,Premissas!$A$39:$A$45,0))</f>
        <v/>
      </c>
      <c r="U253" s="22" t="str">
        <f>INDEX(Cronograma!T$5:T$11,MATCH($B253,Premissas!$A$39:$A$45,0))</f>
        <v>S</v>
      </c>
      <c r="V253" s="22" t="str">
        <f>INDEX(Cronograma!U$5:U$11,MATCH($B253,Premissas!$A$39:$A$45,0))</f>
        <v/>
      </c>
      <c r="W253" s="22" t="str">
        <f>INDEX(Cronograma!V$5:V$11,MATCH($B253,Premissas!$A$39:$A$45,0))</f>
        <v/>
      </c>
      <c r="X253" s="22" t="str">
        <f>INDEX(Cronograma!W$5:W$11,MATCH($B253,Premissas!$A$39:$A$45,0))</f>
        <v/>
      </c>
      <c r="Y253" s="22" t="str">
        <f>INDEX(Cronograma!X$5:X$11,MATCH($B253,Premissas!$A$39:$A$45,0))</f>
        <v/>
      </c>
      <c r="Z253" s="22" t="str">
        <f>INDEX(Cronograma!Y$5:Y$11,MATCH($B253,Premissas!$A$39:$A$45,0))</f>
        <v/>
      </c>
      <c r="AA253" s="22" t="str">
        <f>INDEX(Cronograma!Z$5:Z$11,MATCH($B253,Premissas!$A$39:$A$45,0))</f>
        <v>B</v>
      </c>
      <c r="AB253" s="22" t="str">
        <f>INDEX(Cronograma!AA$5:AA$11,MATCH($B253,Premissas!$A$39:$A$45,0))</f>
        <v/>
      </c>
      <c r="AC253" s="22" t="str">
        <f>INDEX(Cronograma!AB$5:AB$11,MATCH($B253,Premissas!$A$39:$A$45,0))</f>
        <v/>
      </c>
      <c r="AD253" s="22" t="str">
        <f>INDEX(Cronograma!AC$5:AC$11,MATCH($B253,Premissas!$A$39:$A$45,0))</f>
        <v/>
      </c>
      <c r="AE253" s="22" t="str">
        <f>INDEX(Cronograma!AD$5:AD$11,MATCH($B253,Premissas!$A$39:$A$45,0))</f>
        <v/>
      </c>
      <c r="AF253" s="22" t="str">
        <f>INDEX(Cronograma!AE$5:AE$11,MATCH($B253,Premissas!$A$39:$A$45,0))</f>
        <v/>
      </c>
      <c r="AG253" s="22" t="str">
        <f>INDEX(Cronograma!AF$5:AF$11,MATCH($B253,Premissas!$A$39:$A$45,0))</f>
        <v/>
      </c>
      <c r="AH253" s="22" t="str">
        <f>INDEX(Cronograma!AG$5:AG$11,MATCH($B253,Premissas!$A$39:$A$45,0))</f>
        <v>S</v>
      </c>
      <c r="AI253" s="22" t="str">
        <f>INDEX(Cronograma!AH$5:AH$11,MATCH($B253,Premissas!$A$39:$A$45,0))</f>
        <v/>
      </c>
      <c r="AJ253" s="22" t="str">
        <f>INDEX(Cronograma!AI$5:AI$11,MATCH($B253,Premissas!$A$39:$A$45,0))</f>
        <v/>
      </c>
      <c r="AK253" s="22" t="str">
        <f>INDEX(Cronograma!AJ$5:AJ$11,MATCH($B253,Premissas!$A$39:$A$45,0))</f>
        <v/>
      </c>
      <c r="AL253" s="22" t="str">
        <f>INDEX(Cronograma!AK$5:AK$11,MATCH($B253,Premissas!$A$39:$A$45,0))</f>
        <v/>
      </c>
      <c r="AM253" s="22" t="str">
        <f>INDEX(Cronograma!AL$5:AL$11,MATCH($B253,Premissas!$A$39:$A$45,0))</f>
        <v/>
      </c>
      <c r="AN253" s="22" t="str">
        <f>INDEX(Cronograma!AM$5:AM$11,MATCH($B253,Premissas!$A$39:$A$45,0))</f>
        <v/>
      </c>
      <c r="AO253" s="22" t="str">
        <f>INDEX(Cronograma!AN$5:AN$11,MATCH($B253,Premissas!$A$39:$A$45,0))</f>
        <v/>
      </c>
      <c r="AP253" s="22" t="str">
        <f>INDEX(Cronograma!AO$5:AO$11,MATCH($B253,Premissas!$A$39:$A$45,0))</f>
        <v/>
      </c>
      <c r="AQ253" s="22" t="str">
        <f>INDEX(Cronograma!AP$5:AP$11,MATCH($B253,Premissas!$A$39:$A$45,0))</f>
        <v/>
      </c>
      <c r="AR253" s="22" t="str">
        <f>INDEX(Cronograma!AQ$5:AQ$11,MATCH($B253,Premissas!$A$39:$A$45,0))</f>
        <v/>
      </c>
      <c r="AS253" s="22" t="str">
        <f>INDEX(Cronograma!AR$5:AR$11,MATCH($B253,Premissas!$A$39:$A$45,0))</f>
        <v/>
      </c>
      <c r="AT253" s="22" t="str">
        <f>INDEX(Cronograma!AS$5:AS$11,MATCH($B253,Premissas!$A$39:$A$45,0))</f>
        <v/>
      </c>
      <c r="AU253" s="22" t="str">
        <f>INDEX(Cronograma!AT$5:AT$11,MATCH($B253,Premissas!$A$39:$A$45,0))</f>
        <v/>
      </c>
      <c r="AV253" s="22" t="str">
        <f>INDEX(Cronograma!AU$5:AU$11,MATCH($B253,Premissas!$A$39:$A$45,0))</f>
        <v/>
      </c>
      <c r="AW253" s="22" t="str">
        <f>INDEX(Cronograma!AV$5:AV$11,MATCH($B253,Premissas!$A$39:$A$45,0))</f>
        <v/>
      </c>
      <c r="AX253" s="22" t="str">
        <f>INDEX(Cronograma!AW$5:AW$11,MATCH($B253,Premissas!$A$39:$A$45,0))</f>
        <v/>
      </c>
      <c r="AY253" s="22" t="str">
        <f>INDEX(Cronograma!AX$5:AX$11,MATCH($B253,Premissas!$A$39:$A$45,0))</f>
        <v>A</v>
      </c>
      <c r="AZ253" s="22" t="str">
        <f>INDEX(Cronograma!AY$5:AY$11,MATCH($B253,Premissas!$A$39:$A$45,0))</f>
        <v/>
      </c>
      <c r="BA253" s="22" t="str">
        <f>INDEX(Cronograma!AZ$5:AZ$11,MATCH($B253,Premissas!$A$39:$A$45,0))</f>
        <v/>
      </c>
      <c r="BB253" s="22" t="str">
        <f>INDEX(Cronograma!BA$5:BA$11,MATCH($B253,Premissas!$A$39:$A$45,0))</f>
        <v/>
      </c>
    </row>
    <row r="254" spans="1:54" ht="15" customHeight="1" x14ac:dyDescent="0.4">
      <c r="A254" s="15" t="str">
        <f>Frota!$B254&amp;" — "&amp;Frota!$A254</f>
        <v>Valtra BM-135 4x4 — 105186</v>
      </c>
      <c r="B254" s="16" t="str">
        <f>Frota!$C254</f>
        <v>Trator</v>
      </c>
      <c r="C254" s="22" t="str">
        <f>INDEX(Cronograma!B$5:B$11,MATCH($B254,Premissas!$A$39:$A$45,0))</f>
        <v/>
      </c>
      <c r="D254" s="22" t="str">
        <f>INDEX(Cronograma!C$5:C$11,MATCH($B254,Premissas!$A$39:$A$45,0))</f>
        <v/>
      </c>
      <c r="E254" s="22" t="str">
        <f>INDEX(Cronograma!D$5:D$11,MATCH($B254,Premissas!$A$39:$A$45,0))</f>
        <v/>
      </c>
      <c r="F254" s="22" t="str">
        <f>INDEX(Cronograma!E$5:E$11,MATCH($B254,Premissas!$A$39:$A$45,0))</f>
        <v/>
      </c>
      <c r="G254" s="22" t="str">
        <f>INDEX(Cronograma!F$5:F$11,MATCH($B254,Premissas!$A$39:$A$45,0))</f>
        <v/>
      </c>
      <c r="H254" s="22" t="str">
        <f>INDEX(Cronograma!G$5:G$11,MATCH($B254,Premissas!$A$39:$A$45,0))</f>
        <v/>
      </c>
      <c r="I254" s="22" t="str">
        <f>INDEX(Cronograma!H$5:H$11,MATCH($B254,Premissas!$A$39:$A$45,0))</f>
        <v>S</v>
      </c>
      <c r="J254" s="22" t="str">
        <f>INDEX(Cronograma!I$5:I$11,MATCH($B254,Premissas!$A$39:$A$45,0))</f>
        <v/>
      </c>
      <c r="K254" s="22" t="str">
        <f>INDEX(Cronograma!J$5:J$11,MATCH($B254,Premissas!$A$39:$A$45,0))</f>
        <v/>
      </c>
      <c r="L254" s="22" t="str">
        <f>INDEX(Cronograma!K$5:K$11,MATCH($B254,Premissas!$A$39:$A$45,0))</f>
        <v/>
      </c>
      <c r="M254" s="22" t="str">
        <f>INDEX(Cronograma!L$5:L$11,MATCH($B254,Premissas!$A$39:$A$45,0))</f>
        <v/>
      </c>
      <c r="N254" s="22" t="str">
        <f>INDEX(Cronograma!M$5:M$11,MATCH($B254,Premissas!$A$39:$A$45,0))</f>
        <v/>
      </c>
      <c r="O254" s="22" t="str">
        <f>INDEX(Cronograma!N$5:N$11,MATCH($B254,Premissas!$A$39:$A$45,0))</f>
        <v>A</v>
      </c>
      <c r="P254" s="22" t="str">
        <f>INDEX(Cronograma!O$5:O$11,MATCH($B254,Premissas!$A$39:$A$45,0))</f>
        <v/>
      </c>
      <c r="Q254" s="22" t="str">
        <f>INDEX(Cronograma!P$5:P$11,MATCH($B254,Premissas!$A$39:$A$45,0))</f>
        <v/>
      </c>
      <c r="R254" s="22" t="str">
        <f>INDEX(Cronograma!Q$5:Q$11,MATCH($B254,Premissas!$A$39:$A$45,0))</f>
        <v/>
      </c>
      <c r="S254" s="22" t="str">
        <f>INDEX(Cronograma!R$5:R$11,MATCH($B254,Premissas!$A$39:$A$45,0))</f>
        <v/>
      </c>
      <c r="T254" s="22" t="str">
        <f>INDEX(Cronograma!S$5:S$11,MATCH($B254,Premissas!$A$39:$A$45,0))</f>
        <v/>
      </c>
      <c r="U254" s="22" t="str">
        <f>INDEX(Cronograma!T$5:T$11,MATCH($B254,Premissas!$A$39:$A$45,0))</f>
        <v>S</v>
      </c>
      <c r="V254" s="22" t="str">
        <f>INDEX(Cronograma!U$5:U$11,MATCH($B254,Premissas!$A$39:$A$45,0))</f>
        <v/>
      </c>
      <c r="W254" s="22" t="str">
        <f>INDEX(Cronograma!V$5:V$11,MATCH($B254,Premissas!$A$39:$A$45,0))</f>
        <v/>
      </c>
      <c r="X254" s="22" t="str">
        <f>INDEX(Cronograma!W$5:W$11,MATCH($B254,Premissas!$A$39:$A$45,0))</f>
        <v/>
      </c>
      <c r="Y254" s="22" t="str">
        <f>INDEX(Cronograma!X$5:X$11,MATCH($B254,Premissas!$A$39:$A$45,0))</f>
        <v/>
      </c>
      <c r="Z254" s="22" t="str">
        <f>INDEX(Cronograma!Y$5:Y$11,MATCH($B254,Premissas!$A$39:$A$45,0))</f>
        <v/>
      </c>
      <c r="AA254" s="22" t="str">
        <f>INDEX(Cronograma!Z$5:Z$11,MATCH($B254,Premissas!$A$39:$A$45,0))</f>
        <v>B</v>
      </c>
      <c r="AB254" s="22" t="str">
        <f>INDEX(Cronograma!AA$5:AA$11,MATCH($B254,Premissas!$A$39:$A$45,0))</f>
        <v/>
      </c>
      <c r="AC254" s="22" t="str">
        <f>INDEX(Cronograma!AB$5:AB$11,MATCH($B254,Premissas!$A$39:$A$45,0))</f>
        <v/>
      </c>
      <c r="AD254" s="22" t="str">
        <f>INDEX(Cronograma!AC$5:AC$11,MATCH($B254,Premissas!$A$39:$A$45,0))</f>
        <v/>
      </c>
      <c r="AE254" s="22" t="str">
        <f>INDEX(Cronograma!AD$5:AD$11,MATCH($B254,Premissas!$A$39:$A$45,0))</f>
        <v/>
      </c>
      <c r="AF254" s="22" t="str">
        <f>INDEX(Cronograma!AE$5:AE$11,MATCH($B254,Premissas!$A$39:$A$45,0))</f>
        <v/>
      </c>
      <c r="AG254" s="22" t="str">
        <f>INDEX(Cronograma!AF$5:AF$11,MATCH($B254,Premissas!$A$39:$A$45,0))</f>
        <v/>
      </c>
      <c r="AH254" s="22" t="str">
        <f>INDEX(Cronograma!AG$5:AG$11,MATCH($B254,Premissas!$A$39:$A$45,0))</f>
        <v>S</v>
      </c>
      <c r="AI254" s="22" t="str">
        <f>INDEX(Cronograma!AH$5:AH$11,MATCH($B254,Premissas!$A$39:$A$45,0))</f>
        <v/>
      </c>
      <c r="AJ254" s="22" t="str">
        <f>INDEX(Cronograma!AI$5:AI$11,MATCH($B254,Premissas!$A$39:$A$45,0))</f>
        <v/>
      </c>
      <c r="AK254" s="22" t="str">
        <f>INDEX(Cronograma!AJ$5:AJ$11,MATCH($B254,Premissas!$A$39:$A$45,0))</f>
        <v/>
      </c>
      <c r="AL254" s="22" t="str">
        <f>INDEX(Cronograma!AK$5:AK$11,MATCH($B254,Premissas!$A$39:$A$45,0))</f>
        <v/>
      </c>
      <c r="AM254" s="22" t="str">
        <f>INDEX(Cronograma!AL$5:AL$11,MATCH($B254,Premissas!$A$39:$A$45,0))</f>
        <v/>
      </c>
      <c r="AN254" s="22" t="str">
        <f>INDEX(Cronograma!AM$5:AM$11,MATCH($B254,Premissas!$A$39:$A$45,0))</f>
        <v/>
      </c>
      <c r="AO254" s="22" t="str">
        <f>INDEX(Cronograma!AN$5:AN$11,MATCH($B254,Premissas!$A$39:$A$45,0))</f>
        <v/>
      </c>
      <c r="AP254" s="22" t="str">
        <f>INDEX(Cronograma!AO$5:AO$11,MATCH($B254,Premissas!$A$39:$A$45,0))</f>
        <v/>
      </c>
      <c r="AQ254" s="22" t="str">
        <f>INDEX(Cronograma!AP$5:AP$11,MATCH($B254,Premissas!$A$39:$A$45,0))</f>
        <v/>
      </c>
      <c r="AR254" s="22" t="str">
        <f>INDEX(Cronograma!AQ$5:AQ$11,MATCH($B254,Premissas!$A$39:$A$45,0))</f>
        <v/>
      </c>
      <c r="AS254" s="22" t="str">
        <f>INDEX(Cronograma!AR$5:AR$11,MATCH($B254,Premissas!$A$39:$A$45,0))</f>
        <v/>
      </c>
      <c r="AT254" s="22" t="str">
        <f>INDEX(Cronograma!AS$5:AS$11,MATCH($B254,Premissas!$A$39:$A$45,0))</f>
        <v/>
      </c>
      <c r="AU254" s="22" t="str">
        <f>INDEX(Cronograma!AT$5:AT$11,MATCH($B254,Premissas!$A$39:$A$45,0))</f>
        <v/>
      </c>
      <c r="AV254" s="22" t="str">
        <f>INDEX(Cronograma!AU$5:AU$11,MATCH($B254,Premissas!$A$39:$A$45,0))</f>
        <v/>
      </c>
      <c r="AW254" s="22" t="str">
        <f>INDEX(Cronograma!AV$5:AV$11,MATCH($B254,Premissas!$A$39:$A$45,0))</f>
        <v/>
      </c>
      <c r="AX254" s="22" t="str">
        <f>INDEX(Cronograma!AW$5:AW$11,MATCH($B254,Premissas!$A$39:$A$45,0))</f>
        <v/>
      </c>
      <c r="AY254" s="22" t="str">
        <f>INDEX(Cronograma!AX$5:AX$11,MATCH($B254,Premissas!$A$39:$A$45,0))</f>
        <v>A</v>
      </c>
      <c r="AZ254" s="22" t="str">
        <f>INDEX(Cronograma!AY$5:AY$11,MATCH($B254,Premissas!$A$39:$A$45,0))</f>
        <v/>
      </c>
      <c r="BA254" s="22" t="str">
        <f>INDEX(Cronograma!AZ$5:AZ$11,MATCH($B254,Premissas!$A$39:$A$45,0))</f>
        <v/>
      </c>
      <c r="BB254" s="22" t="str">
        <f>INDEX(Cronograma!BA$5:BA$11,MATCH($B254,Premissas!$A$39:$A$45,0))</f>
        <v/>
      </c>
    </row>
    <row r="255" spans="1:54" ht="15" customHeight="1" x14ac:dyDescent="0.4">
      <c r="A255" s="15" t="str">
        <f>Frota!$B255&amp;" — "&amp;Frota!$A255</f>
        <v>Valtra BM-135 4x4 — 105187</v>
      </c>
      <c r="B255" s="16" t="str">
        <f>Frota!$C255</f>
        <v>Trator</v>
      </c>
      <c r="C255" s="22" t="str">
        <f>INDEX(Cronograma!B$5:B$11,MATCH($B255,Premissas!$A$39:$A$45,0))</f>
        <v/>
      </c>
      <c r="D255" s="22" t="str">
        <f>INDEX(Cronograma!C$5:C$11,MATCH($B255,Premissas!$A$39:$A$45,0))</f>
        <v/>
      </c>
      <c r="E255" s="22" t="str">
        <f>INDEX(Cronograma!D$5:D$11,MATCH($B255,Premissas!$A$39:$A$45,0))</f>
        <v/>
      </c>
      <c r="F255" s="22" t="str">
        <f>INDEX(Cronograma!E$5:E$11,MATCH($B255,Premissas!$A$39:$A$45,0))</f>
        <v/>
      </c>
      <c r="G255" s="22" t="str">
        <f>INDEX(Cronograma!F$5:F$11,MATCH($B255,Premissas!$A$39:$A$45,0))</f>
        <v/>
      </c>
      <c r="H255" s="22" t="str">
        <f>INDEX(Cronograma!G$5:G$11,MATCH($B255,Premissas!$A$39:$A$45,0))</f>
        <v/>
      </c>
      <c r="I255" s="22" t="str">
        <f>INDEX(Cronograma!H$5:H$11,MATCH($B255,Premissas!$A$39:$A$45,0))</f>
        <v>S</v>
      </c>
      <c r="J255" s="22" t="str">
        <f>INDEX(Cronograma!I$5:I$11,MATCH($B255,Premissas!$A$39:$A$45,0))</f>
        <v/>
      </c>
      <c r="K255" s="22" t="str">
        <f>INDEX(Cronograma!J$5:J$11,MATCH($B255,Premissas!$A$39:$A$45,0))</f>
        <v/>
      </c>
      <c r="L255" s="22" t="str">
        <f>INDEX(Cronograma!K$5:K$11,MATCH($B255,Premissas!$A$39:$A$45,0))</f>
        <v/>
      </c>
      <c r="M255" s="22" t="str">
        <f>INDEX(Cronograma!L$5:L$11,MATCH($B255,Premissas!$A$39:$A$45,0))</f>
        <v/>
      </c>
      <c r="N255" s="22" t="str">
        <f>INDEX(Cronograma!M$5:M$11,MATCH($B255,Premissas!$A$39:$A$45,0))</f>
        <v/>
      </c>
      <c r="O255" s="22" t="str">
        <f>INDEX(Cronograma!N$5:N$11,MATCH($B255,Premissas!$A$39:$A$45,0))</f>
        <v>A</v>
      </c>
      <c r="P255" s="22" t="str">
        <f>INDEX(Cronograma!O$5:O$11,MATCH($B255,Premissas!$A$39:$A$45,0))</f>
        <v/>
      </c>
      <c r="Q255" s="22" t="str">
        <f>INDEX(Cronograma!P$5:P$11,MATCH($B255,Premissas!$A$39:$A$45,0))</f>
        <v/>
      </c>
      <c r="R255" s="22" t="str">
        <f>INDEX(Cronograma!Q$5:Q$11,MATCH($B255,Premissas!$A$39:$A$45,0))</f>
        <v/>
      </c>
      <c r="S255" s="22" t="str">
        <f>INDEX(Cronograma!R$5:R$11,MATCH($B255,Premissas!$A$39:$A$45,0))</f>
        <v/>
      </c>
      <c r="T255" s="22" t="str">
        <f>INDEX(Cronograma!S$5:S$11,MATCH($B255,Premissas!$A$39:$A$45,0))</f>
        <v/>
      </c>
      <c r="U255" s="22" t="str">
        <f>INDEX(Cronograma!T$5:T$11,MATCH($B255,Premissas!$A$39:$A$45,0))</f>
        <v>S</v>
      </c>
      <c r="V255" s="22" t="str">
        <f>INDEX(Cronograma!U$5:U$11,MATCH($B255,Premissas!$A$39:$A$45,0))</f>
        <v/>
      </c>
      <c r="W255" s="22" t="str">
        <f>INDEX(Cronograma!V$5:V$11,MATCH($B255,Premissas!$A$39:$A$45,0))</f>
        <v/>
      </c>
      <c r="X255" s="22" t="str">
        <f>INDEX(Cronograma!W$5:W$11,MATCH($B255,Premissas!$A$39:$A$45,0))</f>
        <v/>
      </c>
      <c r="Y255" s="22" t="str">
        <f>INDEX(Cronograma!X$5:X$11,MATCH($B255,Premissas!$A$39:$A$45,0))</f>
        <v/>
      </c>
      <c r="Z255" s="22" t="str">
        <f>INDEX(Cronograma!Y$5:Y$11,MATCH($B255,Premissas!$A$39:$A$45,0))</f>
        <v/>
      </c>
      <c r="AA255" s="22" t="str">
        <f>INDEX(Cronograma!Z$5:Z$11,MATCH($B255,Premissas!$A$39:$A$45,0))</f>
        <v>B</v>
      </c>
      <c r="AB255" s="22" t="str">
        <f>INDEX(Cronograma!AA$5:AA$11,MATCH($B255,Premissas!$A$39:$A$45,0))</f>
        <v/>
      </c>
      <c r="AC255" s="22" t="str">
        <f>INDEX(Cronograma!AB$5:AB$11,MATCH($B255,Premissas!$A$39:$A$45,0))</f>
        <v/>
      </c>
      <c r="AD255" s="22" t="str">
        <f>INDEX(Cronograma!AC$5:AC$11,MATCH($B255,Premissas!$A$39:$A$45,0))</f>
        <v/>
      </c>
      <c r="AE255" s="22" t="str">
        <f>INDEX(Cronograma!AD$5:AD$11,MATCH($B255,Premissas!$A$39:$A$45,0))</f>
        <v/>
      </c>
      <c r="AF255" s="22" t="str">
        <f>INDEX(Cronograma!AE$5:AE$11,MATCH($B255,Premissas!$A$39:$A$45,0))</f>
        <v/>
      </c>
      <c r="AG255" s="22" t="str">
        <f>INDEX(Cronograma!AF$5:AF$11,MATCH($B255,Premissas!$A$39:$A$45,0))</f>
        <v/>
      </c>
      <c r="AH255" s="22" t="str">
        <f>INDEX(Cronograma!AG$5:AG$11,MATCH($B255,Premissas!$A$39:$A$45,0))</f>
        <v>S</v>
      </c>
      <c r="AI255" s="22" t="str">
        <f>INDEX(Cronograma!AH$5:AH$11,MATCH($B255,Premissas!$A$39:$A$45,0))</f>
        <v/>
      </c>
      <c r="AJ255" s="22" t="str">
        <f>INDEX(Cronograma!AI$5:AI$11,MATCH($B255,Premissas!$A$39:$A$45,0))</f>
        <v/>
      </c>
      <c r="AK255" s="22" t="str">
        <f>INDEX(Cronograma!AJ$5:AJ$11,MATCH($B255,Premissas!$A$39:$A$45,0))</f>
        <v/>
      </c>
      <c r="AL255" s="22" t="str">
        <f>INDEX(Cronograma!AK$5:AK$11,MATCH($B255,Premissas!$A$39:$A$45,0))</f>
        <v/>
      </c>
      <c r="AM255" s="22" t="str">
        <f>INDEX(Cronograma!AL$5:AL$11,MATCH($B255,Premissas!$A$39:$A$45,0))</f>
        <v/>
      </c>
      <c r="AN255" s="22" t="str">
        <f>INDEX(Cronograma!AM$5:AM$11,MATCH($B255,Premissas!$A$39:$A$45,0))</f>
        <v/>
      </c>
      <c r="AO255" s="22" t="str">
        <f>INDEX(Cronograma!AN$5:AN$11,MATCH($B255,Premissas!$A$39:$A$45,0))</f>
        <v/>
      </c>
      <c r="AP255" s="22" t="str">
        <f>INDEX(Cronograma!AO$5:AO$11,MATCH($B255,Premissas!$A$39:$A$45,0))</f>
        <v/>
      </c>
      <c r="AQ255" s="22" t="str">
        <f>INDEX(Cronograma!AP$5:AP$11,MATCH($B255,Premissas!$A$39:$A$45,0))</f>
        <v/>
      </c>
      <c r="AR255" s="22" t="str">
        <f>INDEX(Cronograma!AQ$5:AQ$11,MATCH($B255,Premissas!$A$39:$A$45,0))</f>
        <v/>
      </c>
      <c r="AS255" s="22" t="str">
        <f>INDEX(Cronograma!AR$5:AR$11,MATCH($B255,Premissas!$A$39:$A$45,0))</f>
        <v/>
      </c>
      <c r="AT255" s="22" t="str">
        <f>INDEX(Cronograma!AS$5:AS$11,MATCH($B255,Premissas!$A$39:$A$45,0))</f>
        <v/>
      </c>
      <c r="AU255" s="22" t="str">
        <f>INDEX(Cronograma!AT$5:AT$11,MATCH($B255,Premissas!$A$39:$A$45,0))</f>
        <v/>
      </c>
      <c r="AV255" s="22" t="str">
        <f>INDEX(Cronograma!AU$5:AU$11,MATCH($B255,Premissas!$A$39:$A$45,0))</f>
        <v/>
      </c>
      <c r="AW255" s="22" t="str">
        <f>INDEX(Cronograma!AV$5:AV$11,MATCH($B255,Premissas!$A$39:$A$45,0))</f>
        <v/>
      </c>
      <c r="AX255" s="22" t="str">
        <f>INDEX(Cronograma!AW$5:AW$11,MATCH($B255,Premissas!$A$39:$A$45,0))</f>
        <v/>
      </c>
      <c r="AY255" s="22" t="str">
        <f>INDEX(Cronograma!AX$5:AX$11,MATCH($B255,Premissas!$A$39:$A$45,0))</f>
        <v>A</v>
      </c>
      <c r="AZ255" s="22" t="str">
        <f>INDEX(Cronograma!AY$5:AY$11,MATCH($B255,Premissas!$A$39:$A$45,0))</f>
        <v/>
      </c>
      <c r="BA255" s="22" t="str">
        <f>INDEX(Cronograma!AZ$5:AZ$11,MATCH($B255,Premissas!$A$39:$A$45,0))</f>
        <v/>
      </c>
      <c r="BB255" s="22" t="str">
        <f>INDEX(Cronograma!BA$5:BA$11,MATCH($B255,Premissas!$A$39:$A$45,0))</f>
        <v/>
      </c>
    </row>
    <row r="256" spans="1:54" ht="15" customHeight="1" x14ac:dyDescent="0.4">
      <c r="A256" s="15" t="str">
        <f>Frota!$B256&amp;" — "&amp;Frota!$A256</f>
        <v>Valtra BM-135 4x4 — 105188</v>
      </c>
      <c r="B256" s="16" t="str">
        <f>Frota!$C256</f>
        <v>Trator</v>
      </c>
      <c r="C256" s="22" t="str">
        <f>INDEX(Cronograma!B$5:B$11,MATCH($B256,Premissas!$A$39:$A$45,0))</f>
        <v/>
      </c>
      <c r="D256" s="22" t="str">
        <f>INDEX(Cronograma!C$5:C$11,MATCH($B256,Premissas!$A$39:$A$45,0))</f>
        <v/>
      </c>
      <c r="E256" s="22" t="str">
        <f>INDEX(Cronograma!D$5:D$11,MATCH($B256,Premissas!$A$39:$A$45,0))</f>
        <v/>
      </c>
      <c r="F256" s="22" t="str">
        <f>INDEX(Cronograma!E$5:E$11,MATCH($B256,Premissas!$A$39:$A$45,0))</f>
        <v/>
      </c>
      <c r="G256" s="22" t="str">
        <f>INDEX(Cronograma!F$5:F$11,MATCH($B256,Premissas!$A$39:$A$45,0))</f>
        <v/>
      </c>
      <c r="H256" s="22" t="str">
        <f>INDEX(Cronograma!G$5:G$11,MATCH($B256,Premissas!$A$39:$A$45,0))</f>
        <v/>
      </c>
      <c r="I256" s="22" t="str">
        <f>INDEX(Cronograma!H$5:H$11,MATCH($B256,Premissas!$A$39:$A$45,0))</f>
        <v>S</v>
      </c>
      <c r="J256" s="22" t="str">
        <f>INDEX(Cronograma!I$5:I$11,MATCH($B256,Premissas!$A$39:$A$45,0))</f>
        <v/>
      </c>
      <c r="K256" s="22" t="str">
        <f>INDEX(Cronograma!J$5:J$11,MATCH($B256,Premissas!$A$39:$A$45,0))</f>
        <v/>
      </c>
      <c r="L256" s="22" t="str">
        <f>INDEX(Cronograma!K$5:K$11,MATCH($B256,Premissas!$A$39:$A$45,0))</f>
        <v/>
      </c>
      <c r="M256" s="22" t="str">
        <f>INDEX(Cronograma!L$5:L$11,MATCH($B256,Premissas!$A$39:$A$45,0))</f>
        <v/>
      </c>
      <c r="N256" s="22" t="str">
        <f>INDEX(Cronograma!M$5:M$11,MATCH($B256,Premissas!$A$39:$A$45,0))</f>
        <v/>
      </c>
      <c r="O256" s="22" t="str">
        <f>INDEX(Cronograma!N$5:N$11,MATCH($B256,Premissas!$A$39:$A$45,0))</f>
        <v>A</v>
      </c>
      <c r="P256" s="22" t="str">
        <f>INDEX(Cronograma!O$5:O$11,MATCH($B256,Premissas!$A$39:$A$45,0))</f>
        <v/>
      </c>
      <c r="Q256" s="22" t="str">
        <f>INDEX(Cronograma!P$5:P$11,MATCH($B256,Premissas!$A$39:$A$45,0))</f>
        <v/>
      </c>
      <c r="R256" s="22" t="str">
        <f>INDEX(Cronograma!Q$5:Q$11,MATCH($B256,Premissas!$A$39:$A$45,0))</f>
        <v/>
      </c>
      <c r="S256" s="22" t="str">
        <f>INDEX(Cronograma!R$5:R$11,MATCH($B256,Premissas!$A$39:$A$45,0))</f>
        <v/>
      </c>
      <c r="T256" s="22" t="str">
        <f>INDEX(Cronograma!S$5:S$11,MATCH($B256,Premissas!$A$39:$A$45,0))</f>
        <v/>
      </c>
      <c r="U256" s="22" t="str">
        <f>INDEX(Cronograma!T$5:T$11,MATCH($B256,Premissas!$A$39:$A$45,0))</f>
        <v>S</v>
      </c>
      <c r="V256" s="22" t="str">
        <f>INDEX(Cronograma!U$5:U$11,MATCH($B256,Premissas!$A$39:$A$45,0))</f>
        <v/>
      </c>
      <c r="W256" s="22" t="str">
        <f>INDEX(Cronograma!V$5:V$11,MATCH($B256,Premissas!$A$39:$A$45,0))</f>
        <v/>
      </c>
      <c r="X256" s="22" t="str">
        <f>INDEX(Cronograma!W$5:W$11,MATCH($B256,Premissas!$A$39:$A$45,0))</f>
        <v/>
      </c>
      <c r="Y256" s="22" t="str">
        <f>INDEX(Cronograma!X$5:X$11,MATCH($B256,Premissas!$A$39:$A$45,0))</f>
        <v/>
      </c>
      <c r="Z256" s="22" t="str">
        <f>INDEX(Cronograma!Y$5:Y$11,MATCH($B256,Premissas!$A$39:$A$45,0))</f>
        <v/>
      </c>
      <c r="AA256" s="22" t="str">
        <f>INDEX(Cronograma!Z$5:Z$11,MATCH($B256,Premissas!$A$39:$A$45,0))</f>
        <v>B</v>
      </c>
      <c r="AB256" s="22" t="str">
        <f>INDEX(Cronograma!AA$5:AA$11,MATCH($B256,Premissas!$A$39:$A$45,0))</f>
        <v/>
      </c>
      <c r="AC256" s="22" t="str">
        <f>INDEX(Cronograma!AB$5:AB$11,MATCH($B256,Premissas!$A$39:$A$45,0))</f>
        <v/>
      </c>
      <c r="AD256" s="22" t="str">
        <f>INDEX(Cronograma!AC$5:AC$11,MATCH($B256,Premissas!$A$39:$A$45,0))</f>
        <v/>
      </c>
      <c r="AE256" s="22" t="str">
        <f>INDEX(Cronograma!AD$5:AD$11,MATCH($B256,Premissas!$A$39:$A$45,0))</f>
        <v/>
      </c>
      <c r="AF256" s="22" t="str">
        <f>INDEX(Cronograma!AE$5:AE$11,MATCH($B256,Premissas!$A$39:$A$45,0))</f>
        <v/>
      </c>
      <c r="AG256" s="22" t="str">
        <f>INDEX(Cronograma!AF$5:AF$11,MATCH($B256,Premissas!$A$39:$A$45,0))</f>
        <v/>
      </c>
      <c r="AH256" s="22" t="str">
        <f>INDEX(Cronograma!AG$5:AG$11,MATCH($B256,Premissas!$A$39:$A$45,0))</f>
        <v>S</v>
      </c>
      <c r="AI256" s="22" t="str">
        <f>INDEX(Cronograma!AH$5:AH$11,MATCH($B256,Premissas!$A$39:$A$45,0))</f>
        <v/>
      </c>
      <c r="AJ256" s="22" t="str">
        <f>INDEX(Cronograma!AI$5:AI$11,MATCH($B256,Premissas!$A$39:$A$45,0))</f>
        <v/>
      </c>
      <c r="AK256" s="22" t="str">
        <f>INDEX(Cronograma!AJ$5:AJ$11,MATCH($B256,Premissas!$A$39:$A$45,0))</f>
        <v/>
      </c>
      <c r="AL256" s="22" t="str">
        <f>INDEX(Cronograma!AK$5:AK$11,MATCH($B256,Premissas!$A$39:$A$45,0))</f>
        <v/>
      </c>
      <c r="AM256" s="22" t="str">
        <f>INDEX(Cronograma!AL$5:AL$11,MATCH($B256,Premissas!$A$39:$A$45,0))</f>
        <v/>
      </c>
      <c r="AN256" s="22" t="str">
        <f>INDEX(Cronograma!AM$5:AM$11,MATCH($B256,Premissas!$A$39:$A$45,0))</f>
        <v/>
      </c>
      <c r="AO256" s="22" t="str">
        <f>INDEX(Cronograma!AN$5:AN$11,MATCH($B256,Premissas!$A$39:$A$45,0))</f>
        <v/>
      </c>
      <c r="AP256" s="22" t="str">
        <f>INDEX(Cronograma!AO$5:AO$11,MATCH($B256,Premissas!$A$39:$A$45,0))</f>
        <v/>
      </c>
      <c r="AQ256" s="22" t="str">
        <f>INDEX(Cronograma!AP$5:AP$11,MATCH($B256,Premissas!$A$39:$A$45,0))</f>
        <v/>
      </c>
      <c r="AR256" s="22" t="str">
        <f>INDEX(Cronograma!AQ$5:AQ$11,MATCH($B256,Premissas!$A$39:$A$45,0))</f>
        <v/>
      </c>
      <c r="AS256" s="22" t="str">
        <f>INDEX(Cronograma!AR$5:AR$11,MATCH($B256,Premissas!$A$39:$A$45,0))</f>
        <v/>
      </c>
      <c r="AT256" s="22" t="str">
        <f>INDEX(Cronograma!AS$5:AS$11,MATCH($B256,Premissas!$A$39:$A$45,0))</f>
        <v/>
      </c>
      <c r="AU256" s="22" t="str">
        <f>INDEX(Cronograma!AT$5:AT$11,MATCH($B256,Premissas!$A$39:$A$45,0))</f>
        <v/>
      </c>
      <c r="AV256" s="22" t="str">
        <f>INDEX(Cronograma!AU$5:AU$11,MATCH($B256,Premissas!$A$39:$A$45,0))</f>
        <v/>
      </c>
      <c r="AW256" s="22" t="str">
        <f>INDEX(Cronograma!AV$5:AV$11,MATCH($B256,Premissas!$A$39:$A$45,0))</f>
        <v/>
      </c>
      <c r="AX256" s="22" t="str">
        <f>INDEX(Cronograma!AW$5:AW$11,MATCH($B256,Premissas!$A$39:$A$45,0))</f>
        <v/>
      </c>
      <c r="AY256" s="22" t="str">
        <f>INDEX(Cronograma!AX$5:AX$11,MATCH($B256,Premissas!$A$39:$A$45,0))</f>
        <v>A</v>
      </c>
      <c r="AZ256" s="22" t="str">
        <f>INDEX(Cronograma!AY$5:AY$11,MATCH($B256,Premissas!$A$39:$A$45,0))</f>
        <v/>
      </c>
      <c r="BA256" s="22" t="str">
        <f>INDEX(Cronograma!AZ$5:AZ$11,MATCH($B256,Premissas!$A$39:$A$45,0))</f>
        <v/>
      </c>
      <c r="BB256" s="22" t="str">
        <f>INDEX(Cronograma!BA$5:BA$11,MATCH($B256,Premissas!$A$39:$A$45,0))</f>
        <v/>
      </c>
    </row>
    <row r="257" spans="1:54" ht="15" customHeight="1" x14ac:dyDescent="0.4">
      <c r="A257" s="15" t="str">
        <f>Frota!$B257&amp;" — "&amp;Frota!$A257</f>
        <v>John Deere 6190M — 105189</v>
      </c>
      <c r="B257" s="16" t="str">
        <f>Frota!$C257</f>
        <v>Trator</v>
      </c>
      <c r="C257" s="22" t="str">
        <f>INDEX(Cronograma!B$5:B$11,MATCH($B257,Premissas!$A$39:$A$45,0))</f>
        <v/>
      </c>
      <c r="D257" s="22" t="str">
        <f>INDEX(Cronograma!C$5:C$11,MATCH($B257,Premissas!$A$39:$A$45,0))</f>
        <v/>
      </c>
      <c r="E257" s="22" t="str">
        <f>INDEX(Cronograma!D$5:D$11,MATCH($B257,Premissas!$A$39:$A$45,0))</f>
        <v/>
      </c>
      <c r="F257" s="22" t="str">
        <f>INDEX(Cronograma!E$5:E$11,MATCH($B257,Premissas!$A$39:$A$45,0))</f>
        <v/>
      </c>
      <c r="G257" s="22" t="str">
        <f>INDEX(Cronograma!F$5:F$11,MATCH($B257,Premissas!$A$39:$A$45,0))</f>
        <v/>
      </c>
      <c r="H257" s="22" t="str">
        <f>INDEX(Cronograma!G$5:G$11,MATCH($B257,Premissas!$A$39:$A$45,0))</f>
        <v/>
      </c>
      <c r="I257" s="22" t="str">
        <f>INDEX(Cronograma!H$5:H$11,MATCH($B257,Premissas!$A$39:$A$45,0))</f>
        <v>S</v>
      </c>
      <c r="J257" s="22" t="str">
        <f>INDEX(Cronograma!I$5:I$11,MATCH($B257,Premissas!$A$39:$A$45,0))</f>
        <v/>
      </c>
      <c r="K257" s="22" t="str">
        <f>INDEX(Cronograma!J$5:J$11,MATCH($B257,Premissas!$A$39:$A$45,0))</f>
        <v/>
      </c>
      <c r="L257" s="22" t="str">
        <f>INDEX(Cronograma!K$5:K$11,MATCH($B257,Premissas!$A$39:$A$45,0))</f>
        <v/>
      </c>
      <c r="M257" s="22" t="str">
        <f>INDEX(Cronograma!L$5:L$11,MATCH($B257,Premissas!$A$39:$A$45,0))</f>
        <v/>
      </c>
      <c r="N257" s="22" t="str">
        <f>INDEX(Cronograma!M$5:M$11,MATCH($B257,Premissas!$A$39:$A$45,0))</f>
        <v/>
      </c>
      <c r="O257" s="22" t="str">
        <f>INDEX(Cronograma!N$5:N$11,MATCH($B257,Premissas!$A$39:$A$45,0))</f>
        <v>A</v>
      </c>
      <c r="P257" s="22" t="str">
        <f>INDEX(Cronograma!O$5:O$11,MATCH($B257,Premissas!$A$39:$A$45,0))</f>
        <v/>
      </c>
      <c r="Q257" s="22" t="str">
        <f>INDEX(Cronograma!P$5:P$11,MATCH($B257,Premissas!$A$39:$A$45,0))</f>
        <v/>
      </c>
      <c r="R257" s="22" t="str">
        <f>INDEX(Cronograma!Q$5:Q$11,MATCH($B257,Premissas!$A$39:$A$45,0))</f>
        <v/>
      </c>
      <c r="S257" s="22" t="str">
        <f>INDEX(Cronograma!R$5:R$11,MATCH($B257,Premissas!$A$39:$A$45,0))</f>
        <v/>
      </c>
      <c r="T257" s="22" t="str">
        <f>INDEX(Cronograma!S$5:S$11,MATCH($B257,Premissas!$A$39:$A$45,0))</f>
        <v/>
      </c>
      <c r="U257" s="22" t="str">
        <f>INDEX(Cronograma!T$5:T$11,MATCH($B257,Premissas!$A$39:$A$45,0))</f>
        <v>S</v>
      </c>
      <c r="V257" s="22" t="str">
        <f>INDEX(Cronograma!U$5:U$11,MATCH($B257,Premissas!$A$39:$A$45,0))</f>
        <v/>
      </c>
      <c r="W257" s="22" t="str">
        <f>INDEX(Cronograma!V$5:V$11,MATCH($B257,Premissas!$A$39:$A$45,0))</f>
        <v/>
      </c>
      <c r="X257" s="22" t="str">
        <f>INDEX(Cronograma!W$5:W$11,MATCH($B257,Premissas!$A$39:$A$45,0))</f>
        <v/>
      </c>
      <c r="Y257" s="22" t="str">
        <f>INDEX(Cronograma!X$5:X$11,MATCH($B257,Premissas!$A$39:$A$45,0))</f>
        <v/>
      </c>
      <c r="Z257" s="22" t="str">
        <f>INDEX(Cronograma!Y$5:Y$11,MATCH($B257,Premissas!$A$39:$A$45,0))</f>
        <v/>
      </c>
      <c r="AA257" s="22" t="str">
        <f>INDEX(Cronograma!Z$5:Z$11,MATCH($B257,Premissas!$A$39:$A$45,0))</f>
        <v>B</v>
      </c>
      <c r="AB257" s="22" t="str">
        <f>INDEX(Cronograma!AA$5:AA$11,MATCH($B257,Premissas!$A$39:$A$45,0))</f>
        <v/>
      </c>
      <c r="AC257" s="22" t="str">
        <f>INDEX(Cronograma!AB$5:AB$11,MATCH($B257,Premissas!$A$39:$A$45,0))</f>
        <v/>
      </c>
      <c r="AD257" s="22" t="str">
        <f>INDEX(Cronograma!AC$5:AC$11,MATCH($B257,Premissas!$A$39:$A$45,0))</f>
        <v/>
      </c>
      <c r="AE257" s="22" t="str">
        <f>INDEX(Cronograma!AD$5:AD$11,MATCH($B257,Premissas!$A$39:$A$45,0))</f>
        <v/>
      </c>
      <c r="AF257" s="22" t="str">
        <f>INDEX(Cronograma!AE$5:AE$11,MATCH($B257,Premissas!$A$39:$A$45,0))</f>
        <v/>
      </c>
      <c r="AG257" s="22" t="str">
        <f>INDEX(Cronograma!AF$5:AF$11,MATCH($B257,Premissas!$A$39:$A$45,0))</f>
        <v/>
      </c>
      <c r="AH257" s="22" t="str">
        <f>INDEX(Cronograma!AG$5:AG$11,MATCH($B257,Premissas!$A$39:$A$45,0))</f>
        <v>S</v>
      </c>
      <c r="AI257" s="22" t="str">
        <f>INDEX(Cronograma!AH$5:AH$11,MATCH($B257,Premissas!$A$39:$A$45,0))</f>
        <v/>
      </c>
      <c r="AJ257" s="22" t="str">
        <f>INDEX(Cronograma!AI$5:AI$11,MATCH($B257,Premissas!$A$39:$A$45,0))</f>
        <v/>
      </c>
      <c r="AK257" s="22" t="str">
        <f>INDEX(Cronograma!AJ$5:AJ$11,MATCH($B257,Premissas!$A$39:$A$45,0))</f>
        <v/>
      </c>
      <c r="AL257" s="22" t="str">
        <f>INDEX(Cronograma!AK$5:AK$11,MATCH($B257,Premissas!$A$39:$A$45,0))</f>
        <v/>
      </c>
      <c r="AM257" s="22" t="str">
        <f>INDEX(Cronograma!AL$5:AL$11,MATCH($B257,Premissas!$A$39:$A$45,0))</f>
        <v/>
      </c>
      <c r="AN257" s="22" t="str">
        <f>INDEX(Cronograma!AM$5:AM$11,MATCH($B257,Premissas!$A$39:$A$45,0))</f>
        <v/>
      </c>
      <c r="AO257" s="22" t="str">
        <f>INDEX(Cronograma!AN$5:AN$11,MATCH($B257,Premissas!$A$39:$A$45,0))</f>
        <v/>
      </c>
      <c r="AP257" s="22" t="str">
        <f>INDEX(Cronograma!AO$5:AO$11,MATCH($B257,Premissas!$A$39:$A$45,0))</f>
        <v/>
      </c>
      <c r="AQ257" s="22" t="str">
        <f>INDEX(Cronograma!AP$5:AP$11,MATCH($B257,Premissas!$A$39:$A$45,0))</f>
        <v/>
      </c>
      <c r="AR257" s="22" t="str">
        <f>INDEX(Cronograma!AQ$5:AQ$11,MATCH($B257,Premissas!$A$39:$A$45,0))</f>
        <v/>
      </c>
      <c r="AS257" s="22" t="str">
        <f>INDEX(Cronograma!AR$5:AR$11,MATCH($B257,Premissas!$A$39:$A$45,0))</f>
        <v/>
      </c>
      <c r="AT257" s="22" t="str">
        <f>INDEX(Cronograma!AS$5:AS$11,MATCH($B257,Premissas!$A$39:$A$45,0))</f>
        <v/>
      </c>
      <c r="AU257" s="22" t="str">
        <f>INDEX(Cronograma!AT$5:AT$11,MATCH($B257,Premissas!$A$39:$A$45,0))</f>
        <v/>
      </c>
      <c r="AV257" s="22" t="str">
        <f>INDEX(Cronograma!AU$5:AU$11,MATCH($B257,Premissas!$A$39:$A$45,0))</f>
        <v/>
      </c>
      <c r="AW257" s="22" t="str">
        <f>INDEX(Cronograma!AV$5:AV$11,MATCH($B257,Premissas!$A$39:$A$45,0))</f>
        <v/>
      </c>
      <c r="AX257" s="22" t="str">
        <f>INDEX(Cronograma!AW$5:AW$11,MATCH($B257,Premissas!$A$39:$A$45,0))</f>
        <v/>
      </c>
      <c r="AY257" s="22" t="str">
        <f>INDEX(Cronograma!AX$5:AX$11,MATCH($B257,Premissas!$A$39:$A$45,0))</f>
        <v>A</v>
      </c>
      <c r="AZ257" s="22" t="str">
        <f>INDEX(Cronograma!AY$5:AY$11,MATCH($B257,Premissas!$A$39:$A$45,0))</f>
        <v/>
      </c>
      <c r="BA257" s="22" t="str">
        <f>INDEX(Cronograma!AZ$5:AZ$11,MATCH($B257,Premissas!$A$39:$A$45,0))</f>
        <v/>
      </c>
      <c r="BB257" s="22" t="str">
        <f>INDEX(Cronograma!BA$5:BA$11,MATCH($B257,Premissas!$A$39:$A$45,0))</f>
        <v/>
      </c>
    </row>
    <row r="258" spans="1:54" ht="15" customHeight="1" x14ac:dyDescent="0.4">
      <c r="A258" s="15" t="str">
        <f>Frota!$B258&amp;" — "&amp;Frota!$A258</f>
        <v>John Deere 6190M — 105190</v>
      </c>
      <c r="B258" s="16" t="str">
        <f>Frota!$C258</f>
        <v>Trator</v>
      </c>
      <c r="C258" s="22" t="str">
        <f>INDEX(Cronograma!B$5:B$11,MATCH($B258,Premissas!$A$39:$A$45,0))</f>
        <v/>
      </c>
      <c r="D258" s="22" t="str">
        <f>INDEX(Cronograma!C$5:C$11,MATCH($B258,Premissas!$A$39:$A$45,0))</f>
        <v/>
      </c>
      <c r="E258" s="22" t="str">
        <f>INDEX(Cronograma!D$5:D$11,MATCH($B258,Premissas!$A$39:$A$45,0))</f>
        <v/>
      </c>
      <c r="F258" s="22" t="str">
        <f>INDEX(Cronograma!E$5:E$11,MATCH($B258,Premissas!$A$39:$A$45,0))</f>
        <v/>
      </c>
      <c r="G258" s="22" t="str">
        <f>INDEX(Cronograma!F$5:F$11,MATCH($B258,Premissas!$A$39:$A$45,0))</f>
        <v/>
      </c>
      <c r="H258" s="22" t="str">
        <f>INDEX(Cronograma!G$5:G$11,MATCH($B258,Premissas!$A$39:$A$45,0))</f>
        <v/>
      </c>
      <c r="I258" s="22" t="str">
        <f>INDEX(Cronograma!H$5:H$11,MATCH($B258,Premissas!$A$39:$A$45,0))</f>
        <v>S</v>
      </c>
      <c r="J258" s="22" t="str">
        <f>INDEX(Cronograma!I$5:I$11,MATCH($B258,Premissas!$A$39:$A$45,0))</f>
        <v/>
      </c>
      <c r="K258" s="22" t="str">
        <f>INDEX(Cronograma!J$5:J$11,MATCH($B258,Premissas!$A$39:$A$45,0))</f>
        <v/>
      </c>
      <c r="L258" s="22" t="str">
        <f>INDEX(Cronograma!K$5:K$11,MATCH($B258,Premissas!$A$39:$A$45,0))</f>
        <v/>
      </c>
      <c r="M258" s="22" t="str">
        <f>INDEX(Cronograma!L$5:L$11,MATCH($B258,Premissas!$A$39:$A$45,0))</f>
        <v/>
      </c>
      <c r="N258" s="22" t="str">
        <f>INDEX(Cronograma!M$5:M$11,MATCH($B258,Premissas!$A$39:$A$45,0))</f>
        <v/>
      </c>
      <c r="O258" s="22" t="str">
        <f>INDEX(Cronograma!N$5:N$11,MATCH($B258,Premissas!$A$39:$A$45,0))</f>
        <v>A</v>
      </c>
      <c r="P258" s="22" t="str">
        <f>INDEX(Cronograma!O$5:O$11,MATCH($B258,Premissas!$A$39:$A$45,0))</f>
        <v/>
      </c>
      <c r="Q258" s="22" t="str">
        <f>INDEX(Cronograma!P$5:P$11,MATCH($B258,Premissas!$A$39:$A$45,0))</f>
        <v/>
      </c>
      <c r="R258" s="22" t="str">
        <f>INDEX(Cronograma!Q$5:Q$11,MATCH($B258,Premissas!$A$39:$A$45,0))</f>
        <v/>
      </c>
      <c r="S258" s="22" t="str">
        <f>INDEX(Cronograma!R$5:R$11,MATCH($B258,Premissas!$A$39:$A$45,0))</f>
        <v/>
      </c>
      <c r="T258" s="22" t="str">
        <f>INDEX(Cronograma!S$5:S$11,MATCH($B258,Premissas!$A$39:$A$45,0))</f>
        <v/>
      </c>
      <c r="U258" s="22" t="str">
        <f>INDEX(Cronograma!T$5:T$11,MATCH($B258,Premissas!$A$39:$A$45,0))</f>
        <v>S</v>
      </c>
      <c r="V258" s="22" t="str">
        <f>INDEX(Cronograma!U$5:U$11,MATCH($B258,Premissas!$A$39:$A$45,0))</f>
        <v/>
      </c>
      <c r="W258" s="22" t="str">
        <f>INDEX(Cronograma!V$5:V$11,MATCH($B258,Premissas!$A$39:$A$45,0))</f>
        <v/>
      </c>
      <c r="X258" s="22" t="str">
        <f>INDEX(Cronograma!W$5:W$11,MATCH($B258,Premissas!$A$39:$A$45,0))</f>
        <v/>
      </c>
      <c r="Y258" s="22" t="str">
        <f>INDEX(Cronograma!X$5:X$11,MATCH($B258,Premissas!$A$39:$A$45,0))</f>
        <v/>
      </c>
      <c r="Z258" s="22" t="str">
        <f>INDEX(Cronograma!Y$5:Y$11,MATCH($B258,Premissas!$A$39:$A$45,0))</f>
        <v/>
      </c>
      <c r="AA258" s="22" t="str">
        <f>INDEX(Cronograma!Z$5:Z$11,MATCH($B258,Premissas!$A$39:$A$45,0))</f>
        <v>B</v>
      </c>
      <c r="AB258" s="22" t="str">
        <f>INDEX(Cronograma!AA$5:AA$11,MATCH($B258,Premissas!$A$39:$A$45,0))</f>
        <v/>
      </c>
      <c r="AC258" s="22" t="str">
        <f>INDEX(Cronograma!AB$5:AB$11,MATCH($B258,Premissas!$A$39:$A$45,0))</f>
        <v/>
      </c>
      <c r="AD258" s="22" t="str">
        <f>INDEX(Cronograma!AC$5:AC$11,MATCH($B258,Premissas!$A$39:$A$45,0))</f>
        <v/>
      </c>
      <c r="AE258" s="22" t="str">
        <f>INDEX(Cronograma!AD$5:AD$11,MATCH($B258,Premissas!$A$39:$A$45,0))</f>
        <v/>
      </c>
      <c r="AF258" s="22" t="str">
        <f>INDEX(Cronograma!AE$5:AE$11,MATCH($B258,Premissas!$A$39:$A$45,0))</f>
        <v/>
      </c>
      <c r="AG258" s="22" t="str">
        <f>INDEX(Cronograma!AF$5:AF$11,MATCH($B258,Premissas!$A$39:$A$45,0))</f>
        <v/>
      </c>
      <c r="AH258" s="22" t="str">
        <f>INDEX(Cronograma!AG$5:AG$11,MATCH($B258,Premissas!$A$39:$A$45,0))</f>
        <v>S</v>
      </c>
      <c r="AI258" s="22" t="str">
        <f>INDEX(Cronograma!AH$5:AH$11,MATCH($B258,Premissas!$A$39:$A$45,0))</f>
        <v/>
      </c>
      <c r="AJ258" s="22" t="str">
        <f>INDEX(Cronograma!AI$5:AI$11,MATCH($B258,Premissas!$A$39:$A$45,0))</f>
        <v/>
      </c>
      <c r="AK258" s="22" t="str">
        <f>INDEX(Cronograma!AJ$5:AJ$11,MATCH($B258,Premissas!$A$39:$A$45,0))</f>
        <v/>
      </c>
      <c r="AL258" s="22" t="str">
        <f>INDEX(Cronograma!AK$5:AK$11,MATCH($B258,Premissas!$A$39:$A$45,0))</f>
        <v/>
      </c>
      <c r="AM258" s="22" t="str">
        <f>INDEX(Cronograma!AL$5:AL$11,MATCH($B258,Premissas!$A$39:$A$45,0))</f>
        <v/>
      </c>
      <c r="AN258" s="22" t="str">
        <f>INDEX(Cronograma!AM$5:AM$11,MATCH($B258,Premissas!$A$39:$A$45,0))</f>
        <v/>
      </c>
      <c r="AO258" s="22" t="str">
        <f>INDEX(Cronograma!AN$5:AN$11,MATCH($B258,Premissas!$A$39:$A$45,0))</f>
        <v/>
      </c>
      <c r="AP258" s="22" t="str">
        <f>INDEX(Cronograma!AO$5:AO$11,MATCH($B258,Premissas!$A$39:$A$45,0))</f>
        <v/>
      </c>
      <c r="AQ258" s="22" t="str">
        <f>INDEX(Cronograma!AP$5:AP$11,MATCH($B258,Premissas!$A$39:$A$45,0))</f>
        <v/>
      </c>
      <c r="AR258" s="22" t="str">
        <f>INDEX(Cronograma!AQ$5:AQ$11,MATCH($B258,Premissas!$A$39:$A$45,0))</f>
        <v/>
      </c>
      <c r="AS258" s="22" t="str">
        <f>INDEX(Cronograma!AR$5:AR$11,MATCH($B258,Premissas!$A$39:$A$45,0))</f>
        <v/>
      </c>
      <c r="AT258" s="22" t="str">
        <f>INDEX(Cronograma!AS$5:AS$11,MATCH($B258,Premissas!$A$39:$A$45,0))</f>
        <v/>
      </c>
      <c r="AU258" s="22" t="str">
        <f>INDEX(Cronograma!AT$5:AT$11,MATCH($B258,Premissas!$A$39:$A$45,0))</f>
        <v/>
      </c>
      <c r="AV258" s="22" t="str">
        <f>INDEX(Cronograma!AU$5:AU$11,MATCH($B258,Premissas!$A$39:$A$45,0))</f>
        <v/>
      </c>
      <c r="AW258" s="22" t="str">
        <f>INDEX(Cronograma!AV$5:AV$11,MATCH($B258,Premissas!$A$39:$A$45,0))</f>
        <v/>
      </c>
      <c r="AX258" s="22" t="str">
        <f>INDEX(Cronograma!AW$5:AW$11,MATCH($B258,Premissas!$A$39:$A$45,0))</f>
        <v/>
      </c>
      <c r="AY258" s="22" t="str">
        <f>INDEX(Cronograma!AX$5:AX$11,MATCH($B258,Premissas!$A$39:$A$45,0))</f>
        <v>A</v>
      </c>
      <c r="AZ258" s="22" t="str">
        <f>INDEX(Cronograma!AY$5:AY$11,MATCH($B258,Premissas!$A$39:$A$45,0))</f>
        <v/>
      </c>
      <c r="BA258" s="22" t="str">
        <f>INDEX(Cronograma!AZ$5:AZ$11,MATCH($B258,Premissas!$A$39:$A$45,0))</f>
        <v/>
      </c>
      <c r="BB258" s="22" t="str">
        <f>INDEX(Cronograma!BA$5:BA$11,MATCH($B258,Premissas!$A$39:$A$45,0))</f>
        <v/>
      </c>
    </row>
    <row r="259" spans="1:54" ht="15" customHeight="1" x14ac:dyDescent="0.4">
      <c r="A259" s="15" t="str">
        <f>Frota!$B259&amp;" — "&amp;Frota!$A259</f>
        <v>John Deere 6190M — 105191</v>
      </c>
      <c r="B259" s="16" t="str">
        <f>Frota!$C259</f>
        <v>Trator</v>
      </c>
      <c r="C259" s="22" t="str">
        <f>INDEX(Cronograma!B$5:B$11,MATCH($B259,Premissas!$A$39:$A$45,0))</f>
        <v/>
      </c>
      <c r="D259" s="22" t="str">
        <f>INDEX(Cronograma!C$5:C$11,MATCH($B259,Premissas!$A$39:$A$45,0))</f>
        <v/>
      </c>
      <c r="E259" s="22" t="str">
        <f>INDEX(Cronograma!D$5:D$11,MATCH($B259,Premissas!$A$39:$A$45,0))</f>
        <v/>
      </c>
      <c r="F259" s="22" t="str">
        <f>INDEX(Cronograma!E$5:E$11,MATCH($B259,Premissas!$A$39:$A$45,0))</f>
        <v/>
      </c>
      <c r="G259" s="22" t="str">
        <f>INDEX(Cronograma!F$5:F$11,MATCH($B259,Premissas!$A$39:$A$45,0))</f>
        <v/>
      </c>
      <c r="H259" s="22" t="str">
        <f>INDEX(Cronograma!G$5:G$11,MATCH($B259,Premissas!$A$39:$A$45,0))</f>
        <v/>
      </c>
      <c r="I259" s="22" t="str">
        <f>INDEX(Cronograma!H$5:H$11,MATCH($B259,Premissas!$A$39:$A$45,0))</f>
        <v>S</v>
      </c>
      <c r="J259" s="22" t="str">
        <f>INDEX(Cronograma!I$5:I$11,MATCH($B259,Premissas!$A$39:$A$45,0))</f>
        <v/>
      </c>
      <c r="K259" s="22" t="str">
        <f>INDEX(Cronograma!J$5:J$11,MATCH($B259,Premissas!$A$39:$A$45,0))</f>
        <v/>
      </c>
      <c r="L259" s="22" t="str">
        <f>INDEX(Cronograma!K$5:K$11,MATCH($B259,Premissas!$A$39:$A$45,0))</f>
        <v/>
      </c>
      <c r="M259" s="22" t="str">
        <f>INDEX(Cronograma!L$5:L$11,MATCH($B259,Premissas!$A$39:$A$45,0))</f>
        <v/>
      </c>
      <c r="N259" s="22" t="str">
        <f>INDEX(Cronograma!M$5:M$11,MATCH($B259,Premissas!$A$39:$A$45,0))</f>
        <v/>
      </c>
      <c r="O259" s="22" t="str">
        <f>INDEX(Cronograma!N$5:N$11,MATCH($B259,Premissas!$A$39:$A$45,0))</f>
        <v>A</v>
      </c>
      <c r="P259" s="22" t="str">
        <f>INDEX(Cronograma!O$5:O$11,MATCH($B259,Premissas!$A$39:$A$45,0))</f>
        <v/>
      </c>
      <c r="Q259" s="22" t="str">
        <f>INDEX(Cronograma!P$5:P$11,MATCH($B259,Premissas!$A$39:$A$45,0))</f>
        <v/>
      </c>
      <c r="R259" s="22" t="str">
        <f>INDEX(Cronograma!Q$5:Q$11,MATCH($B259,Premissas!$A$39:$A$45,0))</f>
        <v/>
      </c>
      <c r="S259" s="22" t="str">
        <f>INDEX(Cronograma!R$5:R$11,MATCH($B259,Premissas!$A$39:$A$45,0))</f>
        <v/>
      </c>
      <c r="T259" s="22" t="str">
        <f>INDEX(Cronograma!S$5:S$11,MATCH($B259,Premissas!$A$39:$A$45,0))</f>
        <v/>
      </c>
      <c r="U259" s="22" t="str">
        <f>INDEX(Cronograma!T$5:T$11,MATCH($B259,Premissas!$A$39:$A$45,0))</f>
        <v>S</v>
      </c>
      <c r="V259" s="22" t="str">
        <f>INDEX(Cronograma!U$5:U$11,MATCH($B259,Premissas!$A$39:$A$45,0))</f>
        <v/>
      </c>
      <c r="W259" s="22" t="str">
        <f>INDEX(Cronograma!V$5:V$11,MATCH($B259,Premissas!$A$39:$A$45,0))</f>
        <v/>
      </c>
      <c r="X259" s="22" t="str">
        <f>INDEX(Cronograma!W$5:W$11,MATCH($B259,Premissas!$A$39:$A$45,0))</f>
        <v/>
      </c>
      <c r="Y259" s="22" t="str">
        <f>INDEX(Cronograma!X$5:X$11,MATCH($B259,Premissas!$A$39:$A$45,0))</f>
        <v/>
      </c>
      <c r="Z259" s="22" t="str">
        <f>INDEX(Cronograma!Y$5:Y$11,MATCH($B259,Premissas!$A$39:$A$45,0))</f>
        <v/>
      </c>
      <c r="AA259" s="22" t="str">
        <f>INDEX(Cronograma!Z$5:Z$11,MATCH($B259,Premissas!$A$39:$A$45,0))</f>
        <v>B</v>
      </c>
      <c r="AB259" s="22" t="str">
        <f>INDEX(Cronograma!AA$5:AA$11,MATCH($B259,Premissas!$A$39:$A$45,0))</f>
        <v/>
      </c>
      <c r="AC259" s="22" t="str">
        <f>INDEX(Cronograma!AB$5:AB$11,MATCH($B259,Premissas!$A$39:$A$45,0))</f>
        <v/>
      </c>
      <c r="AD259" s="22" t="str">
        <f>INDEX(Cronograma!AC$5:AC$11,MATCH($B259,Premissas!$A$39:$A$45,0))</f>
        <v/>
      </c>
      <c r="AE259" s="22" t="str">
        <f>INDEX(Cronograma!AD$5:AD$11,MATCH($B259,Premissas!$A$39:$A$45,0))</f>
        <v/>
      </c>
      <c r="AF259" s="22" t="str">
        <f>INDEX(Cronograma!AE$5:AE$11,MATCH($B259,Premissas!$A$39:$A$45,0))</f>
        <v/>
      </c>
      <c r="AG259" s="22" t="str">
        <f>INDEX(Cronograma!AF$5:AF$11,MATCH($B259,Premissas!$A$39:$A$45,0))</f>
        <v/>
      </c>
      <c r="AH259" s="22" t="str">
        <f>INDEX(Cronograma!AG$5:AG$11,MATCH($B259,Premissas!$A$39:$A$45,0))</f>
        <v>S</v>
      </c>
      <c r="AI259" s="22" t="str">
        <f>INDEX(Cronograma!AH$5:AH$11,MATCH($B259,Premissas!$A$39:$A$45,0))</f>
        <v/>
      </c>
      <c r="AJ259" s="22" t="str">
        <f>INDEX(Cronograma!AI$5:AI$11,MATCH($B259,Premissas!$A$39:$A$45,0))</f>
        <v/>
      </c>
      <c r="AK259" s="22" t="str">
        <f>INDEX(Cronograma!AJ$5:AJ$11,MATCH($B259,Premissas!$A$39:$A$45,0))</f>
        <v/>
      </c>
      <c r="AL259" s="22" t="str">
        <f>INDEX(Cronograma!AK$5:AK$11,MATCH($B259,Premissas!$A$39:$A$45,0))</f>
        <v/>
      </c>
      <c r="AM259" s="22" t="str">
        <f>INDEX(Cronograma!AL$5:AL$11,MATCH($B259,Premissas!$A$39:$A$45,0))</f>
        <v/>
      </c>
      <c r="AN259" s="22" t="str">
        <f>INDEX(Cronograma!AM$5:AM$11,MATCH($B259,Premissas!$A$39:$A$45,0))</f>
        <v/>
      </c>
      <c r="AO259" s="22" t="str">
        <f>INDEX(Cronograma!AN$5:AN$11,MATCH($B259,Premissas!$A$39:$A$45,0))</f>
        <v/>
      </c>
      <c r="AP259" s="22" t="str">
        <f>INDEX(Cronograma!AO$5:AO$11,MATCH($B259,Premissas!$A$39:$A$45,0))</f>
        <v/>
      </c>
      <c r="AQ259" s="22" t="str">
        <f>INDEX(Cronograma!AP$5:AP$11,MATCH($B259,Premissas!$A$39:$A$45,0))</f>
        <v/>
      </c>
      <c r="AR259" s="22" t="str">
        <f>INDEX(Cronograma!AQ$5:AQ$11,MATCH($B259,Premissas!$A$39:$A$45,0))</f>
        <v/>
      </c>
      <c r="AS259" s="22" t="str">
        <f>INDEX(Cronograma!AR$5:AR$11,MATCH($B259,Premissas!$A$39:$A$45,0))</f>
        <v/>
      </c>
      <c r="AT259" s="22" t="str">
        <f>INDEX(Cronograma!AS$5:AS$11,MATCH($B259,Premissas!$A$39:$A$45,0))</f>
        <v/>
      </c>
      <c r="AU259" s="22" t="str">
        <f>INDEX(Cronograma!AT$5:AT$11,MATCH($B259,Premissas!$A$39:$A$45,0))</f>
        <v/>
      </c>
      <c r="AV259" s="22" t="str">
        <f>INDEX(Cronograma!AU$5:AU$11,MATCH($B259,Premissas!$A$39:$A$45,0))</f>
        <v/>
      </c>
      <c r="AW259" s="22" t="str">
        <f>INDEX(Cronograma!AV$5:AV$11,MATCH($B259,Premissas!$A$39:$A$45,0))</f>
        <v/>
      </c>
      <c r="AX259" s="22" t="str">
        <f>INDEX(Cronograma!AW$5:AW$11,MATCH($B259,Premissas!$A$39:$A$45,0))</f>
        <v/>
      </c>
      <c r="AY259" s="22" t="str">
        <f>INDEX(Cronograma!AX$5:AX$11,MATCH($B259,Premissas!$A$39:$A$45,0))</f>
        <v>A</v>
      </c>
      <c r="AZ259" s="22" t="str">
        <f>INDEX(Cronograma!AY$5:AY$11,MATCH($B259,Premissas!$A$39:$A$45,0))</f>
        <v/>
      </c>
      <c r="BA259" s="22" t="str">
        <f>INDEX(Cronograma!AZ$5:AZ$11,MATCH($B259,Premissas!$A$39:$A$45,0))</f>
        <v/>
      </c>
      <c r="BB259" s="22" t="str">
        <f>INDEX(Cronograma!BA$5:BA$11,MATCH($B259,Premissas!$A$39:$A$45,0))</f>
        <v/>
      </c>
    </row>
    <row r="260" spans="1:54" ht="15" customHeight="1" x14ac:dyDescent="0.4">
      <c r="A260" s="15" t="str">
        <f>Frota!$B260&amp;" — "&amp;Frota!$A260</f>
        <v>John Deere 6190M — 105192</v>
      </c>
      <c r="B260" s="16" t="str">
        <f>Frota!$C260</f>
        <v>Trator</v>
      </c>
      <c r="C260" s="22" t="str">
        <f>INDEX(Cronograma!B$5:B$11,MATCH($B260,Premissas!$A$39:$A$45,0))</f>
        <v/>
      </c>
      <c r="D260" s="22" t="str">
        <f>INDEX(Cronograma!C$5:C$11,MATCH($B260,Premissas!$A$39:$A$45,0))</f>
        <v/>
      </c>
      <c r="E260" s="22" t="str">
        <f>INDEX(Cronograma!D$5:D$11,MATCH($B260,Premissas!$A$39:$A$45,0))</f>
        <v/>
      </c>
      <c r="F260" s="22" t="str">
        <f>INDEX(Cronograma!E$5:E$11,MATCH($B260,Premissas!$A$39:$A$45,0))</f>
        <v/>
      </c>
      <c r="G260" s="22" t="str">
        <f>INDEX(Cronograma!F$5:F$11,MATCH($B260,Premissas!$A$39:$A$45,0))</f>
        <v/>
      </c>
      <c r="H260" s="22" t="str">
        <f>INDEX(Cronograma!G$5:G$11,MATCH($B260,Premissas!$A$39:$A$45,0))</f>
        <v/>
      </c>
      <c r="I260" s="22" t="str">
        <f>INDEX(Cronograma!H$5:H$11,MATCH($B260,Premissas!$A$39:$A$45,0))</f>
        <v>S</v>
      </c>
      <c r="J260" s="22" t="str">
        <f>INDEX(Cronograma!I$5:I$11,MATCH($B260,Premissas!$A$39:$A$45,0))</f>
        <v/>
      </c>
      <c r="K260" s="22" t="str">
        <f>INDEX(Cronograma!J$5:J$11,MATCH($B260,Premissas!$A$39:$A$45,0))</f>
        <v/>
      </c>
      <c r="L260" s="22" t="str">
        <f>INDEX(Cronograma!K$5:K$11,MATCH($B260,Premissas!$A$39:$A$45,0))</f>
        <v/>
      </c>
      <c r="M260" s="22" t="str">
        <f>INDEX(Cronograma!L$5:L$11,MATCH($B260,Premissas!$A$39:$A$45,0))</f>
        <v/>
      </c>
      <c r="N260" s="22" t="str">
        <f>INDEX(Cronograma!M$5:M$11,MATCH($B260,Premissas!$A$39:$A$45,0))</f>
        <v/>
      </c>
      <c r="O260" s="22" t="str">
        <f>INDEX(Cronograma!N$5:N$11,MATCH($B260,Premissas!$A$39:$A$45,0))</f>
        <v>A</v>
      </c>
      <c r="P260" s="22" t="str">
        <f>INDEX(Cronograma!O$5:O$11,MATCH($B260,Premissas!$A$39:$A$45,0))</f>
        <v/>
      </c>
      <c r="Q260" s="22" t="str">
        <f>INDEX(Cronograma!P$5:P$11,MATCH($B260,Premissas!$A$39:$A$45,0))</f>
        <v/>
      </c>
      <c r="R260" s="22" t="str">
        <f>INDEX(Cronograma!Q$5:Q$11,MATCH($B260,Premissas!$A$39:$A$45,0))</f>
        <v/>
      </c>
      <c r="S260" s="22" t="str">
        <f>INDEX(Cronograma!R$5:R$11,MATCH($B260,Premissas!$A$39:$A$45,0))</f>
        <v/>
      </c>
      <c r="T260" s="22" t="str">
        <f>INDEX(Cronograma!S$5:S$11,MATCH($B260,Premissas!$A$39:$A$45,0))</f>
        <v/>
      </c>
      <c r="U260" s="22" t="str">
        <f>INDEX(Cronograma!T$5:T$11,MATCH($B260,Premissas!$A$39:$A$45,0))</f>
        <v>S</v>
      </c>
      <c r="V260" s="22" t="str">
        <f>INDEX(Cronograma!U$5:U$11,MATCH($B260,Premissas!$A$39:$A$45,0))</f>
        <v/>
      </c>
      <c r="W260" s="22" t="str">
        <f>INDEX(Cronograma!V$5:V$11,MATCH($B260,Premissas!$A$39:$A$45,0))</f>
        <v/>
      </c>
      <c r="X260" s="22" t="str">
        <f>INDEX(Cronograma!W$5:W$11,MATCH($B260,Premissas!$A$39:$A$45,0))</f>
        <v/>
      </c>
      <c r="Y260" s="22" t="str">
        <f>INDEX(Cronograma!X$5:X$11,MATCH($B260,Premissas!$A$39:$A$45,0))</f>
        <v/>
      </c>
      <c r="Z260" s="22" t="str">
        <f>INDEX(Cronograma!Y$5:Y$11,MATCH($B260,Premissas!$A$39:$A$45,0))</f>
        <v/>
      </c>
      <c r="AA260" s="22" t="str">
        <f>INDEX(Cronograma!Z$5:Z$11,MATCH($B260,Premissas!$A$39:$A$45,0))</f>
        <v>B</v>
      </c>
      <c r="AB260" s="22" t="str">
        <f>INDEX(Cronograma!AA$5:AA$11,MATCH($B260,Premissas!$A$39:$A$45,0))</f>
        <v/>
      </c>
      <c r="AC260" s="22" t="str">
        <f>INDEX(Cronograma!AB$5:AB$11,MATCH($B260,Premissas!$A$39:$A$45,0))</f>
        <v/>
      </c>
      <c r="AD260" s="22" t="str">
        <f>INDEX(Cronograma!AC$5:AC$11,MATCH($B260,Premissas!$A$39:$A$45,0))</f>
        <v/>
      </c>
      <c r="AE260" s="22" t="str">
        <f>INDEX(Cronograma!AD$5:AD$11,MATCH($B260,Premissas!$A$39:$A$45,0))</f>
        <v/>
      </c>
      <c r="AF260" s="22" t="str">
        <f>INDEX(Cronograma!AE$5:AE$11,MATCH($B260,Premissas!$A$39:$A$45,0))</f>
        <v/>
      </c>
      <c r="AG260" s="22" t="str">
        <f>INDEX(Cronograma!AF$5:AF$11,MATCH($B260,Premissas!$A$39:$A$45,0))</f>
        <v/>
      </c>
      <c r="AH260" s="22" t="str">
        <f>INDEX(Cronograma!AG$5:AG$11,MATCH($B260,Premissas!$A$39:$A$45,0))</f>
        <v>S</v>
      </c>
      <c r="AI260" s="22" t="str">
        <f>INDEX(Cronograma!AH$5:AH$11,MATCH($B260,Premissas!$A$39:$A$45,0))</f>
        <v/>
      </c>
      <c r="AJ260" s="22" t="str">
        <f>INDEX(Cronograma!AI$5:AI$11,MATCH($B260,Premissas!$A$39:$A$45,0))</f>
        <v/>
      </c>
      <c r="AK260" s="22" t="str">
        <f>INDEX(Cronograma!AJ$5:AJ$11,MATCH($B260,Premissas!$A$39:$A$45,0))</f>
        <v/>
      </c>
      <c r="AL260" s="22" t="str">
        <f>INDEX(Cronograma!AK$5:AK$11,MATCH($B260,Premissas!$A$39:$A$45,0))</f>
        <v/>
      </c>
      <c r="AM260" s="22" t="str">
        <f>INDEX(Cronograma!AL$5:AL$11,MATCH($B260,Premissas!$A$39:$A$45,0))</f>
        <v/>
      </c>
      <c r="AN260" s="22" t="str">
        <f>INDEX(Cronograma!AM$5:AM$11,MATCH($B260,Premissas!$A$39:$A$45,0))</f>
        <v/>
      </c>
      <c r="AO260" s="22" t="str">
        <f>INDEX(Cronograma!AN$5:AN$11,MATCH($B260,Premissas!$A$39:$A$45,0))</f>
        <v/>
      </c>
      <c r="AP260" s="22" t="str">
        <f>INDEX(Cronograma!AO$5:AO$11,MATCH($B260,Premissas!$A$39:$A$45,0))</f>
        <v/>
      </c>
      <c r="AQ260" s="22" t="str">
        <f>INDEX(Cronograma!AP$5:AP$11,MATCH($B260,Premissas!$A$39:$A$45,0))</f>
        <v/>
      </c>
      <c r="AR260" s="22" t="str">
        <f>INDEX(Cronograma!AQ$5:AQ$11,MATCH($B260,Premissas!$A$39:$A$45,0))</f>
        <v/>
      </c>
      <c r="AS260" s="22" t="str">
        <f>INDEX(Cronograma!AR$5:AR$11,MATCH($B260,Premissas!$A$39:$A$45,0))</f>
        <v/>
      </c>
      <c r="AT260" s="22" t="str">
        <f>INDEX(Cronograma!AS$5:AS$11,MATCH($B260,Premissas!$A$39:$A$45,0))</f>
        <v/>
      </c>
      <c r="AU260" s="22" t="str">
        <f>INDEX(Cronograma!AT$5:AT$11,MATCH($B260,Premissas!$A$39:$A$45,0))</f>
        <v/>
      </c>
      <c r="AV260" s="22" t="str">
        <f>INDEX(Cronograma!AU$5:AU$11,MATCH($B260,Premissas!$A$39:$A$45,0))</f>
        <v/>
      </c>
      <c r="AW260" s="22" t="str">
        <f>INDEX(Cronograma!AV$5:AV$11,MATCH($B260,Premissas!$A$39:$A$45,0))</f>
        <v/>
      </c>
      <c r="AX260" s="22" t="str">
        <f>INDEX(Cronograma!AW$5:AW$11,MATCH($B260,Premissas!$A$39:$A$45,0))</f>
        <v/>
      </c>
      <c r="AY260" s="22" t="str">
        <f>INDEX(Cronograma!AX$5:AX$11,MATCH($B260,Premissas!$A$39:$A$45,0))</f>
        <v>A</v>
      </c>
      <c r="AZ260" s="22" t="str">
        <f>INDEX(Cronograma!AY$5:AY$11,MATCH($B260,Premissas!$A$39:$A$45,0))</f>
        <v/>
      </c>
      <c r="BA260" s="22" t="str">
        <f>INDEX(Cronograma!AZ$5:AZ$11,MATCH($B260,Premissas!$A$39:$A$45,0))</f>
        <v/>
      </c>
      <c r="BB260" s="22" t="str">
        <f>INDEX(Cronograma!BA$5:BA$11,MATCH($B260,Premissas!$A$39:$A$45,0))</f>
        <v/>
      </c>
    </row>
    <row r="261" spans="1:54" ht="15" customHeight="1" x14ac:dyDescent="0.4">
      <c r="A261" s="15" t="str">
        <f>Frota!$B261&amp;" — "&amp;Frota!$A261</f>
        <v>John Deere 6190M — 105193</v>
      </c>
      <c r="B261" s="16" t="str">
        <f>Frota!$C261</f>
        <v>Trator</v>
      </c>
      <c r="C261" s="22" t="str">
        <f>INDEX(Cronograma!B$5:B$11,MATCH($B261,Premissas!$A$39:$A$45,0))</f>
        <v/>
      </c>
      <c r="D261" s="22" t="str">
        <f>INDEX(Cronograma!C$5:C$11,MATCH($B261,Premissas!$A$39:$A$45,0))</f>
        <v/>
      </c>
      <c r="E261" s="22" t="str">
        <f>INDEX(Cronograma!D$5:D$11,MATCH($B261,Premissas!$A$39:$A$45,0))</f>
        <v/>
      </c>
      <c r="F261" s="22" t="str">
        <f>INDEX(Cronograma!E$5:E$11,MATCH($B261,Premissas!$A$39:$A$45,0))</f>
        <v/>
      </c>
      <c r="G261" s="22" t="str">
        <f>INDEX(Cronograma!F$5:F$11,MATCH($B261,Premissas!$A$39:$A$45,0))</f>
        <v/>
      </c>
      <c r="H261" s="22" t="str">
        <f>INDEX(Cronograma!G$5:G$11,MATCH($B261,Premissas!$A$39:$A$45,0))</f>
        <v/>
      </c>
      <c r="I261" s="22" t="str">
        <f>INDEX(Cronograma!H$5:H$11,MATCH($B261,Premissas!$A$39:$A$45,0))</f>
        <v>S</v>
      </c>
      <c r="J261" s="22" t="str">
        <f>INDEX(Cronograma!I$5:I$11,MATCH($B261,Premissas!$A$39:$A$45,0))</f>
        <v/>
      </c>
      <c r="K261" s="22" t="str">
        <f>INDEX(Cronograma!J$5:J$11,MATCH($B261,Premissas!$A$39:$A$45,0))</f>
        <v/>
      </c>
      <c r="L261" s="22" t="str">
        <f>INDEX(Cronograma!K$5:K$11,MATCH($B261,Premissas!$A$39:$A$45,0))</f>
        <v/>
      </c>
      <c r="M261" s="22" t="str">
        <f>INDEX(Cronograma!L$5:L$11,MATCH($B261,Premissas!$A$39:$A$45,0))</f>
        <v/>
      </c>
      <c r="N261" s="22" t="str">
        <f>INDEX(Cronograma!M$5:M$11,MATCH($B261,Premissas!$A$39:$A$45,0))</f>
        <v/>
      </c>
      <c r="O261" s="22" t="str">
        <f>INDEX(Cronograma!N$5:N$11,MATCH($B261,Premissas!$A$39:$A$45,0))</f>
        <v>A</v>
      </c>
      <c r="P261" s="22" t="str">
        <f>INDEX(Cronograma!O$5:O$11,MATCH($B261,Premissas!$A$39:$A$45,0))</f>
        <v/>
      </c>
      <c r="Q261" s="22" t="str">
        <f>INDEX(Cronograma!P$5:P$11,MATCH($B261,Premissas!$A$39:$A$45,0))</f>
        <v/>
      </c>
      <c r="R261" s="22" t="str">
        <f>INDEX(Cronograma!Q$5:Q$11,MATCH($B261,Premissas!$A$39:$A$45,0))</f>
        <v/>
      </c>
      <c r="S261" s="22" t="str">
        <f>INDEX(Cronograma!R$5:R$11,MATCH($B261,Premissas!$A$39:$A$45,0))</f>
        <v/>
      </c>
      <c r="T261" s="22" t="str">
        <f>INDEX(Cronograma!S$5:S$11,MATCH($B261,Premissas!$A$39:$A$45,0))</f>
        <v/>
      </c>
      <c r="U261" s="22" t="str">
        <f>INDEX(Cronograma!T$5:T$11,MATCH($B261,Premissas!$A$39:$A$45,0))</f>
        <v>S</v>
      </c>
      <c r="V261" s="22" t="str">
        <f>INDEX(Cronograma!U$5:U$11,MATCH($B261,Premissas!$A$39:$A$45,0))</f>
        <v/>
      </c>
      <c r="W261" s="22" t="str">
        <f>INDEX(Cronograma!V$5:V$11,MATCH($B261,Premissas!$A$39:$A$45,0))</f>
        <v/>
      </c>
      <c r="X261" s="22" t="str">
        <f>INDEX(Cronograma!W$5:W$11,MATCH($B261,Premissas!$A$39:$A$45,0))</f>
        <v/>
      </c>
      <c r="Y261" s="22" t="str">
        <f>INDEX(Cronograma!X$5:X$11,MATCH($B261,Premissas!$A$39:$A$45,0))</f>
        <v/>
      </c>
      <c r="Z261" s="22" t="str">
        <f>INDEX(Cronograma!Y$5:Y$11,MATCH($B261,Premissas!$A$39:$A$45,0))</f>
        <v/>
      </c>
      <c r="AA261" s="22" t="str">
        <f>INDEX(Cronograma!Z$5:Z$11,MATCH($B261,Premissas!$A$39:$A$45,0))</f>
        <v>B</v>
      </c>
      <c r="AB261" s="22" t="str">
        <f>INDEX(Cronograma!AA$5:AA$11,MATCH($B261,Premissas!$A$39:$A$45,0))</f>
        <v/>
      </c>
      <c r="AC261" s="22" t="str">
        <f>INDEX(Cronograma!AB$5:AB$11,MATCH($B261,Premissas!$A$39:$A$45,0))</f>
        <v/>
      </c>
      <c r="AD261" s="22" t="str">
        <f>INDEX(Cronograma!AC$5:AC$11,MATCH($B261,Premissas!$A$39:$A$45,0))</f>
        <v/>
      </c>
      <c r="AE261" s="22" t="str">
        <f>INDEX(Cronograma!AD$5:AD$11,MATCH($B261,Premissas!$A$39:$A$45,0))</f>
        <v/>
      </c>
      <c r="AF261" s="22" t="str">
        <f>INDEX(Cronograma!AE$5:AE$11,MATCH($B261,Premissas!$A$39:$A$45,0))</f>
        <v/>
      </c>
      <c r="AG261" s="22" t="str">
        <f>INDEX(Cronograma!AF$5:AF$11,MATCH($B261,Premissas!$A$39:$A$45,0))</f>
        <v/>
      </c>
      <c r="AH261" s="22" t="str">
        <f>INDEX(Cronograma!AG$5:AG$11,MATCH($B261,Premissas!$A$39:$A$45,0))</f>
        <v>S</v>
      </c>
      <c r="AI261" s="22" t="str">
        <f>INDEX(Cronograma!AH$5:AH$11,MATCH($B261,Premissas!$A$39:$A$45,0))</f>
        <v/>
      </c>
      <c r="AJ261" s="22" t="str">
        <f>INDEX(Cronograma!AI$5:AI$11,MATCH($B261,Premissas!$A$39:$A$45,0))</f>
        <v/>
      </c>
      <c r="AK261" s="22" t="str">
        <f>INDEX(Cronograma!AJ$5:AJ$11,MATCH($B261,Premissas!$A$39:$A$45,0))</f>
        <v/>
      </c>
      <c r="AL261" s="22" t="str">
        <f>INDEX(Cronograma!AK$5:AK$11,MATCH($B261,Premissas!$A$39:$A$45,0))</f>
        <v/>
      </c>
      <c r="AM261" s="22" t="str">
        <f>INDEX(Cronograma!AL$5:AL$11,MATCH($B261,Premissas!$A$39:$A$45,0))</f>
        <v/>
      </c>
      <c r="AN261" s="22" t="str">
        <f>INDEX(Cronograma!AM$5:AM$11,MATCH($B261,Premissas!$A$39:$A$45,0))</f>
        <v/>
      </c>
      <c r="AO261" s="22" t="str">
        <f>INDEX(Cronograma!AN$5:AN$11,MATCH($B261,Premissas!$A$39:$A$45,0))</f>
        <v/>
      </c>
      <c r="AP261" s="22" t="str">
        <f>INDEX(Cronograma!AO$5:AO$11,MATCH($B261,Premissas!$A$39:$A$45,0))</f>
        <v/>
      </c>
      <c r="AQ261" s="22" t="str">
        <f>INDEX(Cronograma!AP$5:AP$11,MATCH($B261,Premissas!$A$39:$A$45,0))</f>
        <v/>
      </c>
      <c r="AR261" s="22" t="str">
        <f>INDEX(Cronograma!AQ$5:AQ$11,MATCH($B261,Premissas!$A$39:$A$45,0))</f>
        <v/>
      </c>
      <c r="AS261" s="22" t="str">
        <f>INDEX(Cronograma!AR$5:AR$11,MATCH($B261,Premissas!$A$39:$A$45,0))</f>
        <v/>
      </c>
      <c r="AT261" s="22" t="str">
        <f>INDEX(Cronograma!AS$5:AS$11,MATCH($B261,Premissas!$A$39:$A$45,0))</f>
        <v/>
      </c>
      <c r="AU261" s="22" t="str">
        <f>INDEX(Cronograma!AT$5:AT$11,MATCH($B261,Premissas!$A$39:$A$45,0))</f>
        <v/>
      </c>
      <c r="AV261" s="22" t="str">
        <f>INDEX(Cronograma!AU$5:AU$11,MATCH($B261,Premissas!$A$39:$A$45,0))</f>
        <v/>
      </c>
      <c r="AW261" s="22" t="str">
        <f>INDEX(Cronograma!AV$5:AV$11,MATCH($B261,Premissas!$A$39:$A$45,0))</f>
        <v/>
      </c>
      <c r="AX261" s="22" t="str">
        <f>INDEX(Cronograma!AW$5:AW$11,MATCH($B261,Premissas!$A$39:$A$45,0))</f>
        <v/>
      </c>
      <c r="AY261" s="22" t="str">
        <f>INDEX(Cronograma!AX$5:AX$11,MATCH($B261,Premissas!$A$39:$A$45,0))</f>
        <v>A</v>
      </c>
      <c r="AZ261" s="22" t="str">
        <f>INDEX(Cronograma!AY$5:AY$11,MATCH($B261,Premissas!$A$39:$A$45,0))</f>
        <v/>
      </c>
      <c r="BA261" s="22" t="str">
        <f>INDEX(Cronograma!AZ$5:AZ$11,MATCH($B261,Premissas!$A$39:$A$45,0))</f>
        <v/>
      </c>
      <c r="BB261" s="22" t="str">
        <f>INDEX(Cronograma!BA$5:BA$11,MATCH($B261,Premissas!$A$39:$A$45,0))</f>
        <v/>
      </c>
    </row>
    <row r="262" spans="1:54" ht="15" customHeight="1" x14ac:dyDescent="0.4">
      <c r="A262" s="15" t="str">
        <f>Frota!$B262&amp;" — "&amp;Frota!$A262</f>
        <v>John Deere 6190M — 105194</v>
      </c>
      <c r="B262" s="16" t="str">
        <f>Frota!$C262</f>
        <v>Trator</v>
      </c>
      <c r="C262" s="22" t="str">
        <f>INDEX(Cronograma!B$5:B$11,MATCH($B262,Premissas!$A$39:$A$45,0))</f>
        <v/>
      </c>
      <c r="D262" s="22" t="str">
        <f>INDEX(Cronograma!C$5:C$11,MATCH($B262,Premissas!$A$39:$A$45,0))</f>
        <v/>
      </c>
      <c r="E262" s="22" t="str">
        <f>INDEX(Cronograma!D$5:D$11,MATCH($B262,Premissas!$A$39:$A$45,0))</f>
        <v/>
      </c>
      <c r="F262" s="22" t="str">
        <f>INDEX(Cronograma!E$5:E$11,MATCH($B262,Premissas!$A$39:$A$45,0))</f>
        <v/>
      </c>
      <c r="G262" s="22" t="str">
        <f>INDEX(Cronograma!F$5:F$11,MATCH($B262,Premissas!$A$39:$A$45,0))</f>
        <v/>
      </c>
      <c r="H262" s="22" t="str">
        <f>INDEX(Cronograma!G$5:G$11,MATCH($B262,Premissas!$A$39:$A$45,0))</f>
        <v/>
      </c>
      <c r="I262" s="22" t="str">
        <f>INDEX(Cronograma!H$5:H$11,MATCH($B262,Premissas!$A$39:$A$45,0))</f>
        <v>S</v>
      </c>
      <c r="J262" s="22" t="str">
        <f>INDEX(Cronograma!I$5:I$11,MATCH($B262,Premissas!$A$39:$A$45,0))</f>
        <v/>
      </c>
      <c r="K262" s="22" t="str">
        <f>INDEX(Cronograma!J$5:J$11,MATCH($B262,Premissas!$A$39:$A$45,0))</f>
        <v/>
      </c>
      <c r="L262" s="22" t="str">
        <f>INDEX(Cronograma!K$5:K$11,MATCH($B262,Premissas!$A$39:$A$45,0))</f>
        <v/>
      </c>
      <c r="M262" s="22" t="str">
        <f>INDEX(Cronograma!L$5:L$11,MATCH($B262,Premissas!$A$39:$A$45,0))</f>
        <v/>
      </c>
      <c r="N262" s="22" t="str">
        <f>INDEX(Cronograma!M$5:M$11,MATCH($B262,Premissas!$A$39:$A$45,0))</f>
        <v/>
      </c>
      <c r="O262" s="22" t="str">
        <f>INDEX(Cronograma!N$5:N$11,MATCH($B262,Premissas!$A$39:$A$45,0))</f>
        <v>A</v>
      </c>
      <c r="P262" s="22" t="str">
        <f>INDEX(Cronograma!O$5:O$11,MATCH($B262,Premissas!$A$39:$A$45,0))</f>
        <v/>
      </c>
      <c r="Q262" s="22" t="str">
        <f>INDEX(Cronograma!P$5:P$11,MATCH($B262,Premissas!$A$39:$A$45,0))</f>
        <v/>
      </c>
      <c r="R262" s="22" t="str">
        <f>INDEX(Cronograma!Q$5:Q$11,MATCH($B262,Premissas!$A$39:$A$45,0))</f>
        <v/>
      </c>
      <c r="S262" s="22" t="str">
        <f>INDEX(Cronograma!R$5:R$11,MATCH($B262,Premissas!$A$39:$A$45,0))</f>
        <v/>
      </c>
      <c r="T262" s="22" t="str">
        <f>INDEX(Cronograma!S$5:S$11,MATCH($B262,Premissas!$A$39:$A$45,0))</f>
        <v/>
      </c>
      <c r="U262" s="22" t="str">
        <f>INDEX(Cronograma!T$5:T$11,MATCH($B262,Premissas!$A$39:$A$45,0))</f>
        <v>S</v>
      </c>
      <c r="V262" s="22" t="str">
        <f>INDEX(Cronograma!U$5:U$11,MATCH($B262,Premissas!$A$39:$A$45,0))</f>
        <v/>
      </c>
      <c r="W262" s="22" t="str">
        <f>INDEX(Cronograma!V$5:V$11,MATCH($B262,Premissas!$A$39:$A$45,0))</f>
        <v/>
      </c>
      <c r="X262" s="22" t="str">
        <f>INDEX(Cronograma!W$5:W$11,MATCH($B262,Premissas!$A$39:$A$45,0))</f>
        <v/>
      </c>
      <c r="Y262" s="22" t="str">
        <f>INDEX(Cronograma!X$5:X$11,MATCH($B262,Premissas!$A$39:$A$45,0))</f>
        <v/>
      </c>
      <c r="Z262" s="22" t="str">
        <f>INDEX(Cronograma!Y$5:Y$11,MATCH($B262,Premissas!$A$39:$A$45,0))</f>
        <v/>
      </c>
      <c r="AA262" s="22" t="str">
        <f>INDEX(Cronograma!Z$5:Z$11,MATCH($B262,Premissas!$A$39:$A$45,0))</f>
        <v>B</v>
      </c>
      <c r="AB262" s="22" t="str">
        <f>INDEX(Cronograma!AA$5:AA$11,MATCH($B262,Premissas!$A$39:$A$45,0))</f>
        <v/>
      </c>
      <c r="AC262" s="22" t="str">
        <f>INDEX(Cronograma!AB$5:AB$11,MATCH($B262,Premissas!$A$39:$A$45,0))</f>
        <v/>
      </c>
      <c r="AD262" s="22" t="str">
        <f>INDEX(Cronograma!AC$5:AC$11,MATCH($B262,Premissas!$A$39:$A$45,0))</f>
        <v/>
      </c>
      <c r="AE262" s="22" t="str">
        <f>INDEX(Cronograma!AD$5:AD$11,MATCH($B262,Premissas!$A$39:$A$45,0))</f>
        <v/>
      </c>
      <c r="AF262" s="22" t="str">
        <f>INDEX(Cronograma!AE$5:AE$11,MATCH($B262,Premissas!$A$39:$A$45,0))</f>
        <v/>
      </c>
      <c r="AG262" s="22" t="str">
        <f>INDEX(Cronograma!AF$5:AF$11,MATCH($B262,Premissas!$A$39:$A$45,0))</f>
        <v/>
      </c>
      <c r="AH262" s="22" t="str">
        <f>INDEX(Cronograma!AG$5:AG$11,MATCH($B262,Premissas!$A$39:$A$45,0))</f>
        <v>S</v>
      </c>
      <c r="AI262" s="22" t="str">
        <f>INDEX(Cronograma!AH$5:AH$11,MATCH($B262,Premissas!$A$39:$A$45,0))</f>
        <v/>
      </c>
      <c r="AJ262" s="22" t="str">
        <f>INDEX(Cronograma!AI$5:AI$11,MATCH($B262,Premissas!$A$39:$A$45,0))</f>
        <v/>
      </c>
      <c r="AK262" s="22" t="str">
        <f>INDEX(Cronograma!AJ$5:AJ$11,MATCH($B262,Premissas!$A$39:$A$45,0))</f>
        <v/>
      </c>
      <c r="AL262" s="22" t="str">
        <f>INDEX(Cronograma!AK$5:AK$11,MATCH($B262,Premissas!$A$39:$A$45,0))</f>
        <v/>
      </c>
      <c r="AM262" s="22" t="str">
        <f>INDEX(Cronograma!AL$5:AL$11,MATCH($B262,Premissas!$A$39:$A$45,0))</f>
        <v/>
      </c>
      <c r="AN262" s="22" t="str">
        <f>INDEX(Cronograma!AM$5:AM$11,MATCH($B262,Premissas!$A$39:$A$45,0))</f>
        <v/>
      </c>
      <c r="AO262" s="22" t="str">
        <f>INDEX(Cronograma!AN$5:AN$11,MATCH($B262,Premissas!$A$39:$A$45,0))</f>
        <v/>
      </c>
      <c r="AP262" s="22" t="str">
        <f>INDEX(Cronograma!AO$5:AO$11,MATCH($B262,Premissas!$A$39:$A$45,0))</f>
        <v/>
      </c>
      <c r="AQ262" s="22" t="str">
        <f>INDEX(Cronograma!AP$5:AP$11,MATCH($B262,Premissas!$A$39:$A$45,0))</f>
        <v/>
      </c>
      <c r="AR262" s="22" t="str">
        <f>INDEX(Cronograma!AQ$5:AQ$11,MATCH($B262,Premissas!$A$39:$A$45,0))</f>
        <v/>
      </c>
      <c r="AS262" s="22" t="str">
        <f>INDEX(Cronograma!AR$5:AR$11,MATCH($B262,Premissas!$A$39:$A$45,0))</f>
        <v/>
      </c>
      <c r="AT262" s="22" t="str">
        <f>INDEX(Cronograma!AS$5:AS$11,MATCH($B262,Premissas!$A$39:$A$45,0))</f>
        <v/>
      </c>
      <c r="AU262" s="22" t="str">
        <f>INDEX(Cronograma!AT$5:AT$11,MATCH($B262,Premissas!$A$39:$A$45,0))</f>
        <v/>
      </c>
      <c r="AV262" s="22" t="str">
        <f>INDEX(Cronograma!AU$5:AU$11,MATCH($B262,Premissas!$A$39:$A$45,0))</f>
        <v/>
      </c>
      <c r="AW262" s="22" t="str">
        <f>INDEX(Cronograma!AV$5:AV$11,MATCH($B262,Premissas!$A$39:$A$45,0))</f>
        <v/>
      </c>
      <c r="AX262" s="22" t="str">
        <f>INDEX(Cronograma!AW$5:AW$11,MATCH($B262,Premissas!$A$39:$A$45,0))</f>
        <v/>
      </c>
      <c r="AY262" s="22" t="str">
        <f>INDEX(Cronograma!AX$5:AX$11,MATCH($B262,Premissas!$A$39:$A$45,0))</f>
        <v>A</v>
      </c>
      <c r="AZ262" s="22" t="str">
        <f>INDEX(Cronograma!AY$5:AY$11,MATCH($B262,Premissas!$A$39:$A$45,0))</f>
        <v/>
      </c>
      <c r="BA262" s="22" t="str">
        <f>INDEX(Cronograma!AZ$5:AZ$11,MATCH($B262,Premissas!$A$39:$A$45,0))</f>
        <v/>
      </c>
      <c r="BB262" s="22" t="str">
        <f>INDEX(Cronograma!BA$5:BA$11,MATCH($B262,Premissas!$A$39:$A$45,0))</f>
        <v/>
      </c>
    </row>
    <row r="263" spans="1:54" ht="15" customHeight="1" x14ac:dyDescent="0.4">
      <c r="A263" s="15" t="str">
        <f>Frota!$B263&amp;" — "&amp;Frota!$A263</f>
        <v>John Deere 6190M — 105195</v>
      </c>
      <c r="B263" s="16" t="str">
        <f>Frota!$C263</f>
        <v>Trator</v>
      </c>
      <c r="C263" s="22" t="str">
        <f>INDEX(Cronograma!B$5:B$11,MATCH($B263,Premissas!$A$39:$A$45,0))</f>
        <v/>
      </c>
      <c r="D263" s="22" t="str">
        <f>INDEX(Cronograma!C$5:C$11,MATCH($B263,Premissas!$A$39:$A$45,0))</f>
        <v/>
      </c>
      <c r="E263" s="22" t="str">
        <f>INDEX(Cronograma!D$5:D$11,MATCH($B263,Premissas!$A$39:$A$45,0))</f>
        <v/>
      </c>
      <c r="F263" s="22" t="str">
        <f>INDEX(Cronograma!E$5:E$11,MATCH($B263,Premissas!$A$39:$A$45,0))</f>
        <v/>
      </c>
      <c r="G263" s="22" t="str">
        <f>INDEX(Cronograma!F$5:F$11,MATCH($B263,Premissas!$A$39:$A$45,0))</f>
        <v/>
      </c>
      <c r="H263" s="22" t="str">
        <f>INDEX(Cronograma!G$5:G$11,MATCH($B263,Premissas!$A$39:$A$45,0))</f>
        <v/>
      </c>
      <c r="I263" s="22" t="str">
        <f>INDEX(Cronograma!H$5:H$11,MATCH($B263,Premissas!$A$39:$A$45,0))</f>
        <v>S</v>
      </c>
      <c r="J263" s="22" t="str">
        <f>INDEX(Cronograma!I$5:I$11,MATCH($B263,Premissas!$A$39:$A$45,0))</f>
        <v/>
      </c>
      <c r="K263" s="22" t="str">
        <f>INDEX(Cronograma!J$5:J$11,MATCH($B263,Premissas!$A$39:$A$45,0))</f>
        <v/>
      </c>
      <c r="L263" s="22" t="str">
        <f>INDEX(Cronograma!K$5:K$11,MATCH($B263,Premissas!$A$39:$A$45,0))</f>
        <v/>
      </c>
      <c r="M263" s="22" t="str">
        <f>INDEX(Cronograma!L$5:L$11,MATCH($B263,Premissas!$A$39:$A$45,0))</f>
        <v/>
      </c>
      <c r="N263" s="22" t="str">
        <f>INDEX(Cronograma!M$5:M$11,MATCH($B263,Premissas!$A$39:$A$45,0))</f>
        <v/>
      </c>
      <c r="O263" s="22" t="str">
        <f>INDEX(Cronograma!N$5:N$11,MATCH($B263,Premissas!$A$39:$A$45,0))</f>
        <v>A</v>
      </c>
      <c r="P263" s="22" t="str">
        <f>INDEX(Cronograma!O$5:O$11,MATCH($B263,Premissas!$A$39:$A$45,0))</f>
        <v/>
      </c>
      <c r="Q263" s="22" t="str">
        <f>INDEX(Cronograma!P$5:P$11,MATCH($B263,Premissas!$A$39:$A$45,0))</f>
        <v/>
      </c>
      <c r="R263" s="22" t="str">
        <f>INDEX(Cronograma!Q$5:Q$11,MATCH($B263,Premissas!$A$39:$A$45,0))</f>
        <v/>
      </c>
      <c r="S263" s="22" t="str">
        <f>INDEX(Cronograma!R$5:R$11,MATCH($B263,Premissas!$A$39:$A$45,0))</f>
        <v/>
      </c>
      <c r="T263" s="22" t="str">
        <f>INDEX(Cronograma!S$5:S$11,MATCH($B263,Premissas!$A$39:$A$45,0))</f>
        <v/>
      </c>
      <c r="U263" s="22" t="str">
        <f>INDEX(Cronograma!T$5:T$11,MATCH($B263,Premissas!$A$39:$A$45,0))</f>
        <v>S</v>
      </c>
      <c r="V263" s="22" t="str">
        <f>INDEX(Cronograma!U$5:U$11,MATCH($B263,Premissas!$A$39:$A$45,0))</f>
        <v/>
      </c>
      <c r="W263" s="22" t="str">
        <f>INDEX(Cronograma!V$5:V$11,MATCH($B263,Premissas!$A$39:$A$45,0))</f>
        <v/>
      </c>
      <c r="X263" s="22" t="str">
        <f>INDEX(Cronograma!W$5:W$11,MATCH($B263,Premissas!$A$39:$A$45,0))</f>
        <v/>
      </c>
      <c r="Y263" s="22" t="str">
        <f>INDEX(Cronograma!X$5:X$11,MATCH($B263,Premissas!$A$39:$A$45,0))</f>
        <v/>
      </c>
      <c r="Z263" s="22" t="str">
        <f>INDEX(Cronograma!Y$5:Y$11,MATCH($B263,Premissas!$A$39:$A$45,0))</f>
        <v/>
      </c>
      <c r="AA263" s="22" t="str">
        <f>INDEX(Cronograma!Z$5:Z$11,MATCH($B263,Premissas!$A$39:$A$45,0))</f>
        <v>B</v>
      </c>
      <c r="AB263" s="22" t="str">
        <f>INDEX(Cronograma!AA$5:AA$11,MATCH($B263,Premissas!$A$39:$A$45,0))</f>
        <v/>
      </c>
      <c r="AC263" s="22" t="str">
        <f>INDEX(Cronograma!AB$5:AB$11,MATCH($B263,Premissas!$A$39:$A$45,0))</f>
        <v/>
      </c>
      <c r="AD263" s="22" t="str">
        <f>INDEX(Cronograma!AC$5:AC$11,MATCH($B263,Premissas!$A$39:$A$45,0))</f>
        <v/>
      </c>
      <c r="AE263" s="22" t="str">
        <f>INDEX(Cronograma!AD$5:AD$11,MATCH($B263,Premissas!$A$39:$A$45,0))</f>
        <v/>
      </c>
      <c r="AF263" s="22" t="str">
        <f>INDEX(Cronograma!AE$5:AE$11,MATCH($B263,Premissas!$A$39:$A$45,0))</f>
        <v/>
      </c>
      <c r="AG263" s="22" t="str">
        <f>INDEX(Cronograma!AF$5:AF$11,MATCH($B263,Premissas!$A$39:$A$45,0))</f>
        <v/>
      </c>
      <c r="AH263" s="22" t="str">
        <f>INDEX(Cronograma!AG$5:AG$11,MATCH($B263,Premissas!$A$39:$A$45,0))</f>
        <v>S</v>
      </c>
      <c r="AI263" s="22" t="str">
        <f>INDEX(Cronograma!AH$5:AH$11,MATCH($B263,Premissas!$A$39:$A$45,0))</f>
        <v/>
      </c>
      <c r="AJ263" s="22" t="str">
        <f>INDEX(Cronograma!AI$5:AI$11,MATCH($B263,Premissas!$A$39:$A$45,0))</f>
        <v/>
      </c>
      <c r="AK263" s="22" t="str">
        <f>INDEX(Cronograma!AJ$5:AJ$11,MATCH($B263,Premissas!$A$39:$A$45,0))</f>
        <v/>
      </c>
      <c r="AL263" s="22" t="str">
        <f>INDEX(Cronograma!AK$5:AK$11,MATCH($B263,Premissas!$A$39:$A$45,0))</f>
        <v/>
      </c>
      <c r="AM263" s="22" t="str">
        <f>INDEX(Cronograma!AL$5:AL$11,MATCH($B263,Premissas!$A$39:$A$45,0))</f>
        <v/>
      </c>
      <c r="AN263" s="22" t="str">
        <f>INDEX(Cronograma!AM$5:AM$11,MATCH($B263,Premissas!$A$39:$A$45,0))</f>
        <v/>
      </c>
      <c r="AO263" s="22" t="str">
        <f>INDEX(Cronograma!AN$5:AN$11,MATCH($B263,Premissas!$A$39:$A$45,0))</f>
        <v/>
      </c>
      <c r="AP263" s="22" t="str">
        <f>INDEX(Cronograma!AO$5:AO$11,MATCH($B263,Premissas!$A$39:$A$45,0))</f>
        <v/>
      </c>
      <c r="AQ263" s="22" t="str">
        <f>INDEX(Cronograma!AP$5:AP$11,MATCH($B263,Premissas!$A$39:$A$45,0))</f>
        <v/>
      </c>
      <c r="AR263" s="22" t="str">
        <f>INDEX(Cronograma!AQ$5:AQ$11,MATCH($B263,Premissas!$A$39:$A$45,0))</f>
        <v/>
      </c>
      <c r="AS263" s="22" t="str">
        <f>INDEX(Cronograma!AR$5:AR$11,MATCH($B263,Premissas!$A$39:$A$45,0))</f>
        <v/>
      </c>
      <c r="AT263" s="22" t="str">
        <f>INDEX(Cronograma!AS$5:AS$11,MATCH($B263,Premissas!$A$39:$A$45,0))</f>
        <v/>
      </c>
      <c r="AU263" s="22" t="str">
        <f>INDEX(Cronograma!AT$5:AT$11,MATCH($B263,Premissas!$A$39:$A$45,0))</f>
        <v/>
      </c>
      <c r="AV263" s="22" t="str">
        <f>INDEX(Cronograma!AU$5:AU$11,MATCH($B263,Premissas!$A$39:$A$45,0))</f>
        <v/>
      </c>
      <c r="AW263" s="22" t="str">
        <f>INDEX(Cronograma!AV$5:AV$11,MATCH($B263,Premissas!$A$39:$A$45,0))</f>
        <v/>
      </c>
      <c r="AX263" s="22" t="str">
        <f>INDEX(Cronograma!AW$5:AW$11,MATCH($B263,Premissas!$A$39:$A$45,0))</f>
        <v/>
      </c>
      <c r="AY263" s="22" t="str">
        <f>INDEX(Cronograma!AX$5:AX$11,MATCH($B263,Premissas!$A$39:$A$45,0))</f>
        <v>A</v>
      </c>
      <c r="AZ263" s="22" t="str">
        <f>INDEX(Cronograma!AY$5:AY$11,MATCH($B263,Premissas!$A$39:$A$45,0))</f>
        <v/>
      </c>
      <c r="BA263" s="22" t="str">
        <f>INDEX(Cronograma!AZ$5:AZ$11,MATCH($B263,Premissas!$A$39:$A$45,0))</f>
        <v/>
      </c>
      <c r="BB263" s="22" t="str">
        <f>INDEX(Cronograma!BA$5:BA$11,MATCH($B263,Premissas!$A$39:$A$45,0))</f>
        <v/>
      </c>
    </row>
    <row r="264" spans="1:54" ht="15" customHeight="1" x14ac:dyDescent="0.4">
      <c r="A264" s="15" t="str">
        <f>Frota!$B264&amp;" — "&amp;Frota!$A264</f>
        <v>John Deere 6190M — 105196</v>
      </c>
      <c r="B264" s="16" t="str">
        <f>Frota!$C264</f>
        <v>Trator</v>
      </c>
      <c r="C264" s="22" t="str">
        <f>INDEX(Cronograma!B$5:B$11,MATCH($B264,Premissas!$A$39:$A$45,0))</f>
        <v/>
      </c>
      <c r="D264" s="22" t="str">
        <f>INDEX(Cronograma!C$5:C$11,MATCH($B264,Premissas!$A$39:$A$45,0))</f>
        <v/>
      </c>
      <c r="E264" s="22" t="str">
        <f>INDEX(Cronograma!D$5:D$11,MATCH($B264,Premissas!$A$39:$A$45,0))</f>
        <v/>
      </c>
      <c r="F264" s="22" t="str">
        <f>INDEX(Cronograma!E$5:E$11,MATCH($B264,Premissas!$A$39:$A$45,0))</f>
        <v/>
      </c>
      <c r="G264" s="22" t="str">
        <f>INDEX(Cronograma!F$5:F$11,MATCH($B264,Premissas!$A$39:$A$45,0))</f>
        <v/>
      </c>
      <c r="H264" s="22" t="str">
        <f>INDEX(Cronograma!G$5:G$11,MATCH($B264,Premissas!$A$39:$A$45,0))</f>
        <v/>
      </c>
      <c r="I264" s="22" t="str">
        <f>INDEX(Cronograma!H$5:H$11,MATCH($B264,Premissas!$A$39:$A$45,0))</f>
        <v>S</v>
      </c>
      <c r="J264" s="22" t="str">
        <f>INDEX(Cronograma!I$5:I$11,MATCH($B264,Premissas!$A$39:$A$45,0))</f>
        <v/>
      </c>
      <c r="K264" s="22" t="str">
        <f>INDEX(Cronograma!J$5:J$11,MATCH($B264,Premissas!$A$39:$A$45,0))</f>
        <v/>
      </c>
      <c r="L264" s="22" t="str">
        <f>INDEX(Cronograma!K$5:K$11,MATCH($B264,Premissas!$A$39:$A$45,0))</f>
        <v/>
      </c>
      <c r="M264" s="22" t="str">
        <f>INDEX(Cronograma!L$5:L$11,MATCH($B264,Premissas!$A$39:$A$45,0))</f>
        <v/>
      </c>
      <c r="N264" s="22" t="str">
        <f>INDEX(Cronograma!M$5:M$11,MATCH($B264,Premissas!$A$39:$A$45,0))</f>
        <v/>
      </c>
      <c r="O264" s="22" t="str">
        <f>INDEX(Cronograma!N$5:N$11,MATCH($B264,Premissas!$A$39:$A$45,0))</f>
        <v>A</v>
      </c>
      <c r="P264" s="22" t="str">
        <f>INDEX(Cronograma!O$5:O$11,MATCH($B264,Premissas!$A$39:$A$45,0))</f>
        <v/>
      </c>
      <c r="Q264" s="22" t="str">
        <f>INDEX(Cronograma!P$5:P$11,MATCH($B264,Premissas!$A$39:$A$45,0))</f>
        <v/>
      </c>
      <c r="R264" s="22" t="str">
        <f>INDEX(Cronograma!Q$5:Q$11,MATCH($B264,Premissas!$A$39:$A$45,0))</f>
        <v/>
      </c>
      <c r="S264" s="22" t="str">
        <f>INDEX(Cronograma!R$5:R$11,MATCH($B264,Premissas!$A$39:$A$45,0))</f>
        <v/>
      </c>
      <c r="T264" s="22" t="str">
        <f>INDEX(Cronograma!S$5:S$11,MATCH($B264,Premissas!$A$39:$A$45,0))</f>
        <v/>
      </c>
      <c r="U264" s="22" t="str">
        <f>INDEX(Cronograma!T$5:T$11,MATCH($B264,Premissas!$A$39:$A$45,0))</f>
        <v>S</v>
      </c>
      <c r="V264" s="22" t="str">
        <f>INDEX(Cronograma!U$5:U$11,MATCH($B264,Premissas!$A$39:$A$45,0))</f>
        <v/>
      </c>
      <c r="W264" s="22" t="str">
        <f>INDEX(Cronograma!V$5:V$11,MATCH($B264,Premissas!$A$39:$A$45,0))</f>
        <v/>
      </c>
      <c r="X264" s="22" t="str">
        <f>INDEX(Cronograma!W$5:W$11,MATCH($B264,Premissas!$A$39:$A$45,0))</f>
        <v/>
      </c>
      <c r="Y264" s="22" t="str">
        <f>INDEX(Cronograma!X$5:X$11,MATCH($B264,Premissas!$A$39:$A$45,0))</f>
        <v/>
      </c>
      <c r="Z264" s="22" t="str">
        <f>INDEX(Cronograma!Y$5:Y$11,MATCH($B264,Premissas!$A$39:$A$45,0))</f>
        <v/>
      </c>
      <c r="AA264" s="22" t="str">
        <f>INDEX(Cronograma!Z$5:Z$11,MATCH($B264,Premissas!$A$39:$A$45,0))</f>
        <v>B</v>
      </c>
      <c r="AB264" s="22" t="str">
        <f>INDEX(Cronograma!AA$5:AA$11,MATCH($B264,Premissas!$A$39:$A$45,0))</f>
        <v/>
      </c>
      <c r="AC264" s="22" t="str">
        <f>INDEX(Cronograma!AB$5:AB$11,MATCH($B264,Premissas!$A$39:$A$45,0))</f>
        <v/>
      </c>
      <c r="AD264" s="22" t="str">
        <f>INDEX(Cronograma!AC$5:AC$11,MATCH($B264,Premissas!$A$39:$A$45,0))</f>
        <v/>
      </c>
      <c r="AE264" s="22" t="str">
        <f>INDEX(Cronograma!AD$5:AD$11,MATCH($B264,Premissas!$A$39:$A$45,0))</f>
        <v/>
      </c>
      <c r="AF264" s="22" t="str">
        <f>INDEX(Cronograma!AE$5:AE$11,MATCH($B264,Premissas!$A$39:$A$45,0))</f>
        <v/>
      </c>
      <c r="AG264" s="22" t="str">
        <f>INDEX(Cronograma!AF$5:AF$11,MATCH($B264,Premissas!$A$39:$A$45,0))</f>
        <v/>
      </c>
      <c r="AH264" s="22" t="str">
        <f>INDEX(Cronograma!AG$5:AG$11,MATCH($B264,Premissas!$A$39:$A$45,0))</f>
        <v>S</v>
      </c>
      <c r="AI264" s="22" t="str">
        <f>INDEX(Cronograma!AH$5:AH$11,MATCH($B264,Premissas!$A$39:$A$45,0))</f>
        <v/>
      </c>
      <c r="AJ264" s="22" t="str">
        <f>INDEX(Cronograma!AI$5:AI$11,MATCH($B264,Premissas!$A$39:$A$45,0))</f>
        <v/>
      </c>
      <c r="AK264" s="22" t="str">
        <f>INDEX(Cronograma!AJ$5:AJ$11,MATCH($B264,Premissas!$A$39:$A$45,0))</f>
        <v/>
      </c>
      <c r="AL264" s="22" t="str">
        <f>INDEX(Cronograma!AK$5:AK$11,MATCH($B264,Premissas!$A$39:$A$45,0))</f>
        <v/>
      </c>
      <c r="AM264" s="22" t="str">
        <f>INDEX(Cronograma!AL$5:AL$11,MATCH($B264,Premissas!$A$39:$A$45,0))</f>
        <v/>
      </c>
      <c r="AN264" s="22" t="str">
        <f>INDEX(Cronograma!AM$5:AM$11,MATCH($B264,Premissas!$A$39:$A$45,0))</f>
        <v/>
      </c>
      <c r="AO264" s="22" t="str">
        <f>INDEX(Cronograma!AN$5:AN$11,MATCH($B264,Premissas!$A$39:$A$45,0))</f>
        <v/>
      </c>
      <c r="AP264" s="22" t="str">
        <f>INDEX(Cronograma!AO$5:AO$11,MATCH($B264,Premissas!$A$39:$A$45,0))</f>
        <v/>
      </c>
      <c r="AQ264" s="22" t="str">
        <f>INDEX(Cronograma!AP$5:AP$11,MATCH($B264,Premissas!$A$39:$A$45,0))</f>
        <v/>
      </c>
      <c r="AR264" s="22" t="str">
        <f>INDEX(Cronograma!AQ$5:AQ$11,MATCH($B264,Premissas!$A$39:$A$45,0))</f>
        <v/>
      </c>
      <c r="AS264" s="22" t="str">
        <f>INDEX(Cronograma!AR$5:AR$11,MATCH($B264,Premissas!$A$39:$A$45,0))</f>
        <v/>
      </c>
      <c r="AT264" s="22" t="str">
        <f>INDEX(Cronograma!AS$5:AS$11,MATCH($B264,Premissas!$A$39:$A$45,0))</f>
        <v/>
      </c>
      <c r="AU264" s="22" t="str">
        <f>INDEX(Cronograma!AT$5:AT$11,MATCH($B264,Premissas!$A$39:$A$45,0))</f>
        <v/>
      </c>
      <c r="AV264" s="22" t="str">
        <f>INDEX(Cronograma!AU$5:AU$11,MATCH($B264,Premissas!$A$39:$A$45,0))</f>
        <v/>
      </c>
      <c r="AW264" s="22" t="str">
        <f>INDEX(Cronograma!AV$5:AV$11,MATCH($B264,Premissas!$A$39:$A$45,0))</f>
        <v/>
      </c>
      <c r="AX264" s="22" t="str">
        <f>INDEX(Cronograma!AW$5:AW$11,MATCH($B264,Premissas!$A$39:$A$45,0))</f>
        <v/>
      </c>
      <c r="AY264" s="22" t="str">
        <f>INDEX(Cronograma!AX$5:AX$11,MATCH($B264,Premissas!$A$39:$A$45,0))</f>
        <v>A</v>
      </c>
      <c r="AZ264" s="22" t="str">
        <f>INDEX(Cronograma!AY$5:AY$11,MATCH($B264,Premissas!$A$39:$A$45,0))</f>
        <v/>
      </c>
      <c r="BA264" s="22" t="str">
        <f>INDEX(Cronograma!AZ$5:AZ$11,MATCH($B264,Premissas!$A$39:$A$45,0))</f>
        <v/>
      </c>
      <c r="BB264" s="22" t="str">
        <f>INDEX(Cronograma!BA$5:BA$11,MATCH($B264,Premissas!$A$39:$A$45,0))</f>
        <v/>
      </c>
    </row>
    <row r="265" spans="1:54" ht="15" customHeight="1" x14ac:dyDescent="0.4">
      <c r="A265" s="15" t="str">
        <f>Frota!$B265&amp;" — "&amp;Frota!$A265</f>
        <v>Valtra 885 — 106025</v>
      </c>
      <c r="B265" s="16" t="str">
        <f>Frota!$C265</f>
        <v>Carregadeira/Pesada</v>
      </c>
      <c r="C265" s="22" t="str">
        <f>INDEX(Cronograma!B$5:B$11,MATCH($B265,Premissas!$A$39:$A$45,0))</f>
        <v/>
      </c>
      <c r="D265" s="22" t="str">
        <f>INDEX(Cronograma!C$5:C$11,MATCH($B265,Premissas!$A$39:$A$45,0))</f>
        <v/>
      </c>
      <c r="E265" s="22" t="str">
        <f>INDEX(Cronograma!D$5:D$11,MATCH($B265,Premissas!$A$39:$A$45,0))</f>
        <v/>
      </c>
      <c r="F265" s="22" t="str">
        <f>INDEX(Cronograma!E$5:E$11,MATCH($B265,Premissas!$A$39:$A$45,0))</f>
        <v/>
      </c>
      <c r="G265" s="22" t="str">
        <f>INDEX(Cronograma!F$5:F$11,MATCH($B265,Premissas!$A$39:$A$45,0))</f>
        <v/>
      </c>
      <c r="H265" s="22" t="str">
        <f>INDEX(Cronograma!G$5:G$11,MATCH($B265,Premissas!$A$39:$A$45,0))</f>
        <v>S</v>
      </c>
      <c r="I265" s="22" t="str">
        <f>INDEX(Cronograma!H$5:H$11,MATCH($B265,Premissas!$A$39:$A$45,0))</f>
        <v/>
      </c>
      <c r="J265" s="22" t="str">
        <f>INDEX(Cronograma!I$5:I$11,MATCH($B265,Premissas!$A$39:$A$45,0))</f>
        <v/>
      </c>
      <c r="K265" s="22" t="str">
        <f>INDEX(Cronograma!J$5:J$11,MATCH($B265,Premissas!$A$39:$A$45,0))</f>
        <v/>
      </c>
      <c r="L265" s="22" t="str">
        <f>INDEX(Cronograma!K$5:K$11,MATCH($B265,Premissas!$A$39:$A$45,0))</f>
        <v/>
      </c>
      <c r="M265" s="22" t="str">
        <f>INDEX(Cronograma!L$5:L$11,MATCH($B265,Premissas!$A$39:$A$45,0))</f>
        <v/>
      </c>
      <c r="N265" s="22" t="str">
        <f>INDEX(Cronograma!M$5:M$11,MATCH($B265,Premissas!$A$39:$A$45,0))</f>
        <v>A</v>
      </c>
      <c r="O265" s="22" t="str">
        <f>INDEX(Cronograma!N$5:N$11,MATCH($B265,Premissas!$A$39:$A$45,0))</f>
        <v/>
      </c>
      <c r="P265" s="22" t="str">
        <f>INDEX(Cronograma!O$5:O$11,MATCH($B265,Premissas!$A$39:$A$45,0))</f>
        <v/>
      </c>
      <c r="Q265" s="22" t="str">
        <f>INDEX(Cronograma!P$5:P$11,MATCH($B265,Premissas!$A$39:$A$45,0))</f>
        <v/>
      </c>
      <c r="R265" s="22" t="str">
        <f>INDEX(Cronograma!Q$5:Q$11,MATCH($B265,Premissas!$A$39:$A$45,0))</f>
        <v/>
      </c>
      <c r="S265" s="22" t="str">
        <f>INDEX(Cronograma!R$5:R$11,MATCH($B265,Premissas!$A$39:$A$45,0))</f>
        <v>S</v>
      </c>
      <c r="T265" s="22" t="str">
        <f>INDEX(Cronograma!S$5:S$11,MATCH($B265,Premissas!$A$39:$A$45,0))</f>
        <v/>
      </c>
      <c r="U265" s="22" t="str">
        <f>INDEX(Cronograma!T$5:T$11,MATCH($B265,Premissas!$A$39:$A$45,0))</f>
        <v/>
      </c>
      <c r="V265" s="22" t="str">
        <f>INDEX(Cronograma!U$5:U$11,MATCH($B265,Premissas!$A$39:$A$45,0))</f>
        <v/>
      </c>
      <c r="W265" s="22" t="str">
        <f>INDEX(Cronograma!V$5:V$11,MATCH($B265,Premissas!$A$39:$A$45,0))</f>
        <v/>
      </c>
      <c r="X265" s="22" t="str">
        <f>INDEX(Cronograma!W$5:W$11,MATCH($B265,Premissas!$A$39:$A$45,0))</f>
        <v/>
      </c>
      <c r="Y265" s="22" t="str">
        <f>INDEX(Cronograma!X$5:X$11,MATCH($B265,Premissas!$A$39:$A$45,0))</f>
        <v>B</v>
      </c>
      <c r="Z265" s="22" t="str">
        <f>INDEX(Cronograma!Y$5:Y$11,MATCH($B265,Premissas!$A$39:$A$45,0))</f>
        <v/>
      </c>
      <c r="AA265" s="22" t="str">
        <f>INDEX(Cronograma!Z$5:Z$11,MATCH($B265,Premissas!$A$39:$A$45,0))</f>
        <v/>
      </c>
      <c r="AB265" s="22" t="str">
        <f>INDEX(Cronograma!AA$5:AA$11,MATCH($B265,Premissas!$A$39:$A$45,0))</f>
        <v/>
      </c>
      <c r="AC265" s="22" t="str">
        <f>INDEX(Cronograma!AB$5:AB$11,MATCH($B265,Premissas!$A$39:$A$45,0))</f>
        <v/>
      </c>
      <c r="AD265" s="22" t="str">
        <f>INDEX(Cronograma!AC$5:AC$11,MATCH($B265,Premissas!$A$39:$A$45,0))</f>
        <v>S</v>
      </c>
      <c r="AE265" s="22" t="str">
        <f>INDEX(Cronograma!AD$5:AD$11,MATCH($B265,Premissas!$A$39:$A$45,0))</f>
        <v/>
      </c>
      <c r="AF265" s="22" t="str">
        <f>INDEX(Cronograma!AE$5:AE$11,MATCH($B265,Premissas!$A$39:$A$45,0))</f>
        <v/>
      </c>
      <c r="AG265" s="22" t="str">
        <f>INDEX(Cronograma!AF$5:AF$11,MATCH($B265,Premissas!$A$39:$A$45,0))</f>
        <v/>
      </c>
      <c r="AH265" s="22" t="str">
        <f>INDEX(Cronograma!AG$5:AG$11,MATCH($B265,Premissas!$A$39:$A$45,0))</f>
        <v/>
      </c>
      <c r="AI265" s="22" t="str">
        <f>INDEX(Cronograma!AH$5:AH$11,MATCH($B265,Premissas!$A$39:$A$45,0))</f>
        <v/>
      </c>
      <c r="AJ265" s="22" t="str">
        <f>INDEX(Cronograma!AI$5:AI$11,MATCH($B265,Premissas!$A$39:$A$45,0))</f>
        <v/>
      </c>
      <c r="AK265" s="22" t="str">
        <f>INDEX(Cronograma!AJ$5:AJ$11,MATCH($B265,Premissas!$A$39:$A$45,0))</f>
        <v/>
      </c>
      <c r="AL265" s="22" t="str">
        <f>INDEX(Cronograma!AK$5:AK$11,MATCH($B265,Premissas!$A$39:$A$45,0))</f>
        <v/>
      </c>
      <c r="AM265" s="22" t="str">
        <f>INDEX(Cronograma!AL$5:AL$11,MATCH($B265,Premissas!$A$39:$A$45,0))</f>
        <v/>
      </c>
      <c r="AN265" s="22" t="str">
        <f>INDEX(Cronograma!AM$5:AM$11,MATCH($B265,Premissas!$A$39:$A$45,0))</f>
        <v/>
      </c>
      <c r="AO265" s="22" t="str">
        <f>INDEX(Cronograma!AN$5:AN$11,MATCH($B265,Premissas!$A$39:$A$45,0))</f>
        <v/>
      </c>
      <c r="AP265" s="22" t="str">
        <f>INDEX(Cronograma!AO$5:AO$11,MATCH($B265,Premissas!$A$39:$A$45,0))</f>
        <v/>
      </c>
      <c r="AQ265" s="22" t="str">
        <f>INDEX(Cronograma!AP$5:AP$11,MATCH($B265,Premissas!$A$39:$A$45,0))</f>
        <v/>
      </c>
      <c r="AR265" s="22" t="str">
        <f>INDEX(Cronograma!AQ$5:AQ$11,MATCH($B265,Premissas!$A$39:$A$45,0))</f>
        <v>A</v>
      </c>
      <c r="AS265" s="22" t="str">
        <f>INDEX(Cronograma!AR$5:AR$11,MATCH($B265,Premissas!$A$39:$A$45,0))</f>
        <v/>
      </c>
      <c r="AT265" s="22" t="str">
        <f>INDEX(Cronograma!AS$5:AS$11,MATCH($B265,Premissas!$A$39:$A$45,0))</f>
        <v/>
      </c>
      <c r="AU265" s="22" t="str">
        <f>INDEX(Cronograma!AT$5:AT$11,MATCH($B265,Premissas!$A$39:$A$45,0))</f>
        <v/>
      </c>
      <c r="AV265" s="22" t="str">
        <f>INDEX(Cronograma!AU$5:AU$11,MATCH($B265,Premissas!$A$39:$A$45,0))</f>
        <v/>
      </c>
      <c r="AW265" s="22" t="str">
        <f>INDEX(Cronograma!AV$5:AV$11,MATCH($B265,Premissas!$A$39:$A$45,0))</f>
        <v/>
      </c>
      <c r="AX265" s="22" t="str">
        <f>INDEX(Cronograma!AW$5:AW$11,MATCH($B265,Premissas!$A$39:$A$45,0))</f>
        <v/>
      </c>
      <c r="AY265" s="22" t="str">
        <f>INDEX(Cronograma!AX$5:AX$11,MATCH($B265,Premissas!$A$39:$A$45,0))</f>
        <v/>
      </c>
      <c r="AZ265" s="22" t="str">
        <f>INDEX(Cronograma!AY$5:AY$11,MATCH($B265,Premissas!$A$39:$A$45,0))</f>
        <v/>
      </c>
      <c r="BA265" s="22" t="str">
        <f>INDEX(Cronograma!AZ$5:AZ$11,MATCH($B265,Premissas!$A$39:$A$45,0))</f>
        <v/>
      </c>
      <c r="BB265" s="22" t="str">
        <f>INDEX(Cronograma!BA$5:BA$11,MATCH($B265,Premissas!$A$39:$A$45,0))</f>
        <v/>
      </c>
    </row>
    <row r="266" spans="1:54" ht="15" customHeight="1" x14ac:dyDescent="0.4">
      <c r="A266" s="15" t="str">
        <f>Frota!$B266&amp;" — "&amp;Frota!$A266</f>
        <v>Valtra BM-100 — 106048</v>
      </c>
      <c r="B266" s="16" t="str">
        <f>Frota!$C266</f>
        <v>Carregadeira/Pesada</v>
      </c>
      <c r="C266" s="22" t="str">
        <f>INDEX(Cronograma!B$5:B$11,MATCH($B266,Premissas!$A$39:$A$45,0))</f>
        <v/>
      </c>
      <c r="D266" s="22" t="str">
        <f>INDEX(Cronograma!C$5:C$11,MATCH($B266,Premissas!$A$39:$A$45,0))</f>
        <v/>
      </c>
      <c r="E266" s="22" t="str">
        <f>INDEX(Cronograma!D$5:D$11,MATCH($B266,Premissas!$A$39:$A$45,0))</f>
        <v/>
      </c>
      <c r="F266" s="22" t="str">
        <f>INDEX(Cronograma!E$5:E$11,MATCH($B266,Premissas!$A$39:$A$45,0))</f>
        <v/>
      </c>
      <c r="G266" s="22" t="str">
        <f>INDEX(Cronograma!F$5:F$11,MATCH($B266,Premissas!$A$39:$A$45,0))</f>
        <v/>
      </c>
      <c r="H266" s="22" t="str">
        <f>INDEX(Cronograma!G$5:G$11,MATCH($B266,Premissas!$A$39:$A$45,0))</f>
        <v>S</v>
      </c>
      <c r="I266" s="22" t="str">
        <f>INDEX(Cronograma!H$5:H$11,MATCH($B266,Premissas!$A$39:$A$45,0))</f>
        <v/>
      </c>
      <c r="J266" s="22" t="str">
        <f>INDEX(Cronograma!I$5:I$11,MATCH($B266,Premissas!$A$39:$A$45,0))</f>
        <v/>
      </c>
      <c r="K266" s="22" t="str">
        <f>INDEX(Cronograma!J$5:J$11,MATCH($B266,Premissas!$A$39:$A$45,0))</f>
        <v/>
      </c>
      <c r="L266" s="22" t="str">
        <f>INDEX(Cronograma!K$5:K$11,MATCH($B266,Premissas!$A$39:$A$45,0))</f>
        <v/>
      </c>
      <c r="M266" s="22" t="str">
        <f>INDEX(Cronograma!L$5:L$11,MATCH($B266,Premissas!$A$39:$A$45,0))</f>
        <v/>
      </c>
      <c r="N266" s="22" t="str">
        <f>INDEX(Cronograma!M$5:M$11,MATCH($B266,Premissas!$A$39:$A$45,0))</f>
        <v>A</v>
      </c>
      <c r="O266" s="22" t="str">
        <f>INDEX(Cronograma!N$5:N$11,MATCH($B266,Premissas!$A$39:$A$45,0))</f>
        <v/>
      </c>
      <c r="P266" s="22" t="str">
        <f>INDEX(Cronograma!O$5:O$11,MATCH($B266,Premissas!$A$39:$A$45,0))</f>
        <v/>
      </c>
      <c r="Q266" s="22" t="str">
        <f>INDEX(Cronograma!P$5:P$11,MATCH($B266,Premissas!$A$39:$A$45,0))</f>
        <v/>
      </c>
      <c r="R266" s="22" t="str">
        <f>INDEX(Cronograma!Q$5:Q$11,MATCH($B266,Premissas!$A$39:$A$45,0))</f>
        <v/>
      </c>
      <c r="S266" s="22" t="str">
        <f>INDEX(Cronograma!R$5:R$11,MATCH($B266,Premissas!$A$39:$A$45,0))</f>
        <v>S</v>
      </c>
      <c r="T266" s="22" t="str">
        <f>INDEX(Cronograma!S$5:S$11,MATCH($B266,Premissas!$A$39:$A$45,0))</f>
        <v/>
      </c>
      <c r="U266" s="22" t="str">
        <f>INDEX(Cronograma!T$5:T$11,MATCH($B266,Premissas!$A$39:$A$45,0))</f>
        <v/>
      </c>
      <c r="V266" s="22" t="str">
        <f>INDEX(Cronograma!U$5:U$11,MATCH($B266,Premissas!$A$39:$A$45,0))</f>
        <v/>
      </c>
      <c r="W266" s="22" t="str">
        <f>INDEX(Cronograma!V$5:V$11,MATCH($B266,Premissas!$A$39:$A$45,0))</f>
        <v/>
      </c>
      <c r="X266" s="22" t="str">
        <f>INDEX(Cronograma!W$5:W$11,MATCH($B266,Premissas!$A$39:$A$45,0))</f>
        <v/>
      </c>
      <c r="Y266" s="22" t="str">
        <f>INDEX(Cronograma!X$5:X$11,MATCH($B266,Premissas!$A$39:$A$45,0))</f>
        <v>B</v>
      </c>
      <c r="Z266" s="22" t="str">
        <f>INDEX(Cronograma!Y$5:Y$11,MATCH($B266,Premissas!$A$39:$A$45,0))</f>
        <v/>
      </c>
      <c r="AA266" s="22" t="str">
        <f>INDEX(Cronograma!Z$5:Z$11,MATCH($B266,Premissas!$A$39:$A$45,0))</f>
        <v/>
      </c>
      <c r="AB266" s="22" t="str">
        <f>INDEX(Cronograma!AA$5:AA$11,MATCH($B266,Premissas!$A$39:$A$45,0))</f>
        <v/>
      </c>
      <c r="AC266" s="22" t="str">
        <f>INDEX(Cronograma!AB$5:AB$11,MATCH($B266,Premissas!$A$39:$A$45,0))</f>
        <v/>
      </c>
      <c r="AD266" s="22" t="str">
        <f>INDEX(Cronograma!AC$5:AC$11,MATCH($B266,Premissas!$A$39:$A$45,0))</f>
        <v>S</v>
      </c>
      <c r="AE266" s="22" t="str">
        <f>INDEX(Cronograma!AD$5:AD$11,MATCH($B266,Premissas!$A$39:$A$45,0))</f>
        <v/>
      </c>
      <c r="AF266" s="22" t="str">
        <f>INDEX(Cronograma!AE$5:AE$11,MATCH($B266,Premissas!$A$39:$A$45,0))</f>
        <v/>
      </c>
      <c r="AG266" s="22" t="str">
        <f>INDEX(Cronograma!AF$5:AF$11,MATCH($B266,Premissas!$A$39:$A$45,0))</f>
        <v/>
      </c>
      <c r="AH266" s="22" t="str">
        <f>INDEX(Cronograma!AG$5:AG$11,MATCH($B266,Premissas!$A$39:$A$45,0))</f>
        <v/>
      </c>
      <c r="AI266" s="22" t="str">
        <f>INDEX(Cronograma!AH$5:AH$11,MATCH($B266,Premissas!$A$39:$A$45,0))</f>
        <v/>
      </c>
      <c r="AJ266" s="22" t="str">
        <f>INDEX(Cronograma!AI$5:AI$11,MATCH($B266,Premissas!$A$39:$A$45,0))</f>
        <v/>
      </c>
      <c r="AK266" s="22" t="str">
        <f>INDEX(Cronograma!AJ$5:AJ$11,MATCH($B266,Premissas!$A$39:$A$45,0))</f>
        <v/>
      </c>
      <c r="AL266" s="22" t="str">
        <f>INDEX(Cronograma!AK$5:AK$11,MATCH($B266,Premissas!$A$39:$A$45,0))</f>
        <v/>
      </c>
      <c r="AM266" s="22" t="str">
        <f>INDEX(Cronograma!AL$5:AL$11,MATCH($B266,Premissas!$A$39:$A$45,0))</f>
        <v/>
      </c>
      <c r="AN266" s="22" t="str">
        <f>INDEX(Cronograma!AM$5:AM$11,MATCH($B266,Premissas!$A$39:$A$45,0))</f>
        <v/>
      </c>
      <c r="AO266" s="22" t="str">
        <f>INDEX(Cronograma!AN$5:AN$11,MATCH($B266,Premissas!$A$39:$A$45,0))</f>
        <v/>
      </c>
      <c r="AP266" s="22" t="str">
        <f>INDEX(Cronograma!AO$5:AO$11,MATCH($B266,Premissas!$A$39:$A$45,0))</f>
        <v/>
      </c>
      <c r="AQ266" s="22" t="str">
        <f>INDEX(Cronograma!AP$5:AP$11,MATCH($B266,Premissas!$A$39:$A$45,0))</f>
        <v/>
      </c>
      <c r="AR266" s="22" t="str">
        <f>INDEX(Cronograma!AQ$5:AQ$11,MATCH($B266,Premissas!$A$39:$A$45,0))</f>
        <v>A</v>
      </c>
      <c r="AS266" s="22" t="str">
        <f>INDEX(Cronograma!AR$5:AR$11,MATCH($B266,Premissas!$A$39:$A$45,0))</f>
        <v/>
      </c>
      <c r="AT266" s="22" t="str">
        <f>INDEX(Cronograma!AS$5:AS$11,MATCH($B266,Premissas!$A$39:$A$45,0))</f>
        <v/>
      </c>
      <c r="AU266" s="22" t="str">
        <f>INDEX(Cronograma!AT$5:AT$11,MATCH($B266,Premissas!$A$39:$A$45,0))</f>
        <v/>
      </c>
      <c r="AV266" s="22" t="str">
        <f>INDEX(Cronograma!AU$5:AU$11,MATCH($B266,Premissas!$A$39:$A$45,0))</f>
        <v/>
      </c>
      <c r="AW266" s="22" t="str">
        <f>INDEX(Cronograma!AV$5:AV$11,MATCH($B266,Premissas!$A$39:$A$45,0))</f>
        <v/>
      </c>
      <c r="AX266" s="22" t="str">
        <f>INDEX(Cronograma!AW$5:AW$11,MATCH($B266,Premissas!$A$39:$A$45,0))</f>
        <v/>
      </c>
      <c r="AY266" s="22" t="str">
        <f>INDEX(Cronograma!AX$5:AX$11,MATCH($B266,Premissas!$A$39:$A$45,0))</f>
        <v/>
      </c>
      <c r="AZ266" s="22" t="str">
        <f>INDEX(Cronograma!AY$5:AY$11,MATCH($B266,Premissas!$A$39:$A$45,0))</f>
        <v/>
      </c>
      <c r="BA266" s="22" t="str">
        <f>INDEX(Cronograma!AZ$5:AZ$11,MATCH($B266,Premissas!$A$39:$A$45,0))</f>
        <v/>
      </c>
      <c r="BB266" s="22" t="str">
        <f>INDEX(Cronograma!BA$5:BA$11,MATCH($B266,Premissas!$A$39:$A$45,0))</f>
        <v/>
      </c>
    </row>
    <row r="267" spans="1:54" ht="15" customHeight="1" x14ac:dyDescent="0.4">
      <c r="A267" s="15" t="str">
        <f>Frota!$B267&amp;" — "&amp;Frota!$A267</f>
        <v>Valtra BM-100 — 106049</v>
      </c>
      <c r="B267" s="16" t="str">
        <f>Frota!$C267</f>
        <v>Carregadeira/Pesada</v>
      </c>
      <c r="C267" s="22" t="str">
        <f>INDEX(Cronograma!B$5:B$11,MATCH($B267,Premissas!$A$39:$A$45,0))</f>
        <v/>
      </c>
      <c r="D267" s="22" t="str">
        <f>INDEX(Cronograma!C$5:C$11,MATCH($B267,Premissas!$A$39:$A$45,0))</f>
        <v/>
      </c>
      <c r="E267" s="22" t="str">
        <f>INDEX(Cronograma!D$5:D$11,MATCH($B267,Premissas!$A$39:$A$45,0))</f>
        <v/>
      </c>
      <c r="F267" s="22" t="str">
        <f>INDEX(Cronograma!E$5:E$11,MATCH($B267,Premissas!$A$39:$A$45,0))</f>
        <v/>
      </c>
      <c r="G267" s="22" t="str">
        <f>INDEX(Cronograma!F$5:F$11,MATCH($B267,Premissas!$A$39:$A$45,0))</f>
        <v/>
      </c>
      <c r="H267" s="22" t="str">
        <f>INDEX(Cronograma!G$5:G$11,MATCH($B267,Premissas!$A$39:$A$45,0))</f>
        <v>S</v>
      </c>
      <c r="I267" s="22" t="str">
        <f>INDEX(Cronograma!H$5:H$11,MATCH($B267,Premissas!$A$39:$A$45,0))</f>
        <v/>
      </c>
      <c r="J267" s="22" t="str">
        <f>INDEX(Cronograma!I$5:I$11,MATCH($B267,Premissas!$A$39:$A$45,0))</f>
        <v/>
      </c>
      <c r="K267" s="22" t="str">
        <f>INDEX(Cronograma!J$5:J$11,MATCH($B267,Premissas!$A$39:$A$45,0))</f>
        <v/>
      </c>
      <c r="L267" s="22" t="str">
        <f>INDEX(Cronograma!K$5:K$11,MATCH($B267,Premissas!$A$39:$A$45,0))</f>
        <v/>
      </c>
      <c r="M267" s="22" t="str">
        <f>INDEX(Cronograma!L$5:L$11,MATCH($B267,Premissas!$A$39:$A$45,0))</f>
        <v/>
      </c>
      <c r="N267" s="22" t="str">
        <f>INDEX(Cronograma!M$5:M$11,MATCH($B267,Premissas!$A$39:$A$45,0))</f>
        <v>A</v>
      </c>
      <c r="O267" s="22" t="str">
        <f>INDEX(Cronograma!N$5:N$11,MATCH($B267,Premissas!$A$39:$A$45,0))</f>
        <v/>
      </c>
      <c r="P267" s="22" t="str">
        <f>INDEX(Cronograma!O$5:O$11,MATCH($B267,Premissas!$A$39:$A$45,0))</f>
        <v/>
      </c>
      <c r="Q267" s="22" t="str">
        <f>INDEX(Cronograma!P$5:P$11,MATCH($B267,Premissas!$A$39:$A$45,0))</f>
        <v/>
      </c>
      <c r="R267" s="22" t="str">
        <f>INDEX(Cronograma!Q$5:Q$11,MATCH($B267,Premissas!$A$39:$A$45,0))</f>
        <v/>
      </c>
      <c r="S267" s="22" t="str">
        <f>INDEX(Cronograma!R$5:R$11,MATCH($B267,Premissas!$A$39:$A$45,0))</f>
        <v>S</v>
      </c>
      <c r="T267" s="22" t="str">
        <f>INDEX(Cronograma!S$5:S$11,MATCH($B267,Premissas!$A$39:$A$45,0))</f>
        <v/>
      </c>
      <c r="U267" s="22" t="str">
        <f>INDEX(Cronograma!T$5:T$11,MATCH($B267,Premissas!$A$39:$A$45,0))</f>
        <v/>
      </c>
      <c r="V267" s="22" t="str">
        <f>INDEX(Cronograma!U$5:U$11,MATCH($B267,Premissas!$A$39:$A$45,0))</f>
        <v/>
      </c>
      <c r="W267" s="22" t="str">
        <f>INDEX(Cronograma!V$5:V$11,MATCH($B267,Premissas!$A$39:$A$45,0))</f>
        <v/>
      </c>
      <c r="X267" s="22" t="str">
        <f>INDEX(Cronograma!W$5:W$11,MATCH($B267,Premissas!$A$39:$A$45,0))</f>
        <v/>
      </c>
      <c r="Y267" s="22" t="str">
        <f>INDEX(Cronograma!X$5:X$11,MATCH($B267,Premissas!$A$39:$A$45,0))</f>
        <v>B</v>
      </c>
      <c r="Z267" s="22" t="str">
        <f>INDEX(Cronograma!Y$5:Y$11,MATCH($B267,Premissas!$A$39:$A$45,0))</f>
        <v/>
      </c>
      <c r="AA267" s="22" t="str">
        <f>INDEX(Cronograma!Z$5:Z$11,MATCH($B267,Premissas!$A$39:$A$45,0))</f>
        <v/>
      </c>
      <c r="AB267" s="22" t="str">
        <f>INDEX(Cronograma!AA$5:AA$11,MATCH($B267,Premissas!$A$39:$A$45,0))</f>
        <v/>
      </c>
      <c r="AC267" s="22" t="str">
        <f>INDEX(Cronograma!AB$5:AB$11,MATCH($B267,Premissas!$A$39:$A$45,0))</f>
        <v/>
      </c>
      <c r="AD267" s="22" t="str">
        <f>INDEX(Cronograma!AC$5:AC$11,MATCH($B267,Premissas!$A$39:$A$45,0))</f>
        <v>S</v>
      </c>
      <c r="AE267" s="22" t="str">
        <f>INDEX(Cronograma!AD$5:AD$11,MATCH($B267,Premissas!$A$39:$A$45,0))</f>
        <v/>
      </c>
      <c r="AF267" s="22" t="str">
        <f>INDEX(Cronograma!AE$5:AE$11,MATCH($B267,Premissas!$A$39:$A$45,0))</f>
        <v/>
      </c>
      <c r="AG267" s="22" t="str">
        <f>INDEX(Cronograma!AF$5:AF$11,MATCH($B267,Premissas!$A$39:$A$45,0))</f>
        <v/>
      </c>
      <c r="AH267" s="22" t="str">
        <f>INDEX(Cronograma!AG$5:AG$11,MATCH($B267,Premissas!$A$39:$A$45,0))</f>
        <v/>
      </c>
      <c r="AI267" s="22" t="str">
        <f>INDEX(Cronograma!AH$5:AH$11,MATCH($B267,Premissas!$A$39:$A$45,0))</f>
        <v/>
      </c>
      <c r="AJ267" s="22" t="str">
        <f>INDEX(Cronograma!AI$5:AI$11,MATCH($B267,Premissas!$A$39:$A$45,0))</f>
        <v/>
      </c>
      <c r="AK267" s="22" t="str">
        <f>INDEX(Cronograma!AJ$5:AJ$11,MATCH($B267,Premissas!$A$39:$A$45,0))</f>
        <v/>
      </c>
      <c r="AL267" s="22" t="str">
        <f>INDEX(Cronograma!AK$5:AK$11,MATCH($B267,Premissas!$A$39:$A$45,0))</f>
        <v/>
      </c>
      <c r="AM267" s="22" t="str">
        <f>INDEX(Cronograma!AL$5:AL$11,MATCH($B267,Premissas!$A$39:$A$45,0))</f>
        <v/>
      </c>
      <c r="AN267" s="22" t="str">
        <f>INDEX(Cronograma!AM$5:AM$11,MATCH($B267,Premissas!$A$39:$A$45,0))</f>
        <v/>
      </c>
      <c r="AO267" s="22" t="str">
        <f>INDEX(Cronograma!AN$5:AN$11,MATCH($B267,Premissas!$A$39:$A$45,0))</f>
        <v/>
      </c>
      <c r="AP267" s="22" t="str">
        <f>INDEX(Cronograma!AO$5:AO$11,MATCH($B267,Premissas!$A$39:$A$45,0))</f>
        <v/>
      </c>
      <c r="AQ267" s="22" t="str">
        <f>INDEX(Cronograma!AP$5:AP$11,MATCH($B267,Premissas!$A$39:$A$45,0))</f>
        <v/>
      </c>
      <c r="AR267" s="22" t="str">
        <f>INDEX(Cronograma!AQ$5:AQ$11,MATCH($B267,Premissas!$A$39:$A$45,0))</f>
        <v>A</v>
      </c>
      <c r="AS267" s="22" t="str">
        <f>INDEX(Cronograma!AR$5:AR$11,MATCH($B267,Premissas!$A$39:$A$45,0))</f>
        <v/>
      </c>
      <c r="AT267" s="22" t="str">
        <f>INDEX(Cronograma!AS$5:AS$11,MATCH($B267,Premissas!$A$39:$A$45,0))</f>
        <v/>
      </c>
      <c r="AU267" s="22" t="str">
        <f>INDEX(Cronograma!AT$5:AT$11,MATCH($B267,Premissas!$A$39:$A$45,0))</f>
        <v/>
      </c>
      <c r="AV267" s="22" t="str">
        <f>INDEX(Cronograma!AU$5:AU$11,MATCH($B267,Premissas!$A$39:$A$45,0))</f>
        <v/>
      </c>
      <c r="AW267" s="22" t="str">
        <f>INDEX(Cronograma!AV$5:AV$11,MATCH($B267,Premissas!$A$39:$A$45,0))</f>
        <v/>
      </c>
      <c r="AX267" s="22" t="str">
        <f>INDEX(Cronograma!AW$5:AW$11,MATCH($B267,Premissas!$A$39:$A$45,0))</f>
        <v/>
      </c>
      <c r="AY267" s="22" t="str">
        <f>INDEX(Cronograma!AX$5:AX$11,MATCH($B267,Premissas!$A$39:$A$45,0))</f>
        <v/>
      </c>
      <c r="AZ267" s="22" t="str">
        <f>INDEX(Cronograma!AY$5:AY$11,MATCH($B267,Premissas!$A$39:$A$45,0))</f>
        <v/>
      </c>
      <c r="BA267" s="22" t="str">
        <f>INDEX(Cronograma!AZ$5:AZ$11,MATCH($B267,Premissas!$A$39:$A$45,0))</f>
        <v/>
      </c>
      <c r="BB267" s="22" t="str">
        <f>INDEX(Cronograma!BA$5:BA$11,MATCH($B267,Premissas!$A$39:$A$45,0))</f>
        <v/>
      </c>
    </row>
    <row r="268" spans="1:54" ht="15" customHeight="1" x14ac:dyDescent="0.4">
      <c r="A268" s="15" t="str">
        <f>Frota!$B268&amp;" — "&amp;Frota!$A268</f>
        <v>Valtra BM-100 — 106050</v>
      </c>
      <c r="B268" s="16" t="str">
        <f>Frota!$C268</f>
        <v>Carregadeira/Pesada</v>
      </c>
      <c r="C268" s="22" t="str">
        <f>INDEX(Cronograma!B$5:B$11,MATCH($B268,Premissas!$A$39:$A$45,0))</f>
        <v/>
      </c>
      <c r="D268" s="22" t="str">
        <f>INDEX(Cronograma!C$5:C$11,MATCH($B268,Premissas!$A$39:$A$45,0))</f>
        <v/>
      </c>
      <c r="E268" s="22" t="str">
        <f>INDEX(Cronograma!D$5:D$11,MATCH($B268,Premissas!$A$39:$A$45,0))</f>
        <v/>
      </c>
      <c r="F268" s="22" t="str">
        <f>INDEX(Cronograma!E$5:E$11,MATCH($B268,Premissas!$A$39:$A$45,0))</f>
        <v/>
      </c>
      <c r="G268" s="22" t="str">
        <f>INDEX(Cronograma!F$5:F$11,MATCH($B268,Premissas!$A$39:$A$45,0))</f>
        <v/>
      </c>
      <c r="H268" s="22" t="str">
        <f>INDEX(Cronograma!G$5:G$11,MATCH($B268,Premissas!$A$39:$A$45,0))</f>
        <v>S</v>
      </c>
      <c r="I268" s="22" t="str">
        <f>INDEX(Cronograma!H$5:H$11,MATCH($B268,Premissas!$A$39:$A$45,0))</f>
        <v/>
      </c>
      <c r="J268" s="22" t="str">
        <f>INDEX(Cronograma!I$5:I$11,MATCH($B268,Premissas!$A$39:$A$45,0))</f>
        <v/>
      </c>
      <c r="K268" s="22" t="str">
        <f>INDEX(Cronograma!J$5:J$11,MATCH($B268,Premissas!$A$39:$A$45,0))</f>
        <v/>
      </c>
      <c r="L268" s="22" t="str">
        <f>INDEX(Cronograma!K$5:K$11,MATCH($B268,Premissas!$A$39:$A$45,0))</f>
        <v/>
      </c>
      <c r="M268" s="22" t="str">
        <f>INDEX(Cronograma!L$5:L$11,MATCH($B268,Premissas!$A$39:$A$45,0))</f>
        <v/>
      </c>
      <c r="N268" s="22" t="str">
        <f>INDEX(Cronograma!M$5:M$11,MATCH($B268,Premissas!$A$39:$A$45,0))</f>
        <v>A</v>
      </c>
      <c r="O268" s="22" t="str">
        <f>INDEX(Cronograma!N$5:N$11,MATCH($B268,Premissas!$A$39:$A$45,0))</f>
        <v/>
      </c>
      <c r="P268" s="22" t="str">
        <f>INDEX(Cronograma!O$5:O$11,MATCH($B268,Premissas!$A$39:$A$45,0))</f>
        <v/>
      </c>
      <c r="Q268" s="22" t="str">
        <f>INDEX(Cronograma!P$5:P$11,MATCH($B268,Premissas!$A$39:$A$45,0))</f>
        <v/>
      </c>
      <c r="R268" s="22" t="str">
        <f>INDEX(Cronograma!Q$5:Q$11,MATCH($B268,Premissas!$A$39:$A$45,0))</f>
        <v/>
      </c>
      <c r="S268" s="22" t="str">
        <f>INDEX(Cronograma!R$5:R$11,MATCH($B268,Premissas!$A$39:$A$45,0))</f>
        <v>S</v>
      </c>
      <c r="T268" s="22" t="str">
        <f>INDEX(Cronograma!S$5:S$11,MATCH($B268,Premissas!$A$39:$A$45,0))</f>
        <v/>
      </c>
      <c r="U268" s="22" t="str">
        <f>INDEX(Cronograma!T$5:T$11,MATCH($B268,Premissas!$A$39:$A$45,0))</f>
        <v/>
      </c>
      <c r="V268" s="22" t="str">
        <f>INDEX(Cronograma!U$5:U$11,MATCH($B268,Premissas!$A$39:$A$45,0))</f>
        <v/>
      </c>
      <c r="W268" s="22" t="str">
        <f>INDEX(Cronograma!V$5:V$11,MATCH($B268,Premissas!$A$39:$A$45,0))</f>
        <v/>
      </c>
      <c r="X268" s="22" t="str">
        <f>INDEX(Cronograma!W$5:W$11,MATCH($B268,Premissas!$A$39:$A$45,0))</f>
        <v/>
      </c>
      <c r="Y268" s="22" t="str">
        <f>INDEX(Cronograma!X$5:X$11,MATCH($B268,Premissas!$A$39:$A$45,0))</f>
        <v>B</v>
      </c>
      <c r="Z268" s="22" t="str">
        <f>INDEX(Cronograma!Y$5:Y$11,MATCH($B268,Premissas!$A$39:$A$45,0))</f>
        <v/>
      </c>
      <c r="AA268" s="22" t="str">
        <f>INDEX(Cronograma!Z$5:Z$11,MATCH($B268,Premissas!$A$39:$A$45,0))</f>
        <v/>
      </c>
      <c r="AB268" s="22" t="str">
        <f>INDEX(Cronograma!AA$5:AA$11,MATCH($B268,Premissas!$A$39:$A$45,0))</f>
        <v/>
      </c>
      <c r="AC268" s="22" t="str">
        <f>INDEX(Cronograma!AB$5:AB$11,MATCH($B268,Premissas!$A$39:$A$45,0))</f>
        <v/>
      </c>
      <c r="AD268" s="22" t="str">
        <f>INDEX(Cronograma!AC$5:AC$11,MATCH($B268,Premissas!$A$39:$A$45,0))</f>
        <v>S</v>
      </c>
      <c r="AE268" s="22" t="str">
        <f>INDEX(Cronograma!AD$5:AD$11,MATCH($B268,Premissas!$A$39:$A$45,0))</f>
        <v/>
      </c>
      <c r="AF268" s="22" t="str">
        <f>INDEX(Cronograma!AE$5:AE$11,MATCH($B268,Premissas!$A$39:$A$45,0))</f>
        <v/>
      </c>
      <c r="AG268" s="22" t="str">
        <f>INDEX(Cronograma!AF$5:AF$11,MATCH($B268,Premissas!$A$39:$A$45,0))</f>
        <v/>
      </c>
      <c r="AH268" s="22" t="str">
        <f>INDEX(Cronograma!AG$5:AG$11,MATCH($B268,Premissas!$A$39:$A$45,0))</f>
        <v/>
      </c>
      <c r="AI268" s="22" t="str">
        <f>INDEX(Cronograma!AH$5:AH$11,MATCH($B268,Premissas!$A$39:$A$45,0))</f>
        <v/>
      </c>
      <c r="AJ268" s="22" t="str">
        <f>INDEX(Cronograma!AI$5:AI$11,MATCH($B268,Premissas!$A$39:$A$45,0))</f>
        <v/>
      </c>
      <c r="AK268" s="22" t="str">
        <f>INDEX(Cronograma!AJ$5:AJ$11,MATCH($B268,Premissas!$A$39:$A$45,0))</f>
        <v/>
      </c>
      <c r="AL268" s="22" t="str">
        <f>INDEX(Cronograma!AK$5:AK$11,MATCH($B268,Premissas!$A$39:$A$45,0))</f>
        <v/>
      </c>
      <c r="AM268" s="22" t="str">
        <f>INDEX(Cronograma!AL$5:AL$11,MATCH($B268,Premissas!$A$39:$A$45,0))</f>
        <v/>
      </c>
      <c r="AN268" s="22" t="str">
        <f>INDEX(Cronograma!AM$5:AM$11,MATCH($B268,Premissas!$A$39:$A$45,0))</f>
        <v/>
      </c>
      <c r="AO268" s="22" t="str">
        <f>INDEX(Cronograma!AN$5:AN$11,MATCH($B268,Premissas!$A$39:$A$45,0))</f>
        <v/>
      </c>
      <c r="AP268" s="22" t="str">
        <f>INDEX(Cronograma!AO$5:AO$11,MATCH($B268,Premissas!$A$39:$A$45,0))</f>
        <v/>
      </c>
      <c r="AQ268" s="22" t="str">
        <f>INDEX(Cronograma!AP$5:AP$11,MATCH($B268,Premissas!$A$39:$A$45,0))</f>
        <v/>
      </c>
      <c r="AR268" s="22" t="str">
        <f>INDEX(Cronograma!AQ$5:AQ$11,MATCH($B268,Premissas!$A$39:$A$45,0))</f>
        <v>A</v>
      </c>
      <c r="AS268" s="22" t="str">
        <f>INDEX(Cronograma!AR$5:AR$11,MATCH($B268,Premissas!$A$39:$A$45,0))</f>
        <v/>
      </c>
      <c r="AT268" s="22" t="str">
        <f>INDEX(Cronograma!AS$5:AS$11,MATCH($B268,Premissas!$A$39:$A$45,0))</f>
        <v/>
      </c>
      <c r="AU268" s="22" t="str">
        <f>INDEX(Cronograma!AT$5:AT$11,MATCH($B268,Premissas!$A$39:$A$45,0))</f>
        <v/>
      </c>
      <c r="AV268" s="22" t="str">
        <f>INDEX(Cronograma!AU$5:AU$11,MATCH($B268,Premissas!$A$39:$A$45,0))</f>
        <v/>
      </c>
      <c r="AW268" s="22" t="str">
        <f>INDEX(Cronograma!AV$5:AV$11,MATCH($B268,Premissas!$A$39:$A$45,0))</f>
        <v/>
      </c>
      <c r="AX268" s="22" t="str">
        <f>INDEX(Cronograma!AW$5:AW$11,MATCH($B268,Premissas!$A$39:$A$45,0))</f>
        <v/>
      </c>
      <c r="AY268" s="22" t="str">
        <f>INDEX(Cronograma!AX$5:AX$11,MATCH($B268,Premissas!$A$39:$A$45,0))</f>
        <v/>
      </c>
      <c r="AZ268" s="22" t="str">
        <f>INDEX(Cronograma!AY$5:AY$11,MATCH($B268,Premissas!$A$39:$A$45,0))</f>
        <v/>
      </c>
      <c r="BA268" s="22" t="str">
        <f>INDEX(Cronograma!AZ$5:AZ$11,MATCH($B268,Premissas!$A$39:$A$45,0))</f>
        <v/>
      </c>
      <c r="BB268" s="22" t="str">
        <f>INDEX(Cronograma!BA$5:BA$11,MATCH($B268,Premissas!$A$39:$A$45,0))</f>
        <v/>
      </c>
    </row>
    <row r="269" spans="1:54" ht="15" customHeight="1" x14ac:dyDescent="0.4">
      <c r="A269" s="15" t="str">
        <f>Frota!$B269&amp;" — "&amp;Frota!$A269</f>
        <v>Valtra BM-100 — 106051</v>
      </c>
      <c r="B269" s="16" t="str">
        <f>Frota!$C269</f>
        <v>Carregadeira/Pesada</v>
      </c>
      <c r="C269" s="22" t="str">
        <f>INDEX(Cronograma!B$5:B$11,MATCH($B269,Premissas!$A$39:$A$45,0))</f>
        <v/>
      </c>
      <c r="D269" s="22" t="str">
        <f>INDEX(Cronograma!C$5:C$11,MATCH($B269,Premissas!$A$39:$A$45,0))</f>
        <v/>
      </c>
      <c r="E269" s="22" t="str">
        <f>INDEX(Cronograma!D$5:D$11,MATCH($B269,Premissas!$A$39:$A$45,0))</f>
        <v/>
      </c>
      <c r="F269" s="22" t="str">
        <f>INDEX(Cronograma!E$5:E$11,MATCH($B269,Premissas!$A$39:$A$45,0))</f>
        <v/>
      </c>
      <c r="G269" s="22" t="str">
        <f>INDEX(Cronograma!F$5:F$11,MATCH($B269,Premissas!$A$39:$A$45,0))</f>
        <v/>
      </c>
      <c r="H269" s="22" t="str">
        <f>INDEX(Cronograma!G$5:G$11,MATCH($B269,Premissas!$A$39:$A$45,0))</f>
        <v>S</v>
      </c>
      <c r="I269" s="22" t="str">
        <f>INDEX(Cronograma!H$5:H$11,MATCH($B269,Premissas!$A$39:$A$45,0))</f>
        <v/>
      </c>
      <c r="J269" s="22" t="str">
        <f>INDEX(Cronograma!I$5:I$11,MATCH($B269,Premissas!$A$39:$A$45,0))</f>
        <v/>
      </c>
      <c r="K269" s="22" t="str">
        <f>INDEX(Cronograma!J$5:J$11,MATCH($B269,Premissas!$A$39:$A$45,0))</f>
        <v/>
      </c>
      <c r="L269" s="22" t="str">
        <f>INDEX(Cronograma!K$5:K$11,MATCH($B269,Premissas!$A$39:$A$45,0))</f>
        <v/>
      </c>
      <c r="M269" s="22" t="str">
        <f>INDEX(Cronograma!L$5:L$11,MATCH($B269,Premissas!$A$39:$A$45,0))</f>
        <v/>
      </c>
      <c r="N269" s="22" t="str">
        <f>INDEX(Cronograma!M$5:M$11,MATCH($B269,Premissas!$A$39:$A$45,0))</f>
        <v>A</v>
      </c>
      <c r="O269" s="22" t="str">
        <f>INDEX(Cronograma!N$5:N$11,MATCH($B269,Premissas!$A$39:$A$45,0))</f>
        <v/>
      </c>
      <c r="P269" s="22" t="str">
        <f>INDEX(Cronograma!O$5:O$11,MATCH($B269,Premissas!$A$39:$A$45,0))</f>
        <v/>
      </c>
      <c r="Q269" s="22" t="str">
        <f>INDEX(Cronograma!P$5:P$11,MATCH($B269,Premissas!$A$39:$A$45,0))</f>
        <v/>
      </c>
      <c r="R269" s="22" t="str">
        <f>INDEX(Cronograma!Q$5:Q$11,MATCH($B269,Premissas!$A$39:$A$45,0))</f>
        <v/>
      </c>
      <c r="S269" s="22" t="str">
        <f>INDEX(Cronograma!R$5:R$11,MATCH($B269,Premissas!$A$39:$A$45,0))</f>
        <v>S</v>
      </c>
      <c r="T269" s="22" t="str">
        <f>INDEX(Cronograma!S$5:S$11,MATCH($B269,Premissas!$A$39:$A$45,0))</f>
        <v/>
      </c>
      <c r="U269" s="22" t="str">
        <f>INDEX(Cronograma!T$5:T$11,MATCH($B269,Premissas!$A$39:$A$45,0))</f>
        <v/>
      </c>
      <c r="V269" s="22" t="str">
        <f>INDEX(Cronograma!U$5:U$11,MATCH($B269,Premissas!$A$39:$A$45,0))</f>
        <v/>
      </c>
      <c r="W269" s="22" t="str">
        <f>INDEX(Cronograma!V$5:V$11,MATCH($B269,Premissas!$A$39:$A$45,0))</f>
        <v/>
      </c>
      <c r="X269" s="22" t="str">
        <f>INDEX(Cronograma!W$5:W$11,MATCH($B269,Premissas!$A$39:$A$45,0))</f>
        <v/>
      </c>
      <c r="Y269" s="22" t="str">
        <f>INDEX(Cronograma!X$5:X$11,MATCH($B269,Premissas!$A$39:$A$45,0))</f>
        <v>B</v>
      </c>
      <c r="Z269" s="22" t="str">
        <f>INDEX(Cronograma!Y$5:Y$11,MATCH($B269,Premissas!$A$39:$A$45,0))</f>
        <v/>
      </c>
      <c r="AA269" s="22" t="str">
        <f>INDEX(Cronograma!Z$5:Z$11,MATCH($B269,Premissas!$A$39:$A$45,0))</f>
        <v/>
      </c>
      <c r="AB269" s="22" t="str">
        <f>INDEX(Cronograma!AA$5:AA$11,MATCH($B269,Premissas!$A$39:$A$45,0))</f>
        <v/>
      </c>
      <c r="AC269" s="22" t="str">
        <f>INDEX(Cronograma!AB$5:AB$11,MATCH($B269,Premissas!$A$39:$A$45,0))</f>
        <v/>
      </c>
      <c r="AD269" s="22" t="str">
        <f>INDEX(Cronograma!AC$5:AC$11,MATCH($B269,Premissas!$A$39:$A$45,0))</f>
        <v>S</v>
      </c>
      <c r="AE269" s="22" t="str">
        <f>INDEX(Cronograma!AD$5:AD$11,MATCH($B269,Premissas!$A$39:$A$45,0))</f>
        <v/>
      </c>
      <c r="AF269" s="22" t="str">
        <f>INDEX(Cronograma!AE$5:AE$11,MATCH($B269,Premissas!$A$39:$A$45,0))</f>
        <v/>
      </c>
      <c r="AG269" s="22" t="str">
        <f>INDEX(Cronograma!AF$5:AF$11,MATCH($B269,Premissas!$A$39:$A$45,0))</f>
        <v/>
      </c>
      <c r="AH269" s="22" t="str">
        <f>INDEX(Cronograma!AG$5:AG$11,MATCH($B269,Premissas!$A$39:$A$45,0))</f>
        <v/>
      </c>
      <c r="AI269" s="22" t="str">
        <f>INDEX(Cronograma!AH$5:AH$11,MATCH($B269,Premissas!$A$39:$A$45,0))</f>
        <v/>
      </c>
      <c r="AJ269" s="22" t="str">
        <f>INDEX(Cronograma!AI$5:AI$11,MATCH($B269,Premissas!$A$39:$A$45,0))</f>
        <v/>
      </c>
      <c r="AK269" s="22" t="str">
        <f>INDEX(Cronograma!AJ$5:AJ$11,MATCH($B269,Premissas!$A$39:$A$45,0))</f>
        <v/>
      </c>
      <c r="AL269" s="22" t="str">
        <f>INDEX(Cronograma!AK$5:AK$11,MATCH($B269,Premissas!$A$39:$A$45,0))</f>
        <v/>
      </c>
      <c r="AM269" s="22" t="str">
        <f>INDEX(Cronograma!AL$5:AL$11,MATCH($B269,Premissas!$A$39:$A$45,0))</f>
        <v/>
      </c>
      <c r="AN269" s="22" t="str">
        <f>INDEX(Cronograma!AM$5:AM$11,MATCH($B269,Premissas!$A$39:$A$45,0))</f>
        <v/>
      </c>
      <c r="AO269" s="22" t="str">
        <f>INDEX(Cronograma!AN$5:AN$11,MATCH($B269,Premissas!$A$39:$A$45,0))</f>
        <v/>
      </c>
      <c r="AP269" s="22" t="str">
        <f>INDEX(Cronograma!AO$5:AO$11,MATCH($B269,Premissas!$A$39:$A$45,0))</f>
        <v/>
      </c>
      <c r="AQ269" s="22" t="str">
        <f>INDEX(Cronograma!AP$5:AP$11,MATCH($B269,Premissas!$A$39:$A$45,0))</f>
        <v/>
      </c>
      <c r="AR269" s="22" t="str">
        <f>INDEX(Cronograma!AQ$5:AQ$11,MATCH($B269,Premissas!$A$39:$A$45,0))</f>
        <v>A</v>
      </c>
      <c r="AS269" s="22" t="str">
        <f>INDEX(Cronograma!AR$5:AR$11,MATCH($B269,Premissas!$A$39:$A$45,0))</f>
        <v/>
      </c>
      <c r="AT269" s="22" t="str">
        <f>INDEX(Cronograma!AS$5:AS$11,MATCH($B269,Premissas!$A$39:$A$45,0))</f>
        <v/>
      </c>
      <c r="AU269" s="22" t="str">
        <f>INDEX(Cronograma!AT$5:AT$11,MATCH($B269,Premissas!$A$39:$A$45,0))</f>
        <v/>
      </c>
      <c r="AV269" s="22" t="str">
        <f>INDEX(Cronograma!AU$5:AU$11,MATCH($B269,Premissas!$A$39:$A$45,0))</f>
        <v/>
      </c>
      <c r="AW269" s="22" t="str">
        <f>INDEX(Cronograma!AV$5:AV$11,MATCH($B269,Premissas!$A$39:$A$45,0))</f>
        <v/>
      </c>
      <c r="AX269" s="22" t="str">
        <f>INDEX(Cronograma!AW$5:AW$11,MATCH($B269,Premissas!$A$39:$A$45,0))</f>
        <v/>
      </c>
      <c r="AY269" s="22" t="str">
        <f>INDEX(Cronograma!AX$5:AX$11,MATCH($B269,Premissas!$A$39:$A$45,0))</f>
        <v/>
      </c>
      <c r="AZ269" s="22" t="str">
        <f>INDEX(Cronograma!AY$5:AY$11,MATCH($B269,Premissas!$A$39:$A$45,0))</f>
        <v/>
      </c>
      <c r="BA269" s="22" t="str">
        <f>INDEX(Cronograma!AZ$5:AZ$11,MATCH($B269,Premissas!$A$39:$A$45,0))</f>
        <v/>
      </c>
      <c r="BB269" s="22" t="str">
        <f>INDEX(Cronograma!BA$5:BA$11,MATCH($B269,Premissas!$A$39:$A$45,0))</f>
        <v/>
      </c>
    </row>
    <row r="270" spans="1:54" ht="15" customHeight="1" x14ac:dyDescent="0.4">
      <c r="A270" s="15" t="str">
        <f>Frota!$B270&amp;" — "&amp;Frota!$A270</f>
        <v>NH TS-90 — 106054</v>
      </c>
      <c r="B270" s="16" t="str">
        <f>Frota!$C270</f>
        <v>Carregadeira/Pesada</v>
      </c>
      <c r="C270" s="22" t="str">
        <f>INDEX(Cronograma!B$5:B$11,MATCH($B270,Premissas!$A$39:$A$45,0))</f>
        <v/>
      </c>
      <c r="D270" s="22" t="str">
        <f>INDEX(Cronograma!C$5:C$11,MATCH($B270,Premissas!$A$39:$A$45,0))</f>
        <v/>
      </c>
      <c r="E270" s="22" t="str">
        <f>INDEX(Cronograma!D$5:D$11,MATCH($B270,Premissas!$A$39:$A$45,0))</f>
        <v/>
      </c>
      <c r="F270" s="22" t="str">
        <f>INDEX(Cronograma!E$5:E$11,MATCH($B270,Premissas!$A$39:$A$45,0))</f>
        <v/>
      </c>
      <c r="G270" s="22" t="str">
        <f>INDEX(Cronograma!F$5:F$11,MATCH($B270,Premissas!$A$39:$A$45,0))</f>
        <v/>
      </c>
      <c r="H270" s="22" t="str">
        <f>INDEX(Cronograma!G$5:G$11,MATCH($B270,Premissas!$A$39:$A$45,0))</f>
        <v>S</v>
      </c>
      <c r="I270" s="22" t="str">
        <f>INDEX(Cronograma!H$5:H$11,MATCH($B270,Premissas!$A$39:$A$45,0))</f>
        <v/>
      </c>
      <c r="J270" s="22" t="str">
        <f>INDEX(Cronograma!I$5:I$11,MATCH($B270,Premissas!$A$39:$A$45,0))</f>
        <v/>
      </c>
      <c r="K270" s="22" t="str">
        <f>INDEX(Cronograma!J$5:J$11,MATCH($B270,Premissas!$A$39:$A$45,0))</f>
        <v/>
      </c>
      <c r="L270" s="22" t="str">
        <f>INDEX(Cronograma!K$5:K$11,MATCH($B270,Premissas!$A$39:$A$45,0))</f>
        <v/>
      </c>
      <c r="M270" s="22" t="str">
        <f>INDEX(Cronograma!L$5:L$11,MATCH($B270,Premissas!$A$39:$A$45,0))</f>
        <v/>
      </c>
      <c r="N270" s="22" t="str">
        <f>INDEX(Cronograma!M$5:M$11,MATCH($B270,Premissas!$A$39:$A$45,0))</f>
        <v>A</v>
      </c>
      <c r="O270" s="22" t="str">
        <f>INDEX(Cronograma!N$5:N$11,MATCH($B270,Premissas!$A$39:$A$45,0))</f>
        <v/>
      </c>
      <c r="P270" s="22" t="str">
        <f>INDEX(Cronograma!O$5:O$11,MATCH($B270,Premissas!$A$39:$A$45,0))</f>
        <v/>
      </c>
      <c r="Q270" s="22" t="str">
        <f>INDEX(Cronograma!P$5:P$11,MATCH($B270,Premissas!$A$39:$A$45,0))</f>
        <v/>
      </c>
      <c r="R270" s="22" t="str">
        <f>INDEX(Cronograma!Q$5:Q$11,MATCH($B270,Premissas!$A$39:$A$45,0))</f>
        <v/>
      </c>
      <c r="S270" s="22" t="str">
        <f>INDEX(Cronograma!R$5:R$11,MATCH($B270,Premissas!$A$39:$A$45,0))</f>
        <v>S</v>
      </c>
      <c r="T270" s="22" t="str">
        <f>INDEX(Cronograma!S$5:S$11,MATCH($B270,Premissas!$A$39:$A$45,0))</f>
        <v/>
      </c>
      <c r="U270" s="22" t="str">
        <f>INDEX(Cronograma!T$5:T$11,MATCH($B270,Premissas!$A$39:$A$45,0))</f>
        <v/>
      </c>
      <c r="V270" s="22" t="str">
        <f>INDEX(Cronograma!U$5:U$11,MATCH($B270,Premissas!$A$39:$A$45,0))</f>
        <v/>
      </c>
      <c r="W270" s="22" t="str">
        <f>INDEX(Cronograma!V$5:V$11,MATCH($B270,Premissas!$A$39:$A$45,0))</f>
        <v/>
      </c>
      <c r="X270" s="22" t="str">
        <f>INDEX(Cronograma!W$5:W$11,MATCH($B270,Premissas!$A$39:$A$45,0))</f>
        <v/>
      </c>
      <c r="Y270" s="22" t="str">
        <f>INDEX(Cronograma!X$5:X$11,MATCH($B270,Premissas!$A$39:$A$45,0))</f>
        <v>B</v>
      </c>
      <c r="Z270" s="22" t="str">
        <f>INDEX(Cronograma!Y$5:Y$11,MATCH($B270,Premissas!$A$39:$A$45,0))</f>
        <v/>
      </c>
      <c r="AA270" s="22" t="str">
        <f>INDEX(Cronograma!Z$5:Z$11,MATCH($B270,Premissas!$A$39:$A$45,0))</f>
        <v/>
      </c>
      <c r="AB270" s="22" t="str">
        <f>INDEX(Cronograma!AA$5:AA$11,MATCH($B270,Premissas!$A$39:$A$45,0))</f>
        <v/>
      </c>
      <c r="AC270" s="22" t="str">
        <f>INDEX(Cronograma!AB$5:AB$11,MATCH($B270,Premissas!$A$39:$A$45,0))</f>
        <v/>
      </c>
      <c r="AD270" s="22" t="str">
        <f>INDEX(Cronograma!AC$5:AC$11,MATCH($B270,Premissas!$A$39:$A$45,0))</f>
        <v>S</v>
      </c>
      <c r="AE270" s="22" t="str">
        <f>INDEX(Cronograma!AD$5:AD$11,MATCH($B270,Premissas!$A$39:$A$45,0))</f>
        <v/>
      </c>
      <c r="AF270" s="22" t="str">
        <f>INDEX(Cronograma!AE$5:AE$11,MATCH($B270,Premissas!$A$39:$A$45,0))</f>
        <v/>
      </c>
      <c r="AG270" s="22" t="str">
        <f>INDEX(Cronograma!AF$5:AF$11,MATCH($B270,Premissas!$A$39:$A$45,0))</f>
        <v/>
      </c>
      <c r="AH270" s="22" t="str">
        <f>INDEX(Cronograma!AG$5:AG$11,MATCH($B270,Premissas!$A$39:$A$45,0))</f>
        <v/>
      </c>
      <c r="AI270" s="22" t="str">
        <f>INDEX(Cronograma!AH$5:AH$11,MATCH($B270,Premissas!$A$39:$A$45,0))</f>
        <v/>
      </c>
      <c r="AJ270" s="22" t="str">
        <f>INDEX(Cronograma!AI$5:AI$11,MATCH($B270,Premissas!$A$39:$A$45,0))</f>
        <v/>
      </c>
      <c r="AK270" s="22" t="str">
        <f>INDEX(Cronograma!AJ$5:AJ$11,MATCH($B270,Premissas!$A$39:$A$45,0))</f>
        <v/>
      </c>
      <c r="AL270" s="22" t="str">
        <f>INDEX(Cronograma!AK$5:AK$11,MATCH($B270,Premissas!$A$39:$A$45,0))</f>
        <v/>
      </c>
      <c r="AM270" s="22" t="str">
        <f>INDEX(Cronograma!AL$5:AL$11,MATCH($B270,Premissas!$A$39:$A$45,0))</f>
        <v/>
      </c>
      <c r="AN270" s="22" t="str">
        <f>INDEX(Cronograma!AM$5:AM$11,MATCH($B270,Premissas!$A$39:$A$45,0))</f>
        <v/>
      </c>
      <c r="AO270" s="22" t="str">
        <f>INDEX(Cronograma!AN$5:AN$11,MATCH($B270,Premissas!$A$39:$A$45,0))</f>
        <v/>
      </c>
      <c r="AP270" s="22" t="str">
        <f>INDEX(Cronograma!AO$5:AO$11,MATCH($B270,Premissas!$A$39:$A$45,0))</f>
        <v/>
      </c>
      <c r="AQ270" s="22" t="str">
        <f>INDEX(Cronograma!AP$5:AP$11,MATCH($B270,Premissas!$A$39:$A$45,0))</f>
        <v/>
      </c>
      <c r="AR270" s="22" t="str">
        <f>INDEX(Cronograma!AQ$5:AQ$11,MATCH($B270,Premissas!$A$39:$A$45,0))</f>
        <v>A</v>
      </c>
      <c r="AS270" s="22" t="str">
        <f>INDEX(Cronograma!AR$5:AR$11,MATCH($B270,Premissas!$A$39:$A$45,0))</f>
        <v/>
      </c>
      <c r="AT270" s="22" t="str">
        <f>INDEX(Cronograma!AS$5:AS$11,MATCH($B270,Premissas!$A$39:$A$45,0))</f>
        <v/>
      </c>
      <c r="AU270" s="22" t="str">
        <f>INDEX(Cronograma!AT$5:AT$11,MATCH($B270,Premissas!$A$39:$A$45,0))</f>
        <v/>
      </c>
      <c r="AV270" s="22" t="str">
        <f>INDEX(Cronograma!AU$5:AU$11,MATCH($B270,Premissas!$A$39:$A$45,0))</f>
        <v/>
      </c>
      <c r="AW270" s="22" t="str">
        <f>INDEX(Cronograma!AV$5:AV$11,MATCH($B270,Premissas!$A$39:$A$45,0))</f>
        <v/>
      </c>
      <c r="AX270" s="22" t="str">
        <f>INDEX(Cronograma!AW$5:AW$11,MATCH($B270,Premissas!$A$39:$A$45,0))</f>
        <v/>
      </c>
      <c r="AY270" s="22" t="str">
        <f>INDEX(Cronograma!AX$5:AX$11,MATCH($B270,Premissas!$A$39:$A$45,0))</f>
        <v/>
      </c>
      <c r="AZ270" s="22" t="str">
        <f>INDEX(Cronograma!AY$5:AY$11,MATCH($B270,Premissas!$A$39:$A$45,0))</f>
        <v/>
      </c>
      <c r="BA270" s="22" t="str">
        <f>INDEX(Cronograma!AZ$5:AZ$11,MATCH($B270,Premissas!$A$39:$A$45,0))</f>
        <v/>
      </c>
      <c r="BB270" s="22" t="str">
        <f>INDEX(Cronograma!BA$5:BA$11,MATCH($B270,Premissas!$A$39:$A$45,0))</f>
        <v/>
      </c>
    </row>
    <row r="271" spans="1:54" ht="15" customHeight="1" x14ac:dyDescent="0.4">
      <c r="A271" s="15" t="str">
        <f>Frota!$B271&amp;" — "&amp;Frota!$A271</f>
        <v>NH TS-90 — 106055</v>
      </c>
      <c r="B271" s="16" t="str">
        <f>Frota!$C271</f>
        <v>Carregadeira/Pesada</v>
      </c>
      <c r="C271" s="22" t="str">
        <f>INDEX(Cronograma!B$5:B$11,MATCH($B271,Premissas!$A$39:$A$45,0))</f>
        <v/>
      </c>
      <c r="D271" s="22" t="str">
        <f>INDEX(Cronograma!C$5:C$11,MATCH($B271,Premissas!$A$39:$A$45,0))</f>
        <v/>
      </c>
      <c r="E271" s="22" t="str">
        <f>INDEX(Cronograma!D$5:D$11,MATCH($B271,Premissas!$A$39:$A$45,0))</f>
        <v/>
      </c>
      <c r="F271" s="22" t="str">
        <f>INDEX(Cronograma!E$5:E$11,MATCH($B271,Premissas!$A$39:$A$45,0))</f>
        <v/>
      </c>
      <c r="G271" s="22" t="str">
        <f>INDEX(Cronograma!F$5:F$11,MATCH($B271,Premissas!$A$39:$A$45,0))</f>
        <v/>
      </c>
      <c r="H271" s="22" t="str">
        <f>INDEX(Cronograma!G$5:G$11,MATCH($B271,Premissas!$A$39:$A$45,0))</f>
        <v>S</v>
      </c>
      <c r="I271" s="22" t="str">
        <f>INDEX(Cronograma!H$5:H$11,MATCH($B271,Premissas!$A$39:$A$45,0))</f>
        <v/>
      </c>
      <c r="J271" s="22" t="str">
        <f>INDEX(Cronograma!I$5:I$11,MATCH($B271,Premissas!$A$39:$A$45,0))</f>
        <v/>
      </c>
      <c r="K271" s="22" t="str">
        <f>INDEX(Cronograma!J$5:J$11,MATCH($B271,Premissas!$A$39:$A$45,0))</f>
        <v/>
      </c>
      <c r="L271" s="22" t="str">
        <f>INDEX(Cronograma!K$5:K$11,MATCH($B271,Premissas!$A$39:$A$45,0))</f>
        <v/>
      </c>
      <c r="M271" s="22" t="str">
        <f>INDEX(Cronograma!L$5:L$11,MATCH($B271,Premissas!$A$39:$A$45,0))</f>
        <v/>
      </c>
      <c r="N271" s="22" t="str">
        <f>INDEX(Cronograma!M$5:M$11,MATCH($B271,Premissas!$A$39:$A$45,0))</f>
        <v>A</v>
      </c>
      <c r="O271" s="22" t="str">
        <f>INDEX(Cronograma!N$5:N$11,MATCH($B271,Premissas!$A$39:$A$45,0))</f>
        <v/>
      </c>
      <c r="P271" s="22" t="str">
        <f>INDEX(Cronograma!O$5:O$11,MATCH($B271,Premissas!$A$39:$A$45,0))</f>
        <v/>
      </c>
      <c r="Q271" s="22" t="str">
        <f>INDEX(Cronograma!P$5:P$11,MATCH($B271,Premissas!$A$39:$A$45,0))</f>
        <v/>
      </c>
      <c r="R271" s="22" t="str">
        <f>INDEX(Cronograma!Q$5:Q$11,MATCH($B271,Premissas!$A$39:$A$45,0))</f>
        <v/>
      </c>
      <c r="S271" s="22" t="str">
        <f>INDEX(Cronograma!R$5:R$11,MATCH($B271,Premissas!$A$39:$A$45,0))</f>
        <v>S</v>
      </c>
      <c r="T271" s="22" t="str">
        <f>INDEX(Cronograma!S$5:S$11,MATCH($B271,Premissas!$A$39:$A$45,0))</f>
        <v/>
      </c>
      <c r="U271" s="22" t="str">
        <f>INDEX(Cronograma!T$5:T$11,MATCH($B271,Premissas!$A$39:$A$45,0))</f>
        <v/>
      </c>
      <c r="V271" s="22" t="str">
        <f>INDEX(Cronograma!U$5:U$11,MATCH($B271,Premissas!$A$39:$A$45,0))</f>
        <v/>
      </c>
      <c r="W271" s="22" t="str">
        <f>INDEX(Cronograma!V$5:V$11,MATCH($B271,Premissas!$A$39:$A$45,0))</f>
        <v/>
      </c>
      <c r="X271" s="22" t="str">
        <f>INDEX(Cronograma!W$5:W$11,MATCH($B271,Premissas!$A$39:$A$45,0))</f>
        <v/>
      </c>
      <c r="Y271" s="22" t="str">
        <f>INDEX(Cronograma!X$5:X$11,MATCH($B271,Premissas!$A$39:$A$45,0))</f>
        <v>B</v>
      </c>
      <c r="Z271" s="22" t="str">
        <f>INDEX(Cronograma!Y$5:Y$11,MATCH($B271,Premissas!$A$39:$A$45,0))</f>
        <v/>
      </c>
      <c r="AA271" s="22" t="str">
        <f>INDEX(Cronograma!Z$5:Z$11,MATCH($B271,Premissas!$A$39:$A$45,0))</f>
        <v/>
      </c>
      <c r="AB271" s="22" t="str">
        <f>INDEX(Cronograma!AA$5:AA$11,MATCH($B271,Premissas!$A$39:$A$45,0))</f>
        <v/>
      </c>
      <c r="AC271" s="22" t="str">
        <f>INDEX(Cronograma!AB$5:AB$11,MATCH($B271,Premissas!$A$39:$A$45,0))</f>
        <v/>
      </c>
      <c r="AD271" s="22" t="str">
        <f>INDEX(Cronograma!AC$5:AC$11,MATCH($B271,Premissas!$A$39:$A$45,0))</f>
        <v>S</v>
      </c>
      <c r="AE271" s="22" t="str">
        <f>INDEX(Cronograma!AD$5:AD$11,MATCH($B271,Premissas!$A$39:$A$45,0))</f>
        <v/>
      </c>
      <c r="AF271" s="22" t="str">
        <f>INDEX(Cronograma!AE$5:AE$11,MATCH($B271,Premissas!$A$39:$A$45,0))</f>
        <v/>
      </c>
      <c r="AG271" s="22" t="str">
        <f>INDEX(Cronograma!AF$5:AF$11,MATCH($B271,Premissas!$A$39:$A$45,0))</f>
        <v/>
      </c>
      <c r="AH271" s="22" t="str">
        <f>INDEX(Cronograma!AG$5:AG$11,MATCH($B271,Premissas!$A$39:$A$45,0))</f>
        <v/>
      </c>
      <c r="AI271" s="22" t="str">
        <f>INDEX(Cronograma!AH$5:AH$11,MATCH($B271,Premissas!$A$39:$A$45,0))</f>
        <v/>
      </c>
      <c r="AJ271" s="22" t="str">
        <f>INDEX(Cronograma!AI$5:AI$11,MATCH($B271,Premissas!$A$39:$A$45,0))</f>
        <v/>
      </c>
      <c r="AK271" s="22" t="str">
        <f>INDEX(Cronograma!AJ$5:AJ$11,MATCH($B271,Premissas!$A$39:$A$45,0))</f>
        <v/>
      </c>
      <c r="AL271" s="22" t="str">
        <f>INDEX(Cronograma!AK$5:AK$11,MATCH($B271,Premissas!$A$39:$A$45,0))</f>
        <v/>
      </c>
      <c r="AM271" s="22" t="str">
        <f>INDEX(Cronograma!AL$5:AL$11,MATCH($B271,Premissas!$A$39:$A$45,0))</f>
        <v/>
      </c>
      <c r="AN271" s="22" t="str">
        <f>INDEX(Cronograma!AM$5:AM$11,MATCH($B271,Premissas!$A$39:$A$45,0))</f>
        <v/>
      </c>
      <c r="AO271" s="22" t="str">
        <f>INDEX(Cronograma!AN$5:AN$11,MATCH($B271,Premissas!$A$39:$A$45,0))</f>
        <v/>
      </c>
      <c r="AP271" s="22" t="str">
        <f>INDEX(Cronograma!AO$5:AO$11,MATCH($B271,Premissas!$A$39:$A$45,0))</f>
        <v/>
      </c>
      <c r="AQ271" s="22" t="str">
        <f>INDEX(Cronograma!AP$5:AP$11,MATCH($B271,Premissas!$A$39:$A$45,0))</f>
        <v/>
      </c>
      <c r="AR271" s="22" t="str">
        <f>INDEX(Cronograma!AQ$5:AQ$11,MATCH($B271,Premissas!$A$39:$A$45,0))</f>
        <v>A</v>
      </c>
      <c r="AS271" s="22" t="str">
        <f>INDEX(Cronograma!AR$5:AR$11,MATCH($B271,Premissas!$A$39:$A$45,0))</f>
        <v/>
      </c>
      <c r="AT271" s="22" t="str">
        <f>INDEX(Cronograma!AS$5:AS$11,MATCH($B271,Premissas!$A$39:$A$45,0))</f>
        <v/>
      </c>
      <c r="AU271" s="22" t="str">
        <f>INDEX(Cronograma!AT$5:AT$11,MATCH($B271,Premissas!$A$39:$A$45,0))</f>
        <v/>
      </c>
      <c r="AV271" s="22" t="str">
        <f>INDEX(Cronograma!AU$5:AU$11,MATCH($B271,Premissas!$A$39:$A$45,0))</f>
        <v/>
      </c>
      <c r="AW271" s="22" t="str">
        <f>INDEX(Cronograma!AV$5:AV$11,MATCH($B271,Premissas!$A$39:$A$45,0))</f>
        <v/>
      </c>
      <c r="AX271" s="22" t="str">
        <f>INDEX(Cronograma!AW$5:AW$11,MATCH($B271,Premissas!$A$39:$A$45,0))</f>
        <v/>
      </c>
      <c r="AY271" s="22" t="str">
        <f>INDEX(Cronograma!AX$5:AX$11,MATCH($B271,Premissas!$A$39:$A$45,0))</f>
        <v/>
      </c>
      <c r="AZ271" s="22" t="str">
        <f>INDEX(Cronograma!AY$5:AY$11,MATCH($B271,Premissas!$A$39:$A$45,0))</f>
        <v/>
      </c>
      <c r="BA271" s="22" t="str">
        <f>INDEX(Cronograma!AZ$5:AZ$11,MATCH($B271,Premissas!$A$39:$A$45,0))</f>
        <v/>
      </c>
      <c r="BB271" s="22" t="str">
        <f>INDEX(Cronograma!BA$5:BA$11,MATCH($B271,Premissas!$A$39:$A$45,0))</f>
        <v/>
      </c>
    </row>
    <row r="272" spans="1:54" ht="15" customHeight="1" x14ac:dyDescent="0.4">
      <c r="A272" s="15" t="str">
        <f>Frota!$B272&amp;" — "&amp;Frota!$A272</f>
        <v>NH TS-90 — 106057</v>
      </c>
      <c r="B272" s="16" t="str">
        <f>Frota!$C272</f>
        <v>Carregadeira/Pesada</v>
      </c>
      <c r="C272" s="22" t="str">
        <f>INDEX(Cronograma!B$5:B$11,MATCH($B272,Premissas!$A$39:$A$45,0))</f>
        <v/>
      </c>
      <c r="D272" s="22" t="str">
        <f>INDEX(Cronograma!C$5:C$11,MATCH($B272,Premissas!$A$39:$A$45,0))</f>
        <v/>
      </c>
      <c r="E272" s="22" t="str">
        <f>INDEX(Cronograma!D$5:D$11,MATCH($B272,Premissas!$A$39:$A$45,0))</f>
        <v/>
      </c>
      <c r="F272" s="22" t="str">
        <f>INDEX(Cronograma!E$5:E$11,MATCH($B272,Premissas!$A$39:$A$45,0))</f>
        <v/>
      </c>
      <c r="G272" s="22" t="str">
        <f>INDEX(Cronograma!F$5:F$11,MATCH($B272,Premissas!$A$39:$A$45,0))</f>
        <v/>
      </c>
      <c r="H272" s="22" t="str">
        <f>INDEX(Cronograma!G$5:G$11,MATCH($B272,Premissas!$A$39:$A$45,0))</f>
        <v>S</v>
      </c>
      <c r="I272" s="22" t="str">
        <f>INDEX(Cronograma!H$5:H$11,MATCH($B272,Premissas!$A$39:$A$45,0))</f>
        <v/>
      </c>
      <c r="J272" s="22" t="str">
        <f>INDEX(Cronograma!I$5:I$11,MATCH($B272,Premissas!$A$39:$A$45,0))</f>
        <v/>
      </c>
      <c r="K272" s="22" t="str">
        <f>INDEX(Cronograma!J$5:J$11,MATCH($B272,Premissas!$A$39:$A$45,0))</f>
        <v/>
      </c>
      <c r="L272" s="22" t="str">
        <f>INDEX(Cronograma!K$5:K$11,MATCH($B272,Premissas!$A$39:$A$45,0))</f>
        <v/>
      </c>
      <c r="M272" s="22" t="str">
        <f>INDEX(Cronograma!L$5:L$11,MATCH($B272,Premissas!$A$39:$A$45,0))</f>
        <v/>
      </c>
      <c r="N272" s="22" t="str">
        <f>INDEX(Cronograma!M$5:M$11,MATCH($B272,Premissas!$A$39:$A$45,0))</f>
        <v>A</v>
      </c>
      <c r="O272" s="22" t="str">
        <f>INDEX(Cronograma!N$5:N$11,MATCH($B272,Premissas!$A$39:$A$45,0))</f>
        <v/>
      </c>
      <c r="P272" s="22" t="str">
        <f>INDEX(Cronograma!O$5:O$11,MATCH($B272,Premissas!$A$39:$A$45,0))</f>
        <v/>
      </c>
      <c r="Q272" s="22" t="str">
        <f>INDEX(Cronograma!P$5:P$11,MATCH($B272,Premissas!$A$39:$A$45,0))</f>
        <v/>
      </c>
      <c r="R272" s="22" t="str">
        <f>INDEX(Cronograma!Q$5:Q$11,MATCH($B272,Premissas!$A$39:$A$45,0))</f>
        <v/>
      </c>
      <c r="S272" s="22" t="str">
        <f>INDEX(Cronograma!R$5:R$11,MATCH($B272,Premissas!$A$39:$A$45,0))</f>
        <v>S</v>
      </c>
      <c r="T272" s="22" t="str">
        <f>INDEX(Cronograma!S$5:S$11,MATCH($B272,Premissas!$A$39:$A$45,0))</f>
        <v/>
      </c>
      <c r="U272" s="22" t="str">
        <f>INDEX(Cronograma!T$5:T$11,MATCH($B272,Premissas!$A$39:$A$45,0))</f>
        <v/>
      </c>
      <c r="V272" s="22" t="str">
        <f>INDEX(Cronograma!U$5:U$11,MATCH($B272,Premissas!$A$39:$A$45,0))</f>
        <v/>
      </c>
      <c r="W272" s="22" t="str">
        <f>INDEX(Cronograma!V$5:V$11,MATCH($B272,Premissas!$A$39:$A$45,0))</f>
        <v/>
      </c>
      <c r="X272" s="22" t="str">
        <f>INDEX(Cronograma!W$5:W$11,MATCH($B272,Premissas!$A$39:$A$45,0))</f>
        <v/>
      </c>
      <c r="Y272" s="22" t="str">
        <f>INDEX(Cronograma!X$5:X$11,MATCH($B272,Premissas!$A$39:$A$45,0))</f>
        <v>B</v>
      </c>
      <c r="Z272" s="22" t="str">
        <f>INDEX(Cronograma!Y$5:Y$11,MATCH($B272,Premissas!$A$39:$A$45,0))</f>
        <v/>
      </c>
      <c r="AA272" s="22" t="str">
        <f>INDEX(Cronograma!Z$5:Z$11,MATCH($B272,Premissas!$A$39:$A$45,0))</f>
        <v/>
      </c>
      <c r="AB272" s="22" t="str">
        <f>INDEX(Cronograma!AA$5:AA$11,MATCH($B272,Premissas!$A$39:$A$45,0))</f>
        <v/>
      </c>
      <c r="AC272" s="22" t="str">
        <f>INDEX(Cronograma!AB$5:AB$11,MATCH($B272,Premissas!$A$39:$A$45,0))</f>
        <v/>
      </c>
      <c r="AD272" s="22" t="str">
        <f>INDEX(Cronograma!AC$5:AC$11,MATCH($B272,Premissas!$A$39:$A$45,0))</f>
        <v>S</v>
      </c>
      <c r="AE272" s="22" t="str">
        <f>INDEX(Cronograma!AD$5:AD$11,MATCH($B272,Premissas!$A$39:$A$45,0))</f>
        <v/>
      </c>
      <c r="AF272" s="22" t="str">
        <f>INDEX(Cronograma!AE$5:AE$11,MATCH($B272,Premissas!$A$39:$A$45,0))</f>
        <v/>
      </c>
      <c r="AG272" s="22" t="str">
        <f>INDEX(Cronograma!AF$5:AF$11,MATCH($B272,Premissas!$A$39:$A$45,0))</f>
        <v/>
      </c>
      <c r="AH272" s="22" t="str">
        <f>INDEX(Cronograma!AG$5:AG$11,MATCH($B272,Premissas!$A$39:$A$45,0))</f>
        <v/>
      </c>
      <c r="AI272" s="22" t="str">
        <f>INDEX(Cronograma!AH$5:AH$11,MATCH($B272,Premissas!$A$39:$A$45,0))</f>
        <v/>
      </c>
      <c r="AJ272" s="22" t="str">
        <f>INDEX(Cronograma!AI$5:AI$11,MATCH($B272,Premissas!$A$39:$A$45,0))</f>
        <v/>
      </c>
      <c r="AK272" s="22" t="str">
        <f>INDEX(Cronograma!AJ$5:AJ$11,MATCH($B272,Premissas!$A$39:$A$45,0))</f>
        <v/>
      </c>
      <c r="AL272" s="22" t="str">
        <f>INDEX(Cronograma!AK$5:AK$11,MATCH($B272,Premissas!$A$39:$A$45,0))</f>
        <v/>
      </c>
      <c r="AM272" s="22" t="str">
        <f>INDEX(Cronograma!AL$5:AL$11,MATCH($B272,Premissas!$A$39:$A$45,0))</f>
        <v/>
      </c>
      <c r="AN272" s="22" t="str">
        <f>INDEX(Cronograma!AM$5:AM$11,MATCH($B272,Premissas!$A$39:$A$45,0))</f>
        <v/>
      </c>
      <c r="AO272" s="22" t="str">
        <f>INDEX(Cronograma!AN$5:AN$11,MATCH($B272,Premissas!$A$39:$A$45,0))</f>
        <v/>
      </c>
      <c r="AP272" s="22" t="str">
        <f>INDEX(Cronograma!AO$5:AO$11,MATCH($B272,Premissas!$A$39:$A$45,0))</f>
        <v/>
      </c>
      <c r="AQ272" s="22" t="str">
        <f>INDEX(Cronograma!AP$5:AP$11,MATCH($B272,Premissas!$A$39:$A$45,0))</f>
        <v/>
      </c>
      <c r="AR272" s="22" t="str">
        <f>INDEX(Cronograma!AQ$5:AQ$11,MATCH($B272,Premissas!$A$39:$A$45,0))</f>
        <v>A</v>
      </c>
      <c r="AS272" s="22" t="str">
        <f>INDEX(Cronograma!AR$5:AR$11,MATCH($B272,Premissas!$A$39:$A$45,0))</f>
        <v/>
      </c>
      <c r="AT272" s="22" t="str">
        <f>INDEX(Cronograma!AS$5:AS$11,MATCH($B272,Premissas!$A$39:$A$45,0))</f>
        <v/>
      </c>
      <c r="AU272" s="22" t="str">
        <f>INDEX(Cronograma!AT$5:AT$11,MATCH($B272,Premissas!$A$39:$A$45,0))</f>
        <v/>
      </c>
      <c r="AV272" s="22" t="str">
        <f>INDEX(Cronograma!AU$5:AU$11,MATCH($B272,Premissas!$A$39:$A$45,0))</f>
        <v/>
      </c>
      <c r="AW272" s="22" t="str">
        <f>INDEX(Cronograma!AV$5:AV$11,MATCH($B272,Premissas!$A$39:$A$45,0))</f>
        <v/>
      </c>
      <c r="AX272" s="22" t="str">
        <f>INDEX(Cronograma!AW$5:AW$11,MATCH($B272,Premissas!$A$39:$A$45,0))</f>
        <v/>
      </c>
      <c r="AY272" s="22" t="str">
        <f>INDEX(Cronograma!AX$5:AX$11,MATCH($B272,Premissas!$A$39:$A$45,0))</f>
        <v/>
      </c>
      <c r="AZ272" s="22" t="str">
        <f>INDEX(Cronograma!AY$5:AY$11,MATCH($B272,Premissas!$A$39:$A$45,0))</f>
        <v/>
      </c>
      <c r="BA272" s="22" t="str">
        <f>INDEX(Cronograma!AZ$5:AZ$11,MATCH($B272,Premissas!$A$39:$A$45,0))</f>
        <v/>
      </c>
      <c r="BB272" s="22" t="str">
        <f>INDEX(Cronograma!BA$5:BA$11,MATCH($B272,Premissas!$A$39:$A$45,0))</f>
        <v/>
      </c>
    </row>
    <row r="273" spans="1:54" ht="15" customHeight="1" x14ac:dyDescent="0.4">
      <c r="A273" s="15" t="str">
        <f>Frota!$B273&amp;" — "&amp;Frota!$A273</f>
        <v>NH TS-90 — 106058</v>
      </c>
      <c r="B273" s="16" t="str">
        <f>Frota!$C273</f>
        <v>Carregadeira/Pesada</v>
      </c>
      <c r="C273" s="22" t="str">
        <f>INDEX(Cronograma!B$5:B$11,MATCH($B273,Premissas!$A$39:$A$45,0))</f>
        <v/>
      </c>
      <c r="D273" s="22" t="str">
        <f>INDEX(Cronograma!C$5:C$11,MATCH($B273,Premissas!$A$39:$A$45,0))</f>
        <v/>
      </c>
      <c r="E273" s="22" t="str">
        <f>INDEX(Cronograma!D$5:D$11,MATCH($B273,Premissas!$A$39:$A$45,0))</f>
        <v/>
      </c>
      <c r="F273" s="22" t="str">
        <f>INDEX(Cronograma!E$5:E$11,MATCH($B273,Premissas!$A$39:$A$45,0))</f>
        <v/>
      </c>
      <c r="G273" s="22" t="str">
        <f>INDEX(Cronograma!F$5:F$11,MATCH($B273,Premissas!$A$39:$A$45,0))</f>
        <v/>
      </c>
      <c r="H273" s="22" t="str">
        <f>INDEX(Cronograma!G$5:G$11,MATCH($B273,Premissas!$A$39:$A$45,0))</f>
        <v>S</v>
      </c>
      <c r="I273" s="22" t="str">
        <f>INDEX(Cronograma!H$5:H$11,MATCH($B273,Premissas!$A$39:$A$45,0))</f>
        <v/>
      </c>
      <c r="J273" s="22" t="str">
        <f>INDEX(Cronograma!I$5:I$11,MATCH($B273,Premissas!$A$39:$A$45,0))</f>
        <v/>
      </c>
      <c r="K273" s="22" t="str">
        <f>INDEX(Cronograma!J$5:J$11,MATCH($B273,Premissas!$A$39:$A$45,0))</f>
        <v/>
      </c>
      <c r="L273" s="22" t="str">
        <f>INDEX(Cronograma!K$5:K$11,MATCH($B273,Premissas!$A$39:$A$45,0))</f>
        <v/>
      </c>
      <c r="M273" s="22" t="str">
        <f>INDEX(Cronograma!L$5:L$11,MATCH($B273,Premissas!$A$39:$A$45,0))</f>
        <v/>
      </c>
      <c r="N273" s="22" t="str">
        <f>INDEX(Cronograma!M$5:M$11,MATCH($B273,Premissas!$A$39:$A$45,0))</f>
        <v>A</v>
      </c>
      <c r="O273" s="22" t="str">
        <f>INDEX(Cronograma!N$5:N$11,MATCH($B273,Premissas!$A$39:$A$45,0))</f>
        <v/>
      </c>
      <c r="P273" s="22" t="str">
        <f>INDEX(Cronograma!O$5:O$11,MATCH($B273,Premissas!$A$39:$A$45,0))</f>
        <v/>
      </c>
      <c r="Q273" s="22" t="str">
        <f>INDEX(Cronograma!P$5:P$11,MATCH($B273,Premissas!$A$39:$A$45,0))</f>
        <v/>
      </c>
      <c r="R273" s="22" t="str">
        <f>INDEX(Cronograma!Q$5:Q$11,MATCH($B273,Premissas!$A$39:$A$45,0))</f>
        <v/>
      </c>
      <c r="S273" s="22" t="str">
        <f>INDEX(Cronograma!R$5:R$11,MATCH($B273,Premissas!$A$39:$A$45,0))</f>
        <v>S</v>
      </c>
      <c r="T273" s="22" t="str">
        <f>INDEX(Cronograma!S$5:S$11,MATCH($B273,Premissas!$A$39:$A$45,0))</f>
        <v/>
      </c>
      <c r="U273" s="22" t="str">
        <f>INDEX(Cronograma!T$5:T$11,MATCH($B273,Premissas!$A$39:$A$45,0))</f>
        <v/>
      </c>
      <c r="V273" s="22" t="str">
        <f>INDEX(Cronograma!U$5:U$11,MATCH($B273,Premissas!$A$39:$A$45,0))</f>
        <v/>
      </c>
      <c r="W273" s="22" t="str">
        <f>INDEX(Cronograma!V$5:V$11,MATCH($B273,Premissas!$A$39:$A$45,0))</f>
        <v/>
      </c>
      <c r="X273" s="22" t="str">
        <f>INDEX(Cronograma!W$5:W$11,MATCH($B273,Premissas!$A$39:$A$45,0))</f>
        <v/>
      </c>
      <c r="Y273" s="22" t="str">
        <f>INDEX(Cronograma!X$5:X$11,MATCH($B273,Premissas!$A$39:$A$45,0))</f>
        <v>B</v>
      </c>
      <c r="Z273" s="22" t="str">
        <f>INDEX(Cronograma!Y$5:Y$11,MATCH($B273,Premissas!$A$39:$A$45,0))</f>
        <v/>
      </c>
      <c r="AA273" s="22" t="str">
        <f>INDEX(Cronograma!Z$5:Z$11,MATCH($B273,Premissas!$A$39:$A$45,0))</f>
        <v/>
      </c>
      <c r="AB273" s="22" t="str">
        <f>INDEX(Cronograma!AA$5:AA$11,MATCH($B273,Premissas!$A$39:$A$45,0))</f>
        <v/>
      </c>
      <c r="AC273" s="22" t="str">
        <f>INDEX(Cronograma!AB$5:AB$11,MATCH($B273,Premissas!$A$39:$A$45,0))</f>
        <v/>
      </c>
      <c r="AD273" s="22" t="str">
        <f>INDEX(Cronograma!AC$5:AC$11,MATCH($B273,Premissas!$A$39:$A$45,0))</f>
        <v>S</v>
      </c>
      <c r="AE273" s="22" t="str">
        <f>INDEX(Cronograma!AD$5:AD$11,MATCH($B273,Premissas!$A$39:$A$45,0))</f>
        <v/>
      </c>
      <c r="AF273" s="22" t="str">
        <f>INDEX(Cronograma!AE$5:AE$11,MATCH($B273,Premissas!$A$39:$A$45,0))</f>
        <v/>
      </c>
      <c r="AG273" s="22" t="str">
        <f>INDEX(Cronograma!AF$5:AF$11,MATCH($B273,Premissas!$A$39:$A$45,0))</f>
        <v/>
      </c>
      <c r="AH273" s="22" t="str">
        <f>INDEX(Cronograma!AG$5:AG$11,MATCH($B273,Premissas!$A$39:$A$45,0))</f>
        <v/>
      </c>
      <c r="AI273" s="22" t="str">
        <f>INDEX(Cronograma!AH$5:AH$11,MATCH($B273,Premissas!$A$39:$A$45,0))</f>
        <v/>
      </c>
      <c r="AJ273" s="22" t="str">
        <f>INDEX(Cronograma!AI$5:AI$11,MATCH($B273,Premissas!$A$39:$A$45,0))</f>
        <v/>
      </c>
      <c r="AK273" s="22" t="str">
        <f>INDEX(Cronograma!AJ$5:AJ$11,MATCH($B273,Premissas!$A$39:$A$45,0))</f>
        <v/>
      </c>
      <c r="AL273" s="22" t="str">
        <f>INDEX(Cronograma!AK$5:AK$11,MATCH($B273,Premissas!$A$39:$A$45,0))</f>
        <v/>
      </c>
      <c r="AM273" s="22" t="str">
        <f>INDEX(Cronograma!AL$5:AL$11,MATCH($B273,Premissas!$A$39:$A$45,0))</f>
        <v/>
      </c>
      <c r="AN273" s="22" t="str">
        <f>INDEX(Cronograma!AM$5:AM$11,MATCH($B273,Premissas!$A$39:$A$45,0))</f>
        <v/>
      </c>
      <c r="AO273" s="22" t="str">
        <f>INDEX(Cronograma!AN$5:AN$11,MATCH($B273,Premissas!$A$39:$A$45,0))</f>
        <v/>
      </c>
      <c r="AP273" s="22" t="str">
        <f>INDEX(Cronograma!AO$5:AO$11,MATCH($B273,Premissas!$A$39:$A$45,0))</f>
        <v/>
      </c>
      <c r="AQ273" s="22" t="str">
        <f>INDEX(Cronograma!AP$5:AP$11,MATCH($B273,Premissas!$A$39:$A$45,0))</f>
        <v/>
      </c>
      <c r="AR273" s="22" t="str">
        <f>INDEX(Cronograma!AQ$5:AQ$11,MATCH($B273,Premissas!$A$39:$A$45,0))</f>
        <v>A</v>
      </c>
      <c r="AS273" s="22" t="str">
        <f>INDEX(Cronograma!AR$5:AR$11,MATCH($B273,Premissas!$A$39:$A$45,0))</f>
        <v/>
      </c>
      <c r="AT273" s="22" t="str">
        <f>INDEX(Cronograma!AS$5:AS$11,MATCH($B273,Premissas!$A$39:$A$45,0))</f>
        <v/>
      </c>
      <c r="AU273" s="22" t="str">
        <f>INDEX(Cronograma!AT$5:AT$11,MATCH($B273,Premissas!$A$39:$A$45,0))</f>
        <v/>
      </c>
      <c r="AV273" s="22" t="str">
        <f>INDEX(Cronograma!AU$5:AU$11,MATCH($B273,Premissas!$A$39:$A$45,0))</f>
        <v/>
      </c>
      <c r="AW273" s="22" t="str">
        <f>INDEX(Cronograma!AV$5:AV$11,MATCH($B273,Premissas!$A$39:$A$45,0))</f>
        <v/>
      </c>
      <c r="AX273" s="22" t="str">
        <f>INDEX(Cronograma!AW$5:AW$11,MATCH($B273,Premissas!$A$39:$A$45,0))</f>
        <v/>
      </c>
      <c r="AY273" s="22" t="str">
        <f>INDEX(Cronograma!AX$5:AX$11,MATCH($B273,Premissas!$A$39:$A$45,0))</f>
        <v/>
      </c>
      <c r="AZ273" s="22" t="str">
        <f>INDEX(Cronograma!AY$5:AY$11,MATCH($B273,Premissas!$A$39:$A$45,0))</f>
        <v/>
      </c>
      <c r="BA273" s="22" t="str">
        <f>INDEX(Cronograma!AZ$5:AZ$11,MATCH($B273,Premissas!$A$39:$A$45,0))</f>
        <v/>
      </c>
      <c r="BB273" s="22" t="str">
        <f>INDEX(Cronograma!BA$5:BA$11,MATCH($B273,Premissas!$A$39:$A$45,0))</f>
        <v/>
      </c>
    </row>
    <row r="274" spans="1:54" ht="15" customHeight="1" x14ac:dyDescent="0.4">
      <c r="A274" s="15" t="str">
        <f>Frota!$B274&amp;" — "&amp;Frota!$A274</f>
        <v>NH TS-90 — 106060</v>
      </c>
      <c r="B274" s="16" t="str">
        <f>Frota!$C274</f>
        <v>Carregadeira/Pesada</v>
      </c>
      <c r="C274" s="22" t="str">
        <f>INDEX(Cronograma!B$5:B$11,MATCH($B274,Premissas!$A$39:$A$45,0))</f>
        <v/>
      </c>
      <c r="D274" s="22" t="str">
        <f>INDEX(Cronograma!C$5:C$11,MATCH($B274,Premissas!$A$39:$A$45,0))</f>
        <v/>
      </c>
      <c r="E274" s="22" t="str">
        <f>INDEX(Cronograma!D$5:D$11,MATCH($B274,Premissas!$A$39:$A$45,0))</f>
        <v/>
      </c>
      <c r="F274" s="22" t="str">
        <f>INDEX(Cronograma!E$5:E$11,MATCH($B274,Premissas!$A$39:$A$45,0))</f>
        <v/>
      </c>
      <c r="G274" s="22" t="str">
        <f>INDEX(Cronograma!F$5:F$11,MATCH($B274,Premissas!$A$39:$A$45,0))</f>
        <v/>
      </c>
      <c r="H274" s="22" t="str">
        <f>INDEX(Cronograma!G$5:G$11,MATCH($B274,Premissas!$A$39:$A$45,0))</f>
        <v>S</v>
      </c>
      <c r="I274" s="22" t="str">
        <f>INDEX(Cronograma!H$5:H$11,MATCH($B274,Premissas!$A$39:$A$45,0))</f>
        <v/>
      </c>
      <c r="J274" s="22" t="str">
        <f>INDEX(Cronograma!I$5:I$11,MATCH($B274,Premissas!$A$39:$A$45,0))</f>
        <v/>
      </c>
      <c r="K274" s="22" t="str">
        <f>INDEX(Cronograma!J$5:J$11,MATCH($B274,Premissas!$A$39:$A$45,0))</f>
        <v/>
      </c>
      <c r="L274" s="22" t="str">
        <f>INDEX(Cronograma!K$5:K$11,MATCH($B274,Premissas!$A$39:$A$45,0))</f>
        <v/>
      </c>
      <c r="M274" s="22" t="str">
        <f>INDEX(Cronograma!L$5:L$11,MATCH($B274,Premissas!$A$39:$A$45,0))</f>
        <v/>
      </c>
      <c r="N274" s="22" t="str">
        <f>INDEX(Cronograma!M$5:M$11,MATCH($B274,Premissas!$A$39:$A$45,0))</f>
        <v>A</v>
      </c>
      <c r="O274" s="22" t="str">
        <f>INDEX(Cronograma!N$5:N$11,MATCH($B274,Premissas!$A$39:$A$45,0))</f>
        <v/>
      </c>
      <c r="P274" s="22" t="str">
        <f>INDEX(Cronograma!O$5:O$11,MATCH($B274,Premissas!$A$39:$A$45,0))</f>
        <v/>
      </c>
      <c r="Q274" s="22" t="str">
        <f>INDEX(Cronograma!P$5:P$11,MATCH($B274,Premissas!$A$39:$A$45,0))</f>
        <v/>
      </c>
      <c r="R274" s="22" t="str">
        <f>INDEX(Cronograma!Q$5:Q$11,MATCH($B274,Premissas!$A$39:$A$45,0))</f>
        <v/>
      </c>
      <c r="S274" s="22" t="str">
        <f>INDEX(Cronograma!R$5:R$11,MATCH($B274,Premissas!$A$39:$A$45,0))</f>
        <v>S</v>
      </c>
      <c r="T274" s="22" t="str">
        <f>INDEX(Cronograma!S$5:S$11,MATCH($B274,Premissas!$A$39:$A$45,0))</f>
        <v/>
      </c>
      <c r="U274" s="22" t="str">
        <f>INDEX(Cronograma!T$5:T$11,MATCH($B274,Premissas!$A$39:$A$45,0))</f>
        <v/>
      </c>
      <c r="V274" s="22" t="str">
        <f>INDEX(Cronograma!U$5:U$11,MATCH($B274,Premissas!$A$39:$A$45,0))</f>
        <v/>
      </c>
      <c r="W274" s="22" t="str">
        <f>INDEX(Cronograma!V$5:V$11,MATCH($B274,Premissas!$A$39:$A$45,0))</f>
        <v/>
      </c>
      <c r="X274" s="22" t="str">
        <f>INDEX(Cronograma!W$5:W$11,MATCH($B274,Premissas!$A$39:$A$45,0))</f>
        <v/>
      </c>
      <c r="Y274" s="22" t="str">
        <f>INDEX(Cronograma!X$5:X$11,MATCH($B274,Premissas!$A$39:$A$45,0))</f>
        <v>B</v>
      </c>
      <c r="Z274" s="22" t="str">
        <f>INDEX(Cronograma!Y$5:Y$11,MATCH($B274,Premissas!$A$39:$A$45,0))</f>
        <v/>
      </c>
      <c r="AA274" s="22" t="str">
        <f>INDEX(Cronograma!Z$5:Z$11,MATCH($B274,Premissas!$A$39:$A$45,0))</f>
        <v/>
      </c>
      <c r="AB274" s="22" t="str">
        <f>INDEX(Cronograma!AA$5:AA$11,MATCH($B274,Premissas!$A$39:$A$45,0))</f>
        <v/>
      </c>
      <c r="AC274" s="22" t="str">
        <f>INDEX(Cronograma!AB$5:AB$11,MATCH($B274,Premissas!$A$39:$A$45,0))</f>
        <v/>
      </c>
      <c r="AD274" s="22" t="str">
        <f>INDEX(Cronograma!AC$5:AC$11,MATCH($B274,Premissas!$A$39:$A$45,0))</f>
        <v>S</v>
      </c>
      <c r="AE274" s="22" t="str">
        <f>INDEX(Cronograma!AD$5:AD$11,MATCH($B274,Premissas!$A$39:$A$45,0))</f>
        <v/>
      </c>
      <c r="AF274" s="22" t="str">
        <f>INDEX(Cronograma!AE$5:AE$11,MATCH($B274,Premissas!$A$39:$A$45,0))</f>
        <v/>
      </c>
      <c r="AG274" s="22" t="str">
        <f>INDEX(Cronograma!AF$5:AF$11,MATCH($B274,Premissas!$A$39:$A$45,0))</f>
        <v/>
      </c>
      <c r="AH274" s="22" t="str">
        <f>INDEX(Cronograma!AG$5:AG$11,MATCH($B274,Premissas!$A$39:$A$45,0))</f>
        <v/>
      </c>
      <c r="AI274" s="22" t="str">
        <f>INDEX(Cronograma!AH$5:AH$11,MATCH($B274,Premissas!$A$39:$A$45,0))</f>
        <v/>
      </c>
      <c r="AJ274" s="22" t="str">
        <f>INDEX(Cronograma!AI$5:AI$11,MATCH($B274,Premissas!$A$39:$A$45,0))</f>
        <v/>
      </c>
      <c r="AK274" s="22" t="str">
        <f>INDEX(Cronograma!AJ$5:AJ$11,MATCH($B274,Premissas!$A$39:$A$45,0))</f>
        <v/>
      </c>
      <c r="AL274" s="22" t="str">
        <f>INDEX(Cronograma!AK$5:AK$11,MATCH($B274,Premissas!$A$39:$A$45,0))</f>
        <v/>
      </c>
      <c r="AM274" s="22" t="str">
        <f>INDEX(Cronograma!AL$5:AL$11,MATCH($B274,Premissas!$A$39:$A$45,0))</f>
        <v/>
      </c>
      <c r="AN274" s="22" t="str">
        <f>INDEX(Cronograma!AM$5:AM$11,MATCH($B274,Premissas!$A$39:$A$45,0))</f>
        <v/>
      </c>
      <c r="AO274" s="22" t="str">
        <f>INDEX(Cronograma!AN$5:AN$11,MATCH($B274,Premissas!$A$39:$A$45,0))</f>
        <v/>
      </c>
      <c r="AP274" s="22" t="str">
        <f>INDEX(Cronograma!AO$5:AO$11,MATCH($B274,Premissas!$A$39:$A$45,0))</f>
        <v/>
      </c>
      <c r="AQ274" s="22" t="str">
        <f>INDEX(Cronograma!AP$5:AP$11,MATCH($B274,Premissas!$A$39:$A$45,0))</f>
        <v/>
      </c>
      <c r="AR274" s="22" t="str">
        <f>INDEX(Cronograma!AQ$5:AQ$11,MATCH($B274,Premissas!$A$39:$A$45,0))</f>
        <v>A</v>
      </c>
      <c r="AS274" s="22" t="str">
        <f>INDEX(Cronograma!AR$5:AR$11,MATCH($B274,Premissas!$A$39:$A$45,0))</f>
        <v/>
      </c>
      <c r="AT274" s="22" t="str">
        <f>INDEX(Cronograma!AS$5:AS$11,MATCH($B274,Premissas!$A$39:$A$45,0))</f>
        <v/>
      </c>
      <c r="AU274" s="22" t="str">
        <f>INDEX(Cronograma!AT$5:AT$11,MATCH($B274,Premissas!$A$39:$A$45,0))</f>
        <v/>
      </c>
      <c r="AV274" s="22" t="str">
        <f>INDEX(Cronograma!AU$5:AU$11,MATCH($B274,Premissas!$A$39:$A$45,0))</f>
        <v/>
      </c>
      <c r="AW274" s="22" t="str">
        <f>INDEX(Cronograma!AV$5:AV$11,MATCH($B274,Premissas!$A$39:$A$45,0))</f>
        <v/>
      </c>
      <c r="AX274" s="22" t="str">
        <f>INDEX(Cronograma!AW$5:AW$11,MATCH($B274,Premissas!$A$39:$A$45,0))</f>
        <v/>
      </c>
      <c r="AY274" s="22" t="str">
        <f>INDEX(Cronograma!AX$5:AX$11,MATCH($B274,Premissas!$A$39:$A$45,0))</f>
        <v/>
      </c>
      <c r="AZ274" s="22" t="str">
        <f>INDEX(Cronograma!AY$5:AY$11,MATCH($B274,Premissas!$A$39:$A$45,0))</f>
        <v/>
      </c>
      <c r="BA274" s="22" t="str">
        <f>INDEX(Cronograma!AZ$5:AZ$11,MATCH($B274,Premissas!$A$39:$A$45,0))</f>
        <v/>
      </c>
      <c r="BB274" s="22" t="str">
        <f>INDEX(Cronograma!BA$5:BA$11,MATCH($B274,Premissas!$A$39:$A$45,0))</f>
        <v/>
      </c>
    </row>
    <row r="275" spans="1:54" ht="15" customHeight="1" x14ac:dyDescent="0.4">
      <c r="A275" s="15" t="str">
        <f>Frota!$B275&amp;" — "&amp;Frota!$A275</f>
        <v>NH TS-90 — 106061</v>
      </c>
      <c r="B275" s="16" t="str">
        <f>Frota!$C275</f>
        <v>Carregadeira/Pesada</v>
      </c>
      <c r="C275" s="22" t="str">
        <f>INDEX(Cronograma!B$5:B$11,MATCH($B275,Premissas!$A$39:$A$45,0))</f>
        <v/>
      </c>
      <c r="D275" s="22" t="str">
        <f>INDEX(Cronograma!C$5:C$11,MATCH($B275,Premissas!$A$39:$A$45,0))</f>
        <v/>
      </c>
      <c r="E275" s="22" t="str">
        <f>INDEX(Cronograma!D$5:D$11,MATCH($B275,Premissas!$A$39:$A$45,0))</f>
        <v/>
      </c>
      <c r="F275" s="22" t="str">
        <f>INDEX(Cronograma!E$5:E$11,MATCH($B275,Premissas!$A$39:$A$45,0))</f>
        <v/>
      </c>
      <c r="G275" s="22" t="str">
        <f>INDEX(Cronograma!F$5:F$11,MATCH($B275,Premissas!$A$39:$A$45,0))</f>
        <v/>
      </c>
      <c r="H275" s="22" t="str">
        <f>INDEX(Cronograma!G$5:G$11,MATCH($B275,Premissas!$A$39:$A$45,0))</f>
        <v>S</v>
      </c>
      <c r="I275" s="22" t="str">
        <f>INDEX(Cronograma!H$5:H$11,MATCH($B275,Premissas!$A$39:$A$45,0))</f>
        <v/>
      </c>
      <c r="J275" s="22" t="str">
        <f>INDEX(Cronograma!I$5:I$11,MATCH($B275,Premissas!$A$39:$A$45,0))</f>
        <v/>
      </c>
      <c r="K275" s="22" t="str">
        <f>INDEX(Cronograma!J$5:J$11,MATCH($B275,Premissas!$A$39:$A$45,0))</f>
        <v/>
      </c>
      <c r="L275" s="22" t="str">
        <f>INDEX(Cronograma!K$5:K$11,MATCH($B275,Premissas!$A$39:$A$45,0))</f>
        <v/>
      </c>
      <c r="M275" s="22" t="str">
        <f>INDEX(Cronograma!L$5:L$11,MATCH($B275,Premissas!$A$39:$A$45,0))</f>
        <v/>
      </c>
      <c r="N275" s="22" t="str">
        <f>INDEX(Cronograma!M$5:M$11,MATCH($B275,Premissas!$A$39:$A$45,0))</f>
        <v>A</v>
      </c>
      <c r="O275" s="22" t="str">
        <f>INDEX(Cronograma!N$5:N$11,MATCH($B275,Premissas!$A$39:$A$45,0))</f>
        <v/>
      </c>
      <c r="P275" s="22" t="str">
        <f>INDEX(Cronograma!O$5:O$11,MATCH($B275,Premissas!$A$39:$A$45,0))</f>
        <v/>
      </c>
      <c r="Q275" s="22" t="str">
        <f>INDEX(Cronograma!P$5:P$11,MATCH($B275,Premissas!$A$39:$A$45,0))</f>
        <v/>
      </c>
      <c r="R275" s="22" t="str">
        <f>INDEX(Cronograma!Q$5:Q$11,MATCH($B275,Premissas!$A$39:$A$45,0))</f>
        <v/>
      </c>
      <c r="S275" s="22" t="str">
        <f>INDEX(Cronograma!R$5:R$11,MATCH($B275,Premissas!$A$39:$A$45,0))</f>
        <v>S</v>
      </c>
      <c r="T275" s="22" t="str">
        <f>INDEX(Cronograma!S$5:S$11,MATCH($B275,Premissas!$A$39:$A$45,0))</f>
        <v/>
      </c>
      <c r="U275" s="22" t="str">
        <f>INDEX(Cronograma!T$5:T$11,MATCH($B275,Premissas!$A$39:$A$45,0))</f>
        <v/>
      </c>
      <c r="V275" s="22" t="str">
        <f>INDEX(Cronograma!U$5:U$11,MATCH($B275,Premissas!$A$39:$A$45,0))</f>
        <v/>
      </c>
      <c r="W275" s="22" t="str">
        <f>INDEX(Cronograma!V$5:V$11,MATCH($B275,Premissas!$A$39:$A$45,0))</f>
        <v/>
      </c>
      <c r="X275" s="22" t="str">
        <f>INDEX(Cronograma!W$5:W$11,MATCH($B275,Premissas!$A$39:$A$45,0))</f>
        <v/>
      </c>
      <c r="Y275" s="22" t="str">
        <f>INDEX(Cronograma!X$5:X$11,MATCH($B275,Premissas!$A$39:$A$45,0))</f>
        <v>B</v>
      </c>
      <c r="Z275" s="22" t="str">
        <f>INDEX(Cronograma!Y$5:Y$11,MATCH($B275,Premissas!$A$39:$A$45,0))</f>
        <v/>
      </c>
      <c r="AA275" s="22" t="str">
        <f>INDEX(Cronograma!Z$5:Z$11,MATCH($B275,Premissas!$A$39:$A$45,0))</f>
        <v/>
      </c>
      <c r="AB275" s="22" t="str">
        <f>INDEX(Cronograma!AA$5:AA$11,MATCH($B275,Premissas!$A$39:$A$45,0))</f>
        <v/>
      </c>
      <c r="AC275" s="22" t="str">
        <f>INDEX(Cronograma!AB$5:AB$11,MATCH($B275,Premissas!$A$39:$A$45,0))</f>
        <v/>
      </c>
      <c r="AD275" s="22" t="str">
        <f>INDEX(Cronograma!AC$5:AC$11,MATCH($B275,Premissas!$A$39:$A$45,0))</f>
        <v>S</v>
      </c>
      <c r="AE275" s="22" t="str">
        <f>INDEX(Cronograma!AD$5:AD$11,MATCH($B275,Premissas!$A$39:$A$45,0))</f>
        <v/>
      </c>
      <c r="AF275" s="22" t="str">
        <f>INDEX(Cronograma!AE$5:AE$11,MATCH($B275,Premissas!$A$39:$A$45,0))</f>
        <v/>
      </c>
      <c r="AG275" s="22" t="str">
        <f>INDEX(Cronograma!AF$5:AF$11,MATCH($B275,Premissas!$A$39:$A$45,0))</f>
        <v/>
      </c>
      <c r="AH275" s="22" t="str">
        <f>INDEX(Cronograma!AG$5:AG$11,MATCH($B275,Premissas!$A$39:$A$45,0))</f>
        <v/>
      </c>
      <c r="AI275" s="22" t="str">
        <f>INDEX(Cronograma!AH$5:AH$11,MATCH($B275,Premissas!$A$39:$A$45,0))</f>
        <v/>
      </c>
      <c r="AJ275" s="22" t="str">
        <f>INDEX(Cronograma!AI$5:AI$11,MATCH($B275,Premissas!$A$39:$A$45,0))</f>
        <v/>
      </c>
      <c r="AK275" s="22" t="str">
        <f>INDEX(Cronograma!AJ$5:AJ$11,MATCH($B275,Premissas!$A$39:$A$45,0))</f>
        <v/>
      </c>
      <c r="AL275" s="22" t="str">
        <f>INDEX(Cronograma!AK$5:AK$11,MATCH($B275,Premissas!$A$39:$A$45,0))</f>
        <v/>
      </c>
      <c r="AM275" s="22" t="str">
        <f>INDEX(Cronograma!AL$5:AL$11,MATCH($B275,Premissas!$A$39:$A$45,0))</f>
        <v/>
      </c>
      <c r="AN275" s="22" t="str">
        <f>INDEX(Cronograma!AM$5:AM$11,MATCH($B275,Premissas!$A$39:$A$45,0))</f>
        <v/>
      </c>
      <c r="AO275" s="22" t="str">
        <f>INDEX(Cronograma!AN$5:AN$11,MATCH($B275,Premissas!$A$39:$A$45,0))</f>
        <v/>
      </c>
      <c r="AP275" s="22" t="str">
        <f>INDEX(Cronograma!AO$5:AO$11,MATCH($B275,Premissas!$A$39:$A$45,0))</f>
        <v/>
      </c>
      <c r="AQ275" s="22" t="str">
        <f>INDEX(Cronograma!AP$5:AP$11,MATCH($B275,Premissas!$A$39:$A$45,0))</f>
        <v/>
      </c>
      <c r="AR275" s="22" t="str">
        <f>INDEX(Cronograma!AQ$5:AQ$11,MATCH($B275,Premissas!$A$39:$A$45,0))</f>
        <v>A</v>
      </c>
      <c r="AS275" s="22" t="str">
        <f>INDEX(Cronograma!AR$5:AR$11,MATCH($B275,Premissas!$A$39:$A$45,0))</f>
        <v/>
      </c>
      <c r="AT275" s="22" t="str">
        <f>INDEX(Cronograma!AS$5:AS$11,MATCH($B275,Premissas!$A$39:$A$45,0))</f>
        <v/>
      </c>
      <c r="AU275" s="22" t="str">
        <f>INDEX(Cronograma!AT$5:AT$11,MATCH($B275,Premissas!$A$39:$A$45,0))</f>
        <v/>
      </c>
      <c r="AV275" s="22" t="str">
        <f>INDEX(Cronograma!AU$5:AU$11,MATCH($B275,Premissas!$A$39:$A$45,0))</f>
        <v/>
      </c>
      <c r="AW275" s="22" t="str">
        <f>INDEX(Cronograma!AV$5:AV$11,MATCH($B275,Premissas!$A$39:$A$45,0))</f>
        <v/>
      </c>
      <c r="AX275" s="22" t="str">
        <f>INDEX(Cronograma!AW$5:AW$11,MATCH($B275,Premissas!$A$39:$A$45,0))</f>
        <v/>
      </c>
      <c r="AY275" s="22" t="str">
        <f>INDEX(Cronograma!AX$5:AX$11,MATCH($B275,Premissas!$A$39:$A$45,0))</f>
        <v/>
      </c>
      <c r="AZ275" s="22" t="str">
        <f>INDEX(Cronograma!AY$5:AY$11,MATCH($B275,Premissas!$A$39:$A$45,0))</f>
        <v/>
      </c>
      <c r="BA275" s="22" t="str">
        <f>INDEX(Cronograma!AZ$5:AZ$11,MATCH($B275,Premissas!$A$39:$A$45,0))</f>
        <v/>
      </c>
      <c r="BB275" s="22" t="str">
        <f>INDEX(Cronograma!BA$5:BA$11,MATCH($B275,Premissas!$A$39:$A$45,0))</f>
        <v/>
      </c>
    </row>
    <row r="276" spans="1:54" ht="15" customHeight="1" x14ac:dyDescent="0.4">
      <c r="A276" s="15" t="str">
        <f>Frota!$B276&amp;" — "&amp;Frota!$A276</f>
        <v>NH TS-90 — 106064</v>
      </c>
      <c r="B276" s="16" t="str">
        <f>Frota!$C276</f>
        <v>Carregadeira/Pesada</v>
      </c>
      <c r="C276" s="22" t="str">
        <f>INDEX(Cronograma!B$5:B$11,MATCH($B276,Premissas!$A$39:$A$45,0))</f>
        <v/>
      </c>
      <c r="D276" s="22" t="str">
        <f>INDEX(Cronograma!C$5:C$11,MATCH($B276,Premissas!$A$39:$A$45,0))</f>
        <v/>
      </c>
      <c r="E276" s="22" t="str">
        <f>INDEX(Cronograma!D$5:D$11,MATCH($B276,Premissas!$A$39:$A$45,0))</f>
        <v/>
      </c>
      <c r="F276" s="22" t="str">
        <f>INDEX(Cronograma!E$5:E$11,MATCH($B276,Premissas!$A$39:$A$45,0))</f>
        <v/>
      </c>
      <c r="G276" s="22" t="str">
        <f>INDEX(Cronograma!F$5:F$11,MATCH($B276,Premissas!$A$39:$A$45,0))</f>
        <v/>
      </c>
      <c r="H276" s="22" t="str">
        <f>INDEX(Cronograma!G$5:G$11,MATCH($B276,Premissas!$A$39:$A$45,0))</f>
        <v>S</v>
      </c>
      <c r="I276" s="22" t="str">
        <f>INDEX(Cronograma!H$5:H$11,MATCH($B276,Premissas!$A$39:$A$45,0))</f>
        <v/>
      </c>
      <c r="J276" s="22" t="str">
        <f>INDEX(Cronograma!I$5:I$11,MATCH($B276,Premissas!$A$39:$A$45,0))</f>
        <v/>
      </c>
      <c r="K276" s="22" t="str">
        <f>INDEX(Cronograma!J$5:J$11,MATCH($B276,Premissas!$A$39:$A$45,0))</f>
        <v/>
      </c>
      <c r="L276" s="22" t="str">
        <f>INDEX(Cronograma!K$5:K$11,MATCH($B276,Premissas!$A$39:$A$45,0))</f>
        <v/>
      </c>
      <c r="M276" s="22" t="str">
        <f>INDEX(Cronograma!L$5:L$11,MATCH($B276,Premissas!$A$39:$A$45,0))</f>
        <v/>
      </c>
      <c r="N276" s="22" t="str">
        <f>INDEX(Cronograma!M$5:M$11,MATCH($B276,Premissas!$A$39:$A$45,0))</f>
        <v>A</v>
      </c>
      <c r="O276" s="22" t="str">
        <f>INDEX(Cronograma!N$5:N$11,MATCH($B276,Premissas!$A$39:$A$45,0))</f>
        <v/>
      </c>
      <c r="P276" s="22" t="str">
        <f>INDEX(Cronograma!O$5:O$11,MATCH($B276,Premissas!$A$39:$A$45,0))</f>
        <v/>
      </c>
      <c r="Q276" s="22" t="str">
        <f>INDEX(Cronograma!P$5:P$11,MATCH($B276,Premissas!$A$39:$A$45,0))</f>
        <v/>
      </c>
      <c r="R276" s="22" t="str">
        <f>INDEX(Cronograma!Q$5:Q$11,MATCH($B276,Premissas!$A$39:$A$45,0))</f>
        <v/>
      </c>
      <c r="S276" s="22" t="str">
        <f>INDEX(Cronograma!R$5:R$11,MATCH($B276,Premissas!$A$39:$A$45,0))</f>
        <v>S</v>
      </c>
      <c r="T276" s="22" t="str">
        <f>INDEX(Cronograma!S$5:S$11,MATCH($B276,Premissas!$A$39:$A$45,0))</f>
        <v/>
      </c>
      <c r="U276" s="22" t="str">
        <f>INDEX(Cronograma!T$5:T$11,MATCH($B276,Premissas!$A$39:$A$45,0))</f>
        <v/>
      </c>
      <c r="V276" s="22" t="str">
        <f>INDEX(Cronograma!U$5:U$11,MATCH($B276,Premissas!$A$39:$A$45,0))</f>
        <v/>
      </c>
      <c r="W276" s="22" t="str">
        <f>INDEX(Cronograma!V$5:V$11,MATCH($B276,Premissas!$A$39:$A$45,0))</f>
        <v/>
      </c>
      <c r="X276" s="22" t="str">
        <f>INDEX(Cronograma!W$5:W$11,MATCH($B276,Premissas!$A$39:$A$45,0))</f>
        <v/>
      </c>
      <c r="Y276" s="22" t="str">
        <f>INDEX(Cronograma!X$5:X$11,MATCH($B276,Premissas!$A$39:$A$45,0))</f>
        <v>B</v>
      </c>
      <c r="Z276" s="22" t="str">
        <f>INDEX(Cronograma!Y$5:Y$11,MATCH($B276,Premissas!$A$39:$A$45,0))</f>
        <v/>
      </c>
      <c r="AA276" s="22" t="str">
        <f>INDEX(Cronograma!Z$5:Z$11,MATCH($B276,Premissas!$A$39:$A$45,0))</f>
        <v/>
      </c>
      <c r="AB276" s="22" t="str">
        <f>INDEX(Cronograma!AA$5:AA$11,MATCH($B276,Premissas!$A$39:$A$45,0))</f>
        <v/>
      </c>
      <c r="AC276" s="22" t="str">
        <f>INDEX(Cronograma!AB$5:AB$11,MATCH($B276,Premissas!$A$39:$A$45,0))</f>
        <v/>
      </c>
      <c r="AD276" s="22" t="str">
        <f>INDEX(Cronograma!AC$5:AC$11,MATCH($B276,Premissas!$A$39:$A$45,0))</f>
        <v>S</v>
      </c>
      <c r="AE276" s="22" t="str">
        <f>INDEX(Cronograma!AD$5:AD$11,MATCH($B276,Premissas!$A$39:$A$45,0))</f>
        <v/>
      </c>
      <c r="AF276" s="22" t="str">
        <f>INDEX(Cronograma!AE$5:AE$11,MATCH($B276,Premissas!$A$39:$A$45,0))</f>
        <v/>
      </c>
      <c r="AG276" s="22" t="str">
        <f>INDEX(Cronograma!AF$5:AF$11,MATCH($B276,Premissas!$A$39:$A$45,0))</f>
        <v/>
      </c>
      <c r="AH276" s="22" t="str">
        <f>INDEX(Cronograma!AG$5:AG$11,MATCH($B276,Premissas!$A$39:$A$45,0))</f>
        <v/>
      </c>
      <c r="AI276" s="22" t="str">
        <f>INDEX(Cronograma!AH$5:AH$11,MATCH($B276,Premissas!$A$39:$A$45,0))</f>
        <v/>
      </c>
      <c r="AJ276" s="22" t="str">
        <f>INDEX(Cronograma!AI$5:AI$11,MATCH($B276,Premissas!$A$39:$A$45,0))</f>
        <v/>
      </c>
      <c r="AK276" s="22" t="str">
        <f>INDEX(Cronograma!AJ$5:AJ$11,MATCH($B276,Premissas!$A$39:$A$45,0))</f>
        <v/>
      </c>
      <c r="AL276" s="22" t="str">
        <f>INDEX(Cronograma!AK$5:AK$11,MATCH($B276,Premissas!$A$39:$A$45,0))</f>
        <v/>
      </c>
      <c r="AM276" s="22" t="str">
        <f>INDEX(Cronograma!AL$5:AL$11,MATCH($B276,Premissas!$A$39:$A$45,0))</f>
        <v/>
      </c>
      <c r="AN276" s="22" t="str">
        <f>INDEX(Cronograma!AM$5:AM$11,MATCH($B276,Premissas!$A$39:$A$45,0))</f>
        <v/>
      </c>
      <c r="AO276" s="22" t="str">
        <f>INDEX(Cronograma!AN$5:AN$11,MATCH($B276,Premissas!$A$39:$A$45,0))</f>
        <v/>
      </c>
      <c r="AP276" s="22" t="str">
        <f>INDEX(Cronograma!AO$5:AO$11,MATCH($B276,Premissas!$A$39:$A$45,0))</f>
        <v/>
      </c>
      <c r="AQ276" s="22" t="str">
        <f>INDEX(Cronograma!AP$5:AP$11,MATCH($B276,Premissas!$A$39:$A$45,0))</f>
        <v/>
      </c>
      <c r="AR276" s="22" t="str">
        <f>INDEX(Cronograma!AQ$5:AQ$11,MATCH($B276,Premissas!$A$39:$A$45,0))</f>
        <v>A</v>
      </c>
      <c r="AS276" s="22" t="str">
        <f>INDEX(Cronograma!AR$5:AR$11,MATCH($B276,Premissas!$A$39:$A$45,0))</f>
        <v/>
      </c>
      <c r="AT276" s="22" t="str">
        <f>INDEX(Cronograma!AS$5:AS$11,MATCH($B276,Premissas!$A$39:$A$45,0))</f>
        <v/>
      </c>
      <c r="AU276" s="22" t="str">
        <f>INDEX(Cronograma!AT$5:AT$11,MATCH($B276,Premissas!$A$39:$A$45,0))</f>
        <v/>
      </c>
      <c r="AV276" s="22" t="str">
        <f>INDEX(Cronograma!AU$5:AU$11,MATCH($B276,Premissas!$A$39:$A$45,0))</f>
        <v/>
      </c>
      <c r="AW276" s="22" t="str">
        <f>INDEX(Cronograma!AV$5:AV$11,MATCH($B276,Premissas!$A$39:$A$45,0))</f>
        <v/>
      </c>
      <c r="AX276" s="22" t="str">
        <f>INDEX(Cronograma!AW$5:AW$11,MATCH($B276,Premissas!$A$39:$A$45,0))</f>
        <v/>
      </c>
      <c r="AY276" s="22" t="str">
        <f>INDEX(Cronograma!AX$5:AX$11,MATCH($B276,Premissas!$A$39:$A$45,0))</f>
        <v/>
      </c>
      <c r="AZ276" s="22" t="str">
        <f>INDEX(Cronograma!AY$5:AY$11,MATCH($B276,Premissas!$A$39:$A$45,0))</f>
        <v/>
      </c>
      <c r="BA276" s="22" t="str">
        <f>INDEX(Cronograma!AZ$5:AZ$11,MATCH($B276,Premissas!$A$39:$A$45,0))</f>
        <v/>
      </c>
      <c r="BB276" s="22" t="str">
        <f>INDEX(Cronograma!BA$5:BA$11,MATCH($B276,Premissas!$A$39:$A$45,0))</f>
        <v/>
      </c>
    </row>
    <row r="277" spans="1:54" ht="15" customHeight="1" x14ac:dyDescent="0.4">
      <c r="A277" s="15" t="str">
        <f>Frota!$B277&amp;" — "&amp;Frota!$A277</f>
        <v>Valtra BM-100 — 106065</v>
      </c>
      <c r="B277" s="16" t="str">
        <f>Frota!$C277</f>
        <v>Carregadeira/Pesada</v>
      </c>
      <c r="C277" s="22" t="str">
        <f>INDEX(Cronograma!B$5:B$11,MATCH($B277,Premissas!$A$39:$A$45,0))</f>
        <v/>
      </c>
      <c r="D277" s="22" t="str">
        <f>INDEX(Cronograma!C$5:C$11,MATCH($B277,Premissas!$A$39:$A$45,0))</f>
        <v/>
      </c>
      <c r="E277" s="22" t="str">
        <f>INDEX(Cronograma!D$5:D$11,MATCH($B277,Premissas!$A$39:$A$45,0))</f>
        <v/>
      </c>
      <c r="F277" s="22" t="str">
        <f>INDEX(Cronograma!E$5:E$11,MATCH($B277,Premissas!$A$39:$A$45,0))</f>
        <v/>
      </c>
      <c r="G277" s="22" t="str">
        <f>INDEX(Cronograma!F$5:F$11,MATCH($B277,Premissas!$A$39:$A$45,0))</f>
        <v/>
      </c>
      <c r="H277" s="22" t="str">
        <f>INDEX(Cronograma!G$5:G$11,MATCH($B277,Premissas!$A$39:$A$45,0))</f>
        <v>S</v>
      </c>
      <c r="I277" s="22" t="str">
        <f>INDEX(Cronograma!H$5:H$11,MATCH($B277,Premissas!$A$39:$A$45,0))</f>
        <v/>
      </c>
      <c r="J277" s="22" t="str">
        <f>INDEX(Cronograma!I$5:I$11,MATCH($B277,Premissas!$A$39:$A$45,0))</f>
        <v/>
      </c>
      <c r="K277" s="22" t="str">
        <f>INDEX(Cronograma!J$5:J$11,MATCH($B277,Premissas!$A$39:$A$45,0))</f>
        <v/>
      </c>
      <c r="L277" s="22" t="str">
        <f>INDEX(Cronograma!K$5:K$11,MATCH($B277,Premissas!$A$39:$A$45,0))</f>
        <v/>
      </c>
      <c r="M277" s="22" t="str">
        <f>INDEX(Cronograma!L$5:L$11,MATCH($B277,Premissas!$A$39:$A$45,0))</f>
        <v/>
      </c>
      <c r="N277" s="22" t="str">
        <f>INDEX(Cronograma!M$5:M$11,MATCH($B277,Premissas!$A$39:$A$45,0))</f>
        <v>A</v>
      </c>
      <c r="O277" s="22" t="str">
        <f>INDEX(Cronograma!N$5:N$11,MATCH($B277,Premissas!$A$39:$A$45,0))</f>
        <v/>
      </c>
      <c r="P277" s="22" t="str">
        <f>INDEX(Cronograma!O$5:O$11,MATCH($B277,Premissas!$A$39:$A$45,0))</f>
        <v/>
      </c>
      <c r="Q277" s="22" t="str">
        <f>INDEX(Cronograma!P$5:P$11,MATCH($B277,Premissas!$A$39:$A$45,0))</f>
        <v/>
      </c>
      <c r="R277" s="22" t="str">
        <f>INDEX(Cronograma!Q$5:Q$11,MATCH($B277,Premissas!$A$39:$A$45,0))</f>
        <v/>
      </c>
      <c r="S277" s="22" t="str">
        <f>INDEX(Cronograma!R$5:R$11,MATCH($B277,Premissas!$A$39:$A$45,0))</f>
        <v>S</v>
      </c>
      <c r="T277" s="22" t="str">
        <f>INDEX(Cronograma!S$5:S$11,MATCH($B277,Premissas!$A$39:$A$45,0))</f>
        <v/>
      </c>
      <c r="U277" s="22" t="str">
        <f>INDEX(Cronograma!T$5:T$11,MATCH($B277,Premissas!$A$39:$A$45,0))</f>
        <v/>
      </c>
      <c r="V277" s="22" t="str">
        <f>INDEX(Cronograma!U$5:U$11,MATCH($B277,Premissas!$A$39:$A$45,0))</f>
        <v/>
      </c>
      <c r="W277" s="22" t="str">
        <f>INDEX(Cronograma!V$5:V$11,MATCH($B277,Premissas!$A$39:$A$45,0))</f>
        <v/>
      </c>
      <c r="X277" s="22" t="str">
        <f>INDEX(Cronograma!W$5:W$11,MATCH($B277,Premissas!$A$39:$A$45,0))</f>
        <v/>
      </c>
      <c r="Y277" s="22" t="str">
        <f>INDEX(Cronograma!X$5:X$11,MATCH($B277,Premissas!$A$39:$A$45,0))</f>
        <v>B</v>
      </c>
      <c r="Z277" s="22" t="str">
        <f>INDEX(Cronograma!Y$5:Y$11,MATCH($B277,Premissas!$A$39:$A$45,0))</f>
        <v/>
      </c>
      <c r="AA277" s="22" t="str">
        <f>INDEX(Cronograma!Z$5:Z$11,MATCH($B277,Premissas!$A$39:$A$45,0))</f>
        <v/>
      </c>
      <c r="AB277" s="22" t="str">
        <f>INDEX(Cronograma!AA$5:AA$11,MATCH($B277,Premissas!$A$39:$A$45,0))</f>
        <v/>
      </c>
      <c r="AC277" s="22" t="str">
        <f>INDEX(Cronograma!AB$5:AB$11,MATCH($B277,Premissas!$A$39:$A$45,0))</f>
        <v/>
      </c>
      <c r="AD277" s="22" t="str">
        <f>INDEX(Cronograma!AC$5:AC$11,MATCH($B277,Premissas!$A$39:$A$45,0))</f>
        <v>S</v>
      </c>
      <c r="AE277" s="22" t="str">
        <f>INDEX(Cronograma!AD$5:AD$11,MATCH($B277,Premissas!$A$39:$A$45,0))</f>
        <v/>
      </c>
      <c r="AF277" s="22" t="str">
        <f>INDEX(Cronograma!AE$5:AE$11,MATCH($B277,Premissas!$A$39:$A$45,0))</f>
        <v/>
      </c>
      <c r="AG277" s="22" t="str">
        <f>INDEX(Cronograma!AF$5:AF$11,MATCH($B277,Premissas!$A$39:$A$45,0))</f>
        <v/>
      </c>
      <c r="AH277" s="22" t="str">
        <f>INDEX(Cronograma!AG$5:AG$11,MATCH($B277,Premissas!$A$39:$A$45,0))</f>
        <v/>
      </c>
      <c r="AI277" s="22" t="str">
        <f>INDEX(Cronograma!AH$5:AH$11,MATCH($B277,Premissas!$A$39:$A$45,0))</f>
        <v/>
      </c>
      <c r="AJ277" s="22" t="str">
        <f>INDEX(Cronograma!AI$5:AI$11,MATCH($B277,Premissas!$A$39:$A$45,0))</f>
        <v/>
      </c>
      <c r="AK277" s="22" t="str">
        <f>INDEX(Cronograma!AJ$5:AJ$11,MATCH($B277,Premissas!$A$39:$A$45,0))</f>
        <v/>
      </c>
      <c r="AL277" s="22" t="str">
        <f>INDEX(Cronograma!AK$5:AK$11,MATCH($B277,Premissas!$A$39:$A$45,0))</f>
        <v/>
      </c>
      <c r="AM277" s="22" t="str">
        <f>INDEX(Cronograma!AL$5:AL$11,MATCH($B277,Premissas!$A$39:$A$45,0))</f>
        <v/>
      </c>
      <c r="AN277" s="22" t="str">
        <f>INDEX(Cronograma!AM$5:AM$11,MATCH($B277,Premissas!$A$39:$A$45,0))</f>
        <v/>
      </c>
      <c r="AO277" s="22" t="str">
        <f>INDEX(Cronograma!AN$5:AN$11,MATCH($B277,Premissas!$A$39:$A$45,0))</f>
        <v/>
      </c>
      <c r="AP277" s="22" t="str">
        <f>INDEX(Cronograma!AO$5:AO$11,MATCH($B277,Premissas!$A$39:$A$45,0))</f>
        <v/>
      </c>
      <c r="AQ277" s="22" t="str">
        <f>INDEX(Cronograma!AP$5:AP$11,MATCH($B277,Premissas!$A$39:$A$45,0))</f>
        <v/>
      </c>
      <c r="AR277" s="22" t="str">
        <f>INDEX(Cronograma!AQ$5:AQ$11,MATCH($B277,Premissas!$A$39:$A$45,0))</f>
        <v>A</v>
      </c>
      <c r="AS277" s="22" t="str">
        <f>INDEX(Cronograma!AR$5:AR$11,MATCH($B277,Premissas!$A$39:$A$45,0))</f>
        <v/>
      </c>
      <c r="AT277" s="22" t="str">
        <f>INDEX(Cronograma!AS$5:AS$11,MATCH($B277,Premissas!$A$39:$A$45,0))</f>
        <v/>
      </c>
      <c r="AU277" s="22" t="str">
        <f>INDEX(Cronograma!AT$5:AT$11,MATCH($B277,Premissas!$A$39:$A$45,0))</f>
        <v/>
      </c>
      <c r="AV277" s="22" t="str">
        <f>INDEX(Cronograma!AU$5:AU$11,MATCH($B277,Premissas!$A$39:$A$45,0))</f>
        <v/>
      </c>
      <c r="AW277" s="22" t="str">
        <f>INDEX(Cronograma!AV$5:AV$11,MATCH($B277,Premissas!$A$39:$A$45,0))</f>
        <v/>
      </c>
      <c r="AX277" s="22" t="str">
        <f>INDEX(Cronograma!AW$5:AW$11,MATCH($B277,Premissas!$A$39:$A$45,0))</f>
        <v/>
      </c>
      <c r="AY277" s="22" t="str">
        <f>INDEX(Cronograma!AX$5:AX$11,MATCH($B277,Premissas!$A$39:$A$45,0))</f>
        <v/>
      </c>
      <c r="AZ277" s="22" t="str">
        <f>INDEX(Cronograma!AY$5:AY$11,MATCH($B277,Premissas!$A$39:$A$45,0))</f>
        <v/>
      </c>
      <c r="BA277" s="22" t="str">
        <f>INDEX(Cronograma!AZ$5:AZ$11,MATCH($B277,Premissas!$A$39:$A$45,0))</f>
        <v/>
      </c>
      <c r="BB277" s="22" t="str">
        <f>INDEX(Cronograma!BA$5:BA$11,MATCH($B277,Premissas!$A$39:$A$45,0))</f>
        <v/>
      </c>
    </row>
    <row r="278" spans="1:54" ht="15" customHeight="1" x14ac:dyDescent="0.4">
      <c r="A278" s="15" t="str">
        <f>Frota!$B278&amp;" — "&amp;Frota!$A278</f>
        <v>NH TS-90 — 106067</v>
      </c>
      <c r="B278" s="16" t="str">
        <f>Frota!$C278</f>
        <v>Carregadeira/Pesada</v>
      </c>
      <c r="C278" s="22" t="str">
        <f>INDEX(Cronograma!B$5:B$11,MATCH($B278,Premissas!$A$39:$A$45,0))</f>
        <v/>
      </c>
      <c r="D278" s="22" t="str">
        <f>INDEX(Cronograma!C$5:C$11,MATCH($B278,Premissas!$A$39:$A$45,0))</f>
        <v/>
      </c>
      <c r="E278" s="22" t="str">
        <f>INDEX(Cronograma!D$5:D$11,MATCH($B278,Premissas!$A$39:$A$45,0))</f>
        <v/>
      </c>
      <c r="F278" s="22" t="str">
        <f>INDEX(Cronograma!E$5:E$11,MATCH($B278,Premissas!$A$39:$A$45,0))</f>
        <v/>
      </c>
      <c r="G278" s="22" t="str">
        <f>INDEX(Cronograma!F$5:F$11,MATCH($B278,Premissas!$A$39:$A$45,0))</f>
        <v/>
      </c>
      <c r="H278" s="22" t="str">
        <f>INDEX(Cronograma!G$5:G$11,MATCH($B278,Premissas!$A$39:$A$45,0))</f>
        <v>S</v>
      </c>
      <c r="I278" s="22" t="str">
        <f>INDEX(Cronograma!H$5:H$11,MATCH($B278,Premissas!$A$39:$A$45,0))</f>
        <v/>
      </c>
      <c r="J278" s="22" t="str">
        <f>INDEX(Cronograma!I$5:I$11,MATCH($B278,Premissas!$A$39:$A$45,0))</f>
        <v/>
      </c>
      <c r="K278" s="22" t="str">
        <f>INDEX(Cronograma!J$5:J$11,MATCH($B278,Premissas!$A$39:$A$45,0))</f>
        <v/>
      </c>
      <c r="L278" s="22" t="str">
        <f>INDEX(Cronograma!K$5:K$11,MATCH($B278,Premissas!$A$39:$A$45,0))</f>
        <v/>
      </c>
      <c r="M278" s="22" t="str">
        <f>INDEX(Cronograma!L$5:L$11,MATCH($B278,Premissas!$A$39:$A$45,0))</f>
        <v/>
      </c>
      <c r="N278" s="22" t="str">
        <f>INDEX(Cronograma!M$5:M$11,MATCH($B278,Premissas!$A$39:$A$45,0))</f>
        <v>A</v>
      </c>
      <c r="O278" s="22" t="str">
        <f>INDEX(Cronograma!N$5:N$11,MATCH($B278,Premissas!$A$39:$A$45,0))</f>
        <v/>
      </c>
      <c r="P278" s="22" t="str">
        <f>INDEX(Cronograma!O$5:O$11,MATCH($B278,Premissas!$A$39:$A$45,0))</f>
        <v/>
      </c>
      <c r="Q278" s="22" t="str">
        <f>INDEX(Cronograma!P$5:P$11,MATCH($B278,Premissas!$A$39:$A$45,0))</f>
        <v/>
      </c>
      <c r="R278" s="22" t="str">
        <f>INDEX(Cronograma!Q$5:Q$11,MATCH($B278,Premissas!$A$39:$A$45,0))</f>
        <v/>
      </c>
      <c r="S278" s="22" t="str">
        <f>INDEX(Cronograma!R$5:R$11,MATCH($B278,Premissas!$A$39:$A$45,0))</f>
        <v>S</v>
      </c>
      <c r="T278" s="22" t="str">
        <f>INDEX(Cronograma!S$5:S$11,MATCH($B278,Premissas!$A$39:$A$45,0))</f>
        <v/>
      </c>
      <c r="U278" s="22" t="str">
        <f>INDEX(Cronograma!T$5:T$11,MATCH($B278,Premissas!$A$39:$A$45,0))</f>
        <v/>
      </c>
      <c r="V278" s="22" t="str">
        <f>INDEX(Cronograma!U$5:U$11,MATCH($B278,Premissas!$A$39:$A$45,0))</f>
        <v/>
      </c>
      <c r="W278" s="22" t="str">
        <f>INDEX(Cronograma!V$5:V$11,MATCH($B278,Premissas!$A$39:$A$45,0))</f>
        <v/>
      </c>
      <c r="X278" s="22" t="str">
        <f>INDEX(Cronograma!W$5:W$11,MATCH($B278,Premissas!$A$39:$A$45,0))</f>
        <v/>
      </c>
      <c r="Y278" s="22" t="str">
        <f>INDEX(Cronograma!X$5:X$11,MATCH($B278,Premissas!$A$39:$A$45,0))</f>
        <v>B</v>
      </c>
      <c r="Z278" s="22" t="str">
        <f>INDEX(Cronograma!Y$5:Y$11,MATCH($B278,Premissas!$A$39:$A$45,0))</f>
        <v/>
      </c>
      <c r="AA278" s="22" t="str">
        <f>INDEX(Cronograma!Z$5:Z$11,MATCH($B278,Premissas!$A$39:$A$45,0))</f>
        <v/>
      </c>
      <c r="AB278" s="22" t="str">
        <f>INDEX(Cronograma!AA$5:AA$11,MATCH($B278,Premissas!$A$39:$A$45,0))</f>
        <v/>
      </c>
      <c r="AC278" s="22" t="str">
        <f>INDEX(Cronograma!AB$5:AB$11,MATCH($B278,Premissas!$A$39:$A$45,0))</f>
        <v/>
      </c>
      <c r="AD278" s="22" t="str">
        <f>INDEX(Cronograma!AC$5:AC$11,MATCH($B278,Premissas!$A$39:$A$45,0))</f>
        <v>S</v>
      </c>
      <c r="AE278" s="22" t="str">
        <f>INDEX(Cronograma!AD$5:AD$11,MATCH($B278,Premissas!$A$39:$A$45,0))</f>
        <v/>
      </c>
      <c r="AF278" s="22" t="str">
        <f>INDEX(Cronograma!AE$5:AE$11,MATCH($B278,Premissas!$A$39:$A$45,0))</f>
        <v/>
      </c>
      <c r="AG278" s="22" t="str">
        <f>INDEX(Cronograma!AF$5:AF$11,MATCH($B278,Premissas!$A$39:$A$45,0))</f>
        <v/>
      </c>
      <c r="AH278" s="22" t="str">
        <f>INDEX(Cronograma!AG$5:AG$11,MATCH($B278,Premissas!$A$39:$A$45,0))</f>
        <v/>
      </c>
      <c r="AI278" s="22" t="str">
        <f>INDEX(Cronograma!AH$5:AH$11,MATCH($B278,Premissas!$A$39:$A$45,0))</f>
        <v/>
      </c>
      <c r="AJ278" s="22" t="str">
        <f>INDEX(Cronograma!AI$5:AI$11,MATCH($B278,Premissas!$A$39:$A$45,0))</f>
        <v/>
      </c>
      <c r="AK278" s="22" t="str">
        <f>INDEX(Cronograma!AJ$5:AJ$11,MATCH($B278,Premissas!$A$39:$A$45,0))</f>
        <v/>
      </c>
      <c r="AL278" s="22" t="str">
        <f>INDEX(Cronograma!AK$5:AK$11,MATCH($B278,Premissas!$A$39:$A$45,0))</f>
        <v/>
      </c>
      <c r="AM278" s="22" t="str">
        <f>INDEX(Cronograma!AL$5:AL$11,MATCH($B278,Premissas!$A$39:$A$45,0))</f>
        <v/>
      </c>
      <c r="AN278" s="22" t="str">
        <f>INDEX(Cronograma!AM$5:AM$11,MATCH($B278,Premissas!$A$39:$A$45,0))</f>
        <v/>
      </c>
      <c r="AO278" s="22" t="str">
        <f>INDEX(Cronograma!AN$5:AN$11,MATCH($B278,Premissas!$A$39:$A$45,0))</f>
        <v/>
      </c>
      <c r="AP278" s="22" t="str">
        <f>INDEX(Cronograma!AO$5:AO$11,MATCH($B278,Premissas!$A$39:$A$45,0))</f>
        <v/>
      </c>
      <c r="AQ278" s="22" t="str">
        <f>INDEX(Cronograma!AP$5:AP$11,MATCH($B278,Premissas!$A$39:$A$45,0))</f>
        <v/>
      </c>
      <c r="AR278" s="22" t="str">
        <f>INDEX(Cronograma!AQ$5:AQ$11,MATCH($B278,Premissas!$A$39:$A$45,0))</f>
        <v>A</v>
      </c>
      <c r="AS278" s="22" t="str">
        <f>INDEX(Cronograma!AR$5:AR$11,MATCH($B278,Premissas!$A$39:$A$45,0))</f>
        <v/>
      </c>
      <c r="AT278" s="22" t="str">
        <f>INDEX(Cronograma!AS$5:AS$11,MATCH($B278,Premissas!$A$39:$A$45,0))</f>
        <v/>
      </c>
      <c r="AU278" s="22" t="str">
        <f>INDEX(Cronograma!AT$5:AT$11,MATCH($B278,Premissas!$A$39:$A$45,0))</f>
        <v/>
      </c>
      <c r="AV278" s="22" t="str">
        <f>INDEX(Cronograma!AU$5:AU$11,MATCH($B278,Premissas!$A$39:$A$45,0))</f>
        <v/>
      </c>
      <c r="AW278" s="22" t="str">
        <f>INDEX(Cronograma!AV$5:AV$11,MATCH($B278,Premissas!$A$39:$A$45,0))</f>
        <v/>
      </c>
      <c r="AX278" s="22" t="str">
        <f>INDEX(Cronograma!AW$5:AW$11,MATCH($B278,Premissas!$A$39:$A$45,0))</f>
        <v/>
      </c>
      <c r="AY278" s="22" t="str">
        <f>INDEX(Cronograma!AX$5:AX$11,MATCH($B278,Premissas!$A$39:$A$45,0))</f>
        <v/>
      </c>
      <c r="AZ278" s="22" t="str">
        <f>INDEX(Cronograma!AY$5:AY$11,MATCH($B278,Premissas!$A$39:$A$45,0))</f>
        <v/>
      </c>
      <c r="BA278" s="22" t="str">
        <f>INDEX(Cronograma!AZ$5:AZ$11,MATCH($B278,Premissas!$A$39:$A$45,0))</f>
        <v/>
      </c>
      <c r="BB278" s="22" t="str">
        <f>INDEX(Cronograma!BA$5:BA$11,MATCH($B278,Premissas!$A$39:$A$45,0))</f>
        <v/>
      </c>
    </row>
    <row r="279" spans="1:54" ht="15" customHeight="1" x14ac:dyDescent="0.4">
      <c r="A279" s="15" t="str">
        <f>Frota!$B279&amp;" — "&amp;Frota!$A279</f>
        <v>Valtra BM-100 — 106068</v>
      </c>
      <c r="B279" s="16" t="str">
        <f>Frota!$C279</f>
        <v>Carregadeira/Pesada</v>
      </c>
      <c r="C279" s="22" t="str">
        <f>INDEX(Cronograma!B$5:B$11,MATCH($B279,Premissas!$A$39:$A$45,0))</f>
        <v/>
      </c>
      <c r="D279" s="22" t="str">
        <f>INDEX(Cronograma!C$5:C$11,MATCH($B279,Premissas!$A$39:$A$45,0))</f>
        <v/>
      </c>
      <c r="E279" s="22" t="str">
        <f>INDEX(Cronograma!D$5:D$11,MATCH($B279,Premissas!$A$39:$A$45,0))</f>
        <v/>
      </c>
      <c r="F279" s="22" t="str">
        <f>INDEX(Cronograma!E$5:E$11,MATCH($B279,Premissas!$A$39:$A$45,0))</f>
        <v/>
      </c>
      <c r="G279" s="22" t="str">
        <f>INDEX(Cronograma!F$5:F$11,MATCH($B279,Premissas!$A$39:$A$45,0))</f>
        <v/>
      </c>
      <c r="H279" s="22" t="str">
        <f>INDEX(Cronograma!G$5:G$11,MATCH($B279,Premissas!$A$39:$A$45,0))</f>
        <v>S</v>
      </c>
      <c r="I279" s="22" t="str">
        <f>INDEX(Cronograma!H$5:H$11,MATCH($B279,Premissas!$A$39:$A$45,0))</f>
        <v/>
      </c>
      <c r="J279" s="22" t="str">
        <f>INDEX(Cronograma!I$5:I$11,MATCH($B279,Premissas!$A$39:$A$45,0))</f>
        <v/>
      </c>
      <c r="K279" s="22" t="str">
        <f>INDEX(Cronograma!J$5:J$11,MATCH($B279,Premissas!$A$39:$A$45,0))</f>
        <v/>
      </c>
      <c r="L279" s="22" t="str">
        <f>INDEX(Cronograma!K$5:K$11,MATCH($B279,Premissas!$A$39:$A$45,0))</f>
        <v/>
      </c>
      <c r="M279" s="22" t="str">
        <f>INDEX(Cronograma!L$5:L$11,MATCH($B279,Premissas!$A$39:$A$45,0))</f>
        <v/>
      </c>
      <c r="N279" s="22" t="str">
        <f>INDEX(Cronograma!M$5:M$11,MATCH($B279,Premissas!$A$39:$A$45,0))</f>
        <v>A</v>
      </c>
      <c r="O279" s="22" t="str">
        <f>INDEX(Cronograma!N$5:N$11,MATCH($B279,Premissas!$A$39:$A$45,0))</f>
        <v/>
      </c>
      <c r="P279" s="22" t="str">
        <f>INDEX(Cronograma!O$5:O$11,MATCH($B279,Premissas!$A$39:$A$45,0))</f>
        <v/>
      </c>
      <c r="Q279" s="22" t="str">
        <f>INDEX(Cronograma!P$5:P$11,MATCH($B279,Premissas!$A$39:$A$45,0))</f>
        <v/>
      </c>
      <c r="R279" s="22" t="str">
        <f>INDEX(Cronograma!Q$5:Q$11,MATCH($B279,Premissas!$A$39:$A$45,0))</f>
        <v/>
      </c>
      <c r="S279" s="22" t="str">
        <f>INDEX(Cronograma!R$5:R$11,MATCH($B279,Premissas!$A$39:$A$45,0))</f>
        <v>S</v>
      </c>
      <c r="T279" s="22" t="str">
        <f>INDEX(Cronograma!S$5:S$11,MATCH($B279,Premissas!$A$39:$A$45,0))</f>
        <v/>
      </c>
      <c r="U279" s="22" t="str">
        <f>INDEX(Cronograma!T$5:T$11,MATCH($B279,Premissas!$A$39:$A$45,0))</f>
        <v/>
      </c>
      <c r="V279" s="22" t="str">
        <f>INDEX(Cronograma!U$5:U$11,MATCH($B279,Premissas!$A$39:$A$45,0))</f>
        <v/>
      </c>
      <c r="W279" s="22" t="str">
        <f>INDEX(Cronograma!V$5:V$11,MATCH($B279,Premissas!$A$39:$A$45,0))</f>
        <v/>
      </c>
      <c r="X279" s="22" t="str">
        <f>INDEX(Cronograma!W$5:W$11,MATCH($B279,Premissas!$A$39:$A$45,0))</f>
        <v/>
      </c>
      <c r="Y279" s="22" t="str">
        <f>INDEX(Cronograma!X$5:X$11,MATCH($B279,Premissas!$A$39:$A$45,0))</f>
        <v>B</v>
      </c>
      <c r="Z279" s="22" t="str">
        <f>INDEX(Cronograma!Y$5:Y$11,MATCH($B279,Premissas!$A$39:$A$45,0))</f>
        <v/>
      </c>
      <c r="AA279" s="22" t="str">
        <f>INDEX(Cronograma!Z$5:Z$11,MATCH($B279,Premissas!$A$39:$A$45,0))</f>
        <v/>
      </c>
      <c r="AB279" s="22" t="str">
        <f>INDEX(Cronograma!AA$5:AA$11,MATCH($B279,Premissas!$A$39:$A$45,0))</f>
        <v/>
      </c>
      <c r="AC279" s="22" t="str">
        <f>INDEX(Cronograma!AB$5:AB$11,MATCH($B279,Premissas!$A$39:$A$45,0))</f>
        <v/>
      </c>
      <c r="AD279" s="22" t="str">
        <f>INDEX(Cronograma!AC$5:AC$11,MATCH($B279,Premissas!$A$39:$A$45,0))</f>
        <v>S</v>
      </c>
      <c r="AE279" s="22" t="str">
        <f>INDEX(Cronograma!AD$5:AD$11,MATCH($B279,Premissas!$A$39:$A$45,0))</f>
        <v/>
      </c>
      <c r="AF279" s="22" t="str">
        <f>INDEX(Cronograma!AE$5:AE$11,MATCH($B279,Premissas!$A$39:$A$45,0))</f>
        <v/>
      </c>
      <c r="AG279" s="22" t="str">
        <f>INDEX(Cronograma!AF$5:AF$11,MATCH($B279,Premissas!$A$39:$A$45,0))</f>
        <v/>
      </c>
      <c r="AH279" s="22" t="str">
        <f>INDEX(Cronograma!AG$5:AG$11,MATCH($B279,Premissas!$A$39:$A$45,0))</f>
        <v/>
      </c>
      <c r="AI279" s="22" t="str">
        <f>INDEX(Cronograma!AH$5:AH$11,MATCH($B279,Premissas!$A$39:$A$45,0))</f>
        <v/>
      </c>
      <c r="AJ279" s="22" t="str">
        <f>INDEX(Cronograma!AI$5:AI$11,MATCH($B279,Premissas!$A$39:$A$45,0))</f>
        <v/>
      </c>
      <c r="AK279" s="22" t="str">
        <f>INDEX(Cronograma!AJ$5:AJ$11,MATCH($B279,Premissas!$A$39:$A$45,0))</f>
        <v/>
      </c>
      <c r="AL279" s="22" t="str">
        <f>INDEX(Cronograma!AK$5:AK$11,MATCH($B279,Premissas!$A$39:$A$45,0))</f>
        <v/>
      </c>
      <c r="AM279" s="22" t="str">
        <f>INDEX(Cronograma!AL$5:AL$11,MATCH($B279,Premissas!$A$39:$A$45,0))</f>
        <v/>
      </c>
      <c r="AN279" s="22" t="str">
        <f>INDEX(Cronograma!AM$5:AM$11,MATCH($B279,Premissas!$A$39:$A$45,0))</f>
        <v/>
      </c>
      <c r="AO279" s="22" t="str">
        <f>INDEX(Cronograma!AN$5:AN$11,MATCH($B279,Premissas!$A$39:$A$45,0))</f>
        <v/>
      </c>
      <c r="AP279" s="22" t="str">
        <f>INDEX(Cronograma!AO$5:AO$11,MATCH($B279,Premissas!$A$39:$A$45,0))</f>
        <v/>
      </c>
      <c r="AQ279" s="22" t="str">
        <f>INDEX(Cronograma!AP$5:AP$11,MATCH($B279,Premissas!$A$39:$A$45,0))</f>
        <v/>
      </c>
      <c r="AR279" s="22" t="str">
        <f>INDEX(Cronograma!AQ$5:AQ$11,MATCH($B279,Premissas!$A$39:$A$45,0))</f>
        <v>A</v>
      </c>
      <c r="AS279" s="22" t="str">
        <f>INDEX(Cronograma!AR$5:AR$11,MATCH($B279,Premissas!$A$39:$A$45,0))</f>
        <v/>
      </c>
      <c r="AT279" s="22" t="str">
        <f>INDEX(Cronograma!AS$5:AS$11,MATCH($B279,Premissas!$A$39:$A$45,0))</f>
        <v/>
      </c>
      <c r="AU279" s="22" t="str">
        <f>INDEX(Cronograma!AT$5:AT$11,MATCH($B279,Premissas!$A$39:$A$45,0))</f>
        <v/>
      </c>
      <c r="AV279" s="22" t="str">
        <f>INDEX(Cronograma!AU$5:AU$11,MATCH($B279,Premissas!$A$39:$A$45,0))</f>
        <v/>
      </c>
      <c r="AW279" s="22" t="str">
        <f>INDEX(Cronograma!AV$5:AV$11,MATCH($B279,Premissas!$A$39:$A$45,0))</f>
        <v/>
      </c>
      <c r="AX279" s="22" t="str">
        <f>INDEX(Cronograma!AW$5:AW$11,MATCH($B279,Premissas!$A$39:$A$45,0))</f>
        <v/>
      </c>
      <c r="AY279" s="22" t="str">
        <f>INDEX(Cronograma!AX$5:AX$11,MATCH($B279,Premissas!$A$39:$A$45,0))</f>
        <v/>
      </c>
      <c r="AZ279" s="22" t="str">
        <f>INDEX(Cronograma!AY$5:AY$11,MATCH($B279,Premissas!$A$39:$A$45,0))</f>
        <v/>
      </c>
      <c r="BA279" s="22" t="str">
        <f>INDEX(Cronograma!AZ$5:AZ$11,MATCH($B279,Premissas!$A$39:$A$45,0))</f>
        <v/>
      </c>
      <c r="BB279" s="22" t="str">
        <f>INDEX(Cronograma!BA$5:BA$11,MATCH($B279,Premissas!$A$39:$A$45,0))</f>
        <v/>
      </c>
    </row>
    <row r="280" spans="1:54" ht="15" customHeight="1" x14ac:dyDescent="0.4">
      <c r="A280" s="15" t="str">
        <f>Frota!$B280&amp;" — "&amp;Frota!$A280</f>
        <v>Valtra BM-100 — 106069</v>
      </c>
      <c r="B280" s="16" t="str">
        <f>Frota!$C280</f>
        <v>Carregadeira/Pesada</v>
      </c>
      <c r="C280" s="22" t="str">
        <f>INDEX(Cronograma!B$5:B$11,MATCH($B280,Premissas!$A$39:$A$45,0))</f>
        <v/>
      </c>
      <c r="D280" s="22" t="str">
        <f>INDEX(Cronograma!C$5:C$11,MATCH($B280,Premissas!$A$39:$A$45,0))</f>
        <v/>
      </c>
      <c r="E280" s="22" t="str">
        <f>INDEX(Cronograma!D$5:D$11,MATCH($B280,Premissas!$A$39:$A$45,0))</f>
        <v/>
      </c>
      <c r="F280" s="22" t="str">
        <f>INDEX(Cronograma!E$5:E$11,MATCH($B280,Premissas!$A$39:$A$45,0))</f>
        <v/>
      </c>
      <c r="G280" s="22" t="str">
        <f>INDEX(Cronograma!F$5:F$11,MATCH($B280,Premissas!$A$39:$A$45,0))</f>
        <v/>
      </c>
      <c r="H280" s="22" t="str">
        <f>INDEX(Cronograma!G$5:G$11,MATCH($B280,Premissas!$A$39:$A$45,0))</f>
        <v>S</v>
      </c>
      <c r="I280" s="22" t="str">
        <f>INDEX(Cronograma!H$5:H$11,MATCH($B280,Premissas!$A$39:$A$45,0))</f>
        <v/>
      </c>
      <c r="J280" s="22" t="str">
        <f>INDEX(Cronograma!I$5:I$11,MATCH($B280,Premissas!$A$39:$A$45,0))</f>
        <v/>
      </c>
      <c r="K280" s="22" t="str">
        <f>INDEX(Cronograma!J$5:J$11,MATCH($B280,Premissas!$A$39:$A$45,0))</f>
        <v/>
      </c>
      <c r="L280" s="22" t="str">
        <f>INDEX(Cronograma!K$5:K$11,MATCH($B280,Premissas!$A$39:$A$45,0))</f>
        <v/>
      </c>
      <c r="M280" s="22" t="str">
        <f>INDEX(Cronograma!L$5:L$11,MATCH($B280,Premissas!$A$39:$A$45,0))</f>
        <v/>
      </c>
      <c r="N280" s="22" t="str">
        <f>INDEX(Cronograma!M$5:M$11,MATCH($B280,Premissas!$A$39:$A$45,0))</f>
        <v>A</v>
      </c>
      <c r="O280" s="22" t="str">
        <f>INDEX(Cronograma!N$5:N$11,MATCH($B280,Premissas!$A$39:$A$45,0))</f>
        <v/>
      </c>
      <c r="P280" s="22" t="str">
        <f>INDEX(Cronograma!O$5:O$11,MATCH($B280,Premissas!$A$39:$A$45,0))</f>
        <v/>
      </c>
      <c r="Q280" s="22" t="str">
        <f>INDEX(Cronograma!P$5:P$11,MATCH($B280,Premissas!$A$39:$A$45,0))</f>
        <v/>
      </c>
      <c r="R280" s="22" t="str">
        <f>INDEX(Cronograma!Q$5:Q$11,MATCH($B280,Premissas!$A$39:$A$45,0))</f>
        <v/>
      </c>
      <c r="S280" s="22" t="str">
        <f>INDEX(Cronograma!R$5:R$11,MATCH($B280,Premissas!$A$39:$A$45,0))</f>
        <v>S</v>
      </c>
      <c r="T280" s="22" t="str">
        <f>INDEX(Cronograma!S$5:S$11,MATCH($B280,Premissas!$A$39:$A$45,0))</f>
        <v/>
      </c>
      <c r="U280" s="22" t="str">
        <f>INDEX(Cronograma!T$5:T$11,MATCH($B280,Premissas!$A$39:$A$45,0))</f>
        <v/>
      </c>
      <c r="V280" s="22" t="str">
        <f>INDEX(Cronograma!U$5:U$11,MATCH($B280,Premissas!$A$39:$A$45,0))</f>
        <v/>
      </c>
      <c r="W280" s="22" t="str">
        <f>INDEX(Cronograma!V$5:V$11,MATCH($B280,Premissas!$A$39:$A$45,0))</f>
        <v/>
      </c>
      <c r="X280" s="22" t="str">
        <f>INDEX(Cronograma!W$5:W$11,MATCH($B280,Premissas!$A$39:$A$45,0))</f>
        <v/>
      </c>
      <c r="Y280" s="22" t="str">
        <f>INDEX(Cronograma!X$5:X$11,MATCH($B280,Premissas!$A$39:$A$45,0))</f>
        <v>B</v>
      </c>
      <c r="Z280" s="22" t="str">
        <f>INDEX(Cronograma!Y$5:Y$11,MATCH($B280,Premissas!$A$39:$A$45,0))</f>
        <v/>
      </c>
      <c r="AA280" s="22" t="str">
        <f>INDEX(Cronograma!Z$5:Z$11,MATCH($B280,Premissas!$A$39:$A$45,0))</f>
        <v/>
      </c>
      <c r="AB280" s="22" t="str">
        <f>INDEX(Cronograma!AA$5:AA$11,MATCH($B280,Premissas!$A$39:$A$45,0))</f>
        <v/>
      </c>
      <c r="AC280" s="22" t="str">
        <f>INDEX(Cronograma!AB$5:AB$11,MATCH($B280,Premissas!$A$39:$A$45,0))</f>
        <v/>
      </c>
      <c r="AD280" s="22" t="str">
        <f>INDEX(Cronograma!AC$5:AC$11,MATCH($B280,Premissas!$A$39:$A$45,0))</f>
        <v>S</v>
      </c>
      <c r="AE280" s="22" t="str">
        <f>INDEX(Cronograma!AD$5:AD$11,MATCH($B280,Premissas!$A$39:$A$45,0))</f>
        <v/>
      </c>
      <c r="AF280" s="22" t="str">
        <f>INDEX(Cronograma!AE$5:AE$11,MATCH($B280,Premissas!$A$39:$A$45,0))</f>
        <v/>
      </c>
      <c r="AG280" s="22" t="str">
        <f>INDEX(Cronograma!AF$5:AF$11,MATCH($B280,Premissas!$A$39:$A$45,0))</f>
        <v/>
      </c>
      <c r="AH280" s="22" t="str">
        <f>INDEX(Cronograma!AG$5:AG$11,MATCH($B280,Premissas!$A$39:$A$45,0))</f>
        <v/>
      </c>
      <c r="AI280" s="22" t="str">
        <f>INDEX(Cronograma!AH$5:AH$11,MATCH($B280,Premissas!$A$39:$A$45,0))</f>
        <v/>
      </c>
      <c r="AJ280" s="22" t="str">
        <f>INDEX(Cronograma!AI$5:AI$11,MATCH($B280,Premissas!$A$39:$A$45,0))</f>
        <v/>
      </c>
      <c r="AK280" s="22" t="str">
        <f>INDEX(Cronograma!AJ$5:AJ$11,MATCH($B280,Premissas!$A$39:$A$45,0))</f>
        <v/>
      </c>
      <c r="AL280" s="22" t="str">
        <f>INDEX(Cronograma!AK$5:AK$11,MATCH($B280,Premissas!$A$39:$A$45,0))</f>
        <v/>
      </c>
      <c r="AM280" s="22" t="str">
        <f>INDEX(Cronograma!AL$5:AL$11,MATCH($B280,Premissas!$A$39:$A$45,0))</f>
        <v/>
      </c>
      <c r="AN280" s="22" t="str">
        <f>INDEX(Cronograma!AM$5:AM$11,MATCH($B280,Premissas!$A$39:$A$45,0))</f>
        <v/>
      </c>
      <c r="AO280" s="22" t="str">
        <f>INDEX(Cronograma!AN$5:AN$11,MATCH($B280,Premissas!$A$39:$A$45,0))</f>
        <v/>
      </c>
      <c r="AP280" s="22" t="str">
        <f>INDEX(Cronograma!AO$5:AO$11,MATCH($B280,Premissas!$A$39:$A$45,0))</f>
        <v/>
      </c>
      <c r="AQ280" s="22" t="str">
        <f>INDEX(Cronograma!AP$5:AP$11,MATCH($B280,Premissas!$A$39:$A$45,0))</f>
        <v/>
      </c>
      <c r="AR280" s="22" t="str">
        <f>INDEX(Cronograma!AQ$5:AQ$11,MATCH($B280,Premissas!$A$39:$A$45,0))</f>
        <v>A</v>
      </c>
      <c r="AS280" s="22" t="str">
        <f>INDEX(Cronograma!AR$5:AR$11,MATCH($B280,Premissas!$A$39:$A$45,0))</f>
        <v/>
      </c>
      <c r="AT280" s="22" t="str">
        <f>INDEX(Cronograma!AS$5:AS$11,MATCH($B280,Premissas!$A$39:$A$45,0))</f>
        <v/>
      </c>
      <c r="AU280" s="22" t="str">
        <f>INDEX(Cronograma!AT$5:AT$11,MATCH($B280,Premissas!$A$39:$A$45,0))</f>
        <v/>
      </c>
      <c r="AV280" s="22" t="str">
        <f>INDEX(Cronograma!AU$5:AU$11,MATCH($B280,Premissas!$A$39:$A$45,0))</f>
        <v/>
      </c>
      <c r="AW280" s="22" t="str">
        <f>INDEX(Cronograma!AV$5:AV$11,MATCH($B280,Premissas!$A$39:$A$45,0))</f>
        <v/>
      </c>
      <c r="AX280" s="22" t="str">
        <f>INDEX(Cronograma!AW$5:AW$11,MATCH($B280,Premissas!$A$39:$A$45,0))</f>
        <v/>
      </c>
      <c r="AY280" s="22" t="str">
        <f>INDEX(Cronograma!AX$5:AX$11,MATCH($B280,Premissas!$A$39:$A$45,0))</f>
        <v/>
      </c>
      <c r="AZ280" s="22" t="str">
        <f>INDEX(Cronograma!AY$5:AY$11,MATCH($B280,Premissas!$A$39:$A$45,0))</f>
        <v/>
      </c>
      <c r="BA280" s="22" t="str">
        <f>INDEX(Cronograma!AZ$5:AZ$11,MATCH($B280,Premissas!$A$39:$A$45,0))</f>
        <v/>
      </c>
      <c r="BB280" s="22" t="str">
        <f>INDEX(Cronograma!BA$5:BA$11,MATCH($B280,Premissas!$A$39:$A$45,0))</f>
        <v/>
      </c>
    </row>
    <row r="281" spans="1:54" ht="15" customHeight="1" x14ac:dyDescent="0.4">
      <c r="A281" s="15" t="str">
        <f>Frota!$B281&amp;" — "&amp;Frota!$A281</f>
        <v>John Deere-524K — 109006</v>
      </c>
      <c r="B281" s="16" t="str">
        <f>Frota!$C281</f>
        <v>Carregadeira/Pesada</v>
      </c>
      <c r="C281" s="22" t="str">
        <f>INDEX(Cronograma!B$5:B$11,MATCH($B281,Premissas!$A$39:$A$45,0))</f>
        <v/>
      </c>
      <c r="D281" s="22" t="str">
        <f>INDEX(Cronograma!C$5:C$11,MATCH($B281,Premissas!$A$39:$A$45,0))</f>
        <v/>
      </c>
      <c r="E281" s="22" t="str">
        <f>INDEX(Cronograma!D$5:D$11,MATCH($B281,Premissas!$A$39:$A$45,0))</f>
        <v/>
      </c>
      <c r="F281" s="22" t="str">
        <f>INDEX(Cronograma!E$5:E$11,MATCH($B281,Premissas!$A$39:$A$45,0))</f>
        <v/>
      </c>
      <c r="G281" s="22" t="str">
        <f>INDEX(Cronograma!F$5:F$11,MATCH($B281,Premissas!$A$39:$A$45,0))</f>
        <v/>
      </c>
      <c r="H281" s="22" t="str">
        <f>INDEX(Cronograma!G$5:G$11,MATCH($B281,Premissas!$A$39:$A$45,0))</f>
        <v>S</v>
      </c>
      <c r="I281" s="22" t="str">
        <f>INDEX(Cronograma!H$5:H$11,MATCH($B281,Premissas!$A$39:$A$45,0))</f>
        <v/>
      </c>
      <c r="J281" s="22" t="str">
        <f>INDEX(Cronograma!I$5:I$11,MATCH($B281,Premissas!$A$39:$A$45,0))</f>
        <v/>
      </c>
      <c r="K281" s="22" t="str">
        <f>INDEX(Cronograma!J$5:J$11,MATCH($B281,Premissas!$A$39:$A$45,0))</f>
        <v/>
      </c>
      <c r="L281" s="22" t="str">
        <f>INDEX(Cronograma!K$5:K$11,MATCH($B281,Premissas!$A$39:$A$45,0))</f>
        <v/>
      </c>
      <c r="M281" s="22" t="str">
        <f>INDEX(Cronograma!L$5:L$11,MATCH($B281,Premissas!$A$39:$A$45,0))</f>
        <v/>
      </c>
      <c r="N281" s="22" t="str">
        <f>INDEX(Cronograma!M$5:M$11,MATCH($B281,Premissas!$A$39:$A$45,0))</f>
        <v>A</v>
      </c>
      <c r="O281" s="22" t="str">
        <f>INDEX(Cronograma!N$5:N$11,MATCH($B281,Premissas!$A$39:$A$45,0))</f>
        <v/>
      </c>
      <c r="P281" s="22" t="str">
        <f>INDEX(Cronograma!O$5:O$11,MATCH($B281,Premissas!$A$39:$A$45,0))</f>
        <v/>
      </c>
      <c r="Q281" s="22" t="str">
        <f>INDEX(Cronograma!P$5:P$11,MATCH($B281,Premissas!$A$39:$A$45,0))</f>
        <v/>
      </c>
      <c r="R281" s="22" t="str">
        <f>INDEX(Cronograma!Q$5:Q$11,MATCH($B281,Premissas!$A$39:$A$45,0))</f>
        <v/>
      </c>
      <c r="S281" s="22" t="str">
        <f>INDEX(Cronograma!R$5:R$11,MATCH($B281,Premissas!$A$39:$A$45,0))</f>
        <v>S</v>
      </c>
      <c r="T281" s="22" t="str">
        <f>INDEX(Cronograma!S$5:S$11,MATCH($B281,Premissas!$A$39:$A$45,0))</f>
        <v/>
      </c>
      <c r="U281" s="22" t="str">
        <f>INDEX(Cronograma!T$5:T$11,MATCH($B281,Premissas!$A$39:$A$45,0))</f>
        <v/>
      </c>
      <c r="V281" s="22" t="str">
        <f>INDEX(Cronograma!U$5:U$11,MATCH($B281,Premissas!$A$39:$A$45,0))</f>
        <v/>
      </c>
      <c r="W281" s="22" t="str">
        <f>INDEX(Cronograma!V$5:V$11,MATCH($B281,Premissas!$A$39:$A$45,0))</f>
        <v/>
      </c>
      <c r="X281" s="22" t="str">
        <f>INDEX(Cronograma!W$5:W$11,MATCH($B281,Premissas!$A$39:$A$45,0))</f>
        <v/>
      </c>
      <c r="Y281" s="22" t="str">
        <f>INDEX(Cronograma!X$5:X$11,MATCH($B281,Premissas!$A$39:$A$45,0))</f>
        <v>B</v>
      </c>
      <c r="Z281" s="22" t="str">
        <f>INDEX(Cronograma!Y$5:Y$11,MATCH($B281,Premissas!$A$39:$A$45,0))</f>
        <v/>
      </c>
      <c r="AA281" s="22" t="str">
        <f>INDEX(Cronograma!Z$5:Z$11,MATCH($B281,Premissas!$A$39:$A$45,0))</f>
        <v/>
      </c>
      <c r="AB281" s="22" t="str">
        <f>INDEX(Cronograma!AA$5:AA$11,MATCH($B281,Premissas!$A$39:$A$45,0))</f>
        <v/>
      </c>
      <c r="AC281" s="22" t="str">
        <f>INDEX(Cronograma!AB$5:AB$11,MATCH($B281,Premissas!$A$39:$A$45,0))</f>
        <v/>
      </c>
      <c r="AD281" s="22" t="str">
        <f>INDEX(Cronograma!AC$5:AC$11,MATCH($B281,Premissas!$A$39:$A$45,0))</f>
        <v>S</v>
      </c>
      <c r="AE281" s="22" t="str">
        <f>INDEX(Cronograma!AD$5:AD$11,MATCH($B281,Premissas!$A$39:$A$45,0))</f>
        <v/>
      </c>
      <c r="AF281" s="22" t="str">
        <f>INDEX(Cronograma!AE$5:AE$11,MATCH($B281,Premissas!$A$39:$A$45,0))</f>
        <v/>
      </c>
      <c r="AG281" s="22" t="str">
        <f>INDEX(Cronograma!AF$5:AF$11,MATCH($B281,Premissas!$A$39:$A$45,0))</f>
        <v/>
      </c>
      <c r="AH281" s="22" t="str">
        <f>INDEX(Cronograma!AG$5:AG$11,MATCH($B281,Premissas!$A$39:$A$45,0))</f>
        <v/>
      </c>
      <c r="AI281" s="22" t="str">
        <f>INDEX(Cronograma!AH$5:AH$11,MATCH($B281,Premissas!$A$39:$A$45,0))</f>
        <v/>
      </c>
      <c r="AJ281" s="22" t="str">
        <f>INDEX(Cronograma!AI$5:AI$11,MATCH($B281,Premissas!$A$39:$A$45,0))</f>
        <v/>
      </c>
      <c r="AK281" s="22" t="str">
        <f>INDEX(Cronograma!AJ$5:AJ$11,MATCH($B281,Premissas!$A$39:$A$45,0))</f>
        <v/>
      </c>
      <c r="AL281" s="22" t="str">
        <f>INDEX(Cronograma!AK$5:AK$11,MATCH($B281,Premissas!$A$39:$A$45,0))</f>
        <v/>
      </c>
      <c r="AM281" s="22" t="str">
        <f>INDEX(Cronograma!AL$5:AL$11,MATCH($B281,Premissas!$A$39:$A$45,0))</f>
        <v/>
      </c>
      <c r="AN281" s="22" t="str">
        <f>INDEX(Cronograma!AM$5:AM$11,MATCH($B281,Premissas!$A$39:$A$45,0))</f>
        <v/>
      </c>
      <c r="AO281" s="22" t="str">
        <f>INDEX(Cronograma!AN$5:AN$11,MATCH($B281,Premissas!$A$39:$A$45,0))</f>
        <v/>
      </c>
      <c r="AP281" s="22" t="str">
        <f>INDEX(Cronograma!AO$5:AO$11,MATCH($B281,Premissas!$A$39:$A$45,0))</f>
        <v/>
      </c>
      <c r="AQ281" s="22" t="str">
        <f>INDEX(Cronograma!AP$5:AP$11,MATCH($B281,Premissas!$A$39:$A$45,0))</f>
        <v/>
      </c>
      <c r="AR281" s="22" t="str">
        <f>INDEX(Cronograma!AQ$5:AQ$11,MATCH($B281,Premissas!$A$39:$A$45,0))</f>
        <v>A</v>
      </c>
      <c r="AS281" s="22" t="str">
        <f>INDEX(Cronograma!AR$5:AR$11,MATCH($B281,Premissas!$A$39:$A$45,0))</f>
        <v/>
      </c>
      <c r="AT281" s="22" t="str">
        <f>INDEX(Cronograma!AS$5:AS$11,MATCH($B281,Premissas!$A$39:$A$45,0))</f>
        <v/>
      </c>
      <c r="AU281" s="22" t="str">
        <f>INDEX(Cronograma!AT$5:AT$11,MATCH($B281,Premissas!$A$39:$A$45,0))</f>
        <v/>
      </c>
      <c r="AV281" s="22" t="str">
        <f>INDEX(Cronograma!AU$5:AU$11,MATCH($B281,Premissas!$A$39:$A$45,0))</f>
        <v/>
      </c>
      <c r="AW281" s="22" t="str">
        <f>INDEX(Cronograma!AV$5:AV$11,MATCH($B281,Premissas!$A$39:$A$45,0))</f>
        <v/>
      </c>
      <c r="AX281" s="22" t="str">
        <f>INDEX(Cronograma!AW$5:AW$11,MATCH($B281,Premissas!$A$39:$A$45,0))</f>
        <v/>
      </c>
      <c r="AY281" s="22" t="str">
        <f>INDEX(Cronograma!AX$5:AX$11,MATCH($B281,Premissas!$A$39:$A$45,0))</f>
        <v/>
      </c>
      <c r="AZ281" s="22" t="str">
        <f>INDEX(Cronograma!AY$5:AY$11,MATCH($B281,Premissas!$A$39:$A$45,0))</f>
        <v/>
      </c>
      <c r="BA281" s="22" t="str">
        <f>INDEX(Cronograma!AZ$5:AZ$11,MATCH($B281,Premissas!$A$39:$A$45,0))</f>
        <v/>
      </c>
      <c r="BB281" s="22" t="str">
        <f>INDEX(Cronograma!BA$5:BA$11,MATCH($B281,Premissas!$A$39:$A$45,0))</f>
        <v/>
      </c>
    </row>
    <row r="282" spans="1:54" ht="15" customHeight="1" x14ac:dyDescent="0.4">
      <c r="A282" s="15" t="str">
        <f>Frota!$B282&amp;" — "&amp;Frota!$A282</f>
        <v>John Deere-524K — 109007</v>
      </c>
      <c r="B282" s="16" t="str">
        <f>Frota!$C282</f>
        <v>Carregadeira/Pesada</v>
      </c>
      <c r="C282" s="22" t="str">
        <f>INDEX(Cronograma!B$5:B$11,MATCH($B282,Premissas!$A$39:$A$45,0))</f>
        <v/>
      </c>
      <c r="D282" s="22" t="str">
        <f>INDEX(Cronograma!C$5:C$11,MATCH($B282,Premissas!$A$39:$A$45,0))</f>
        <v/>
      </c>
      <c r="E282" s="22" t="str">
        <f>INDEX(Cronograma!D$5:D$11,MATCH($B282,Premissas!$A$39:$A$45,0))</f>
        <v/>
      </c>
      <c r="F282" s="22" t="str">
        <f>INDEX(Cronograma!E$5:E$11,MATCH($B282,Premissas!$A$39:$A$45,0))</f>
        <v/>
      </c>
      <c r="G282" s="22" t="str">
        <f>INDEX(Cronograma!F$5:F$11,MATCH($B282,Premissas!$A$39:$A$45,0))</f>
        <v/>
      </c>
      <c r="H282" s="22" t="str">
        <f>INDEX(Cronograma!G$5:G$11,MATCH($B282,Premissas!$A$39:$A$45,0))</f>
        <v>S</v>
      </c>
      <c r="I282" s="22" t="str">
        <f>INDEX(Cronograma!H$5:H$11,MATCH($B282,Premissas!$A$39:$A$45,0))</f>
        <v/>
      </c>
      <c r="J282" s="22" t="str">
        <f>INDEX(Cronograma!I$5:I$11,MATCH($B282,Premissas!$A$39:$A$45,0))</f>
        <v/>
      </c>
      <c r="K282" s="22" t="str">
        <f>INDEX(Cronograma!J$5:J$11,MATCH($B282,Premissas!$A$39:$A$45,0))</f>
        <v/>
      </c>
      <c r="L282" s="22" t="str">
        <f>INDEX(Cronograma!K$5:K$11,MATCH($B282,Premissas!$A$39:$A$45,0))</f>
        <v/>
      </c>
      <c r="M282" s="22" t="str">
        <f>INDEX(Cronograma!L$5:L$11,MATCH($B282,Premissas!$A$39:$A$45,0))</f>
        <v/>
      </c>
      <c r="N282" s="22" t="str">
        <f>INDEX(Cronograma!M$5:M$11,MATCH($B282,Premissas!$A$39:$A$45,0))</f>
        <v>A</v>
      </c>
      <c r="O282" s="22" t="str">
        <f>INDEX(Cronograma!N$5:N$11,MATCH($B282,Premissas!$A$39:$A$45,0))</f>
        <v/>
      </c>
      <c r="P282" s="22" t="str">
        <f>INDEX(Cronograma!O$5:O$11,MATCH($B282,Premissas!$A$39:$A$45,0))</f>
        <v/>
      </c>
      <c r="Q282" s="22" t="str">
        <f>INDEX(Cronograma!P$5:P$11,MATCH($B282,Premissas!$A$39:$A$45,0))</f>
        <v/>
      </c>
      <c r="R282" s="22" t="str">
        <f>INDEX(Cronograma!Q$5:Q$11,MATCH($B282,Premissas!$A$39:$A$45,0))</f>
        <v/>
      </c>
      <c r="S282" s="22" t="str">
        <f>INDEX(Cronograma!R$5:R$11,MATCH($B282,Premissas!$A$39:$A$45,0))</f>
        <v>S</v>
      </c>
      <c r="T282" s="22" t="str">
        <f>INDEX(Cronograma!S$5:S$11,MATCH($B282,Premissas!$A$39:$A$45,0))</f>
        <v/>
      </c>
      <c r="U282" s="22" t="str">
        <f>INDEX(Cronograma!T$5:T$11,MATCH($B282,Premissas!$A$39:$A$45,0))</f>
        <v/>
      </c>
      <c r="V282" s="22" t="str">
        <f>INDEX(Cronograma!U$5:U$11,MATCH($B282,Premissas!$A$39:$A$45,0))</f>
        <v/>
      </c>
      <c r="W282" s="22" t="str">
        <f>INDEX(Cronograma!V$5:V$11,MATCH($B282,Premissas!$A$39:$A$45,0))</f>
        <v/>
      </c>
      <c r="X282" s="22" t="str">
        <f>INDEX(Cronograma!W$5:W$11,MATCH($B282,Premissas!$A$39:$A$45,0))</f>
        <v/>
      </c>
      <c r="Y282" s="22" t="str">
        <f>INDEX(Cronograma!X$5:X$11,MATCH($B282,Premissas!$A$39:$A$45,0))</f>
        <v>B</v>
      </c>
      <c r="Z282" s="22" t="str">
        <f>INDEX(Cronograma!Y$5:Y$11,MATCH($B282,Premissas!$A$39:$A$45,0))</f>
        <v/>
      </c>
      <c r="AA282" s="22" t="str">
        <f>INDEX(Cronograma!Z$5:Z$11,MATCH($B282,Premissas!$A$39:$A$45,0))</f>
        <v/>
      </c>
      <c r="AB282" s="22" t="str">
        <f>INDEX(Cronograma!AA$5:AA$11,MATCH($B282,Premissas!$A$39:$A$45,0))</f>
        <v/>
      </c>
      <c r="AC282" s="22" t="str">
        <f>INDEX(Cronograma!AB$5:AB$11,MATCH($B282,Premissas!$A$39:$A$45,0))</f>
        <v/>
      </c>
      <c r="AD282" s="22" t="str">
        <f>INDEX(Cronograma!AC$5:AC$11,MATCH($B282,Premissas!$A$39:$A$45,0))</f>
        <v>S</v>
      </c>
      <c r="AE282" s="22" t="str">
        <f>INDEX(Cronograma!AD$5:AD$11,MATCH($B282,Premissas!$A$39:$A$45,0))</f>
        <v/>
      </c>
      <c r="AF282" s="22" t="str">
        <f>INDEX(Cronograma!AE$5:AE$11,MATCH($B282,Premissas!$A$39:$A$45,0))</f>
        <v/>
      </c>
      <c r="AG282" s="22" t="str">
        <f>INDEX(Cronograma!AF$5:AF$11,MATCH($B282,Premissas!$A$39:$A$45,0))</f>
        <v/>
      </c>
      <c r="AH282" s="22" t="str">
        <f>INDEX(Cronograma!AG$5:AG$11,MATCH($B282,Premissas!$A$39:$A$45,0))</f>
        <v/>
      </c>
      <c r="AI282" s="22" t="str">
        <f>INDEX(Cronograma!AH$5:AH$11,MATCH($B282,Premissas!$A$39:$A$45,0))</f>
        <v/>
      </c>
      <c r="AJ282" s="22" t="str">
        <f>INDEX(Cronograma!AI$5:AI$11,MATCH($B282,Premissas!$A$39:$A$45,0))</f>
        <v/>
      </c>
      <c r="AK282" s="22" t="str">
        <f>INDEX(Cronograma!AJ$5:AJ$11,MATCH($B282,Premissas!$A$39:$A$45,0))</f>
        <v/>
      </c>
      <c r="AL282" s="22" t="str">
        <f>INDEX(Cronograma!AK$5:AK$11,MATCH($B282,Premissas!$A$39:$A$45,0))</f>
        <v/>
      </c>
      <c r="AM282" s="22" t="str">
        <f>INDEX(Cronograma!AL$5:AL$11,MATCH($B282,Premissas!$A$39:$A$45,0))</f>
        <v/>
      </c>
      <c r="AN282" s="22" t="str">
        <f>INDEX(Cronograma!AM$5:AM$11,MATCH($B282,Premissas!$A$39:$A$45,0))</f>
        <v/>
      </c>
      <c r="AO282" s="22" t="str">
        <f>INDEX(Cronograma!AN$5:AN$11,MATCH($B282,Premissas!$A$39:$A$45,0))</f>
        <v/>
      </c>
      <c r="AP282" s="22" t="str">
        <f>INDEX(Cronograma!AO$5:AO$11,MATCH($B282,Premissas!$A$39:$A$45,0))</f>
        <v/>
      </c>
      <c r="AQ282" s="22" t="str">
        <f>INDEX(Cronograma!AP$5:AP$11,MATCH($B282,Premissas!$A$39:$A$45,0))</f>
        <v/>
      </c>
      <c r="AR282" s="22" t="str">
        <f>INDEX(Cronograma!AQ$5:AQ$11,MATCH($B282,Premissas!$A$39:$A$45,0))</f>
        <v>A</v>
      </c>
      <c r="AS282" s="22" t="str">
        <f>INDEX(Cronograma!AR$5:AR$11,MATCH($B282,Premissas!$A$39:$A$45,0))</f>
        <v/>
      </c>
      <c r="AT282" s="22" t="str">
        <f>INDEX(Cronograma!AS$5:AS$11,MATCH($B282,Premissas!$A$39:$A$45,0))</f>
        <v/>
      </c>
      <c r="AU282" s="22" t="str">
        <f>INDEX(Cronograma!AT$5:AT$11,MATCH($B282,Premissas!$A$39:$A$45,0))</f>
        <v/>
      </c>
      <c r="AV282" s="22" t="str">
        <f>INDEX(Cronograma!AU$5:AU$11,MATCH($B282,Premissas!$A$39:$A$45,0))</f>
        <v/>
      </c>
      <c r="AW282" s="22" t="str">
        <f>INDEX(Cronograma!AV$5:AV$11,MATCH($B282,Premissas!$A$39:$A$45,0))</f>
        <v/>
      </c>
      <c r="AX282" s="22" t="str">
        <f>INDEX(Cronograma!AW$5:AW$11,MATCH($B282,Premissas!$A$39:$A$45,0))</f>
        <v/>
      </c>
      <c r="AY282" s="22" t="str">
        <f>INDEX(Cronograma!AX$5:AX$11,MATCH($B282,Premissas!$A$39:$A$45,0))</f>
        <v/>
      </c>
      <c r="AZ282" s="22" t="str">
        <f>INDEX(Cronograma!AY$5:AY$11,MATCH($B282,Premissas!$A$39:$A$45,0))</f>
        <v/>
      </c>
      <c r="BA282" s="22" t="str">
        <f>INDEX(Cronograma!AZ$5:AZ$11,MATCH($B282,Premissas!$A$39:$A$45,0))</f>
        <v/>
      </c>
      <c r="BB282" s="22" t="str">
        <f>INDEX(Cronograma!BA$5:BA$11,MATCH($B282,Premissas!$A$39:$A$45,0))</f>
        <v/>
      </c>
    </row>
    <row r="283" spans="1:54" ht="15" customHeight="1" x14ac:dyDescent="0.4">
      <c r="A283" s="15" t="str">
        <f>Frota!$B283&amp;" — "&amp;Frota!$A283</f>
        <v>John Deere-524K — 109008</v>
      </c>
      <c r="B283" s="16" t="str">
        <f>Frota!$C283</f>
        <v>Carregadeira/Pesada</v>
      </c>
      <c r="C283" s="22" t="str">
        <f>INDEX(Cronograma!B$5:B$11,MATCH($B283,Premissas!$A$39:$A$45,0))</f>
        <v/>
      </c>
      <c r="D283" s="22" t="str">
        <f>INDEX(Cronograma!C$5:C$11,MATCH($B283,Premissas!$A$39:$A$45,0))</f>
        <v/>
      </c>
      <c r="E283" s="22" t="str">
        <f>INDEX(Cronograma!D$5:D$11,MATCH($B283,Premissas!$A$39:$A$45,0))</f>
        <v/>
      </c>
      <c r="F283" s="22" t="str">
        <f>INDEX(Cronograma!E$5:E$11,MATCH($B283,Premissas!$A$39:$A$45,0))</f>
        <v/>
      </c>
      <c r="G283" s="22" t="str">
        <f>INDEX(Cronograma!F$5:F$11,MATCH($B283,Premissas!$A$39:$A$45,0))</f>
        <v/>
      </c>
      <c r="H283" s="22" t="str">
        <f>INDEX(Cronograma!G$5:G$11,MATCH($B283,Premissas!$A$39:$A$45,0))</f>
        <v>S</v>
      </c>
      <c r="I283" s="22" t="str">
        <f>INDEX(Cronograma!H$5:H$11,MATCH($B283,Premissas!$A$39:$A$45,0))</f>
        <v/>
      </c>
      <c r="J283" s="22" t="str">
        <f>INDEX(Cronograma!I$5:I$11,MATCH($B283,Premissas!$A$39:$A$45,0))</f>
        <v/>
      </c>
      <c r="K283" s="22" t="str">
        <f>INDEX(Cronograma!J$5:J$11,MATCH($B283,Premissas!$A$39:$A$45,0))</f>
        <v/>
      </c>
      <c r="L283" s="22" t="str">
        <f>INDEX(Cronograma!K$5:K$11,MATCH($B283,Premissas!$A$39:$A$45,0))</f>
        <v/>
      </c>
      <c r="M283" s="22" t="str">
        <f>INDEX(Cronograma!L$5:L$11,MATCH($B283,Premissas!$A$39:$A$45,0))</f>
        <v/>
      </c>
      <c r="N283" s="22" t="str">
        <f>INDEX(Cronograma!M$5:M$11,MATCH($B283,Premissas!$A$39:$A$45,0))</f>
        <v>A</v>
      </c>
      <c r="O283" s="22" t="str">
        <f>INDEX(Cronograma!N$5:N$11,MATCH($B283,Premissas!$A$39:$A$45,0))</f>
        <v/>
      </c>
      <c r="P283" s="22" t="str">
        <f>INDEX(Cronograma!O$5:O$11,MATCH($B283,Premissas!$A$39:$A$45,0))</f>
        <v/>
      </c>
      <c r="Q283" s="22" t="str">
        <f>INDEX(Cronograma!P$5:P$11,MATCH($B283,Premissas!$A$39:$A$45,0))</f>
        <v/>
      </c>
      <c r="R283" s="22" t="str">
        <f>INDEX(Cronograma!Q$5:Q$11,MATCH($B283,Premissas!$A$39:$A$45,0))</f>
        <v/>
      </c>
      <c r="S283" s="22" t="str">
        <f>INDEX(Cronograma!R$5:R$11,MATCH($B283,Premissas!$A$39:$A$45,0))</f>
        <v>S</v>
      </c>
      <c r="T283" s="22" t="str">
        <f>INDEX(Cronograma!S$5:S$11,MATCH($B283,Premissas!$A$39:$A$45,0))</f>
        <v/>
      </c>
      <c r="U283" s="22" t="str">
        <f>INDEX(Cronograma!T$5:T$11,MATCH($B283,Premissas!$A$39:$A$45,0))</f>
        <v/>
      </c>
      <c r="V283" s="22" t="str">
        <f>INDEX(Cronograma!U$5:U$11,MATCH($B283,Premissas!$A$39:$A$45,0))</f>
        <v/>
      </c>
      <c r="W283" s="22" t="str">
        <f>INDEX(Cronograma!V$5:V$11,MATCH($B283,Premissas!$A$39:$A$45,0))</f>
        <v/>
      </c>
      <c r="X283" s="22" t="str">
        <f>INDEX(Cronograma!W$5:W$11,MATCH($B283,Premissas!$A$39:$A$45,0))</f>
        <v/>
      </c>
      <c r="Y283" s="22" t="str">
        <f>INDEX(Cronograma!X$5:X$11,MATCH($B283,Premissas!$A$39:$A$45,0))</f>
        <v>B</v>
      </c>
      <c r="Z283" s="22" t="str">
        <f>INDEX(Cronograma!Y$5:Y$11,MATCH($B283,Premissas!$A$39:$A$45,0))</f>
        <v/>
      </c>
      <c r="AA283" s="22" t="str">
        <f>INDEX(Cronograma!Z$5:Z$11,MATCH($B283,Premissas!$A$39:$A$45,0))</f>
        <v/>
      </c>
      <c r="AB283" s="22" t="str">
        <f>INDEX(Cronograma!AA$5:AA$11,MATCH($B283,Premissas!$A$39:$A$45,0))</f>
        <v/>
      </c>
      <c r="AC283" s="22" t="str">
        <f>INDEX(Cronograma!AB$5:AB$11,MATCH($B283,Premissas!$A$39:$A$45,0))</f>
        <v/>
      </c>
      <c r="AD283" s="22" t="str">
        <f>INDEX(Cronograma!AC$5:AC$11,MATCH($B283,Premissas!$A$39:$A$45,0))</f>
        <v>S</v>
      </c>
      <c r="AE283" s="22" t="str">
        <f>INDEX(Cronograma!AD$5:AD$11,MATCH($B283,Premissas!$A$39:$A$45,0))</f>
        <v/>
      </c>
      <c r="AF283" s="22" t="str">
        <f>INDEX(Cronograma!AE$5:AE$11,MATCH($B283,Premissas!$A$39:$A$45,0))</f>
        <v/>
      </c>
      <c r="AG283" s="22" t="str">
        <f>INDEX(Cronograma!AF$5:AF$11,MATCH($B283,Premissas!$A$39:$A$45,0))</f>
        <v/>
      </c>
      <c r="AH283" s="22" t="str">
        <f>INDEX(Cronograma!AG$5:AG$11,MATCH($B283,Premissas!$A$39:$A$45,0))</f>
        <v/>
      </c>
      <c r="AI283" s="22" t="str">
        <f>INDEX(Cronograma!AH$5:AH$11,MATCH($B283,Premissas!$A$39:$A$45,0))</f>
        <v/>
      </c>
      <c r="AJ283" s="22" t="str">
        <f>INDEX(Cronograma!AI$5:AI$11,MATCH($B283,Premissas!$A$39:$A$45,0))</f>
        <v/>
      </c>
      <c r="AK283" s="22" t="str">
        <f>INDEX(Cronograma!AJ$5:AJ$11,MATCH($B283,Premissas!$A$39:$A$45,0))</f>
        <v/>
      </c>
      <c r="AL283" s="22" t="str">
        <f>INDEX(Cronograma!AK$5:AK$11,MATCH($B283,Premissas!$A$39:$A$45,0))</f>
        <v/>
      </c>
      <c r="AM283" s="22" t="str">
        <f>INDEX(Cronograma!AL$5:AL$11,MATCH($B283,Premissas!$A$39:$A$45,0))</f>
        <v/>
      </c>
      <c r="AN283" s="22" t="str">
        <f>INDEX(Cronograma!AM$5:AM$11,MATCH($B283,Premissas!$A$39:$A$45,0))</f>
        <v/>
      </c>
      <c r="AO283" s="22" t="str">
        <f>INDEX(Cronograma!AN$5:AN$11,MATCH($B283,Premissas!$A$39:$A$45,0))</f>
        <v/>
      </c>
      <c r="AP283" s="22" t="str">
        <f>INDEX(Cronograma!AO$5:AO$11,MATCH($B283,Premissas!$A$39:$A$45,0))</f>
        <v/>
      </c>
      <c r="AQ283" s="22" t="str">
        <f>INDEX(Cronograma!AP$5:AP$11,MATCH($B283,Premissas!$A$39:$A$45,0))</f>
        <v/>
      </c>
      <c r="AR283" s="22" t="str">
        <f>INDEX(Cronograma!AQ$5:AQ$11,MATCH($B283,Premissas!$A$39:$A$45,0))</f>
        <v>A</v>
      </c>
      <c r="AS283" s="22" t="str">
        <f>INDEX(Cronograma!AR$5:AR$11,MATCH($B283,Premissas!$A$39:$A$45,0))</f>
        <v/>
      </c>
      <c r="AT283" s="22" t="str">
        <f>INDEX(Cronograma!AS$5:AS$11,MATCH($B283,Premissas!$A$39:$A$45,0))</f>
        <v/>
      </c>
      <c r="AU283" s="22" t="str">
        <f>INDEX(Cronograma!AT$5:AT$11,MATCH($B283,Premissas!$A$39:$A$45,0))</f>
        <v/>
      </c>
      <c r="AV283" s="22" t="str">
        <f>INDEX(Cronograma!AU$5:AU$11,MATCH($B283,Premissas!$A$39:$A$45,0))</f>
        <v/>
      </c>
      <c r="AW283" s="22" t="str">
        <f>INDEX(Cronograma!AV$5:AV$11,MATCH($B283,Premissas!$A$39:$A$45,0))</f>
        <v/>
      </c>
      <c r="AX283" s="22" t="str">
        <f>INDEX(Cronograma!AW$5:AW$11,MATCH($B283,Premissas!$A$39:$A$45,0))</f>
        <v/>
      </c>
      <c r="AY283" s="22" t="str">
        <f>INDEX(Cronograma!AX$5:AX$11,MATCH($B283,Premissas!$A$39:$A$45,0))</f>
        <v/>
      </c>
      <c r="AZ283" s="22" t="str">
        <f>INDEX(Cronograma!AY$5:AY$11,MATCH($B283,Premissas!$A$39:$A$45,0))</f>
        <v/>
      </c>
      <c r="BA283" s="22" t="str">
        <f>INDEX(Cronograma!AZ$5:AZ$11,MATCH($B283,Premissas!$A$39:$A$45,0))</f>
        <v/>
      </c>
      <c r="BB283" s="22" t="str">
        <f>INDEX(Cronograma!BA$5:BA$11,MATCH($B283,Premissas!$A$39:$A$45,0))</f>
        <v/>
      </c>
    </row>
    <row r="284" spans="1:54" ht="15" customHeight="1" x14ac:dyDescent="0.4">
      <c r="A284" s="15" t="str">
        <f>Frota!$B284&amp;" — "&amp;Frota!$A284</f>
        <v>John Deere-524K — 109009</v>
      </c>
      <c r="B284" s="16" t="str">
        <f>Frota!$C284</f>
        <v>Carregadeira/Pesada</v>
      </c>
      <c r="C284" s="22" t="str">
        <f>INDEX(Cronograma!B$5:B$11,MATCH($B284,Premissas!$A$39:$A$45,0))</f>
        <v/>
      </c>
      <c r="D284" s="22" t="str">
        <f>INDEX(Cronograma!C$5:C$11,MATCH($B284,Premissas!$A$39:$A$45,0))</f>
        <v/>
      </c>
      <c r="E284" s="22" t="str">
        <f>INDEX(Cronograma!D$5:D$11,MATCH($B284,Premissas!$A$39:$A$45,0))</f>
        <v/>
      </c>
      <c r="F284" s="22" t="str">
        <f>INDEX(Cronograma!E$5:E$11,MATCH($B284,Premissas!$A$39:$A$45,0))</f>
        <v/>
      </c>
      <c r="G284" s="22" t="str">
        <f>INDEX(Cronograma!F$5:F$11,MATCH($B284,Premissas!$A$39:$A$45,0))</f>
        <v/>
      </c>
      <c r="H284" s="22" t="str">
        <f>INDEX(Cronograma!G$5:G$11,MATCH($B284,Premissas!$A$39:$A$45,0))</f>
        <v>S</v>
      </c>
      <c r="I284" s="22" t="str">
        <f>INDEX(Cronograma!H$5:H$11,MATCH($B284,Premissas!$A$39:$A$45,0))</f>
        <v/>
      </c>
      <c r="J284" s="22" t="str">
        <f>INDEX(Cronograma!I$5:I$11,MATCH($B284,Premissas!$A$39:$A$45,0))</f>
        <v/>
      </c>
      <c r="K284" s="22" t="str">
        <f>INDEX(Cronograma!J$5:J$11,MATCH($B284,Premissas!$A$39:$A$45,0))</f>
        <v/>
      </c>
      <c r="L284" s="22" t="str">
        <f>INDEX(Cronograma!K$5:K$11,MATCH($B284,Premissas!$A$39:$A$45,0))</f>
        <v/>
      </c>
      <c r="M284" s="22" t="str">
        <f>INDEX(Cronograma!L$5:L$11,MATCH($B284,Premissas!$A$39:$A$45,0))</f>
        <v/>
      </c>
      <c r="N284" s="22" t="str">
        <f>INDEX(Cronograma!M$5:M$11,MATCH($B284,Premissas!$A$39:$A$45,0))</f>
        <v>A</v>
      </c>
      <c r="O284" s="22" t="str">
        <f>INDEX(Cronograma!N$5:N$11,MATCH($B284,Premissas!$A$39:$A$45,0))</f>
        <v/>
      </c>
      <c r="P284" s="22" t="str">
        <f>INDEX(Cronograma!O$5:O$11,MATCH($B284,Premissas!$A$39:$A$45,0))</f>
        <v/>
      </c>
      <c r="Q284" s="22" t="str">
        <f>INDEX(Cronograma!P$5:P$11,MATCH($B284,Premissas!$A$39:$A$45,0))</f>
        <v/>
      </c>
      <c r="R284" s="22" t="str">
        <f>INDEX(Cronograma!Q$5:Q$11,MATCH($B284,Premissas!$A$39:$A$45,0))</f>
        <v/>
      </c>
      <c r="S284" s="22" t="str">
        <f>INDEX(Cronograma!R$5:R$11,MATCH($B284,Premissas!$A$39:$A$45,0))</f>
        <v>S</v>
      </c>
      <c r="T284" s="22" t="str">
        <f>INDEX(Cronograma!S$5:S$11,MATCH($B284,Premissas!$A$39:$A$45,0))</f>
        <v/>
      </c>
      <c r="U284" s="22" t="str">
        <f>INDEX(Cronograma!T$5:T$11,MATCH($B284,Premissas!$A$39:$A$45,0))</f>
        <v/>
      </c>
      <c r="V284" s="22" t="str">
        <f>INDEX(Cronograma!U$5:U$11,MATCH($B284,Premissas!$A$39:$A$45,0))</f>
        <v/>
      </c>
      <c r="W284" s="22" t="str">
        <f>INDEX(Cronograma!V$5:V$11,MATCH($B284,Premissas!$A$39:$A$45,0))</f>
        <v/>
      </c>
      <c r="X284" s="22" t="str">
        <f>INDEX(Cronograma!W$5:W$11,MATCH($B284,Premissas!$A$39:$A$45,0))</f>
        <v/>
      </c>
      <c r="Y284" s="22" t="str">
        <f>INDEX(Cronograma!X$5:X$11,MATCH($B284,Premissas!$A$39:$A$45,0))</f>
        <v>B</v>
      </c>
      <c r="Z284" s="22" t="str">
        <f>INDEX(Cronograma!Y$5:Y$11,MATCH($B284,Premissas!$A$39:$A$45,0))</f>
        <v/>
      </c>
      <c r="AA284" s="22" t="str">
        <f>INDEX(Cronograma!Z$5:Z$11,MATCH($B284,Premissas!$A$39:$A$45,0))</f>
        <v/>
      </c>
      <c r="AB284" s="22" t="str">
        <f>INDEX(Cronograma!AA$5:AA$11,MATCH($B284,Premissas!$A$39:$A$45,0))</f>
        <v/>
      </c>
      <c r="AC284" s="22" t="str">
        <f>INDEX(Cronograma!AB$5:AB$11,MATCH($B284,Premissas!$A$39:$A$45,0))</f>
        <v/>
      </c>
      <c r="AD284" s="22" t="str">
        <f>INDEX(Cronograma!AC$5:AC$11,MATCH($B284,Premissas!$A$39:$A$45,0))</f>
        <v>S</v>
      </c>
      <c r="AE284" s="22" t="str">
        <f>INDEX(Cronograma!AD$5:AD$11,MATCH($B284,Premissas!$A$39:$A$45,0))</f>
        <v/>
      </c>
      <c r="AF284" s="22" t="str">
        <f>INDEX(Cronograma!AE$5:AE$11,MATCH($B284,Premissas!$A$39:$A$45,0))</f>
        <v/>
      </c>
      <c r="AG284" s="22" t="str">
        <f>INDEX(Cronograma!AF$5:AF$11,MATCH($B284,Premissas!$A$39:$A$45,0))</f>
        <v/>
      </c>
      <c r="AH284" s="22" t="str">
        <f>INDEX(Cronograma!AG$5:AG$11,MATCH($B284,Premissas!$A$39:$A$45,0))</f>
        <v/>
      </c>
      <c r="AI284" s="22" t="str">
        <f>INDEX(Cronograma!AH$5:AH$11,MATCH($B284,Premissas!$A$39:$A$45,0))</f>
        <v/>
      </c>
      <c r="AJ284" s="22" t="str">
        <f>INDEX(Cronograma!AI$5:AI$11,MATCH($B284,Premissas!$A$39:$A$45,0))</f>
        <v/>
      </c>
      <c r="AK284" s="22" t="str">
        <f>INDEX(Cronograma!AJ$5:AJ$11,MATCH($B284,Premissas!$A$39:$A$45,0))</f>
        <v/>
      </c>
      <c r="AL284" s="22" t="str">
        <f>INDEX(Cronograma!AK$5:AK$11,MATCH($B284,Premissas!$A$39:$A$45,0))</f>
        <v/>
      </c>
      <c r="AM284" s="22" t="str">
        <f>INDEX(Cronograma!AL$5:AL$11,MATCH($B284,Premissas!$A$39:$A$45,0))</f>
        <v/>
      </c>
      <c r="AN284" s="22" t="str">
        <f>INDEX(Cronograma!AM$5:AM$11,MATCH($B284,Premissas!$A$39:$A$45,0))</f>
        <v/>
      </c>
      <c r="AO284" s="22" t="str">
        <f>INDEX(Cronograma!AN$5:AN$11,MATCH($B284,Premissas!$A$39:$A$45,0))</f>
        <v/>
      </c>
      <c r="AP284" s="22" t="str">
        <f>INDEX(Cronograma!AO$5:AO$11,MATCH($B284,Premissas!$A$39:$A$45,0))</f>
        <v/>
      </c>
      <c r="AQ284" s="22" t="str">
        <f>INDEX(Cronograma!AP$5:AP$11,MATCH($B284,Premissas!$A$39:$A$45,0))</f>
        <v/>
      </c>
      <c r="AR284" s="22" t="str">
        <f>INDEX(Cronograma!AQ$5:AQ$11,MATCH($B284,Premissas!$A$39:$A$45,0))</f>
        <v>A</v>
      </c>
      <c r="AS284" s="22" t="str">
        <f>INDEX(Cronograma!AR$5:AR$11,MATCH($B284,Premissas!$A$39:$A$45,0))</f>
        <v/>
      </c>
      <c r="AT284" s="22" t="str">
        <f>INDEX(Cronograma!AS$5:AS$11,MATCH($B284,Premissas!$A$39:$A$45,0))</f>
        <v/>
      </c>
      <c r="AU284" s="22" t="str">
        <f>INDEX(Cronograma!AT$5:AT$11,MATCH($B284,Premissas!$A$39:$A$45,0))</f>
        <v/>
      </c>
      <c r="AV284" s="22" t="str">
        <f>INDEX(Cronograma!AU$5:AU$11,MATCH($B284,Premissas!$A$39:$A$45,0))</f>
        <v/>
      </c>
      <c r="AW284" s="22" t="str">
        <f>INDEX(Cronograma!AV$5:AV$11,MATCH($B284,Premissas!$A$39:$A$45,0))</f>
        <v/>
      </c>
      <c r="AX284" s="22" t="str">
        <f>INDEX(Cronograma!AW$5:AW$11,MATCH($B284,Premissas!$A$39:$A$45,0))</f>
        <v/>
      </c>
      <c r="AY284" s="22" t="str">
        <f>INDEX(Cronograma!AX$5:AX$11,MATCH($B284,Premissas!$A$39:$A$45,0))</f>
        <v/>
      </c>
      <c r="AZ284" s="22" t="str">
        <f>INDEX(Cronograma!AY$5:AY$11,MATCH($B284,Premissas!$A$39:$A$45,0))</f>
        <v/>
      </c>
      <c r="BA284" s="22" t="str">
        <f>INDEX(Cronograma!AZ$5:AZ$11,MATCH($B284,Premissas!$A$39:$A$45,0))</f>
        <v/>
      </c>
      <c r="BB284" s="22" t="str">
        <f>INDEX(Cronograma!BA$5:BA$11,MATCH($B284,Premissas!$A$39:$A$45,0))</f>
        <v/>
      </c>
    </row>
    <row r="285" spans="1:54" ht="15" customHeight="1" x14ac:dyDescent="0.4">
      <c r="A285" s="15" t="str">
        <f>Frota!$B285&amp;" — "&amp;Frota!$A285</f>
        <v>John Deere- 670 G — 110108</v>
      </c>
      <c r="B285" s="16" t="str">
        <f>Frota!$C285</f>
        <v>Carregadeira/Pesada</v>
      </c>
      <c r="C285" s="22" t="str">
        <f>INDEX(Cronograma!B$5:B$11,MATCH($B285,Premissas!$A$39:$A$45,0))</f>
        <v/>
      </c>
      <c r="D285" s="22" t="str">
        <f>INDEX(Cronograma!C$5:C$11,MATCH($B285,Premissas!$A$39:$A$45,0))</f>
        <v/>
      </c>
      <c r="E285" s="22" t="str">
        <f>INDEX(Cronograma!D$5:D$11,MATCH($B285,Premissas!$A$39:$A$45,0))</f>
        <v/>
      </c>
      <c r="F285" s="22" t="str">
        <f>INDEX(Cronograma!E$5:E$11,MATCH($B285,Premissas!$A$39:$A$45,0))</f>
        <v/>
      </c>
      <c r="G285" s="22" t="str">
        <f>INDEX(Cronograma!F$5:F$11,MATCH($B285,Premissas!$A$39:$A$45,0))</f>
        <v/>
      </c>
      <c r="H285" s="22" t="str">
        <f>INDEX(Cronograma!G$5:G$11,MATCH($B285,Premissas!$A$39:$A$45,0))</f>
        <v>S</v>
      </c>
      <c r="I285" s="22" t="str">
        <f>INDEX(Cronograma!H$5:H$11,MATCH($B285,Premissas!$A$39:$A$45,0))</f>
        <v/>
      </c>
      <c r="J285" s="22" t="str">
        <f>INDEX(Cronograma!I$5:I$11,MATCH($B285,Premissas!$A$39:$A$45,0))</f>
        <v/>
      </c>
      <c r="K285" s="22" t="str">
        <f>INDEX(Cronograma!J$5:J$11,MATCH($B285,Premissas!$A$39:$A$45,0))</f>
        <v/>
      </c>
      <c r="L285" s="22" t="str">
        <f>INDEX(Cronograma!K$5:K$11,MATCH($B285,Premissas!$A$39:$A$45,0))</f>
        <v/>
      </c>
      <c r="M285" s="22" t="str">
        <f>INDEX(Cronograma!L$5:L$11,MATCH($B285,Premissas!$A$39:$A$45,0))</f>
        <v/>
      </c>
      <c r="N285" s="22" t="str">
        <f>INDEX(Cronograma!M$5:M$11,MATCH($B285,Premissas!$A$39:$A$45,0))</f>
        <v>A</v>
      </c>
      <c r="O285" s="22" t="str">
        <f>INDEX(Cronograma!N$5:N$11,MATCH($B285,Premissas!$A$39:$A$45,0))</f>
        <v/>
      </c>
      <c r="P285" s="22" t="str">
        <f>INDEX(Cronograma!O$5:O$11,MATCH($B285,Premissas!$A$39:$A$45,0))</f>
        <v/>
      </c>
      <c r="Q285" s="22" t="str">
        <f>INDEX(Cronograma!P$5:P$11,MATCH($B285,Premissas!$A$39:$A$45,0))</f>
        <v/>
      </c>
      <c r="R285" s="22" t="str">
        <f>INDEX(Cronograma!Q$5:Q$11,MATCH($B285,Premissas!$A$39:$A$45,0))</f>
        <v/>
      </c>
      <c r="S285" s="22" t="str">
        <f>INDEX(Cronograma!R$5:R$11,MATCH($B285,Premissas!$A$39:$A$45,0))</f>
        <v>S</v>
      </c>
      <c r="T285" s="22" t="str">
        <f>INDEX(Cronograma!S$5:S$11,MATCH($B285,Premissas!$A$39:$A$45,0))</f>
        <v/>
      </c>
      <c r="U285" s="22" t="str">
        <f>INDEX(Cronograma!T$5:T$11,MATCH($B285,Premissas!$A$39:$A$45,0))</f>
        <v/>
      </c>
      <c r="V285" s="22" t="str">
        <f>INDEX(Cronograma!U$5:U$11,MATCH($B285,Premissas!$A$39:$A$45,0))</f>
        <v/>
      </c>
      <c r="W285" s="22" t="str">
        <f>INDEX(Cronograma!V$5:V$11,MATCH($B285,Premissas!$A$39:$A$45,0))</f>
        <v/>
      </c>
      <c r="X285" s="22" t="str">
        <f>INDEX(Cronograma!W$5:W$11,MATCH($B285,Premissas!$A$39:$A$45,0))</f>
        <v/>
      </c>
      <c r="Y285" s="22" t="str">
        <f>INDEX(Cronograma!X$5:X$11,MATCH($B285,Premissas!$A$39:$A$45,0))</f>
        <v>B</v>
      </c>
      <c r="Z285" s="22" t="str">
        <f>INDEX(Cronograma!Y$5:Y$11,MATCH($B285,Premissas!$A$39:$A$45,0))</f>
        <v/>
      </c>
      <c r="AA285" s="22" t="str">
        <f>INDEX(Cronograma!Z$5:Z$11,MATCH($B285,Premissas!$A$39:$A$45,0))</f>
        <v/>
      </c>
      <c r="AB285" s="22" t="str">
        <f>INDEX(Cronograma!AA$5:AA$11,MATCH($B285,Premissas!$A$39:$A$45,0))</f>
        <v/>
      </c>
      <c r="AC285" s="22" t="str">
        <f>INDEX(Cronograma!AB$5:AB$11,MATCH($B285,Premissas!$A$39:$A$45,0))</f>
        <v/>
      </c>
      <c r="AD285" s="22" t="str">
        <f>INDEX(Cronograma!AC$5:AC$11,MATCH($B285,Premissas!$A$39:$A$45,0))</f>
        <v>S</v>
      </c>
      <c r="AE285" s="22" t="str">
        <f>INDEX(Cronograma!AD$5:AD$11,MATCH($B285,Premissas!$A$39:$A$45,0))</f>
        <v/>
      </c>
      <c r="AF285" s="22" t="str">
        <f>INDEX(Cronograma!AE$5:AE$11,MATCH($B285,Premissas!$A$39:$A$45,0))</f>
        <v/>
      </c>
      <c r="AG285" s="22" t="str">
        <f>INDEX(Cronograma!AF$5:AF$11,MATCH($B285,Premissas!$A$39:$A$45,0))</f>
        <v/>
      </c>
      <c r="AH285" s="22" t="str">
        <f>INDEX(Cronograma!AG$5:AG$11,MATCH($B285,Premissas!$A$39:$A$45,0))</f>
        <v/>
      </c>
      <c r="AI285" s="22" t="str">
        <f>INDEX(Cronograma!AH$5:AH$11,MATCH($B285,Premissas!$A$39:$A$45,0))</f>
        <v/>
      </c>
      <c r="AJ285" s="22" t="str">
        <f>INDEX(Cronograma!AI$5:AI$11,MATCH($B285,Premissas!$A$39:$A$45,0))</f>
        <v/>
      </c>
      <c r="AK285" s="22" t="str">
        <f>INDEX(Cronograma!AJ$5:AJ$11,MATCH($B285,Premissas!$A$39:$A$45,0))</f>
        <v/>
      </c>
      <c r="AL285" s="22" t="str">
        <f>INDEX(Cronograma!AK$5:AK$11,MATCH($B285,Premissas!$A$39:$A$45,0))</f>
        <v/>
      </c>
      <c r="AM285" s="22" t="str">
        <f>INDEX(Cronograma!AL$5:AL$11,MATCH($B285,Premissas!$A$39:$A$45,0))</f>
        <v/>
      </c>
      <c r="AN285" s="22" t="str">
        <f>INDEX(Cronograma!AM$5:AM$11,MATCH($B285,Premissas!$A$39:$A$45,0))</f>
        <v/>
      </c>
      <c r="AO285" s="22" t="str">
        <f>INDEX(Cronograma!AN$5:AN$11,MATCH($B285,Premissas!$A$39:$A$45,0))</f>
        <v/>
      </c>
      <c r="AP285" s="22" t="str">
        <f>INDEX(Cronograma!AO$5:AO$11,MATCH($B285,Premissas!$A$39:$A$45,0))</f>
        <v/>
      </c>
      <c r="AQ285" s="22" t="str">
        <f>INDEX(Cronograma!AP$5:AP$11,MATCH($B285,Premissas!$A$39:$A$45,0))</f>
        <v/>
      </c>
      <c r="AR285" s="22" t="str">
        <f>INDEX(Cronograma!AQ$5:AQ$11,MATCH($B285,Premissas!$A$39:$A$45,0))</f>
        <v>A</v>
      </c>
      <c r="AS285" s="22" t="str">
        <f>INDEX(Cronograma!AR$5:AR$11,MATCH($B285,Premissas!$A$39:$A$45,0))</f>
        <v/>
      </c>
      <c r="AT285" s="22" t="str">
        <f>INDEX(Cronograma!AS$5:AS$11,MATCH($B285,Premissas!$A$39:$A$45,0))</f>
        <v/>
      </c>
      <c r="AU285" s="22" t="str">
        <f>INDEX(Cronograma!AT$5:AT$11,MATCH($B285,Premissas!$A$39:$A$45,0))</f>
        <v/>
      </c>
      <c r="AV285" s="22" t="str">
        <f>INDEX(Cronograma!AU$5:AU$11,MATCH($B285,Premissas!$A$39:$A$45,0))</f>
        <v/>
      </c>
      <c r="AW285" s="22" t="str">
        <f>INDEX(Cronograma!AV$5:AV$11,MATCH($B285,Premissas!$A$39:$A$45,0))</f>
        <v/>
      </c>
      <c r="AX285" s="22" t="str">
        <f>INDEX(Cronograma!AW$5:AW$11,MATCH($B285,Premissas!$A$39:$A$45,0))</f>
        <v/>
      </c>
      <c r="AY285" s="22" t="str">
        <f>INDEX(Cronograma!AX$5:AX$11,MATCH($B285,Premissas!$A$39:$A$45,0))</f>
        <v/>
      </c>
      <c r="AZ285" s="22" t="str">
        <f>INDEX(Cronograma!AY$5:AY$11,MATCH($B285,Premissas!$A$39:$A$45,0))</f>
        <v/>
      </c>
      <c r="BA285" s="22" t="str">
        <f>INDEX(Cronograma!AZ$5:AZ$11,MATCH($B285,Premissas!$A$39:$A$45,0))</f>
        <v/>
      </c>
      <c r="BB285" s="22" t="str">
        <f>INDEX(Cronograma!BA$5:BA$11,MATCH($B285,Premissas!$A$39:$A$45,0))</f>
        <v/>
      </c>
    </row>
    <row r="286" spans="1:54" ht="15" customHeight="1" x14ac:dyDescent="0.4">
      <c r="A286" s="15" t="str">
        <f>Frota!$B286&amp;" — "&amp;Frota!$A286</f>
        <v>John Deere- 670 G — 110109</v>
      </c>
      <c r="B286" s="16" t="str">
        <f>Frota!$C286</f>
        <v>Carregadeira/Pesada</v>
      </c>
      <c r="C286" s="22" t="str">
        <f>INDEX(Cronograma!B$5:B$11,MATCH($B286,Premissas!$A$39:$A$45,0))</f>
        <v/>
      </c>
      <c r="D286" s="22" t="str">
        <f>INDEX(Cronograma!C$5:C$11,MATCH($B286,Premissas!$A$39:$A$45,0))</f>
        <v/>
      </c>
      <c r="E286" s="22" t="str">
        <f>INDEX(Cronograma!D$5:D$11,MATCH($B286,Premissas!$A$39:$A$45,0))</f>
        <v/>
      </c>
      <c r="F286" s="22" t="str">
        <f>INDEX(Cronograma!E$5:E$11,MATCH($B286,Premissas!$A$39:$A$45,0))</f>
        <v/>
      </c>
      <c r="G286" s="22" t="str">
        <f>INDEX(Cronograma!F$5:F$11,MATCH($B286,Premissas!$A$39:$A$45,0))</f>
        <v/>
      </c>
      <c r="H286" s="22" t="str">
        <f>INDEX(Cronograma!G$5:G$11,MATCH($B286,Premissas!$A$39:$A$45,0))</f>
        <v>S</v>
      </c>
      <c r="I286" s="22" t="str">
        <f>INDEX(Cronograma!H$5:H$11,MATCH($B286,Premissas!$A$39:$A$45,0))</f>
        <v/>
      </c>
      <c r="J286" s="22" t="str">
        <f>INDEX(Cronograma!I$5:I$11,MATCH($B286,Premissas!$A$39:$A$45,0))</f>
        <v/>
      </c>
      <c r="K286" s="22" t="str">
        <f>INDEX(Cronograma!J$5:J$11,MATCH($B286,Premissas!$A$39:$A$45,0))</f>
        <v/>
      </c>
      <c r="L286" s="22" t="str">
        <f>INDEX(Cronograma!K$5:K$11,MATCH($B286,Premissas!$A$39:$A$45,0))</f>
        <v/>
      </c>
      <c r="M286" s="22" t="str">
        <f>INDEX(Cronograma!L$5:L$11,MATCH($B286,Premissas!$A$39:$A$45,0))</f>
        <v/>
      </c>
      <c r="N286" s="22" t="str">
        <f>INDEX(Cronograma!M$5:M$11,MATCH($B286,Premissas!$A$39:$A$45,0))</f>
        <v>A</v>
      </c>
      <c r="O286" s="22" t="str">
        <f>INDEX(Cronograma!N$5:N$11,MATCH($B286,Premissas!$A$39:$A$45,0))</f>
        <v/>
      </c>
      <c r="P286" s="22" t="str">
        <f>INDEX(Cronograma!O$5:O$11,MATCH($B286,Premissas!$A$39:$A$45,0))</f>
        <v/>
      </c>
      <c r="Q286" s="22" t="str">
        <f>INDEX(Cronograma!P$5:P$11,MATCH($B286,Premissas!$A$39:$A$45,0))</f>
        <v/>
      </c>
      <c r="R286" s="22" t="str">
        <f>INDEX(Cronograma!Q$5:Q$11,MATCH($B286,Premissas!$A$39:$A$45,0))</f>
        <v/>
      </c>
      <c r="S286" s="22" t="str">
        <f>INDEX(Cronograma!R$5:R$11,MATCH($B286,Premissas!$A$39:$A$45,0))</f>
        <v>S</v>
      </c>
      <c r="T286" s="22" t="str">
        <f>INDEX(Cronograma!S$5:S$11,MATCH($B286,Premissas!$A$39:$A$45,0))</f>
        <v/>
      </c>
      <c r="U286" s="22" t="str">
        <f>INDEX(Cronograma!T$5:T$11,MATCH($B286,Premissas!$A$39:$A$45,0))</f>
        <v/>
      </c>
      <c r="V286" s="22" t="str">
        <f>INDEX(Cronograma!U$5:U$11,MATCH($B286,Premissas!$A$39:$A$45,0))</f>
        <v/>
      </c>
      <c r="W286" s="22" t="str">
        <f>INDEX(Cronograma!V$5:V$11,MATCH($B286,Premissas!$A$39:$A$45,0))</f>
        <v/>
      </c>
      <c r="X286" s="22" t="str">
        <f>INDEX(Cronograma!W$5:W$11,MATCH($B286,Premissas!$A$39:$A$45,0))</f>
        <v/>
      </c>
      <c r="Y286" s="22" t="str">
        <f>INDEX(Cronograma!X$5:X$11,MATCH($B286,Premissas!$A$39:$A$45,0))</f>
        <v>B</v>
      </c>
      <c r="Z286" s="22" t="str">
        <f>INDEX(Cronograma!Y$5:Y$11,MATCH($B286,Premissas!$A$39:$A$45,0))</f>
        <v/>
      </c>
      <c r="AA286" s="22" t="str">
        <f>INDEX(Cronograma!Z$5:Z$11,MATCH($B286,Premissas!$A$39:$A$45,0))</f>
        <v/>
      </c>
      <c r="AB286" s="22" t="str">
        <f>INDEX(Cronograma!AA$5:AA$11,MATCH($B286,Premissas!$A$39:$A$45,0))</f>
        <v/>
      </c>
      <c r="AC286" s="22" t="str">
        <f>INDEX(Cronograma!AB$5:AB$11,MATCH($B286,Premissas!$A$39:$A$45,0))</f>
        <v/>
      </c>
      <c r="AD286" s="22" t="str">
        <f>INDEX(Cronograma!AC$5:AC$11,MATCH($B286,Premissas!$A$39:$A$45,0))</f>
        <v>S</v>
      </c>
      <c r="AE286" s="22" t="str">
        <f>INDEX(Cronograma!AD$5:AD$11,MATCH($B286,Premissas!$A$39:$A$45,0))</f>
        <v/>
      </c>
      <c r="AF286" s="22" t="str">
        <f>INDEX(Cronograma!AE$5:AE$11,MATCH($B286,Premissas!$A$39:$A$45,0))</f>
        <v/>
      </c>
      <c r="AG286" s="22" t="str">
        <f>INDEX(Cronograma!AF$5:AF$11,MATCH($B286,Premissas!$A$39:$A$45,0))</f>
        <v/>
      </c>
      <c r="AH286" s="22" t="str">
        <f>INDEX(Cronograma!AG$5:AG$11,MATCH($B286,Premissas!$A$39:$A$45,0))</f>
        <v/>
      </c>
      <c r="AI286" s="22" t="str">
        <f>INDEX(Cronograma!AH$5:AH$11,MATCH($B286,Premissas!$A$39:$A$45,0))</f>
        <v/>
      </c>
      <c r="AJ286" s="22" t="str">
        <f>INDEX(Cronograma!AI$5:AI$11,MATCH($B286,Premissas!$A$39:$A$45,0))</f>
        <v/>
      </c>
      <c r="AK286" s="22" t="str">
        <f>INDEX(Cronograma!AJ$5:AJ$11,MATCH($B286,Premissas!$A$39:$A$45,0))</f>
        <v/>
      </c>
      <c r="AL286" s="22" t="str">
        <f>INDEX(Cronograma!AK$5:AK$11,MATCH($B286,Premissas!$A$39:$A$45,0))</f>
        <v/>
      </c>
      <c r="AM286" s="22" t="str">
        <f>INDEX(Cronograma!AL$5:AL$11,MATCH($B286,Premissas!$A$39:$A$45,0))</f>
        <v/>
      </c>
      <c r="AN286" s="22" t="str">
        <f>INDEX(Cronograma!AM$5:AM$11,MATCH($B286,Premissas!$A$39:$A$45,0))</f>
        <v/>
      </c>
      <c r="AO286" s="22" t="str">
        <f>INDEX(Cronograma!AN$5:AN$11,MATCH($B286,Premissas!$A$39:$A$45,0))</f>
        <v/>
      </c>
      <c r="AP286" s="22" t="str">
        <f>INDEX(Cronograma!AO$5:AO$11,MATCH($B286,Premissas!$A$39:$A$45,0))</f>
        <v/>
      </c>
      <c r="AQ286" s="22" t="str">
        <f>INDEX(Cronograma!AP$5:AP$11,MATCH($B286,Premissas!$A$39:$A$45,0))</f>
        <v/>
      </c>
      <c r="AR286" s="22" t="str">
        <f>INDEX(Cronograma!AQ$5:AQ$11,MATCH($B286,Premissas!$A$39:$A$45,0))</f>
        <v>A</v>
      </c>
      <c r="AS286" s="22" t="str">
        <f>INDEX(Cronograma!AR$5:AR$11,MATCH($B286,Premissas!$A$39:$A$45,0))</f>
        <v/>
      </c>
      <c r="AT286" s="22" t="str">
        <f>INDEX(Cronograma!AS$5:AS$11,MATCH($B286,Premissas!$A$39:$A$45,0))</f>
        <v/>
      </c>
      <c r="AU286" s="22" t="str">
        <f>INDEX(Cronograma!AT$5:AT$11,MATCH($B286,Premissas!$A$39:$A$45,0))</f>
        <v/>
      </c>
      <c r="AV286" s="22" t="str">
        <f>INDEX(Cronograma!AU$5:AU$11,MATCH($B286,Premissas!$A$39:$A$45,0))</f>
        <v/>
      </c>
      <c r="AW286" s="22" t="str">
        <f>INDEX(Cronograma!AV$5:AV$11,MATCH($B286,Premissas!$A$39:$A$45,0))</f>
        <v/>
      </c>
      <c r="AX286" s="22" t="str">
        <f>INDEX(Cronograma!AW$5:AW$11,MATCH($B286,Premissas!$A$39:$A$45,0))</f>
        <v/>
      </c>
      <c r="AY286" s="22" t="str">
        <f>INDEX(Cronograma!AX$5:AX$11,MATCH($B286,Premissas!$A$39:$A$45,0))</f>
        <v/>
      </c>
      <c r="AZ286" s="22" t="str">
        <f>INDEX(Cronograma!AY$5:AY$11,MATCH($B286,Premissas!$A$39:$A$45,0))</f>
        <v/>
      </c>
      <c r="BA286" s="22" t="str">
        <f>INDEX(Cronograma!AZ$5:AZ$11,MATCH($B286,Premissas!$A$39:$A$45,0))</f>
        <v/>
      </c>
      <c r="BB286" s="22" t="str">
        <f>INDEX(Cronograma!BA$5:BA$11,MATCH($B286,Premissas!$A$39:$A$45,0))</f>
        <v/>
      </c>
    </row>
    <row r="287" spans="1:54" ht="15" customHeight="1" x14ac:dyDescent="0.4">
      <c r="A287" s="15" t="str">
        <f>Frota!$B287&amp;" — "&amp;Frota!$A287</f>
        <v>John Deere- 620 G — 110110</v>
      </c>
      <c r="B287" s="16" t="str">
        <f>Frota!$C287</f>
        <v>Carregadeira/Pesada</v>
      </c>
      <c r="C287" s="22" t="str">
        <f>INDEX(Cronograma!B$5:B$11,MATCH($B287,Premissas!$A$39:$A$45,0))</f>
        <v/>
      </c>
      <c r="D287" s="22" t="str">
        <f>INDEX(Cronograma!C$5:C$11,MATCH($B287,Premissas!$A$39:$A$45,0))</f>
        <v/>
      </c>
      <c r="E287" s="22" t="str">
        <f>INDEX(Cronograma!D$5:D$11,MATCH($B287,Premissas!$A$39:$A$45,0))</f>
        <v/>
      </c>
      <c r="F287" s="22" t="str">
        <f>INDEX(Cronograma!E$5:E$11,MATCH($B287,Premissas!$A$39:$A$45,0))</f>
        <v/>
      </c>
      <c r="G287" s="22" t="str">
        <f>INDEX(Cronograma!F$5:F$11,MATCH($B287,Premissas!$A$39:$A$45,0))</f>
        <v/>
      </c>
      <c r="H287" s="22" t="str">
        <f>INDEX(Cronograma!G$5:G$11,MATCH($B287,Premissas!$A$39:$A$45,0))</f>
        <v>S</v>
      </c>
      <c r="I287" s="22" t="str">
        <f>INDEX(Cronograma!H$5:H$11,MATCH($B287,Premissas!$A$39:$A$45,0))</f>
        <v/>
      </c>
      <c r="J287" s="22" t="str">
        <f>INDEX(Cronograma!I$5:I$11,MATCH($B287,Premissas!$A$39:$A$45,0))</f>
        <v/>
      </c>
      <c r="K287" s="22" t="str">
        <f>INDEX(Cronograma!J$5:J$11,MATCH($B287,Premissas!$A$39:$A$45,0))</f>
        <v/>
      </c>
      <c r="L287" s="22" t="str">
        <f>INDEX(Cronograma!K$5:K$11,MATCH($B287,Premissas!$A$39:$A$45,0))</f>
        <v/>
      </c>
      <c r="M287" s="22" t="str">
        <f>INDEX(Cronograma!L$5:L$11,MATCH($B287,Premissas!$A$39:$A$45,0))</f>
        <v/>
      </c>
      <c r="N287" s="22" t="str">
        <f>INDEX(Cronograma!M$5:M$11,MATCH($B287,Premissas!$A$39:$A$45,0))</f>
        <v>A</v>
      </c>
      <c r="O287" s="22" t="str">
        <f>INDEX(Cronograma!N$5:N$11,MATCH($B287,Premissas!$A$39:$A$45,0))</f>
        <v/>
      </c>
      <c r="P287" s="22" t="str">
        <f>INDEX(Cronograma!O$5:O$11,MATCH($B287,Premissas!$A$39:$A$45,0))</f>
        <v/>
      </c>
      <c r="Q287" s="22" t="str">
        <f>INDEX(Cronograma!P$5:P$11,MATCH($B287,Premissas!$A$39:$A$45,0))</f>
        <v/>
      </c>
      <c r="R287" s="22" t="str">
        <f>INDEX(Cronograma!Q$5:Q$11,MATCH($B287,Premissas!$A$39:$A$45,0))</f>
        <v/>
      </c>
      <c r="S287" s="22" t="str">
        <f>INDEX(Cronograma!R$5:R$11,MATCH($B287,Premissas!$A$39:$A$45,0))</f>
        <v>S</v>
      </c>
      <c r="T287" s="22" t="str">
        <f>INDEX(Cronograma!S$5:S$11,MATCH($B287,Premissas!$A$39:$A$45,0))</f>
        <v/>
      </c>
      <c r="U287" s="22" t="str">
        <f>INDEX(Cronograma!T$5:T$11,MATCH($B287,Premissas!$A$39:$A$45,0))</f>
        <v/>
      </c>
      <c r="V287" s="22" t="str">
        <f>INDEX(Cronograma!U$5:U$11,MATCH($B287,Premissas!$A$39:$A$45,0))</f>
        <v/>
      </c>
      <c r="W287" s="22" t="str">
        <f>INDEX(Cronograma!V$5:V$11,MATCH($B287,Premissas!$A$39:$A$45,0))</f>
        <v/>
      </c>
      <c r="X287" s="22" t="str">
        <f>INDEX(Cronograma!W$5:W$11,MATCH($B287,Premissas!$A$39:$A$45,0))</f>
        <v/>
      </c>
      <c r="Y287" s="22" t="str">
        <f>INDEX(Cronograma!X$5:X$11,MATCH($B287,Premissas!$A$39:$A$45,0))</f>
        <v>B</v>
      </c>
      <c r="Z287" s="22" t="str">
        <f>INDEX(Cronograma!Y$5:Y$11,MATCH($B287,Premissas!$A$39:$A$45,0))</f>
        <v/>
      </c>
      <c r="AA287" s="22" t="str">
        <f>INDEX(Cronograma!Z$5:Z$11,MATCH($B287,Premissas!$A$39:$A$45,0))</f>
        <v/>
      </c>
      <c r="AB287" s="22" t="str">
        <f>INDEX(Cronograma!AA$5:AA$11,MATCH($B287,Premissas!$A$39:$A$45,0))</f>
        <v/>
      </c>
      <c r="AC287" s="22" t="str">
        <f>INDEX(Cronograma!AB$5:AB$11,MATCH($B287,Premissas!$A$39:$A$45,0))</f>
        <v/>
      </c>
      <c r="AD287" s="22" t="str">
        <f>INDEX(Cronograma!AC$5:AC$11,MATCH($B287,Premissas!$A$39:$A$45,0))</f>
        <v>S</v>
      </c>
      <c r="AE287" s="22" t="str">
        <f>INDEX(Cronograma!AD$5:AD$11,MATCH($B287,Premissas!$A$39:$A$45,0))</f>
        <v/>
      </c>
      <c r="AF287" s="22" t="str">
        <f>INDEX(Cronograma!AE$5:AE$11,MATCH($B287,Premissas!$A$39:$A$45,0))</f>
        <v/>
      </c>
      <c r="AG287" s="22" t="str">
        <f>INDEX(Cronograma!AF$5:AF$11,MATCH($B287,Premissas!$A$39:$A$45,0))</f>
        <v/>
      </c>
      <c r="AH287" s="22" t="str">
        <f>INDEX(Cronograma!AG$5:AG$11,MATCH($B287,Premissas!$A$39:$A$45,0))</f>
        <v/>
      </c>
      <c r="AI287" s="22" t="str">
        <f>INDEX(Cronograma!AH$5:AH$11,MATCH($B287,Premissas!$A$39:$A$45,0))</f>
        <v/>
      </c>
      <c r="AJ287" s="22" t="str">
        <f>INDEX(Cronograma!AI$5:AI$11,MATCH($B287,Premissas!$A$39:$A$45,0))</f>
        <v/>
      </c>
      <c r="AK287" s="22" t="str">
        <f>INDEX(Cronograma!AJ$5:AJ$11,MATCH($B287,Premissas!$A$39:$A$45,0))</f>
        <v/>
      </c>
      <c r="AL287" s="22" t="str">
        <f>INDEX(Cronograma!AK$5:AK$11,MATCH($B287,Premissas!$A$39:$A$45,0))</f>
        <v/>
      </c>
      <c r="AM287" s="22" t="str">
        <f>INDEX(Cronograma!AL$5:AL$11,MATCH($B287,Premissas!$A$39:$A$45,0))</f>
        <v/>
      </c>
      <c r="AN287" s="22" t="str">
        <f>INDEX(Cronograma!AM$5:AM$11,MATCH($B287,Premissas!$A$39:$A$45,0))</f>
        <v/>
      </c>
      <c r="AO287" s="22" t="str">
        <f>INDEX(Cronograma!AN$5:AN$11,MATCH($B287,Premissas!$A$39:$A$45,0))</f>
        <v/>
      </c>
      <c r="AP287" s="22" t="str">
        <f>INDEX(Cronograma!AO$5:AO$11,MATCH($B287,Premissas!$A$39:$A$45,0))</f>
        <v/>
      </c>
      <c r="AQ287" s="22" t="str">
        <f>INDEX(Cronograma!AP$5:AP$11,MATCH($B287,Premissas!$A$39:$A$45,0))</f>
        <v/>
      </c>
      <c r="AR287" s="22" t="str">
        <f>INDEX(Cronograma!AQ$5:AQ$11,MATCH($B287,Premissas!$A$39:$A$45,0))</f>
        <v>A</v>
      </c>
      <c r="AS287" s="22" t="str">
        <f>INDEX(Cronograma!AR$5:AR$11,MATCH($B287,Premissas!$A$39:$A$45,0))</f>
        <v/>
      </c>
      <c r="AT287" s="22" t="str">
        <f>INDEX(Cronograma!AS$5:AS$11,MATCH($B287,Premissas!$A$39:$A$45,0))</f>
        <v/>
      </c>
      <c r="AU287" s="22" t="str">
        <f>INDEX(Cronograma!AT$5:AT$11,MATCH($B287,Premissas!$A$39:$A$45,0))</f>
        <v/>
      </c>
      <c r="AV287" s="22" t="str">
        <f>INDEX(Cronograma!AU$5:AU$11,MATCH($B287,Premissas!$A$39:$A$45,0))</f>
        <v/>
      </c>
      <c r="AW287" s="22" t="str">
        <f>INDEX(Cronograma!AV$5:AV$11,MATCH($B287,Premissas!$A$39:$A$45,0))</f>
        <v/>
      </c>
      <c r="AX287" s="22" t="str">
        <f>INDEX(Cronograma!AW$5:AW$11,MATCH($B287,Premissas!$A$39:$A$45,0))</f>
        <v/>
      </c>
      <c r="AY287" s="22" t="str">
        <f>INDEX(Cronograma!AX$5:AX$11,MATCH($B287,Premissas!$A$39:$A$45,0))</f>
        <v/>
      </c>
      <c r="AZ287" s="22" t="str">
        <f>INDEX(Cronograma!AY$5:AY$11,MATCH($B287,Premissas!$A$39:$A$45,0))</f>
        <v/>
      </c>
      <c r="BA287" s="22" t="str">
        <f>INDEX(Cronograma!AZ$5:AZ$11,MATCH($B287,Premissas!$A$39:$A$45,0))</f>
        <v/>
      </c>
      <c r="BB287" s="22" t="str">
        <f>INDEX(Cronograma!BA$5:BA$11,MATCH($B287,Premissas!$A$39:$A$45,0))</f>
        <v/>
      </c>
    </row>
    <row r="288" spans="1:54" ht="15" customHeight="1" x14ac:dyDescent="0.4">
      <c r="A288" s="15" t="str">
        <f>Frota!$B288&amp;" — "&amp;Frota!$A288</f>
        <v>Jonh  Deere750 J II — 111108</v>
      </c>
      <c r="B288" s="16" t="str">
        <f>Frota!$C288</f>
        <v>Carregadeira/Pesada</v>
      </c>
      <c r="C288" s="22" t="str">
        <f>INDEX(Cronograma!B$5:B$11,MATCH($B288,Premissas!$A$39:$A$45,0))</f>
        <v/>
      </c>
      <c r="D288" s="22" t="str">
        <f>INDEX(Cronograma!C$5:C$11,MATCH($B288,Premissas!$A$39:$A$45,0))</f>
        <v/>
      </c>
      <c r="E288" s="22" t="str">
        <f>INDEX(Cronograma!D$5:D$11,MATCH($B288,Premissas!$A$39:$A$45,0))</f>
        <v/>
      </c>
      <c r="F288" s="22" t="str">
        <f>INDEX(Cronograma!E$5:E$11,MATCH($B288,Premissas!$A$39:$A$45,0))</f>
        <v/>
      </c>
      <c r="G288" s="22" t="str">
        <f>INDEX(Cronograma!F$5:F$11,MATCH($B288,Premissas!$A$39:$A$45,0))</f>
        <v/>
      </c>
      <c r="H288" s="22" t="str">
        <f>INDEX(Cronograma!G$5:G$11,MATCH($B288,Premissas!$A$39:$A$45,0))</f>
        <v>S</v>
      </c>
      <c r="I288" s="22" t="str">
        <f>INDEX(Cronograma!H$5:H$11,MATCH($B288,Premissas!$A$39:$A$45,0))</f>
        <v/>
      </c>
      <c r="J288" s="22" t="str">
        <f>INDEX(Cronograma!I$5:I$11,MATCH($B288,Premissas!$A$39:$A$45,0))</f>
        <v/>
      </c>
      <c r="K288" s="22" t="str">
        <f>INDEX(Cronograma!J$5:J$11,MATCH($B288,Premissas!$A$39:$A$45,0))</f>
        <v/>
      </c>
      <c r="L288" s="22" t="str">
        <f>INDEX(Cronograma!K$5:K$11,MATCH($B288,Premissas!$A$39:$A$45,0))</f>
        <v/>
      </c>
      <c r="M288" s="22" t="str">
        <f>INDEX(Cronograma!L$5:L$11,MATCH($B288,Premissas!$A$39:$A$45,0))</f>
        <v/>
      </c>
      <c r="N288" s="22" t="str">
        <f>INDEX(Cronograma!M$5:M$11,MATCH($B288,Premissas!$A$39:$A$45,0))</f>
        <v>A</v>
      </c>
      <c r="O288" s="22" t="str">
        <f>INDEX(Cronograma!N$5:N$11,MATCH($B288,Premissas!$A$39:$A$45,0))</f>
        <v/>
      </c>
      <c r="P288" s="22" t="str">
        <f>INDEX(Cronograma!O$5:O$11,MATCH($B288,Premissas!$A$39:$A$45,0))</f>
        <v/>
      </c>
      <c r="Q288" s="22" t="str">
        <f>INDEX(Cronograma!P$5:P$11,MATCH($B288,Premissas!$A$39:$A$45,0))</f>
        <v/>
      </c>
      <c r="R288" s="22" t="str">
        <f>INDEX(Cronograma!Q$5:Q$11,MATCH($B288,Premissas!$A$39:$A$45,0))</f>
        <v/>
      </c>
      <c r="S288" s="22" t="str">
        <f>INDEX(Cronograma!R$5:R$11,MATCH($B288,Premissas!$A$39:$A$45,0))</f>
        <v>S</v>
      </c>
      <c r="T288" s="22" t="str">
        <f>INDEX(Cronograma!S$5:S$11,MATCH($B288,Premissas!$A$39:$A$45,0))</f>
        <v/>
      </c>
      <c r="U288" s="22" t="str">
        <f>INDEX(Cronograma!T$5:T$11,MATCH($B288,Premissas!$A$39:$A$45,0))</f>
        <v/>
      </c>
      <c r="V288" s="22" t="str">
        <f>INDEX(Cronograma!U$5:U$11,MATCH($B288,Premissas!$A$39:$A$45,0))</f>
        <v/>
      </c>
      <c r="W288" s="22" t="str">
        <f>INDEX(Cronograma!V$5:V$11,MATCH($B288,Premissas!$A$39:$A$45,0))</f>
        <v/>
      </c>
      <c r="X288" s="22" t="str">
        <f>INDEX(Cronograma!W$5:W$11,MATCH($B288,Premissas!$A$39:$A$45,0))</f>
        <v/>
      </c>
      <c r="Y288" s="22" t="str">
        <f>INDEX(Cronograma!X$5:X$11,MATCH($B288,Premissas!$A$39:$A$45,0))</f>
        <v>B</v>
      </c>
      <c r="Z288" s="22" t="str">
        <f>INDEX(Cronograma!Y$5:Y$11,MATCH($B288,Premissas!$A$39:$A$45,0))</f>
        <v/>
      </c>
      <c r="AA288" s="22" t="str">
        <f>INDEX(Cronograma!Z$5:Z$11,MATCH($B288,Premissas!$A$39:$A$45,0))</f>
        <v/>
      </c>
      <c r="AB288" s="22" t="str">
        <f>INDEX(Cronograma!AA$5:AA$11,MATCH($B288,Premissas!$A$39:$A$45,0))</f>
        <v/>
      </c>
      <c r="AC288" s="22" t="str">
        <f>INDEX(Cronograma!AB$5:AB$11,MATCH($B288,Premissas!$A$39:$A$45,0))</f>
        <v/>
      </c>
      <c r="AD288" s="22" t="str">
        <f>INDEX(Cronograma!AC$5:AC$11,MATCH($B288,Premissas!$A$39:$A$45,0))</f>
        <v>S</v>
      </c>
      <c r="AE288" s="22" t="str">
        <f>INDEX(Cronograma!AD$5:AD$11,MATCH($B288,Premissas!$A$39:$A$45,0))</f>
        <v/>
      </c>
      <c r="AF288" s="22" t="str">
        <f>INDEX(Cronograma!AE$5:AE$11,MATCH($B288,Premissas!$A$39:$A$45,0))</f>
        <v/>
      </c>
      <c r="AG288" s="22" t="str">
        <f>INDEX(Cronograma!AF$5:AF$11,MATCH($B288,Premissas!$A$39:$A$45,0))</f>
        <v/>
      </c>
      <c r="AH288" s="22" t="str">
        <f>INDEX(Cronograma!AG$5:AG$11,MATCH($B288,Premissas!$A$39:$A$45,0))</f>
        <v/>
      </c>
      <c r="AI288" s="22" t="str">
        <f>INDEX(Cronograma!AH$5:AH$11,MATCH($B288,Premissas!$A$39:$A$45,0))</f>
        <v/>
      </c>
      <c r="AJ288" s="22" t="str">
        <f>INDEX(Cronograma!AI$5:AI$11,MATCH($B288,Premissas!$A$39:$A$45,0))</f>
        <v/>
      </c>
      <c r="AK288" s="22" t="str">
        <f>INDEX(Cronograma!AJ$5:AJ$11,MATCH($B288,Premissas!$A$39:$A$45,0))</f>
        <v/>
      </c>
      <c r="AL288" s="22" t="str">
        <f>INDEX(Cronograma!AK$5:AK$11,MATCH($B288,Premissas!$A$39:$A$45,0))</f>
        <v/>
      </c>
      <c r="AM288" s="22" t="str">
        <f>INDEX(Cronograma!AL$5:AL$11,MATCH($B288,Premissas!$A$39:$A$45,0))</f>
        <v/>
      </c>
      <c r="AN288" s="22" t="str">
        <f>INDEX(Cronograma!AM$5:AM$11,MATCH($B288,Premissas!$A$39:$A$45,0))</f>
        <v/>
      </c>
      <c r="AO288" s="22" t="str">
        <f>INDEX(Cronograma!AN$5:AN$11,MATCH($B288,Premissas!$A$39:$A$45,0))</f>
        <v/>
      </c>
      <c r="AP288" s="22" t="str">
        <f>INDEX(Cronograma!AO$5:AO$11,MATCH($B288,Premissas!$A$39:$A$45,0))</f>
        <v/>
      </c>
      <c r="AQ288" s="22" t="str">
        <f>INDEX(Cronograma!AP$5:AP$11,MATCH($B288,Premissas!$A$39:$A$45,0))</f>
        <v/>
      </c>
      <c r="AR288" s="22" t="str">
        <f>INDEX(Cronograma!AQ$5:AQ$11,MATCH($B288,Premissas!$A$39:$A$45,0))</f>
        <v>A</v>
      </c>
      <c r="AS288" s="22" t="str">
        <f>INDEX(Cronograma!AR$5:AR$11,MATCH($B288,Premissas!$A$39:$A$45,0))</f>
        <v/>
      </c>
      <c r="AT288" s="22" t="str">
        <f>INDEX(Cronograma!AS$5:AS$11,MATCH($B288,Premissas!$A$39:$A$45,0))</f>
        <v/>
      </c>
      <c r="AU288" s="22" t="str">
        <f>INDEX(Cronograma!AT$5:AT$11,MATCH($B288,Premissas!$A$39:$A$45,0))</f>
        <v/>
      </c>
      <c r="AV288" s="22" t="str">
        <f>INDEX(Cronograma!AU$5:AU$11,MATCH($B288,Premissas!$A$39:$A$45,0))</f>
        <v/>
      </c>
      <c r="AW288" s="22" t="str">
        <f>INDEX(Cronograma!AV$5:AV$11,MATCH($B288,Premissas!$A$39:$A$45,0))</f>
        <v/>
      </c>
      <c r="AX288" s="22" t="str">
        <f>INDEX(Cronograma!AW$5:AW$11,MATCH($B288,Premissas!$A$39:$A$45,0))</f>
        <v/>
      </c>
      <c r="AY288" s="22" t="str">
        <f>INDEX(Cronograma!AX$5:AX$11,MATCH($B288,Premissas!$A$39:$A$45,0))</f>
        <v/>
      </c>
      <c r="AZ288" s="22" t="str">
        <f>INDEX(Cronograma!AY$5:AY$11,MATCH($B288,Premissas!$A$39:$A$45,0))</f>
        <v/>
      </c>
      <c r="BA288" s="22" t="str">
        <f>INDEX(Cronograma!AZ$5:AZ$11,MATCH($B288,Premissas!$A$39:$A$45,0))</f>
        <v/>
      </c>
      <c r="BB288" s="22" t="str">
        <f>INDEX(Cronograma!BA$5:BA$11,MATCH($B288,Premissas!$A$39:$A$45,0))</f>
        <v/>
      </c>
    </row>
    <row r="289" spans="1:54" ht="15" customHeight="1" x14ac:dyDescent="0.4">
      <c r="A289" s="15" t="str">
        <f>Frota!$B289&amp;" — "&amp;Frota!$A289</f>
        <v>Jonh  Deere750 J II — 111109</v>
      </c>
      <c r="B289" s="16" t="str">
        <f>Frota!$C289</f>
        <v>Carregadeira/Pesada</v>
      </c>
      <c r="C289" s="22" t="str">
        <f>INDEX(Cronograma!B$5:B$11,MATCH($B289,Premissas!$A$39:$A$45,0))</f>
        <v/>
      </c>
      <c r="D289" s="22" t="str">
        <f>INDEX(Cronograma!C$5:C$11,MATCH($B289,Premissas!$A$39:$A$45,0))</f>
        <v/>
      </c>
      <c r="E289" s="22" t="str">
        <f>INDEX(Cronograma!D$5:D$11,MATCH($B289,Premissas!$A$39:$A$45,0))</f>
        <v/>
      </c>
      <c r="F289" s="22" t="str">
        <f>INDEX(Cronograma!E$5:E$11,MATCH($B289,Premissas!$A$39:$A$45,0))</f>
        <v/>
      </c>
      <c r="G289" s="22" t="str">
        <f>INDEX(Cronograma!F$5:F$11,MATCH($B289,Premissas!$A$39:$A$45,0))</f>
        <v/>
      </c>
      <c r="H289" s="22" t="str">
        <f>INDEX(Cronograma!G$5:G$11,MATCH($B289,Premissas!$A$39:$A$45,0))</f>
        <v>S</v>
      </c>
      <c r="I289" s="22" t="str">
        <f>INDEX(Cronograma!H$5:H$11,MATCH($B289,Premissas!$A$39:$A$45,0))</f>
        <v/>
      </c>
      <c r="J289" s="22" t="str">
        <f>INDEX(Cronograma!I$5:I$11,MATCH($B289,Premissas!$A$39:$A$45,0))</f>
        <v/>
      </c>
      <c r="K289" s="22" t="str">
        <f>INDEX(Cronograma!J$5:J$11,MATCH($B289,Premissas!$A$39:$A$45,0))</f>
        <v/>
      </c>
      <c r="L289" s="22" t="str">
        <f>INDEX(Cronograma!K$5:K$11,MATCH($B289,Premissas!$A$39:$A$45,0))</f>
        <v/>
      </c>
      <c r="M289" s="22" t="str">
        <f>INDEX(Cronograma!L$5:L$11,MATCH($B289,Premissas!$A$39:$A$45,0))</f>
        <v/>
      </c>
      <c r="N289" s="22" t="str">
        <f>INDEX(Cronograma!M$5:M$11,MATCH($B289,Premissas!$A$39:$A$45,0))</f>
        <v>A</v>
      </c>
      <c r="O289" s="22" t="str">
        <f>INDEX(Cronograma!N$5:N$11,MATCH($B289,Premissas!$A$39:$A$45,0))</f>
        <v/>
      </c>
      <c r="P289" s="22" t="str">
        <f>INDEX(Cronograma!O$5:O$11,MATCH($B289,Premissas!$A$39:$A$45,0))</f>
        <v/>
      </c>
      <c r="Q289" s="22" t="str">
        <f>INDEX(Cronograma!P$5:P$11,MATCH($B289,Premissas!$A$39:$A$45,0))</f>
        <v/>
      </c>
      <c r="R289" s="22" t="str">
        <f>INDEX(Cronograma!Q$5:Q$11,MATCH($B289,Premissas!$A$39:$A$45,0))</f>
        <v/>
      </c>
      <c r="S289" s="22" t="str">
        <f>INDEX(Cronograma!R$5:R$11,MATCH($B289,Premissas!$A$39:$A$45,0))</f>
        <v>S</v>
      </c>
      <c r="T289" s="22" t="str">
        <f>INDEX(Cronograma!S$5:S$11,MATCH($B289,Premissas!$A$39:$A$45,0))</f>
        <v/>
      </c>
      <c r="U289" s="22" t="str">
        <f>INDEX(Cronograma!T$5:T$11,MATCH($B289,Premissas!$A$39:$A$45,0))</f>
        <v/>
      </c>
      <c r="V289" s="22" t="str">
        <f>INDEX(Cronograma!U$5:U$11,MATCH($B289,Premissas!$A$39:$A$45,0))</f>
        <v/>
      </c>
      <c r="W289" s="22" t="str">
        <f>INDEX(Cronograma!V$5:V$11,MATCH($B289,Premissas!$A$39:$A$45,0))</f>
        <v/>
      </c>
      <c r="X289" s="22" t="str">
        <f>INDEX(Cronograma!W$5:W$11,MATCH($B289,Premissas!$A$39:$A$45,0))</f>
        <v/>
      </c>
      <c r="Y289" s="22" t="str">
        <f>INDEX(Cronograma!X$5:X$11,MATCH($B289,Premissas!$A$39:$A$45,0))</f>
        <v>B</v>
      </c>
      <c r="Z289" s="22" t="str">
        <f>INDEX(Cronograma!Y$5:Y$11,MATCH($B289,Premissas!$A$39:$A$45,0))</f>
        <v/>
      </c>
      <c r="AA289" s="22" t="str">
        <f>INDEX(Cronograma!Z$5:Z$11,MATCH($B289,Premissas!$A$39:$A$45,0))</f>
        <v/>
      </c>
      <c r="AB289" s="22" t="str">
        <f>INDEX(Cronograma!AA$5:AA$11,MATCH($B289,Premissas!$A$39:$A$45,0))</f>
        <v/>
      </c>
      <c r="AC289" s="22" t="str">
        <f>INDEX(Cronograma!AB$5:AB$11,MATCH($B289,Premissas!$A$39:$A$45,0))</f>
        <v/>
      </c>
      <c r="AD289" s="22" t="str">
        <f>INDEX(Cronograma!AC$5:AC$11,MATCH($B289,Premissas!$A$39:$A$45,0))</f>
        <v>S</v>
      </c>
      <c r="AE289" s="22" t="str">
        <f>INDEX(Cronograma!AD$5:AD$11,MATCH($B289,Premissas!$A$39:$A$45,0))</f>
        <v/>
      </c>
      <c r="AF289" s="22" t="str">
        <f>INDEX(Cronograma!AE$5:AE$11,MATCH($B289,Premissas!$A$39:$A$45,0))</f>
        <v/>
      </c>
      <c r="AG289" s="22" t="str">
        <f>INDEX(Cronograma!AF$5:AF$11,MATCH($B289,Premissas!$A$39:$A$45,0))</f>
        <v/>
      </c>
      <c r="AH289" s="22" t="str">
        <f>INDEX(Cronograma!AG$5:AG$11,MATCH($B289,Premissas!$A$39:$A$45,0))</f>
        <v/>
      </c>
      <c r="AI289" s="22" t="str">
        <f>INDEX(Cronograma!AH$5:AH$11,MATCH($B289,Premissas!$A$39:$A$45,0))</f>
        <v/>
      </c>
      <c r="AJ289" s="22" t="str">
        <f>INDEX(Cronograma!AI$5:AI$11,MATCH($B289,Premissas!$A$39:$A$45,0))</f>
        <v/>
      </c>
      <c r="AK289" s="22" t="str">
        <f>INDEX(Cronograma!AJ$5:AJ$11,MATCH($B289,Premissas!$A$39:$A$45,0))</f>
        <v/>
      </c>
      <c r="AL289" s="22" t="str">
        <f>INDEX(Cronograma!AK$5:AK$11,MATCH($B289,Premissas!$A$39:$A$45,0))</f>
        <v/>
      </c>
      <c r="AM289" s="22" t="str">
        <f>INDEX(Cronograma!AL$5:AL$11,MATCH($B289,Premissas!$A$39:$A$45,0))</f>
        <v/>
      </c>
      <c r="AN289" s="22" t="str">
        <f>INDEX(Cronograma!AM$5:AM$11,MATCH($B289,Premissas!$A$39:$A$45,0))</f>
        <v/>
      </c>
      <c r="AO289" s="22" t="str">
        <f>INDEX(Cronograma!AN$5:AN$11,MATCH($B289,Premissas!$A$39:$A$45,0))</f>
        <v/>
      </c>
      <c r="AP289" s="22" t="str">
        <f>INDEX(Cronograma!AO$5:AO$11,MATCH($B289,Premissas!$A$39:$A$45,0))</f>
        <v/>
      </c>
      <c r="AQ289" s="22" t="str">
        <f>INDEX(Cronograma!AP$5:AP$11,MATCH($B289,Premissas!$A$39:$A$45,0))</f>
        <v/>
      </c>
      <c r="AR289" s="22" t="str">
        <f>INDEX(Cronograma!AQ$5:AQ$11,MATCH($B289,Premissas!$A$39:$A$45,0))</f>
        <v>A</v>
      </c>
      <c r="AS289" s="22" t="str">
        <f>INDEX(Cronograma!AR$5:AR$11,MATCH($B289,Premissas!$A$39:$A$45,0))</f>
        <v/>
      </c>
      <c r="AT289" s="22" t="str">
        <f>INDEX(Cronograma!AS$5:AS$11,MATCH($B289,Premissas!$A$39:$A$45,0))</f>
        <v/>
      </c>
      <c r="AU289" s="22" t="str">
        <f>INDEX(Cronograma!AT$5:AT$11,MATCH($B289,Premissas!$A$39:$A$45,0))</f>
        <v/>
      </c>
      <c r="AV289" s="22" t="str">
        <f>INDEX(Cronograma!AU$5:AU$11,MATCH($B289,Premissas!$A$39:$A$45,0))</f>
        <v/>
      </c>
      <c r="AW289" s="22" t="str">
        <f>INDEX(Cronograma!AV$5:AV$11,MATCH($B289,Premissas!$A$39:$A$45,0))</f>
        <v/>
      </c>
      <c r="AX289" s="22" t="str">
        <f>INDEX(Cronograma!AW$5:AW$11,MATCH($B289,Premissas!$A$39:$A$45,0))</f>
        <v/>
      </c>
      <c r="AY289" s="22" t="str">
        <f>INDEX(Cronograma!AX$5:AX$11,MATCH($B289,Premissas!$A$39:$A$45,0))</f>
        <v/>
      </c>
      <c r="AZ289" s="22" t="str">
        <f>INDEX(Cronograma!AY$5:AY$11,MATCH($B289,Premissas!$A$39:$A$45,0))</f>
        <v/>
      </c>
      <c r="BA289" s="22" t="str">
        <f>INDEX(Cronograma!AZ$5:AZ$11,MATCH($B289,Premissas!$A$39:$A$45,0))</f>
        <v/>
      </c>
      <c r="BB289" s="22" t="str">
        <f>INDEX(Cronograma!BA$5:BA$11,MATCH($B289,Premissas!$A$39:$A$45,0))</f>
        <v/>
      </c>
    </row>
    <row r="290" spans="1:54" ht="15" customHeight="1" x14ac:dyDescent="0.4">
      <c r="A290" s="15" t="str">
        <f>Frota!$B290&amp;" — "&amp;Frota!$A290</f>
        <v>Jonh  Deere750 J II — 111110</v>
      </c>
      <c r="B290" s="16" t="str">
        <f>Frota!$C290</f>
        <v>Carregadeira/Pesada</v>
      </c>
      <c r="C290" s="22" t="str">
        <f>INDEX(Cronograma!B$5:B$11,MATCH($B290,Premissas!$A$39:$A$45,0))</f>
        <v/>
      </c>
      <c r="D290" s="22" t="str">
        <f>INDEX(Cronograma!C$5:C$11,MATCH($B290,Premissas!$A$39:$A$45,0))</f>
        <v/>
      </c>
      <c r="E290" s="22" t="str">
        <f>INDEX(Cronograma!D$5:D$11,MATCH($B290,Premissas!$A$39:$A$45,0))</f>
        <v/>
      </c>
      <c r="F290" s="22" t="str">
        <f>INDEX(Cronograma!E$5:E$11,MATCH($B290,Premissas!$A$39:$A$45,0))</f>
        <v/>
      </c>
      <c r="G290" s="22" t="str">
        <f>INDEX(Cronograma!F$5:F$11,MATCH($B290,Premissas!$A$39:$A$45,0))</f>
        <v/>
      </c>
      <c r="H290" s="22" t="str">
        <f>INDEX(Cronograma!G$5:G$11,MATCH($B290,Premissas!$A$39:$A$45,0))</f>
        <v>S</v>
      </c>
      <c r="I290" s="22" t="str">
        <f>INDEX(Cronograma!H$5:H$11,MATCH($B290,Premissas!$A$39:$A$45,0))</f>
        <v/>
      </c>
      <c r="J290" s="22" t="str">
        <f>INDEX(Cronograma!I$5:I$11,MATCH($B290,Premissas!$A$39:$A$45,0))</f>
        <v/>
      </c>
      <c r="K290" s="22" t="str">
        <f>INDEX(Cronograma!J$5:J$11,MATCH($B290,Premissas!$A$39:$A$45,0))</f>
        <v/>
      </c>
      <c r="L290" s="22" t="str">
        <f>INDEX(Cronograma!K$5:K$11,MATCH($B290,Premissas!$A$39:$A$45,0))</f>
        <v/>
      </c>
      <c r="M290" s="22" t="str">
        <f>INDEX(Cronograma!L$5:L$11,MATCH($B290,Premissas!$A$39:$A$45,0))</f>
        <v/>
      </c>
      <c r="N290" s="22" t="str">
        <f>INDEX(Cronograma!M$5:M$11,MATCH($B290,Premissas!$A$39:$A$45,0))</f>
        <v>A</v>
      </c>
      <c r="O290" s="22" t="str">
        <f>INDEX(Cronograma!N$5:N$11,MATCH($B290,Premissas!$A$39:$A$45,0))</f>
        <v/>
      </c>
      <c r="P290" s="22" t="str">
        <f>INDEX(Cronograma!O$5:O$11,MATCH($B290,Premissas!$A$39:$A$45,0))</f>
        <v/>
      </c>
      <c r="Q290" s="22" t="str">
        <f>INDEX(Cronograma!P$5:P$11,MATCH($B290,Premissas!$A$39:$A$45,0))</f>
        <v/>
      </c>
      <c r="R290" s="22" t="str">
        <f>INDEX(Cronograma!Q$5:Q$11,MATCH($B290,Premissas!$A$39:$A$45,0))</f>
        <v/>
      </c>
      <c r="S290" s="22" t="str">
        <f>INDEX(Cronograma!R$5:R$11,MATCH($B290,Premissas!$A$39:$A$45,0))</f>
        <v>S</v>
      </c>
      <c r="T290" s="22" t="str">
        <f>INDEX(Cronograma!S$5:S$11,MATCH($B290,Premissas!$A$39:$A$45,0))</f>
        <v/>
      </c>
      <c r="U290" s="22" t="str">
        <f>INDEX(Cronograma!T$5:T$11,MATCH($B290,Premissas!$A$39:$A$45,0))</f>
        <v/>
      </c>
      <c r="V290" s="22" t="str">
        <f>INDEX(Cronograma!U$5:U$11,MATCH($B290,Premissas!$A$39:$A$45,0))</f>
        <v/>
      </c>
      <c r="W290" s="22" t="str">
        <f>INDEX(Cronograma!V$5:V$11,MATCH($B290,Premissas!$A$39:$A$45,0))</f>
        <v/>
      </c>
      <c r="X290" s="22" t="str">
        <f>INDEX(Cronograma!W$5:W$11,MATCH($B290,Premissas!$A$39:$A$45,0))</f>
        <v/>
      </c>
      <c r="Y290" s="22" t="str">
        <f>INDEX(Cronograma!X$5:X$11,MATCH($B290,Premissas!$A$39:$A$45,0))</f>
        <v>B</v>
      </c>
      <c r="Z290" s="22" t="str">
        <f>INDEX(Cronograma!Y$5:Y$11,MATCH($B290,Premissas!$A$39:$A$45,0))</f>
        <v/>
      </c>
      <c r="AA290" s="22" t="str">
        <f>INDEX(Cronograma!Z$5:Z$11,MATCH($B290,Premissas!$A$39:$A$45,0))</f>
        <v/>
      </c>
      <c r="AB290" s="22" t="str">
        <f>INDEX(Cronograma!AA$5:AA$11,MATCH($B290,Premissas!$A$39:$A$45,0))</f>
        <v/>
      </c>
      <c r="AC290" s="22" t="str">
        <f>INDEX(Cronograma!AB$5:AB$11,MATCH($B290,Premissas!$A$39:$A$45,0))</f>
        <v/>
      </c>
      <c r="AD290" s="22" t="str">
        <f>INDEX(Cronograma!AC$5:AC$11,MATCH($B290,Premissas!$A$39:$A$45,0))</f>
        <v>S</v>
      </c>
      <c r="AE290" s="22" t="str">
        <f>INDEX(Cronograma!AD$5:AD$11,MATCH($B290,Premissas!$A$39:$A$45,0))</f>
        <v/>
      </c>
      <c r="AF290" s="22" t="str">
        <f>INDEX(Cronograma!AE$5:AE$11,MATCH($B290,Premissas!$A$39:$A$45,0))</f>
        <v/>
      </c>
      <c r="AG290" s="22" t="str">
        <f>INDEX(Cronograma!AF$5:AF$11,MATCH($B290,Premissas!$A$39:$A$45,0))</f>
        <v/>
      </c>
      <c r="AH290" s="22" t="str">
        <f>INDEX(Cronograma!AG$5:AG$11,MATCH($B290,Premissas!$A$39:$A$45,0))</f>
        <v/>
      </c>
      <c r="AI290" s="22" t="str">
        <f>INDEX(Cronograma!AH$5:AH$11,MATCH($B290,Premissas!$A$39:$A$45,0))</f>
        <v/>
      </c>
      <c r="AJ290" s="22" t="str">
        <f>INDEX(Cronograma!AI$5:AI$11,MATCH($B290,Premissas!$A$39:$A$45,0))</f>
        <v/>
      </c>
      <c r="AK290" s="22" t="str">
        <f>INDEX(Cronograma!AJ$5:AJ$11,MATCH($B290,Premissas!$A$39:$A$45,0))</f>
        <v/>
      </c>
      <c r="AL290" s="22" t="str">
        <f>INDEX(Cronograma!AK$5:AK$11,MATCH($B290,Premissas!$A$39:$A$45,0))</f>
        <v/>
      </c>
      <c r="AM290" s="22" t="str">
        <f>INDEX(Cronograma!AL$5:AL$11,MATCH($B290,Premissas!$A$39:$A$45,0))</f>
        <v/>
      </c>
      <c r="AN290" s="22" t="str">
        <f>INDEX(Cronograma!AM$5:AM$11,MATCH($B290,Premissas!$A$39:$A$45,0))</f>
        <v/>
      </c>
      <c r="AO290" s="22" t="str">
        <f>INDEX(Cronograma!AN$5:AN$11,MATCH($B290,Premissas!$A$39:$A$45,0))</f>
        <v/>
      </c>
      <c r="AP290" s="22" t="str">
        <f>INDEX(Cronograma!AO$5:AO$11,MATCH($B290,Premissas!$A$39:$A$45,0))</f>
        <v/>
      </c>
      <c r="AQ290" s="22" t="str">
        <f>INDEX(Cronograma!AP$5:AP$11,MATCH($B290,Premissas!$A$39:$A$45,0))</f>
        <v/>
      </c>
      <c r="AR290" s="22" t="str">
        <f>INDEX(Cronograma!AQ$5:AQ$11,MATCH($B290,Premissas!$A$39:$A$45,0))</f>
        <v>A</v>
      </c>
      <c r="AS290" s="22" t="str">
        <f>INDEX(Cronograma!AR$5:AR$11,MATCH($B290,Premissas!$A$39:$A$45,0))</f>
        <v/>
      </c>
      <c r="AT290" s="22" t="str">
        <f>INDEX(Cronograma!AS$5:AS$11,MATCH($B290,Premissas!$A$39:$A$45,0))</f>
        <v/>
      </c>
      <c r="AU290" s="22" t="str">
        <f>INDEX(Cronograma!AT$5:AT$11,MATCH($B290,Premissas!$A$39:$A$45,0))</f>
        <v/>
      </c>
      <c r="AV290" s="22" t="str">
        <f>INDEX(Cronograma!AU$5:AU$11,MATCH($B290,Premissas!$A$39:$A$45,0))</f>
        <v/>
      </c>
      <c r="AW290" s="22" t="str">
        <f>INDEX(Cronograma!AV$5:AV$11,MATCH($B290,Premissas!$A$39:$A$45,0))</f>
        <v/>
      </c>
      <c r="AX290" s="22" t="str">
        <f>INDEX(Cronograma!AW$5:AW$11,MATCH($B290,Premissas!$A$39:$A$45,0))</f>
        <v/>
      </c>
      <c r="AY290" s="22" t="str">
        <f>INDEX(Cronograma!AX$5:AX$11,MATCH($B290,Premissas!$A$39:$A$45,0))</f>
        <v/>
      </c>
      <c r="AZ290" s="22" t="str">
        <f>INDEX(Cronograma!AY$5:AY$11,MATCH($B290,Premissas!$A$39:$A$45,0))</f>
        <v/>
      </c>
      <c r="BA290" s="22" t="str">
        <f>INDEX(Cronograma!AZ$5:AZ$11,MATCH($B290,Premissas!$A$39:$A$45,0))</f>
        <v/>
      </c>
      <c r="BB290" s="22" t="str">
        <f>INDEX(Cronograma!BA$5:BA$11,MATCH($B290,Premissas!$A$39:$A$45,0))</f>
        <v/>
      </c>
    </row>
    <row r="291" spans="1:54" ht="15" customHeight="1" x14ac:dyDescent="0.4">
      <c r="A291" s="15" t="str">
        <f>Frota!$B291&amp;" — "&amp;Frota!$A291</f>
        <v>Komatsu 78US — 112005</v>
      </c>
      <c r="B291" s="16" t="str">
        <f>Frota!$C291</f>
        <v>Carregadeira/Pesada</v>
      </c>
      <c r="C291" s="22" t="str">
        <f>INDEX(Cronograma!B$5:B$11,MATCH($B291,Premissas!$A$39:$A$45,0))</f>
        <v/>
      </c>
      <c r="D291" s="22" t="str">
        <f>INDEX(Cronograma!C$5:C$11,MATCH($B291,Premissas!$A$39:$A$45,0))</f>
        <v/>
      </c>
      <c r="E291" s="22" t="str">
        <f>INDEX(Cronograma!D$5:D$11,MATCH($B291,Premissas!$A$39:$A$45,0))</f>
        <v/>
      </c>
      <c r="F291" s="22" t="str">
        <f>INDEX(Cronograma!E$5:E$11,MATCH($B291,Premissas!$A$39:$A$45,0))</f>
        <v/>
      </c>
      <c r="G291" s="22" t="str">
        <f>INDEX(Cronograma!F$5:F$11,MATCH($B291,Premissas!$A$39:$A$45,0))</f>
        <v/>
      </c>
      <c r="H291" s="22" t="str">
        <f>INDEX(Cronograma!G$5:G$11,MATCH($B291,Premissas!$A$39:$A$45,0))</f>
        <v>S</v>
      </c>
      <c r="I291" s="22" t="str">
        <f>INDEX(Cronograma!H$5:H$11,MATCH($B291,Premissas!$A$39:$A$45,0))</f>
        <v/>
      </c>
      <c r="J291" s="22" t="str">
        <f>INDEX(Cronograma!I$5:I$11,MATCH($B291,Premissas!$A$39:$A$45,0))</f>
        <v/>
      </c>
      <c r="K291" s="22" t="str">
        <f>INDEX(Cronograma!J$5:J$11,MATCH($B291,Premissas!$A$39:$A$45,0))</f>
        <v/>
      </c>
      <c r="L291" s="22" t="str">
        <f>INDEX(Cronograma!K$5:K$11,MATCH($B291,Premissas!$A$39:$A$45,0))</f>
        <v/>
      </c>
      <c r="M291" s="22" t="str">
        <f>INDEX(Cronograma!L$5:L$11,MATCH($B291,Premissas!$A$39:$A$45,0))</f>
        <v/>
      </c>
      <c r="N291" s="22" t="str">
        <f>INDEX(Cronograma!M$5:M$11,MATCH($B291,Premissas!$A$39:$A$45,0))</f>
        <v>A</v>
      </c>
      <c r="O291" s="22" t="str">
        <f>INDEX(Cronograma!N$5:N$11,MATCH($B291,Premissas!$A$39:$A$45,0))</f>
        <v/>
      </c>
      <c r="P291" s="22" t="str">
        <f>INDEX(Cronograma!O$5:O$11,MATCH($B291,Premissas!$A$39:$A$45,0))</f>
        <v/>
      </c>
      <c r="Q291" s="22" t="str">
        <f>INDEX(Cronograma!P$5:P$11,MATCH($B291,Premissas!$A$39:$A$45,0))</f>
        <v/>
      </c>
      <c r="R291" s="22" t="str">
        <f>INDEX(Cronograma!Q$5:Q$11,MATCH($B291,Premissas!$A$39:$A$45,0))</f>
        <v/>
      </c>
      <c r="S291" s="22" t="str">
        <f>INDEX(Cronograma!R$5:R$11,MATCH($B291,Premissas!$A$39:$A$45,0))</f>
        <v>S</v>
      </c>
      <c r="T291" s="22" t="str">
        <f>INDEX(Cronograma!S$5:S$11,MATCH($B291,Premissas!$A$39:$A$45,0))</f>
        <v/>
      </c>
      <c r="U291" s="22" t="str">
        <f>INDEX(Cronograma!T$5:T$11,MATCH($B291,Premissas!$A$39:$A$45,0))</f>
        <v/>
      </c>
      <c r="V291" s="22" t="str">
        <f>INDEX(Cronograma!U$5:U$11,MATCH($B291,Premissas!$A$39:$A$45,0))</f>
        <v/>
      </c>
      <c r="W291" s="22" t="str">
        <f>INDEX(Cronograma!V$5:V$11,MATCH($B291,Premissas!$A$39:$A$45,0))</f>
        <v/>
      </c>
      <c r="X291" s="22" t="str">
        <f>INDEX(Cronograma!W$5:W$11,MATCH($B291,Premissas!$A$39:$A$45,0))</f>
        <v/>
      </c>
      <c r="Y291" s="22" t="str">
        <f>INDEX(Cronograma!X$5:X$11,MATCH($B291,Premissas!$A$39:$A$45,0))</f>
        <v>B</v>
      </c>
      <c r="Z291" s="22" t="str">
        <f>INDEX(Cronograma!Y$5:Y$11,MATCH($B291,Premissas!$A$39:$A$45,0))</f>
        <v/>
      </c>
      <c r="AA291" s="22" t="str">
        <f>INDEX(Cronograma!Z$5:Z$11,MATCH($B291,Premissas!$A$39:$A$45,0))</f>
        <v/>
      </c>
      <c r="AB291" s="22" t="str">
        <f>INDEX(Cronograma!AA$5:AA$11,MATCH($B291,Premissas!$A$39:$A$45,0))</f>
        <v/>
      </c>
      <c r="AC291" s="22" t="str">
        <f>INDEX(Cronograma!AB$5:AB$11,MATCH($B291,Premissas!$A$39:$A$45,0))</f>
        <v/>
      </c>
      <c r="AD291" s="22" t="str">
        <f>INDEX(Cronograma!AC$5:AC$11,MATCH($B291,Premissas!$A$39:$A$45,0))</f>
        <v>S</v>
      </c>
      <c r="AE291" s="22" t="str">
        <f>INDEX(Cronograma!AD$5:AD$11,MATCH($B291,Premissas!$A$39:$A$45,0))</f>
        <v/>
      </c>
      <c r="AF291" s="22" t="str">
        <f>INDEX(Cronograma!AE$5:AE$11,MATCH($B291,Premissas!$A$39:$A$45,0))</f>
        <v/>
      </c>
      <c r="AG291" s="22" t="str">
        <f>INDEX(Cronograma!AF$5:AF$11,MATCH($B291,Premissas!$A$39:$A$45,0))</f>
        <v/>
      </c>
      <c r="AH291" s="22" t="str">
        <f>INDEX(Cronograma!AG$5:AG$11,MATCH($B291,Premissas!$A$39:$A$45,0))</f>
        <v/>
      </c>
      <c r="AI291" s="22" t="str">
        <f>INDEX(Cronograma!AH$5:AH$11,MATCH($B291,Premissas!$A$39:$A$45,0))</f>
        <v/>
      </c>
      <c r="AJ291" s="22" t="str">
        <f>INDEX(Cronograma!AI$5:AI$11,MATCH($B291,Premissas!$A$39:$A$45,0))</f>
        <v/>
      </c>
      <c r="AK291" s="22" t="str">
        <f>INDEX(Cronograma!AJ$5:AJ$11,MATCH($B291,Premissas!$A$39:$A$45,0))</f>
        <v/>
      </c>
      <c r="AL291" s="22" t="str">
        <f>INDEX(Cronograma!AK$5:AK$11,MATCH($B291,Premissas!$A$39:$A$45,0))</f>
        <v/>
      </c>
      <c r="AM291" s="22" t="str">
        <f>INDEX(Cronograma!AL$5:AL$11,MATCH($B291,Premissas!$A$39:$A$45,0))</f>
        <v/>
      </c>
      <c r="AN291" s="22" t="str">
        <f>INDEX(Cronograma!AM$5:AM$11,MATCH($B291,Premissas!$A$39:$A$45,0))</f>
        <v/>
      </c>
      <c r="AO291" s="22" t="str">
        <f>INDEX(Cronograma!AN$5:AN$11,MATCH($B291,Premissas!$A$39:$A$45,0))</f>
        <v/>
      </c>
      <c r="AP291" s="22" t="str">
        <f>INDEX(Cronograma!AO$5:AO$11,MATCH($B291,Premissas!$A$39:$A$45,0))</f>
        <v/>
      </c>
      <c r="AQ291" s="22" t="str">
        <f>INDEX(Cronograma!AP$5:AP$11,MATCH($B291,Premissas!$A$39:$A$45,0))</f>
        <v/>
      </c>
      <c r="AR291" s="22" t="str">
        <f>INDEX(Cronograma!AQ$5:AQ$11,MATCH($B291,Premissas!$A$39:$A$45,0))</f>
        <v>A</v>
      </c>
      <c r="AS291" s="22" t="str">
        <f>INDEX(Cronograma!AR$5:AR$11,MATCH($B291,Premissas!$A$39:$A$45,0))</f>
        <v/>
      </c>
      <c r="AT291" s="22" t="str">
        <f>INDEX(Cronograma!AS$5:AS$11,MATCH($B291,Premissas!$A$39:$A$45,0))</f>
        <v/>
      </c>
      <c r="AU291" s="22" t="str">
        <f>INDEX(Cronograma!AT$5:AT$11,MATCH($B291,Premissas!$A$39:$A$45,0))</f>
        <v/>
      </c>
      <c r="AV291" s="22" t="str">
        <f>INDEX(Cronograma!AU$5:AU$11,MATCH($B291,Premissas!$A$39:$A$45,0))</f>
        <v/>
      </c>
      <c r="AW291" s="22" t="str">
        <f>INDEX(Cronograma!AV$5:AV$11,MATCH($B291,Premissas!$A$39:$A$45,0))</f>
        <v/>
      </c>
      <c r="AX291" s="22" t="str">
        <f>INDEX(Cronograma!AW$5:AW$11,MATCH($B291,Premissas!$A$39:$A$45,0))</f>
        <v/>
      </c>
      <c r="AY291" s="22" t="str">
        <f>INDEX(Cronograma!AX$5:AX$11,MATCH($B291,Premissas!$A$39:$A$45,0))</f>
        <v/>
      </c>
      <c r="AZ291" s="22" t="str">
        <f>INDEX(Cronograma!AY$5:AY$11,MATCH($B291,Premissas!$A$39:$A$45,0))</f>
        <v/>
      </c>
      <c r="BA291" s="22" t="str">
        <f>INDEX(Cronograma!AZ$5:AZ$11,MATCH($B291,Premissas!$A$39:$A$45,0))</f>
        <v/>
      </c>
      <c r="BB291" s="22" t="str">
        <f>INDEX(Cronograma!BA$5:BA$11,MATCH($B291,Premissas!$A$39:$A$45,0))</f>
        <v/>
      </c>
    </row>
    <row r="292" spans="1:54" ht="15" customHeight="1" x14ac:dyDescent="0.4">
      <c r="A292" s="15" t="str">
        <f>Frota!$B292&amp;" — "&amp;Frota!$A292</f>
        <v>Jonh  Deere 210 GLC — 112006</v>
      </c>
      <c r="B292" s="16" t="str">
        <f>Frota!$C292</f>
        <v>Carregadeira/Pesada</v>
      </c>
      <c r="C292" s="22" t="str">
        <f>INDEX(Cronograma!B$5:B$11,MATCH($B292,Premissas!$A$39:$A$45,0))</f>
        <v/>
      </c>
      <c r="D292" s="22" t="str">
        <f>INDEX(Cronograma!C$5:C$11,MATCH($B292,Premissas!$A$39:$A$45,0))</f>
        <v/>
      </c>
      <c r="E292" s="22" t="str">
        <f>INDEX(Cronograma!D$5:D$11,MATCH($B292,Premissas!$A$39:$A$45,0))</f>
        <v/>
      </c>
      <c r="F292" s="22" t="str">
        <f>INDEX(Cronograma!E$5:E$11,MATCH($B292,Premissas!$A$39:$A$45,0))</f>
        <v/>
      </c>
      <c r="G292" s="22" t="str">
        <f>INDEX(Cronograma!F$5:F$11,MATCH($B292,Premissas!$A$39:$A$45,0))</f>
        <v/>
      </c>
      <c r="H292" s="22" t="str">
        <f>INDEX(Cronograma!G$5:G$11,MATCH($B292,Premissas!$A$39:$A$45,0))</f>
        <v>S</v>
      </c>
      <c r="I292" s="22" t="str">
        <f>INDEX(Cronograma!H$5:H$11,MATCH($B292,Premissas!$A$39:$A$45,0))</f>
        <v/>
      </c>
      <c r="J292" s="22" t="str">
        <f>INDEX(Cronograma!I$5:I$11,MATCH($B292,Premissas!$A$39:$A$45,0))</f>
        <v/>
      </c>
      <c r="K292" s="22" t="str">
        <f>INDEX(Cronograma!J$5:J$11,MATCH($B292,Premissas!$A$39:$A$45,0))</f>
        <v/>
      </c>
      <c r="L292" s="22" t="str">
        <f>INDEX(Cronograma!K$5:K$11,MATCH($B292,Premissas!$A$39:$A$45,0))</f>
        <v/>
      </c>
      <c r="M292" s="22" t="str">
        <f>INDEX(Cronograma!L$5:L$11,MATCH($B292,Premissas!$A$39:$A$45,0))</f>
        <v/>
      </c>
      <c r="N292" s="22" t="str">
        <f>INDEX(Cronograma!M$5:M$11,MATCH($B292,Premissas!$A$39:$A$45,0))</f>
        <v>A</v>
      </c>
      <c r="O292" s="22" t="str">
        <f>INDEX(Cronograma!N$5:N$11,MATCH($B292,Premissas!$A$39:$A$45,0))</f>
        <v/>
      </c>
      <c r="P292" s="22" t="str">
        <f>INDEX(Cronograma!O$5:O$11,MATCH($B292,Premissas!$A$39:$A$45,0))</f>
        <v/>
      </c>
      <c r="Q292" s="22" t="str">
        <f>INDEX(Cronograma!P$5:P$11,MATCH($B292,Premissas!$A$39:$A$45,0))</f>
        <v/>
      </c>
      <c r="R292" s="22" t="str">
        <f>INDEX(Cronograma!Q$5:Q$11,MATCH($B292,Premissas!$A$39:$A$45,0))</f>
        <v/>
      </c>
      <c r="S292" s="22" t="str">
        <f>INDEX(Cronograma!R$5:R$11,MATCH($B292,Premissas!$A$39:$A$45,0))</f>
        <v>S</v>
      </c>
      <c r="T292" s="22" t="str">
        <f>INDEX(Cronograma!S$5:S$11,MATCH($B292,Premissas!$A$39:$A$45,0))</f>
        <v/>
      </c>
      <c r="U292" s="22" t="str">
        <f>INDEX(Cronograma!T$5:T$11,MATCH($B292,Premissas!$A$39:$A$45,0))</f>
        <v/>
      </c>
      <c r="V292" s="22" t="str">
        <f>INDEX(Cronograma!U$5:U$11,MATCH($B292,Premissas!$A$39:$A$45,0))</f>
        <v/>
      </c>
      <c r="W292" s="22" t="str">
        <f>INDEX(Cronograma!V$5:V$11,MATCH($B292,Premissas!$A$39:$A$45,0))</f>
        <v/>
      </c>
      <c r="X292" s="22" t="str">
        <f>INDEX(Cronograma!W$5:W$11,MATCH($B292,Premissas!$A$39:$A$45,0))</f>
        <v/>
      </c>
      <c r="Y292" s="22" t="str">
        <f>INDEX(Cronograma!X$5:X$11,MATCH($B292,Premissas!$A$39:$A$45,0))</f>
        <v>B</v>
      </c>
      <c r="Z292" s="22" t="str">
        <f>INDEX(Cronograma!Y$5:Y$11,MATCH($B292,Premissas!$A$39:$A$45,0))</f>
        <v/>
      </c>
      <c r="AA292" s="22" t="str">
        <f>INDEX(Cronograma!Z$5:Z$11,MATCH($B292,Premissas!$A$39:$A$45,0))</f>
        <v/>
      </c>
      <c r="AB292" s="22" t="str">
        <f>INDEX(Cronograma!AA$5:AA$11,MATCH($B292,Premissas!$A$39:$A$45,0))</f>
        <v/>
      </c>
      <c r="AC292" s="22" t="str">
        <f>INDEX(Cronograma!AB$5:AB$11,MATCH($B292,Premissas!$A$39:$A$45,0))</f>
        <v/>
      </c>
      <c r="AD292" s="22" t="str">
        <f>INDEX(Cronograma!AC$5:AC$11,MATCH($B292,Premissas!$A$39:$A$45,0))</f>
        <v>S</v>
      </c>
      <c r="AE292" s="22" t="str">
        <f>INDEX(Cronograma!AD$5:AD$11,MATCH($B292,Premissas!$A$39:$A$45,0))</f>
        <v/>
      </c>
      <c r="AF292" s="22" t="str">
        <f>INDEX(Cronograma!AE$5:AE$11,MATCH($B292,Premissas!$A$39:$A$45,0))</f>
        <v/>
      </c>
      <c r="AG292" s="22" t="str">
        <f>INDEX(Cronograma!AF$5:AF$11,MATCH($B292,Premissas!$A$39:$A$45,0))</f>
        <v/>
      </c>
      <c r="AH292" s="22" t="str">
        <f>INDEX(Cronograma!AG$5:AG$11,MATCH($B292,Premissas!$A$39:$A$45,0))</f>
        <v/>
      </c>
      <c r="AI292" s="22" t="str">
        <f>INDEX(Cronograma!AH$5:AH$11,MATCH($B292,Premissas!$A$39:$A$45,0))</f>
        <v/>
      </c>
      <c r="AJ292" s="22" t="str">
        <f>INDEX(Cronograma!AI$5:AI$11,MATCH($B292,Premissas!$A$39:$A$45,0))</f>
        <v/>
      </c>
      <c r="AK292" s="22" t="str">
        <f>INDEX(Cronograma!AJ$5:AJ$11,MATCH($B292,Premissas!$A$39:$A$45,0))</f>
        <v/>
      </c>
      <c r="AL292" s="22" t="str">
        <f>INDEX(Cronograma!AK$5:AK$11,MATCH($B292,Premissas!$A$39:$A$45,0))</f>
        <v/>
      </c>
      <c r="AM292" s="22" t="str">
        <f>INDEX(Cronograma!AL$5:AL$11,MATCH($B292,Premissas!$A$39:$A$45,0))</f>
        <v/>
      </c>
      <c r="AN292" s="22" t="str">
        <f>INDEX(Cronograma!AM$5:AM$11,MATCH($B292,Premissas!$A$39:$A$45,0))</f>
        <v/>
      </c>
      <c r="AO292" s="22" t="str">
        <f>INDEX(Cronograma!AN$5:AN$11,MATCH($B292,Premissas!$A$39:$A$45,0))</f>
        <v/>
      </c>
      <c r="AP292" s="22" t="str">
        <f>INDEX(Cronograma!AO$5:AO$11,MATCH($B292,Premissas!$A$39:$A$45,0))</f>
        <v/>
      </c>
      <c r="AQ292" s="22" t="str">
        <f>INDEX(Cronograma!AP$5:AP$11,MATCH($B292,Premissas!$A$39:$A$45,0))</f>
        <v/>
      </c>
      <c r="AR292" s="22" t="str">
        <f>INDEX(Cronograma!AQ$5:AQ$11,MATCH($B292,Premissas!$A$39:$A$45,0))</f>
        <v>A</v>
      </c>
      <c r="AS292" s="22" t="str">
        <f>INDEX(Cronograma!AR$5:AR$11,MATCH($B292,Premissas!$A$39:$A$45,0))</f>
        <v/>
      </c>
      <c r="AT292" s="22" t="str">
        <f>INDEX(Cronograma!AS$5:AS$11,MATCH($B292,Premissas!$A$39:$A$45,0))</f>
        <v/>
      </c>
      <c r="AU292" s="22" t="str">
        <f>INDEX(Cronograma!AT$5:AT$11,MATCH($B292,Premissas!$A$39:$A$45,0))</f>
        <v/>
      </c>
      <c r="AV292" s="22" t="str">
        <f>INDEX(Cronograma!AU$5:AU$11,MATCH($B292,Premissas!$A$39:$A$45,0))</f>
        <v/>
      </c>
      <c r="AW292" s="22" t="str">
        <f>INDEX(Cronograma!AV$5:AV$11,MATCH($B292,Premissas!$A$39:$A$45,0))</f>
        <v/>
      </c>
      <c r="AX292" s="22" t="str">
        <f>INDEX(Cronograma!AW$5:AW$11,MATCH($B292,Premissas!$A$39:$A$45,0))</f>
        <v/>
      </c>
      <c r="AY292" s="22" t="str">
        <f>INDEX(Cronograma!AX$5:AX$11,MATCH($B292,Premissas!$A$39:$A$45,0))</f>
        <v/>
      </c>
      <c r="AZ292" s="22" t="str">
        <f>INDEX(Cronograma!AY$5:AY$11,MATCH($B292,Premissas!$A$39:$A$45,0))</f>
        <v/>
      </c>
      <c r="BA292" s="22" t="str">
        <f>INDEX(Cronograma!AZ$5:AZ$11,MATCH($B292,Premissas!$A$39:$A$45,0))</f>
        <v/>
      </c>
      <c r="BB292" s="22" t="str">
        <f>INDEX(Cronograma!BA$5:BA$11,MATCH($B292,Premissas!$A$39:$A$45,0))</f>
        <v/>
      </c>
    </row>
    <row r="293" spans="1:54" ht="15" customHeight="1" x14ac:dyDescent="0.4">
      <c r="A293" s="15" t="str">
        <f>Frota!$B293&amp;" — "&amp;Frota!$A293</f>
        <v>Jonh  Deere 210 GLC — 112007</v>
      </c>
      <c r="B293" s="16" t="str">
        <f>Frota!$C293</f>
        <v>Carregadeira/Pesada</v>
      </c>
      <c r="C293" s="22" t="str">
        <f>INDEX(Cronograma!B$5:B$11,MATCH($B293,Premissas!$A$39:$A$45,0))</f>
        <v/>
      </c>
      <c r="D293" s="22" t="str">
        <f>INDEX(Cronograma!C$5:C$11,MATCH($B293,Premissas!$A$39:$A$45,0))</f>
        <v/>
      </c>
      <c r="E293" s="22" t="str">
        <f>INDEX(Cronograma!D$5:D$11,MATCH($B293,Premissas!$A$39:$A$45,0))</f>
        <v/>
      </c>
      <c r="F293" s="22" t="str">
        <f>INDEX(Cronograma!E$5:E$11,MATCH($B293,Premissas!$A$39:$A$45,0))</f>
        <v/>
      </c>
      <c r="G293" s="22" t="str">
        <f>INDEX(Cronograma!F$5:F$11,MATCH($B293,Premissas!$A$39:$A$45,0))</f>
        <v/>
      </c>
      <c r="H293" s="22" t="str">
        <f>INDEX(Cronograma!G$5:G$11,MATCH($B293,Premissas!$A$39:$A$45,0))</f>
        <v>S</v>
      </c>
      <c r="I293" s="22" t="str">
        <f>INDEX(Cronograma!H$5:H$11,MATCH($B293,Premissas!$A$39:$A$45,0))</f>
        <v/>
      </c>
      <c r="J293" s="22" t="str">
        <f>INDEX(Cronograma!I$5:I$11,MATCH($B293,Premissas!$A$39:$A$45,0))</f>
        <v/>
      </c>
      <c r="K293" s="22" t="str">
        <f>INDEX(Cronograma!J$5:J$11,MATCH($B293,Premissas!$A$39:$A$45,0))</f>
        <v/>
      </c>
      <c r="L293" s="22" t="str">
        <f>INDEX(Cronograma!K$5:K$11,MATCH($B293,Premissas!$A$39:$A$45,0))</f>
        <v/>
      </c>
      <c r="M293" s="22" t="str">
        <f>INDEX(Cronograma!L$5:L$11,MATCH($B293,Premissas!$A$39:$A$45,0))</f>
        <v/>
      </c>
      <c r="N293" s="22" t="str">
        <f>INDEX(Cronograma!M$5:M$11,MATCH($B293,Premissas!$A$39:$A$45,0))</f>
        <v>A</v>
      </c>
      <c r="O293" s="22" t="str">
        <f>INDEX(Cronograma!N$5:N$11,MATCH($B293,Premissas!$A$39:$A$45,0))</f>
        <v/>
      </c>
      <c r="P293" s="22" t="str">
        <f>INDEX(Cronograma!O$5:O$11,MATCH($B293,Premissas!$A$39:$A$45,0))</f>
        <v/>
      </c>
      <c r="Q293" s="22" t="str">
        <f>INDEX(Cronograma!P$5:P$11,MATCH($B293,Premissas!$A$39:$A$45,0))</f>
        <v/>
      </c>
      <c r="R293" s="22" t="str">
        <f>INDEX(Cronograma!Q$5:Q$11,MATCH($B293,Premissas!$A$39:$A$45,0))</f>
        <v/>
      </c>
      <c r="S293" s="22" t="str">
        <f>INDEX(Cronograma!R$5:R$11,MATCH($B293,Premissas!$A$39:$A$45,0))</f>
        <v>S</v>
      </c>
      <c r="T293" s="22" t="str">
        <f>INDEX(Cronograma!S$5:S$11,MATCH($B293,Premissas!$A$39:$A$45,0))</f>
        <v/>
      </c>
      <c r="U293" s="22" t="str">
        <f>INDEX(Cronograma!T$5:T$11,MATCH($B293,Premissas!$A$39:$A$45,0))</f>
        <v/>
      </c>
      <c r="V293" s="22" t="str">
        <f>INDEX(Cronograma!U$5:U$11,MATCH($B293,Premissas!$A$39:$A$45,0))</f>
        <v/>
      </c>
      <c r="W293" s="22" t="str">
        <f>INDEX(Cronograma!V$5:V$11,MATCH($B293,Premissas!$A$39:$A$45,0))</f>
        <v/>
      </c>
      <c r="X293" s="22" t="str">
        <f>INDEX(Cronograma!W$5:W$11,MATCH($B293,Premissas!$A$39:$A$45,0))</f>
        <v/>
      </c>
      <c r="Y293" s="22" t="str">
        <f>INDEX(Cronograma!X$5:X$11,MATCH($B293,Premissas!$A$39:$A$45,0))</f>
        <v>B</v>
      </c>
      <c r="Z293" s="22" t="str">
        <f>INDEX(Cronograma!Y$5:Y$11,MATCH($B293,Premissas!$A$39:$A$45,0))</f>
        <v/>
      </c>
      <c r="AA293" s="22" t="str">
        <f>INDEX(Cronograma!Z$5:Z$11,MATCH($B293,Premissas!$A$39:$A$45,0))</f>
        <v/>
      </c>
      <c r="AB293" s="22" t="str">
        <f>INDEX(Cronograma!AA$5:AA$11,MATCH($B293,Premissas!$A$39:$A$45,0))</f>
        <v/>
      </c>
      <c r="AC293" s="22" t="str">
        <f>INDEX(Cronograma!AB$5:AB$11,MATCH($B293,Premissas!$A$39:$A$45,0))</f>
        <v/>
      </c>
      <c r="AD293" s="22" t="str">
        <f>INDEX(Cronograma!AC$5:AC$11,MATCH($B293,Premissas!$A$39:$A$45,0))</f>
        <v>S</v>
      </c>
      <c r="AE293" s="22" t="str">
        <f>INDEX(Cronograma!AD$5:AD$11,MATCH($B293,Premissas!$A$39:$A$45,0))</f>
        <v/>
      </c>
      <c r="AF293" s="22" t="str">
        <f>INDEX(Cronograma!AE$5:AE$11,MATCH($B293,Premissas!$A$39:$A$45,0))</f>
        <v/>
      </c>
      <c r="AG293" s="22" t="str">
        <f>INDEX(Cronograma!AF$5:AF$11,MATCH($B293,Premissas!$A$39:$A$45,0))</f>
        <v/>
      </c>
      <c r="AH293" s="22" t="str">
        <f>INDEX(Cronograma!AG$5:AG$11,MATCH($B293,Premissas!$A$39:$A$45,0))</f>
        <v/>
      </c>
      <c r="AI293" s="22" t="str">
        <f>INDEX(Cronograma!AH$5:AH$11,MATCH($B293,Premissas!$A$39:$A$45,0))</f>
        <v/>
      </c>
      <c r="AJ293" s="22" t="str">
        <f>INDEX(Cronograma!AI$5:AI$11,MATCH($B293,Premissas!$A$39:$A$45,0))</f>
        <v/>
      </c>
      <c r="AK293" s="22" t="str">
        <f>INDEX(Cronograma!AJ$5:AJ$11,MATCH($B293,Premissas!$A$39:$A$45,0))</f>
        <v/>
      </c>
      <c r="AL293" s="22" t="str">
        <f>INDEX(Cronograma!AK$5:AK$11,MATCH($B293,Premissas!$A$39:$A$45,0))</f>
        <v/>
      </c>
      <c r="AM293" s="22" t="str">
        <f>INDEX(Cronograma!AL$5:AL$11,MATCH($B293,Premissas!$A$39:$A$45,0))</f>
        <v/>
      </c>
      <c r="AN293" s="22" t="str">
        <f>INDEX(Cronograma!AM$5:AM$11,MATCH($B293,Premissas!$A$39:$A$45,0))</f>
        <v/>
      </c>
      <c r="AO293" s="22" t="str">
        <f>INDEX(Cronograma!AN$5:AN$11,MATCH($B293,Premissas!$A$39:$A$45,0))</f>
        <v/>
      </c>
      <c r="AP293" s="22" t="str">
        <f>INDEX(Cronograma!AO$5:AO$11,MATCH($B293,Premissas!$A$39:$A$45,0))</f>
        <v/>
      </c>
      <c r="AQ293" s="22" t="str">
        <f>INDEX(Cronograma!AP$5:AP$11,MATCH($B293,Premissas!$A$39:$A$45,0))</f>
        <v/>
      </c>
      <c r="AR293" s="22" t="str">
        <f>INDEX(Cronograma!AQ$5:AQ$11,MATCH($B293,Premissas!$A$39:$A$45,0))</f>
        <v>A</v>
      </c>
      <c r="AS293" s="22" t="str">
        <f>INDEX(Cronograma!AR$5:AR$11,MATCH($B293,Premissas!$A$39:$A$45,0))</f>
        <v/>
      </c>
      <c r="AT293" s="22" t="str">
        <f>INDEX(Cronograma!AS$5:AS$11,MATCH($B293,Premissas!$A$39:$A$45,0))</f>
        <v/>
      </c>
      <c r="AU293" s="22" t="str">
        <f>INDEX(Cronograma!AT$5:AT$11,MATCH($B293,Premissas!$A$39:$A$45,0))</f>
        <v/>
      </c>
      <c r="AV293" s="22" t="str">
        <f>INDEX(Cronograma!AU$5:AU$11,MATCH($B293,Premissas!$A$39:$A$45,0))</f>
        <v/>
      </c>
      <c r="AW293" s="22" t="str">
        <f>INDEX(Cronograma!AV$5:AV$11,MATCH($B293,Premissas!$A$39:$A$45,0))</f>
        <v/>
      </c>
      <c r="AX293" s="22" t="str">
        <f>INDEX(Cronograma!AW$5:AW$11,MATCH($B293,Premissas!$A$39:$A$45,0))</f>
        <v/>
      </c>
      <c r="AY293" s="22" t="str">
        <f>INDEX(Cronograma!AX$5:AX$11,MATCH($B293,Premissas!$A$39:$A$45,0))</f>
        <v/>
      </c>
      <c r="AZ293" s="22" t="str">
        <f>INDEX(Cronograma!AY$5:AY$11,MATCH($B293,Premissas!$A$39:$A$45,0))</f>
        <v/>
      </c>
      <c r="BA293" s="22" t="str">
        <f>INDEX(Cronograma!AZ$5:AZ$11,MATCH($B293,Premissas!$A$39:$A$45,0))</f>
        <v/>
      </c>
      <c r="BB293" s="22" t="str">
        <f>INDEX(Cronograma!BA$5:BA$11,MATCH($B293,Premissas!$A$39:$A$45,0))</f>
        <v/>
      </c>
    </row>
    <row r="294" spans="1:54" ht="15" customHeight="1" x14ac:dyDescent="0.4">
      <c r="A294" s="15" t="str">
        <f>Frota!$B294&amp;" — "&amp;Frota!$A294</f>
        <v>Jonh  Deere 210 GLC — 112008</v>
      </c>
      <c r="B294" s="16" t="str">
        <f>Frota!$C294</f>
        <v>Carregadeira/Pesada</v>
      </c>
      <c r="C294" s="22" t="str">
        <f>INDEX(Cronograma!B$5:B$11,MATCH($B294,Premissas!$A$39:$A$45,0))</f>
        <v/>
      </c>
      <c r="D294" s="22" t="str">
        <f>INDEX(Cronograma!C$5:C$11,MATCH($B294,Premissas!$A$39:$A$45,0))</f>
        <v/>
      </c>
      <c r="E294" s="22" t="str">
        <f>INDEX(Cronograma!D$5:D$11,MATCH($B294,Premissas!$A$39:$A$45,0))</f>
        <v/>
      </c>
      <c r="F294" s="22" t="str">
        <f>INDEX(Cronograma!E$5:E$11,MATCH($B294,Premissas!$A$39:$A$45,0))</f>
        <v/>
      </c>
      <c r="G294" s="22" t="str">
        <f>INDEX(Cronograma!F$5:F$11,MATCH($B294,Premissas!$A$39:$A$45,0))</f>
        <v/>
      </c>
      <c r="H294" s="22" t="str">
        <f>INDEX(Cronograma!G$5:G$11,MATCH($B294,Premissas!$A$39:$A$45,0))</f>
        <v>S</v>
      </c>
      <c r="I294" s="22" t="str">
        <f>INDEX(Cronograma!H$5:H$11,MATCH($B294,Premissas!$A$39:$A$45,0))</f>
        <v/>
      </c>
      <c r="J294" s="22" t="str">
        <f>INDEX(Cronograma!I$5:I$11,MATCH($B294,Premissas!$A$39:$A$45,0))</f>
        <v/>
      </c>
      <c r="K294" s="22" t="str">
        <f>INDEX(Cronograma!J$5:J$11,MATCH($B294,Premissas!$A$39:$A$45,0))</f>
        <v/>
      </c>
      <c r="L294" s="22" t="str">
        <f>INDEX(Cronograma!K$5:K$11,MATCH($B294,Premissas!$A$39:$A$45,0))</f>
        <v/>
      </c>
      <c r="M294" s="22" t="str">
        <f>INDEX(Cronograma!L$5:L$11,MATCH($B294,Premissas!$A$39:$A$45,0))</f>
        <v/>
      </c>
      <c r="N294" s="22" t="str">
        <f>INDEX(Cronograma!M$5:M$11,MATCH($B294,Premissas!$A$39:$A$45,0))</f>
        <v>A</v>
      </c>
      <c r="O294" s="22" t="str">
        <f>INDEX(Cronograma!N$5:N$11,MATCH($B294,Premissas!$A$39:$A$45,0))</f>
        <v/>
      </c>
      <c r="P294" s="22" t="str">
        <f>INDEX(Cronograma!O$5:O$11,MATCH($B294,Premissas!$A$39:$A$45,0))</f>
        <v/>
      </c>
      <c r="Q294" s="22" t="str">
        <f>INDEX(Cronograma!P$5:P$11,MATCH($B294,Premissas!$A$39:$A$45,0))</f>
        <v/>
      </c>
      <c r="R294" s="22" t="str">
        <f>INDEX(Cronograma!Q$5:Q$11,MATCH($B294,Premissas!$A$39:$A$45,0))</f>
        <v/>
      </c>
      <c r="S294" s="22" t="str">
        <f>INDEX(Cronograma!R$5:R$11,MATCH($B294,Premissas!$A$39:$A$45,0))</f>
        <v>S</v>
      </c>
      <c r="T294" s="22" t="str">
        <f>INDEX(Cronograma!S$5:S$11,MATCH($B294,Premissas!$A$39:$A$45,0))</f>
        <v/>
      </c>
      <c r="U294" s="22" t="str">
        <f>INDEX(Cronograma!T$5:T$11,MATCH($B294,Premissas!$A$39:$A$45,0))</f>
        <v/>
      </c>
      <c r="V294" s="22" t="str">
        <f>INDEX(Cronograma!U$5:U$11,MATCH($B294,Premissas!$A$39:$A$45,0))</f>
        <v/>
      </c>
      <c r="W294" s="22" t="str">
        <f>INDEX(Cronograma!V$5:V$11,MATCH($B294,Premissas!$A$39:$A$45,0))</f>
        <v/>
      </c>
      <c r="X294" s="22" t="str">
        <f>INDEX(Cronograma!W$5:W$11,MATCH($B294,Premissas!$A$39:$A$45,0))</f>
        <v/>
      </c>
      <c r="Y294" s="22" t="str">
        <f>INDEX(Cronograma!X$5:X$11,MATCH($B294,Premissas!$A$39:$A$45,0))</f>
        <v>B</v>
      </c>
      <c r="Z294" s="22" t="str">
        <f>INDEX(Cronograma!Y$5:Y$11,MATCH($B294,Premissas!$A$39:$A$45,0))</f>
        <v/>
      </c>
      <c r="AA294" s="22" t="str">
        <f>INDEX(Cronograma!Z$5:Z$11,MATCH($B294,Premissas!$A$39:$A$45,0))</f>
        <v/>
      </c>
      <c r="AB294" s="22" t="str">
        <f>INDEX(Cronograma!AA$5:AA$11,MATCH($B294,Premissas!$A$39:$A$45,0))</f>
        <v/>
      </c>
      <c r="AC294" s="22" t="str">
        <f>INDEX(Cronograma!AB$5:AB$11,MATCH($B294,Premissas!$A$39:$A$45,0))</f>
        <v/>
      </c>
      <c r="AD294" s="22" t="str">
        <f>INDEX(Cronograma!AC$5:AC$11,MATCH($B294,Premissas!$A$39:$A$45,0))</f>
        <v>S</v>
      </c>
      <c r="AE294" s="22" t="str">
        <f>INDEX(Cronograma!AD$5:AD$11,MATCH($B294,Premissas!$A$39:$A$45,0))</f>
        <v/>
      </c>
      <c r="AF294" s="22" t="str">
        <f>INDEX(Cronograma!AE$5:AE$11,MATCH($B294,Premissas!$A$39:$A$45,0))</f>
        <v/>
      </c>
      <c r="AG294" s="22" t="str">
        <f>INDEX(Cronograma!AF$5:AF$11,MATCH($B294,Premissas!$A$39:$A$45,0))</f>
        <v/>
      </c>
      <c r="AH294" s="22" t="str">
        <f>INDEX(Cronograma!AG$5:AG$11,MATCH($B294,Premissas!$A$39:$A$45,0))</f>
        <v/>
      </c>
      <c r="AI294" s="22" t="str">
        <f>INDEX(Cronograma!AH$5:AH$11,MATCH($B294,Premissas!$A$39:$A$45,0))</f>
        <v/>
      </c>
      <c r="AJ294" s="22" t="str">
        <f>INDEX(Cronograma!AI$5:AI$11,MATCH($B294,Premissas!$A$39:$A$45,0))</f>
        <v/>
      </c>
      <c r="AK294" s="22" t="str">
        <f>INDEX(Cronograma!AJ$5:AJ$11,MATCH($B294,Premissas!$A$39:$A$45,0))</f>
        <v/>
      </c>
      <c r="AL294" s="22" t="str">
        <f>INDEX(Cronograma!AK$5:AK$11,MATCH($B294,Premissas!$A$39:$A$45,0))</f>
        <v/>
      </c>
      <c r="AM294" s="22" t="str">
        <f>INDEX(Cronograma!AL$5:AL$11,MATCH($B294,Premissas!$A$39:$A$45,0))</f>
        <v/>
      </c>
      <c r="AN294" s="22" t="str">
        <f>INDEX(Cronograma!AM$5:AM$11,MATCH($B294,Premissas!$A$39:$A$45,0))</f>
        <v/>
      </c>
      <c r="AO294" s="22" t="str">
        <f>INDEX(Cronograma!AN$5:AN$11,MATCH($B294,Premissas!$A$39:$A$45,0))</f>
        <v/>
      </c>
      <c r="AP294" s="22" t="str">
        <f>INDEX(Cronograma!AO$5:AO$11,MATCH($B294,Premissas!$A$39:$A$45,0))</f>
        <v/>
      </c>
      <c r="AQ294" s="22" t="str">
        <f>INDEX(Cronograma!AP$5:AP$11,MATCH($B294,Premissas!$A$39:$A$45,0))</f>
        <v/>
      </c>
      <c r="AR294" s="22" t="str">
        <f>INDEX(Cronograma!AQ$5:AQ$11,MATCH($B294,Premissas!$A$39:$A$45,0))</f>
        <v>A</v>
      </c>
      <c r="AS294" s="22" t="str">
        <f>INDEX(Cronograma!AR$5:AR$11,MATCH($B294,Premissas!$A$39:$A$45,0))</f>
        <v/>
      </c>
      <c r="AT294" s="22" t="str">
        <f>INDEX(Cronograma!AS$5:AS$11,MATCH($B294,Premissas!$A$39:$A$45,0))</f>
        <v/>
      </c>
      <c r="AU294" s="22" t="str">
        <f>INDEX(Cronograma!AT$5:AT$11,MATCH($B294,Premissas!$A$39:$A$45,0))</f>
        <v/>
      </c>
      <c r="AV294" s="22" t="str">
        <f>INDEX(Cronograma!AU$5:AU$11,MATCH($B294,Premissas!$A$39:$A$45,0))</f>
        <v/>
      </c>
      <c r="AW294" s="22" t="str">
        <f>INDEX(Cronograma!AV$5:AV$11,MATCH($B294,Premissas!$A$39:$A$45,0))</f>
        <v/>
      </c>
      <c r="AX294" s="22" t="str">
        <f>INDEX(Cronograma!AW$5:AW$11,MATCH($B294,Premissas!$A$39:$A$45,0))</f>
        <v/>
      </c>
      <c r="AY294" s="22" t="str">
        <f>INDEX(Cronograma!AX$5:AX$11,MATCH($B294,Premissas!$A$39:$A$45,0))</f>
        <v/>
      </c>
      <c r="AZ294" s="22" t="str">
        <f>INDEX(Cronograma!AY$5:AY$11,MATCH($B294,Premissas!$A$39:$A$45,0))</f>
        <v/>
      </c>
      <c r="BA294" s="22" t="str">
        <f>INDEX(Cronograma!AZ$5:AZ$11,MATCH($B294,Premissas!$A$39:$A$45,0))</f>
        <v/>
      </c>
      <c r="BB294" s="22" t="str">
        <f>INDEX(Cronograma!BA$5:BA$11,MATCH($B294,Premissas!$A$39:$A$45,0))</f>
        <v/>
      </c>
    </row>
    <row r="295" spans="1:54" ht="15" customHeight="1" x14ac:dyDescent="0.4">
      <c r="A295" s="15" t="str">
        <f>Frota!$B295&amp;" — "&amp;Frota!$A295</f>
        <v>310 L — 116104</v>
      </c>
      <c r="B295" s="16" t="str">
        <f>Frota!$C295</f>
        <v>Carregadeira/Pesada</v>
      </c>
      <c r="C295" s="22" t="str">
        <f>INDEX(Cronograma!B$5:B$11,MATCH($B295,Premissas!$A$39:$A$45,0))</f>
        <v/>
      </c>
      <c r="D295" s="22" t="str">
        <f>INDEX(Cronograma!C$5:C$11,MATCH($B295,Premissas!$A$39:$A$45,0))</f>
        <v/>
      </c>
      <c r="E295" s="22" t="str">
        <f>INDEX(Cronograma!D$5:D$11,MATCH($B295,Premissas!$A$39:$A$45,0))</f>
        <v/>
      </c>
      <c r="F295" s="22" t="str">
        <f>INDEX(Cronograma!E$5:E$11,MATCH($B295,Premissas!$A$39:$A$45,0))</f>
        <v/>
      </c>
      <c r="G295" s="22" t="str">
        <f>INDEX(Cronograma!F$5:F$11,MATCH($B295,Premissas!$A$39:$A$45,0))</f>
        <v/>
      </c>
      <c r="H295" s="22" t="str">
        <f>INDEX(Cronograma!G$5:G$11,MATCH($B295,Premissas!$A$39:$A$45,0))</f>
        <v>S</v>
      </c>
      <c r="I295" s="22" t="str">
        <f>INDEX(Cronograma!H$5:H$11,MATCH($B295,Premissas!$A$39:$A$45,0))</f>
        <v/>
      </c>
      <c r="J295" s="22" t="str">
        <f>INDEX(Cronograma!I$5:I$11,MATCH($B295,Premissas!$A$39:$A$45,0))</f>
        <v/>
      </c>
      <c r="K295" s="22" t="str">
        <f>INDEX(Cronograma!J$5:J$11,MATCH($B295,Premissas!$A$39:$A$45,0))</f>
        <v/>
      </c>
      <c r="L295" s="22" t="str">
        <f>INDEX(Cronograma!K$5:K$11,MATCH($B295,Premissas!$A$39:$A$45,0))</f>
        <v/>
      </c>
      <c r="M295" s="22" t="str">
        <f>INDEX(Cronograma!L$5:L$11,MATCH($B295,Premissas!$A$39:$A$45,0))</f>
        <v/>
      </c>
      <c r="N295" s="22" t="str">
        <f>INDEX(Cronograma!M$5:M$11,MATCH($B295,Premissas!$A$39:$A$45,0))</f>
        <v>A</v>
      </c>
      <c r="O295" s="22" t="str">
        <f>INDEX(Cronograma!N$5:N$11,MATCH($B295,Premissas!$A$39:$A$45,0))</f>
        <v/>
      </c>
      <c r="P295" s="22" t="str">
        <f>INDEX(Cronograma!O$5:O$11,MATCH($B295,Premissas!$A$39:$A$45,0))</f>
        <v/>
      </c>
      <c r="Q295" s="22" t="str">
        <f>INDEX(Cronograma!P$5:P$11,MATCH($B295,Premissas!$A$39:$A$45,0))</f>
        <v/>
      </c>
      <c r="R295" s="22" t="str">
        <f>INDEX(Cronograma!Q$5:Q$11,MATCH($B295,Premissas!$A$39:$A$45,0))</f>
        <v/>
      </c>
      <c r="S295" s="22" t="str">
        <f>INDEX(Cronograma!R$5:R$11,MATCH($B295,Premissas!$A$39:$A$45,0))</f>
        <v>S</v>
      </c>
      <c r="T295" s="22" t="str">
        <f>INDEX(Cronograma!S$5:S$11,MATCH($B295,Premissas!$A$39:$A$45,0))</f>
        <v/>
      </c>
      <c r="U295" s="22" t="str">
        <f>INDEX(Cronograma!T$5:T$11,MATCH($B295,Premissas!$A$39:$A$45,0))</f>
        <v/>
      </c>
      <c r="V295" s="22" t="str">
        <f>INDEX(Cronograma!U$5:U$11,MATCH($B295,Premissas!$A$39:$A$45,0))</f>
        <v/>
      </c>
      <c r="W295" s="22" t="str">
        <f>INDEX(Cronograma!V$5:V$11,MATCH($B295,Premissas!$A$39:$A$45,0))</f>
        <v/>
      </c>
      <c r="X295" s="22" t="str">
        <f>INDEX(Cronograma!W$5:W$11,MATCH($B295,Premissas!$A$39:$A$45,0))</f>
        <v/>
      </c>
      <c r="Y295" s="22" t="str">
        <f>INDEX(Cronograma!X$5:X$11,MATCH($B295,Premissas!$A$39:$A$45,0))</f>
        <v>B</v>
      </c>
      <c r="Z295" s="22" t="str">
        <f>INDEX(Cronograma!Y$5:Y$11,MATCH($B295,Premissas!$A$39:$A$45,0))</f>
        <v/>
      </c>
      <c r="AA295" s="22" t="str">
        <f>INDEX(Cronograma!Z$5:Z$11,MATCH($B295,Premissas!$A$39:$A$45,0))</f>
        <v/>
      </c>
      <c r="AB295" s="22" t="str">
        <f>INDEX(Cronograma!AA$5:AA$11,MATCH($B295,Premissas!$A$39:$A$45,0))</f>
        <v/>
      </c>
      <c r="AC295" s="22" t="str">
        <f>INDEX(Cronograma!AB$5:AB$11,MATCH($B295,Premissas!$A$39:$A$45,0))</f>
        <v/>
      </c>
      <c r="AD295" s="22" t="str">
        <f>INDEX(Cronograma!AC$5:AC$11,MATCH($B295,Premissas!$A$39:$A$45,0))</f>
        <v>S</v>
      </c>
      <c r="AE295" s="22" t="str">
        <f>INDEX(Cronograma!AD$5:AD$11,MATCH($B295,Premissas!$A$39:$A$45,0))</f>
        <v/>
      </c>
      <c r="AF295" s="22" t="str">
        <f>INDEX(Cronograma!AE$5:AE$11,MATCH($B295,Premissas!$A$39:$A$45,0))</f>
        <v/>
      </c>
      <c r="AG295" s="22" t="str">
        <f>INDEX(Cronograma!AF$5:AF$11,MATCH($B295,Premissas!$A$39:$A$45,0))</f>
        <v/>
      </c>
      <c r="AH295" s="22" t="str">
        <f>INDEX(Cronograma!AG$5:AG$11,MATCH($B295,Premissas!$A$39:$A$45,0))</f>
        <v/>
      </c>
      <c r="AI295" s="22" t="str">
        <f>INDEX(Cronograma!AH$5:AH$11,MATCH($B295,Premissas!$A$39:$A$45,0))</f>
        <v/>
      </c>
      <c r="AJ295" s="22" t="str">
        <f>INDEX(Cronograma!AI$5:AI$11,MATCH($B295,Premissas!$A$39:$A$45,0))</f>
        <v/>
      </c>
      <c r="AK295" s="22" t="str">
        <f>INDEX(Cronograma!AJ$5:AJ$11,MATCH($B295,Premissas!$A$39:$A$45,0))</f>
        <v/>
      </c>
      <c r="AL295" s="22" t="str">
        <f>INDEX(Cronograma!AK$5:AK$11,MATCH($B295,Premissas!$A$39:$A$45,0))</f>
        <v/>
      </c>
      <c r="AM295" s="22" t="str">
        <f>INDEX(Cronograma!AL$5:AL$11,MATCH($B295,Premissas!$A$39:$A$45,0))</f>
        <v/>
      </c>
      <c r="AN295" s="22" t="str">
        <f>INDEX(Cronograma!AM$5:AM$11,MATCH($B295,Premissas!$A$39:$A$45,0))</f>
        <v/>
      </c>
      <c r="AO295" s="22" t="str">
        <f>INDEX(Cronograma!AN$5:AN$11,MATCH($B295,Premissas!$A$39:$A$45,0))</f>
        <v/>
      </c>
      <c r="AP295" s="22" t="str">
        <f>INDEX(Cronograma!AO$5:AO$11,MATCH($B295,Premissas!$A$39:$A$45,0))</f>
        <v/>
      </c>
      <c r="AQ295" s="22" t="str">
        <f>INDEX(Cronograma!AP$5:AP$11,MATCH($B295,Premissas!$A$39:$A$45,0))</f>
        <v/>
      </c>
      <c r="AR295" s="22" t="str">
        <f>INDEX(Cronograma!AQ$5:AQ$11,MATCH($B295,Premissas!$A$39:$A$45,0))</f>
        <v>A</v>
      </c>
      <c r="AS295" s="22" t="str">
        <f>INDEX(Cronograma!AR$5:AR$11,MATCH($B295,Premissas!$A$39:$A$45,0))</f>
        <v/>
      </c>
      <c r="AT295" s="22" t="str">
        <f>INDEX(Cronograma!AS$5:AS$11,MATCH($B295,Premissas!$A$39:$A$45,0))</f>
        <v/>
      </c>
      <c r="AU295" s="22" t="str">
        <f>INDEX(Cronograma!AT$5:AT$11,MATCH($B295,Premissas!$A$39:$A$45,0))</f>
        <v/>
      </c>
      <c r="AV295" s="22" t="str">
        <f>INDEX(Cronograma!AU$5:AU$11,MATCH($B295,Premissas!$A$39:$A$45,0))</f>
        <v/>
      </c>
      <c r="AW295" s="22" t="str">
        <f>INDEX(Cronograma!AV$5:AV$11,MATCH($B295,Premissas!$A$39:$A$45,0))</f>
        <v/>
      </c>
      <c r="AX295" s="22" t="str">
        <f>INDEX(Cronograma!AW$5:AW$11,MATCH($B295,Premissas!$A$39:$A$45,0))</f>
        <v/>
      </c>
      <c r="AY295" s="22" t="str">
        <f>INDEX(Cronograma!AX$5:AX$11,MATCH($B295,Premissas!$A$39:$A$45,0))</f>
        <v/>
      </c>
      <c r="AZ295" s="22" t="str">
        <f>INDEX(Cronograma!AY$5:AY$11,MATCH($B295,Premissas!$A$39:$A$45,0))</f>
        <v/>
      </c>
      <c r="BA295" s="22" t="str">
        <f>INDEX(Cronograma!AZ$5:AZ$11,MATCH($B295,Premissas!$A$39:$A$45,0))</f>
        <v/>
      </c>
      <c r="BB295" s="22" t="str">
        <f>INDEX(Cronograma!BA$5:BA$11,MATCH($B295,Premissas!$A$39:$A$45,0))</f>
        <v/>
      </c>
    </row>
    <row r="296" spans="1:54" ht="15" customHeight="1" x14ac:dyDescent="0.4">
      <c r="A296" s="15" t="str">
        <f>Frota!$B296&amp;" — "&amp;Frota!$A296</f>
        <v>NH TK-4060 — 119001</v>
      </c>
      <c r="B296" s="16" t="str">
        <f>Frota!$C296</f>
        <v>Trator</v>
      </c>
      <c r="C296" s="22" t="str">
        <f>INDEX(Cronograma!B$5:B$11,MATCH($B296,Premissas!$A$39:$A$45,0))</f>
        <v/>
      </c>
      <c r="D296" s="22" t="str">
        <f>INDEX(Cronograma!C$5:C$11,MATCH($B296,Premissas!$A$39:$A$45,0))</f>
        <v/>
      </c>
      <c r="E296" s="22" t="str">
        <f>INDEX(Cronograma!D$5:D$11,MATCH($B296,Premissas!$A$39:$A$45,0))</f>
        <v/>
      </c>
      <c r="F296" s="22" t="str">
        <f>INDEX(Cronograma!E$5:E$11,MATCH($B296,Premissas!$A$39:$A$45,0))</f>
        <v/>
      </c>
      <c r="G296" s="22" t="str">
        <f>INDEX(Cronograma!F$5:F$11,MATCH($B296,Premissas!$A$39:$A$45,0))</f>
        <v/>
      </c>
      <c r="H296" s="22" t="str">
        <f>INDEX(Cronograma!G$5:G$11,MATCH($B296,Premissas!$A$39:$A$45,0))</f>
        <v/>
      </c>
      <c r="I296" s="22" t="str">
        <f>INDEX(Cronograma!H$5:H$11,MATCH($B296,Premissas!$A$39:$A$45,0))</f>
        <v>S</v>
      </c>
      <c r="J296" s="22" t="str">
        <f>INDEX(Cronograma!I$5:I$11,MATCH($B296,Premissas!$A$39:$A$45,0))</f>
        <v/>
      </c>
      <c r="K296" s="22" t="str">
        <f>INDEX(Cronograma!J$5:J$11,MATCH($B296,Premissas!$A$39:$A$45,0))</f>
        <v/>
      </c>
      <c r="L296" s="22" t="str">
        <f>INDEX(Cronograma!K$5:K$11,MATCH($B296,Premissas!$A$39:$A$45,0))</f>
        <v/>
      </c>
      <c r="M296" s="22" t="str">
        <f>INDEX(Cronograma!L$5:L$11,MATCH($B296,Premissas!$A$39:$A$45,0))</f>
        <v/>
      </c>
      <c r="N296" s="22" t="str">
        <f>INDEX(Cronograma!M$5:M$11,MATCH($B296,Premissas!$A$39:$A$45,0))</f>
        <v/>
      </c>
      <c r="O296" s="22" t="str">
        <f>INDEX(Cronograma!N$5:N$11,MATCH($B296,Premissas!$A$39:$A$45,0))</f>
        <v>A</v>
      </c>
      <c r="P296" s="22" t="str">
        <f>INDEX(Cronograma!O$5:O$11,MATCH($B296,Premissas!$A$39:$A$45,0))</f>
        <v/>
      </c>
      <c r="Q296" s="22" t="str">
        <f>INDEX(Cronograma!P$5:P$11,MATCH($B296,Premissas!$A$39:$A$45,0))</f>
        <v/>
      </c>
      <c r="R296" s="22" t="str">
        <f>INDEX(Cronograma!Q$5:Q$11,MATCH($B296,Premissas!$A$39:$A$45,0))</f>
        <v/>
      </c>
      <c r="S296" s="22" t="str">
        <f>INDEX(Cronograma!R$5:R$11,MATCH($B296,Premissas!$A$39:$A$45,0))</f>
        <v/>
      </c>
      <c r="T296" s="22" t="str">
        <f>INDEX(Cronograma!S$5:S$11,MATCH($B296,Premissas!$A$39:$A$45,0))</f>
        <v/>
      </c>
      <c r="U296" s="22" t="str">
        <f>INDEX(Cronograma!T$5:T$11,MATCH($B296,Premissas!$A$39:$A$45,0))</f>
        <v>S</v>
      </c>
      <c r="V296" s="22" t="str">
        <f>INDEX(Cronograma!U$5:U$11,MATCH($B296,Premissas!$A$39:$A$45,0))</f>
        <v/>
      </c>
      <c r="W296" s="22" t="str">
        <f>INDEX(Cronograma!V$5:V$11,MATCH($B296,Premissas!$A$39:$A$45,0))</f>
        <v/>
      </c>
      <c r="X296" s="22" t="str">
        <f>INDEX(Cronograma!W$5:W$11,MATCH($B296,Premissas!$A$39:$A$45,0))</f>
        <v/>
      </c>
      <c r="Y296" s="22" t="str">
        <f>INDEX(Cronograma!X$5:X$11,MATCH($B296,Premissas!$A$39:$A$45,0))</f>
        <v/>
      </c>
      <c r="Z296" s="22" t="str">
        <f>INDEX(Cronograma!Y$5:Y$11,MATCH($B296,Premissas!$A$39:$A$45,0))</f>
        <v/>
      </c>
      <c r="AA296" s="22" t="str">
        <f>INDEX(Cronograma!Z$5:Z$11,MATCH($B296,Premissas!$A$39:$A$45,0))</f>
        <v>B</v>
      </c>
      <c r="AB296" s="22" t="str">
        <f>INDEX(Cronograma!AA$5:AA$11,MATCH($B296,Premissas!$A$39:$A$45,0))</f>
        <v/>
      </c>
      <c r="AC296" s="22" t="str">
        <f>INDEX(Cronograma!AB$5:AB$11,MATCH($B296,Premissas!$A$39:$A$45,0))</f>
        <v/>
      </c>
      <c r="AD296" s="22" t="str">
        <f>INDEX(Cronograma!AC$5:AC$11,MATCH($B296,Premissas!$A$39:$A$45,0))</f>
        <v/>
      </c>
      <c r="AE296" s="22" t="str">
        <f>INDEX(Cronograma!AD$5:AD$11,MATCH($B296,Premissas!$A$39:$A$45,0))</f>
        <v/>
      </c>
      <c r="AF296" s="22" t="str">
        <f>INDEX(Cronograma!AE$5:AE$11,MATCH($B296,Premissas!$A$39:$A$45,0))</f>
        <v/>
      </c>
      <c r="AG296" s="22" t="str">
        <f>INDEX(Cronograma!AF$5:AF$11,MATCH($B296,Premissas!$A$39:$A$45,0))</f>
        <v/>
      </c>
      <c r="AH296" s="22" t="str">
        <f>INDEX(Cronograma!AG$5:AG$11,MATCH($B296,Premissas!$A$39:$A$45,0))</f>
        <v>S</v>
      </c>
      <c r="AI296" s="22" t="str">
        <f>INDEX(Cronograma!AH$5:AH$11,MATCH($B296,Premissas!$A$39:$A$45,0))</f>
        <v/>
      </c>
      <c r="AJ296" s="22" t="str">
        <f>INDEX(Cronograma!AI$5:AI$11,MATCH($B296,Premissas!$A$39:$A$45,0))</f>
        <v/>
      </c>
      <c r="AK296" s="22" t="str">
        <f>INDEX(Cronograma!AJ$5:AJ$11,MATCH($B296,Premissas!$A$39:$A$45,0))</f>
        <v/>
      </c>
      <c r="AL296" s="22" t="str">
        <f>INDEX(Cronograma!AK$5:AK$11,MATCH($B296,Premissas!$A$39:$A$45,0))</f>
        <v/>
      </c>
      <c r="AM296" s="22" t="str">
        <f>INDEX(Cronograma!AL$5:AL$11,MATCH($B296,Premissas!$A$39:$A$45,0))</f>
        <v/>
      </c>
      <c r="AN296" s="22" t="str">
        <f>INDEX(Cronograma!AM$5:AM$11,MATCH($B296,Premissas!$A$39:$A$45,0))</f>
        <v/>
      </c>
      <c r="AO296" s="22" t="str">
        <f>INDEX(Cronograma!AN$5:AN$11,MATCH($B296,Premissas!$A$39:$A$45,0))</f>
        <v/>
      </c>
      <c r="AP296" s="22" t="str">
        <f>INDEX(Cronograma!AO$5:AO$11,MATCH($B296,Premissas!$A$39:$A$45,0))</f>
        <v/>
      </c>
      <c r="AQ296" s="22" t="str">
        <f>INDEX(Cronograma!AP$5:AP$11,MATCH($B296,Premissas!$A$39:$A$45,0))</f>
        <v/>
      </c>
      <c r="AR296" s="22" t="str">
        <f>INDEX(Cronograma!AQ$5:AQ$11,MATCH($B296,Premissas!$A$39:$A$45,0))</f>
        <v/>
      </c>
      <c r="AS296" s="22" t="str">
        <f>INDEX(Cronograma!AR$5:AR$11,MATCH($B296,Premissas!$A$39:$A$45,0))</f>
        <v/>
      </c>
      <c r="AT296" s="22" t="str">
        <f>INDEX(Cronograma!AS$5:AS$11,MATCH($B296,Premissas!$A$39:$A$45,0))</f>
        <v/>
      </c>
      <c r="AU296" s="22" t="str">
        <f>INDEX(Cronograma!AT$5:AT$11,MATCH($B296,Premissas!$A$39:$A$45,0))</f>
        <v/>
      </c>
      <c r="AV296" s="22" t="str">
        <f>INDEX(Cronograma!AU$5:AU$11,MATCH($B296,Premissas!$A$39:$A$45,0))</f>
        <v/>
      </c>
      <c r="AW296" s="22" t="str">
        <f>INDEX(Cronograma!AV$5:AV$11,MATCH($B296,Premissas!$A$39:$A$45,0))</f>
        <v/>
      </c>
      <c r="AX296" s="22" t="str">
        <f>INDEX(Cronograma!AW$5:AW$11,MATCH($B296,Premissas!$A$39:$A$45,0))</f>
        <v/>
      </c>
      <c r="AY296" s="22" t="str">
        <f>INDEX(Cronograma!AX$5:AX$11,MATCH($B296,Premissas!$A$39:$A$45,0))</f>
        <v>A</v>
      </c>
      <c r="AZ296" s="22" t="str">
        <f>INDEX(Cronograma!AY$5:AY$11,MATCH($B296,Premissas!$A$39:$A$45,0))</f>
        <v/>
      </c>
      <c r="BA296" s="22" t="str">
        <f>INDEX(Cronograma!AZ$5:AZ$11,MATCH($B296,Premissas!$A$39:$A$45,0))</f>
        <v/>
      </c>
      <c r="BB296" s="22" t="str">
        <f>INDEX(Cronograma!BA$5:BA$11,MATCH($B296,Premissas!$A$39:$A$45,0))</f>
        <v/>
      </c>
    </row>
    <row r="297" spans="1:54" ht="15" customHeight="1" x14ac:dyDescent="0.4">
      <c r="A297" s="15" t="str">
        <f>Frota!$B297&amp;" — "&amp;Frota!$A297</f>
        <v>NH TK-4060 — 119002</v>
      </c>
      <c r="B297" s="16" t="str">
        <f>Frota!$C297</f>
        <v>Trator</v>
      </c>
      <c r="C297" s="22" t="str">
        <f>INDEX(Cronograma!B$5:B$11,MATCH($B297,Premissas!$A$39:$A$45,0))</f>
        <v/>
      </c>
      <c r="D297" s="22" t="str">
        <f>INDEX(Cronograma!C$5:C$11,MATCH($B297,Premissas!$A$39:$A$45,0))</f>
        <v/>
      </c>
      <c r="E297" s="22" t="str">
        <f>INDEX(Cronograma!D$5:D$11,MATCH($B297,Premissas!$A$39:$A$45,0))</f>
        <v/>
      </c>
      <c r="F297" s="22" t="str">
        <f>INDEX(Cronograma!E$5:E$11,MATCH($B297,Premissas!$A$39:$A$45,0))</f>
        <v/>
      </c>
      <c r="G297" s="22" t="str">
        <f>INDEX(Cronograma!F$5:F$11,MATCH($B297,Premissas!$A$39:$A$45,0))</f>
        <v/>
      </c>
      <c r="H297" s="22" t="str">
        <f>INDEX(Cronograma!G$5:G$11,MATCH($B297,Premissas!$A$39:$A$45,0))</f>
        <v/>
      </c>
      <c r="I297" s="22" t="str">
        <f>INDEX(Cronograma!H$5:H$11,MATCH($B297,Premissas!$A$39:$A$45,0))</f>
        <v>S</v>
      </c>
      <c r="J297" s="22" t="str">
        <f>INDEX(Cronograma!I$5:I$11,MATCH($B297,Premissas!$A$39:$A$45,0))</f>
        <v/>
      </c>
      <c r="K297" s="22" t="str">
        <f>INDEX(Cronograma!J$5:J$11,MATCH($B297,Premissas!$A$39:$A$45,0))</f>
        <v/>
      </c>
      <c r="L297" s="22" t="str">
        <f>INDEX(Cronograma!K$5:K$11,MATCH($B297,Premissas!$A$39:$A$45,0))</f>
        <v/>
      </c>
      <c r="M297" s="22" t="str">
        <f>INDEX(Cronograma!L$5:L$11,MATCH($B297,Premissas!$A$39:$A$45,0))</f>
        <v/>
      </c>
      <c r="N297" s="22" t="str">
        <f>INDEX(Cronograma!M$5:M$11,MATCH($B297,Premissas!$A$39:$A$45,0))</f>
        <v/>
      </c>
      <c r="O297" s="22" t="str">
        <f>INDEX(Cronograma!N$5:N$11,MATCH($B297,Premissas!$A$39:$A$45,0))</f>
        <v>A</v>
      </c>
      <c r="P297" s="22" t="str">
        <f>INDEX(Cronograma!O$5:O$11,MATCH($B297,Premissas!$A$39:$A$45,0))</f>
        <v/>
      </c>
      <c r="Q297" s="22" t="str">
        <f>INDEX(Cronograma!P$5:P$11,MATCH($B297,Premissas!$A$39:$A$45,0))</f>
        <v/>
      </c>
      <c r="R297" s="22" t="str">
        <f>INDEX(Cronograma!Q$5:Q$11,MATCH($B297,Premissas!$A$39:$A$45,0))</f>
        <v/>
      </c>
      <c r="S297" s="22" t="str">
        <f>INDEX(Cronograma!R$5:R$11,MATCH($B297,Premissas!$A$39:$A$45,0))</f>
        <v/>
      </c>
      <c r="T297" s="22" t="str">
        <f>INDEX(Cronograma!S$5:S$11,MATCH($B297,Premissas!$A$39:$A$45,0))</f>
        <v/>
      </c>
      <c r="U297" s="22" t="str">
        <f>INDEX(Cronograma!T$5:T$11,MATCH($B297,Premissas!$A$39:$A$45,0))</f>
        <v>S</v>
      </c>
      <c r="V297" s="22" t="str">
        <f>INDEX(Cronograma!U$5:U$11,MATCH($B297,Premissas!$A$39:$A$45,0))</f>
        <v/>
      </c>
      <c r="W297" s="22" t="str">
        <f>INDEX(Cronograma!V$5:V$11,MATCH($B297,Premissas!$A$39:$A$45,0))</f>
        <v/>
      </c>
      <c r="X297" s="22" t="str">
        <f>INDEX(Cronograma!W$5:W$11,MATCH($B297,Premissas!$A$39:$A$45,0))</f>
        <v/>
      </c>
      <c r="Y297" s="22" t="str">
        <f>INDEX(Cronograma!X$5:X$11,MATCH($B297,Premissas!$A$39:$A$45,0))</f>
        <v/>
      </c>
      <c r="Z297" s="22" t="str">
        <f>INDEX(Cronograma!Y$5:Y$11,MATCH($B297,Premissas!$A$39:$A$45,0))</f>
        <v/>
      </c>
      <c r="AA297" s="22" t="str">
        <f>INDEX(Cronograma!Z$5:Z$11,MATCH($B297,Premissas!$A$39:$A$45,0))</f>
        <v>B</v>
      </c>
      <c r="AB297" s="22" t="str">
        <f>INDEX(Cronograma!AA$5:AA$11,MATCH($B297,Premissas!$A$39:$A$45,0))</f>
        <v/>
      </c>
      <c r="AC297" s="22" t="str">
        <f>INDEX(Cronograma!AB$5:AB$11,MATCH($B297,Premissas!$A$39:$A$45,0))</f>
        <v/>
      </c>
      <c r="AD297" s="22" t="str">
        <f>INDEX(Cronograma!AC$5:AC$11,MATCH($B297,Premissas!$A$39:$A$45,0))</f>
        <v/>
      </c>
      <c r="AE297" s="22" t="str">
        <f>INDEX(Cronograma!AD$5:AD$11,MATCH($B297,Premissas!$A$39:$A$45,0))</f>
        <v/>
      </c>
      <c r="AF297" s="22" t="str">
        <f>INDEX(Cronograma!AE$5:AE$11,MATCH($B297,Premissas!$A$39:$A$45,0))</f>
        <v/>
      </c>
      <c r="AG297" s="22" t="str">
        <f>INDEX(Cronograma!AF$5:AF$11,MATCH($B297,Premissas!$A$39:$A$45,0))</f>
        <v/>
      </c>
      <c r="AH297" s="22" t="str">
        <f>INDEX(Cronograma!AG$5:AG$11,MATCH($B297,Premissas!$A$39:$A$45,0))</f>
        <v>S</v>
      </c>
      <c r="AI297" s="22" t="str">
        <f>INDEX(Cronograma!AH$5:AH$11,MATCH($B297,Premissas!$A$39:$A$45,0))</f>
        <v/>
      </c>
      <c r="AJ297" s="22" t="str">
        <f>INDEX(Cronograma!AI$5:AI$11,MATCH($B297,Premissas!$A$39:$A$45,0))</f>
        <v/>
      </c>
      <c r="AK297" s="22" t="str">
        <f>INDEX(Cronograma!AJ$5:AJ$11,MATCH($B297,Premissas!$A$39:$A$45,0))</f>
        <v/>
      </c>
      <c r="AL297" s="22" t="str">
        <f>INDEX(Cronograma!AK$5:AK$11,MATCH($B297,Premissas!$A$39:$A$45,0))</f>
        <v/>
      </c>
      <c r="AM297" s="22" t="str">
        <f>INDEX(Cronograma!AL$5:AL$11,MATCH($B297,Premissas!$A$39:$A$45,0))</f>
        <v/>
      </c>
      <c r="AN297" s="22" t="str">
        <f>INDEX(Cronograma!AM$5:AM$11,MATCH($B297,Premissas!$A$39:$A$45,0))</f>
        <v/>
      </c>
      <c r="AO297" s="22" t="str">
        <f>INDEX(Cronograma!AN$5:AN$11,MATCH($B297,Premissas!$A$39:$A$45,0))</f>
        <v/>
      </c>
      <c r="AP297" s="22" t="str">
        <f>INDEX(Cronograma!AO$5:AO$11,MATCH($B297,Premissas!$A$39:$A$45,0))</f>
        <v/>
      </c>
      <c r="AQ297" s="22" t="str">
        <f>INDEX(Cronograma!AP$5:AP$11,MATCH($B297,Premissas!$A$39:$A$45,0))</f>
        <v/>
      </c>
      <c r="AR297" s="22" t="str">
        <f>INDEX(Cronograma!AQ$5:AQ$11,MATCH($B297,Premissas!$A$39:$A$45,0))</f>
        <v/>
      </c>
      <c r="AS297" s="22" t="str">
        <f>INDEX(Cronograma!AR$5:AR$11,MATCH($B297,Premissas!$A$39:$A$45,0))</f>
        <v/>
      </c>
      <c r="AT297" s="22" t="str">
        <f>INDEX(Cronograma!AS$5:AS$11,MATCH($B297,Premissas!$A$39:$A$45,0))</f>
        <v/>
      </c>
      <c r="AU297" s="22" t="str">
        <f>INDEX(Cronograma!AT$5:AT$11,MATCH($B297,Premissas!$A$39:$A$45,0))</f>
        <v/>
      </c>
      <c r="AV297" s="22" t="str">
        <f>INDEX(Cronograma!AU$5:AU$11,MATCH($B297,Premissas!$A$39:$A$45,0))</f>
        <v/>
      </c>
      <c r="AW297" s="22" t="str">
        <f>INDEX(Cronograma!AV$5:AV$11,MATCH($B297,Premissas!$A$39:$A$45,0))</f>
        <v/>
      </c>
      <c r="AX297" s="22" t="str">
        <f>INDEX(Cronograma!AW$5:AW$11,MATCH($B297,Premissas!$A$39:$A$45,0))</f>
        <v/>
      </c>
      <c r="AY297" s="22" t="str">
        <f>INDEX(Cronograma!AX$5:AX$11,MATCH($B297,Premissas!$A$39:$A$45,0))</f>
        <v>A</v>
      </c>
      <c r="AZ297" s="22" t="str">
        <f>INDEX(Cronograma!AY$5:AY$11,MATCH($B297,Premissas!$A$39:$A$45,0))</f>
        <v/>
      </c>
      <c r="BA297" s="22" t="str">
        <f>INDEX(Cronograma!AZ$5:AZ$11,MATCH($B297,Premissas!$A$39:$A$45,0))</f>
        <v/>
      </c>
      <c r="BB297" s="22" t="str">
        <f>INDEX(Cronograma!BA$5:BA$11,MATCH($B297,Premissas!$A$39:$A$45,0))</f>
        <v/>
      </c>
    </row>
    <row r="298" spans="1:54" ht="15" customHeight="1" x14ac:dyDescent="0.4">
      <c r="A298" s="15" t="str">
        <f>Frota!$B298&amp;" — "&amp;Frota!$A298</f>
        <v>NH TK-4060 — 119003</v>
      </c>
      <c r="B298" s="16" t="str">
        <f>Frota!$C298</f>
        <v>Trator</v>
      </c>
      <c r="C298" s="22" t="str">
        <f>INDEX(Cronograma!B$5:B$11,MATCH($B298,Premissas!$A$39:$A$45,0))</f>
        <v/>
      </c>
      <c r="D298" s="22" t="str">
        <f>INDEX(Cronograma!C$5:C$11,MATCH($B298,Premissas!$A$39:$A$45,0))</f>
        <v/>
      </c>
      <c r="E298" s="22" t="str">
        <f>INDEX(Cronograma!D$5:D$11,MATCH($B298,Premissas!$A$39:$A$45,0))</f>
        <v/>
      </c>
      <c r="F298" s="22" t="str">
        <f>INDEX(Cronograma!E$5:E$11,MATCH($B298,Premissas!$A$39:$A$45,0))</f>
        <v/>
      </c>
      <c r="G298" s="22" t="str">
        <f>INDEX(Cronograma!F$5:F$11,MATCH($B298,Premissas!$A$39:$A$45,0))</f>
        <v/>
      </c>
      <c r="H298" s="22" t="str">
        <f>INDEX(Cronograma!G$5:G$11,MATCH($B298,Premissas!$A$39:$A$45,0))</f>
        <v/>
      </c>
      <c r="I298" s="22" t="str">
        <f>INDEX(Cronograma!H$5:H$11,MATCH($B298,Premissas!$A$39:$A$45,0))</f>
        <v>S</v>
      </c>
      <c r="J298" s="22" t="str">
        <f>INDEX(Cronograma!I$5:I$11,MATCH($B298,Premissas!$A$39:$A$45,0))</f>
        <v/>
      </c>
      <c r="K298" s="22" t="str">
        <f>INDEX(Cronograma!J$5:J$11,MATCH($B298,Premissas!$A$39:$A$45,0))</f>
        <v/>
      </c>
      <c r="L298" s="22" t="str">
        <f>INDEX(Cronograma!K$5:K$11,MATCH($B298,Premissas!$A$39:$A$45,0))</f>
        <v/>
      </c>
      <c r="M298" s="22" t="str">
        <f>INDEX(Cronograma!L$5:L$11,MATCH($B298,Premissas!$A$39:$A$45,0))</f>
        <v/>
      </c>
      <c r="N298" s="22" t="str">
        <f>INDEX(Cronograma!M$5:M$11,MATCH($B298,Premissas!$A$39:$A$45,0))</f>
        <v/>
      </c>
      <c r="O298" s="22" t="str">
        <f>INDEX(Cronograma!N$5:N$11,MATCH($B298,Premissas!$A$39:$A$45,0))</f>
        <v>A</v>
      </c>
      <c r="P298" s="22" t="str">
        <f>INDEX(Cronograma!O$5:O$11,MATCH($B298,Premissas!$A$39:$A$45,0))</f>
        <v/>
      </c>
      <c r="Q298" s="22" t="str">
        <f>INDEX(Cronograma!P$5:P$11,MATCH($B298,Premissas!$A$39:$A$45,0))</f>
        <v/>
      </c>
      <c r="R298" s="22" t="str">
        <f>INDEX(Cronograma!Q$5:Q$11,MATCH($B298,Premissas!$A$39:$A$45,0))</f>
        <v/>
      </c>
      <c r="S298" s="22" t="str">
        <f>INDEX(Cronograma!R$5:R$11,MATCH($B298,Premissas!$A$39:$A$45,0))</f>
        <v/>
      </c>
      <c r="T298" s="22" t="str">
        <f>INDEX(Cronograma!S$5:S$11,MATCH($B298,Premissas!$A$39:$A$45,0))</f>
        <v/>
      </c>
      <c r="U298" s="22" t="str">
        <f>INDEX(Cronograma!T$5:T$11,MATCH($B298,Premissas!$A$39:$A$45,0))</f>
        <v>S</v>
      </c>
      <c r="V298" s="22" t="str">
        <f>INDEX(Cronograma!U$5:U$11,MATCH($B298,Premissas!$A$39:$A$45,0))</f>
        <v/>
      </c>
      <c r="W298" s="22" t="str">
        <f>INDEX(Cronograma!V$5:V$11,MATCH($B298,Premissas!$A$39:$A$45,0))</f>
        <v/>
      </c>
      <c r="X298" s="22" t="str">
        <f>INDEX(Cronograma!W$5:W$11,MATCH($B298,Premissas!$A$39:$A$45,0))</f>
        <v/>
      </c>
      <c r="Y298" s="22" t="str">
        <f>INDEX(Cronograma!X$5:X$11,MATCH($B298,Premissas!$A$39:$A$45,0))</f>
        <v/>
      </c>
      <c r="Z298" s="22" t="str">
        <f>INDEX(Cronograma!Y$5:Y$11,MATCH($B298,Premissas!$A$39:$A$45,0))</f>
        <v/>
      </c>
      <c r="AA298" s="22" t="str">
        <f>INDEX(Cronograma!Z$5:Z$11,MATCH($B298,Premissas!$A$39:$A$45,0))</f>
        <v>B</v>
      </c>
      <c r="AB298" s="22" t="str">
        <f>INDEX(Cronograma!AA$5:AA$11,MATCH($B298,Premissas!$A$39:$A$45,0))</f>
        <v/>
      </c>
      <c r="AC298" s="22" t="str">
        <f>INDEX(Cronograma!AB$5:AB$11,MATCH($B298,Premissas!$A$39:$A$45,0))</f>
        <v/>
      </c>
      <c r="AD298" s="22" t="str">
        <f>INDEX(Cronograma!AC$5:AC$11,MATCH($B298,Premissas!$A$39:$A$45,0))</f>
        <v/>
      </c>
      <c r="AE298" s="22" t="str">
        <f>INDEX(Cronograma!AD$5:AD$11,MATCH($B298,Premissas!$A$39:$A$45,0))</f>
        <v/>
      </c>
      <c r="AF298" s="22" t="str">
        <f>INDEX(Cronograma!AE$5:AE$11,MATCH($B298,Premissas!$A$39:$A$45,0))</f>
        <v/>
      </c>
      <c r="AG298" s="22" t="str">
        <f>INDEX(Cronograma!AF$5:AF$11,MATCH($B298,Premissas!$A$39:$A$45,0))</f>
        <v/>
      </c>
      <c r="AH298" s="22" t="str">
        <f>INDEX(Cronograma!AG$5:AG$11,MATCH($B298,Premissas!$A$39:$A$45,0))</f>
        <v>S</v>
      </c>
      <c r="AI298" s="22" t="str">
        <f>INDEX(Cronograma!AH$5:AH$11,MATCH($B298,Premissas!$A$39:$A$45,0))</f>
        <v/>
      </c>
      <c r="AJ298" s="22" t="str">
        <f>INDEX(Cronograma!AI$5:AI$11,MATCH($B298,Premissas!$A$39:$A$45,0))</f>
        <v/>
      </c>
      <c r="AK298" s="22" t="str">
        <f>INDEX(Cronograma!AJ$5:AJ$11,MATCH($B298,Premissas!$A$39:$A$45,0))</f>
        <v/>
      </c>
      <c r="AL298" s="22" t="str">
        <f>INDEX(Cronograma!AK$5:AK$11,MATCH($B298,Premissas!$A$39:$A$45,0))</f>
        <v/>
      </c>
      <c r="AM298" s="22" t="str">
        <f>INDEX(Cronograma!AL$5:AL$11,MATCH($B298,Premissas!$A$39:$A$45,0))</f>
        <v/>
      </c>
      <c r="AN298" s="22" t="str">
        <f>INDEX(Cronograma!AM$5:AM$11,MATCH($B298,Premissas!$A$39:$A$45,0))</f>
        <v/>
      </c>
      <c r="AO298" s="22" t="str">
        <f>INDEX(Cronograma!AN$5:AN$11,MATCH($B298,Premissas!$A$39:$A$45,0))</f>
        <v/>
      </c>
      <c r="AP298" s="22" t="str">
        <f>INDEX(Cronograma!AO$5:AO$11,MATCH($B298,Premissas!$A$39:$A$45,0))</f>
        <v/>
      </c>
      <c r="AQ298" s="22" t="str">
        <f>INDEX(Cronograma!AP$5:AP$11,MATCH($B298,Premissas!$A$39:$A$45,0))</f>
        <v/>
      </c>
      <c r="AR298" s="22" t="str">
        <f>INDEX(Cronograma!AQ$5:AQ$11,MATCH($B298,Premissas!$A$39:$A$45,0))</f>
        <v/>
      </c>
      <c r="AS298" s="22" t="str">
        <f>INDEX(Cronograma!AR$5:AR$11,MATCH($B298,Premissas!$A$39:$A$45,0))</f>
        <v/>
      </c>
      <c r="AT298" s="22" t="str">
        <f>INDEX(Cronograma!AS$5:AS$11,MATCH($B298,Premissas!$A$39:$A$45,0))</f>
        <v/>
      </c>
      <c r="AU298" s="22" t="str">
        <f>INDEX(Cronograma!AT$5:AT$11,MATCH($B298,Premissas!$A$39:$A$45,0))</f>
        <v/>
      </c>
      <c r="AV298" s="22" t="str">
        <f>INDEX(Cronograma!AU$5:AU$11,MATCH($B298,Premissas!$A$39:$A$45,0))</f>
        <v/>
      </c>
      <c r="AW298" s="22" t="str">
        <f>INDEX(Cronograma!AV$5:AV$11,MATCH($B298,Premissas!$A$39:$A$45,0))</f>
        <v/>
      </c>
      <c r="AX298" s="22" t="str">
        <f>INDEX(Cronograma!AW$5:AW$11,MATCH($B298,Premissas!$A$39:$A$45,0))</f>
        <v/>
      </c>
      <c r="AY298" s="22" t="str">
        <f>INDEX(Cronograma!AX$5:AX$11,MATCH($B298,Premissas!$A$39:$A$45,0))</f>
        <v>A</v>
      </c>
      <c r="AZ298" s="22" t="str">
        <f>INDEX(Cronograma!AY$5:AY$11,MATCH($B298,Premissas!$A$39:$A$45,0))</f>
        <v/>
      </c>
      <c r="BA298" s="22" t="str">
        <f>INDEX(Cronograma!AZ$5:AZ$11,MATCH($B298,Premissas!$A$39:$A$45,0))</f>
        <v/>
      </c>
      <c r="BB298" s="22" t="str">
        <f>INDEX(Cronograma!BA$5:BA$11,MATCH($B298,Premissas!$A$39:$A$45,0))</f>
        <v/>
      </c>
    </row>
    <row r="299" spans="1:54" ht="15" customHeight="1" x14ac:dyDescent="0.4">
      <c r="A299" s="15" t="str">
        <f>Frota!$B299&amp;" — "&amp;Frota!$A299</f>
        <v>NH TK-4.100 — 119004</v>
      </c>
      <c r="B299" s="16" t="str">
        <f>Frota!$C299</f>
        <v>Trator</v>
      </c>
      <c r="C299" s="22" t="str">
        <f>INDEX(Cronograma!B$5:B$11,MATCH($B299,Premissas!$A$39:$A$45,0))</f>
        <v/>
      </c>
      <c r="D299" s="22" t="str">
        <f>INDEX(Cronograma!C$5:C$11,MATCH($B299,Premissas!$A$39:$A$45,0))</f>
        <v/>
      </c>
      <c r="E299" s="22" t="str">
        <f>INDEX(Cronograma!D$5:D$11,MATCH($B299,Premissas!$A$39:$A$45,0))</f>
        <v/>
      </c>
      <c r="F299" s="22" t="str">
        <f>INDEX(Cronograma!E$5:E$11,MATCH($B299,Premissas!$A$39:$A$45,0))</f>
        <v/>
      </c>
      <c r="G299" s="22" t="str">
        <f>INDEX(Cronograma!F$5:F$11,MATCH($B299,Premissas!$A$39:$A$45,0))</f>
        <v/>
      </c>
      <c r="H299" s="22" t="str">
        <f>INDEX(Cronograma!G$5:G$11,MATCH($B299,Premissas!$A$39:$A$45,0))</f>
        <v/>
      </c>
      <c r="I299" s="22" t="str">
        <f>INDEX(Cronograma!H$5:H$11,MATCH($B299,Premissas!$A$39:$A$45,0))</f>
        <v>S</v>
      </c>
      <c r="J299" s="22" t="str">
        <f>INDEX(Cronograma!I$5:I$11,MATCH($B299,Premissas!$A$39:$A$45,0))</f>
        <v/>
      </c>
      <c r="K299" s="22" t="str">
        <f>INDEX(Cronograma!J$5:J$11,MATCH($B299,Premissas!$A$39:$A$45,0))</f>
        <v/>
      </c>
      <c r="L299" s="22" t="str">
        <f>INDEX(Cronograma!K$5:K$11,MATCH($B299,Premissas!$A$39:$A$45,0))</f>
        <v/>
      </c>
      <c r="M299" s="22" t="str">
        <f>INDEX(Cronograma!L$5:L$11,MATCH($B299,Premissas!$A$39:$A$45,0))</f>
        <v/>
      </c>
      <c r="N299" s="22" t="str">
        <f>INDEX(Cronograma!M$5:M$11,MATCH($B299,Premissas!$A$39:$A$45,0))</f>
        <v/>
      </c>
      <c r="O299" s="22" t="str">
        <f>INDEX(Cronograma!N$5:N$11,MATCH($B299,Premissas!$A$39:$A$45,0))</f>
        <v>A</v>
      </c>
      <c r="P299" s="22" t="str">
        <f>INDEX(Cronograma!O$5:O$11,MATCH($B299,Premissas!$A$39:$A$45,0))</f>
        <v/>
      </c>
      <c r="Q299" s="22" t="str">
        <f>INDEX(Cronograma!P$5:P$11,MATCH($B299,Premissas!$A$39:$A$45,0))</f>
        <v/>
      </c>
      <c r="R299" s="22" t="str">
        <f>INDEX(Cronograma!Q$5:Q$11,MATCH($B299,Premissas!$A$39:$A$45,0))</f>
        <v/>
      </c>
      <c r="S299" s="22" t="str">
        <f>INDEX(Cronograma!R$5:R$11,MATCH($B299,Premissas!$A$39:$A$45,0))</f>
        <v/>
      </c>
      <c r="T299" s="22" t="str">
        <f>INDEX(Cronograma!S$5:S$11,MATCH($B299,Premissas!$A$39:$A$45,0))</f>
        <v/>
      </c>
      <c r="U299" s="22" t="str">
        <f>INDEX(Cronograma!T$5:T$11,MATCH($B299,Premissas!$A$39:$A$45,0))</f>
        <v>S</v>
      </c>
      <c r="V299" s="22" t="str">
        <f>INDEX(Cronograma!U$5:U$11,MATCH($B299,Premissas!$A$39:$A$45,0))</f>
        <v/>
      </c>
      <c r="W299" s="22" t="str">
        <f>INDEX(Cronograma!V$5:V$11,MATCH($B299,Premissas!$A$39:$A$45,0))</f>
        <v/>
      </c>
      <c r="X299" s="22" t="str">
        <f>INDEX(Cronograma!W$5:W$11,MATCH($B299,Premissas!$A$39:$A$45,0))</f>
        <v/>
      </c>
      <c r="Y299" s="22" t="str">
        <f>INDEX(Cronograma!X$5:X$11,MATCH($B299,Premissas!$A$39:$A$45,0))</f>
        <v/>
      </c>
      <c r="Z299" s="22" t="str">
        <f>INDEX(Cronograma!Y$5:Y$11,MATCH($B299,Premissas!$A$39:$A$45,0))</f>
        <v/>
      </c>
      <c r="AA299" s="22" t="str">
        <f>INDEX(Cronograma!Z$5:Z$11,MATCH($B299,Premissas!$A$39:$A$45,0))</f>
        <v>B</v>
      </c>
      <c r="AB299" s="22" t="str">
        <f>INDEX(Cronograma!AA$5:AA$11,MATCH($B299,Premissas!$A$39:$A$45,0))</f>
        <v/>
      </c>
      <c r="AC299" s="22" t="str">
        <f>INDEX(Cronograma!AB$5:AB$11,MATCH($B299,Premissas!$A$39:$A$45,0))</f>
        <v/>
      </c>
      <c r="AD299" s="22" t="str">
        <f>INDEX(Cronograma!AC$5:AC$11,MATCH($B299,Premissas!$A$39:$A$45,0))</f>
        <v/>
      </c>
      <c r="AE299" s="22" t="str">
        <f>INDEX(Cronograma!AD$5:AD$11,MATCH($B299,Premissas!$A$39:$A$45,0))</f>
        <v/>
      </c>
      <c r="AF299" s="22" t="str">
        <f>INDEX(Cronograma!AE$5:AE$11,MATCH($B299,Premissas!$A$39:$A$45,0))</f>
        <v/>
      </c>
      <c r="AG299" s="22" t="str">
        <f>INDEX(Cronograma!AF$5:AF$11,MATCH($B299,Premissas!$A$39:$A$45,0))</f>
        <v/>
      </c>
      <c r="AH299" s="22" t="str">
        <f>INDEX(Cronograma!AG$5:AG$11,MATCH($B299,Premissas!$A$39:$A$45,0))</f>
        <v>S</v>
      </c>
      <c r="AI299" s="22" t="str">
        <f>INDEX(Cronograma!AH$5:AH$11,MATCH($B299,Premissas!$A$39:$A$45,0))</f>
        <v/>
      </c>
      <c r="AJ299" s="22" t="str">
        <f>INDEX(Cronograma!AI$5:AI$11,MATCH($B299,Premissas!$A$39:$A$45,0))</f>
        <v/>
      </c>
      <c r="AK299" s="22" t="str">
        <f>INDEX(Cronograma!AJ$5:AJ$11,MATCH($B299,Premissas!$A$39:$A$45,0))</f>
        <v/>
      </c>
      <c r="AL299" s="22" t="str">
        <f>INDEX(Cronograma!AK$5:AK$11,MATCH($B299,Premissas!$A$39:$A$45,0))</f>
        <v/>
      </c>
      <c r="AM299" s="22" t="str">
        <f>INDEX(Cronograma!AL$5:AL$11,MATCH($B299,Premissas!$A$39:$A$45,0))</f>
        <v/>
      </c>
      <c r="AN299" s="22" t="str">
        <f>INDEX(Cronograma!AM$5:AM$11,MATCH($B299,Premissas!$A$39:$A$45,0))</f>
        <v/>
      </c>
      <c r="AO299" s="22" t="str">
        <f>INDEX(Cronograma!AN$5:AN$11,MATCH($B299,Premissas!$A$39:$A$45,0))</f>
        <v/>
      </c>
      <c r="AP299" s="22" t="str">
        <f>INDEX(Cronograma!AO$5:AO$11,MATCH($B299,Premissas!$A$39:$A$45,0))</f>
        <v/>
      </c>
      <c r="AQ299" s="22" t="str">
        <f>INDEX(Cronograma!AP$5:AP$11,MATCH($B299,Premissas!$A$39:$A$45,0))</f>
        <v/>
      </c>
      <c r="AR299" s="22" t="str">
        <f>INDEX(Cronograma!AQ$5:AQ$11,MATCH($B299,Premissas!$A$39:$A$45,0))</f>
        <v/>
      </c>
      <c r="AS299" s="22" t="str">
        <f>INDEX(Cronograma!AR$5:AR$11,MATCH($B299,Premissas!$A$39:$A$45,0))</f>
        <v/>
      </c>
      <c r="AT299" s="22" t="str">
        <f>INDEX(Cronograma!AS$5:AS$11,MATCH($B299,Premissas!$A$39:$A$45,0))</f>
        <v/>
      </c>
      <c r="AU299" s="22" t="str">
        <f>INDEX(Cronograma!AT$5:AT$11,MATCH($B299,Premissas!$A$39:$A$45,0))</f>
        <v/>
      </c>
      <c r="AV299" s="22" t="str">
        <f>INDEX(Cronograma!AU$5:AU$11,MATCH($B299,Premissas!$A$39:$A$45,0))</f>
        <v/>
      </c>
      <c r="AW299" s="22" t="str">
        <f>INDEX(Cronograma!AV$5:AV$11,MATCH($B299,Premissas!$A$39:$A$45,0))</f>
        <v/>
      </c>
      <c r="AX299" s="22" t="str">
        <f>INDEX(Cronograma!AW$5:AW$11,MATCH($B299,Premissas!$A$39:$A$45,0))</f>
        <v/>
      </c>
      <c r="AY299" s="22" t="str">
        <f>INDEX(Cronograma!AX$5:AX$11,MATCH($B299,Premissas!$A$39:$A$45,0))</f>
        <v>A</v>
      </c>
      <c r="AZ299" s="22" t="str">
        <f>INDEX(Cronograma!AY$5:AY$11,MATCH($B299,Premissas!$A$39:$A$45,0))</f>
        <v/>
      </c>
      <c r="BA299" s="22" t="str">
        <f>INDEX(Cronograma!AZ$5:AZ$11,MATCH($B299,Premissas!$A$39:$A$45,0))</f>
        <v/>
      </c>
      <c r="BB299" s="22" t="str">
        <f>INDEX(Cronograma!BA$5:BA$11,MATCH($B299,Premissas!$A$39:$A$45,0))</f>
        <v/>
      </c>
    </row>
    <row r="300" spans="1:54" ht="15" customHeight="1" x14ac:dyDescent="0.4">
      <c r="A300" s="15" t="str">
        <f>Frota!$B300&amp;" — "&amp;Frota!$A300</f>
        <v>NH TK-4.100 — 119005</v>
      </c>
      <c r="B300" s="16" t="str">
        <f>Frota!$C300</f>
        <v>Trator</v>
      </c>
      <c r="C300" s="22" t="str">
        <f>INDEX(Cronograma!B$5:B$11,MATCH($B300,Premissas!$A$39:$A$45,0))</f>
        <v/>
      </c>
      <c r="D300" s="22" t="str">
        <f>INDEX(Cronograma!C$5:C$11,MATCH($B300,Premissas!$A$39:$A$45,0))</f>
        <v/>
      </c>
      <c r="E300" s="22" t="str">
        <f>INDEX(Cronograma!D$5:D$11,MATCH($B300,Premissas!$A$39:$A$45,0))</f>
        <v/>
      </c>
      <c r="F300" s="22" t="str">
        <f>INDEX(Cronograma!E$5:E$11,MATCH($B300,Premissas!$A$39:$A$45,0))</f>
        <v/>
      </c>
      <c r="G300" s="22" t="str">
        <f>INDEX(Cronograma!F$5:F$11,MATCH($B300,Premissas!$A$39:$A$45,0))</f>
        <v/>
      </c>
      <c r="H300" s="22" t="str">
        <f>INDEX(Cronograma!G$5:G$11,MATCH($B300,Premissas!$A$39:$A$45,0))</f>
        <v/>
      </c>
      <c r="I300" s="22" t="str">
        <f>INDEX(Cronograma!H$5:H$11,MATCH($B300,Premissas!$A$39:$A$45,0))</f>
        <v>S</v>
      </c>
      <c r="J300" s="22" t="str">
        <f>INDEX(Cronograma!I$5:I$11,MATCH($B300,Premissas!$A$39:$A$45,0))</f>
        <v/>
      </c>
      <c r="K300" s="22" t="str">
        <f>INDEX(Cronograma!J$5:J$11,MATCH($B300,Premissas!$A$39:$A$45,0))</f>
        <v/>
      </c>
      <c r="L300" s="22" t="str">
        <f>INDEX(Cronograma!K$5:K$11,MATCH($B300,Premissas!$A$39:$A$45,0))</f>
        <v/>
      </c>
      <c r="M300" s="22" t="str">
        <f>INDEX(Cronograma!L$5:L$11,MATCH($B300,Premissas!$A$39:$A$45,0))</f>
        <v/>
      </c>
      <c r="N300" s="22" t="str">
        <f>INDEX(Cronograma!M$5:M$11,MATCH($B300,Premissas!$A$39:$A$45,0))</f>
        <v/>
      </c>
      <c r="O300" s="22" t="str">
        <f>INDEX(Cronograma!N$5:N$11,MATCH($B300,Premissas!$A$39:$A$45,0))</f>
        <v>A</v>
      </c>
      <c r="P300" s="22" t="str">
        <f>INDEX(Cronograma!O$5:O$11,MATCH($B300,Premissas!$A$39:$A$45,0))</f>
        <v/>
      </c>
      <c r="Q300" s="22" t="str">
        <f>INDEX(Cronograma!P$5:P$11,MATCH($B300,Premissas!$A$39:$A$45,0))</f>
        <v/>
      </c>
      <c r="R300" s="22" t="str">
        <f>INDEX(Cronograma!Q$5:Q$11,MATCH($B300,Premissas!$A$39:$A$45,0))</f>
        <v/>
      </c>
      <c r="S300" s="22" t="str">
        <f>INDEX(Cronograma!R$5:R$11,MATCH($B300,Premissas!$A$39:$A$45,0))</f>
        <v/>
      </c>
      <c r="T300" s="22" t="str">
        <f>INDEX(Cronograma!S$5:S$11,MATCH($B300,Premissas!$A$39:$A$45,0))</f>
        <v/>
      </c>
      <c r="U300" s="22" t="str">
        <f>INDEX(Cronograma!T$5:T$11,MATCH($B300,Premissas!$A$39:$A$45,0))</f>
        <v>S</v>
      </c>
      <c r="V300" s="22" t="str">
        <f>INDEX(Cronograma!U$5:U$11,MATCH($B300,Premissas!$A$39:$A$45,0))</f>
        <v/>
      </c>
      <c r="W300" s="22" t="str">
        <f>INDEX(Cronograma!V$5:V$11,MATCH($B300,Premissas!$A$39:$A$45,0))</f>
        <v/>
      </c>
      <c r="X300" s="22" t="str">
        <f>INDEX(Cronograma!W$5:W$11,MATCH($B300,Premissas!$A$39:$A$45,0))</f>
        <v/>
      </c>
      <c r="Y300" s="22" t="str">
        <f>INDEX(Cronograma!X$5:X$11,MATCH($B300,Premissas!$A$39:$A$45,0))</f>
        <v/>
      </c>
      <c r="Z300" s="22" t="str">
        <f>INDEX(Cronograma!Y$5:Y$11,MATCH($B300,Premissas!$A$39:$A$45,0))</f>
        <v/>
      </c>
      <c r="AA300" s="22" t="str">
        <f>INDEX(Cronograma!Z$5:Z$11,MATCH($B300,Premissas!$A$39:$A$45,0))</f>
        <v>B</v>
      </c>
      <c r="AB300" s="22" t="str">
        <f>INDEX(Cronograma!AA$5:AA$11,MATCH($B300,Premissas!$A$39:$A$45,0))</f>
        <v/>
      </c>
      <c r="AC300" s="22" t="str">
        <f>INDEX(Cronograma!AB$5:AB$11,MATCH($B300,Premissas!$A$39:$A$45,0))</f>
        <v/>
      </c>
      <c r="AD300" s="22" t="str">
        <f>INDEX(Cronograma!AC$5:AC$11,MATCH($B300,Premissas!$A$39:$A$45,0))</f>
        <v/>
      </c>
      <c r="AE300" s="22" t="str">
        <f>INDEX(Cronograma!AD$5:AD$11,MATCH($B300,Premissas!$A$39:$A$45,0))</f>
        <v/>
      </c>
      <c r="AF300" s="22" t="str">
        <f>INDEX(Cronograma!AE$5:AE$11,MATCH($B300,Premissas!$A$39:$A$45,0))</f>
        <v/>
      </c>
      <c r="AG300" s="22" t="str">
        <f>INDEX(Cronograma!AF$5:AF$11,MATCH($B300,Premissas!$A$39:$A$45,0))</f>
        <v/>
      </c>
      <c r="AH300" s="22" t="str">
        <f>INDEX(Cronograma!AG$5:AG$11,MATCH($B300,Premissas!$A$39:$A$45,0))</f>
        <v>S</v>
      </c>
      <c r="AI300" s="22" t="str">
        <f>INDEX(Cronograma!AH$5:AH$11,MATCH($B300,Premissas!$A$39:$A$45,0))</f>
        <v/>
      </c>
      <c r="AJ300" s="22" t="str">
        <f>INDEX(Cronograma!AI$5:AI$11,MATCH($B300,Premissas!$A$39:$A$45,0))</f>
        <v/>
      </c>
      <c r="AK300" s="22" t="str">
        <f>INDEX(Cronograma!AJ$5:AJ$11,MATCH($B300,Premissas!$A$39:$A$45,0))</f>
        <v/>
      </c>
      <c r="AL300" s="22" t="str">
        <f>INDEX(Cronograma!AK$5:AK$11,MATCH($B300,Premissas!$A$39:$A$45,0))</f>
        <v/>
      </c>
      <c r="AM300" s="22" t="str">
        <f>INDEX(Cronograma!AL$5:AL$11,MATCH($B300,Premissas!$A$39:$A$45,0))</f>
        <v/>
      </c>
      <c r="AN300" s="22" t="str">
        <f>INDEX(Cronograma!AM$5:AM$11,MATCH($B300,Premissas!$A$39:$A$45,0))</f>
        <v/>
      </c>
      <c r="AO300" s="22" t="str">
        <f>INDEX(Cronograma!AN$5:AN$11,MATCH($B300,Premissas!$A$39:$A$45,0))</f>
        <v/>
      </c>
      <c r="AP300" s="22" t="str">
        <f>INDEX(Cronograma!AO$5:AO$11,MATCH($B300,Premissas!$A$39:$A$45,0))</f>
        <v/>
      </c>
      <c r="AQ300" s="22" t="str">
        <f>INDEX(Cronograma!AP$5:AP$11,MATCH($B300,Premissas!$A$39:$A$45,0))</f>
        <v/>
      </c>
      <c r="AR300" s="22" t="str">
        <f>INDEX(Cronograma!AQ$5:AQ$11,MATCH($B300,Premissas!$A$39:$A$45,0))</f>
        <v/>
      </c>
      <c r="AS300" s="22" t="str">
        <f>INDEX(Cronograma!AR$5:AR$11,MATCH($B300,Premissas!$A$39:$A$45,0))</f>
        <v/>
      </c>
      <c r="AT300" s="22" t="str">
        <f>INDEX(Cronograma!AS$5:AS$11,MATCH($B300,Premissas!$A$39:$A$45,0))</f>
        <v/>
      </c>
      <c r="AU300" s="22" t="str">
        <f>INDEX(Cronograma!AT$5:AT$11,MATCH($B300,Premissas!$A$39:$A$45,0))</f>
        <v/>
      </c>
      <c r="AV300" s="22" t="str">
        <f>INDEX(Cronograma!AU$5:AU$11,MATCH($B300,Premissas!$A$39:$A$45,0))</f>
        <v/>
      </c>
      <c r="AW300" s="22" t="str">
        <f>INDEX(Cronograma!AV$5:AV$11,MATCH($B300,Premissas!$A$39:$A$45,0))</f>
        <v/>
      </c>
      <c r="AX300" s="22" t="str">
        <f>INDEX(Cronograma!AW$5:AW$11,MATCH($B300,Premissas!$A$39:$A$45,0))</f>
        <v/>
      </c>
      <c r="AY300" s="22" t="str">
        <f>INDEX(Cronograma!AX$5:AX$11,MATCH($B300,Premissas!$A$39:$A$45,0))</f>
        <v>A</v>
      </c>
      <c r="AZ300" s="22" t="str">
        <f>INDEX(Cronograma!AY$5:AY$11,MATCH($B300,Premissas!$A$39:$A$45,0))</f>
        <v/>
      </c>
      <c r="BA300" s="22" t="str">
        <f>INDEX(Cronograma!AZ$5:AZ$11,MATCH($B300,Premissas!$A$39:$A$45,0))</f>
        <v/>
      </c>
      <c r="BB300" s="22" t="str">
        <f>INDEX(Cronograma!BA$5:BA$11,MATCH($B300,Premissas!$A$39:$A$45,0))</f>
        <v/>
      </c>
    </row>
    <row r="301" spans="1:54" ht="15" customHeight="1" x14ac:dyDescent="0.4">
      <c r="A301" s="15" t="str">
        <f>Frota!$B301&amp;" — "&amp;Frota!$A301</f>
        <v>NH TK-90A — 119006</v>
      </c>
      <c r="B301" s="16" t="str">
        <f>Frota!$C301</f>
        <v>Trator</v>
      </c>
      <c r="C301" s="22" t="str">
        <f>INDEX(Cronograma!B$5:B$11,MATCH($B301,Premissas!$A$39:$A$45,0))</f>
        <v/>
      </c>
      <c r="D301" s="22" t="str">
        <f>INDEX(Cronograma!C$5:C$11,MATCH($B301,Premissas!$A$39:$A$45,0))</f>
        <v/>
      </c>
      <c r="E301" s="22" t="str">
        <f>INDEX(Cronograma!D$5:D$11,MATCH($B301,Premissas!$A$39:$A$45,0))</f>
        <v/>
      </c>
      <c r="F301" s="22" t="str">
        <f>INDEX(Cronograma!E$5:E$11,MATCH($B301,Premissas!$A$39:$A$45,0))</f>
        <v/>
      </c>
      <c r="G301" s="22" t="str">
        <f>INDEX(Cronograma!F$5:F$11,MATCH($B301,Premissas!$A$39:$A$45,0))</f>
        <v/>
      </c>
      <c r="H301" s="22" t="str">
        <f>INDEX(Cronograma!G$5:G$11,MATCH($B301,Premissas!$A$39:$A$45,0))</f>
        <v/>
      </c>
      <c r="I301" s="22" t="str">
        <f>INDEX(Cronograma!H$5:H$11,MATCH($B301,Premissas!$A$39:$A$45,0))</f>
        <v>S</v>
      </c>
      <c r="J301" s="22" t="str">
        <f>INDEX(Cronograma!I$5:I$11,MATCH($B301,Premissas!$A$39:$A$45,0))</f>
        <v/>
      </c>
      <c r="K301" s="22" t="str">
        <f>INDEX(Cronograma!J$5:J$11,MATCH($B301,Premissas!$A$39:$A$45,0))</f>
        <v/>
      </c>
      <c r="L301" s="22" t="str">
        <f>INDEX(Cronograma!K$5:K$11,MATCH($B301,Premissas!$A$39:$A$45,0))</f>
        <v/>
      </c>
      <c r="M301" s="22" t="str">
        <f>INDEX(Cronograma!L$5:L$11,MATCH($B301,Premissas!$A$39:$A$45,0))</f>
        <v/>
      </c>
      <c r="N301" s="22" t="str">
        <f>INDEX(Cronograma!M$5:M$11,MATCH($B301,Premissas!$A$39:$A$45,0))</f>
        <v/>
      </c>
      <c r="O301" s="22" t="str">
        <f>INDEX(Cronograma!N$5:N$11,MATCH($B301,Premissas!$A$39:$A$45,0))</f>
        <v>A</v>
      </c>
      <c r="P301" s="22" t="str">
        <f>INDEX(Cronograma!O$5:O$11,MATCH($B301,Premissas!$A$39:$A$45,0))</f>
        <v/>
      </c>
      <c r="Q301" s="22" t="str">
        <f>INDEX(Cronograma!P$5:P$11,MATCH($B301,Premissas!$A$39:$A$45,0))</f>
        <v/>
      </c>
      <c r="R301" s="22" t="str">
        <f>INDEX(Cronograma!Q$5:Q$11,MATCH($B301,Premissas!$A$39:$A$45,0))</f>
        <v/>
      </c>
      <c r="S301" s="22" t="str">
        <f>INDEX(Cronograma!R$5:R$11,MATCH($B301,Premissas!$A$39:$A$45,0))</f>
        <v/>
      </c>
      <c r="T301" s="22" t="str">
        <f>INDEX(Cronograma!S$5:S$11,MATCH($B301,Premissas!$A$39:$A$45,0))</f>
        <v/>
      </c>
      <c r="U301" s="22" t="str">
        <f>INDEX(Cronograma!T$5:T$11,MATCH($B301,Premissas!$A$39:$A$45,0))</f>
        <v>S</v>
      </c>
      <c r="V301" s="22" t="str">
        <f>INDEX(Cronograma!U$5:U$11,MATCH($B301,Premissas!$A$39:$A$45,0))</f>
        <v/>
      </c>
      <c r="W301" s="22" t="str">
        <f>INDEX(Cronograma!V$5:V$11,MATCH($B301,Premissas!$A$39:$A$45,0))</f>
        <v/>
      </c>
      <c r="X301" s="22" t="str">
        <f>INDEX(Cronograma!W$5:W$11,MATCH($B301,Premissas!$A$39:$A$45,0))</f>
        <v/>
      </c>
      <c r="Y301" s="22" t="str">
        <f>INDEX(Cronograma!X$5:X$11,MATCH($B301,Premissas!$A$39:$A$45,0))</f>
        <v/>
      </c>
      <c r="Z301" s="22" t="str">
        <f>INDEX(Cronograma!Y$5:Y$11,MATCH($B301,Premissas!$A$39:$A$45,0))</f>
        <v/>
      </c>
      <c r="AA301" s="22" t="str">
        <f>INDEX(Cronograma!Z$5:Z$11,MATCH($B301,Premissas!$A$39:$A$45,0))</f>
        <v>B</v>
      </c>
      <c r="AB301" s="22" t="str">
        <f>INDEX(Cronograma!AA$5:AA$11,MATCH($B301,Premissas!$A$39:$A$45,0))</f>
        <v/>
      </c>
      <c r="AC301" s="22" t="str">
        <f>INDEX(Cronograma!AB$5:AB$11,MATCH($B301,Premissas!$A$39:$A$45,0))</f>
        <v/>
      </c>
      <c r="AD301" s="22" t="str">
        <f>INDEX(Cronograma!AC$5:AC$11,MATCH($B301,Premissas!$A$39:$A$45,0))</f>
        <v/>
      </c>
      <c r="AE301" s="22" t="str">
        <f>INDEX(Cronograma!AD$5:AD$11,MATCH($B301,Premissas!$A$39:$A$45,0))</f>
        <v/>
      </c>
      <c r="AF301" s="22" t="str">
        <f>INDEX(Cronograma!AE$5:AE$11,MATCH($B301,Premissas!$A$39:$A$45,0))</f>
        <v/>
      </c>
      <c r="AG301" s="22" t="str">
        <f>INDEX(Cronograma!AF$5:AF$11,MATCH($B301,Premissas!$A$39:$A$45,0))</f>
        <v/>
      </c>
      <c r="AH301" s="22" t="str">
        <f>INDEX(Cronograma!AG$5:AG$11,MATCH($B301,Premissas!$A$39:$A$45,0))</f>
        <v>S</v>
      </c>
      <c r="AI301" s="22" t="str">
        <f>INDEX(Cronograma!AH$5:AH$11,MATCH($B301,Premissas!$A$39:$A$45,0))</f>
        <v/>
      </c>
      <c r="AJ301" s="22" t="str">
        <f>INDEX(Cronograma!AI$5:AI$11,MATCH($B301,Premissas!$A$39:$A$45,0))</f>
        <v/>
      </c>
      <c r="AK301" s="22" t="str">
        <f>INDEX(Cronograma!AJ$5:AJ$11,MATCH($B301,Premissas!$A$39:$A$45,0))</f>
        <v/>
      </c>
      <c r="AL301" s="22" t="str">
        <f>INDEX(Cronograma!AK$5:AK$11,MATCH($B301,Premissas!$A$39:$A$45,0))</f>
        <v/>
      </c>
      <c r="AM301" s="22" t="str">
        <f>INDEX(Cronograma!AL$5:AL$11,MATCH($B301,Premissas!$A$39:$A$45,0))</f>
        <v/>
      </c>
      <c r="AN301" s="22" t="str">
        <f>INDEX(Cronograma!AM$5:AM$11,MATCH($B301,Premissas!$A$39:$A$45,0))</f>
        <v/>
      </c>
      <c r="AO301" s="22" t="str">
        <f>INDEX(Cronograma!AN$5:AN$11,MATCH($B301,Premissas!$A$39:$A$45,0))</f>
        <v/>
      </c>
      <c r="AP301" s="22" t="str">
        <f>INDEX(Cronograma!AO$5:AO$11,MATCH($B301,Premissas!$A$39:$A$45,0))</f>
        <v/>
      </c>
      <c r="AQ301" s="22" t="str">
        <f>INDEX(Cronograma!AP$5:AP$11,MATCH($B301,Premissas!$A$39:$A$45,0))</f>
        <v/>
      </c>
      <c r="AR301" s="22" t="str">
        <f>INDEX(Cronograma!AQ$5:AQ$11,MATCH($B301,Premissas!$A$39:$A$45,0))</f>
        <v/>
      </c>
      <c r="AS301" s="22" t="str">
        <f>INDEX(Cronograma!AR$5:AR$11,MATCH($B301,Premissas!$A$39:$A$45,0))</f>
        <v/>
      </c>
      <c r="AT301" s="22" t="str">
        <f>INDEX(Cronograma!AS$5:AS$11,MATCH($B301,Premissas!$A$39:$A$45,0))</f>
        <v/>
      </c>
      <c r="AU301" s="22" t="str">
        <f>INDEX(Cronograma!AT$5:AT$11,MATCH($B301,Premissas!$A$39:$A$45,0))</f>
        <v/>
      </c>
      <c r="AV301" s="22" t="str">
        <f>INDEX(Cronograma!AU$5:AU$11,MATCH($B301,Premissas!$A$39:$A$45,0))</f>
        <v/>
      </c>
      <c r="AW301" s="22" t="str">
        <f>INDEX(Cronograma!AV$5:AV$11,MATCH($B301,Premissas!$A$39:$A$45,0))</f>
        <v/>
      </c>
      <c r="AX301" s="22" t="str">
        <f>INDEX(Cronograma!AW$5:AW$11,MATCH($B301,Premissas!$A$39:$A$45,0))</f>
        <v/>
      </c>
      <c r="AY301" s="22" t="str">
        <f>INDEX(Cronograma!AX$5:AX$11,MATCH($B301,Premissas!$A$39:$A$45,0))</f>
        <v>A</v>
      </c>
      <c r="AZ301" s="22" t="str">
        <f>INDEX(Cronograma!AY$5:AY$11,MATCH($B301,Premissas!$A$39:$A$45,0))</f>
        <v/>
      </c>
      <c r="BA301" s="22" t="str">
        <f>INDEX(Cronograma!AZ$5:AZ$11,MATCH($B301,Premissas!$A$39:$A$45,0))</f>
        <v/>
      </c>
      <c r="BB301" s="22" t="str">
        <f>INDEX(Cronograma!BA$5:BA$11,MATCH($B301,Premissas!$A$39:$A$45,0))</f>
        <v/>
      </c>
    </row>
    <row r="302" spans="1:54" ht="15" customHeight="1" x14ac:dyDescent="0.4">
      <c r="A302" s="15" t="str">
        <f>Frota!$B302&amp;" — "&amp;Frota!$A302</f>
        <v>Super Cargo — 140008</v>
      </c>
      <c r="B302" s="16" t="str">
        <f>Frota!$C302</f>
        <v>Trator</v>
      </c>
      <c r="C302" s="22" t="str">
        <f>INDEX(Cronograma!B$5:B$11,MATCH($B302,Premissas!$A$39:$A$45,0))</f>
        <v/>
      </c>
      <c r="D302" s="22" t="str">
        <f>INDEX(Cronograma!C$5:C$11,MATCH($B302,Premissas!$A$39:$A$45,0))</f>
        <v/>
      </c>
      <c r="E302" s="22" t="str">
        <f>INDEX(Cronograma!D$5:D$11,MATCH($B302,Premissas!$A$39:$A$45,0))</f>
        <v/>
      </c>
      <c r="F302" s="22" t="str">
        <f>INDEX(Cronograma!E$5:E$11,MATCH($B302,Premissas!$A$39:$A$45,0))</f>
        <v/>
      </c>
      <c r="G302" s="22" t="str">
        <f>INDEX(Cronograma!F$5:F$11,MATCH($B302,Premissas!$A$39:$A$45,0))</f>
        <v/>
      </c>
      <c r="H302" s="22" t="str">
        <f>INDEX(Cronograma!G$5:G$11,MATCH($B302,Premissas!$A$39:$A$45,0))</f>
        <v/>
      </c>
      <c r="I302" s="22" t="str">
        <f>INDEX(Cronograma!H$5:H$11,MATCH($B302,Premissas!$A$39:$A$45,0))</f>
        <v>S</v>
      </c>
      <c r="J302" s="22" t="str">
        <f>INDEX(Cronograma!I$5:I$11,MATCH($B302,Premissas!$A$39:$A$45,0))</f>
        <v/>
      </c>
      <c r="K302" s="22" t="str">
        <f>INDEX(Cronograma!J$5:J$11,MATCH($B302,Premissas!$A$39:$A$45,0))</f>
        <v/>
      </c>
      <c r="L302" s="22" t="str">
        <f>INDEX(Cronograma!K$5:K$11,MATCH($B302,Premissas!$A$39:$A$45,0))</f>
        <v/>
      </c>
      <c r="M302" s="22" t="str">
        <f>INDEX(Cronograma!L$5:L$11,MATCH($B302,Premissas!$A$39:$A$45,0))</f>
        <v/>
      </c>
      <c r="N302" s="22" t="str">
        <f>INDEX(Cronograma!M$5:M$11,MATCH($B302,Premissas!$A$39:$A$45,0))</f>
        <v/>
      </c>
      <c r="O302" s="22" t="str">
        <f>INDEX(Cronograma!N$5:N$11,MATCH($B302,Premissas!$A$39:$A$45,0))</f>
        <v>A</v>
      </c>
      <c r="P302" s="22" t="str">
        <f>INDEX(Cronograma!O$5:O$11,MATCH($B302,Premissas!$A$39:$A$45,0))</f>
        <v/>
      </c>
      <c r="Q302" s="22" t="str">
        <f>INDEX(Cronograma!P$5:P$11,MATCH($B302,Premissas!$A$39:$A$45,0))</f>
        <v/>
      </c>
      <c r="R302" s="22" t="str">
        <f>INDEX(Cronograma!Q$5:Q$11,MATCH($B302,Premissas!$A$39:$A$45,0))</f>
        <v/>
      </c>
      <c r="S302" s="22" t="str">
        <f>INDEX(Cronograma!R$5:R$11,MATCH($B302,Premissas!$A$39:$A$45,0))</f>
        <v/>
      </c>
      <c r="T302" s="22" t="str">
        <f>INDEX(Cronograma!S$5:S$11,MATCH($B302,Premissas!$A$39:$A$45,0))</f>
        <v/>
      </c>
      <c r="U302" s="22" t="str">
        <f>INDEX(Cronograma!T$5:T$11,MATCH($B302,Premissas!$A$39:$A$45,0))</f>
        <v>S</v>
      </c>
      <c r="V302" s="22" t="str">
        <f>INDEX(Cronograma!U$5:U$11,MATCH($B302,Premissas!$A$39:$A$45,0))</f>
        <v/>
      </c>
      <c r="W302" s="22" t="str">
        <f>INDEX(Cronograma!V$5:V$11,MATCH($B302,Premissas!$A$39:$A$45,0))</f>
        <v/>
      </c>
      <c r="X302" s="22" t="str">
        <f>INDEX(Cronograma!W$5:W$11,MATCH($B302,Premissas!$A$39:$A$45,0))</f>
        <v/>
      </c>
      <c r="Y302" s="22" t="str">
        <f>INDEX(Cronograma!X$5:X$11,MATCH($B302,Premissas!$A$39:$A$45,0))</f>
        <v/>
      </c>
      <c r="Z302" s="22" t="str">
        <f>INDEX(Cronograma!Y$5:Y$11,MATCH($B302,Premissas!$A$39:$A$45,0))</f>
        <v/>
      </c>
      <c r="AA302" s="22" t="str">
        <f>INDEX(Cronograma!Z$5:Z$11,MATCH($B302,Premissas!$A$39:$A$45,0))</f>
        <v>B</v>
      </c>
      <c r="AB302" s="22" t="str">
        <f>INDEX(Cronograma!AA$5:AA$11,MATCH($B302,Premissas!$A$39:$A$45,0))</f>
        <v/>
      </c>
      <c r="AC302" s="22" t="str">
        <f>INDEX(Cronograma!AB$5:AB$11,MATCH($B302,Premissas!$A$39:$A$45,0))</f>
        <v/>
      </c>
      <c r="AD302" s="22" t="str">
        <f>INDEX(Cronograma!AC$5:AC$11,MATCH($B302,Premissas!$A$39:$A$45,0))</f>
        <v/>
      </c>
      <c r="AE302" s="22" t="str">
        <f>INDEX(Cronograma!AD$5:AD$11,MATCH($B302,Premissas!$A$39:$A$45,0))</f>
        <v/>
      </c>
      <c r="AF302" s="22" t="str">
        <f>INDEX(Cronograma!AE$5:AE$11,MATCH($B302,Premissas!$A$39:$A$45,0))</f>
        <v/>
      </c>
      <c r="AG302" s="22" t="str">
        <f>INDEX(Cronograma!AF$5:AF$11,MATCH($B302,Premissas!$A$39:$A$45,0))</f>
        <v/>
      </c>
      <c r="AH302" s="22" t="str">
        <f>INDEX(Cronograma!AG$5:AG$11,MATCH($B302,Premissas!$A$39:$A$45,0))</f>
        <v>S</v>
      </c>
      <c r="AI302" s="22" t="str">
        <f>INDEX(Cronograma!AH$5:AH$11,MATCH($B302,Premissas!$A$39:$A$45,0))</f>
        <v/>
      </c>
      <c r="AJ302" s="22" t="str">
        <f>INDEX(Cronograma!AI$5:AI$11,MATCH($B302,Premissas!$A$39:$A$45,0))</f>
        <v/>
      </c>
      <c r="AK302" s="22" t="str">
        <f>INDEX(Cronograma!AJ$5:AJ$11,MATCH($B302,Premissas!$A$39:$A$45,0))</f>
        <v/>
      </c>
      <c r="AL302" s="22" t="str">
        <f>INDEX(Cronograma!AK$5:AK$11,MATCH($B302,Premissas!$A$39:$A$45,0))</f>
        <v/>
      </c>
      <c r="AM302" s="22" t="str">
        <f>INDEX(Cronograma!AL$5:AL$11,MATCH($B302,Premissas!$A$39:$A$45,0))</f>
        <v/>
      </c>
      <c r="AN302" s="22" t="str">
        <f>INDEX(Cronograma!AM$5:AM$11,MATCH($B302,Premissas!$A$39:$A$45,0))</f>
        <v/>
      </c>
      <c r="AO302" s="22" t="str">
        <f>INDEX(Cronograma!AN$5:AN$11,MATCH($B302,Premissas!$A$39:$A$45,0))</f>
        <v/>
      </c>
      <c r="AP302" s="22" t="str">
        <f>INDEX(Cronograma!AO$5:AO$11,MATCH($B302,Premissas!$A$39:$A$45,0))</f>
        <v/>
      </c>
      <c r="AQ302" s="22" t="str">
        <f>INDEX(Cronograma!AP$5:AP$11,MATCH($B302,Premissas!$A$39:$A$45,0))</f>
        <v/>
      </c>
      <c r="AR302" s="22" t="str">
        <f>INDEX(Cronograma!AQ$5:AQ$11,MATCH($B302,Premissas!$A$39:$A$45,0))</f>
        <v/>
      </c>
      <c r="AS302" s="22" t="str">
        <f>INDEX(Cronograma!AR$5:AR$11,MATCH($B302,Premissas!$A$39:$A$45,0))</f>
        <v/>
      </c>
      <c r="AT302" s="22" t="str">
        <f>INDEX(Cronograma!AS$5:AS$11,MATCH($B302,Premissas!$A$39:$A$45,0))</f>
        <v/>
      </c>
      <c r="AU302" s="22" t="str">
        <f>INDEX(Cronograma!AT$5:AT$11,MATCH($B302,Premissas!$A$39:$A$45,0))</f>
        <v/>
      </c>
      <c r="AV302" s="22" t="str">
        <f>INDEX(Cronograma!AU$5:AU$11,MATCH($B302,Premissas!$A$39:$A$45,0))</f>
        <v/>
      </c>
      <c r="AW302" s="22" t="str">
        <f>INDEX(Cronograma!AV$5:AV$11,MATCH($B302,Premissas!$A$39:$A$45,0))</f>
        <v/>
      </c>
      <c r="AX302" s="22" t="str">
        <f>INDEX(Cronograma!AW$5:AW$11,MATCH($B302,Premissas!$A$39:$A$45,0))</f>
        <v/>
      </c>
      <c r="AY302" s="22" t="str">
        <f>INDEX(Cronograma!AX$5:AX$11,MATCH($B302,Premissas!$A$39:$A$45,0))</f>
        <v>A</v>
      </c>
      <c r="AZ302" s="22" t="str">
        <f>INDEX(Cronograma!AY$5:AY$11,MATCH($B302,Premissas!$A$39:$A$45,0))</f>
        <v/>
      </c>
      <c r="BA302" s="22" t="str">
        <f>INDEX(Cronograma!AZ$5:AZ$11,MATCH($B302,Premissas!$A$39:$A$45,0))</f>
        <v/>
      </c>
      <c r="BB302" s="22" t="str">
        <f>INDEX(Cronograma!BA$5:BA$11,MATCH($B302,Premissas!$A$39:$A$45,0))</f>
        <v/>
      </c>
    </row>
    <row r="303" spans="1:54" ht="15" customHeight="1" x14ac:dyDescent="0.4">
      <c r="A303" s="15" t="str">
        <f>Frota!$B303&amp;" — "&amp;Frota!$A303</f>
        <v>Manipulador JCB — 140010</v>
      </c>
      <c r="B303" s="16" t="str">
        <f>Frota!$C303</f>
        <v>Carregadeira/Pesada</v>
      </c>
      <c r="C303" s="22" t="str">
        <f>INDEX(Cronograma!B$5:B$11,MATCH($B303,Premissas!$A$39:$A$45,0))</f>
        <v/>
      </c>
      <c r="D303" s="22" t="str">
        <f>INDEX(Cronograma!C$5:C$11,MATCH($B303,Premissas!$A$39:$A$45,0))</f>
        <v/>
      </c>
      <c r="E303" s="22" t="str">
        <f>INDEX(Cronograma!D$5:D$11,MATCH($B303,Premissas!$A$39:$A$45,0))</f>
        <v/>
      </c>
      <c r="F303" s="22" t="str">
        <f>INDEX(Cronograma!E$5:E$11,MATCH($B303,Premissas!$A$39:$A$45,0))</f>
        <v/>
      </c>
      <c r="G303" s="22" t="str">
        <f>INDEX(Cronograma!F$5:F$11,MATCH($B303,Premissas!$A$39:$A$45,0))</f>
        <v/>
      </c>
      <c r="H303" s="22" t="str">
        <f>INDEX(Cronograma!G$5:G$11,MATCH($B303,Premissas!$A$39:$A$45,0))</f>
        <v>S</v>
      </c>
      <c r="I303" s="22" t="str">
        <f>INDEX(Cronograma!H$5:H$11,MATCH($B303,Premissas!$A$39:$A$45,0))</f>
        <v/>
      </c>
      <c r="J303" s="22" t="str">
        <f>INDEX(Cronograma!I$5:I$11,MATCH($B303,Premissas!$A$39:$A$45,0))</f>
        <v/>
      </c>
      <c r="K303" s="22" t="str">
        <f>INDEX(Cronograma!J$5:J$11,MATCH($B303,Premissas!$A$39:$A$45,0))</f>
        <v/>
      </c>
      <c r="L303" s="22" t="str">
        <f>INDEX(Cronograma!K$5:K$11,MATCH($B303,Premissas!$A$39:$A$45,0))</f>
        <v/>
      </c>
      <c r="M303" s="22" t="str">
        <f>INDEX(Cronograma!L$5:L$11,MATCH($B303,Premissas!$A$39:$A$45,0))</f>
        <v/>
      </c>
      <c r="N303" s="22" t="str">
        <f>INDEX(Cronograma!M$5:M$11,MATCH($B303,Premissas!$A$39:$A$45,0))</f>
        <v>A</v>
      </c>
      <c r="O303" s="22" t="str">
        <f>INDEX(Cronograma!N$5:N$11,MATCH($B303,Premissas!$A$39:$A$45,0))</f>
        <v/>
      </c>
      <c r="P303" s="22" t="str">
        <f>INDEX(Cronograma!O$5:O$11,MATCH($B303,Premissas!$A$39:$A$45,0))</f>
        <v/>
      </c>
      <c r="Q303" s="22" t="str">
        <f>INDEX(Cronograma!P$5:P$11,MATCH($B303,Premissas!$A$39:$A$45,0))</f>
        <v/>
      </c>
      <c r="R303" s="22" t="str">
        <f>INDEX(Cronograma!Q$5:Q$11,MATCH($B303,Premissas!$A$39:$A$45,0))</f>
        <v/>
      </c>
      <c r="S303" s="22" t="str">
        <f>INDEX(Cronograma!R$5:R$11,MATCH($B303,Premissas!$A$39:$A$45,0))</f>
        <v>S</v>
      </c>
      <c r="T303" s="22" t="str">
        <f>INDEX(Cronograma!S$5:S$11,MATCH($B303,Premissas!$A$39:$A$45,0))</f>
        <v/>
      </c>
      <c r="U303" s="22" t="str">
        <f>INDEX(Cronograma!T$5:T$11,MATCH($B303,Premissas!$A$39:$A$45,0))</f>
        <v/>
      </c>
      <c r="V303" s="22" t="str">
        <f>INDEX(Cronograma!U$5:U$11,MATCH($B303,Premissas!$A$39:$A$45,0))</f>
        <v/>
      </c>
      <c r="W303" s="22" t="str">
        <f>INDEX(Cronograma!V$5:V$11,MATCH($B303,Premissas!$A$39:$A$45,0))</f>
        <v/>
      </c>
      <c r="X303" s="22" t="str">
        <f>INDEX(Cronograma!W$5:W$11,MATCH($B303,Premissas!$A$39:$A$45,0))</f>
        <v/>
      </c>
      <c r="Y303" s="22" t="str">
        <f>INDEX(Cronograma!X$5:X$11,MATCH($B303,Premissas!$A$39:$A$45,0))</f>
        <v>B</v>
      </c>
      <c r="Z303" s="22" t="str">
        <f>INDEX(Cronograma!Y$5:Y$11,MATCH($B303,Premissas!$A$39:$A$45,0))</f>
        <v/>
      </c>
      <c r="AA303" s="22" t="str">
        <f>INDEX(Cronograma!Z$5:Z$11,MATCH($B303,Premissas!$A$39:$A$45,0))</f>
        <v/>
      </c>
      <c r="AB303" s="22" t="str">
        <f>INDEX(Cronograma!AA$5:AA$11,MATCH($B303,Premissas!$A$39:$A$45,0))</f>
        <v/>
      </c>
      <c r="AC303" s="22" t="str">
        <f>INDEX(Cronograma!AB$5:AB$11,MATCH($B303,Premissas!$A$39:$A$45,0))</f>
        <v/>
      </c>
      <c r="AD303" s="22" t="str">
        <f>INDEX(Cronograma!AC$5:AC$11,MATCH($B303,Premissas!$A$39:$A$45,0))</f>
        <v>S</v>
      </c>
      <c r="AE303" s="22" t="str">
        <f>INDEX(Cronograma!AD$5:AD$11,MATCH($B303,Premissas!$A$39:$A$45,0))</f>
        <v/>
      </c>
      <c r="AF303" s="22" t="str">
        <f>INDEX(Cronograma!AE$5:AE$11,MATCH($B303,Premissas!$A$39:$A$45,0))</f>
        <v/>
      </c>
      <c r="AG303" s="22" t="str">
        <f>INDEX(Cronograma!AF$5:AF$11,MATCH($B303,Premissas!$A$39:$A$45,0))</f>
        <v/>
      </c>
      <c r="AH303" s="22" t="str">
        <f>INDEX(Cronograma!AG$5:AG$11,MATCH($B303,Premissas!$A$39:$A$45,0))</f>
        <v/>
      </c>
      <c r="AI303" s="22" t="str">
        <f>INDEX(Cronograma!AH$5:AH$11,MATCH($B303,Premissas!$A$39:$A$45,0))</f>
        <v/>
      </c>
      <c r="AJ303" s="22" t="str">
        <f>INDEX(Cronograma!AI$5:AI$11,MATCH($B303,Premissas!$A$39:$A$45,0))</f>
        <v/>
      </c>
      <c r="AK303" s="22" t="str">
        <f>INDEX(Cronograma!AJ$5:AJ$11,MATCH($B303,Premissas!$A$39:$A$45,0))</f>
        <v/>
      </c>
      <c r="AL303" s="22" t="str">
        <f>INDEX(Cronograma!AK$5:AK$11,MATCH($B303,Premissas!$A$39:$A$45,0))</f>
        <v/>
      </c>
      <c r="AM303" s="22" t="str">
        <f>INDEX(Cronograma!AL$5:AL$11,MATCH($B303,Premissas!$A$39:$A$45,0))</f>
        <v/>
      </c>
      <c r="AN303" s="22" t="str">
        <f>INDEX(Cronograma!AM$5:AM$11,MATCH($B303,Premissas!$A$39:$A$45,0))</f>
        <v/>
      </c>
      <c r="AO303" s="22" t="str">
        <f>INDEX(Cronograma!AN$5:AN$11,MATCH($B303,Premissas!$A$39:$A$45,0))</f>
        <v/>
      </c>
      <c r="AP303" s="22" t="str">
        <f>INDEX(Cronograma!AO$5:AO$11,MATCH($B303,Premissas!$A$39:$A$45,0))</f>
        <v/>
      </c>
      <c r="AQ303" s="22" t="str">
        <f>INDEX(Cronograma!AP$5:AP$11,MATCH($B303,Premissas!$A$39:$A$45,0))</f>
        <v/>
      </c>
      <c r="AR303" s="22" t="str">
        <f>INDEX(Cronograma!AQ$5:AQ$11,MATCH($B303,Premissas!$A$39:$A$45,0))</f>
        <v>A</v>
      </c>
      <c r="AS303" s="22" t="str">
        <f>INDEX(Cronograma!AR$5:AR$11,MATCH($B303,Premissas!$A$39:$A$45,0))</f>
        <v/>
      </c>
      <c r="AT303" s="22" t="str">
        <f>INDEX(Cronograma!AS$5:AS$11,MATCH($B303,Premissas!$A$39:$A$45,0))</f>
        <v/>
      </c>
      <c r="AU303" s="22" t="str">
        <f>INDEX(Cronograma!AT$5:AT$11,MATCH($B303,Premissas!$A$39:$A$45,0))</f>
        <v/>
      </c>
      <c r="AV303" s="22" t="str">
        <f>INDEX(Cronograma!AU$5:AU$11,MATCH($B303,Premissas!$A$39:$A$45,0))</f>
        <v/>
      </c>
      <c r="AW303" s="22" t="str">
        <f>INDEX(Cronograma!AV$5:AV$11,MATCH($B303,Premissas!$A$39:$A$45,0))</f>
        <v/>
      </c>
      <c r="AX303" s="22" t="str">
        <f>INDEX(Cronograma!AW$5:AW$11,MATCH($B303,Premissas!$A$39:$A$45,0))</f>
        <v/>
      </c>
      <c r="AY303" s="22" t="str">
        <f>INDEX(Cronograma!AX$5:AX$11,MATCH($B303,Premissas!$A$39:$A$45,0))</f>
        <v/>
      </c>
      <c r="AZ303" s="22" t="str">
        <f>INDEX(Cronograma!AY$5:AY$11,MATCH($B303,Premissas!$A$39:$A$45,0))</f>
        <v/>
      </c>
      <c r="BA303" s="22" t="str">
        <f>INDEX(Cronograma!AZ$5:AZ$11,MATCH($B303,Premissas!$A$39:$A$45,0))</f>
        <v/>
      </c>
      <c r="BB303" s="22" t="str">
        <f>INDEX(Cronograma!BA$5:BA$11,MATCH($B303,Premissas!$A$39:$A$45,0))</f>
        <v/>
      </c>
    </row>
    <row r="304" spans="1:54" ht="15" customHeight="1" x14ac:dyDescent="0.4">
      <c r="A304" s="15" t="str">
        <f>Frota!$B304&amp;" — "&amp;Frota!$A304</f>
        <v>Manipulador JCB — 140011</v>
      </c>
      <c r="B304" s="16" t="str">
        <f>Frota!$C304</f>
        <v>Carregadeira/Pesada</v>
      </c>
      <c r="C304" s="22" t="str">
        <f>INDEX(Cronograma!B$5:B$11,MATCH($B304,Premissas!$A$39:$A$45,0))</f>
        <v/>
      </c>
      <c r="D304" s="22" t="str">
        <f>INDEX(Cronograma!C$5:C$11,MATCH($B304,Premissas!$A$39:$A$45,0))</f>
        <v/>
      </c>
      <c r="E304" s="22" t="str">
        <f>INDEX(Cronograma!D$5:D$11,MATCH($B304,Premissas!$A$39:$A$45,0))</f>
        <v/>
      </c>
      <c r="F304" s="22" t="str">
        <f>INDEX(Cronograma!E$5:E$11,MATCH($B304,Premissas!$A$39:$A$45,0))</f>
        <v/>
      </c>
      <c r="G304" s="22" t="str">
        <f>INDEX(Cronograma!F$5:F$11,MATCH($B304,Premissas!$A$39:$A$45,0))</f>
        <v/>
      </c>
      <c r="H304" s="22" t="str">
        <f>INDEX(Cronograma!G$5:G$11,MATCH($B304,Premissas!$A$39:$A$45,0))</f>
        <v>S</v>
      </c>
      <c r="I304" s="22" t="str">
        <f>INDEX(Cronograma!H$5:H$11,MATCH($B304,Premissas!$A$39:$A$45,0))</f>
        <v/>
      </c>
      <c r="J304" s="22" t="str">
        <f>INDEX(Cronograma!I$5:I$11,MATCH($B304,Premissas!$A$39:$A$45,0))</f>
        <v/>
      </c>
      <c r="K304" s="22" t="str">
        <f>INDEX(Cronograma!J$5:J$11,MATCH($B304,Premissas!$A$39:$A$45,0))</f>
        <v/>
      </c>
      <c r="L304" s="22" t="str">
        <f>INDEX(Cronograma!K$5:K$11,MATCH($B304,Premissas!$A$39:$A$45,0))</f>
        <v/>
      </c>
      <c r="M304" s="22" t="str">
        <f>INDEX(Cronograma!L$5:L$11,MATCH($B304,Premissas!$A$39:$A$45,0))</f>
        <v/>
      </c>
      <c r="N304" s="22" t="str">
        <f>INDEX(Cronograma!M$5:M$11,MATCH($B304,Premissas!$A$39:$A$45,0))</f>
        <v>A</v>
      </c>
      <c r="O304" s="22" t="str">
        <f>INDEX(Cronograma!N$5:N$11,MATCH($B304,Premissas!$A$39:$A$45,0))</f>
        <v/>
      </c>
      <c r="P304" s="22" t="str">
        <f>INDEX(Cronograma!O$5:O$11,MATCH($B304,Premissas!$A$39:$A$45,0))</f>
        <v/>
      </c>
      <c r="Q304" s="22" t="str">
        <f>INDEX(Cronograma!P$5:P$11,MATCH($B304,Premissas!$A$39:$A$45,0))</f>
        <v/>
      </c>
      <c r="R304" s="22" t="str">
        <f>INDEX(Cronograma!Q$5:Q$11,MATCH($B304,Premissas!$A$39:$A$45,0))</f>
        <v/>
      </c>
      <c r="S304" s="22" t="str">
        <f>INDEX(Cronograma!R$5:R$11,MATCH($B304,Premissas!$A$39:$A$45,0))</f>
        <v>S</v>
      </c>
      <c r="T304" s="22" t="str">
        <f>INDEX(Cronograma!S$5:S$11,MATCH($B304,Premissas!$A$39:$A$45,0))</f>
        <v/>
      </c>
      <c r="U304" s="22" t="str">
        <f>INDEX(Cronograma!T$5:T$11,MATCH($B304,Premissas!$A$39:$A$45,0))</f>
        <v/>
      </c>
      <c r="V304" s="22" t="str">
        <f>INDEX(Cronograma!U$5:U$11,MATCH($B304,Premissas!$A$39:$A$45,0))</f>
        <v/>
      </c>
      <c r="W304" s="22" t="str">
        <f>INDEX(Cronograma!V$5:V$11,MATCH($B304,Premissas!$A$39:$A$45,0))</f>
        <v/>
      </c>
      <c r="X304" s="22" t="str">
        <f>INDEX(Cronograma!W$5:W$11,MATCH($B304,Premissas!$A$39:$A$45,0))</f>
        <v/>
      </c>
      <c r="Y304" s="22" t="str">
        <f>INDEX(Cronograma!X$5:X$11,MATCH($B304,Premissas!$A$39:$A$45,0))</f>
        <v>B</v>
      </c>
      <c r="Z304" s="22" t="str">
        <f>INDEX(Cronograma!Y$5:Y$11,MATCH($B304,Premissas!$A$39:$A$45,0))</f>
        <v/>
      </c>
      <c r="AA304" s="22" t="str">
        <f>INDEX(Cronograma!Z$5:Z$11,MATCH($B304,Premissas!$A$39:$A$45,0))</f>
        <v/>
      </c>
      <c r="AB304" s="22" t="str">
        <f>INDEX(Cronograma!AA$5:AA$11,MATCH($B304,Premissas!$A$39:$A$45,0))</f>
        <v/>
      </c>
      <c r="AC304" s="22" t="str">
        <f>INDEX(Cronograma!AB$5:AB$11,MATCH($B304,Premissas!$A$39:$A$45,0))</f>
        <v/>
      </c>
      <c r="AD304" s="22" t="str">
        <f>INDEX(Cronograma!AC$5:AC$11,MATCH($B304,Premissas!$A$39:$A$45,0))</f>
        <v>S</v>
      </c>
      <c r="AE304" s="22" t="str">
        <f>INDEX(Cronograma!AD$5:AD$11,MATCH($B304,Premissas!$A$39:$A$45,0))</f>
        <v/>
      </c>
      <c r="AF304" s="22" t="str">
        <f>INDEX(Cronograma!AE$5:AE$11,MATCH($B304,Premissas!$A$39:$A$45,0))</f>
        <v/>
      </c>
      <c r="AG304" s="22" t="str">
        <f>INDEX(Cronograma!AF$5:AF$11,MATCH($B304,Premissas!$A$39:$A$45,0))</f>
        <v/>
      </c>
      <c r="AH304" s="22" t="str">
        <f>INDEX(Cronograma!AG$5:AG$11,MATCH($B304,Premissas!$A$39:$A$45,0))</f>
        <v/>
      </c>
      <c r="AI304" s="22" t="str">
        <f>INDEX(Cronograma!AH$5:AH$11,MATCH($B304,Premissas!$A$39:$A$45,0))</f>
        <v/>
      </c>
      <c r="AJ304" s="22" t="str">
        <f>INDEX(Cronograma!AI$5:AI$11,MATCH($B304,Premissas!$A$39:$A$45,0))</f>
        <v/>
      </c>
      <c r="AK304" s="22" t="str">
        <f>INDEX(Cronograma!AJ$5:AJ$11,MATCH($B304,Premissas!$A$39:$A$45,0))</f>
        <v/>
      </c>
      <c r="AL304" s="22" t="str">
        <f>INDEX(Cronograma!AK$5:AK$11,MATCH($B304,Premissas!$A$39:$A$45,0))</f>
        <v/>
      </c>
      <c r="AM304" s="22" t="str">
        <f>INDEX(Cronograma!AL$5:AL$11,MATCH($B304,Premissas!$A$39:$A$45,0))</f>
        <v/>
      </c>
      <c r="AN304" s="22" t="str">
        <f>INDEX(Cronograma!AM$5:AM$11,MATCH($B304,Premissas!$A$39:$A$45,0))</f>
        <v/>
      </c>
      <c r="AO304" s="22" t="str">
        <f>INDEX(Cronograma!AN$5:AN$11,MATCH($B304,Premissas!$A$39:$A$45,0))</f>
        <v/>
      </c>
      <c r="AP304" s="22" t="str">
        <f>INDEX(Cronograma!AO$5:AO$11,MATCH($B304,Premissas!$A$39:$A$45,0))</f>
        <v/>
      </c>
      <c r="AQ304" s="22" t="str">
        <f>INDEX(Cronograma!AP$5:AP$11,MATCH($B304,Premissas!$A$39:$A$45,0))</f>
        <v/>
      </c>
      <c r="AR304" s="22" t="str">
        <f>INDEX(Cronograma!AQ$5:AQ$11,MATCH($B304,Premissas!$A$39:$A$45,0))</f>
        <v>A</v>
      </c>
      <c r="AS304" s="22" t="str">
        <f>INDEX(Cronograma!AR$5:AR$11,MATCH($B304,Premissas!$A$39:$A$45,0))</f>
        <v/>
      </c>
      <c r="AT304" s="22" t="str">
        <f>INDEX(Cronograma!AS$5:AS$11,MATCH($B304,Premissas!$A$39:$A$45,0))</f>
        <v/>
      </c>
      <c r="AU304" s="22" t="str">
        <f>INDEX(Cronograma!AT$5:AT$11,MATCH($B304,Premissas!$A$39:$A$45,0))</f>
        <v/>
      </c>
      <c r="AV304" s="22" t="str">
        <f>INDEX(Cronograma!AU$5:AU$11,MATCH($B304,Premissas!$A$39:$A$45,0))</f>
        <v/>
      </c>
      <c r="AW304" s="22" t="str">
        <f>INDEX(Cronograma!AV$5:AV$11,MATCH($B304,Premissas!$A$39:$A$45,0))</f>
        <v/>
      </c>
      <c r="AX304" s="22" t="str">
        <f>INDEX(Cronograma!AW$5:AW$11,MATCH($B304,Premissas!$A$39:$A$45,0))</f>
        <v/>
      </c>
      <c r="AY304" s="22" t="str">
        <f>INDEX(Cronograma!AX$5:AX$11,MATCH($B304,Premissas!$A$39:$A$45,0))</f>
        <v/>
      </c>
      <c r="AZ304" s="22" t="str">
        <f>INDEX(Cronograma!AY$5:AY$11,MATCH($B304,Premissas!$A$39:$A$45,0))</f>
        <v/>
      </c>
      <c r="BA304" s="22" t="str">
        <f>INDEX(Cronograma!AZ$5:AZ$11,MATCH($B304,Premissas!$A$39:$A$45,0))</f>
        <v/>
      </c>
      <c r="BB304" s="22" t="str">
        <f>INDEX(Cronograma!BA$5:BA$11,MATCH($B304,Premissas!$A$39:$A$45,0))</f>
        <v/>
      </c>
    </row>
    <row r="305" spans="1:54" ht="15" customHeight="1" x14ac:dyDescent="0.4">
      <c r="A305" s="15" t="str">
        <f>Frota!$B305&amp;" — "&amp;Frota!$A305</f>
        <v>JD-CH-570 — 140012</v>
      </c>
      <c r="B305" s="16" t="str">
        <f>Frota!$C305</f>
        <v>Colhedora</v>
      </c>
      <c r="C305" s="22" t="str">
        <f>INDEX(Cronograma!B$5:B$11,MATCH($B305,Premissas!$A$39:$A$45,0))</f>
        <v/>
      </c>
      <c r="D305" s="22" t="str">
        <f>INDEX(Cronograma!C$5:C$11,MATCH($B305,Premissas!$A$39:$A$45,0))</f>
        <v/>
      </c>
      <c r="E305" s="22" t="str">
        <f>INDEX(Cronograma!D$5:D$11,MATCH($B305,Premissas!$A$39:$A$45,0))</f>
        <v>S</v>
      </c>
      <c r="F305" s="22" t="str">
        <f>INDEX(Cronograma!E$5:E$11,MATCH($B305,Premissas!$A$39:$A$45,0))</f>
        <v/>
      </c>
      <c r="G305" s="22" t="str">
        <f>INDEX(Cronograma!F$5:F$11,MATCH($B305,Premissas!$A$39:$A$45,0))</f>
        <v>A</v>
      </c>
      <c r="H305" s="22" t="str">
        <f>INDEX(Cronograma!G$5:G$11,MATCH($B305,Premissas!$A$39:$A$45,0))</f>
        <v/>
      </c>
      <c r="I305" s="22" t="str">
        <f>INDEX(Cronograma!H$5:H$11,MATCH($B305,Premissas!$A$39:$A$45,0))</f>
        <v/>
      </c>
      <c r="J305" s="22" t="str">
        <f>INDEX(Cronograma!I$5:I$11,MATCH($B305,Premissas!$A$39:$A$45,0))</f>
        <v>S</v>
      </c>
      <c r="K305" s="22" t="str">
        <f>INDEX(Cronograma!J$5:J$11,MATCH($B305,Premissas!$A$39:$A$45,0))</f>
        <v/>
      </c>
      <c r="L305" s="22" t="str">
        <f>INDEX(Cronograma!K$5:K$11,MATCH($B305,Premissas!$A$39:$A$45,0))</f>
        <v>B</v>
      </c>
      <c r="M305" s="22" t="str">
        <f>INDEX(Cronograma!L$5:L$11,MATCH($B305,Premissas!$A$39:$A$45,0))</f>
        <v/>
      </c>
      <c r="N305" s="22" t="str">
        <f>INDEX(Cronograma!M$5:M$11,MATCH($B305,Premissas!$A$39:$A$45,0))</f>
        <v/>
      </c>
      <c r="O305" s="22" t="str">
        <f>INDEX(Cronograma!N$5:N$11,MATCH($B305,Premissas!$A$39:$A$45,0))</f>
        <v>S</v>
      </c>
      <c r="P305" s="22" t="str">
        <f>INDEX(Cronograma!O$5:O$11,MATCH($B305,Premissas!$A$39:$A$45,0))</f>
        <v/>
      </c>
      <c r="Q305" s="22" t="str">
        <f>INDEX(Cronograma!P$5:P$11,MATCH($B305,Premissas!$A$39:$A$45,0))</f>
        <v>A</v>
      </c>
      <c r="R305" s="22" t="str">
        <f>INDEX(Cronograma!Q$5:Q$11,MATCH($B305,Premissas!$A$39:$A$45,0))</f>
        <v/>
      </c>
      <c r="S305" s="22" t="str">
        <f>INDEX(Cronograma!R$5:R$11,MATCH($B305,Premissas!$A$39:$A$45,0))</f>
        <v/>
      </c>
      <c r="T305" s="22" t="str">
        <f>INDEX(Cronograma!S$5:S$11,MATCH($B305,Premissas!$A$39:$A$45,0))</f>
        <v>S</v>
      </c>
      <c r="U305" s="22" t="str">
        <f>INDEX(Cronograma!T$5:T$11,MATCH($B305,Premissas!$A$39:$A$45,0))</f>
        <v/>
      </c>
      <c r="V305" s="22" t="str">
        <f>INDEX(Cronograma!U$5:U$11,MATCH($B305,Premissas!$A$39:$A$45,0))</f>
        <v>C</v>
      </c>
      <c r="W305" s="22" t="str">
        <f>INDEX(Cronograma!V$5:V$11,MATCH($B305,Premissas!$A$39:$A$45,0))</f>
        <v/>
      </c>
      <c r="X305" s="22" t="str">
        <f>INDEX(Cronograma!W$5:W$11,MATCH($B305,Premissas!$A$39:$A$45,0))</f>
        <v/>
      </c>
      <c r="Y305" s="22" t="str">
        <f>INDEX(Cronograma!X$5:X$11,MATCH($B305,Premissas!$A$39:$A$45,0))</f>
        <v>S</v>
      </c>
      <c r="Z305" s="22" t="str">
        <f>INDEX(Cronograma!Y$5:Y$11,MATCH($B305,Premissas!$A$39:$A$45,0))</f>
        <v/>
      </c>
      <c r="AA305" s="22" t="str">
        <f>INDEX(Cronograma!Z$5:Z$11,MATCH($B305,Premissas!$A$39:$A$45,0))</f>
        <v>A</v>
      </c>
      <c r="AB305" s="22" t="str">
        <f>INDEX(Cronograma!AA$5:AA$11,MATCH($B305,Premissas!$A$39:$A$45,0))</f>
        <v/>
      </c>
      <c r="AC305" s="22" t="str">
        <f>INDEX(Cronograma!AB$5:AB$11,MATCH($B305,Premissas!$A$39:$A$45,0))</f>
        <v/>
      </c>
      <c r="AD305" s="22" t="str">
        <f>INDEX(Cronograma!AC$5:AC$11,MATCH($B305,Premissas!$A$39:$A$45,0))</f>
        <v>S</v>
      </c>
      <c r="AE305" s="22" t="str">
        <f>INDEX(Cronograma!AD$5:AD$11,MATCH($B305,Premissas!$A$39:$A$45,0))</f>
        <v/>
      </c>
      <c r="AF305" s="22" t="str">
        <f>INDEX(Cronograma!AE$5:AE$11,MATCH($B305,Premissas!$A$39:$A$45,0))</f>
        <v>B</v>
      </c>
      <c r="AG305" s="22" t="str">
        <f>INDEX(Cronograma!AF$5:AF$11,MATCH($B305,Premissas!$A$39:$A$45,0))</f>
        <v/>
      </c>
      <c r="AH305" s="22" t="str">
        <f>INDEX(Cronograma!AG$5:AG$11,MATCH($B305,Premissas!$A$39:$A$45,0))</f>
        <v/>
      </c>
      <c r="AI305" s="22" t="str">
        <f>INDEX(Cronograma!AH$5:AH$11,MATCH($B305,Premissas!$A$39:$A$45,0))</f>
        <v/>
      </c>
      <c r="AJ305" s="22" t="str">
        <f>INDEX(Cronograma!AI$5:AI$11,MATCH($B305,Premissas!$A$39:$A$45,0))</f>
        <v/>
      </c>
      <c r="AK305" s="22" t="str">
        <f>INDEX(Cronograma!AJ$5:AJ$11,MATCH($B305,Premissas!$A$39:$A$45,0))</f>
        <v/>
      </c>
      <c r="AL305" s="22" t="str">
        <f>INDEX(Cronograma!AK$5:AK$11,MATCH($B305,Premissas!$A$39:$A$45,0))</f>
        <v/>
      </c>
      <c r="AM305" s="22" t="str">
        <f>INDEX(Cronograma!AL$5:AL$11,MATCH($B305,Premissas!$A$39:$A$45,0))</f>
        <v/>
      </c>
      <c r="AN305" s="22" t="str">
        <f>INDEX(Cronograma!AM$5:AM$11,MATCH($B305,Premissas!$A$39:$A$45,0))</f>
        <v/>
      </c>
      <c r="AO305" s="22" t="str">
        <f>INDEX(Cronograma!AN$5:AN$11,MATCH($B305,Premissas!$A$39:$A$45,0))</f>
        <v/>
      </c>
      <c r="AP305" s="22" t="str">
        <f>INDEX(Cronograma!AO$5:AO$11,MATCH($B305,Premissas!$A$39:$A$45,0))</f>
        <v/>
      </c>
      <c r="AQ305" s="22" t="str">
        <f>INDEX(Cronograma!AP$5:AP$11,MATCH($B305,Premissas!$A$39:$A$45,0))</f>
        <v/>
      </c>
      <c r="AR305" s="22" t="str">
        <f>INDEX(Cronograma!AQ$5:AQ$11,MATCH($B305,Premissas!$A$39:$A$45,0))</f>
        <v/>
      </c>
      <c r="AS305" s="22" t="str">
        <f>INDEX(Cronograma!AR$5:AR$11,MATCH($B305,Premissas!$A$39:$A$45,0))</f>
        <v/>
      </c>
      <c r="AT305" s="22" t="str">
        <f>INDEX(Cronograma!AS$5:AS$11,MATCH($B305,Premissas!$A$39:$A$45,0))</f>
        <v/>
      </c>
      <c r="AU305" s="22" t="str">
        <f>INDEX(Cronograma!AT$5:AT$11,MATCH($B305,Premissas!$A$39:$A$45,0))</f>
        <v/>
      </c>
      <c r="AV305" s="22" t="str">
        <f>INDEX(Cronograma!AU$5:AU$11,MATCH($B305,Premissas!$A$39:$A$45,0))</f>
        <v/>
      </c>
      <c r="AW305" s="22" t="str">
        <f>INDEX(Cronograma!AV$5:AV$11,MATCH($B305,Premissas!$A$39:$A$45,0))</f>
        <v/>
      </c>
      <c r="AX305" s="22" t="str">
        <f>INDEX(Cronograma!AW$5:AW$11,MATCH($B305,Premissas!$A$39:$A$45,0))</f>
        <v/>
      </c>
      <c r="AY305" s="22" t="str">
        <f>INDEX(Cronograma!AX$5:AX$11,MATCH($B305,Premissas!$A$39:$A$45,0))</f>
        <v>S</v>
      </c>
      <c r="AZ305" s="22" t="str">
        <f>INDEX(Cronograma!AY$5:AY$11,MATCH($B305,Premissas!$A$39:$A$45,0))</f>
        <v/>
      </c>
      <c r="BA305" s="22" t="str">
        <f>INDEX(Cronograma!AZ$5:AZ$11,MATCH($B305,Premissas!$A$39:$A$45,0))</f>
        <v/>
      </c>
      <c r="BB305" s="22" t="str">
        <f>INDEX(Cronograma!BA$5:BA$11,MATCH($B305,Premissas!$A$39:$A$45,0))</f>
        <v/>
      </c>
    </row>
    <row r="306" spans="1:54" ht="15" customHeight="1" x14ac:dyDescent="0.4">
      <c r="A306" s="15" t="str">
        <f>Frota!$B306&amp;" — "&amp;Frota!$A306</f>
        <v>JD-CH-570 — 140013</v>
      </c>
      <c r="B306" s="16" t="str">
        <f>Frota!$C306</f>
        <v>Colhedora</v>
      </c>
      <c r="C306" s="22" t="str">
        <f>INDEX(Cronograma!B$5:B$11,MATCH($B306,Premissas!$A$39:$A$45,0))</f>
        <v/>
      </c>
      <c r="D306" s="22" t="str">
        <f>INDEX(Cronograma!C$5:C$11,MATCH($B306,Premissas!$A$39:$A$45,0))</f>
        <v/>
      </c>
      <c r="E306" s="22" t="str">
        <f>INDEX(Cronograma!D$5:D$11,MATCH($B306,Premissas!$A$39:$A$45,0))</f>
        <v>S</v>
      </c>
      <c r="F306" s="22" t="str">
        <f>INDEX(Cronograma!E$5:E$11,MATCH($B306,Premissas!$A$39:$A$45,0))</f>
        <v/>
      </c>
      <c r="G306" s="22" t="str">
        <f>INDEX(Cronograma!F$5:F$11,MATCH($B306,Premissas!$A$39:$A$45,0))</f>
        <v>A</v>
      </c>
      <c r="H306" s="22" t="str">
        <f>INDEX(Cronograma!G$5:G$11,MATCH($B306,Premissas!$A$39:$A$45,0))</f>
        <v/>
      </c>
      <c r="I306" s="22" t="str">
        <f>INDEX(Cronograma!H$5:H$11,MATCH($B306,Premissas!$A$39:$A$45,0))</f>
        <v/>
      </c>
      <c r="J306" s="22" t="str">
        <f>INDEX(Cronograma!I$5:I$11,MATCH($B306,Premissas!$A$39:$A$45,0))</f>
        <v>S</v>
      </c>
      <c r="K306" s="22" t="str">
        <f>INDEX(Cronograma!J$5:J$11,MATCH($B306,Premissas!$A$39:$A$45,0))</f>
        <v/>
      </c>
      <c r="L306" s="22" t="str">
        <f>INDEX(Cronograma!K$5:K$11,MATCH($B306,Premissas!$A$39:$A$45,0))</f>
        <v>B</v>
      </c>
      <c r="M306" s="22" t="str">
        <f>INDEX(Cronograma!L$5:L$11,MATCH($B306,Premissas!$A$39:$A$45,0))</f>
        <v/>
      </c>
      <c r="N306" s="22" t="str">
        <f>INDEX(Cronograma!M$5:M$11,MATCH($B306,Premissas!$A$39:$A$45,0))</f>
        <v/>
      </c>
      <c r="O306" s="22" t="str">
        <f>INDEX(Cronograma!N$5:N$11,MATCH($B306,Premissas!$A$39:$A$45,0))</f>
        <v>S</v>
      </c>
      <c r="P306" s="22" t="str">
        <f>INDEX(Cronograma!O$5:O$11,MATCH($B306,Premissas!$A$39:$A$45,0))</f>
        <v/>
      </c>
      <c r="Q306" s="22" t="str">
        <f>INDEX(Cronograma!P$5:P$11,MATCH($B306,Premissas!$A$39:$A$45,0))</f>
        <v>A</v>
      </c>
      <c r="R306" s="22" t="str">
        <f>INDEX(Cronograma!Q$5:Q$11,MATCH($B306,Premissas!$A$39:$A$45,0))</f>
        <v/>
      </c>
      <c r="S306" s="22" t="str">
        <f>INDEX(Cronograma!R$5:R$11,MATCH($B306,Premissas!$A$39:$A$45,0))</f>
        <v/>
      </c>
      <c r="T306" s="22" t="str">
        <f>INDEX(Cronograma!S$5:S$11,MATCH($B306,Premissas!$A$39:$A$45,0))</f>
        <v>S</v>
      </c>
      <c r="U306" s="22" t="str">
        <f>INDEX(Cronograma!T$5:T$11,MATCH($B306,Premissas!$A$39:$A$45,0))</f>
        <v/>
      </c>
      <c r="V306" s="22" t="str">
        <f>INDEX(Cronograma!U$5:U$11,MATCH($B306,Premissas!$A$39:$A$45,0))</f>
        <v>C</v>
      </c>
      <c r="W306" s="22" t="str">
        <f>INDEX(Cronograma!V$5:V$11,MATCH($B306,Premissas!$A$39:$A$45,0))</f>
        <v/>
      </c>
      <c r="X306" s="22" t="str">
        <f>INDEX(Cronograma!W$5:W$11,MATCH($B306,Premissas!$A$39:$A$45,0))</f>
        <v/>
      </c>
      <c r="Y306" s="22" t="str">
        <f>INDEX(Cronograma!X$5:X$11,MATCH($B306,Premissas!$A$39:$A$45,0))</f>
        <v>S</v>
      </c>
      <c r="Z306" s="22" t="str">
        <f>INDEX(Cronograma!Y$5:Y$11,MATCH($B306,Premissas!$A$39:$A$45,0))</f>
        <v/>
      </c>
      <c r="AA306" s="22" t="str">
        <f>INDEX(Cronograma!Z$5:Z$11,MATCH($B306,Premissas!$A$39:$A$45,0))</f>
        <v>A</v>
      </c>
      <c r="AB306" s="22" t="str">
        <f>INDEX(Cronograma!AA$5:AA$11,MATCH($B306,Premissas!$A$39:$A$45,0))</f>
        <v/>
      </c>
      <c r="AC306" s="22" t="str">
        <f>INDEX(Cronograma!AB$5:AB$11,MATCH($B306,Premissas!$A$39:$A$45,0))</f>
        <v/>
      </c>
      <c r="AD306" s="22" t="str">
        <f>INDEX(Cronograma!AC$5:AC$11,MATCH($B306,Premissas!$A$39:$A$45,0))</f>
        <v>S</v>
      </c>
      <c r="AE306" s="22" t="str">
        <f>INDEX(Cronograma!AD$5:AD$11,MATCH($B306,Premissas!$A$39:$A$45,0))</f>
        <v/>
      </c>
      <c r="AF306" s="22" t="str">
        <f>INDEX(Cronograma!AE$5:AE$11,MATCH($B306,Premissas!$A$39:$A$45,0))</f>
        <v>B</v>
      </c>
      <c r="AG306" s="22" t="str">
        <f>INDEX(Cronograma!AF$5:AF$11,MATCH($B306,Premissas!$A$39:$A$45,0))</f>
        <v/>
      </c>
      <c r="AH306" s="22" t="str">
        <f>INDEX(Cronograma!AG$5:AG$11,MATCH($B306,Premissas!$A$39:$A$45,0))</f>
        <v/>
      </c>
      <c r="AI306" s="22" t="str">
        <f>INDEX(Cronograma!AH$5:AH$11,MATCH($B306,Premissas!$A$39:$A$45,0))</f>
        <v/>
      </c>
      <c r="AJ306" s="22" t="str">
        <f>INDEX(Cronograma!AI$5:AI$11,MATCH($B306,Premissas!$A$39:$A$45,0))</f>
        <v/>
      </c>
      <c r="AK306" s="22" t="str">
        <f>INDEX(Cronograma!AJ$5:AJ$11,MATCH($B306,Premissas!$A$39:$A$45,0))</f>
        <v/>
      </c>
      <c r="AL306" s="22" t="str">
        <f>INDEX(Cronograma!AK$5:AK$11,MATCH($B306,Premissas!$A$39:$A$45,0))</f>
        <v/>
      </c>
      <c r="AM306" s="22" t="str">
        <f>INDEX(Cronograma!AL$5:AL$11,MATCH($B306,Premissas!$A$39:$A$45,0))</f>
        <v/>
      </c>
      <c r="AN306" s="22" t="str">
        <f>INDEX(Cronograma!AM$5:AM$11,MATCH($B306,Premissas!$A$39:$A$45,0))</f>
        <v/>
      </c>
      <c r="AO306" s="22" t="str">
        <f>INDEX(Cronograma!AN$5:AN$11,MATCH($B306,Premissas!$A$39:$A$45,0))</f>
        <v/>
      </c>
      <c r="AP306" s="22" t="str">
        <f>INDEX(Cronograma!AO$5:AO$11,MATCH($B306,Premissas!$A$39:$A$45,0))</f>
        <v/>
      </c>
      <c r="AQ306" s="22" t="str">
        <f>INDEX(Cronograma!AP$5:AP$11,MATCH($B306,Premissas!$A$39:$A$45,0))</f>
        <v/>
      </c>
      <c r="AR306" s="22" t="str">
        <f>INDEX(Cronograma!AQ$5:AQ$11,MATCH($B306,Premissas!$A$39:$A$45,0))</f>
        <v/>
      </c>
      <c r="AS306" s="22" t="str">
        <f>INDEX(Cronograma!AR$5:AR$11,MATCH($B306,Premissas!$A$39:$A$45,0))</f>
        <v/>
      </c>
      <c r="AT306" s="22" t="str">
        <f>INDEX(Cronograma!AS$5:AS$11,MATCH($B306,Premissas!$A$39:$A$45,0))</f>
        <v/>
      </c>
      <c r="AU306" s="22" t="str">
        <f>INDEX(Cronograma!AT$5:AT$11,MATCH($B306,Premissas!$A$39:$A$45,0))</f>
        <v/>
      </c>
      <c r="AV306" s="22" t="str">
        <f>INDEX(Cronograma!AU$5:AU$11,MATCH($B306,Premissas!$A$39:$A$45,0))</f>
        <v/>
      </c>
      <c r="AW306" s="22" t="str">
        <f>INDEX(Cronograma!AV$5:AV$11,MATCH($B306,Premissas!$A$39:$A$45,0))</f>
        <v/>
      </c>
      <c r="AX306" s="22" t="str">
        <f>INDEX(Cronograma!AW$5:AW$11,MATCH($B306,Premissas!$A$39:$A$45,0))</f>
        <v/>
      </c>
      <c r="AY306" s="22" t="str">
        <f>INDEX(Cronograma!AX$5:AX$11,MATCH($B306,Premissas!$A$39:$A$45,0))</f>
        <v>S</v>
      </c>
      <c r="AZ306" s="22" t="str">
        <f>INDEX(Cronograma!AY$5:AY$11,MATCH($B306,Premissas!$A$39:$A$45,0))</f>
        <v/>
      </c>
      <c r="BA306" s="22" t="str">
        <f>INDEX(Cronograma!AZ$5:AZ$11,MATCH($B306,Premissas!$A$39:$A$45,0))</f>
        <v/>
      </c>
      <c r="BB306" s="22" t="str">
        <f>INDEX(Cronograma!BA$5:BA$11,MATCH($B306,Premissas!$A$39:$A$45,0))</f>
        <v/>
      </c>
    </row>
    <row r="307" spans="1:54" ht="15" customHeight="1" x14ac:dyDescent="0.4">
      <c r="A307" s="15" t="str">
        <f>Frota!$B307&amp;" — "&amp;Frota!$A307</f>
        <v>Case IH A9900 — 140014</v>
      </c>
      <c r="B307" s="16" t="str">
        <f>Frota!$C307</f>
        <v>Colhedora</v>
      </c>
      <c r="C307" s="22" t="str">
        <f>INDEX(Cronograma!B$5:B$11,MATCH($B307,Premissas!$A$39:$A$45,0))</f>
        <v/>
      </c>
      <c r="D307" s="22" t="str">
        <f>INDEX(Cronograma!C$5:C$11,MATCH($B307,Premissas!$A$39:$A$45,0))</f>
        <v/>
      </c>
      <c r="E307" s="22" t="str">
        <f>INDEX(Cronograma!D$5:D$11,MATCH($B307,Premissas!$A$39:$A$45,0))</f>
        <v>S</v>
      </c>
      <c r="F307" s="22" t="str">
        <f>INDEX(Cronograma!E$5:E$11,MATCH($B307,Premissas!$A$39:$A$45,0))</f>
        <v/>
      </c>
      <c r="G307" s="22" t="str">
        <f>INDEX(Cronograma!F$5:F$11,MATCH($B307,Premissas!$A$39:$A$45,0))</f>
        <v>A</v>
      </c>
      <c r="H307" s="22" t="str">
        <f>INDEX(Cronograma!G$5:G$11,MATCH($B307,Premissas!$A$39:$A$45,0))</f>
        <v/>
      </c>
      <c r="I307" s="22" t="str">
        <f>INDEX(Cronograma!H$5:H$11,MATCH($B307,Premissas!$A$39:$A$45,0))</f>
        <v/>
      </c>
      <c r="J307" s="22" t="str">
        <f>INDEX(Cronograma!I$5:I$11,MATCH($B307,Premissas!$A$39:$A$45,0))</f>
        <v>S</v>
      </c>
      <c r="K307" s="22" t="str">
        <f>INDEX(Cronograma!J$5:J$11,MATCH($B307,Premissas!$A$39:$A$45,0))</f>
        <v/>
      </c>
      <c r="L307" s="22" t="str">
        <f>INDEX(Cronograma!K$5:K$11,MATCH($B307,Premissas!$A$39:$A$45,0))</f>
        <v>B</v>
      </c>
      <c r="M307" s="22" t="str">
        <f>INDEX(Cronograma!L$5:L$11,MATCH($B307,Premissas!$A$39:$A$45,0))</f>
        <v/>
      </c>
      <c r="N307" s="22" t="str">
        <f>INDEX(Cronograma!M$5:M$11,MATCH($B307,Premissas!$A$39:$A$45,0))</f>
        <v/>
      </c>
      <c r="O307" s="22" t="str">
        <f>INDEX(Cronograma!N$5:N$11,MATCH($B307,Premissas!$A$39:$A$45,0))</f>
        <v>S</v>
      </c>
      <c r="P307" s="22" t="str">
        <f>INDEX(Cronograma!O$5:O$11,MATCH($B307,Premissas!$A$39:$A$45,0))</f>
        <v/>
      </c>
      <c r="Q307" s="22" t="str">
        <f>INDEX(Cronograma!P$5:P$11,MATCH($B307,Premissas!$A$39:$A$45,0))</f>
        <v>A</v>
      </c>
      <c r="R307" s="22" t="str">
        <f>INDEX(Cronograma!Q$5:Q$11,MATCH($B307,Premissas!$A$39:$A$45,0))</f>
        <v/>
      </c>
      <c r="S307" s="22" t="str">
        <f>INDEX(Cronograma!R$5:R$11,MATCH($B307,Premissas!$A$39:$A$45,0))</f>
        <v/>
      </c>
      <c r="T307" s="22" t="str">
        <f>INDEX(Cronograma!S$5:S$11,MATCH($B307,Premissas!$A$39:$A$45,0))</f>
        <v>S</v>
      </c>
      <c r="U307" s="22" t="str">
        <f>INDEX(Cronograma!T$5:T$11,MATCH($B307,Premissas!$A$39:$A$45,0))</f>
        <v/>
      </c>
      <c r="V307" s="22" t="str">
        <f>INDEX(Cronograma!U$5:U$11,MATCH($B307,Premissas!$A$39:$A$45,0))</f>
        <v>C</v>
      </c>
      <c r="W307" s="22" t="str">
        <f>INDEX(Cronograma!V$5:V$11,MATCH($B307,Premissas!$A$39:$A$45,0))</f>
        <v/>
      </c>
      <c r="X307" s="22" t="str">
        <f>INDEX(Cronograma!W$5:W$11,MATCH($B307,Premissas!$A$39:$A$45,0))</f>
        <v/>
      </c>
      <c r="Y307" s="22" t="str">
        <f>INDEX(Cronograma!X$5:X$11,MATCH($B307,Premissas!$A$39:$A$45,0))</f>
        <v>S</v>
      </c>
      <c r="Z307" s="22" t="str">
        <f>INDEX(Cronograma!Y$5:Y$11,MATCH($B307,Premissas!$A$39:$A$45,0))</f>
        <v/>
      </c>
      <c r="AA307" s="22" t="str">
        <f>INDEX(Cronograma!Z$5:Z$11,MATCH($B307,Premissas!$A$39:$A$45,0))</f>
        <v>A</v>
      </c>
      <c r="AB307" s="22" t="str">
        <f>INDEX(Cronograma!AA$5:AA$11,MATCH($B307,Premissas!$A$39:$A$45,0))</f>
        <v/>
      </c>
      <c r="AC307" s="22" t="str">
        <f>INDEX(Cronograma!AB$5:AB$11,MATCH($B307,Premissas!$A$39:$A$45,0))</f>
        <v/>
      </c>
      <c r="AD307" s="22" t="str">
        <f>INDEX(Cronograma!AC$5:AC$11,MATCH($B307,Premissas!$A$39:$A$45,0))</f>
        <v>S</v>
      </c>
      <c r="AE307" s="22" t="str">
        <f>INDEX(Cronograma!AD$5:AD$11,MATCH($B307,Premissas!$A$39:$A$45,0))</f>
        <v/>
      </c>
      <c r="AF307" s="22" t="str">
        <f>INDEX(Cronograma!AE$5:AE$11,MATCH($B307,Premissas!$A$39:$A$45,0))</f>
        <v>B</v>
      </c>
      <c r="AG307" s="22" t="str">
        <f>INDEX(Cronograma!AF$5:AF$11,MATCH($B307,Premissas!$A$39:$A$45,0))</f>
        <v/>
      </c>
      <c r="AH307" s="22" t="str">
        <f>INDEX(Cronograma!AG$5:AG$11,MATCH($B307,Premissas!$A$39:$A$45,0))</f>
        <v/>
      </c>
      <c r="AI307" s="22" t="str">
        <f>INDEX(Cronograma!AH$5:AH$11,MATCH($B307,Premissas!$A$39:$A$45,0))</f>
        <v/>
      </c>
      <c r="AJ307" s="22" t="str">
        <f>INDEX(Cronograma!AI$5:AI$11,MATCH($B307,Premissas!$A$39:$A$45,0))</f>
        <v/>
      </c>
      <c r="AK307" s="22" t="str">
        <f>INDEX(Cronograma!AJ$5:AJ$11,MATCH($B307,Premissas!$A$39:$A$45,0))</f>
        <v/>
      </c>
      <c r="AL307" s="22" t="str">
        <f>INDEX(Cronograma!AK$5:AK$11,MATCH($B307,Premissas!$A$39:$A$45,0))</f>
        <v/>
      </c>
      <c r="AM307" s="22" t="str">
        <f>INDEX(Cronograma!AL$5:AL$11,MATCH($B307,Premissas!$A$39:$A$45,0))</f>
        <v/>
      </c>
      <c r="AN307" s="22" t="str">
        <f>INDEX(Cronograma!AM$5:AM$11,MATCH($B307,Premissas!$A$39:$A$45,0))</f>
        <v/>
      </c>
      <c r="AO307" s="22" t="str">
        <f>INDEX(Cronograma!AN$5:AN$11,MATCH($B307,Premissas!$A$39:$A$45,0))</f>
        <v/>
      </c>
      <c r="AP307" s="22" t="str">
        <f>INDEX(Cronograma!AO$5:AO$11,MATCH($B307,Premissas!$A$39:$A$45,0))</f>
        <v/>
      </c>
      <c r="AQ307" s="22" t="str">
        <f>INDEX(Cronograma!AP$5:AP$11,MATCH($B307,Premissas!$A$39:$A$45,0))</f>
        <v/>
      </c>
      <c r="AR307" s="22" t="str">
        <f>INDEX(Cronograma!AQ$5:AQ$11,MATCH($B307,Premissas!$A$39:$A$45,0))</f>
        <v/>
      </c>
      <c r="AS307" s="22" t="str">
        <f>INDEX(Cronograma!AR$5:AR$11,MATCH($B307,Premissas!$A$39:$A$45,0))</f>
        <v/>
      </c>
      <c r="AT307" s="22" t="str">
        <f>INDEX(Cronograma!AS$5:AS$11,MATCH($B307,Premissas!$A$39:$A$45,0))</f>
        <v/>
      </c>
      <c r="AU307" s="22" t="str">
        <f>INDEX(Cronograma!AT$5:AT$11,MATCH($B307,Premissas!$A$39:$A$45,0))</f>
        <v/>
      </c>
      <c r="AV307" s="22" t="str">
        <f>INDEX(Cronograma!AU$5:AU$11,MATCH($B307,Premissas!$A$39:$A$45,0))</f>
        <v/>
      </c>
      <c r="AW307" s="22" t="str">
        <f>INDEX(Cronograma!AV$5:AV$11,MATCH($B307,Premissas!$A$39:$A$45,0))</f>
        <v/>
      </c>
      <c r="AX307" s="22" t="str">
        <f>INDEX(Cronograma!AW$5:AW$11,MATCH($B307,Premissas!$A$39:$A$45,0))</f>
        <v/>
      </c>
      <c r="AY307" s="22" t="str">
        <f>INDEX(Cronograma!AX$5:AX$11,MATCH($B307,Premissas!$A$39:$A$45,0))</f>
        <v>S</v>
      </c>
      <c r="AZ307" s="22" t="str">
        <f>INDEX(Cronograma!AY$5:AY$11,MATCH($B307,Premissas!$A$39:$A$45,0))</f>
        <v/>
      </c>
      <c r="BA307" s="22" t="str">
        <f>INDEX(Cronograma!AZ$5:AZ$11,MATCH($B307,Premissas!$A$39:$A$45,0))</f>
        <v/>
      </c>
      <c r="BB307" s="22" t="str">
        <f>INDEX(Cronograma!BA$5:BA$11,MATCH($B307,Premissas!$A$39:$A$45,0))</f>
        <v/>
      </c>
    </row>
    <row r="308" spans="1:54" ht="15" customHeight="1" x14ac:dyDescent="0.4">
      <c r="A308" s="15" t="str">
        <f>Frota!$B308&amp;" — "&amp;Frota!$A308</f>
        <v>Case IH A9900 — 140015</v>
      </c>
      <c r="B308" s="16" t="str">
        <f>Frota!$C308</f>
        <v>Colhedora</v>
      </c>
      <c r="C308" s="22" t="str">
        <f>INDEX(Cronograma!B$5:B$11,MATCH($B308,Premissas!$A$39:$A$45,0))</f>
        <v/>
      </c>
      <c r="D308" s="22" t="str">
        <f>INDEX(Cronograma!C$5:C$11,MATCH($B308,Premissas!$A$39:$A$45,0))</f>
        <v/>
      </c>
      <c r="E308" s="22" t="str">
        <f>INDEX(Cronograma!D$5:D$11,MATCH($B308,Premissas!$A$39:$A$45,0))</f>
        <v>S</v>
      </c>
      <c r="F308" s="22" t="str">
        <f>INDEX(Cronograma!E$5:E$11,MATCH($B308,Premissas!$A$39:$A$45,0))</f>
        <v/>
      </c>
      <c r="G308" s="22" t="str">
        <f>INDEX(Cronograma!F$5:F$11,MATCH($B308,Premissas!$A$39:$A$45,0))</f>
        <v>A</v>
      </c>
      <c r="H308" s="22" t="str">
        <f>INDEX(Cronograma!G$5:G$11,MATCH($B308,Premissas!$A$39:$A$45,0))</f>
        <v/>
      </c>
      <c r="I308" s="22" t="str">
        <f>INDEX(Cronograma!H$5:H$11,MATCH($B308,Premissas!$A$39:$A$45,0))</f>
        <v/>
      </c>
      <c r="J308" s="22" t="str">
        <f>INDEX(Cronograma!I$5:I$11,MATCH($B308,Premissas!$A$39:$A$45,0))</f>
        <v>S</v>
      </c>
      <c r="K308" s="22" t="str">
        <f>INDEX(Cronograma!J$5:J$11,MATCH($B308,Premissas!$A$39:$A$45,0))</f>
        <v/>
      </c>
      <c r="L308" s="22" t="str">
        <f>INDEX(Cronograma!K$5:K$11,MATCH($B308,Premissas!$A$39:$A$45,0))</f>
        <v>B</v>
      </c>
      <c r="M308" s="22" t="str">
        <f>INDEX(Cronograma!L$5:L$11,MATCH($B308,Premissas!$A$39:$A$45,0))</f>
        <v/>
      </c>
      <c r="N308" s="22" t="str">
        <f>INDEX(Cronograma!M$5:M$11,MATCH($B308,Premissas!$A$39:$A$45,0))</f>
        <v/>
      </c>
      <c r="O308" s="22" t="str">
        <f>INDEX(Cronograma!N$5:N$11,MATCH($B308,Premissas!$A$39:$A$45,0))</f>
        <v>S</v>
      </c>
      <c r="P308" s="22" t="str">
        <f>INDEX(Cronograma!O$5:O$11,MATCH($B308,Premissas!$A$39:$A$45,0))</f>
        <v/>
      </c>
      <c r="Q308" s="22" t="str">
        <f>INDEX(Cronograma!P$5:P$11,MATCH($B308,Premissas!$A$39:$A$45,0))</f>
        <v>A</v>
      </c>
      <c r="R308" s="22" t="str">
        <f>INDEX(Cronograma!Q$5:Q$11,MATCH($B308,Premissas!$A$39:$A$45,0))</f>
        <v/>
      </c>
      <c r="S308" s="22" t="str">
        <f>INDEX(Cronograma!R$5:R$11,MATCH($B308,Premissas!$A$39:$A$45,0))</f>
        <v/>
      </c>
      <c r="T308" s="22" t="str">
        <f>INDEX(Cronograma!S$5:S$11,MATCH($B308,Premissas!$A$39:$A$45,0))</f>
        <v>S</v>
      </c>
      <c r="U308" s="22" t="str">
        <f>INDEX(Cronograma!T$5:T$11,MATCH($B308,Premissas!$A$39:$A$45,0))</f>
        <v/>
      </c>
      <c r="V308" s="22" t="str">
        <f>INDEX(Cronograma!U$5:U$11,MATCH($B308,Premissas!$A$39:$A$45,0))</f>
        <v>C</v>
      </c>
      <c r="W308" s="22" t="str">
        <f>INDEX(Cronograma!V$5:V$11,MATCH($B308,Premissas!$A$39:$A$45,0))</f>
        <v/>
      </c>
      <c r="X308" s="22" t="str">
        <f>INDEX(Cronograma!W$5:W$11,MATCH($B308,Premissas!$A$39:$A$45,0))</f>
        <v/>
      </c>
      <c r="Y308" s="22" t="str">
        <f>INDEX(Cronograma!X$5:X$11,MATCH($B308,Premissas!$A$39:$A$45,0))</f>
        <v>S</v>
      </c>
      <c r="Z308" s="22" t="str">
        <f>INDEX(Cronograma!Y$5:Y$11,MATCH($B308,Premissas!$A$39:$A$45,0))</f>
        <v/>
      </c>
      <c r="AA308" s="22" t="str">
        <f>INDEX(Cronograma!Z$5:Z$11,MATCH($B308,Premissas!$A$39:$A$45,0))</f>
        <v>A</v>
      </c>
      <c r="AB308" s="22" t="str">
        <f>INDEX(Cronograma!AA$5:AA$11,MATCH($B308,Premissas!$A$39:$A$45,0))</f>
        <v/>
      </c>
      <c r="AC308" s="22" t="str">
        <f>INDEX(Cronograma!AB$5:AB$11,MATCH($B308,Premissas!$A$39:$A$45,0))</f>
        <v/>
      </c>
      <c r="AD308" s="22" t="str">
        <f>INDEX(Cronograma!AC$5:AC$11,MATCH($B308,Premissas!$A$39:$A$45,0))</f>
        <v>S</v>
      </c>
      <c r="AE308" s="22" t="str">
        <f>INDEX(Cronograma!AD$5:AD$11,MATCH($B308,Premissas!$A$39:$A$45,0))</f>
        <v/>
      </c>
      <c r="AF308" s="22" t="str">
        <f>INDEX(Cronograma!AE$5:AE$11,MATCH($B308,Premissas!$A$39:$A$45,0))</f>
        <v>B</v>
      </c>
      <c r="AG308" s="22" t="str">
        <f>INDEX(Cronograma!AF$5:AF$11,MATCH($B308,Premissas!$A$39:$A$45,0))</f>
        <v/>
      </c>
      <c r="AH308" s="22" t="str">
        <f>INDEX(Cronograma!AG$5:AG$11,MATCH($B308,Premissas!$A$39:$A$45,0))</f>
        <v/>
      </c>
      <c r="AI308" s="22" t="str">
        <f>INDEX(Cronograma!AH$5:AH$11,MATCH($B308,Premissas!$A$39:$A$45,0))</f>
        <v/>
      </c>
      <c r="AJ308" s="22" t="str">
        <f>INDEX(Cronograma!AI$5:AI$11,MATCH($B308,Premissas!$A$39:$A$45,0))</f>
        <v/>
      </c>
      <c r="AK308" s="22" t="str">
        <f>INDEX(Cronograma!AJ$5:AJ$11,MATCH($B308,Premissas!$A$39:$A$45,0))</f>
        <v/>
      </c>
      <c r="AL308" s="22" t="str">
        <f>INDEX(Cronograma!AK$5:AK$11,MATCH($B308,Premissas!$A$39:$A$45,0))</f>
        <v/>
      </c>
      <c r="AM308" s="22" t="str">
        <f>INDEX(Cronograma!AL$5:AL$11,MATCH($B308,Premissas!$A$39:$A$45,0))</f>
        <v/>
      </c>
      <c r="AN308" s="22" t="str">
        <f>INDEX(Cronograma!AM$5:AM$11,MATCH($B308,Premissas!$A$39:$A$45,0))</f>
        <v/>
      </c>
      <c r="AO308" s="22" t="str">
        <f>INDEX(Cronograma!AN$5:AN$11,MATCH($B308,Premissas!$A$39:$A$45,0))</f>
        <v/>
      </c>
      <c r="AP308" s="22" t="str">
        <f>INDEX(Cronograma!AO$5:AO$11,MATCH($B308,Premissas!$A$39:$A$45,0))</f>
        <v/>
      </c>
      <c r="AQ308" s="22" t="str">
        <f>INDEX(Cronograma!AP$5:AP$11,MATCH($B308,Premissas!$A$39:$A$45,0))</f>
        <v/>
      </c>
      <c r="AR308" s="22" t="str">
        <f>INDEX(Cronograma!AQ$5:AQ$11,MATCH($B308,Premissas!$A$39:$A$45,0))</f>
        <v/>
      </c>
      <c r="AS308" s="22" t="str">
        <f>INDEX(Cronograma!AR$5:AR$11,MATCH($B308,Premissas!$A$39:$A$45,0))</f>
        <v/>
      </c>
      <c r="AT308" s="22" t="str">
        <f>INDEX(Cronograma!AS$5:AS$11,MATCH($B308,Premissas!$A$39:$A$45,0))</f>
        <v/>
      </c>
      <c r="AU308" s="22" t="str">
        <f>INDEX(Cronograma!AT$5:AT$11,MATCH($B308,Premissas!$A$39:$A$45,0))</f>
        <v/>
      </c>
      <c r="AV308" s="22" t="str">
        <f>INDEX(Cronograma!AU$5:AU$11,MATCH($B308,Premissas!$A$39:$A$45,0))</f>
        <v/>
      </c>
      <c r="AW308" s="22" t="str">
        <f>INDEX(Cronograma!AV$5:AV$11,MATCH($B308,Premissas!$A$39:$A$45,0))</f>
        <v/>
      </c>
      <c r="AX308" s="22" t="str">
        <f>INDEX(Cronograma!AW$5:AW$11,MATCH($B308,Premissas!$A$39:$A$45,0))</f>
        <v/>
      </c>
      <c r="AY308" s="22" t="str">
        <f>INDEX(Cronograma!AX$5:AX$11,MATCH($B308,Premissas!$A$39:$A$45,0))</f>
        <v>S</v>
      </c>
      <c r="AZ308" s="22" t="str">
        <f>INDEX(Cronograma!AY$5:AY$11,MATCH($B308,Premissas!$A$39:$A$45,0))</f>
        <v/>
      </c>
      <c r="BA308" s="22" t="str">
        <f>INDEX(Cronograma!AZ$5:AZ$11,MATCH($B308,Premissas!$A$39:$A$45,0))</f>
        <v/>
      </c>
      <c r="BB308" s="22" t="str">
        <f>INDEX(Cronograma!BA$5:BA$11,MATCH($B308,Premissas!$A$39:$A$45,0))</f>
        <v/>
      </c>
    </row>
    <row r="309" spans="1:54" ht="15" customHeight="1" x14ac:dyDescent="0.4">
      <c r="A309" s="15" t="str">
        <f>Frota!$B309&amp;" — "&amp;Frota!$A309</f>
        <v>JD-CH-570 — 140016</v>
      </c>
      <c r="B309" s="16" t="str">
        <f>Frota!$C309</f>
        <v>Colhedora</v>
      </c>
      <c r="C309" s="22" t="str">
        <f>INDEX(Cronograma!B$5:B$11,MATCH($B309,Premissas!$A$39:$A$45,0))</f>
        <v/>
      </c>
      <c r="D309" s="22" t="str">
        <f>INDEX(Cronograma!C$5:C$11,MATCH($B309,Premissas!$A$39:$A$45,0))</f>
        <v/>
      </c>
      <c r="E309" s="22" t="str">
        <f>INDEX(Cronograma!D$5:D$11,MATCH($B309,Premissas!$A$39:$A$45,0))</f>
        <v>S</v>
      </c>
      <c r="F309" s="22" t="str">
        <f>INDEX(Cronograma!E$5:E$11,MATCH($B309,Premissas!$A$39:$A$45,0))</f>
        <v/>
      </c>
      <c r="G309" s="22" t="str">
        <f>INDEX(Cronograma!F$5:F$11,MATCH($B309,Premissas!$A$39:$A$45,0))</f>
        <v>A</v>
      </c>
      <c r="H309" s="22" t="str">
        <f>INDEX(Cronograma!G$5:G$11,MATCH($B309,Premissas!$A$39:$A$45,0))</f>
        <v/>
      </c>
      <c r="I309" s="22" t="str">
        <f>INDEX(Cronograma!H$5:H$11,MATCH($B309,Premissas!$A$39:$A$45,0))</f>
        <v/>
      </c>
      <c r="J309" s="22" t="str">
        <f>INDEX(Cronograma!I$5:I$11,MATCH($B309,Premissas!$A$39:$A$45,0))</f>
        <v>S</v>
      </c>
      <c r="K309" s="22" t="str">
        <f>INDEX(Cronograma!J$5:J$11,MATCH($B309,Premissas!$A$39:$A$45,0))</f>
        <v/>
      </c>
      <c r="L309" s="22" t="str">
        <f>INDEX(Cronograma!K$5:K$11,MATCH($B309,Premissas!$A$39:$A$45,0))</f>
        <v>B</v>
      </c>
      <c r="M309" s="22" t="str">
        <f>INDEX(Cronograma!L$5:L$11,MATCH($B309,Premissas!$A$39:$A$45,0))</f>
        <v/>
      </c>
      <c r="N309" s="22" t="str">
        <f>INDEX(Cronograma!M$5:M$11,MATCH($B309,Premissas!$A$39:$A$45,0))</f>
        <v/>
      </c>
      <c r="O309" s="22" t="str">
        <f>INDEX(Cronograma!N$5:N$11,MATCH($B309,Premissas!$A$39:$A$45,0))</f>
        <v>S</v>
      </c>
      <c r="P309" s="22" t="str">
        <f>INDEX(Cronograma!O$5:O$11,MATCH($B309,Premissas!$A$39:$A$45,0))</f>
        <v/>
      </c>
      <c r="Q309" s="22" t="str">
        <f>INDEX(Cronograma!P$5:P$11,MATCH($B309,Premissas!$A$39:$A$45,0))</f>
        <v>A</v>
      </c>
      <c r="R309" s="22" t="str">
        <f>INDEX(Cronograma!Q$5:Q$11,MATCH($B309,Premissas!$A$39:$A$45,0))</f>
        <v/>
      </c>
      <c r="S309" s="22" t="str">
        <f>INDEX(Cronograma!R$5:R$11,MATCH($B309,Premissas!$A$39:$A$45,0))</f>
        <v/>
      </c>
      <c r="T309" s="22" t="str">
        <f>INDEX(Cronograma!S$5:S$11,MATCH($B309,Premissas!$A$39:$A$45,0))</f>
        <v>S</v>
      </c>
      <c r="U309" s="22" t="str">
        <f>INDEX(Cronograma!T$5:T$11,MATCH($B309,Premissas!$A$39:$A$45,0))</f>
        <v/>
      </c>
      <c r="V309" s="22" t="str">
        <f>INDEX(Cronograma!U$5:U$11,MATCH($B309,Premissas!$A$39:$A$45,0))</f>
        <v>C</v>
      </c>
      <c r="W309" s="22" t="str">
        <f>INDEX(Cronograma!V$5:V$11,MATCH($B309,Premissas!$A$39:$A$45,0))</f>
        <v/>
      </c>
      <c r="X309" s="22" t="str">
        <f>INDEX(Cronograma!W$5:W$11,MATCH($B309,Premissas!$A$39:$A$45,0))</f>
        <v/>
      </c>
      <c r="Y309" s="22" t="str">
        <f>INDEX(Cronograma!X$5:X$11,MATCH($B309,Premissas!$A$39:$A$45,0))</f>
        <v>S</v>
      </c>
      <c r="Z309" s="22" t="str">
        <f>INDEX(Cronograma!Y$5:Y$11,MATCH($B309,Premissas!$A$39:$A$45,0))</f>
        <v/>
      </c>
      <c r="AA309" s="22" t="str">
        <f>INDEX(Cronograma!Z$5:Z$11,MATCH($B309,Premissas!$A$39:$A$45,0))</f>
        <v>A</v>
      </c>
      <c r="AB309" s="22" t="str">
        <f>INDEX(Cronograma!AA$5:AA$11,MATCH($B309,Premissas!$A$39:$A$45,0))</f>
        <v/>
      </c>
      <c r="AC309" s="22" t="str">
        <f>INDEX(Cronograma!AB$5:AB$11,MATCH($B309,Premissas!$A$39:$A$45,0))</f>
        <v/>
      </c>
      <c r="AD309" s="22" t="str">
        <f>INDEX(Cronograma!AC$5:AC$11,MATCH($B309,Premissas!$A$39:$A$45,0))</f>
        <v>S</v>
      </c>
      <c r="AE309" s="22" t="str">
        <f>INDEX(Cronograma!AD$5:AD$11,MATCH($B309,Premissas!$A$39:$A$45,0))</f>
        <v/>
      </c>
      <c r="AF309" s="22" t="str">
        <f>INDEX(Cronograma!AE$5:AE$11,MATCH($B309,Premissas!$A$39:$A$45,0))</f>
        <v>B</v>
      </c>
      <c r="AG309" s="22" t="str">
        <f>INDEX(Cronograma!AF$5:AF$11,MATCH($B309,Premissas!$A$39:$A$45,0))</f>
        <v/>
      </c>
      <c r="AH309" s="22" t="str">
        <f>INDEX(Cronograma!AG$5:AG$11,MATCH($B309,Premissas!$A$39:$A$45,0))</f>
        <v/>
      </c>
      <c r="AI309" s="22" t="str">
        <f>INDEX(Cronograma!AH$5:AH$11,MATCH($B309,Premissas!$A$39:$A$45,0))</f>
        <v/>
      </c>
      <c r="AJ309" s="22" t="str">
        <f>INDEX(Cronograma!AI$5:AI$11,MATCH($B309,Premissas!$A$39:$A$45,0))</f>
        <v/>
      </c>
      <c r="AK309" s="22" t="str">
        <f>INDEX(Cronograma!AJ$5:AJ$11,MATCH($B309,Premissas!$A$39:$A$45,0))</f>
        <v/>
      </c>
      <c r="AL309" s="22" t="str">
        <f>INDEX(Cronograma!AK$5:AK$11,MATCH($B309,Premissas!$A$39:$A$45,0))</f>
        <v/>
      </c>
      <c r="AM309" s="22" t="str">
        <f>INDEX(Cronograma!AL$5:AL$11,MATCH($B309,Premissas!$A$39:$A$45,0))</f>
        <v/>
      </c>
      <c r="AN309" s="22" t="str">
        <f>INDEX(Cronograma!AM$5:AM$11,MATCH($B309,Premissas!$A$39:$A$45,0))</f>
        <v/>
      </c>
      <c r="AO309" s="22" t="str">
        <f>INDEX(Cronograma!AN$5:AN$11,MATCH($B309,Premissas!$A$39:$A$45,0))</f>
        <v/>
      </c>
      <c r="AP309" s="22" t="str">
        <f>INDEX(Cronograma!AO$5:AO$11,MATCH($B309,Premissas!$A$39:$A$45,0))</f>
        <v/>
      </c>
      <c r="AQ309" s="22" t="str">
        <f>INDEX(Cronograma!AP$5:AP$11,MATCH($B309,Premissas!$A$39:$A$45,0))</f>
        <v/>
      </c>
      <c r="AR309" s="22" t="str">
        <f>INDEX(Cronograma!AQ$5:AQ$11,MATCH($B309,Premissas!$A$39:$A$45,0))</f>
        <v/>
      </c>
      <c r="AS309" s="22" t="str">
        <f>INDEX(Cronograma!AR$5:AR$11,MATCH($B309,Premissas!$A$39:$A$45,0))</f>
        <v/>
      </c>
      <c r="AT309" s="22" t="str">
        <f>INDEX(Cronograma!AS$5:AS$11,MATCH($B309,Premissas!$A$39:$A$45,0))</f>
        <v/>
      </c>
      <c r="AU309" s="22" t="str">
        <f>INDEX(Cronograma!AT$5:AT$11,MATCH($B309,Premissas!$A$39:$A$45,0))</f>
        <v/>
      </c>
      <c r="AV309" s="22" t="str">
        <f>INDEX(Cronograma!AU$5:AU$11,MATCH($B309,Premissas!$A$39:$A$45,0))</f>
        <v/>
      </c>
      <c r="AW309" s="22" t="str">
        <f>INDEX(Cronograma!AV$5:AV$11,MATCH($B309,Premissas!$A$39:$A$45,0))</f>
        <v/>
      </c>
      <c r="AX309" s="22" t="str">
        <f>INDEX(Cronograma!AW$5:AW$11,MATCH($B309,Premissas!$A$39:$A$45,0))</f>
        <v/>
      </c>
      <c r="AY309" s="22" t="str">
        <f>INDEX(Cronograma!AX$5:AX$11,MATCH($B309,Premissas!$A$39:$A$45,0))</f>
        <v>S</v>
      </c>
      <c r="AZ309" s="22" t="str">
        <f>INDEX(Cronograma!AY$5:AY$11,MATCH($B309,Premissas!$A$39:$A$45,0))</f>
        <v/>
      </c>
      <c r="BA309" s="22" t="str">
        <f>INDEX(Cronograma!AZ$5:AZ$11,MATCH($B309,Premissas!$A$39:$A$45,0))</f>
        <v/>
      </c>
      <c r="BB309" s="22" t="str">
        <f>INDEX(Cronograma!BA$5:BA$11,MATCH($B309,Premissas!$A$39:$A$45,0))</f>
        <v/>
      </c>
    </row>
    <row r="310" spans="1:54" ht="15" customHeight="1" x14ac:dyDescent="0.4">
      <c r="A310" s="15" t="str">
        <f>Frota!$B310&amp;" — "&amp;Frota!$A310</f>
        <v>JD-CH-570 — 140017</v>
      </c>
      <c r="B310" s="16" t="str">
        <f>Frota!$C310</f>
        <v>Colhedora</v>
      </c>
      <c r="C310" s="22" t="str">
        <f>INDEX(Cronograma!B$5:B$11,MATCH($B310,Premissas!$A$39:$A$45,0))</f>
        <v/>
      </c>
      <c r="D310" s="22" t="str">
        <f>INDEX(Cronograma!C$5:C$11,MATCH($B310,Premissas!$A$39:$A$45,0))</f>
        <v/>
      </c>
      <c r="E310" s="22" t="str">
        <f>INDEX(Cronograma!D$5:D$11,MATCH($B310,Premissas!$A$39:$A$45,0))</f>
        <v>S</v>
      </c>
      <c r="F310" s="22" t="str">
        <f>INDEX(Cronograma!E$5:E$11,MATCH($B310,Premissas!$A$39:$A$45,0))</f>
        <v/>
      </c>
      <c r="G310" s="22" t="str">
        <f>INDEX(Cronograma!F$5:F$11,MATCH($B310,Premissas!$A$39:$A$45,0))</f>
        <v>A</v>
      </c>
      <c r="H310" s="22" t="str">
        <f>INDEX(Cronograma!G$5:G$11,MATCH($B310,Premissas!$A$39:$A$45,0))</f>
        <v/>
      </c>
      <c r="I310" s="22" t="str">
        <f>INDEX(Cronograma!H$5:H$11,MATCH($B310,Premissas!$A$39:$A$45,0))</f>
        <v/>
      </c>
      <c r="J310" s="22" t="str">
        <f>INDEX(Cronograma!I$5:I$11,MATCH($B310,Premissas!$A$39:$A$45,0))</f>
        <v>S</v>
      </c>
      <c r="K310" s="22" t="str">
        <f>INDEX(Cronograma!J$5:J$11,MATCH($B310,Premissas!$A$39:$A$45,0))</f>
        <v/>
      </c>
      <c r="L310" s="22" t="str">
        <f>INDEX(Cronograma!K$5:K$11,MATCH($B310,Premissas!$A$39:$A$45,0))</f>
        <v>B</v>
      </c>
      <c r="M310" s="22" t="str">
        <f>INDEX(Cronograma!L$5:L$11,MATCH($B310,Premissas!$A$39:$A$45,0))</f>
        <v/>
      </c>
      <c r="N310" s="22" t="str">
        <f>INDEX(Cronograma!M$5:M$11,MATCH($B310,Premissas!$A$39:$A$45,0))</f>
        <v/>
      </c>
      <c r="O310" s="22" t="str">
        <f>INDEX(Cronograma!N$5:N$11,MATCH($B310,Premissas!$A$39:$A$45,0))</f>
        <v>S</v>
      </c>
      <c r="P310" s="22" t="str">
        <f>INDEX(Cronograma!O$5:O$11,MATCH($B310,Premissas!$A$39:$A$45,0))</f>
        <v/>
      </c>
      <c r="Q310" s="22" t="str">
        <f>INDEX(Cronograma!P$5:P$11,MATCH($B310,Premissas!$A$39:$A$45,0))</f>
        <v>A</v>
      </c>
      <c r="R310" s="22" t="str">
        <f>INDEX(Cronograma!Q$5:Q$11,MATCH($B310,Premissas!$A$39:$A$45,0))</f>
        <v/>
      </c>
      <c r="S310" s="22" t="str">
        <f>INDEX(Cronograma!R$5:R$11,MATCH($B310,Premissas!$A$39:$A$45,0))</f>
        <v/>
      </c>
      <c r="T310" s="22" t="str">
        <f>INDEX(Cronograma!S$5:S$11,MATCH($B310,Premissas!$A$39:$A$45,0))</f>
        <v>S</v>
      </c>
      <c r="U310" s="22" t="str">
        <f>INDEX(Cronograma!T$5:T$11,MATCH($B310,Premissas!$A$39:$A$45,0))</f>
        <v/>
      </c>
      <c r="V310" s="22" t="str">
        <f>INDEX(Cronograma!U$5:U$11,MATCH($B310,Premissas!$A$39:$A$45,0))</f>
        <v>C</v>
      </c>
      <c r="W310" s="22" t="str">
        <f>INDEX(Cronograma!V$5:V$11,MATCH($B310,Premissas!$A$39:$A$45,0))</f>
        <v/>
      </c>
      <c r="X310" s="22" t="str">
        <f>INDEX(Cronograma!W$5:W$11,MATCH($B310,Premissas!$A$39:$A$45,0))</f>
        <v/>
      </c>
      <c r="Y310" s="22" t="str">
        <f>INDEX(Cronograma!X$5:X$11,MATCH($B310,Premissas!$A$39:$A$45,0))</f>
        <v>S</v>
      </c>
      <c r="Z310" s="22" t="str">
        <f>INDEX(Cronograma!Y$5:Y$11,MATCH($B310,Premissas!$A$39:$A$45,0))</f>
        <v/>
      </c>
      <c r="AA310" s="22" t="str">
        <f>INDEX(Cronograma!Z$5:Z$11,MATCH($B310,Premissas!$A$39:$A$45,0))</f>
        <v>A</v>
      </c>
      <c r="AB310" s="22" t="str">
        <f>INDEX(Cronograma!AA$5:AA$11,MATCH($B310,Premissas!$A$39:$A$45,0))</f>
        <v/>
      </c>
      <c r="AC310" s="22" t="str">
        <f>INDEX(Cronograma!AB$5:AB$11,MATCH($B310,Premissas!$A$39:$A$45,0))</f>
        <v/>
      </c>
      <c r="AD310" s="22" t="str">
        <f>INDEX(Cronograma!AC$5:AC$11,MATCH($B310,Premissas!$A$39:$A$45,0))</f>
        <v>S</v>
      </c>
      <c r="AE310" s="22" t="str">
        <f>INDEX(Cronograma!AD$5:AD$11,MATCH($B310,Premissas!$A$39:$A$45,0))</f>
        <v/>
      </c>
      <c r="AF310" s="22" t="str">
        <f>INDEX(Cronograma!AE$5:AE$11,MATCH($B310,Premissas!$A$39:$A$45,0))</f>
        <v>B</v>
      </c>
      <c r="AG310" s="22" t="str">
        <f>INDEX(Cronograma!AF$5:AF$11,MATCH($B310,Premissas!$A$39:$A$45,0))</f>
        <v/>
      </c>
      <c r="AH310" s="22" t="str">
        <f>INDEX(Cronograma!AG$5:AG$11,MATCH($B310,Premissas!$A$39:$A$45,0))</f>
        <v/>
      </c>
      <c r="AI310" s="22" t="str">
        <f>INDEX(Cronograma!AH$5:AH$11,MATCH($B310,Premissas!$A$39:$A$45,0))</f>
        <v/>
      </c>
      <c r="AJ310" s="22" t="str">
        <f>INDEX(Cronograma!AI$5:AI$11,MATCH($B310,Premissas!$A$39:$A$45,0))</f>
        <v/>
      </c>
      <c r="AK310" s="22" t="str">
        <f>INDEX(Cronograma!AJ$5:AJ$11,MATCH($B310,Premissas!$A$39:$A$45,0))</f>
        <v/>
      </c>
      <c r="AL310" s="22" t="str">
        <f>INDEX(Cronograma!AK$5:AK$11,MATCH($B310,Premissas!$A$39:$A$45,0))</f>
        <v/>
      </c>
      <c r="AM310" s="22" t="str">
        <f>INDEX(Cronograma!AL$5:AL$11,MATCH($B310,Premissas!$A$39:$A$45,0))</f>
        <v/>
      </c>
      <c r="AN310" s="22" t="str">
        <f>INDEX(Cronograma!AM$5:AM$11,MATCH($B310,Premissas!$A$39:$A$45,0))</f>
        <v/>
      </c>
      <c r="AO310" s="22" t="str">
        <f>INDEX(Cronograma!AN$5:AN$11,MATCH($B310,Premissas!$A$39:$A$45,0))</f>
        <v/>
      </c>
      <c r="AP310" s="22" t="str">
        <f>INDEX(Cronograma!AO$5:AO$11,MATCH($B310,Premissas!$A$39:$A$45,0))</f>
        <v/>
      </c>
      <c r="AQ310" s="22" t="str">
        <f>INDEX(Cronograma!AP$5:AP$11,MATCH($B310,Premissas!$A$39:$A$45,0))</f>
        <v/>
      </c>
      <c r="AR310" s="22" t="str">
        <f>INDEX(Cronograma!AQ$5:AQ$11,MATCH($B310,Premissas!$A$39:$A$45,0))</f>
        <v/>
      </c>
      <c r="AS310" s="22" t="str">
        <f>INDEX(Cronograma!AR$5:AR$11,MATCH($B310,Premissas!$A$39:$A$45,0))</f>
        <v/>
      </c>
      <c r="AT310" s="22" t="str">
        <f>INDEX(Cronograma!AS$5:AS$11,MATCH($B310,Premissas!$A$39:$A$45,0))</f>
        <v/>
      </c>
      <c r="AU310" s="22" t="str">
        <f>INDEX(Cronograma!AT$5:AT$11,MATCH($B310,Premissas!$A$39:$A$45,0))</f>
        <v/>
      </c>
      <c r="AV310" s="22" t="str">
        <f>INDEX(Cronograma!AU$5:AU$11,MATCH($B310,Premissas!$A$39:$A$45,0))</f>
        <v/>
      </c>
      <c r="AW310" s="22" t="str">
        <f>INDEX(Cronograma!AV$5:AV$11,MATCH($B310,Premissas!$A$39:$A$45,0))</f>
        <v/>
      </c>
      <c r="AX310" s="22" t="str">
        <f>INDEX(Cronograma!AW$5:AW$11,MATCH($B310,Premissas!$A$39:$A$45,0))</f>
        <v/>
      </c>
      <c r="AY310" s="22" t="str">
        <f>INDEX(Cronograma!AX$5:AX$11,MATCH($B310,Premissas!$A$39:$A$45,0))</f>
        <v>S</v>
      </c>
      <c r="AZ310" s="22" t="str">
        <f>INDEX(Cronograma!AY$5:AY$11,MATCH($B310,Premissas!$A$39:$A$45,0))</f>
        <v/>
      </c>
      <c r="BA310" s="22" t="str">
        <f>INDEX(Cronograma!AZ$5:AZ$11,MATCH($B310,Premissas!$A$39:$A$45,0))</f>
        <v/>
      </c>
      <c r="BB310" s="22" t="str">
        <f>INDEX(Cronograma!BA$5:BA$11,MATCH($B310,Premissas!$A$39:$A$45,0))</f>
        <v/>
      </c>
    </row>
    <row r="311" spans="1:54" ht="15" customHeight="1" x14ac:dyDescent="0.4">
      <c r="A311" s="15" t="str">
        <f>Frota!$B311&amp;" — "&amp;Frota!$A311</f>
        <v>JD-CH-570 — 140018</v>
      </c>
      <c r="B311" s="16" t="str">
        <f>Frota!$C311</f>
        <v>Colhedora</v>
      </c>
      <c r="C311" s="22" t="str">
        <f>INDEX(Cronograma!B$5:B$11,MATCH($B311,Premissas!$A$39:$A$45,0))</f>
        <v/>
      </c>
      <c r="D311" s="22" t="str">
        <f>INDEX(Cronograma!C$5:C$11,MATCH($B311,Premissas!$A$39:$A$45,0))</f>
        <v/>
      </c>
      <c r="E311" s="22" t="str">
        <f>INDEX(Cronograma!D$5:D$11,MATCH($B311,Premissas!$A$39:$A$45,0))</f>
        <v>S</v>
      </c>
      <c r="F311" s="22" t="str">
        <f>INDEX(Cronograma!E$5:E$11,MATCH($B311,Premissas!$A$39:$A$45,0))</f>
        <v/>
      </c>
      <c r="G311" s="22" t="str">
        <f>INDEX(Cronograma!F$5:F$11,MATCH($B311,Premissas!$A$39:$A$45,0))</f>
        <v>A</v>
      </c>
      <c r="H311" s="22" t="str">
        <f>INDEX(Cronograma!G$5:G$11,MATCH($B311,Premissas!$A$39:$A$45,0))</f>
        <v/>
      </c>
      <c r="I311" s="22" t="str">
        <f>INDEX(Cronograma!H$5:H$11,MATCH($B311,Premissas!$A$39:$A$45,0))</f>
        <v/>
      </c>
      <c r="J311" s="22" t="str">
        <f>INDEX(Cronograma!I$5:I$11,MATCH($B311,Premissas!$A$39:$A$45,0))</f>
        <v>S</v>
      </c>
      <c r="K311" s="22" t="str">
        <f>INDEX(Cronograma!J$5:J$11,MATCH($B311,Premissas!$A$39:$A$45,0))</f>
        <v/>
      </c>
      <c r="L311" s="22" t="str">
        <f>INDEX(Cronograma!K$5:K$11,MATCH($B311,Premissas!$A$39:$A$45,0))</f>
        <v>B</v>
      </c>
      <c r="M311" s="22" t="str">
        <f>INDEX(Cronograma!L$5:L$11,MATCH($B311,Premissas!$A$39:$A$45,0))</f>
        <v/>
      </c>
      <c r="N311" s="22" t="str">
        <f>INDEX(Cronograma!M$5:M$11,MATCH($B311,Premissas!$A$39:$A$45,0))</f>
        <v/>
      </c>
      <c r="O311" s="22" t="str">
        <f>INDEX(Cronograma!N$5:N$11,MATCH($B311,Premissas!$A$39:$A$45,0))</f>
        <v>S</v>
      </c>
      <c r="P311" s="22" t="str">
        <f>INDEX(Cronograma!O$5:O$11,MATCH($B311,Premissas!$A$39:$A$45,0))</f>
        <v/>
      </c>
      <c r="Q311" s="22" t="str">
        <f>INDEX(Cronograma!P$5:P$11,MATCH($B311,Premissas!$A$39:$A$45,0))</f>
        <v>A</v>
      </c>
      <c r="R311" s="22" t="str">
        <f>INDEX(Cronograma!Q$5:Q$11,MATCH($B311,Premissas!$A$39:$A$45,0))</f>
        <v/>
      </c>
      <c r="S311" s="22" t="str">
        <f>INDEX(Cronograma!R$5:R$11,MATCH($B311,Premissas!$A$39:$A$45,0))</f>
        <v/>
      </c>
      <c r="T311" s="22" t="str">
        <f>INDEX(Cronograma!S$5:S$11,MATCH($B311,Premissas!$A$39:$A$45,0))</f>
        <v>S</v>
      </c>
      <c r="U311" s="22" t="str">
        <f>INDEX(Cronograma!T$5:T$11,MATCH($B311,Premissas!$A$39:$A$45,0))</f>
        <v/>
      </c>
      <c r="V311" s="22" t="str">
        <f>INDEX(Cronograma!U$5:U$11,MATCH($B311,Premissas!$A$39:$A$45,0))</f>
        <v>C</v>
      </c>
      <c r="W311" s="22" t="str">
        <f>INDEX(Cronograma!V$5:V$11,MATCH($B311,Premissas!$A$39:$A$45,0))</f>
        <v/>
      </c>
      <c r="X311" s="22" t="str">
        <f>INDEX(Cronograma!W$5:W$11,MATCH($B311,Premissas!$A$39:$A$45,0))</f>
        <v/>
      </c>
      <c r="Y311" s="22" t="str">
        <f>INDEX(Cronograma!X$5:X$11,MATCH($B311,Premissas!$A$39:$A$45,0))</f>
        <v>S</v>
      </c>
      <c r="Z311" s="22" t="str">
        <f>INDEX(Cronograma!Y$5:Y$11,MATCH($B311,Premissas!$A$39:$A$45,0))</f>
        <v/>
      </c>
      <c r="AA311" s="22" t="str">
        <f>INDEX(Cronograma!Z$5:Z$11,MATCH($B311,Premissas!$A$39:$A$45,0))</f>
        <v>A</v>
      </c>
      <c r="AB311" s="22" t="str">
        <f>INDEX(Cronograma!AA$5:AA$11,MATCH($B311,Premissas!$A$39:$A$45,0))</f>
        <v/>
      </c>
      <c r="AC311" s="22" t="str">
        <f>INDEX(Cronograma!AB$5:AB$11,MATCH($B311,Premissas!$A$39:$A$45,0))</f>
        <v/>
      </c>
      <c r="AD311" s="22" t="str">
        <f>INDEX(Cronograma!AC$5:AC$11,MATCH($B311,Premissas!$A$39:$A$45,0))</f>
        <v>S</v>
      </c>
      <c r="AE311" s="22" t="str">
        <f>INDEX(Cronograma!AD$5:AD$11,MATCH($B311,Premissas!$A$39:$A$45,0))</f>
        <v/>
      </c>
      <c r="AF311" s="22" t="str">
        <f>INDEX(Cronograma!AE$5:AE$11,MATCH($B311,Premissas!$A$39:$A$45,0))</f>
        <v>B</v>
      </c>
      <c r="AG311" s="22" t="str">
        <f>INDEX(Cronograma!AF$5:AF$11,MATCH($B311,Premissas!$A$39:$A$45,0))</f>
        <v/>
      </c>
      <c r="AH311" s="22" t="str">
        <f>INDEX(Cronograma!AG$5:AG$11,MATCH($B311,Premissas!$A$39:$A$45,0))</f>
        <v/>
      </c>
      <c r="AI311" s="22" t="str">
        <f>INDEX(Cronograma!AH$5:AH$11,MATCH($B311,Premissas!$A$39:$A$45,0))</f>
        <v/>
      </c>
      <c r="AJ311" s="22" t="str">
        <f>INDEX(Cronograma!AI$5:AI$11,MATCH($B311,Premissas!$A$39:$A$45,0))</f>
        <v/>
      </c>
      <c r="AK311" s="22" t="str">
        <f>INDEX(Cronograma!AJ$5:AJ$11,MATCH($B311,Premissas!$A$39:$A$45,0))</f>
        <v/>
      </c>
      <c r="AL311" s="22" t="str">
        <f>INDEX(Cronograma!AK$5:AK$11,MATCH($B311,Premissas!$A$39:$A$45,0))</f>
        <v/>
      </c>
      <c r="AM311" s="22" t="str">
        <f>INDEX(Cronograma!AL$5:AL$11,MATCH($B311,Premissas!$A$39:$A$45,0))</f>
        <v/>
      </c>
      <c r="AN311" s="22" t="str">
        <f>INDEX(Cronograma!AM$5:AM$11,MATCH($B311,Premissas!$A$39:$A$45,0))</f>
        <v/>
      </c>
      <c r="AO311" s="22" t="str">
        <f>INDEX(Cronograma!AN$5:AN$11,MATCH($B311,Premissas!$A$39:$A$45,0))</f>
        <v/>
      </c>
      <c r="AP311" s="22" t="str">
        <f>INDEX(Cronograma!AO$5:AO$11,MATCH($B311,Premissas!$A$39:$A$45,0))</f>
        <v/>
      </c>
      <c r="AQ311" s="22" t="str">
        <f>INDEX(Cronograma!AP$5:AP$11,MATCH($B311,Premissas!$A$39:$A$45,0))</f>
        <v/>
      </c>
      <c r="AR311" s="22" t="str">
        <f>INDEX(Cronograma!AQ$5:AQ$11,MATCH($B311,Premissas!$A$39:$A$45,0))</f>
        <v/>
      </c>
      <c r="AS311" s="22" t="str">
        <f>INDEX(Cronograma!AR$5:AR$11,MATCH($B311,Premissas!$A$39:$A$45,0))</f>
        <v/>
      </c>
      <c r="AT311" s="22" t="str">
        <f>INDEX(Cronograma!AS$5:AS$11,MATCH($B311,Premissas!$A$39:$A$45,0))</f>
        <v/>
      </c>
      <c r="AU311" s="22" t="str">
        <f>INDEX(Cronograma!AT$5:AT$11,MATCH($B311,Premissas!$A$39:$A$45,0))</f>
        <v/>
      </c>
      <c r="AV311" s="22" t="str">
        <f>INDEX(Cronograma!AU$5:AU$11,MATCH($B311,Premissas!$A$39:$A$45,0))</f>
        <v/>
      </c>
      <c r="AW311" s="22" t="str">
        <f>INDEX(Cronograma!AV$5:AV$11,MATCH($B311,Premissas!$A$39:$A$45,0))</f>
        <v/>
      </c>
      <c r="AX311" s="22" t="str">
        <f>INDEX(Cronograma!AW$5:AW$11,MATCH($B311,Premissas!$A$39:$A$45,0))</f>
        <v/>
      </c>
      <c r="AY311" s="22" t="str">
        <f>INDEX(Cronograma!AX$5:AX$11,MATCH($B311,Premissas!$A$39:$A$45,0))</f>
        <v>S</v>
      </c>
      <c r="AZ311" s="22" t="str">
        <f>INDEX(Cronograma!AY$5:AY$11,MATCH($B311,Premissas!$A$39:$A$45,0))</f>
        <v/>
      </c>
      <c r="BA311" s="22" t="str">
        <f>INDEX(Cronograma!AZ$5:AZ$11,MATCH($B311,Premissas!$A$39:$A$45,0))</f>
        <v/>
      </c>
      <c r="BB311" s="22" t="str">
        <f>INDEX(Cronograma!BA$5:BA$11,MATCH($B311,Premissas!$A$39:$A$45,0))</f>
        <v/>
      </c>
    </row>
    <row r="312" spans="1:54" ht="15" customHeight="1" x14ac:dyDescent="0.4">
      <c r="A312" s="15" t="str">
        <f>Frota!$B312&amp;" — "&amp;Frota!$A312</f>
        <v>JD-CH-570 — 140019</v>
      </c>
      <c r="B312" s="16" t="str">
        <f>Frota!$C312</f>
        <v>Colhedora</v>
      </c>
      <c r="C312" s="22" t="str">
        <f>INDEX(Cronograma!B$5:B$11,MATCH($B312,Premissas!$A$39:$A$45,0))</f>
        <v/>
      </c>
      <c r="D312" s="22" t="str">
        <f>INDEX(Cronograma!C$5:C$11,MATCH($B312,Premissas!$A$39:$A$45,0))</f>
        <v/>
      </c>
      <c r="E312" s="22" t="str">
        <f>INDEX(Cronograma!D$5:D$11,MATCH($B312,Premissas!$A$39:$A$45,0))</f>
        <v>S</v>
      </c>
      <c r="F312" s="22" t="str">
        <f>INDEX(Cronograma!E$5:E$11,MATCH($B312,Premissas!$A$39:$A$45,0))</f>
        <v/>
      </c>
      <c r="G312" s="22" t="str">
        <f>INDEX(Cronograma!F$5:F$11,MATCH($B312,Premissas!$A$39:$A$45,0))</f>
        <v>A</v>
      </c>
      <c r="H312" s="22" t="str">
        <f>INDEX(Cronograma!G$5:G$11,MATCH($B312,Premissas!$A$39:$A$45,0))</f>
        <v/>
      </c>
      <c r="I312" s="22" t="str">
        <f>INDEX(Cronograma!H$5:H$11,MATCH($B312,Premissas!$A$39:$A$45,0))</f>
        <v/>
      </c>
      <c r="J312" s="22" t="str">
        <f>INDEX(Cronograma!I$5:I$11,MATCH($B312,Premissas!$A$39:$A$45,0))</f>
        <v>S</v>
      </c>
      <c r="K312" s="22" t="str">
        <f>INDEX(Cronograma!J$5:J$11,MATCH($B312,Premissas!$A$39:$A$45,0))</f>
        <v/>
      </c>
      <c r="L312" s="22" t="str">
        <f>INDEX(Cronograma!K$5:K$11,MATCH($B312,Premissas!$A$39:$A$45,0))</f>
        <v>B</v>
      </c>
      <c r="M312" s="22" t="str">
        <f>INDEX(Cronograma!L$5:L$11,MATCH($B312,Premissas!$A$39:$A$45,0))</f>
        <v/>
      </c>
      <c r="N312" s="22" t="str">
        <f>INDEX(Cronograma!M$5:M$11,MATCH($B312,Premissas!$A$39:$A$45,0))</f>
        <v/>
      </c>
      <c r="O312" s="22" t="str">
        <f>INDEX(Cronograma!N$5:N$11,MATCH($B312,Premissas!$A$39:$A$45,0))</f>
        <v>S</v>
      </c>
      <c r="P312" s="22" t="str">
        <f>INDEX(Cronograma!O$5:O$11,MATCH($B312,Premissas!$A$39:$A$45,0))</f>
        <v/>
      </c>
      <c r="Q312" s="22" t="str">
        <f>INDEX(Cronograma!P$5:P$11,MATCH($B312,Premissas!$A$39:$A$45,0))</f>
        <v>A</v>
      </c>
      <c r="R312" s="22" t="str">
        <f>INDEX(Cronograma!Q$5:Q$11,MATCH($B312,Premissas!$A$39:$A$45,0))</f>
        <v/>
      </c>
      <c r="S312" s="22" t="str">
        <f>INDEX(Cronograma!R$5:R$11,MATCH($B312,Premissas!$A$39:$A$45,0))</f>
        <v/>
      </c>
      <c r="T312" s="22" t="str">
        <f>INDEX(Cronograma!S$5:S$11,MATCH($B312,Premissas!$A$39:$A$45,0))</f>
        <v>S</v>
      </c>
      <c r="U312" s="22" t="str">
        <f>INDEX(Cronograma!T$5:T$11,MATCH($B312,Premissas!$A$39:$A$45,0))</f>
        <v/>
      </c>
      <c r="V312" s="22" t="str">
        <f>INDEX(Cronograma!U$5:U$11,MATCH($B312,Premissas!$A$39:$A$45,0))</f>
        <v>C</v>
      </c>
      <c r="W312" s="22" t="str">
        <f>INDEX(Cronograma!V$5:V$11,MATCH($B312,Premissas!$A$39:$A$45,0))</f>
        <v/>
      </c>
      <c r="X312" s="22" t="str">
        <f>INDEX(Cronograma!W$5:W$11,MATCH($B312,Premissas!$A$39:$A$45,0))</f>
        <v/>
      </c>
      <c r="Y312" s="22" t="str">
        <f>INDEX(Cronograma!X$5:X$11,MATCH($B312,Premissas!$A$39:$A$45,0))</f>
        <v>S</v>
      </c>
      <c r="Z312" s="22" t="str">
        <f>INDEX(Cronograma!Y$5:Y$11,MATCH($B312,Premissas!$A$39:$A$45,0))</f>
        <v/>
      </c>
      <c r="AA312" s="22" t="str">
        <f>INDEX(Cronograma!Z$5:Z$11,MATCH($B312,Premissas!$A$39:$A$45,0))</f>
        <v>A</v>
      </c>
      <c r="AB312" s="22" t="str">
        <f>INDEX(Cronograma!AA$5:AA$11,MATCH($B312,Premissas!$A$39:$A$45,0))</f>
        <v/>
      </c>
      <c r="AC312" s="22" t="str">
        <f>INDEX(Cronograma!AB$5:AB$11,MATCH($B312,Premissas!$A$39:$A$45,0))</f>
        <v/>
      </c>
      <c r="AD312" s="22" t="str">
        <f>INDEX(Cronograma!AC$5:AC$11,MATCH($B312,Premissas!$A$39:$A$45,0))</f>
        <v>S</v>
      </c>
      <c r="AE312" s="22" t="str">
        <f>INDEX(Cronograma!AD$5:AD$11,MATCH($B312,Premissas!$A$39:$A$45,0))</f>
        <v/>
      </c>
      <c r="AF312" s="22" t="str">
        <f>INDEX(Cronograma!AE$5:AE$11,MATCH($B312,Premissas!$A$39:$A$45,0))</f>
        <v>B</v>
      </c>
      <c r="AG312" s="22" t="str">
        <f>INDEX(Cronograma!AF$5:AF$11,MATCH($B312,Premissas!$A$39:$A$45,0))</f>
        <v/>
      </c>
      <c r="AH312" s="22" t="str">
        <f>INDEX(Cronograma!AG$5:AG$11,MATCH($B312,Premissas!$A$39:$A$45,0))</f>
        <v/>
      </c>
      <c r="AI312" s="22" t="str">
        <f>INDEX(Cronograma!AH$5:AH$11,MATCH($B312,Premissas!$A$39:$A$45,0))</f>
        <v/>
      </c>
      <c r="AJ312" s="22" t="str">
        <f>INDEX(Cronograma!AI$5:AI$11,MATCH($B312,Premissas!$A$39:$A$45,0))</f>
        <v/>
      </c>
      <c r="AK312" s="22" t="str">
        <f>INDEX(Cronograma!AJ$5:AJ$11,MATCH($B312,Premissas!$A$39:$A$45,0))</f>
        <v/>
      </c>
      <c r="AL312" s="22" t="str">
        <f>INDEX(Cronograma!AK$5:AK$11,MATCH($B312,Premissas!$A$39:$A$45,0))</f>
        <v/>
      </c>
      <c r="AM312" s="22" t="str">
        <f>INDEX(Cronograma!AL$5:AL$11,MATCH($B312,Premissas!$A$39:$A$45,0))</f>
        <v/>
      </c>
      <c r="AN312" s="22" t="str">
        <f>INDEX(Cronograma!AM$5:AM$11,MATCH($B312,Premissas!$A$39:$A$45,0))</f>
        <v/>
      </c>
      <c r="AO312" s="22" t="str">
        <f>INDEX(Cronograma!AN$5:AN$11,MATCH($B312,Premissas!$A$39:$A$45,0))</f>
        <v/>
      </c>
      <c r="AP312" s="22" t="str">
        <f>INDEX(Cronograma!AO$5:AO$11,MATCH($B312,Premissas!$A$39:$A$45,0))</f>
        <v/>
      </c>
      <c r="AQ312" s="22" t="str">
        <f>INDEX(Cronograma!AP$5:AP$11,MATCH($B312,Premissas!$A$39:$A$45,0))</f>
        <v/>
      </c>
      <c r="AR312" s="22" t="str">
        <f>INDEX(Cronograma!AQ$5:AQ$11,MATCH($B312,Premissas!$A$39:$A$45,0))</f>
        <v/>
      </c>
      <c r="AS312" s="22" t="str">
        <f>INDEX(Cronograma!AR$5:AR$11,MATCH($B312,Premissas!$A$39:$A$45,0))</f>
        <v/>
      </c>
      <c r="AT312" s="22" t="str">
        <f>INDEX(Cronograma!AS$5:AS$11,MATCH($B312,Premissas!$A$39:$A$45,0))</f>
        <v/>
      </c>
      <c r="AU312" s="22" t="str">
        <f>INDEX(Cronograma!AT$5:AT$11,MATCH($B312,Premissas!$A$39:$A$45,0))</f>
        <v/>
      </c>
      <c r="AV312" s="22" t="str">
        <f>INDEX(Cronograma!AU$5:AU$11,MATCH($B312,Premissas!$A$39:$A$45,0))</f>
        <v/>
      </c>
      <c r="AW312" s="22" t="str">
        <f>INDEX(Cronograma!AV$5:AV$11,MATCH($B312,Premissas!$A$39:$A$45,0))</f>
        <v/>
      </c>
      <c r="AX312" s="22" t="str">
        <f>INDEX(Cronograma!AW$5:AW$11,MATCH($B312,Premissas!$A$39:$A$45,0))</f>
        <v/>
      </c>
      <c r="AY312" s="22" t="str">
        <f>INDEX(Cronograma!AX$5:AX$11,MATCH($B312,Premissas!$A$39:$A$45,0))</f>
        <v>S</v>
      </c>
      <c r="AZ312" s="22" t="str">
        <f>INDEX(Cronograma!AY$5:AY$11,MATCH($B312,Premissas!$A$39:$A$45,0))</f>
        <v/>
      </c>
      <c r="BA312" s="22" t="str">
        <f>INDEX(Cronograma!AZ$5:AZ$11,MATCH($B312,Premissas!$A$39:$A$45,0))</f>
        <v/>
      </c>
      <c r="BB312" s="22" t="str">
        <f>INDEX(Cronograma!BA$5:BA$11,MATCH($B312,Premissas!$A$39:$A$45,0))</f>
        <v/>
      </c>
    </row>
    <row r="313" spans="1:54" ht="15" customHeight="1" x14ac:dyDescent="0.4">
      <c r="A313" s="15" t="str">
        <f>Frota!$B313&amp;" — "&amp;Frota!$A313</f>
        <v>Compac CA-15 — 144101</v>
      </c>
      <c r="B313" s="16" t="str">
        <f>Frota!$C313</f>
        <v>Carregadeira/Pesada</v>
      </c>
      <c r="C313" s="22" t="str">
        <f>INDEX(Cronograma!B$5:B$11,MATCH($B313,Premissas!$A$39:$A$45,0))</f>
        <v/>
      </c>
      <c r="D313" s="22" t="str">
        <f>INDEX(Cronograma!C$5:C$11,MATCH($B313,Premissas!$A$39:$A$45,0))</f>
        <v/>
      </c>
      <c r="E313" s="22" t="str">
        <f>INDEX(Cronograma!D$5:D$11,MATCH($B313,Premissas!$A$39:$A$45,0))</f>
        <v/>
      </c>
      <c r="F313" s="22" t="str">
        <f>INDEX(Cronograma!E$5:E$11,MATCH($B313,Premissas!$A$39:$A$45,0))</f>
        <v/>
      </c>
      <c r="G313" s="22" t="str">
        <f>INDEX(Cronograma!F$5:F$11,MATCH($B313,Premissas!$A$39:$A$45,0))</f>
        <v/>
      </c>
      <c r="H313" s="22" t="str">
        <f>INDEX(Cronograma!G$5:G$11,MATCH($B313,Premissas!$A$39:$A$45,0))</f>
        <v>S</v>
      </c>
      <c r="I313" s="22" t="str">
        <f>INDEX(Cronograma!H$5:H$11,MATCH($B313,Premissas!$A$39:$A$45,0))</f>
        <v/>
      </c>
      <c r="J313" s="22" t="str">
        <f>INDEX(Cronograma!I$5:I$11,MATCH($B313,Premissas!$A$39:$A$45,0))</f>
        <v/>
      </c>
      <c r="K313" s="22" t="str">
        <f>INDEX(Cronograma!J$5:J$11,MATCH($B313,Premissas!$A$39:$A$45,0))</f>
        <v/>
      </c>
      <c r="L313" s="22" t="str">
        <f>INDEX(Cronograma!K$5:K$11,MATCH($B313,Premissas!$A$39:$A$45,0))</f>
        <v/>
      </c>
      <c r="M313" s="22" t="str">
        <f>INDEX(Cronograma!L$5:L$11,MATCH($B313,Premissas!$A$39:$A$45,0))</f>
        <v/>
      </c>
      <c r="N313" s="22" t="str">
        <f>INDEX(Cronograma!M$5:M$11,MATCH($B313,Premissas!$A$39:$A$45,0))</f>
        <v>A</v>
      </c>
      <c r="O313" s="22" t="str">
        <f>INDEX(Cronograma!N$5:N$11,MATCH($B313,Premissas!$A$39:$A$45,0))</f>
        <v/>
      </c>
      <c r="P313" s="22" t="str">
        <f>INDEX(Cronograma!O$5:O$11,MATCH($B313,Premissas!$A$39:$A$45,0))</f>
        <v/>
      </c>
      <c r="Q313" s="22" t="str">
        <f>INDEX(Cronograma!P$5:P$11,MATCH($B313,Premissas!$A$39:$A$45,0))</f>
        <v/>
      </c>
      <c r="R313" s="22" t="str">
        <f>INDEX(Cronograma!Q$5:Q$11,MATCH($B313,Premissas!$A$39:$A$45,0))</f>
        <v/>
      </c>
      <c r="S313" s="22" t="str">
        <f>INDEX(Cronograma!R$5:R$11,MATCH($B313,Premissas!$A$39:$A$45,0))</f>
        <v>S</v>
      </c>
      <c r="T313" s="22" t="str">
        <f>INDEX(Cronograma!S$5:S$11,MATCH($B313,Premissas!$A$39:$A$45,0))</f>
        <v/>
      </c>
      <c r="U313" s="22" t="str">
        <f>INDEX(Cronograma!T$5:T$11,MATCH($B313,Premissas!$A$39:$A$45,0))</f>
        <v/>
      </c>
      <c r="V313" s="22" t="str">
        <f>INDEX(Cronograma!U$5:U$11,MATCH($B313,Premissas!$A$39:$A$45,0))</f>
        <v/>
      </c>
      <c r="W313" s="22" t="str">
        <f>INDEX(Cronograma!V$5:V$11,MATCH($B313,Premissas!$A$39:$A$45,0))</f>
        <v/>
      </c>
      <c r="X313" s="22" t="str">
        <f>INDEX(Cronograma!W$5:W$11,MATCH($B313,Premissas!$A$39:$A$45,0))</f>
        <v/>
      </c>
      <c r="Y313" s="22" t="str">
        <f>INDEX(Cronograma!X$5:X$11,MATCH($B313,Premissas!$A$39:$A$45,0))</f>
        <v>B</v>
      </c>
      <c r="Z313" s="22" t="str">
        <f>INDEX(Cronograma!Y$5:Y$11,MATCH($B313,Premissas!$A$39:$A$45,0))</f>
        <v/>
      </c>
      <c r="AA313" s="22" t="str">
        <f>INDEX(Cronograma!Z$5:Z$11,MATCH($B313,Premissas!$A$39:$A$45,0))</f>
        <v/>
      </c>
      <c r="AB313" s="22" t="str">
        <f>INDEX(Cronograma!AA$5:AA$11,MATCH($B313,Premissas!$A$39:$A$45,0))</f>
        <v/>
      </c>
      <c r="AC313" s="22" t="str">
        <f>INDEX(Cronograma!AB$5:AB$11,MATCH($B313,Premissas!$A$39:$A$45,0))</f>
        <v/>
      </c>
      <c r="AD313" s="22" t="str">
        <f>INDEX(Cronograma!AC$5:AC$11,MATCH($B313,Premissas!$A$39:$A$45,0))</f>
        <v>S</v>
      </c>
      <c r="AE313" s="22" t="str">
        <f>INDEX(Cronograma!AD$5:AD$11,MATCH($B313,Premissas!$A$39:$A$45,0))</f>
        <v/>
      </c>
      <c r="AF313" s="22" t="str">
        <f>INDEX(Cronograma!AE$5:AE$11,MATCH($B313,Premissas!$A$39:$A$45,0))</f>
        <v/>
      </c>
      <c r="AG313" s="22" t="str">
        <f>INDEX(Cronograma!AF$5:AF$11,MATCH($B313,Premissas!$A$39:$A$45,0))</f>
        <v/>
      </c>
      <c r="AH313" s="22" t="str">
        <f>INDEX(Cronograma!AG$5:AG$11,MATCH($B313,Premissas!$A$39:$A$45,0))</f>
        <v/>
      </c>
      <c r="AI313" s="22" t="str">
        <f>INDEX(Cronograma!AH$5:AH$11,MATCH($B313,Premissas!$A$39:$A$45,0))</f>
        <v/>
      </c>
      <c r="AJ313" s="22" t="str">
        <f>INDEX(Cronograma!AI$5:AI$11,MATCH($B313,Premissas!$A$39:$A$45,0))</f>
        <v/>
      </c>
      <c r="AK313" s="22" t="str">
        <f>INDEX(Cronograma!AJ$5:AJ$11,MATCH($B313,Premissas!$A$39:$A$45,0))</f>
        <v/>
      </c>
      <c r="AL313" s="22" t="str">
        <f>INDEX(Cronograma!AK$5:AK$11,MATCH($B313,Premissas!$A$39:$A$45,0))</f>
        <v/>
      </c>
      <c r="AM313" s="22" t="str">
        <f>INDEX(Cronograma!AL$5:AL$11,MATCH($B313,Premissas!$A$39:$A$45,0))</f>
        <v/>
      </c>
      <c r="AN313" s="22" t="str">
        <f>INDEX(Cronograma!AM$5:AM$11,MATCH($B313,Premissas!$A$39:$A$45,0))</f>
        <v/>
      </c>
      <c r="AO313" s="22" t="str">
        <f>INDEX(Cronograma!AN$5:AN$11,MATCH($B313,Premissas!$A$39:$A$45,0))</f>
        <v/>
      </c>
      <c r="AP313" s="22" t="str">
        <f>INDEX(Cronograma!AO$5:AO$11,MATCH($B313,Premissas!$A$39:$A$45,0))</f>
        <v/>
      </c>
      <c r="AQ313" s="22" t="str">
        <f>INDEX(Cronograma!AP$5:AP$11,MATCH($B313,Premissas!$A$39:$A$45,0))</f>
        <v/>
      </c>
      <c r="AR313" s="22" t="str">
        <f>INDEX(Cronograma!AQ$5:AQ$11,MATCH($B313,Premissas!$A$39:$A$45,0))</f>
        <v>A</v>
      </c>
      <c r="AS313" s="22" t="str">
        <f>INDEX(Cronograma!AR$5:AR$11,MATCH($B313,Premissas!$A$39:$A$45,0))</f>
        <v/>
      </c>
      <c r="AT313" s="22" t="str">
        <f>INDEX(Cronograma!AS$5:AS$11,MATCH($B313,Premissas!$A$39:$A$45,0))</f>
        <v/>
      </c>
      <c r="AU313" s="22" t="str">
        <f>INDEX(Cronograma!AT$5:AT$11,MATCH($B313,Premissas!$A$39:$A$45,0))</f>
        <v/>
      </c>
      <c r="AV313" s="22" t="str">
        <f>INDEX(Cronograma!AU$5:AU$11,MATCH($B313,Premissas!$A$39:$A$45,0))</f>
        <v/>
      </c>
      <c r="AW313" s="22" t="str">
        <f>INDEX(Cronograma!AV$5:AV$11,MATCH($B313,Premissas!$A$39:$A$45,0))</f>
        <v/>
      </c>
      <c r="AX313" s="22" t="str">
        <f>INDEX(Cronograma!AW$5:AW$11,MATCH($B313,Premissas!$A$39:$A$45,0))</f>
        <v/>
      </c>
      <c r="AY313" s="22" t="str">
        <f>INDEX(Cronograma!AX$5:AX$11,MATCH($B313,Premissas!$A$39:$A$45,0))</f>
        <v/>
      </c>
      <c r="AZ313" s="22" t="str">
        <f>INDEX(Cronograma!AY$5:AY$11,MATCH($B313,Premissas!$A$39:$A$45,0))</f>
        <v/>
      </c>
      <c r="BA313" s="22" t="str">
        <f>INDEX(Cronograma!AZ$5:AZ$11,MATCH($B313,Premissas!$A$39:$A$45,0))</f>
        <v/>
      </c>
      <c r="BB313" s="22" t="str">
        <f>INDEX(Cronograma!BA$5:BA$11,MATCH($B313,Premissas!$A$39:$A$45,0))</f>
        <v/>
      </c>
    </row>
    <row r="314" spans="1:54" ht="15" customHeight="1" x14ac:dyDescent="0.4">
      <c r="A314" s="15" t="str">
        <f>Frota!$B314&amp;" — "&amp;Frota!$A314</f>
        <v>Bell SC-800 — 164001</v>
      </c>
      <c r="B314" s="16" t="str">
        <f>Frota!$C314</f>
        <v>Carregadeira/Pesada</v>
      </c>
      <c r="C314" s="22" t="str">
        <f>INDEX(Cronograma!B$5:B$11,MATCH($B314,Premissas!$A$39:$A$45,0))</f>
        <v/>
      </c>
      <c r="D314" s="22" t="str">
        <f>INDEX(Cronograma!C$5:C$11,MATCH($B314,Premissas!$A$39:$A$45,0))</f>
        <v/>
      </c>
      <c r="E314" s="22" t="str">
        <f>INDEX(Cronograma!D$5:D$11,MATCH($B314,Premissas!$A$39:$A$45,0))</f>
        <v/>
      </c>
      <c r="F314" s="22" t="str">
        <f>INDEX(Cronograma!E$5:E$11,MATCH($B314,Premissas!$A$39:$A$45,0))</f>
        <v/>
      </c>
      <c r="G314" s="22" t="str">
        <f>INDEX(Cronograma!F$5:F$11,MATCH($B314,Premissas!$A$39:$A$45,0))</f>
        <v/>
      </c>
      <c r="H314" s="22" t="str">
        <f>INDEX(Cronograma!G$5:G$11,MATCH($B314,Premissas!$A$39:$A$45,0))</f>
        <v>S</v>
      </c>
      <c r="I314" s="22" t="str">
        <f>INDEX(Cronograma!H$5:H$11,MATCH($B314,Premissas!$A$39:$A$45,0))</f>
        <v/>
      </c>
      <c r="J314" s="22" t="str">
        <f>INDEX(Cronograma!I$5:I$11,MATCH($B314,Premissas!$A$39:$A$45,0))</f>
        <v/>
      </c>
      <c r="K314" s="22" t="str">
        <f>INDEX(Cronograma!J$5:J$11,MATCH($B314,Premissas!$A$39:$A$45,0))</f>
        <v/>
      </c>
      <c r="L314" s="22" t="str">
        <f>INDEX(Cronograma!K$5:K$11,MATCH($B314,Premissas!$A$39:$A$45,0))</f>
        <v/>
      </c>
      <c r="M314" s="22" t="str">
        <f>INDEX(Cronograma!L$5:L$11,MATCH($B314,Premissas!$A$39:$A$45,0))</f>
        <v/>
      </c>
      <c r="N314" s="22" t="str">
        <f>INDEX(Cronograma!M$5:M$11,MATCH($B314,Premissas!$A$39:$A$45,0))</f>
        <v>A</v>
      </c>
      <c r="O314" s="22" t="str">
        <f>INDEX(Cronograma!N$5:N$11,MATCH($B314,Premissas!$A$39:$A$45,0))</f>
        <v/>
      </c>
      <c r="P314" s="22" t="str">
        <f>INDEX(Cronograma!O$5:O$11,MATCH($B314,Premissas!$A$39:$A$45,0))</f>
        <v/>
      </c>
      <c r="Q314" s="22" t="str">
        <f>INDEX(Cronograma!P$5:P$11,MATCH($B314,Premissas!$A$39:$A$45,0))</f>
        <v/>
      </c>
      <c r="R314" s="22" t="str">
        <f>INDEX(Cronograma!Q$5:Q$11,MATCH($B314,Premissas!$A$39:$A$45,0))</f>
        <v/>
      </c>
      <c r="S314" s="22" t="str">
        <f>INDEX(Cronograma!R$5:R$11,MATCH($B314,Premissas!$A$39:$A$45,0))</f>
        <v>S</v>
      </c>
      <c r="T314" s="22" t="str">
        <f>INDEX(Cronograma!S$5:S$11,MATCH($B314,Premissas!$A$39:$A$45,0))</f>
        <v/>
      </c>
      <c r="U314" s="22" t="str">
        <f>INDEX(Cronograma!T$5:T$11,MATCH($B314,Premissas!$A$39:$A$45,0))</f>
        <v/>
      </c>
      <c r="V314" s="22" t="str">
        <f>INDEX(Cronograma!U$5:U$11,MATCH($B314,Premissas!$A$39:$A$45,0))</f>
        <v/>
      </c>
      <c r="W314" s="22" t="str">
        <f>INDEX(Cronograma!V$5:V$11,MATCH($B314,Premissas!$A$39:$A$45,0))</f>
        <v/>
      </c>
      <c r="X314" s="22" t="str">
        <f>INDEX(Cronograma!W$5:W$11,MATCH($B314,Premissas!$A$39:$A$45,0))</f>
        <v/>
      </c>
      <c r="Y314" s="22" t="str">
        <f>INDEX(Cronograma!X$5:X$11,MATCH($B314,Premissas!$A$39:$A$45,0))</f>
        <v>B</v>
      </c>
      <c r="Z314" s="22" t="str">
        <f>INDEX(Cronograma!Y$5:Y$11,MATCH($B314,Premissas!$A$39:$A$45,0))</f>
        <v/>
      </c>
      <c r="AA314" s="22" t="str">
        <f>INDEX(Cronograma!Z$5:Z$11,MATCH($B314,Premissas!$A$39:$A$45,0))</f>
        <v/>
      </c>
      <c r="AB314" s="22" t="str">
        <f>INDEX(Cronograma!AA$5:AA$11,MATCH($B314,Premissas!$A$39:$A$45,0))</f>
        <v/>
      </c>
      <c r="AC314" s="22" t="str">
        <f>INDEX(Cronograma!AB$5:AB$11,MATCH($B314,Premissas!$A$39:$A$45,0))</f>
        <v/>
      </c>
      <c r="AD314" s="22" t="str">
        <f>INDEX(Cronograma!AC$5:AC$11,MATCH($B314,Premissas!$A$39:$A$45,0))</f>
        <v>S</v>
      </c>
      <c r="AE314" s="22" t="str">
        <f>INDEX(Cronograma!AD$5:AD$11,MATCH($B314,Premissas!$A$39:$A$45,0))</f>
        <v/>
      </c>
      <c r="AF314" s="22" t="str">
        <f>INDEX(Cronograma!AE$5:AE$11,MATCH($B314,Premissas!$A$39:$A$45,0))</f>
        <v/>
      </c>
      <c r="AG314" s="22" t="str">
        <f>INDEX(Cronograma!AF$5:AF$11,MATCH($B314,Premissas!$A$39:$A$45,0))</f>
        <v/>
      </c>
      <c r="AH314" s="22" t="str">
        <f>INDEX(Cronograma!AG$5:AG$11,MATCH($B314,Premissas!$A$39:$A$45,0))</f>
        <v/>
      </c>
      <c r="AI314" s="22" t="str">
        <f>INDEX(Cronograma!AH$5:AH$11,MATCH($B314,Premissas!$A$39:$A$45,0))</f>
        <v/>
      </c>
      <c r="AJ314" s="22" t="str">
        <f>INDEX(Cronograma!AI$5:AI$11,MATCH($B314,Premissas!$A$39:$A$45,0))</f>
        <v/>
      </c>
      <c r="AK314" s="22" t="str">
        <f>INDEX(Cronograma!AJ$5:AJ$11,MATCH($B314,Premissas!$A$39:$A$45,0))</f>
        <v/>
      </c>
      <c r="AL314" s="22" t="str">
        <f>INDEX(Cronograma!AK$5:AK$11,MATCH($B314,Premissas!$A$39:$A$45,0))</f>
        <v/>
      </c>
      <c r="AM314" s="22" t="str">
        <f>INDEX(Cronograma!AL$5:AL$11,MATCH($B314,Premissas!$A$39:$A$45,0))</f>
        <v/>
      </c>
      <c r="AN314" s="22" t="str">
        <f>INDEX(Cronograma!AM$5:AM$11,MATCH($B314,Premissas!$A$39:$A$45,0))</f>
        <v/>
      </c>
      <c r="AO314" s="22" t="str">
        <f>INDEX(Cronograma!AN$5:AN$11,MATCH($B314,Premissas!$A$39:$A$45,0))</f>
        <v/>
      </c>
      <c r="AP314" s="22" t="str">
        <f>INDEX(Cronograma!AO$5:AO$11,MATCH($B314,Premissas!$A$39:$A$45,0))</f>
        <v/>
      </c>
      <c r="AQ314" s="22" t="str">
        <f>INDEX(Cronograma!AP$5:AP$11,MATCH($B314,Premissas!$A$39:$A$45,0))</f>
        <v/>
      </c>
      <c r="AR314" s="22" t="str">
        <f>INDEX(Cronograma!AQ$5:AQ$11,MATCH($B314,Premissas!$A$39:$A$45,0))</f>
        <v>A</v>
      </c>
      <c r="AS314" s="22" t="str">
        <f>INDEX(Cronograma!AR$5:AR$11,MATCH($B314,Premissas!$A$39:$A$45,0))</f>
        <v/>
      </c>
      <c r="AT314" s="22" t="str">
        <f>INDEX(Cronograma!AS$5:AS$11,MATCH($B314,Premissas!$A$39:$A$45,0))</f>
        <v/>
      </c>
      <c r="AU314" s="22" t="str">
        <f>INDEX(Cronograma!AT$5:AT$11,MATCH($B314,Premissas!$A$39:$A$45,0))</f>
        <v/>
      </c>
      <c r="AV314" s="22" t="str">
        <f>INDEX(Cronograma!AU$5:AU$11,MATCH($B314,Premissas!$A$39:$A$45,0))</f>
        <v/>
      </c>
      <c r="AW314" s="22" t="str">
        <f>INDEX(Cronograma!AV$5:AV$11,MATCH($B314,Premissas!$A$39:$A$45,0))</f>
        <v/>
      </c>
      <c r="AX314" s="22" t="str">
        <f>INDEX(Cronograma!AW$5:AW$11,MATCH($B314,Premissas!$A$39:$A$45,0))</f>
        <v/>
      </c>
      <c r="AY314" s="22" t="str">
        <f>INDEX(Cronograma!AX$5:AX$11,MATCH($B314,Premissas!$A$39:$A$45,0))</f>
        <v/>
      </c>
      <c r="AZ314" s="22" t="str">
        <f>INDEX(Cronograma!AY$5:AY$11,MATCH($B314,Premissas!$A$39:$A$45,0))</f>
        <v/>
      </c>
      <c r="BA314" s="22" t="str">
        <f>INDEX(Cronograma!AZ$5:AZ$11,MATCH($B314,Premissas!$A$39:$A$45,0))</f>
        <v/>
      </c>
      <c r="BB314" s="22" t="str">
        <f>INDEX(Cronograma!BA$5:BA$11,MATCH($B314,Premissas!$A$39:$A$45,0))</f>
        <v/>
      </c>
    </row>
    <row r="315" spans="1:54" ht="15" customHeight="1" x14ac:dyDescent="0.4">
      <c r="A315" s="15" t="str">
        <f>Frota!$B315&amp;" — "&amp;Frota!$A315</f>
        <v>Bell SC-800 — 164002</v>
      </c>
      <c r="B315" s="16" t="str">
        <f>Frota!$C315</f>
        <v>Carregadeira/Pesada</v>
      </c>
      <c r="C315" s="22" t="str">
        <f>INDEX(Cronograma!B$5:B$11,MATCH($B315,Premissas!$A$39:$A$45,0))</f>
        <v/>
      </c>
      <c r="D315" s="22" t="str">
        <f>INDEX(Cronograma!C$5:C$11,MATCH($B315,Premissas!$A$39:$A$45,0))</f>
        <v/>
      </c>
      <c r="E315" s="22" t="str">
        <f>INDEX(Cronograma!D$5:D$11,MATCH($B315,Premissas!$A$39:$A$45,0))</f>
        <v/>
      </c>
      <c r="F315" s="22" t="str">
        <f>INDEX(Cronograma!E$5:E$11,MATCH($B315,Premissas!$A$39:$A$45,0))</f>
        <v/>
      </c>
      <c r="G315" s="22" t="str">
        <f>INDEX(Cronograma!F$5:F$11,MATCH($B315,Premissas!$A$39:$A$45,0))</f>
        <v/>
      </c>
      <c r="H315" s="22" t="str">
        <f>INDEX(Cronograma!G$5:G$11,MATCH($B315,Premissas!$A$39:$A$45,0))</f>
        <v>S</v>
      </c>
      <c r="I315" s="22" t="str">
        <f>INDEX(Cronograma!H$5:H$11,MATCH($B315,Premissas!$A$39:$A$45,0))</f>
        <v/>
      </c>
      <c r="J315" s="22" t="str">
        <f>INDEX(Cronograma!I$5:I$11,MATCH($B315,Premissas!$A$39:$A$45,0))</f>
        <v/>
      </c>
      <c r="K315" s="22" t="str">
        <f>INDEX(Cronograma!J$5:J$11,MATCH($B315,Premissas!$A$39:$A$45,0))</f>
        <v/>
      </c>
      <c r="L315" s="22" t="str">
        <f>INDEX(Cronograma!K$5:K$11,MATCH($B315,Premissas!$A$39:$A$45,0))</f>
        <v/>
      </c>
      <c r="M315" s="22" t="str">
        <f>INDEX(Cronograma!L$5:L$11,MATCH($B315,Premissas!$A$39:$A$45,0))</f>
        <v/>
      </c>
      <c r="N315" s="22" t="str">
        <f>INDEX(Cronograma!M$5:M$11,MATCH($B315,Premissas!$A$39:$A$45,0))</f>
        <v>A</v>
      </c>
      <c r="O315" s="22" t="str">
        <f>INDEX(Cronograma!N$5:N$11,MATCH($B315,Premissas!$A$39:$A$45,0))</f>
        <v/>
      </c>
      <c r="P315" s="22" t="str">
        <f>INDEX(Cronograma!O$5:O$11,MATCH($B315,Premissas!$A$39:$A$45,0))</f>
        <v/>
      </c>
      <c r="Q315" s="22" t="str">
        <f>INDEX(Cronograma!P$5:P$11,MATCH($B315,Premissas!$A$39:$A$45,0))</f>
        <v/>
      </c>
      <c r="R315" s="22" t="str">
        <f>INDEX(Cronograma!Q$5:Q$11,MATCH($B315,Premissas!$A$39:$A$45,0))</f>
        <v/>
      </c>
      <c r="S315" s="22" t="str">
        <f>INDEX(Cronograma!R$5:R$11,MATCH($B315,Premissas!$A$39:$A$45,0))</f>
        <v>S</v>
      </c>
      <c r="T315" s="22" t="str">
        <f>INDEX(Cronograma!S$5:S$11,MATCH($B315,Premissas!$A$39:$A$45,0))</f>
        <v/>
      </c>
      <c r="U315" s="22" t="str">
        <f>INDEX(Cronograma!T$5:T$11,MATCH($B315,Premissas!$A$39:$A$45,0))</f>
        <v/>
      </c>
      <c r="V315" s="22" t="str">
        <f>INDEX(Cronograma!U$5:U$11,MATCH($B315,Premissas!$A$39:$A$45,0))</f>
        <v/>
      </c>
      <c r="W315" s="22" t="str">
        <f>INDEX(Cronograma!V$5:V$11,MATCH($B315,Premissas!$A$39:$A$45,0))</f>
        <v/>
      </c>
      <c r="X315" s="22" t="str">
        <f>INDEX(Cronograma!W$5:W$11,MATCH($B315,Premissas!$A$39:$A$45,0))</f>
        <v/>
      </c>
      <c r="Y315" s="22" t="str">
        <f>INDEX(Cronograma!X$5:X$11,MATCH($B315,Premissas!$A$39:$A$45,0))</f>
        <v>B</v>
      </c>
      <c r="Z315" s="22" t="str">
        <f>INDEX(Cronograma!Y$5:Y$11,MATCH($B315,Premissas!$A$39:$A$45,0))</f>
        <v/>
      </c>
      <c r="AA315" s="22" t="str">
        <f>INDEX(Cronograma!Z$5:Z$11,MATCH($B315,Premissas!$A$39:$A$45,0))</f>
        <v/>
      </c>
      <c r="AB315" s="22" t="str">
        <f>INDEX(Cronograma!AA$5:AA$11,MATCH($B315,Premissas!$A$39:$A$45,0))</f>
        <v/>
      </c>
      <c r="AC315" s="22" t="str">
        <f>INDEX(Cronograma!AB$5:AB$11,MATCH($B315,Premissas!$A$39:$A$45,0))</f>
        <v/>
      </c>
      <c r="AD315" s="22" t="str">
        <f>INDEX(Cronograma!AC$5:AC$11,MATCH($B315,Premissas!$A$39:$A$45,0))</f>
        <v>S</v>
      </c>
      <c r="AE315" s="22" t="str">
        <f>INDEX(Cronograma!AD$5:AD$11,MATCH($B315,Premissas!$A$39:$A$45,0))</f>
        <v/>
      </c>
      <c r="AF315" s="22" t="str">
        <f>INDEX(Cronograma!AE$5:AE$11,MATCH($B315,Premissas!$A$39:$A$45,0))</f>
        <v/>
      </c>
      <c r="AG315" s="22" t="str">
        <f>INDEX(Cronograma!AF$5:AF$11,MATCH($B315,Premissas!$A$39:$A$45,0))</f>
        <v/>
      </c>
      <c r="AH315" s="22" t="str">
        <f>INDEX(Cronograma!AG$5:AG$11,MATCH($B315,Premissas!$A$39:$A$45,0))</f>
        <v/>
      </c>
      <c r="AI315" s="22" t="str">
        <f>INDEX(Cronograma!AH$5:AH$11,MATCH($B315,Premissas!$A$39:$A$45,0))</f>
        <v/>
      </c>
      <c r="AJ315" s="22" t="str">
        <f>INDEX(Cronograma!AI$5:AI$11,MATCH($B315,Premissas!$A$39:$A$45,0))</f>
        <v/>
      </c>
      <c r="AK315" s="22" t="str">
        <f>INDEX(Cronograma!AJ$5:AJ$11,MATCH($B315,Premissas!$A$39:$A$45,0))</f>
        <v/>
      </c>
      <c r="AL315" s="22" t="str">
        <f>INDEX(Cronograma!AK$5:AK$11,MATCH($B315,Premissas!$A$39:$A$45,0))</f>
        <v/>
      </c>
      <c r="AM315" s="22" t="str">
        <f>INDEX(Cronograma!AL$5:AL$11,MATCH($B315,Premissas!$A$39:$A$45,0))</f>
        <v/>
      </c>
      <c r="AN315" s="22" t="str">
        <f>INDEX(Cronograma!AM$5:AM$11,MATCH($B315,Premissas!$A$39:$A$45,0))</f>
        <v/>
      </c>
      <c r="AO315" s="22" t="str">
        <f>INDEX(Cronograma!AN$5:AN$11,MATCH($B315,Premissas!$A$39:$A$45,0))</f>
        <v/>
      </c>
      <c r="AP315" s="22" t="str">
        <f>INDEX(Cronograma!AO$5:AO$11,MATCH($B315,Premissas!$A$39:$A$45,0))</f>
        <v/>
      </c>
      <c r="AQ315" s="22" t="str">
        <f>INDEX(Cronograma!AP$5:AP$11,MATCH($B315,Premissas!$A$39:$A$45,0))</f>
        <v/>
      </c>
      <c r="AR315" s="22" t="str">
        <f>INDEX(Cronograma!AQ$5:AQ$11,MATCH($B315,Premissas!$A$39:$A$45,0))</f>
        <v>A</v>
      </c>
      <c r="AS315" s="22" t="str">
        <f>INDEX(Cronograma!AR$5:AR$11,MATCH($B315,Premissas!$A$39:$A$45,0))</f>
        <v/>
      </c>
      <c r="AT315" s="22" t="str">
        <f>INDEX(Cronograma!AS$5:AS$11,MATCH($B315,Premissas!$A$39:$A$45,0))</f>
        <v/>
      </c>
      <c r="AU315" s="22" t="str">
        <f>INDEX(Cronograma!AT$5:AT$11,MATCH($B315,Premissas!$A$39:$A$45,0))</f>
        <v/>
      </c>
      <c r="AV315" s="22" t="str">
        <f>INDEX(Cronograma!AU$5:AU$11,MATCH($B315,Premissas!$A$39:$A$45,0))</f>
        <v/>
      </c>
      <c r="AW315" s="22" t="str">
        <f>INDEX(Cronograma!AV$5:AV$11,MATCH($B315,Premissas!$A$39:$A$45,0))</f>
        <v/>
      </c>
      <c r="AX315" s="22" t="str">
        <f>INDEX(Cronograma!AW$5:AW$11,MATCH($B315,Premissas!$A$39:$A$45,0))</f>
        <v/>
      </c>
      <c r="AY315" s="22" t="str">
        <f>INDEX(Cronograma!AX$5:AX$11,MATCH($B315,Premissas!$A$39:$A$45,0))</f>
        <v/>
      </c>
      <c r="AZ315" s="22" t="str">
        <f>INDEX(Cronograma!AY$5:AY$11,MATCH($B315,Premissas!$A$39:$A$45,0))</f>
        <v/>
      </c>
      <c r="BA315" s="22" t="str">
        <f>INDEX(Cronograma!AZ$5:AZ$11,MATCH($B315,Premissas!$A$39:$A$45,0))</f>
        <v/>
      </c>
      <c r="BB315" s="22" t="str">
        <f>INDEX(Cronograma!BA$5:BA$11,MATCH($B315,Premissas!$A$39:$A$45,0))</f>
        <v/>
      </c>
    </row>
    <row r="316" spans="1:54" ht="15" customHeight="1" x14ac:dyDescent="0.4">
      <c r="A316" s="15" t="str">
        <f>Frota!$B316&amp;" — "&amp;Frota!$A316</f>
        <v>Bell SC-800 — 164003</v>
      </c>
      <c r="B316" s="16" t="str">
        <f>Frota!$C316</f>
        <v>Carregadeira/Pesada</v>
      </c>
      <c r="C316" s="22" t="str">
        <f>INDEX(Cronograma!B$5:B$11,MATCH($B316,Premissas!$A$39:$A$45,0))</f>
        <v/>
      </c>
      <c r="D316" s="22" t="str">
        <f>INDEX(Cronograma!C$5:C$11,MATCH($B316,Premissas!$A$39:$A$45,0))</f>
        <v/>
      </c>
      <c r="E316" s="22" t="str">
        <f>INDEX(Cronograma!D$5:D$11,MATCH($B316,Premissas!$A$39:$A$45,0))</f>
        <v/>
      </c>
      <c r="F316" s="22" t="str">
        <f>INDEX(Cronograma!E$5:E$11,MATCH($B316,Premissas!$A$39:$A$45,0))</f>
        <v/>
      </c>
      <c r="G316" s="22" t="str">
        <f>INDEX(Cronograma!F$5:F$11,MATCH($B316,Premissas!$A$39:$A$45,0))</f>
        <v/>
      </c>
      <c r="H316" s="22" t="str">
        <f>INDEX(Cronograma!G$5:G$11,MATCH($B316,Premissas!$A$39:$A$45,0))</f>
        <v>S</v>
      </c>
      <c r="I316" s="22" t="str">
        <f>INDEX(Cronograma!H$5:H$11,MATCH($B316,Premissas!$A$39:$A$45,0))</f>
        <v/>
      </c>
      <c r="J316" s="22" t="str">
        <f>INDEX(Cronograma!I$5:I$11,MATCH($B316,Premissas!$A$39:$A$45,0))</f>
        <v/>
      </c>
      <c r="K316" s="22" t="str">
        <f>INDEX(Cronograma!J$5:J$11,MATCH($B316,Premissas!$A$39:$A$45,0))</f>
        <v/>
      </c>
      <c r="L316" s="22" t="str">
        <f>INDEX(Cronograma!K$5:K$11,MATCH($B316,Premissas!$A$39:$A$45,0))</f>
        <v/>
      </c>
      <c r="M316" s="22" t="str">
        <f>INDEX(Cronograma!L$5:L$11,MATCH($B316,Premissas!$A$39:$A$45,0))</f>
        <v/>
      </c>
      <c r="N316" s="22" t="str">
        <f>INDEX(Cronograma!M$5:M$11,MATCH($B316,Premissas!$A$39:$A$45,0))</f>
        <v>A</v>
      </c>
      <c r="O316" s="22" t="str">
        <f>INDEX(Cronograma!N$5:N$11,MATCH($B316,Premissas!$A$39:$A$45,0))</f>
        <v/>
      </c>
      <c r="P316" s="22" t="str">
        <f>INDEX(Cronograma!O$5:O$11,MATCH($B316,Premissas!$A$39:$A$45,0))</f>
        <v/>
      </c>
      <c r="Q316" s="22" t="str">
        <f>INDEX(Cronograma!P$5:P$11,MATCH($B316,Premissas!$A$39:$A$45,0))</f>
        <v/>
      </c>
      <c r="R316" s="22" t="str">
        <f>INDEX(Cronograma!Q$5:Q$11,MATCH($B316,Premissas!$A$39:$A$45,0))</f>
        <v/>
      </c>
      <c r="S316" s="22" t="str">
        <f>INDEX(Cronograma!R$5:R$11,MATCH($B316,Premissas!$A$39:$A$45,0))</f>
        <v>S</v>
      </c>
      <c r="T316" s="22" t="str">
        <f>INDEX(Cronograma!S$5:S$11,MATCH($B316,Premissas!$A$39:$A$45,0))</f>
        <v/>
      </c>
      <c r="U316" s="22" t="str">
        <f>INDEX(Cronograma!T$5:T$11,MATCH($B316,Premissas!$A$39:$A$45,0))</f>
        <v/>
      </c>
      <c r="V316" s="22" t="str">
        <f>INDEX(Cronograma!U$5:U$11,MATCH($B316,Premissas!$A$39:$A$45,0))</f>
        <v/>
      </c>
      <c r="W316" s="22" t="str">
        <f>INDEX(Cronograma!V$5:V$11,MATCH($B316,Premissas!$A$39:$A$45,0))</f>
        <v/>
      </c>
      <c r="X316" s="22" t="str">
        <f>INDEX(Cronograma!W$5:W$11,MATCH($B316,Premissas!$A$39:$A$45,0))</f>
        <v/>
      </c>
      <c r="Y316" s="22" t="str">
        <f>INDEX(Cronograma!X$5:X$11,MATCH($B316,Premissas!$A$39:$A$45,0))</f>
        <v>B</v>
      </c>
      <c r="Z316" s="22" t="str">
        <f>INDEX(Cronograma!Y$5:Y$11,MATCH($B316,Premissas!$A$39:$A$45,0))</f>
        <v/>
      </c>
      <c r="AA316" s="22" t="str">
        <f>INDEX(Cronograma!Z$5:Z$11,MATCH($B316,Premissas!$A$39:$A$45,0))</f>
        <v/>
      </c>
      <c r="AB316" s="22" t="str">
        <f>INDEX(Cronograma!AA$5:AA$11,MATCH($B316,Premissas!$A$39:$A$45,0))</f>
        <v/>
      </c>
      <c r="AC316" s="22" t="str">
        <f>INDEX(Cronograma!AB$5:AB$11,MATCH($B316,Premissas!$A$39:$A$45,0))</f>
        <v/>
      </c>
      <c r="AD316" s="22" t="str">
        <f>INDEX(Cronograma!AC$5:AC$11,MATCH($B316,Premissas!$A$39:$A$45,0))</f>
        <v>S</v>
      </c>
      <c r="AE316" s="22" t="str">
        <f>INDEX(Cronograma!AD$5:AD$11,MATCH($B316,Premissas!$A$39:$A$45,0))</f>
        <v/>
      </c>
      <c r="AF316" s="22" t="str">
        <f>INDEX(Cronograma!AE$5:AE$11,MATCH($B316,Premissas!$A$39:$A$45,0))</f>
        <v/>
      </c>
      <c r="AG316" s="22" t="str">
        <f>INDEX(Cronograma!AF$5:AF$11,MATCH($B316,Premissas!$A$39:$A$45,0))</f>
        <v/>
      </c>
      <c r="AH316" s="22" t="str">
        <f>INDEX(Cronograma!AG$5:AG$11,MATCH($B316,Premissas!$A$39:$A$45,0))</f>
        <v/>
      </c>
      <c r="AI316" s="22" t="str">
        <f>INDEX(Cronograma!AH$5:AH$11,MATCH($B316,Premissas!$A$39:$A$45,0))</f>
        <v/>
      </c>
      <c r="AJ316" s="22" t="str">
        <f>INDEX(Cronograma!AI$5:AI$11,MATCH($B316,Premissas!$A$39:$A$45,0))</f>
        <v/>
      </c>
      <c r="AK316" s="22" t="str">
        <f>INDEX(Cronograma!AJ$5:AJ$11,MATCH($B316,Premissas!$A$39:$A$45,0))</f>
        <v/>
      </c>
      <c r="AL316" s="22" t="str">
        <f>INDEX(Cronograma!AK$5:AK$11,MATCH($B316,Premissas!$A$39:$A$45,0))</f>
        <v/>
      </c>
      <c r="AM316" s="22" t="str">
        <f>INDEX(Cronograma!AL$5:AL$11,MATCH($B316,Premissas!$A$39:$A$45,0))</f>
        <v/>
      </c>
      <c r="AN316" s="22" t="str">
        <f>INDEX(Cronograma!AM$5:AM$11,MATCH($B316,Premissas!$A$39:$A$45,0))</f>
        <v/>
      </c>
      <c r="AO316" s="22" t="str">
        <f>INDEX(Cronograma!AN$5:AN$11,MATCH($B316,Premissas!$A$39:$A$45,0))</f>
        <v/>
      </c>
      <c r="AP316" s="22" t="str">
        <f>INDEX(Cronograma!AO$5:AO$11,MATCH($B316,Premissas!$A$39:$A$45,0))</f>
        <v/>
      </c>
      <c r="AQ316" s="22" t="str">
        <f>INDEX(Cronograma!AP$5:AP$11,MATCH($B316,Premissas!$A$39:$A$45,0))</f>
        <v/>
      </c>
      <c r="AR316" s="22" t="str">
        <f>INDEX(Cronograma!AQ$5:AQ$11,MATCH($B316,Premissas!$A$39:$A$45,0))</f>
        <v>A</v>
      </c>
      <c r="AS316" s="22" t="str">
        <f>INDEX(Cronograma!AR$5:AR$11,MATCH($B316,Premissas!$A$39:$A$45,0))</f>
        <v/>
      </c>
      <c r="AT316" s="22" t="str">
        <f>INDEX(Cronograma!AS$5:AS$11,MATCH($B316,Premissas!$A$39:$A$45,0))</f>
        <v/>
      </c>
      <c r="AU316" s="22" t="str">
        <f>INDEX(Cronograma!AT$5:AT$11,MATCH($B316,Premissas!$A$39:$A$45,0))</f>
        <v/>
      </c>
      <c r="AV316" s="22" t="str">
        <f>INDEX(Cronograma!AU$5:AU$11,MATCH($B316,Premissas!$A$39:$A$45,0))</f>
        <v/>
      </c>
      <c r="AW316" s="22" t="str">
        <f>INDEX(Cronograma!AV$5:AV$11,MATCH($B316,Premissas!$A$39:$A$45,0))</f>
        <v/>
      </c>
      <c r="AX316" s="22" t="str">
        <f>INDEX(Cronograma!AW$5:AW$11,MATCH($B316,Premissas!$A$39:$A$45,0))</f>
        <v/>
      </c>
      <c r="AY316" s="22" t="str">
        <f>INDEX(Cronograma!AX$5:AX$11,MATCH($B316,Premissas!$A$39:$A$45,0))</f>
        <v/>
      </c>
      <c r="AZ316" s="22" t="str">
        <f>INDEX(Cronograma!AY$5:AY$11,MATCH($B316,Premissas!$A$39:$A$45,0))</f>
        <v/>
      </c>
      <c r="BA316" s="22" t="str">
        <f>INDEX(Cronograma!AZ$5:AZ$11,MATCH($B316,Premissas!$A$39:$A$45,0))</f>
        <v/>
      </c>
      <c r="BB316" s="22" t="str">
        <f>INDEX(Cronograma!BA$5:BA$11,MATCH($B316,Premissas!$A$39:$A$45,0))</f>
        <v/>
      </c>
    </row>
    <row r="317" spans="1:54" ht="15" customHeight="1" x14ac:dyDescent="0.4">
      <c r="A317" s="15" t="str">
        <f>Frota!$B317&amp;" — "&amp;Frota!$A317</f>
        <v>Bell SC-800 — 164005</v>
      </c>
      <c r="B317" s="16" t="str">
        <f>Frota!$C317</f>
        <v>Carregadeira/Pesada</v>
      </c>
      <c r="C317" s="22" t="str">
        <f>INDEX(Cronograma!B$5:B$11,MATCH($B317,Premissas!$A$39:$A$45,0))</f>
        <v/>
      </c>
      <c r="D317" s="22" t="str">
        <f>INDEX(Cronograma!C$5:C$11,MATCH($B317,Premissas!$A$39:$A$45,0))</f>
        <v/>
      </c>
      <c r="E317" s="22" t="str">
        <f>INDEX(Cronograma!D$5:D$11,MATCH($B317,Premissas!$A$39:$A$45,0))</f>
        <v/>
      </c>
      <c r="F317" s="22" t="str">
        <f>INDEX(Cronograma!E$5:E$11,MATCH($B317,Premissas!$A$39:$A$45,0))</f>
        <v/>
      </c>
      <c r="G317" s="22" t="str">
        <f>INDEX(Cronograma!F$5:F$11,MATCH($B317,Premissas!$A$39:$A$45,0))</f>
        <v/>
      </c>
      <c r="H317" s="22" t="str">
        <f>INDEX(Cronograma!G$5:G$11,MATCH($B317,Premissas!$A$39:$A$45,0))</f>
        <v>S</v>
      </c>
      <c r="I317" s="22" t="str">
        <f>INDEX(Cronograma!H$5:H$11,MATCH($B317,Premissas!$A$39:$A$45,0))</f>
        <v/>
      </c>
      <c r="J317" s="22" t="str">
        <f>INDEX(Cronograma!I$5:I$11,MATCH($B317,Premissas!$A$39:$A$45,0))</f>
        <v/>
      </c>
      <c r="K317" s="22" t="str">
        <f>INDEX(Cronograma!J$5:J$11,MATCH($B317,Premissas!$A$39:$A$45,0))</f>
        <v/>
      </c>
      <c r="L317" s="22" t="str">
        <f>INDEX(Cronograma!K$5:K$11,MATCH($B317,Premissas!$A$39:$A$45,0))</f>
        <v/>
      </c>
      <c r="M317" s="22" t="str">
        <f>INDEX(Cronograma!L$5:L$11,MATCH($B317,Premissas!$A$39:$A$45,0))</f>
        <v/>
      </c>
      <c r="N317" s="22" t="str">
        <f>INDEX(Cronograma!M$5:M$11,MATCH($B317,Premissas!$A$39:$A$45,0))</f>
        <v>A</v>
      </c>
      <c r="O317" s="22" t="str">
        <f>INDEX(Cronograma!N$5:N$11,MATCH($B317,Premissas!$A$39:$A$45,0))</f>
        <v/>
      </c>
      <c r="P317" s="22" t="str">
        <f>INDEX(Cronograma!O$5:O$11,MATCH($B317,Premissas!$A$39:$A$45,0))</f>
        <v/>
      </c>
      <c r="Q317" s="22" t="str">
        <f>INDEX(Cronograma!P$5:P$11,MATCH($B317,Premissas!$A$39:$A$45,0))</f>
        <v/>
      </c>
      <c r="R317" s="22" t="str">
        <f>INDEX(Cronograma!Q$5:Q$11,MATCH($B317,Premissas!$A$39:$A$45,0))</f>
        <v/>
      </c>
      <c r="S317" s="22" t="str">
        <f>INDEX(Cronograma!R$5:R$11,MATCH($B317,Premissas!$A$39:$A$45,0))</f>
        <v>S</v>
      </c>
      <c r="T317" s="22" t="str">
        <f>INDEX(Cronograma!S$5:S$11,MATCH($B317,Premissas!$A$39:$A$45,0))</f>
        <v/>
      </c>
      <c r="U317" s="22" t="str">
        <f>INDEX(Cronograma!T$5:T$11,MATCH($B317,Premissas!$A$39:$A$45,0))</f>
        <v/>
      </c>
      <c r="V317" s="22" t="str">
        <f>INDEX(Cronograma!U$5:U$11,MATCH($B317,Premissas!$A$39:$A$45,0))</f>
        <v/>
      </c>
      <c r="W317" s="22" t="str">
        <f>INDEX(Cronograma!V$5:V$11,MATCH($B317,Premissas!$A$39:$A$45,0))</f>
        <v/>
      </c>
      <c r="X317" s="22" t="str">
        <f>INDEX(Cronograma!W$5:W$11,MATCH($B317,Premissas!$A$39:$A$45,0))</f>
        <v/>
      </c>
      <c r="Y317" s="22" t="str">
        <f>INDEX(Cronograma!X$5:X$11,MATCH($B317,Premissas!$A$39:$A$45,0))</f>
        <v>B</v>
      </c>
      <c r="Z317" s="22" t="str">
        <f>INDEX(Cronograma!Y$5:Y$11,MATCH($B317,Premissas!$A$39:$A$45,0))</f>
        <v/>
      </c>
      <c r="AA317" s="22" t="str">
        <f>INDEX(Cronograma!Z$5:Z$11,MATCH($B317,Premissas!$A$39:$A$45,0))</f>
        <v/>
      </c>
      <c r="AB317" s="22" t="str">
        <f>INDEX(Cronograma!AA$5:AA$11,MATCH($B317,Premissas!$A$39:$A$45,0))</f>
        <v/>
      </c>
      <c r="AC317" s="22" t="str">
        <f>INDEX(Cronograma!AB$5:AB$11,MATCH($B317,Premissas!$A$39:$A$45,0))</f>
        <v/>
      </c>
      <c r="AD317" s="22" t="str">
        <f>INDEX(Cronograma!AC$5:AC$11,MATCH($B317,Premissas!$A$39:$A$45,0))</f>
        <v>S</v>
      </c>
      <c r="AE317" s="22" t="str">
        <f>INDEX(Cronograma!AD$5:AD$11,MATCH($B317,Premissas!$A$39:$A$45,0))</f>
        <v/>
      </c>
      <c r="AF317" s="22" t="str">
        <f>INDEX(Cronograma!AE$5:AE$11,MATCH($B317,Premissas!$A$39:$A$45,0))</f>
        <v/>
      </c>
      <c r="AG317" s="22" t="str">
        <f>INDEX(Cronograma!AF$5:AF$11,MATCH($B317,Premissas!$A$39:$A$45,0))</f>
        <v/>
      </c>
      <c r="AH317" s="22" t="str">
        <f>INDEX(Cronograma!AG$5:AG$11,MATCH($B317,Premissas!$A$39:$A$45,0))</f>
        <v/>
      </c>
      <c r="AI317" s="22" t="str">
        <f>INDEX(Cronograma!AH$5:AH$11,MATCH($B317,Premissas!$A$39:$A$45,0))</f>
        <v/>
      </c>
      <c r="AJ317" s="22" t="str">
        <f>INDEX(Cronograma!AI$5:AI$11,MATCH($B317,Premissas!$A$39:$A$45,0))</f>
        <v/>
      </c>
      <c r="AK317" s="22" t="str">
        <f>INDEX(Cronograma!AJ$5:AJ$11,MATCH($B317,Premissas!$A$39:$A$45,0))</f>
        <v/>
      </c>
      <c r="AL317" s="22" t="str">
        <f>INDEX(Cronograma!AK$5:AK$11,MATCH($B317,Premissas!$A$39:$A$45,0))</f>
        <v/>
      </c>
      <c r="AM317" s="22" t="str">
        <f>INDEX(Cronograma!AL$5:AL$11,MATCH($B317,Premissas!$A$39:$A$45,0))</f>
        <v/>
      </c>
      <c r="AN317" s="22" t="str">
        <f>INDEX(Cronograma!AM$5:AM$11,MATCH($B317,Premissas!$A$39:$A$45,0))</f>
        <v/>
      </c>
      <c r="AO317" s="22" t="str">
        <f>INDEX(Cronograma!AN$5:AN$11,MATCH($B317,Premissas!$A$39:$A$45,0))</f>
        <v/>
      </c>
      <c r="AP317" s="22" t="str">
        <f>INDEX(Cronograma!AO$5:AO$11,MATCH($B317,Premissas!$A$39:$A$45,0))</f>
        <v/>
      </c>
      <c r="AQ317" s="22" t="str">
        <f>INDEX(Cronograma!AP$5:AP$11,MATCH($B317,Premissas!$A$39:$A$45,0))</f>
        <v/>
      </c>
      <c r="AR317" s="22" t="str">
        <f>INDEX(Cronograma!AQ$5:AQ$11,MATCH($B317,Premissas!$A$39:$A$45,0))</f>
        <v>A</v>
      </c>
      <c r="AS317" s="22" t="str">
        <f>INDEX(Cronograma!AR$5:AR$11,MATCH($B317,Premissas!$A$39:$A$45,0))</f>
        <v/>
      </c>
      <c r="AT317" s="22" t="str">
        <f>INDEX(Cronograma!AS$5:AS$11,MATCH($B317,Premissas!$A$39:$A$45,0))</f>
        <v/>
      </c>
      <c r="AU317" s="22" t="str">
        <f>INDEX(Cronograma!AT$5:AT$11,MATCH($B317,Premissas!$A$39:$A$45,0))</f>
        <v/>
      </c>
      <c r="AV317" s="22" t="str">
        <f>INDEX(Cronograma!AU$5:AU$11,MATCH($B317,Premissas!$A$39:$A$45,0))</f>
        <v/>
      </c>
      <c r="AW317" s="22" t="str">
        <f>INDEX(Cronograma!AV$5:AV$11,MATCH($B317,Premissas!$A$39:$A$45,0))</f>
        <v/>
      </c>
      <c r="AX317" s="22" t="str">
        <f>INDEX(Cronograma!AW$5:AW$11,MATCH($B317,Premissas!$A$39:$A$45,0))</f>
        <v/>
      </c>
      <c r="AY317" s="22" t="str">
        <f>INDEX(Cronograma!AX$5:AX$11,MATCH($B317,Premissas!$A$39:$A$45,0))</f>
        <v/>
      </c>
      <c r="AZ317" s="22" t="str">
        <f>INDEX(Cronograma!AY$5:AY$11,MATCH($B317,Premissas!$A$39:$A$45,0))</f>
        <v/>
      </c>
      <c r="BA317" s="22" t="str">
        <f>INDEX(Cronograma!AZ$5:AZ$11,MATCH($B317,Premissas!$A$39:$A$45,0))</f>
        <v/>
      </c>
      <c r="BB317" s="22" t="str">
        <f>INDEX(Cronograma!BA$5:BA$11,MATCH($B317,Premissas!$A$39:$A$45,0))</f>
        <v/>
      </c>
    </row>
    <row r="318" spans="1:54" ht="15" customHeight="1" x14ac:dyDescent="0.4">
      <c r="A318" s="15" t="str">
        <f>Frota!$B318&amp;" — "&amp;Frota!$A318</f>
        <v>Bell SC-800 — 164006</v>
      </c>
      <c r="B318" s="16" t="str">
        <f>Frota!$C318</f>
        <v>Carregadeira/Pesada</v>
      </c>
      <c r="C318" s="22" t="str">
        <f>INDEX(Cronograma!B$5:B$11,MATCH($B318,Premissas!$A$39:$A$45,0))</f>
        <v/>
      </c>
      <c r="D318" s="22" t="str">
        <f>INDEX(Cronograma!C$5:C$11,MATCH($B318,Premissas!$A$39:$A$45,0))</f>
        <v/>
      </c>
      <c r="E318" s="22" t="str">
        <f>INDEX(Cronograma!D$5:D$11,MATCH($B318,Premissas!$A$39:$A$45,0))</f>
        <v/>
      </c>
      <c r="F318" s="22" t="str">
        <f>INDEX(Cronograma!E$5:E$11,MATCH($B318,Premissas!$A$39:$A$45,0))</f>
        <v/>
      </c>
      <c r="G318" s="22" t="str">
        <f>INDEX(Cronograma!F$5:F$11,MATCH($B318,Premissas!$A$39:$A$45,0))</f>
        <v/>
      </c>
      <c r="H318" s="22" t="str">
        <f>INDEX(Cronograma!G$5:G$11,MATCH($B318,Premissas!$A$39:$A$45,0))</f>
        <v>S</v>
      </c>
      <c r="I318" s="22" t="str">
        <f>INDEX(Cronograma!H$5:H$11,MATCH($B318,Premissas!$A$39:$A$45,0))</f>
        <v/>
      </c>
      <c r="J318" s="22" t="str">
        <f>INDEX(Cronograma!I$5:I$11,MATCH($B318,Premissas!$A$39:$A$45,0))</f>
        <v/>
      </c>
      <c r="K318" s="22" t="str">
        <f>INDEX(Cronograma!J$5:J$11,MATCH($B318,Premissas!$A$39:$A$45,0))</f>
        <v/>
      </c>
      <c r="L318" s="22" t="str">
        <f>INDEX(Cronograma!K$5:K$11,MATCH($B318,Premissas!$A$39:$A$45,0))</f>
        <v/>
      </c>
      <c r="M318" s="22" t="str">
        <f>INDEX(Cronograma!L$5:L$11,MATCH($B318,Premissas!$A$39:$A$45,0))</f>
        <v/>
      </c>
      <c r="N318" s="22" t="str">
        <f>INDEX(Cronograma!M$5:M$11,MATCH($B318,Premissas!$A$39:$A$45,0))</f>
        <v>A</v>
      </c>
      <c r="O318" s="22" t="str">
        <f>INDEX(Cronograma!N$5:N$11,MATCH($B318,Premissas!$A$39:$A$45,0))</f>
        <v/>
      </c>
      <c r="P318" s="22" t="str">
        <f>INDEX(Cronograma!O$5:O$11,MATCH($B318,Premissas!$A$39:$A$45,0))</f>
        <v/>
      </c>
      <c r="Q318" s="22" t="str">
        <f>INDEX(Cronograma!P$5:P$11,MATCH($B318,Premissas!$A$39:$A$45,0))</f>
        <v/>
      </c>
      <c r="R318" s="22" t="str">
        <f>INDEX(Cronograma!Q$5:Q$11,MATCH($B318,Premissas!$A$39:$A$45,0))</f>
        <v/>
      </c>
      <c r="S318" s="22" t="str">
        <f>INDEX(Cronograma!R$5:R$11,MATCH($B318,Premissas!$A$39:$A$45,0))</f>
        <v>S</v>
      </c>
      <c r="T318" s="22" t="str">
        <f>INDEX(Cronograma!S$5:S$11,MATCH($B318,Premissas!$A$39:$A$45,0))</f>
        <v/>
      </c>
      <c r="U318" s="22" t="str">
        <f>INDEX(Cronograma!T$5:T$11,MATCH($B318,Premissas!$A$39:$A$45,0))</f>
        <v/>
      </c>
      <c r="V318" s="22" t="str">
        <f>INDEX(Cronograma!U$5:U$11,MATCH($B318,Premissas!$A$39:$A$45,0))</f>
        <v/>
      </c>
      <c r="W318" s="22" t="str">
        <f>INDEX(Cronograma!V$5:V$11,MATCH($B318,Premissas!$A$39:$A$45,0))</f>
        <v/>
      </c>
      <c r="X318" s="22" t="str">
        <f>INDEX(Cronograma!W$5:W$11,MATCH($B318,Premissas!$A$39:$A$45,0))</f>
        <v/>
      </c>
      <c r="Y318" s="22" t="str">
        <f>INDEX(Cronograma!X$5:X$11,MATCH($B318,Premissas!$A$39:$A$45,0))</f>
        <v>B</v>
      </c>
      <c r="Z318" s="22" t="str">
        <f>INDEX(Cronograma!Y$5:Y$11,MATCH($B318,Premissas!$A$39:$A$45,0))</f>
        <v/>
      </c>
      <c r="AA318" s="22" t="str">
        <f>INDEX(Cronograma!Z$5:Z$11,MATCH($B318,Premissas!$A$39:$A$45,0))</f>
        <v/>
      </c>
      <c r="AB318" s="22" t="str">
        <f>INDEX(Cronograma!AA$5:AA$11,MATCH($B318,Premissas!$A$39:$A$45,0))</f>
        <v/>
      </c>
      <c r="AC318" s="22" t="str">
        <f>INDEX(Cronograma!AB$5:AB$11,MATCH($B318,Premissas!$A$39:$A$45,0))</f>
        <v/>
      </c>
      <c r="AD318" s="22" t="str">
        <f>INDEX(Cronograma!AC$5:AC$11,MATCH($B318,Premissas!$A$39:$A$45,0))</f>
        <v>S</v>
      </c>
      <c r="AE318" s="22" t="str">
        <f>INDEX(Cronograma!AD$5:AD$11,MATCH($B318,Premissas!$A$39:$A$45,0))</f>
        <v/>
      </c>
      <c r="AF318" s="22" t="str">
        <f>INDEX(Cronograma!AE$5:AE$11,MATCH($B318,Premissas!$A$39:$A$45,0))</f>
        <v/>
      </c>
      <c r="AG318" s="22" t="str">
        <f>INDEX(Cronograma!AF$5:AF$11,MATCH($B318,Premissas!$A$39:$A$45,0))</f>
        <v/>
      </c>
      <c r="AH318" s="22" t="str">
        <f>INDEX(Cronograma!AG$5:AG$11,MATCH($B318,Premissas!$A$39:$A$45,0))</f>
        <v/>
      </c>
      <c r="AI318" s="22" t="str">
        <f>INDEX(Cronograma!AH$5:AH$11,MATCH($B318,Premissas!$A$39:$A$45,0))</f>
        <v/>
      </c>
      <c r="AJ318" s="22" t="str">
        <f>INDEX(Cronograma!AI$5:AI$11,MATCH($B318,Premissas!$A$39:$A$45,0))</f>
        <v/>
      </c>
      <c r="AK318" s="22" t="str">
        <f>INDEX(Cronograma!AJ$5:AJ$11,MATCH($B318,Premissas!$A$39:$A$45,0))</f>
        <v/>
      </c>
      <c r="AL318" s="22" t="str">
        <f>INDEX(Cronograma!AK$5:AK$11,MATCH($B318,Premissas!$A$39:$A$45,0))</f>
        <v/>
      </c>
      <c r="AM318" s="22" t="str">
        <f>INDEX(Cronograma!AL$5:AL$11,MATCH($B318,Premissas!$A$39:$A$45,0))</f>
        <v/>
      </c>
      <c r="AN318" s="22" t="str">
        <f>INDEX(Cronograma!AM$5:AM$11,MATCH($B318,Premissas!$A$39:$A$45,0))</f>
        <v/>
      </c>
      <c r="AO318" s="22" t="str">
        <f>INDEX(Cronograma!AN$5:AN$11,MATCH($B318,Premissas!$A$39:$A$45,0))</f>
        <v/>
      </c>
      <c r="AP318" s="22" t="str">
        <f>INDEX(Cronograma!AO$5:AO$11,MATCH($B318,Premissas!$A$39:$A$45,0))</f>
        <v/>
      </c>
      <c r="AQ318" s="22" t="str">
        <f>INDEX(Cronograma!AP$5:AP$11,MATCH($B318,Premissas!$A$39:$A$45,0))</f>
        <v/>
      </c>
      <c r="AR318" s="22" t="str">
        <f>INDEX(Cronograma!AQ$5:AQ$11,MATCH($B318,Premissas!$A$39:$A$45,0))</f>
        <v>A</v>
      </c>
      <c r="AS318" s="22" t="str">
        <f>INDEX(Cronograma!AR$5:AR$11,MATCH($B318,Premissas!$A$39:$A$45,0))</f>
        <v/>
      </c>
      <c r="AT318" s="22" t="str">
        <f>INDEX(Cronograma!AS$5:AS$11,MATCH($B318,Premissas!$A$39:$A$45,0))</f>
        <v/>
      </c>
      <c r="AU318" s="22" t="str">
        <f>INDEX(Cronograma!AT$5:AT$11,MATCH($B318,Premissas!$A$39:$A$45,0))</f>
        <v/>
      </c>
      <c r="AV318" s="22" t="str">
        <f>INDEX(Cronograma!AU$5:AU$11,MATCH($B318,Premissas!$A$39:$A$45,0))</f>
        <v/>
      </c>
      <c r="AW318" s="22" t="str">
        <f>INDEX(Cronograma!AV$5:AV$11,MATCH($B318,Premissas!$A$39:$A$45,0))</f>
        <v/>
      </c>
      <c r="AX318" s="22" t="str">
        <f>INDEX(Cronograma!AW$5:AW$11,MATCH($B318,Premissas!$A$39:$A$45,0))</f>
        <v/>
      </c>
      <c r="AY318" s="22" t="str">
        <f>INDEX(Cronograma!AX$5:AX$11,MATCH($B318,Premissas!$A$39:$A$45,0))</f>
        <v/>
      </c>
      <c r="AZ318" s="22" t="str">
        <f>INDEX(Cronograma!AY$5:AY$11,MATCH($B318,Premissas!$A$39:$A$45,0))</f>
        <v/>
      </c>
      <c r="BA318" s="22" t="str">
        <f>INDEX(Cronograma!AZ$5:AZ$11,MATCH($B318,Premissas!$A$39:$A$45,0))</f>
        <v/>
      </c>
      <c r="BB318" s="22" t="str">
        <f>INDEX(Cronograma!BA$5:BA$11,MATCH($B318,Premissas!$A$39:$A$45,0))</f>
        <v/>
      </c>
    </row>
    <row r="319" spans="1:54" ht="15" customHeight="1" x14ac:dyDescent="0.4">
      <c r="A319" s="15" t="str">
        <f>Frota!$B319&amp;" — "&amp;Frota!$A319</f>
        <v>Bell SC-800 — 164007</v>
      </c>
      <c r="B319" s="16" t="str">
        <f>Frota!$C319</f>
        <v>Carregadeira/Pesada</v>
      </c>
      <c r="C319" s="22" t="str">
        <f>INDEX(Cronograma!B$5:B$11,MATCH($B319,Premissas!$A$39:$A$45,0))</f>
        <v/>
      </c>
      <c r="D319" s="22" t="str">
        <f>INDEX(Cronograma!C$5:C$11,MATCH($B319,Premissas!$A$39:$A$45,0))</f>
        <v/>
      </c>
      <c r="E319" s="22" t="str">
        <f>INDEX(Cronograma!D$5:D$11,MATCH($B319,Premissas!$A$39:$A$45,0))</f>
        <v/>
      </c>
      <c r="F319" s="22" t="str">
        <f>INDEX(Cronograma!E$5:E$11,MATCH($B319,Premissas!$A$39:$A$45,0))</f>
        <v/>
      </c>
      <c r="G319" s="22" t="str">
        <f>INDEX(Cronograma!F$5:F$11,MATCH($B319,Premissas!$A$39:$A$45,0))</f>
        <v/>
      </c>
      <c r="H319" s="22" t="str">
        <f>INDEX(Cronograma!G$5:G$11,MATCH($B319,Premissas!$A$39:$A$45,0))</f>
        <v>S</v>
      </c>
      <c r="I319" s="22" t="str">
        <f>INDEX(Cronograma!H$5:H$11,MATCH($B319,Premissas!$A$39:$A$45,0))</f>
        <v/>
      </c>
      <c r="J319" s="22" t="str">
        <f>INDEX(Cronograma!I$5:I$11,MATCH($B319,Premissas!$A$39:$A$45,0))</f>
        <v/>
      </c>
      <c r="K319" s="22" t="str">
        <f>INDEX(Cronograma!J$5:J$11,MATCH($B319,Premissas!$A$39:$A$45,0))</f>
        <v/>
      </c>
      <c r="L319" s="22" t="str">
        <f>INDEX(Cronograma!K$5:K$11,MATCH($B319,Premissas!$A$39:$A$45,0))</f>
        <v/>
      </c>
      <c r="M319" s="22" t="str">
        <f>INDEX(Cronograma!L$5:L$11,MATCH($B319,Premissas!$A$39:$A$45,0))</f>
        <v/>
      </c>
      <c r="N319" s="22" t="str">
        <f>INDEX(Cronograma!M$5:M$11,MATCH($B319,Premissas!$A$39:$A$45,0))</f>
        <v>A</v>
      </c>
      <c r="O319" s="22" t="str">
        <f>INDEX(Cronograma!N$5:N$11,MATCH($B319,Premissas!$A$39:$A$45,0))</f>
        <v/>
      </c>
      <c r="P319" s="22" t="str">
        <f>INDEX(Cronograma!O$5:O$11,MATCH($B319,Premissas!$A$39:$A$45,0))</f>
        <v/>
      </c>
      <c r="Q319" s="22" t="str">
        <f>INDEX(Cronograma!P$5:P$11,MATCH($B319,Premissas!$A$39:$A$45,0))</f>
        <v/>
      </c>
      <c r="R319" s="22" t="str">
        <f>INDEX(Cronograma!Q$5:Q$11,MATCH($B319,Premissas!$A$39:$A$45,0))</f>
        <v/>
      </c>
      <c r="S319" s="22" t="str">
        <f>INDEX(Cronograma!R$5:R$11,MATCH($B319,Premissas!$A$39:$A$45,0))</f>
        <v>S</v>
      </c>
      <c r="T319" s="22" t="str">
        <f>INDEX(Cronograma!S$5:S$11,MATCH($B319,Premissas!$A$39:$A$45,0))</f>
        <v/>
      </c>
      <c r="U319" s="22" t="str">
        <f>INDEX(Cronograma!T$5:T$11,MATCH($B319,Premissas!$A$39:$A$45,0))</f>
        <v/>
      </c>
      <c r="V319" s="22" t="str">
        <f>INDEX(Cronograma!U$5:U$11,MATCH($B319,Premissas!$A$39:$A$45,0))</f>
        <v/>
      </c>
      <c r="W319" s="22" t="str">
        <f>INDEX(Cronograma!V$5:V$11,MATCH($B319,Premissas!$A$39:$A$45,0))</f>
        <v/>
      </c>
      <c r="X319" s="22" t="str">
        <f>INDEX(Cronograma!W$5:W$11,MATCH($B319,Premissas!$A$39:$A$45,0))</f>
        <v/>
      </c>
      <c r="Y319" s="22" t="str">
        <f>INDEX(Cronograma!X$5:X$11,MATCH($B319,Premissas!$A$39:$A$45,0))</f>
        <v>B</v>
      </c>
      <c r="Z319" s="22" t="str">
        <f>INDEX(Cronograma!Y$5:Y$11,MATCH($B319,Premissas!$A$39:$A$45,0))</f>
        <v/>
      </c>
      <c r="AA319" s="22" t="str">
        <f>INDEX(Cronograma!Z$5:Z$11,MATCH($B319,Premissas!$A$39:$A$45,0))</f>
        <v/>
      </c>
      <c r="AB319" s="22" t="str">
        <f>INDEX(Cronograma!AA$5:AA$11,MATCH($B319,Premissas!$A$39:$A$45,0))</f>
        <v/>
      </c>
      <c r="AC319" s="22" t="str">
        <f>INDEX(Cronograma!AB$5:AB$11,MATCH($B319,Premissas!$A$39:$A$45,0))</f>
        <v/>
      </c>
      <c r="AD319" s="22" t="str">
        <f>INDEX(Cronograma!AC$5:AC$11,MATCH($B319,Premissas!$A$39:$A$45,0))</f>
        <v>S</v>
      </c>
      <c r="AE319" s="22" t="str">
        <f>INDEX(Cronograma!AD$5:AD$11,MATCH($B319,Premissas!$A$39:$A$45,0))</f>
        <v/>
      </c>
      <c r="AF319" s="22" t="str">
        <f>INDEX(Cronograma!AE$5:AE$11,MATCH($B319,Premissas!$A$39:$A$45,0))</f>
        <v/>
      </c>
      <c r="AG319" s="22" t="str">
        <f>INDEX(Cronograma!AF$5:AF$11,MATCH($B319,Premissas!$A$39:$A$45,0))</f>
        <v/>
      </c>
      <c r="AH319" s="22" t="str">
        <f>INDEX(Cronograma!AG$5:AG$11,MATCH($B319,Premissas!$A$39:$A$45,0))</f>
        <v/>
      </c>
      <c r="AI319" s="22" t="str">
        <f>INDEX(Cronograma!AH$5:AH$11,MATCH($B319,Premissas!$A$39:$A$45,0))</f>
        <v/>
      </c>
      <c r="AJ319" s="22" t="str">
        <f>INDEX(Cronograma!AI$5:AI$11,MATCH($B319,Premissas!$A$39:$A$45,0))</f>
        <v/>
      </c>
      <c r="AK319" s="22" t="str">
        <f>INDEX(Cronograma!AJ$5:AJ$11,MATCH($B319,Premissas!$A$39:$A$45,0))</f>
        <v/>
      </c>
      <c r="AL319" s="22" t="str">
        <f>INDEX(Cronograma!AK$5:AK$11,MATCH($B319,Premissas!$A$39:$A$45,0))</f>
        <v/>
      </c>
      <c r="AM319" s="22" t="str">
        <f>INDEX(Cronograma!AL$5:AL$11,MATCH($B319,Premissas!$A$39:$A$45,0))</f>
        <v/>
      </c>
      <c r="AN319" s="22" t="str">
        <f>INDEX(Cronograma!AM$5:AM$11,MATCH($B319,Premissas!$A$39:$A$45,0))</f>
        <v/>
      </c>
      <c r="AO319" s="22" t="str">
        <f>INDEX(Cronograma!AN$5:AN$11,MATCH($B319,Premissas!$A$39:$A$45,0))</f>
        <v/>
      </c>
      <c r="AP319" s="22" t="str">
        <f>INDEX(Cronograma!AO$5:AO$11,MATCH($B319,Premissas!$A$39:$A$45,0))</f>
        <v/>
      </c>
      <c r="AQ319" s="22" t="str">
        <f>INDEX(Cronograma!AP$5:AP$11,MATCH($B319,Premissas!$A$39:$A$45,0))</f>
        <v/>
      </c>
      <c r="AR319" s="22" t="str">
        <f>INDEX(Cronograma!AQ$5:AQ$11,MATCH($B319,Premissas!$A$39:$A$45,0))</f>
        <v>A</v>
      </c>
      <c r="AS319" s="22" t="str">
        <f>INDEX(Cronograma!AR$5:AR$11,MATCH($B319,Premissas!$A$39:$A$45,0))</f>
        <v/>
      </c>
      <c r="AT319" s="22" t="str">
        <f>INDEX(Cronograma!AS$5:AS$11,MATCH($B319,Premissas!$A$39:$A$45,0))</f>
        <v/>
      </c>
      <c r="AU319" s="22" t="str">
        <f>INDEX(Cronograma!AT$5:AT$11,MATCH($B319,Premissas!$A$39:$A$45,0))</f>
        <v/>
      </c>
      <c r="AV319" s="22" t="str">
        <f>INDEX(Cronograma!AU$5:AU$11,MATCH($B319,Premissas!$A$39:$A$45,0))</f>
        <v/>
      </c>
      <c r="AW319" s="22" t="str">
        <f>INDEX(Cronograma!AV$5:AV$11,MATCH($B319,Premissas!$A$39:$A$45,0))</f>
        <v/>
      </c>
      <c r="AX319" s="22" t="str">
        <f>INDEX(Cronograma!AW$5:AW$11,MATCH($B319,Premissas!$A$39:$A$45,0))</f>
        <v/>
      </c>
      <c r="AY319" s="22" t="str">
        <f>INDEX(Cronograma!AX$5:AX$11,MATCH($B319,Premissas!$A$39:$A$45,0))</f>
        <v/>
      </c>
      <c r="AZ319" s="22" t="str">
        <f>INDEX(Cronograma!AY$5:AY$11,MATCH($B319,Premissas!$A$39:$A$45,0))</f>
        <v/>
      </c>
      <c r="BA319" s="22" t="str">
        <f>INDEX(Cronograma!AZ$5:AZ$11,MATCH($B319,Premissas!$A$39:$A$45,0))</f>
        <v/>
      </c>
      <c r="BB319" s="22" t="str">
        <f>INDEX(Cronograma!BA$5:BA$11,MATCH($B319,Premissas!$A$39:$A$45,0))</f>
        <v/>
      </c>
    </row>
    <row r="320" spans="1:54" ht="15" customHeight="1" x14ac:dyDescent="0.4">
      <c r="A320" s="15" t="str">
        <f>Frota!$B320&amp;" — "&amp;Frota!$A320</f>
        <v>Bell SC-800 — 164008</v>
      </c>
      <c r="B320" s="16" t="str">
        <f>Frota!$C320</f>
        <v>Carregadeira/Pesada</v>
      </c>
      <c r="C320" s="22" t="str">
        <f>INDEX(Cronograma!B$5:B$11,MATCH($B320,Premissas!$A$39:$A$45,0))</f>
        <v/>
      </c>
      <c r="D320" s="22" t="str">
        <f>INDEX(Cronograma!C$5:C$11,MATCH($B320,Premissas!$A$39:$A$45,0))</f>
        <v/>
      </c>
      <c r="E320" s="22" t="str">
        <f>INDEX(Cronograma!D$5:D$11,MATCH($B320,Premissas!$A$39:$A$45,0))</f>
        <v/>
      </c>
      <c r="F320" s="22" t="str">
        <f>INDEX(Cronograma!E$5:E$11,MATCH($B320,Premissas!$A$39:$A$45,0))</f>
        <v/>
      </c>
      <c r="G320" s="22" t="str">
        <f>INDEX(Cronograma!F$5:F$11,MATCH($B320,Premissas!$A$39:$A$45,0))</f>
        <v/>
      </c>
      <c r="H320" s="22" t="str">
        <f>INDEX(Cronograma!G$5:G$11,MATCH($B320,Premissas!$A$39:$A$45,0))</f>
        <v>S</v>
      </c>
      <c r="I320" s="22" t="str">
        <f>INDEX(Cronograma!H$5:H$11,MATCH($B320,Premissas!$A$39:$A$45,0))</f>
        <v/>
      </c>
      <c r="J320" s="22" t="str">
        <f>INDEX(Cronograma!I$5:I$11,MATCH($B320,Premissas!$A$39:$A$45,0))</f>
        <v/>
      </c>
      <c r="K320" s="22" t="str">
        <f>INDEX(Cronograma!J$5:J$11,MATCH($B320,Premissas!$A$39:$A$45,0))</f>
        <v/>
      </c>
      <c r="L320" s="22" t="str">
        <f>INDEX(Cronograma!K$5:K$11,MATCH($B320,Premissas!$A$39:$A$45,0))</f>
        <v/>
      </c>
      <c r="M320" s="22" t="str">
        <f>INDEX(Cronograma!L$5:L$11,MATCH($B320,Premissas!$A$39:$A$45,0))</f>
        <v/>
      </c>
      <c r="N320" s="22" t="str">
        <f>INDEX(Cronograma!M$5:M$11,MATCH($B320,Premissas!$A$39:$A$45,0))</f>
        <v>A</v>
      </c>
      <c r="O320" s="22" t="str">
        <f>INDEX(Cronograma!N$5:N$11,MATCH($B320,Premissas!$A$39:$A$45,0))</f>
        <v/>
      </c>
      <c r="P320" s="22" t="str">
        <f>INDEX(Cronograma!O$5:O$11,MATCH($B320,Premissas!$A$39:$A$45,0))</f>
        <v/>
      </c>
      <c r="Q320" s="22" t="str">
        <f>INDEX(Cronograma!P$5:P$11,MATCH($B320,Premissas!$A$39:$A$45,0))</f>
        <v/>
      </c>
      <c r="R320" s="22" t="str">
        <f>INDEX(Cronograma!Q$5:Q$11,MATCH($B320,Premissas!$A$39:$A$45,0))</f>
        <v/>
      </c>
      <c r="S320" s="22" t="str">
        <f>INDEX(Cronograma!R$5:R$11,MATCH($B320,Premissas!$A$39:$A$45,0))</f>
        <v>S</v>
      </c>
      <c r="T320" s="22" t="str">
        <f>INDEX(Cronograma!S$5:S$11,MATCH($B320,Premissas!$A$39:$A$45,0))</f>
        <v/>
      </c>
      <c r="U320" s="22" t="str">
        <f>INDEX(Cronograma!T$5:T$11,MATCH($B320,Premissas!$A$39:$A$45,0))</f>
        <v/>
      </c>
      <c r="V320" s="22" t="str">
        <f>INDEX(Cronograma!U$5:U$11,MATCH($B320,Premissas!$A$39:$A$45,0))</f>
        <v/>
      </c>
      <c r="W320" s="22" t="str">
        <f>INDEX(Cronograma!V$5:V$11,MATCH($B320,Premissas!$A$39:$A$45,0))</f>
        <v/>
      </c>
      <c r="X320" s="22" t="str">
        <f>INDEX(Cronograma!W$5:W$11,MATCH($B320,Premissas!$A$39:$A$45,0))</f>
        <v/>
      </c>
      <c r="Y320" s="22" t="str">
        <f>INDEX(Cronograma!X$5:X$11,MATCH($B320,Premissas!$A$39:$A$45,0))</f>
        <v>B</v>
      </c>
      <c r="Z320" s="22" t="str">
        <f>INDEX(Cronograma!Y$5:Y$11,MATCH($B320,Premissas!$A$39:$A$45,0))</f>
        <v/>
      </c>
      <c r="AA320" s="22" t="str">
        <f>INDEX(Cronograma!Z$5:Z$11,MATCH($B320,Premissas!$A$39:$A$45,0))</f>
        <v/>
      </c>
      <c r="AB320" s="22" t="str">
        <f>INDEX(Cronograma!AA$5:AA$11,MATCH($B320,Premissas!$A$39:$A$45,0))</f>
        <v/>
      </c>
      <c r="AC320" s="22" t="str">
        <f>INDEX(Cronograma!AB$5:AB$11,MATCH($B320,Premissas!$A$39:$A$45,0))</f>
        <v/>
      </c>
      <c r="AD320" s="22" t="str">
        <f>INDEX(Cronograma!AC$5:AC$11,MATCH($B320,Premissas!$A$39:$A$45,0))</f>
        <v>S</v>
      </c>
      <c r="AE320" s="22" t="str">
        <f>INDEX(Cronograma!AD$5:AD$11,MATCH($B320,Premissas!$A$39:$A$45,0))</f>
        <v/>
      </c>
      <c r="AF320" s="22" t="str">
        <f>INDEX(Cronograma!AE$5:AE$11,MATCH($B320,Premissas!$A$39:$A$45,0))</f>
        <v/>
      </c>
      <c r="AG320" s="22" t="str">
        <f>INDEX(Cronograma!AF$5:AF$11,MATCH($B320,Premissas!$A$39:$A$45,0))</f>
        <v/>
      </c>
      <c r="AH320" s="22" t="str">
        <f>INDEX(Cronograma!AG$5:AG$11,MATCH($B320,Premissas!$A$39:$A$45,0))</f>
        <v/>
      </c>
      <c r="AI320" s="22" t="str">
        <f>INDEX(Cronograma!AH$5:AH$11,MATCH($B320,Premissas!$A$39:$A$45,0))</f>
        <v/>
      </c>
      <c r="AJ320" s="22" t="str">
        <f>INDEX(Cronograma!AI$5:AI$11,MATCH($B320,Premissas!$A$39:$A$45,0))</f>
        <v/>
      </c>
      <c r="AK320" s="22" t="str">
        <f>INDEX(Cronograma!AJ$5:AJ$11,MATCH($B320,Premissas!$A$39:$A$45,0))</f>
        <v/>
      </c>
      <c r="AL320" s="22" t="str">
        <f>INDEX(Cronograma!AK$5:AK$11,MATCH($B320,Premissas!$A$39:$A$45,0))</f>
        <v/>
      </c>
      <c r="AM320" s="22" t="str">
        <f>INDEX(Cronograma!AL$5:AL$11,MATCH($B320,Premissas!$A$39:$A$45,0))</f>
        <v/>
      </c>
      <c r="AN320" s="22" t="str">
        <f>INDEX(Cronograma!AM$5:AM$11,MATCH($B320,Premissas!$A$39:$A$45,0))</f>
        <v/>
      </c>
      <c r="AO320" s="22" t="str">
        <f>INDEX(Cronograma!AN$5:AN$11,MATCH($B320,Premissas!$A$39:$A$45,0))</f>
        <v/>
      </c>
      <c r="AP320" s="22" t="str">
        <f>INDEX(Cronograma!AO$5:AO$11,MATCH($B320,Premissas!$A$39:$A$45,0))</f>
        <v/>
      </c>
      <c r="AQ320" s="22" t="str">
        <f>INDEX(Cronograma!AP$5:AP$11,MATCH($B320,Premissas!$A$39:$A$45,0))</f>
        <v/>
      </c>
      <c r="AR320" s="22" t="str">
        <f>INDEX(Cronograma!AQ$5:AQ$11,MATCH($B320,Premissas!$A$39:$A$45,0))</f>
        <v>A</v>
      </c>
      <c r="AS320" s="22" t="str">
        <f>INDEX(Cronograma!AR$5:AR$11,MATCH($B320,Premissas!$A$39:$A$45,0))</f>
        <v/>
      </c>
      <c r="AT320" s="22" t="str">
        <f>INDEX(Cronograma!AS$5:AS$11,MATCH($B320,Premissas!$A$39:$A$45,0))</f>
        <v/>
      </c>
      <c r="AU320" s="22" t="str">
        <f>INDEX(Cronograma!AT$5:AT$11,MATCH($B320,Premissas!$A$39:$A$45,0))</f>
        <v/>
      </c>
      <c r="AV320" s="22" t="str">
        <f>INDEX(Cronograma!AU$5:AU$11,MATCH($B320,Premissas!$A$39:$A$45,0))</f>
        <v/>
      </c>
      <c r="AW320" s="22" t="str">
        <f>INDEX(Cronograma!AV$5:AV$11,MATCH($B320,Premissas!$A$39:$A$45,0))</f>
        <v/>
      </c>
      <c r="AX320" s="22" t="str">
        <f>INDEX(Cronograma!AW$5:AW$11,MATCH($B320,Premissas!$A$39:$A$45,0))</f>
        <v/>
      </c>
      <c r="AY320" s="22" t="str">
        <f>INDEX(Cronograma!AX$5:AX$11,MATCH($B320,Premissas!$A$39:$A$45,0))</f>
        <v/>
      </c>
      <c r="AZ320" s="22" t="str">
        <f>INDEX(Cronograma!AY$5:AY$11,MATCH($B320,Premissas!$A$39:$A$45,0))</f>
        <v/>
      </c>
      <c r="BA320" s="22" t="str">
        <f>INDEX(Cronograma!AZ$5:AZ$11,MATCH($B320,Premissas!$A$39:$A$45,0))</f>
        <v/>
      </c>
      <c r="BB320" s="22" t="str">
        <f>INDEX(Cronograma!BA$5:BA$11,MATCH($B320,Premissas!$A$39:$A$45,0))</f>
        <v/>
      </c>
    </row>
    <row r="321" spans="1:54" ht="15" customHeight="1" x14ac:dyDescent="0.4">
      <c r="A321" s="15" t="str">
        <f>Frota!$B321&amp;" — "&amp;Frota!$A321</f>
        <v>Bell SC-800 — 164026</v>
      </c>
      <c r="B321" s="16" t="str">
        <f>Frota!$C321</f>
        <v>Carregadeira/Pesada</v>
      </c>
      <c r="C321" s="22" t="str">
        <f>INDEX(Cronograma!B$5:B$11,MATCH($B321,Premissas!$A$39:$A$45,0))</f>
        <v/>
      </c>
      <c r="D321" s="22" t="str">
        <f>INDEX(Cronograma!C$5:C$11,MATCH($B321,Premissas!$A$39:$A$45,0))</f>
        <v/>
      </c>
      <c r="E321" s="22" t="str">
        <f>INDEX(Cronograma!D$5:D$11,MATCH($B321,Premissas!$A$39:$A$45,0))</f>
        <v/>
      </c>
      <c r="F321" s="22" t="str">
        <f>INDEX(Cronograma!E$5:E$11,MATCH($B321,Premissas!$A$39:$A$45,0))</f>
        <v/>
      </c>
      <c r="G321" s="22" t="str">
        <f>INDEX(Cronograma!F$5:F$11,MATCH($B321,Premissas!$A$39:$A$45,0))</f>
        <v/>
      </c>
      <c r="H321" s="22" t="str">
        <f>INDEX(Cronograma!G$5:G$11,MATCH($B321,Premissas!$A$39:$A$45,0))</f>
        <v>S</v>
      </c>
      <c r="I321" s="22" t="str">
        <f>INDEX(Cronograma!H$5:H$11,MATCH($B321,Premissas!$A$39:$A$45,0))</f>
        <v/>
      </c>
      <c r="J321" s="22" t="str">
        <f>INDEX(Cronograma!I$5:I$11,MATCH($B321,Premissas!$A$39:$A$45,0))</f>
        <v/>
      </c>
      <c r="K321" s="22" t="str">
        <f>INDEX(Cronograma!J$5:J$11,MATCH($B321,Premissas!$A$39:$A$45,0))</f>
        <v/>
      </c>
      <c r="L321" s="22" t="str">
        <f>INDEX(Cronograma!K$5:K$11,MATCH($B321,Premissas!$A$39:$A$45,0))</f>
        <v/>
      </c>
      <c r="M321" s="22" t="str">
        <f>INDEX(Cronograma!L$5:L$11,MATCH($B321,Premissas!$A$39:$A$45,0))</f>
        <v/>
      </c>
      <c r="N321" s="22" t="str">
        <f>INDEX(Cronograma!M$5:M$11,MATCH($B321,Premissas!$A$39:$A$45,0))</f>
        <v>A</v>
      </c>
      <c r="O321" s="22" t="str">
        <f>INDEX(Cronograma!N$5:N$11,MATCH($B321,Premissas!$A$39:$A$45,0))</f>
        <v/>
      </c>
      <c r="P321" s="22" t="str">
        <f>INDEX(Cronograma!O$5:O$11,MATCH($B321,Premissas!$A$39:$A$45,0))</f>
        <v/>
      </c>
      <c r="Q321" s="22" t="str">
        <f>INDEX(Cronograma!P$5:P$11,MATCH($B321,Premissas!$A$39:$A$45,0))</f>
        <v/>
      </c>
      <c r="R321" s="22" t="str">
        <f>INDEX(Cronograma!Q$5:Q$11,MATCH($B321,Premissas!$A$39:$A$45,0))</f>
        <v/>
      </c>
      <c r="S321" s="22" t="str">
        <f>INDEX(Cronograma!R$5:R$11,MATCH($B321,Premissas!$A$39:$A$45,0))</f>
        <v>S</v>
      </c>
      <c r="T321" s="22" t="str">
        <f>INDEX(Cronograma!S$5:S$11,MATCH($B321,Premissas!$A$39:$A$45,0))</f>
        <v/>
      </c>
      <c r="U321" s="22" t="str">
        <f>INDEX(Cronograma!T$5:T$11,MATCH($B321,Premissas!$A$39:$A$45,0))</f>
        <v/>
      </c>
      <c r="V321" s="22" t="str">
        <f>INDEX(Cronograma!U$5:U$11,MATCH($B321,Premissas!$A$39:$A$45,0))</f>
        <v/>
      </c>
      <c r="W321" s="22" t="str">
        <f>INDEX(Cronograma!V$5:V$11,MATCH($B321,Premissas!$A$39:$A$45,0))</f>
        <v/>
      </c>
      <c r="X321" s="22" t="str">
        <f>INDEX(Cronograma!W$5:W$11,MATCH($B321,Premissas!$A$39:$A$45,0))</f>
        <v/>
      </c>
      <c r="Y321" s="22" t="str">
        <f>INDEX(Cronograma!X$5:X$11,MATCH($B321,Premissas!$A$39:$A$45,0))</f>
        <v>B</v>
      </c>
      <c r="Z321" s="22" t="str">
        <f>INDEX(Cronograma!Y$5:Y$11,MATCH($B321,Premissas!$A$39:$A$45,0))</f>
        <v/>
      </c>
      <c r="AA321" s="22" t="str">
        <f>INDEX(Cronograma!Z$5:Z$11,MATCH($B321,Premissas!$A$39:$A$45,0))</f>
        <v/>
      </c>
      <c r="AB321" s="22" t="str">
        <f>INDEX(Cronograma!AA$5:AA$11,MATCH($B321,Premissas!$A$39:$A$45,0))</f>
        <v/>
      </c>
      <c r="AC321" s="22" t="str">
        <f>INDEX(Cronograma!AB$5:AB$11,MATCH($B321,Premissas!$A$39:$A$45,0))</f>
        <v/>
      </c>
      <c r="AD321" s="22" t="str">
        <f>INDEX(Cronograma!AC$5:AC$11,MATCH($B321,Premissas!$A$39:$A$45,0))</f>
        <v>S</v>
      </c>
      <c r="AE321" s="22" t="str">
        <f>INDEX(Cronograma!AD$5:AD$11,MATCH($B321,Premissas!$A$39:$A$45,0))</f>
        <v/>
      </c>
      <c r="AF321" s="22" t="str">
        <f>INDEX(Cronograma!AE$5:AE$11,MATCH($B321,Premissas!$A$39:$A$45,0))</f>
        <v/>
      </c>
      <c r="AG321" s="22" t="str">
        <f>INDEX(Cronograma!AF$5:AF$11,MATCH($B321,Premissas!$A$39:$A$45,0))</f>
        <v/>
      </c>
      <c r="AH321" s="22" t="str">
        <f>INDEX(Cronograma!AG$5:AG$11,MATCH($B321,Premissas!$A$39:$A$45,0))</f>
        <v/>
      </c>
      <c r="AI321" s="22" t="str">
        <f>INDEX(Cronograma!AH$5:AH$11,MATCH($B321,Premissas!$A$39:$A$45,0))</f>
        <v/>
      </c>
      <c r="AJ321" s="22" t="str">
        <f>INDEX(Cronograma!AI$5:AI$11,MATCH($B321,Premissas!$A$39:$A$45,0))</f>
        <v/>
      </c>
      <c r="AK321" s="22" t="str">
        <f>INDEX(Cronograma!AJ$5:AJ$11,MATCH($B321,Premissas!$A$39:$A$45,0))</f>
        <v/>
      </c>
      <c r="AL321" s="22" t="str">
        <f>INDEX(Cronograma!AK$5:AK$11,MATCH($B321,Premissas!$A$39:$A$45,0))</f>
        <v/>
      </c>
      <c r="AM321" s="22" t="str">
        <f>INDEX(Cronograma!AL$5:AL$11,MATCH($B321,Premissas!$A$39:$A$45,0))</f>
        <v/>
      </c>
      <c r="AN321" s="22" t="str">
        <f>INDEX(Cronograma!AM$5:AM$11,MATCH($B321,Premissas!$A$39:$A$45,0))</f>
        <v/>
      </c>
      <c r="AO321" s="22" t="str">
        <f>INDEX(Cronograma!AN$5:AN$11,MATCH($B321,Premissas!$A$39:$A$45,0))</f>
        <v/>
      </c>
      <c r="AP321" s="22" t="str">
        <f>INDEX(Cronograma!AO$5:AO$11,MATCH($B321,Premissas!$A$39:$A$45,0))</f>
        <v/>
      </c>
      <c r="AQ321" s="22" t="str">
        <f>INDEX(Cronograma!AP$5:AP$11,MATCH($B321,Premissas!$A$39:$A$45,0))</f>
        <v/>
      </c>
      <c r="AR321" s="22" t="str">
        <f>INDEX(Cronograma!AQ$5:AQ$11,MATCH($B321,Premissas!$A$39:$A$45,0))</f>
        <v>A</v>
      </c>
      <c r="AS321" s="22" t="str">
        <f>INDEX(Cronograma!AR$5:AR$11,MATCH($B321,Premissas!$A$39:$A$45,0))</f>
        <v/>
      </c>
      <c r="AT321" s="22" t="str">
        <f>INDEX(Cronograma!AS$5:AS$11,MATCH($B321,Premissas!$A$39:$A$45,0))</f>
        <v/>
      </c>
      <c r="AU321" s="22" t="str">
        <f>INDEX(Cronograma!AT$5:AT$11,MATCH($B321,Premissas!$A$39:$A$45,0))</f>
        <v/>
      </c>
      <c r="AV321" s="22" t="str">
        <f>INDEX(Cronograma!AU$5:AU$11,MATCH($B321,Premissas!$A$39:$A$45,0))</f>
        <v/>
      </c>
      <c r="AW321" s="22" t="str">
        <f>INDEX(Cronograma!AV$5:AV$11,MATCH($B321,Premissas!$A$39:$A$45,0))</f>
        <v/>
      </c>
      <c r="AX321" s="22" t="str">
        <f>INDEX(Cronograma!AW$5:AW$11,MATCH($B321,Premissas!$A$39:$A$45,0))</f>
        <v/>
      </c>
      <c r="AY321" s="22" t="str">
        <f>INDEX(Cronograma!AX$5:AX$11,MATCH($B321,Premissas!$A$39:$A$45,0))</f>
        <v/>
      </c>
      <c r="AZ321" s="22" t="str">
        <f>INDEX(Cronograma!AY$5:AY$11,MATCH($B321,Premissas!$A$39:$A$45,0))</f>
        <v/>
      </c>
      <c r="BA321" s="22" t="str">
        <f>INDEX(Cronograma!AZ$5:AZ$11,MATCH($B321,Premissas!$A$39:$A$45,0))</f>
        <v/>
      </c>
      <c r="BB321" s="22" t="str">
        <f>INDEX(Cronograma!BA$5:BA$11,MATCH($B321,Premissas!$A$39:$A$45,0))</f>
        <v/>
      </c>
    </row>
    <row r="322" spans="1:54" ht="15" customHeight="1" x14ac:dyDescent="0.4">
      <c r="A322" s="15" t="str">
        <f>Frota!$B322&amp;" — "&amp;Frota!$A322</f>
        <v>Bell SC-800 — 164027</v>
      </c>
      <c r="B322" s="16" t="str">
        <f>Frota!$C322</f>
        <v>Carregadeira/Pesada</v>
      </c>
      <c r="C322" s="22" t="str">
        <f>INDEX(Cronograma!B$5:B$11,MATCH($B322,Premissas!$A$39:$A$45,0))</f>
        <v/>
      </c>
      <c r="D322" s="22" t="str">
        <f>INDEX(Cronograma!C$5:C$11,MATCH($B322,Premissas!$A$39:$A$45,0))</f>
        <v/>
      </c>
      <c r="E322" s="22" t="str">
        <f>INDEX(Cronograma!D$5:D$11,MATCH($B322,Premissas!$A$39:$A$45,0))</f>
        <v/>
      </c>
      <c r="F322" s="22" t="str">
        <f>INDEX(Cronograma!E$5:E$11,MATCH($B322,Premissas!$A$39:$A$45,0))</f>
        <v/>
      </c>
      <c r="G322" s="22" t="str">
        <f>INDEX(Cronograma!F$5:F$11,MATCH($B322,Premissas!$A$39:$A$45,0))</f>
        <v/>
      </c>
      <c r="H322" s="22" t="str">
        <f>INDEX(Cronograma!G$5:G$11,MATCH($B322,Premissas!$A$39:$A$45,0))</f>
        <v>S</v>
      </c>
      <c r="I322" s="22" t="str">
        <f>INDEX(Cronograma!H$5:H$11,MATCH($B322,Premissas!$A$39:$A$45,0))</f>
        <v/>
      </c>
      <c r="J322" s="22" t="str">
        <f>INDEX(Cronograma!I$5:I$11,MATCH($B322,Premissas!$A$39:$A$45,0))</f>
        <v/>
      </c>
      <c r="K322" s="22" t="str">
        <f>INDEX(Cronograma!J$5:J$11,MATCH($B322,Premissas!$A$39:$A$45,0))</f>
        <v/>
      </c>
      <c r="L322" s="22" t="str">
        <f>INDEX(Cronograma!K$5:K$11,MATCH($B322,Premissas!$A$39:$A$45,0))</f>
        <v/>
      </c>
      <c r="M322" s="22" t="str">
        <f>INDEX(Cronograma!L$5:L$11,MATCH($B322,Premissas!$A$39:$A$45,0))</f>
        <v/>
      </c>
      <c r="N322" s="22" t="str">
        <f>INDEX(Cronograma!M$5:M$11,MATCH($B322,Premissas!$A$39:$A$45,0))</f>
        <v>A</v>
      </c>
      <c r="O322" s="22" t="str">
        <f>INDEX(Cronograma!N$5:N$11,MATCH($B322,Premissas!$A$39:$A$45,0))</f>
        <v/>
      </c>
      <c r="P322" s="22" t="str">
        <f>INDEX(Cronograma!O$5:O$11,MATCH($B322,Premissas!$A$39:$A$45,0))</f>
        <v/>
      </c>
      <c r="Q322" s="22" t="str">
        <f>INDEX(Cronograma!P$5:P$11,MATCH($B322,Premissas!$A$39:$A$45,0))</f>
        <v/>
      </c>
      <c r="R322" s="22" t="str">
        <f>INDEX(Cronograma!Q$5:Q$11,MATCH($B322,Premissas!$A$39:$A$45,0))</f>
        <v/>
      </c>
      <c r="S322" s="22" t="str">
        <f>INDEX(Cronograma!R$5:R$11,MATCH($B322,Premissas!$A$39:$A$45,0))</f>
        <v>S</v>
      </c>
      <c r="T322" s="22" t="str">
        <f>INDEX(Cronograma!S$5:S$11,MATCH($B322,Premissas!$A$39:$A$45,0))</f>
        <v/>
      </c>
      <c r="U322" s="22" t="str">
        <f>INDEX(Cronograma!T$5:T$11,MATCH($B322,Premissas!$A$39:$A$45,0))</f>
        <v/>
      </c>
      <c r="V322" s="22" t="str">
        <f>INDEX(Cronograma!U$5:U$11,MATCH($B322,Premissas!$A$39:$A$45,0))</f>
        <v/>
      </c>
      <c r="W322" s="22" t="str">
        <f>INDEX(Cronograma!V$5:V$11,MATCH($B322,Premissas!$A$39:$A$45,0))</f>
        <v/>
      </c>
      <c r="X322" s="22" t="str">
        <f>INDEX(Cronograma!W$5:W$11,MATCH($B322,Premissas!$A$39:$A$45,0))</f>
        <v/>
      </c>
      <c r="Y322" s="22" t="str">
        <f>INDEX(Cronograma!X$5:X$11,MATCH($B322,Premissas!$A$39:$A$45,0))</f>
        <v>B</v>
      </c>
      <c r="Z322" s="22" t="str">
        <f>INDEX(Cronograma!Y$5:Y$11,MATCH($B322,Premissas!$A$39:$A$45,0))</f>
        <v/>
      </c>
      <c r="AA322" s="22" t="str">
        <f>INDEX(Cronograma!Z$5:Z$11,MATCH($B322,Premissas!$A$39:$A$45,0))</f>
        <v/>
      </c>
      <c r="AB322" s="22" t="str">
        <f>INDEX(Cronograma!AA$5:AA$11,MATCH($B322,Premissas!$A$39:$A$45,0))</f>
        <v/>
      </c>
      <c r="AC322" s="22" t="str">
        <f>INDEX(Cronograma!AB$5:AB$11,MATCH($B322,Premissas!$A$39:$A$45,0))</f>
        <v/>
      </c>
      <c r="AD322" s="22" t="str">
        <f>INDEX(Cronograma!AC$5:AC$11,MATCH($B322,Premissas!$A$39:$A$45,0))</f>
        <v>S</v>
      </c>
      <c r="AE322" s="22" t="str">
        <f>INDEX(Cronograma!AD$5:AD$11,MATCH($B322,Premissas!$A$39:$A$45,0))</f>
        <v/>
      </c>
      <c r="AF322" s="22" t="str">
        <f>INDEX(Cronograma!AE$5:AE$11,MATCH($B322,Premissas!$A$39:$A$45,0))</f>
        <v/>
      </c>
      <c r="AG322" s="22" t="str">
        <f>INDEX(Cronograma!AF$5:AF$11,MATCH($B322,Premissas!$A$39:$A$45,0))</f>
        <v/>
      </c>
      <c r="AH322" s="22" t="str">
        <f>INDEX(Cronograma!AG$5:AG$11,MATCH($B322,Premissas!$A$39:$A$45,0))</f>
        <v/>
      </c>
      <c r="AI322" s="22" t="str">
        <f>INDEX(Cronograma!AH$5:AH$11,MATCH($B322,Premissas!$A$39:$A$45,0))</f>
        <v/>
      </c>
      <c r="AJ322" s="22" t="str">
        <f>INDEX(Cronograma!AI$5:AI$11,MATCH($B322,Premissas!$A$39:$A$45,0))</f>
        <v/>
      </c>
      <c r="AK322" s="22" t="str">
        <f>INDEX(Cronograma!AJ$5:AJ$11,MATCH($B322,Premissas!$A$39:$A$45,0))</f>
        <v/>
      </c>
      <c r="AL322" s="22" t="str">
        <f>INDEX(Cronograma!AK$5:AK$11,MATCH($B322,Premissas!$A$39:$A$45,0))</f>
        <v/>
      </c>
      <c r="AM322" s="22" t="str">
        <f>INDEX(Cronograma!AL$5:AL$11,MATCH($B322,Premissas!$A$39:$A$45,0))</f>
        <v/>
      </c>
      <c r="AN322" s="22" t="str">
        <f>INDEX(Cronograma!AM$5:AM$11,MATCH($B322,Premissas!$A$39:$A$45,0))</f>
        <v/>
      </c>
      <c r="AO322" s="22" t="str">
        <f>INDEX(Cronograma!AN$5:AN$11,MATCH($B322,Premissas!$A$39:$A$45,0))</f>
        <v/>
      </c>
      <c r="AP322" s="22" t="str">
        <f>INDEX(Cronograma!AO$5:AO$11,MATCH($B322,Premissas!$A$39:$A$45,0))</f>
        <v/>
      </c>
      <c r="AQ322" s="22" t="str">
        <f>INDEX(Cronograma!AP$5:AP$11,MATCH($B322,Premissas!$A$39:$A$45,0))</f>
        <v/>
      </c>
      <c r="AR322" s="22" t="str">
        <f>INDEX(Cronograma!AQ$5:AQ$11,MATCH($B322,Premissas!$A$39:$A$45,0))</f>
        <v>A</v>
      </c>
      <c r="AS322" s="22" t="str">
        <f>INDEX(Cronograma!AR$5:AR$11,MATCH($B322,Premissas!$A$39:$A$45,0))</f>
        <v/>
      </c>
      <c r="AT322" s="22" t="str">
        <f>INDEX(Cronograma!AS$5:AS$11,MATCH($B322,Premissas!$A$39:$A$45,0))</f>
        <v/>
      </c>
      <c r="AU322" s="22" t="str">
        <f>INDEX(Cronograma!AT$5:AT$11,MATCH($B322,Premissas!$A$39:$A$45,0))</f>
        <v/>
      </c>
      <c r="AV322" s="22" t="str">
        <f>INDEX(Cronograma!AU$5:AU$11,MATCH($B322,Premissas!$A$39:$A$45,0))</f>
        <v/>
      </c>
      <c r="AW322" s="22" t="str">
        <f>INDEX(Cronograma!AV$5:AV$11,MATCH($B322,Premissas!$A$39:$A$45,0))</f>
        <v/>
      </c>
      <c r="AX322" s="22" t="str">
        <f>INDEX(Cronograma!AW$5:AW$11,MATCH($B322,Premissas!$A$39:$A$45,0))</f>
        <v/>
      </c>
      <c r="AY322" s="22" t="str">
        <f>INDEX(Cronograma!AX$5:AX$11,MATCH($B322,Premissas!$A$39:$A$45,0))</f>
        <v/>
      </c>
      <c r="AZ322" s="22" t="str">
        <f>INDEX(Cronograma!AY$5:AY$11,MATCH($B322,Premissas!$A$39:$A$45,0))</f>
        <v/>
      </c>
      <c r="BA322" s="22" t="str">
        <f>INDEX(Cronograma!AZ$5:AZ$11,MATCH($B322,Premissas!$A$39:$A$45,0))</f>
        <v/>
      </c>
      <c r="BB322" s="22" t="str">
        <f>INDEX(Cronograma!BA$5:BA$11,MATCH($B322,Premissas!$A$39:$A$45,0))</f>
        <v/>
      </c>
    </row>
    <row r="323" spans="1:54" ht="15" customHeight="1" x14ac:dyDescent="0.4">
      <c r="A323" s="15" t="str">
        <f>Frota!$B323&amp;" — "&amp;Frota!$A323</f>
        <v>Bell SC-800 — 164032</v>
      </c>
      <c r="B323" s="16" t="str">
        <f>Frota!$C323</f>
        <v>Carregadeira/Pesada</v>
      </c>
      <c r="C323" s="22" t="str">
        <f>INDEX(Cronograma!B$5:B$11,MATCH($B323,Premissas!$A$39:$A$45,0))</f>
        <v/>
      </c>
      <c r="D323" s="22" t="str">
        <f>INDEX(Cronograma!C$5:C$11,MATCH($B323,Premissas!$A$39:$A$45,0))</f>
        <v/>
      </c>
      <c r="E323" s="22" t="str">
        <f>INDEX(Cronograma!D$5:D$11,MATCH($B323,Premissas!$A$39:$A$45,0))</f>
        <v/>
      </c>
      <c r="F323" s="22" t="str">
        <f>INDEX(Cronograma!E$5:E$11,MATCH($B323,Premissas!$A$39:$A$45,0))</f>
        <v/>
      </c>
      <c r="G323" s="22" t="str">
        <f>INDEX(Cronograma!F$5:F$11,MATCH($B323,Premissas!$A$39:$A$45,0))</f>
        <v/>
      </c>
      <c r="H323" s="22" t="str">
        <f>INDEX(Cronograma!G$5:G$11,MATCH($B323,Premissas!$A$39:$A$45,0))</f>
        <v>S</v>
      </c>
      <c r="I323" s="22" t="str">
        <f>INDEX(Cronograma!H$5:H$11,MATCH($B323,Premissas!$A$39:$A$45,0))</f>
        <v/>
      </c>
      <c r="J323" s="22" t="str">
        <f>INDEX(Cronograma!I$5:I$11,MATCH($B323,Premissas!$A$39:$A$45,0))</f>
        <v/>
      </c>
      <c r="K323" s="22" t="str">
        <f>INDEX(Cronograma!J$5:J$11,MATCH($B323,Premissas!$A$39:$A$45,0))</f>
        <v/>
      </c>
      <c r="L323" s="22" t="str">
        <f>INDEX(Cronograma!K$5:K$11,MATCH($B323,Premissas!$A$39:$A$45,0))</f>
        <v/>
      </c>
      <c r="M323" s="22" t="str">
        <f>INDEX(Cronograma!L$5:L$11,MATCH($B323,Premissas!$A$39:$A$45,0))</f>
        <v/>
      </c>
      <c r="N323" s="22" t="str">
        <f>INDEX(Cronograma!M$5:M$11,MATCH($B323,Premissas!$A$39:$A$45,0))</f>
        <v>A</v>
      </c>
      <c r="O323" s="22" t="str">
        <f>INDEX(Cronograma!N$5:N$11,MATCH($B323,Premissas!$A$39:$A$45,0))</f>
        <v/>
      </c>
      <c r="P323" s="22" t="str">
        <f>INDEX(Cronograma!O$5:O$11,MATCH($B323,Premissas!$A$39:$A$45,0))</f>
        <v/>
      </c>
      <c r="Q323" s="22" t="str">
        <f>INDEX(Cronograma!P$5:P$11,MATCH($B323,Premissas!$A$39:$A$45,0))</f>
        <v/>
      </c>
      <c r="R323" s="22" t="str">
        <f>INDEX(Cronograma!Q$5:Q$11,MATCH($B323,Premissas!$A$39:$A$45,0))</f>
        <v/>
      </c>
      <c r="S323" s="22" t="str">
        <f>INDEX(Cronograma!R$5:R$11,MATCH($B323,Premissas!$A$39:$A$45,0))</f>
        <v>S</v>
      </c>
      <c r="T323" s="22" t="str">
        <f>INDEX(Cronograma!S$5:S$11,MATCH($B323,Premissas!$A$39:$A$45,0))</f>
        <v/>
      </c>
      <c r="U323" s="22" t="str">
        <f>INDEX(Cronograma!T$5:T$11,MATCH($B323,Premissas!$A$39:$A$45,0))</f>
        <v/>
      </c>
      <c r="V323" s="22" t="str">
        <f>INDEX(Cronograma!U$5:U$11,MATCH($B323,Premissas!$A$39:$A$45,0))</f>
        <v/>
      </c>
      <c r="W323" s="22" t="str">
        <f>INDEX(Cronograma!V$5:V$11,MATCH($B323,Premissas!$A$39:$A$45,0))</f>
        <v/>
      </c>
      <c r="X323" s="22" t="str">
        <f>INDEX(Cronograma!W$5:W$11,MATCH($B323,Premissas!$A$39:$A$45,0))</f>
        <v/>
      </c>
      <c r="Y323" s="22" t="str">
        <f>INDEX(Cronograma!X$5:X$11,MATCH($B323,Premissas!$A$39:$A$45,0))</f>
        <v>B</v>
      </c>
      <c r="Z323" s="22" t="str">
        <f>INDEX(Cronograma!Y$5:Y$11,MATCH($B323,Premissas!$A$39:$A$45,0))</f>
        <v/>
      </c>
      <c r="AA323" s="22" t="str">
        <f>INDEX(Cronograma!Z$5:Z$11,MATCH($B323,Premissas!$A$39:$A$45,0))</f>
        <v/>
      </c>
      <c r="AB323" s="22" t="str">
        <f>INDEX(Cronograma!AA$5:AA$11,MATCH($B323,Premissas!$A$39:$A$45,0))</f>
        <v/>
      </c>
      <c r="AC323" s="22" t="str">
        <f>INDEX(Cronograma!AB$5:AB$11,MATCH($B323,Premissas!$A$39:$A$45,0))</f>
        <v/>
      </c>
      <c r="AD323" s="22" t="str">
        <f>INDEX(Cronograma!AC$5:AC$11,MATCH($B323,Premissas!$A$39:$A$45,0))</f>
        <v>S</v>
      </c>
      <c r="AE323" s="22" t="str">
        <f>INDEX(Cronograma!AD$5:AD$11,MATCH($B323,Premissas!$A$39:$A$45,0))</f>
        <v/>
      </c>
      <c r="AF323" s="22" t="str">
        <f>INDEX(Cronograma!AE$5:AE$11,MATCH($B323,Premissas!$A$39:$A$45,0))</f>
        <v/>
      </c>
      <c r="AG323" s="22" t="str">
        <f>INDEX(Cronograma!AF$5:AF$11,MATCH($B323,Premissas!$A$39:$A$45,0))</f>
        <v/>
      </c>
      <c r="AH323" s="22" t="str">
        <f>INDEX(Cronograma!AG$5:AG$11,MATCH($B323,Premissas!$A$39:$A$45,0))</f>
        <v/>
      </c>
      <c r="AI323" s="22" t="str">
        <f>INDEX(Cronograma!AH$5:AH$11,MATCH($B323,Premissas!$A$39:$A$45,0))</f>
        <v/>
      </c>
      <c r="AJ323" s="22" t="str">
        <f>INDEX(Cronograma!AI$5:AI$11,MATCH($B323,Premissas!$A$39:$A$45,0))</f>
        <v/>
      </c>
      <c r="AK323" s="22" t="str">
        <f>INDEX(Cronograma!AJ$5:AJ$11,MATCH($B323,Premissas!$A$39:$A$45,0))</f>
        <v/>
      </c>
      <c r="AL323" s="22" t="str">
        <f>INDEX(Cronograma!AK$5:AK$11,MATCH($B323,Premissas!$A$39:$A$45,0))</f>
        <v/>
      </c>
      <c r="AM323" s="22" t="str">
        <f>INDEX(Cronograma!AL$5:AL$11,MATCH($B323,Premissas!$A$39:$A$45,0))</f>
        <v/>
      </c>
      <c r="AN323" s="22" t="str">
        <f>INDEX(Cronograma!AM$5:AM$11,MATCH($B323,Premissas!$A$39:$A$45,0))</f>
        <v/>
      </c>
      <c r="AO323" s="22" t="str">
        <f>INDEX(Cronograma!AN$5:AN$11,MATCH($B323,Premissas!$A$39:$A$45,0))</f>
        <v/>
      </c>
      <c r="AP323" s="22" t="str">
        <f>INDEX(Cronograma!AO$5:AO$11,MATCH($B323,Premissas!$A$39:$A$45,0))</f>
        <v/>
      </c>
      <c r="AQ323" s="22" t="str">
        <f>INDEX(Cronograma!AP$5:AP$11,MATCH($B323,Premissas!$A$39:$A$45,0))</f>
        <v/>
      </c>
      <c r="AR323" s="22" t="str">
        <f>INDEX(Cronograma!AQ$5:AQ$11,MATCH($B323,Premissas!$A$39:$A$45,0))</f>
        <v>A</v>
      </c>
      <c r="AS323" s="22" t="str">
        <f>INDEX(Cronograma!AR$5:AR$11,MATCH($B323,Premissas!$A$39:$A$45,0))</f>
        <v/>
      </c>
      <c r="AT323" s="22" t="str">
        <f>INDEX(Cronograma!AS$5:AS$11,MATCH($B323,Premissas!$A$39:$A$45,0))</f>
        <v/>
      </c>
      <c r="AU323" s="22" t="str">
        <f>INDEX(Cronograma!AT$5:AT$11,MATCH($B323,Premissas!$A$39:$A$45,0))</f>
        <v/>
      </c>
      <c r="AV323" s="22" t="str">
        <f>INDEX(Cronograma!AU$5:AU$11,MATCH($B323,Premissas!$A$39:$A$45,0))</f>
        <v/>
      </c>
      <c r="AW323" s="22" t="str">
        <f>INDEX(Cronograma!AV$5:AV$11,MATCH($B323,Premissas!$A$39:$A$45,0))</f>
        <v/>
      </c>
      <c r="AX323" s="22" t="str">
        <f>INDEX(Cronograma!AW$5:AW$11,MATCH($B323,Premissas!$A$39:$A$45,0))</f>
        <v/>
      </c>
      <c r="AY323" s="22" t="str">
        <f>INDEX(Cronograma!AX$5:AX$11,MATCH($B323,Premissas!$A$39:$A$45,0))</f>
        <v/>
      </c>
      <c r="AZ323" s="22" t="str">
        <f>INDEX(Cronograma!AY$5:AY$11,MATCH($B323,Premissas!$A$39:$A$45,0))</f>
        <v/>
      </c>
      <c r="BA323" s="22" t="str">
        <f>INDEX(Cronograma!AZ$5:AZ$11,MATCH($B323,Premissas!$A$39:$A$45,0))</f>
        <v/>
      </c>
      <c r="BB323" s="22" t="str">
        <f>INDEX(Cronograma!BA$5:BA$11,MATCH($B323,Premissas!$A$39:$A$45,0))</f>
        <v/>
      </c>
    </row>
    <row r="324" spans="1:54" ht="15" customHeight="1" x14ac:dyDescent="0.4">
      <c r="A324" s="15" t="str">
        <f>Frota!$B324&amp;" — "&amp;Frota!$A324</f>
        <v>Bell SC-800 — 164033</v>
      </c>
      <c r="B324" s="16" t="str">
        <f>Frota!$C324</f>
        <v>Carregadeira/Pesada</v>
      </c>
      <c r="C324" s="22" t="str">
        <f>INDEX(Cronograma!B$5:B$11,MATCH($B324,Premissas!$A$39:$A$45,0))</f>
        <v/>
      </c>
      <c r="D324" s="22" t="str">
        <f>INDEX(Cronograma!C$5:C$11,MATCH($B324,Premissas!$A$39:$A$45,0))</f>
        <v/>
      </c>
      <c r="E324" s="22" t="str">
        <f>INDEX(Cronograma!D$5:D$11,MATCH($B324,Premissas!$A$39:$A$45,0))</f>
        <v/>
      </c>
      <c r="F324" s="22" t="str">
        <f>INDEX(Cronograma!E$5:E$11,MATCH($B324,Premissas!$A$39:$A$45,0))</f>
        <v/>
      </c>
      <c r="G324" s="22" t="str">
        <f>INDEX(Cronograma!F$5:F$11,MATCH($B324,Premissas!$A$39:$A$45,0))</f>
        <v/>
      </c>
      <c r="H324" s="22" t="str">
        <f>INDEX(Cronograma!G$5:G$11,MATCH($B324,Premissas!$A$39:$A$45,0))</f>
        <v>S</v>
      </c>
      <c r="I324" s="22" t="str">
        <f>INDEX(Cronograma!H$5:H$11,MATCH($B324,Premissas!$A$39:$A$45,0))</f>
        <v/>
      </c>
      <c r="J324" s="22" t="str">
        <f>INDEX(Cronograma!I$5:I$11,MATCH($B324,Premissas!$A$39:$A$45,0))</f>
        <v/>
      </c>
      <c r="K324" s="22" t="str">
        <f>INDEX(Cronograma!J$5:J$11,MATCH($B324,Premissas!$A$39:$A$45,0))</f>
        <v/>
      </c>
      <c r="L324" s="22" t="str">
        <f>INDEX(Cronograma!K$5:K$11,MATCH($B324,Premissas!$A$39:$A$45,0))</f>
        <v/>
      </c>
      <c r="M324" s="22" t="str">
        <f>INDEX(Cronograma!L$5:L$11,MATCH($B324,Premissas!$A$39:$A$45,0))</f>
        <v/>
      </c>
      <c r="N324" s="22" t="str">
        <f>INDEX(Cronograma!M$5:M$11,MATCH($B324,Premissas!$A$39:$A$45,0))</f>
        <v>A</v>
      </c>
      <c r="O324" s="22" t="str">
        <f>INDEX(Cronograma!N$5:N$11,MATCH($B324,Premissas!$A$39:$A$45,0))</f>
        <v/>
      </c>
      <c r="P324" s="22" t="str">
        <f>INDEX(Cronograma!O$5:O$11,MATCH($B324,Premissas!$A$39:$A$45,0))</f>
        <v/>
      </c>
      <c r="Q324" s="22" t="str">
        <f>INDEX(Cronograma!P$5:P$11,MATCH($B324,Premissas!$A$39:$A$45,0))</f>
        <v/>
      </c>
      <c r="R324" s="22" t="str">
        <f>INDEX(Cronograma!Q$5:Q$11,MATCH($B324,Premissas!$A$39:$A$45,0))</f>
        <v/>
      </c>
      <c r="S324" s="22" t="str">
        <f>INDEX(Cronograma!R$5:R$11,MATCH($B324,Premissas!$A$39:$A$45,0))</f>
        <v>S</v>
      </c>
      <c r="T324" s="22" t="str">
        <f>INDEX(Cronograma!S$5:S$11,MATCH($B324,Premissas!$A$39:$A$45,0))</f>
        <v/>
      </c>
      <c r="U324" s="22" t="str">
        <f>INDEX(Cronograma!T$5:T$11,MATCH($B324,Premissas!$A$39:$A$45,0))</f>
        <v/>
      </c>
      <c r="V324" s="22" t="str">
        <f>INDEX(Cronograma!U$5:U$11,MATCH($B324,Premissas!$A$39:$A$45,0))</f>
        <v/>
      </c>
      <c r="W324" s="22" t="str">
        <f>INDEX(Cronograma!V$5:V$11,MATCH($B324,Premissas!$A$39:$A$45,0))</f>
        <v/>
      </c>
      <c r="X324" s="22" t="str">
        <f>INDEX(Cronograma!W$5:W$11,MATCH($B324,Premissas!$A$39:$A$45,0))</f>
        <v/>
      </c>
      <c r="Y324" s="22" t="str">
        <f>INDEX(Cronograma!X$5:X$11,MATCH($B324,Premissas!$A$39:$A$45,0))</f>
        <v>B</v>
      </c>
      <c r="Z324" s="22" t="str">
        <f>INDEX(Cronograma!Y$5:Y$11,MATCH($B324,Premissas!$A$39:$A$45,0))</f>
        <v/>
      </c>
      <c r="AA324" s="22" t="str">
        <f>INDEX(Cronograma!Z$5:Z$11,MATCH($B324,Premissas!$A$39:$A$45,0))</f>
        <v/>
      </c>
      <c r="AB324" s="22" t="str">
        <f>INDEX(Cronograma!AA$5:AA$11,MATCH($B324,Premissas!$A$39:$A$45,0))</f>
        <v/>
      </c>
      <c r="AC324" s="22" t="str">
        <f>INDEX(Cronograma!AB$5:AB$11,MATCH($B324,Premissas!$A$39:$A$45,0))</f>
        <v/>
      </c>
      <c r="AD324" s="22" t="str">
        <f>INDEX(Cronograma!AC$5:AC$11,MATCH($B324,Premissas!$A$39:$A$45,0))</f>
        <v>S</v>
      </c>
      <c r="AE324" s="22" t="str">
        <f>INDEX(Cronograma!AD$5:AD$11,MATCH($B324,Premissas!$A$39:$A$45,0))</f>
        <v/>
      </c>
      <c r="AF324" s="22" t="str">
        <f>INDEX(Cronograma!AE$5:AE$11,MATCH($B324,Premissas!$A$39:$A$45,0))</f>
        <v/>
      </c>
      <c r="AG324" s="22" t="str">
        <f>INDEX(Cronograma!AF$5:AF$11,MATCH($B324,Premissas!$A$39:$A$45,0))</f>
        <v/>
      </c>
      <c r="AH324" s="22" t="str">
        <f>INDEX(Cronograma!AG$5:AG$11,MATCH($B324,Premissas!$A$39:$A$45,0))</f>
        <v/>
      </c>
      <c r="AI324" s="22" t="str">
        <f>INDEX(Cronograma!AH$5:AH$11,MATCH($B324,Premissas!$A$39:$A$45,0))</f>
        <v/>
      </c>
      <c r="AJ324" s="22" t="str">
        <f>INDEX(Cronograma!AI$5:AI$11,MATCH($B324,Premissas!$A$39:$A$45,0))</f>
        <v/>
      </c>
      <c r="AK324" s="22" t="str">
        <f>INDEX(Cronograma!AJ$5:AJ$11,MATCH($B324,Premissas!$A$39:$A$45,0))</f>
        <v/>
      </c>
      <c r="AL324" s="22" t="str">
        <f>INDEX(Cronograma!AK$5:AK$11,MATCH($B324,Premissas!$A$39:$A$45,0))</f>
        <v/>
      </c>
      <c r="AM324" s="22" t="str">
        <f>INDEX(Cronograma!AL$5:AL$11,MATCH($B324,Premissas!$A$39:$A$45,0))</f>
        <v/>
      </c>
      <c r="AN324" s="22" t="str">
        <f>INDEX(Cronograma!AM$5:AM$11,MATCH($B324,Premissas!$A$39:$A$45,0))</f>
        <v/>
      </c>
      <c r="AO324" s="22" t="str">
        <f>INDEX(Cronograma!AN$5:AN$11,MATCH($B324,Premissas!$A$39:$A$45,0))</f>
        <v/>
      </c>
      <c r="AP324" s="22" t="str">
        <f>INDEX(Cronograma!AO$5:AO$11,MATCH($B324,Premissas!$A$39:$A$45,0))</f>
        <v/>
      </c>
      <c r="AQ324" s="22" t="str">
        <f>INDEX(Cronograma!AP$5:AP$11,MATCH($B324,Premissas!$A$39:$A$45,0))</f>
        <v/>
      </c>
      <c r="AR324" s="22" t="str">
        <f>INDEX(Cronograma!AQ$5:AQ$11,MATCH($B324,Premissas!$A$39:$A$45,0))</f>
        <v>A</v>
      </c>
      <c r="AS324" s="22" t="str">
        <f>INDEX(Cronograma!AR$5:AR$11,MATCH($B324,Premissas!$A$39:$A$45,0))</f>
        <v/>
      </c>
      <c r="AT324" s="22" t="str">
        <f>INDEX(Cronograma!AS$5:AS$11,MATCH($B324,Premissas!$A$39:$A$45,0))</f>
        <v/>
      </c>
      <c r="AU324" s="22" t="str">
        <f>INDEX(Cronograma!AT$5:AT$11,MATCH($B324,Premissas!$A$39:$A$45,0))</f>
        <v/>
      </c>
      <c r="AV324" s="22" t="str">
        <f>INDEX(Cronograma!AU$5:AU$11,MATCH($B324,Premissas!$A$39:$A$45,0))</f>
        <v/>
      </c>
      <c r="AW324" s="22" t="str">
        <f>INDEX(Cronograma!AV$5:AV$11,MATCH($B324,Premissas!$A$39:$A$45,0))</f>
        <v/>
      </c>
      <c r="AX324" s="22" t="str">
        <f>INDEX(Cronograma!AW$5:AW$11,MATCH($B324,Premissas!$A$39:$A$45,0))</f>
        <v/>
      </c>
      <c r="AY324" s="22" t="str">
        <f>INDEX(Cronograma!AX$5:AX$11,MATCH($B324,Premissas!$A$39:$A$45,0))</f>
        <v/>
      </c>
      <c r="AZ324" s="22" t="str">
        <f>INDEX(Cronograma!AY$5:AY$11,MATCH($B324,Premissas!$A$39:$A$45,0))</f>
        <v/>
      </c>
      <c r="BA324" s="22" t="str">
        <f>INDEX(Cronograma!AZ$5:AZ$11,MATCH($B324,Premissas!$A$39:$A$45,0))</f>
        <v/>
      </c>
      <c r="BB324" s="22" t="str">
        <f>INDEX(Cronograma!BA$5:BA$11,MATCH($B324,Premissas!$A$39:$A$45,0))</f>
        <v/>
      </c>
    </row>
    <row r="325" spans="1:54" ht="15" customHeight="1" x14ac:dyDescent="0.4">
      <c r="A325" s="15" t="str">
        <f>Frota!$B325&amp;" — "&amp;Frota!$A325</f>
        <v>Bell SC-800 — 164034</v>
      </c>
      <c r="B325" s="16" t="str">
        <f>Frota!$C325</f>
        <v>Carregadeira/Pesada</v>
      </c>
      <c r="C325" s="22" t="str">
        <f>INDEX(Cronograma!B$5:B$11,MATCH($B325,Premissas!$A$39:$A$45,0))</f>
        <v/>
      </c>
      <c r="D325" s="22" t="str">
        <f>INDEX(Cronograma!C$5:C$11,MATCH($B325,Premissas!$A$39:$A$45,0))</f>
        <v/>
      </c>
      <c r="E325" s="22" t="str">
        <f>INDEX(Cronograma!D$5:D$11,MATCH($B325,Premissas!$A$39:$A$45,0))</f>
        <v/>
      </c>
      <c r="F325" s="22" t="str">
        <f>INDEX(Cronograma!E$5:E$11,MATCH($B325,Premissas!$A$39:$A$45,0))</f>
        <v/>
      </c>
      <c r="G325" s="22" t="str">
        <f>INDEX(Cronograma!F$5:F$11,MATCH($B325,Premissas!$A$39:$A$45,0))</f>
        <v/>
      </c>
      <c r="H325" s="22" t="str">
        <f>INDEX(Cronograma!G$5:G$11,MATCH($B325,Premissas!$A$39:$A$45,0))</f>
        <v>S</v>
      </c>
      <c r="I325" s="22" t="str">
        <f>INDEX(Cronograma!H$5:H$11,MATCH($B325,Premissas!$A$39:$A$45,0))</f>
        <v/>
      </c>
      <c r="J325" s="22" t="str">
        <f>INDEX(Cronograma!I$5:I$11,MATCH($B325,Premissas!$A$39:$A$45,0))</f>
        <v/>
      </c>
      <c r="K325" s="22" t="str">
        <f>INDEX(Cronograma!J$5:J$11,MATCH($B325,Premissas!$A$39:$A$45,0))</f>
        <v/>
      </c>
      <c r="L325" s="22" t="str">
        <f>INDEX(Cronograma!K$5:K$11,MATCH($B325,Premissas!$A$39:$A$45,0))</f>
        <v/>
      </c>
      <c r="M325" s="22" t="str">
        <f>INDEX(Cronograma!L$5:L$11,MATCH($B325,Premissas!$A$39:$A$45,0))</f>
        <v/>
      </c>
      <c r="N325" s="22" t="str">
        <f>INDEX(Cronograma!M$5:M$11,MATCH($B325,Premissas!$A$39:$A$45,0))</f>
        <v>A</v>
      </c>
      <c r="O325" s="22" t="str">
        <f>INDEX(Cronograma!N$5:N$11,MATCH($B325,Premissas!$A$39:$A$45,0))</f>
        <v/>
      </c>
      <c r="P325" s="22" t="str">
        <f>INDEX(Cronograma!O$5:O$11,MATCH($B325,Premissas!$A$39:$A$45,0))</f>
        <v/>
      </c>
      <c r="Q325" s="22" t="str">
        <f>INDEX(Cronograma!P$5:P$11,MATCH($B325,Premissas!$A$39:$A$45,0))</f>
        <v/>
      </c>
      <c r="R325" s="22" t="str">
        <f>INDEX(Cronograma!Q$5:Q$11,MATCH($B325,Premissas!$A$39:$A$45,0))</f>
        <v/>
      </c>
      <c r="S325" s="22" t="str">
        <f>INDEX(Cronograma!R$5:R$11,MATCH($B325,Premissas!$A$39:$A$45,0))</f>
        <v>S</v>
      </c>
      <c r="T325" s="22" t="str">
        <f>INDEX(Cronograma!S$5:S$11,MATCH($B325,Premissas!$A$39:$A$45,0))</f>
        <v/>
      </c>
      <c r="U325" s="22" t="str">
        <f>INDEX(Cronograma!T$5:T$11,MATCH($B325,Premissas!$A$39:$A$45,0))</f>
        <v/>
      </c>
      <c r="V325" s="22" t="str">
        <f>INDEX(Cronograma!U$5:U$11,MATCH($B325,Premissas!$A$39:$A$45,0))</f>
        <v/>
      </c>
      <c r="W325" s="22" t="str">
        <f>INDEX(Cronograma!V$5:V$11,MATCH($B325,Premissas!$A$39:$A$45,0))</f>
        <v/>
      </c>
      <c r="X325" s="22" t="str">
        <f>INDEX(Cronograma!W$5:W$11,MATCH($B325,Premissas!$A$39:$A$45,0))</f>
        <v/>
      </c>
      <c r="Y325" s="22" t="str">
        <f>INDEX(Cronograma!X$5:X$11,MATCH($B325,Premissas!$A$39:$A$45,0))</f>
        <v>B</v>
      </c>
      <c r="Z325" s="22" t="str">
        <f>INDEX(Cronograma!Y$5:Y$11,MATCH($B325,Premissas!$A$39:$A$45,0))</f>
        <v/>
      </c>
      <c r="AA325" s="22" t="str">
        <f>INDEX(Cronograma!Z$5:Z$11,MATCH($B325,Premissas!$A$39:$A$45,0))</f>
        <v/>
      </c>
      <c r="AB325" s="22" t="str">
        <f>INDEX(Cronograma!AA$5:AA$11,MATCH($B325,Premissas!$A$39:$A$45,0))</f>
        <v/>
      </c>
      <c r="AC325" s="22" t="str">
        <f>INDEX(Cronograma!AB$5:AB$11,MATCH($B325,Premissas!$A$39:$A$45,0))</f>
        <v/>
      </c>
      <c r="AD325" s="22" t="str">
        <f>INDEX(Cronograma!AC$5:AC$11,MATCH($B325,Premissas!$A$39:$A$45,0))</f>
        <v>S</v>
      </c>
      <c r="AE325" s="22" t="str">
        <f>INDEX(Cronograma!AD$5:AD$11,MATCH($B325,Premissas!$A$39:$A$45,0))</f>
        <v/>
      </c>
      <c r="AF325" s="22" t="str">
        <f>INDEX(Cronograma!AE$5:AE$11,MATCH($B325,Premissas!$A$39:$A$45,0))</f>
        <v/>
      </c>
      <c r="AG325" s="22" t="str">
        <f>INDEX(Cronograma!AF$5:AF$11,MATCH($B325,Premissas!$A$39:$A$45,0))</f>
        <v/>
      </c>
      <c r="AH325" s="22" t="str">
        <f>INDEX(Cronograma!AG$5:AG$11,MATCH($B325,Premissas!$A$39:$A$45,0))</f>
        <v/>
      </c>
      <c r="AI325" s="22" t="str">
        <f>INDEX(Cronograma!AH$5:AH$11,MATCH($B325,Premissas!$A$39:$A$45,0))</f>
        <v/>
      </c>
      <c r="AJ325" s="22" t="str">
        <f>INDEX(Cronograma!AI$5:AI$11,MATCH($B325,Premissas!$A$39:$A$45,0))</f>
        <v/>
      </c>
      <c r="AK325" s="22" t="str">
        <f>INDEX(Cronograma!AJ$5:AJ$11,MATCH($B325,Premissas!$A$39:$A$45,0))</f>
        <v/>
      </c>
      <c r="AL325" s="22" t="str">
        <f>INDEX(Cronograma!AK$5:AK$11,MATCH($B325,Premissas!$A$39:$A$45,0))</f>
        <v/>
      </c>
      <c r="AM325" s="22" t="str">
        <f>INDEX(Cronograma!AL$5:AL$11,MATCH($B325,Premissas!$A$39:$A$45,0))</f>
        <v/>
      </c>
      <c r="AN325" s="22" t="str">
        <f>INDEX(Cronograma!AM$5:AM$11,MATCH($B325,Premissas!$A$39:$A$45,0))</f>
        <v/>
      </c>
      <c r="AO325" s="22" t="str">
        <f>INDEX(Cronograma!AN$5:AN$11,MATCH($B325,Premissas!$A$39:$A$45,0))</f>
        <v/>
      </c>
      <c r="AP325" s="22" t="str">
        <f>INDEX(Cronograma!AO$5:AO$11,MATCH($B325,Premissas!$A$39:$A$45,0))</f>
        <v/>
      </c>
      <c r="AQ325" s="22" t="str">
        <f>INDEX(Cronograma!AP$5:AP$11,MATCH($B325,Premissas!$A$39:$A$45,0))</f>
        <v/>
      </c>
      <c r="AR325" s="22" t="str">
        <f>INDEX(Cronograma!AQ$5:AQ$11,MATCH($B325,Premissas!$A$39:$A$45,0))</f>
        <v>A</v>
      </c>
      <c r="AS325" s="22" t="str">
        <f>INDEX(Cronograma!AR$5:AR$11,MATCH($B325,Premissas!$A$39:$A$45,0))</f>
        <v/>
      </c>
      <c r="AT325" s="22" t="str">
        <f>INDEX(Cronograma!AS$5:AS$11,MATCH($B325,Premissas!$A$39:$A$45,0))</f>
        <v/>
      </c>
      <c r="AU325" s="22" t="str">
        <f>INDEX(Cronograma!AT$5:AT$11,MATCH($B325,Premissas!$A$39:$A$45,0))</f>
        <v/>
      </c>
      <c r="AV325" s="22" t="str">
        <f>INDEX(Cronograma!AU$5:AU$11,MATCH($B325,Premissas!$A$39:$A$45,0))</f>
        <v/>
      </c>
      <c r="AW325" s="22" t="str">
        <f>INDEX(Cronograma!AV$5:AV$11,MATCH($B325,Premissas!$A$39:$A$45,0))</f>
        <v/>
      </c>
      <c r="AX325" s="22" t="str">
        <f>INDEX(Cronograma!AW$5:AW$11,MATCH($B325,Premissas!$A$39:$A$45,0))</f>
        <v/>
      </c>
      <c r="AY325" s="22" t="str">
        <f>INDEX(Cronograma!AX$5:AX$11,MATCH($B325,Premissas!$A$39:$A$45,0))</f>
        <v/>
      </c>
      <c r="AZ325" s="22" t="str">
        <f>INDEX(Cronograma!AY$5:AY$11,MATCH($B325,Premissas!$A$39:$A$45,0))</f>
        <v/>
      </c>
      <c r="BA325" s="22" t="str">
        <f>INDEX(Cronograma!AZ$5:AZ$11,MATCH($B325,Premissas!$A$39:$A$45,0))</f>
        <v/>
      </c>
      <c r="BB325" s="22" t="str">
        <f>INDEX(Cronograma!BA$5:BA$11,MATCH($B325,Premissas!$A$39:$A$45,0))</f>
        <v/>
      </c>
    </row>
    <row r="326" spans="1:54" ht="15" customHeight="1" x14ac:dyDescent="0.4">
      <c r="A326" s="15" t="str">
        <f>Frota!$B326&amp;" — "&amp;Frota!$A326</f>
        <v>Bell SC-800 — 164041</v>
      </c>
      <c r="B326" s="16" t="str">
        <f>Frota!$C326</f>
        <v>Carregadeira/Pesada</v>
      </c>
      <c r="C326" s="22" t="str">
        <f>INDEX(Cronograma!B$5:B$11,MATCH($B326,Premissas!$A$39:$A$45,0))</f>
        <v/>
      </c>
      <c r="D326" s="22" t="str">
        <f>INDEX(Cronograma!C$5:C$11,MATCH($B326,Premissas!$A$39:$A$45,0))</f>
        <v/>
      </c>
      <c r="E326" s="22" t="str">
        <f>INDEX(Cronograma!D$5:D$11,MATCH($B326,Premissas!$A$39:$A$45,0))</f>
        <v/>
      </c>
      <c r="F326" s="22" t="str">
        <f>INDEX(Cronograma!E$5:E$11,MATCH($B326,Premissas!$A$39:$A$45,0))</f>
        <v/>
      </c>
      <c r="G326" s="22" t="str">
        <f>INDEX(Cronograma!F$5:F$11,MATCH($B326,Premissas!$A$39:$A$45,0))</f>
        <v/>
      </c>
      <c r="H326" s="22" t="str">
        <f>INDEX(Cronograma!G$5:G$11,MATCH($B326,Premissas!$A$39:$A$45,0))</f>
        <v>S</v>
      </c>
      <c r="I326" s="22" t="str">
        <f>INDEX(Cronograma!H$5:H$11,MATCH($B326,Premissas!$A$39:$A$45,0))</f>
        <v/>
      </c>
      <c r="J326" s="22" t="str">
        <f>INDEX(Cronograma!I$5:I$11,MATCH($B326,Premissas!$A$39:$A$45,0))</f>
        <v/>
      </c>
      <c r="K326" s="22" t="str">
        <f>INDEX(Cronograma!J$5:J$11,MATCH($B326,Premissas!$A$39:$A$45,0))</f>
        <v/>
      </c>
      <c r="L326" s="22" t="str">
        <f>INDEX(Cronograma!K$5:K$11,MATCH($B326,Premissas!$A$39:$A$45,0))</f>
        <v/>
      </c>
      <c r="M326" s="22" t="str">
        <f>INDEX(Cronograma!L$5:L$11,MATCH($B326,Premissas!$A$39:$A$45,0))</f>
        <v/>
      </c>
      <c r="N326" s="22" t="str">
        <f>INDEX(Cronograma!M$5:M$11,MATCH($B326,Premissas!$A$39:$A$45,0))</f>
        <v>A</v>
      </c>
      <c r="O326" s="22" t="str">
        <f>INDEX(Cronograma!N$5:N$11,MATCH($B326,Premissas!$A$39:$A$45,0))</f>
        <v/>
      </c>
      <c r="P326" s="22" t="str">
        <f>INDEX(Cronograma!O$5:O$11,MATCH($B326,Premissas!$A$39:$A$45,0))</f>
        <v/>
      </c>
      <c r="Q326" s="22" t="str">
        <f>INDEX(Cronograma!P$5:P$11,MATCH($B326,Premissas!$A$39:$A$45,0))</f>
        <v/>
      </c>
      <c r="R326" s="22" t="str">
        <f>INDEX(Cronograma!Q$5:Q$11,MATCH($B326,Premissas!$A$39:$A$45,0))</f>
        <v/>
      </c>
      <c r="S326" s="22" t="str">
        <f>INDEX(Cronograma!R$5:R$11,MATCH($B326,Premissas!$A$39:$A$45,0))</f>
        <v>S</v>
      </c>
      <c r="T326" s="22" t="str">
        <f>INDEX(Cronograma!S$5:S$11,MATCH($B326,Premissas!$A$39:$A$45,0))</f>
        <v/>
      </c>
      <c r="U326" s="22" t="str">
        <f>INDEX(Cronograma!T$5:T$11,MATCH($B326,Premissas!$A$39:$A$45,0))</f>
        <v/>
      </c>
      <c r="V326" s="22" t="str">
        <f>INDEX(Cronograma!U$5:U$11,MATCH($B326,Premissas!$A$39:$A$45,0))</f>
        <v/>
      </c>
      <c r="W326" s="22" t="str">
        <f>INDEX(Cronograma!V$5:V$11,MATCH($B326,Premissas!$A$39:$A$45,0))</f>
        <v/>
      </c>
      <c r="X326" s="22" t="str">
        <f>INDEX(Cronograma!W$5:W$11,MATCH($B326,Premissas!$A$39:$A$45,0))</f>
        <v/>
      </c>
      <c r="Y326" s="22" t="str">
        <f>INDEX(Cronograma!X$5:X$11,MATCH($B326,Premissas!$A$39:$A$45,0))</f>
        <v>B</v>
      </c>
      <c r="Z326" s="22" t="str">
        <f>INDEX(Cronograma!Y$5:Y$11,MATCH($B326,Premissas!$A$39:$A$45,0))</f>
        <v/>
      </c>
      <c r="AA326" s="22" t="str">
        <f>INDEX(Cronograma!Z$5:Z$11,MATCH($B326,Premissas!$A$39:$A$45,0))</f>
        <v/>
      </c>
      <c r="AB326" s="22" t="str">
        <f>INDEX(Cronograma!AA$5:AA$11,MATCH($B326,Premissas!$A$39:$A$45,0))</f>
        <v/>
      </c>
      <c r="AC326" s="22" t="str">
        <f>INDEX(Cronograma!AB$5:AB$11,MATCH($B326,Premissas!$A$39:$A$45,0))</f>
        <v/>
      </c>
      <c r="AD326" s="22" t="str">
        <f>INDEX(Cronograma!AC$5:AC$11,MATCH($B326,Premissas!$A$39:$A$45,0))</f>
        <v>S</v>
      </c>
      <c r="AE326" s="22" t="str">
        <f>INDEX(Cronograma!AD$5:AD$11,MATCH($B326,Premissas!$A$39:$A$45,0))</f>
        <v/>
      </c>
      <c r="AF326" s="22" t="str">
        <f>INDEX(Cronograma!AE$5:AE$11,MATCH($B326,Premissas!$A$39:$A$45,0))</f>
        <v/>
      </c>
      <c r="AG326" s="22" t="str">
        <f>INDEX(Cronograma!AF$5:AF$11,MATCH($B326,Premissas!$A$39:$A$45,0))</f>
        <v/>
      </c>
      <c r="AH326" s="22" t="str">
        <f>INDEX(Cronograma!AG$5:AG$11,MATCH($B326,Premissas!$A$39:$A$45,0))</f>
        <v/>
      </c>
      <c r="AI326" s="22" t="str">
        <f>INDEX(Cronograma!AH$5:AH$11,MATCH($B326,Premissas!$A$39:$A$45,0))</f>
        <v/>
      </c>
      <c r="AJ326" s="22" t="str">
        <f>INDEX(Cronograma!AI$5:AI$11,MATCH($B326,Premissas!$A$39:$A$45,0))</f>
        <v/>
      </c>
      <c r="AK326" s="22" t="str">
        <f>INDEX(Cronograma!AJ$5:AJ$11,MATCH($B326,Premissas!$A$39:$A$45,0))</f>
        <v/>
      </c>
      <c r="AL326" s="22" t="str">
        <f>INDEX(Cronograma!AK$5:AK$11,MATCH($B326,Premissas!$A$39:$A$45,0))</f>
        <v/>
      </c>
      <c r="AM326" s="22" t="str">
        <f>INDEX(Cronograma!AL$5:AL$11,MATCH($B326,Premissas!$A$39:$A$45,0))</f>
        <v/>
      </c>
      <c r="AN326" s="22" t="str">
        <f>INDEX(Cronograma!AM$5:AM$11,MATCH($B326,Premissas!$A$39:$A$45,0))</f>
        <v/>
      </c>
      <c r="AO326" s="22" t="str">
        <f>INDEX(Cronograma!AN$5:AN$11,MATCH($B326,Premissas!$A$39:$A$45,0))</f>
        <v/>
      </c>
      <c r="AP326" s="22" t="str">
        <f>INDEX(Cronograma!AO$5:AO$11,MATCH($B326,Premissas!$A$39:$A$45,0))</f>
        <v/>
      </c>
      <c r="AQ326" s="22" t="str">
        <f>INDEX(Cronograma!AP$5:AP$11,MATCH($B326,Premissas!$A$39:$A$45,0))</f>
        <v/>
      </c>
      <c r="AR326" s="22" t="str">
        <f>INDEX(Cronograma!AQ$5:AQ$11,MATCH($B326,Premissas!$A$39:$A$45,0))</f>
        <v>A</v>
      </c>
      <c r="AS326" s="22" t="str">
        <f>INDEX(Cronograma!AR$5:AR$11,MATCH($B326,Premissas!$A$39:$A$45,0))</f>
        <v/>
      </c>
      <c r="AT326" s="22" t="str">
        <f>INDEX(Cronograma!AS$5:AS$11,MATCH($B326,Premissas!$A$39:$A$45,0))</f>
        <v/>
      </c>
      <c r="AU326" s="22" t="str">
        <f>INDEX(Cronograma!AT$5:AT$11,MATCH($B326,Premissas!$A$39:$A$45,0))</f>
        <v/>
      </c>
      <c r="AV326" s="22" t="str">
        <f>INDEX(Cronograma!AU$5:AU$11,MATCH($B326,Premissas!$A$39:$A$45,0))</f>
        <v/>
      </c>
      <c r="AW326" s="22" t="str">
        <f>INDEX(Cronograma!AV$5:AV$11,MATCH($B326,Premissas!$A$39:$A$45,0))</f>
        <v/>
      </c>
      <c r="AX326" s="22" t="str">
        <f>INDEX(Cronograma!AW$5:AW$11,MATCH($B326,Premissas!$A$39:$A$45,0))</f>
        <v/>
      </c>
      <c r="AY326" s="22" t="str">
        <f>INDEX(Cronograma!AX$5:AX$11,MATCH($B326,Premissas!$A$39:$A$45,0))</f>
        <v/>
      </c>
      <c r="AZ326" s="22" t="str">
        <f>INDEX(Cronograma!AY$5:AY$11,MATCH($B326,Premissas!$A$39:$A$45,0))</f>
        <v/>
      </c>
      <c r="BA326" s="22" t="str">
        <f>INDEX(Cronograma!AZ$5:AZ$11,MATCH($B326,Premissas!$A$39:$A$45,0))</f>
        <v/>
      </c>
      <c r="BB326" s="22" t="str">
        <f>INDEX(Cronograma!BA$5:BA$11,MATCH($B326,Premissas!$A$39:$A$45,0))</f>
        <v/>
      </c>
    </row>
    <row r="327" spans="1:54" ht="15" customHeight="1" x14ac:dyDescent="0.4">
      <c r="A327" s="15" t="str">
        <f>Frota!$B327&amp;" — "&amp;Frota!$A327</f>
        <v>Bell SC-800 — 164042</v>
      </c>
      <c r="B327" s="16" t="str">
        <f>Frota!$C327</f>
        <v>Carregadeira/Pesada</v>
      </c>
      <c r="C327" s="22" t="str">
        <f>INDEX(Cronograma!B$5:B$11,MATCH($B327,Premissas!$A$39:$A$45,0))</f>
        <v/>
      </c>
      <c r="D327" s="22" t="str">
        <f>INDEX(Cronograma!C$5:C$11,MATCH($B327,Premissas!$A$39:$A$45,0))</f>
        <v/>
      </c>
      <c r="E327" s="22" t="str">
        <f>INDEX(Cronograma!D$5:D$11,MATCH($B327,Premissas!$A$39:$A$45,0))</f>
        <v/>
      </c>
      <c r="F327" s="22" t="str">
        <f>INDEX(Cronograma!E$5:E$11,MATCH($B327,Premissas!$A$39:$A$45,0))</f>
        <v/>
      </c>
      <c r="G327" s="22" t="str">
        <f>INDEX(Cronograma!F$5:F$11,MATCH($B327,Premissas!$A$39:$A$45,0))</f>
        <v/>
      </c>
      <c r="H327" s="22" t="str">
        <f>INDEX(Cronograma!G$5:G$11,MATCH($B327,Premissas!$A$39:$A$45,0))</f>
        <v>S</v>
      </c>
      <c r="I327" s="22" t="str">
        <f>INDEX(Cronograma!H$5:H$11,MATCH($B327,Premissas!$A$39:$A$45,0))</f>
        <v/>
      </c>
      <c r="J327" s="22" t="str">
        <f>INDEX(Cronograma!I$5:I$11,MATCH($B327,Premissas!$A$39:$A$45,0))</f>
        <v/>
      </c>
      <c r="K327" s="22" t="str">
        <f>INDEX(Cronograma!J$5:J$11,MATCH($B327,Premissas!$A$39:$A$45,0))</f>
        <v/>
      </c>
      <c r="L327" s="22" t="str">
        <f>INDEX(Cronograma!K$5:K$11,MATCH($B327,Premissas!$A$39:$A$45,0))</f>
        <v/>
      </c>
      <c r="M327" s="22" t="str">
        <f>INDEX(Cronograma!L$5:L$11,MATCH($B327,Premissas!$A$39:$A$45,0))</f>
        <v/>
      </c>
      <c r="N327" s="22" t="str">
        <f>INDEX(Cronograma!M$5:M$11,MATCH($B327,Premissas!$A$39:$A$45,0))</f>
        <v>A</v>
      </c>
      <c r="O327" s="22" t="str">
        <f>INDEX(Cronograma!N$5:N$11,MATCH($B327,Premissas!$A$39:$A$45,0))</f>
        <v/>
      </c>
      <c r="P327" s="22" t="str">
        <f>INDEX(Cronograma!O$5:O$11,MATCH($B327,Premissas!$A$39:$A$45,0))</f>
        <v/>
      </c>
      <c r="Q327" s="22" t="str">
        <f>INDEX(Cronograma!P$5:P$11,MATCH($B327,Premissas!$A$39:$A$45,0))</f>
        <v/>
      </c>
      <c r="R327" s="22" t="str">
        <f>INDEX(Cronograma!Q$5:Q$11,MATCH($B327,Premissas!$A$39:$A$45,0))</f>
        <v/>
      </c>
      <c r="S327" s="22" t="str">
        <f>INDEX(Cronograma!R$5:R$11,MATCH($B327,Premissas!$A$39:$A$45,0))</f>
        <v>S</v>
      </c>
      <c r="T327" s="22" t="str">
        <f>INDEX(Cronograma!S$5:S$11,MATCH($B327,Premissas!$A$39:$A$45,0))</f>
        <v/>
      </c>
      <c r="U327" s="22" t="str">
        <f>INDEX(Cronograma!T$5:T$11,MATCH($B327,Premissas!$A$39:$A$45,0))</f>
        <v/>
      </c>
      <c r="V327" s="22" t="str">
        <f>INDEX(Cronograma!U$5:U$11,MATCH($B327,Premissas!$A$39:$A$45,0))</f>
        <v/>
      </c>
      <c r="W327" s="22" t="str">
        <f>INDEX(Cronograma!V$5:V$11,MATCH($B327,Premissas!$A$39:$A$45,0))</f>
        <v/>
      </c>
      <c r="X327" s="22" t="str">
        <f>INDEX(Cronograma!W$5:W$11,MATCH($B327,Premissas!$A$39:$A$45,0))</f>
        <v/>
      </c>
      <c r="Y327" s="22" t="str">
        <f>INDEX(Cronograma!X$5:X$11,MATCH($B327,Premissas!$A$39:$A$45,0))</f>
        <v>B</v>
      </c>
      <c r="Z327" s="22" t="str">
        <f>INDEX(Cronograma!Y$5:Y$11,MATCH($B327,Premissas!$A$39:$A$45,0))</f>
        <v/>
      </c>
      <c r="AA327" s="22" t="str">
        <f>INDEX(Cronograma!Z$5:Z$11,MATCH($B327,Premissas!$A$39:$A$45,0))</f>
        <v/>
      </c>
      <c r="AB327" s="22" t="str">
        <f>INDEX(Cronograma!AA$5:AA$11,MATCH($B327,Premissas!$A$39:$A$45,0))</f>
        <v/>
      </c>
      <c r="AC327" s="22" t="str">
        <f>INDEX(Cronograma!AB$5:AB$11,MATCH($B327,Premissas!$A$39:$A$45,0))</f>
        <v/>
      </c>
      <c r="AD327" s="22" t="str">
        <f>INDEX(Cronograma!AC$5:AC$11,MATCH($B327,Premissas!$A$39:$A$45,0))</f>
        <v>S</v>
      </c>
      <c r="AE327" s="22" t="str">
        <f>INDEX(Cronograma!AD$5:AD$11,MATCH($B327,Premissas!$A$39:$A$45,0))</f>
        <v/>
      </c>
      <c r="AF327" s="22" t="str">
        <f>INDEX(Cronograma!AE$5:AE$11,MATCH($B327,Premissas!$A$39:$A$45,0))</f>
        <v/>
      </c>
      <c r="AG327" s="22" t="str">
        <f>INDEX(Cronograma!AF$5:AF$11,MATCH($B327,Premissas!$A$39:$A$45,0))</f>
        <v/>
      </c>
      <c r="AH327" s="22" t="str">
        <f>INDEX(Cronograma!AG$5:AG$11,MATCH($B327,Premissas!$A$39:$A$45,0))</f>
        <v/>
      </c>
      <c r="AI327" s="22" t="str">
        <f>INDEX(Cronograma!AH$5:AH$11,MATCH($B327,Premissas!$A$39:$A$45,0))</f>
        <v/>
      </c>
      <c r="AJ327" s="22" t="str">
        <f>INDEX(Cronograma!AI$5:AI$11,MATCH($B327,Premissas!$A$39:$A$45,0))</f>
        <v/>
      </c>
      <c r="AK327" s="22" t="str">
        <f>INDEX(Cronograma!AJ$5:AJ$11,MATCH($B327,Premissas!$A$39:$A$45,0))</f>
        <v/>
      </c>
      <c r="AL327" s="22" t="str">
        <f>INDEX(Cronograma!AK$5:AK$11,MATCH($B327,Premissas!$A$39:$A$45,0))</f>
        <v/>
      </c>
      <c r="AM327" s="22" t="str">
        <f>INDEX(Cronograma!AL$5:AL$11,MATCH($B327,Premissas!$A$39:$A$45,0))</f>
        <v/>
      </c>
      <c r="AN327" s="22" t="str">
        <f>INDEX(Cronograma!AM$5:AM$11,MATCH($B327,Premissas!$A$39:$A$45,0))</f>
        <v/>
      </c>
      <c r="AO327" s="22" t="str">
        <f>INDEX(Cronograma!AN$5:AN$11,MATCH($B327,Premissas!$A$39:$A$45,0))</f>
        <v/>
      </c>
      <c r="AP327" s="22" t="str">
        <f>INDEX(Cronograma!AO$5:AO$11,MATCH($B327,Premissas!$A$39:$A$45,0))</f>
        <v/>
      </c>
      <c r="AQ327" s="22" t="str">
        <f>INDEX(Cronograma!AP$5:AP$11,MATCH($B327,Premissas!$A$39:$A$45,0))</f>
        <v/>
      </c>
      <c r="AR327" s="22" t="str">
        <f>INDEX(Cronograma!AQ$5:AQ$11,MATCH($B327,Premissas!$A$39:$A$45,0))</f>
        <v>A</v>
      </c>
      <c r="AS327" s="22" t="str">
        <f>INDEX(Cronograma!AR$5:AR$11,MATCH($B327,Premissas!$A$39:$A$45,0))</f>
        <v/>
      </c>
      <c r="AT327" s="22" t="str">
        <f>INDEX(Cronograma!AS$5:AS$11,MATCH($B327,Premissas!$A$39:$A$45,0))</f>
        <v/>
      </c>
      <c r="AU327" s="22" t="str">
        <f>INDEX(Cronograma!AT$5:AT$11,MATCH($B327,Premissas!$A$39:$A$45,0))</f>
        <v/>
      </c>
      <c r="AV327" s="22" t="str">
        <f>INDEX(Cronograma!AU$5:AU$11,MATCH($B327,Premissas!$A$39:$A$45,0))</f>
        <v/>
      </c>
      <c r="AW327" s="22" t="str">
        <f>INDEX(Cronograma!AV$5:AV$11,MATCH($B327,Premissas!$A$39:$A$45,0))</f>
        <v/>
      </c>
      <c r="AX327" s="22" t="str">
        <f>INDEX(Cronograma!AW$5:AW$11,MATCH($B327,Premissas!$A$39:$A$45,0))</f>
        <v/>
      </c>
      <c r="AY327" s="22" t="str">
        <f>INDEX(Cronograma!AX$5:AX$11,MATCH($B327,Premissas!$A$39:$A$45,0))</f>
        <v/>
      </c>
      <c r="AZ327" s="22" t="str">
        <f>INDEX(Cronograma!AY$5:AY$11,MATCH($B327,Premissas!$A$39:$A$45,0))</f>
        <v/>
      </c>
      <c r="BA327" s="22" t="str">
        <f>INDEX(Cronograma!AZ$5:AZ$11,MATCH($B327,Premissas!$A$39:$A$45,0))</f>
        <v/>
      </c>
      <c r="BB327" s="22" t="str">
        <f>INDEX(Cronograma!BA$5:BA$11,MATCH($B327,Premissas!$A$39:$A$45,0))</f>
        <v/>
      </c>
    </row>
    <row r="328" spans="1:54" ht="15" customHeight="1" x14ac:dyDescent="0.4">
      <c r="A328" s="15" t="str">
        <f>Frota!$B328&amp;" — "&amp;Frota!$A328</f>
        <v>Bell SC-800 — 164043</v>
      </c>
      <c r="B328" s="16" t="str">
        <f>Frota!$C328</f>
        <v>Carregadeira/Pesada</v>
      </c>
      <c r="C328" s="22" t="str">
        <f>INDEX(Cronograma!B$5:B$11,MATCH($B328,Premissas!$A$39:$A$45,0))</f>
        <v/>
      </c>
      <c r="D328" s="22" t="str">
        <f>INDEX(Cronograma!C$5:C$11,MATCH($B328,Premissas!$A$39:$A$45,0))</f>
        <v/>
      </c>
      <c r="E328" s="22" t="str">
        <f>INDEX(Cronograma!D$5:D$11,MATCH($B328,Premissas!$A$39:$A$45,0))</f>
        <v/>
      </c>
      <c r="F328" s="22" t="str">
        <f>INDEX(Cronograma!E$5:E$11,MATCH($B328,Premissas!$A$39:$A$45,0))</f>
        <v/>
      </c>
      <c r="G328" s="22" t="str">
        <f>INDEX(Cronograma!F$5:F$11,MATCH($B328,Premissas!$A$39:$A$45,0))</f>
        <v/>
      </c>
      <c r="H328" s="22" t="str">
        <f>INDEX(Cronograma!G$5:G$11,MATCH($B328,Premissas!$A$39:$A$45,0))</f>
        <v>S</v>
      </c>
      <c r="I328" s="22" t="str">
        <f>INDEX(Cronograma!H$5:H$11,MATCH($B328,Premissas!$A$39:$A$45,0))</f>
        <v/>
      </c>
      <c r="J328" s="22" t="str">
        <f>INDEX(Cronograma!I$5:I$11,MATCH($B328,Premissas!$A$39:$A$45,0))</f>
        <v/>
      </c>
      <c r="K328" s="22" t="str">
        <f>INDEX(Cronograma!J$5:J$11,MATCH($B328,Premissas!$A$39:$A$45,0))</f>
        <v/>
      </c>
      <c r="L328" s="22" t="str">
        <f>INDEX(Cronograma!K$5:K$11,MATCH($B328,Premissas!$A$39:$A$45,0))</f>
        <v/>
      </c>
      <c r="M328" s="22" t="str">
        <f>INDEX(Cronograma!L$5:L$11,MATCH($B328,Premissas!$A$39:$A$45,0))</f>
        <v/>
      </c>
      <c r="N328" s="22" t="str">
        <f>INDEX(Cronograma!M$5:M$11,MATCH($B328,Premissas!$A$39:$A$45,0))</f>
        <v>A</v>
      </c>
      <c r="O328" s="22" t="str">
        <f>INDEX(Cronograma!N$5:N$11,MATCH($B328,Premissas!$A$39:$A$45,0))</f>
        <v/>
      </c>
      <c r="P328" s="22" t="str">
        <f>INDEX(Cronograma!O$5:O$11,MATCH($B328,Premissas!$A$39:$A$45,0))</f>
        <v/>
      </c>
      <c r="Q328" s="22" t="str">
        <f>INDEX(Cronograma!P$5:P$11,MATCH($B328,Premissas!$A$39:$A$45,0))</f>
        <v/>
      </c>
      <c r="R328" s="22" t="str">
        <f>INDEX(Cronograma!Q$5:Q$11,MATCH($B328,Premissas!$A$39:$A$45,0))</f>
        <v/>
      </c>
      <c r="S328" s="22" t="str">
        <f>INDEX(Cronograma!R$5:R$11,MATCH($B328,Premissas!$A$39:$A$45,0))</f>
        <v>S</v>
      </c>
      <c r="T328" s="22" t="str">
        <f>INDEX(Cronograma!S$5:S$11,MATCH($B328,Premissas!$A$39:$A$45,0))</f>
        <v/>
      </c>
      <c r="U328" s="22" t="str">
        <f>INDEX(Cronograma!T$5:T$11,MATCH($B328,Premissas!$A$39:$A$45,0))</f>
        <v/>
      </c>
      <c r="V328" s="22" t="str">
        <f>INDEX(Cronograma!U$5:U$11,MATCH($B328,Premissas!$A$39:$A$45,0))</f>
        <v/>
      </c>
      <c r="W328" s="22" t="str">
        <f>INDEX(Cronograma!V$5:V$11,MATCH($B328,Premissas!$A$39:$A$45,0))</f>
        <v/>
      </c>
      <c r="X328" s="22" t="str">
        <f>INDEX(Cronograma!W$5:W$11,MATCH($B328,Premissas!$A$39:$A$45,0))</f>
        <v/>
      </c>
      <c r="Y328" s="22" t="str">
        <f>INDEX(Cronograma!X$5:X$11,MATCH($B328,Premissas!$A$39:$A$45,0))</f>
        <v>B</v>
      </c>
      <c r="Z328" s="22" t="str">
        <f>INDEX(Cronograma!Y$5:Y$11,MATCH($B328,Premissas!$A$39:$A$45,0))</f>
        <v/>
      </c>
      <c r="AA328" s="22" t="str">
        <f>INDEX(Cronograma!Z$5:Z$11,MATCH($B328,Premissas!$A$39:$A$45,0))</f>
        <v/>
      </c>
      <c r="AB328" s="22" t="str">
        <f>INDEX(Cronograma!AA$5:AA$11,MATCH($B328,Premissas!$A$39:$A$45,0))</f>
        <v/>
      </c>
      <c r="AC328" s="22" t="str">
        <f>INDEX(Cronograma!AB$5:AB$11,MATCH($B328,Premissas!$A$39:$A$45,0))</f>
        <v/>
      </c>
      <c r="AD328" s="22" t="str">
        <f>INDEX(Cronograma!AC$5:AC$11,MATCH($B328,Premissas!$A$39:$A$45,0))</f>
        <v>S</v>
      </c>
      <c r="AE328" s="22" t="str">
        <f>INDEX(Cronograma!AD$5:AD$11,MATCH($B328,Premissas!$A$39:$A$45,0))</f>
        <v/>
      </c>
      <c r="AF328" s="22" t="str">
        <f>INDEX(Cronograma!AE$5:AE$11,MATCH($B328,Premissas!$A$39:$A$45,0))</f>
        <v/>
      </c>
      <c r="AG328" s="22" t="str">
        <f>INDEX(Cronograma!AF$5:AF$11,MATCH($B328,Premissas!$A$39:$A$45,0))</f>
        <v/>
      </c>
      <c r="AH328" s="22" t="str">
        <f>INDEX(Cronograma!AG$5:AG$11,MATCH($B328,Premissas!$A$39:$A$45,0))</f>
        <v/>
      </c>
      <c r="AI328" s="22" t="str">
        <f>INDEX(Cronograma!AH$5:AH$11,MATCH($B328,Premissas!$A$39:$A$45,0))</f>
        <v/>
      </c>
      <c r="AJ328" s="22" t="str">
        <f>INDEX(Cronograma!AI$5:AI$11,MATCH($B328,Premissas!$A$39:$A$45,0))</f>
        <v/>
      </c>
      <c r="AK328" s="22" t="str">
        <f>INDEX(Cronograma!AJ$5:AJ$11,MATCH($B328,Premissas!$A$39:$A$45,0))</f>
        <v/>
      </c>
      <c r="AL328" s="22" t="str">
        <f>INDEX(Cronograma!AK$5:AK$11,MATCH($B328,Premissas!$A$39:$A$45,0))</f>
        <v/>
      </c>
      <c r="AM328" s="22" t="str">
        <f>INDEX(Cronograma!AL$5:AL$11,MATCH($B328,Premissas!$A$39:$A$45,0))</f>
        <v/>
      </c>
      <c r="AN328" s="22" t="str">
        <f>INDEX(Cronograma!AM$5:AM$11,MATCH($B328,Premissas!$A$39:$A$45,0))</f>
        <v/>
      </c>
      <c r="AO328" s="22" t="str">
        <f>INDEX(Cronograma!AN$5:AN$11,MATCH($B328,Premissas!$A$39:$A$45,0))</f>
        <v/>
      </c>
      <c r="AP328" s="22" t="str">
        <f>INDEX(Cronograma!AO$5:AO$11,MATCH($B328,Premissas!$A$39:$A$45,0))</f>
        <v/>
      </c>
      <c r="AQ328" s="22" t="str">
        <f>INDEX(Cronograma!AP$5:AP$11,MATCH($B328,Premissas!$A$39:$A$45,0))</f>
        <v/>
      </c>
      <c r="AR328" s="22" t="str">
        <f>INDEX(Cronograma!AQ$5:AQ$11,MATCH($B328,Premissas!$A$39:$A$45,0))</f>
        <v>A</v>
      </c>
      <c r="AS328" s="22" t="str">
        <f>INDEX(Cronograma!AR$5:AR$11,MATCH($B328,Premissas!$A$39:$A$45,0))</f>
        <v/>
      </c>
      <c r="AT328" s="22" t="str">
        <f>INDEX(Cronograma!AS$5:AS$11,MATCH($B328,Premissas!$A$39:$A$45,0))</f>
        <v/>
      </c>
      <c r="AU328" s="22" t="str">
        <f>INDEX(Cronograma!AT$5:AT$11,MATCH($B328,Premissas!$A$39:$A$45,0))</f>
        <v/>
      </c>
      <c r="AV328" s="22" t="str">
        <f>INDEX(Cronograma!AU$5:AU$11,MATCH($B328,Premissas!$A$39:$A$45,0))</f>
        <v/>
      </c>
      <c r="AW328" s="22" t="str">
        <f>INDEX(Cronograma!AV$5:AV$11,MATCH($B328,Premissas!$A$39:$A$45,0))</f>
        <v/>
      </c>
      <c r="AX328" s="22" t="str">
        <f>INDEX(Cronograma!AW$5:AW$11,MATCH($B328,Premissas!$A$39:$A$45,0))</f>
        <v/>
      </c>
      <c r="AY328" s="22" t="str">
        <f>INDEX(Cronograma!AX$5:AX$11,MATCH($B328,Premissas!$A$39:$A$45,0))</f>
        <v/>
      </c>
      <c r="AZ328" s="22" t="str">
        <f>INDEX(Cronograma!AY$5:AY$11,MATCH($B328,Premissas!$A$39:$A$45,0))</f>
        <v/>
      </c>
      <c r="BA328" s="22" t="str">
        <f>INDEX(Cronograma!AZ$5:AZ$11,MATCH($B328,Premissas!$A$39:$A$45,0))</f>
        <v/>
      </c>
      <c r="BB328" s="22" t="str">
        <f>INDEX(Cronograma!BA$5:BA$11,MATCH($B328,Premissas!$A$39:$A$45,0))</f>
        <v/>
      </c>
    </row>
    <row r="329" spans="1:54" ht="15" customHeight="1" x14ac:dyDescent="0.4">
      <c r="A329" s="15" t="str">
        <f>Frota!$B329&amp;" — "&amp;Frota!$A329</f>
        <v>Bell SC-800 — 164048</v>
      </c>
      <c r="B329" s="16" t="str">
        <f>Frota!$C329</f>
        <v>Carregadeira/Pesada</v>
      </c>
      <c r="C329" s="22" t="str">
        <f>INDEX(Cronograma!B$5:B$11,MATCH($B329,Premissas!$A$39:$A$45,0))</f>
        <v/>
      </c>
      <c r="D329" s="22" t="str">
        <f>INDEX(Cronograma!C$5:C$11,MATCH($B329,Premissas!$A$39:$A$45,0))</f>
        <v/>
      </c>
      <c r="E329" s="22" t="str">
        <f>INDEX(Cronograma!D$5:D$11,MATCH($B329,Premissas!$A$39:$A$45,0))</f>
        <v/>
      </c>
      <c r="F329" s="22" t="str">
        <f>INDEX(Cronograma!E$5:E$11,MATCH($B329,Premissas!$A$39:$A$45,0))</f>
        <v/>
      </c>
      <c r="G329" s="22" t="str">
        <f>INDEX(Cronograma!F$5:F$11,MATCH($B329,Premissas!$A$39:$A$45,0))</f>
        <v/>
      </c>
      <c r="H329" s="22" t="str">
        <f>INDEX(Cronograma!G$5:G$11,MATCH($B329,Premissas!$A$39:$A$45,0))</f>
        <v>S</v>
      </c>
      <c r="I329" s="22" t="str">
        <f>INDEX(Cronograma!H$5:H$11,MATCH($B329,Premissas!$A$39:$A$45,0))</f>
        <v/>
      </c>
      <c r="J329" s="22" t="str">
        <f>INDEX(Cronograma!I$5:I$11,MATCH($B329,Premissas!$A$39:$A$45,0))</f>
        <v/>
      </c>
      <c r="K329" s="22" t="str">
        <f>INDEX(Cronograma!J$5:J$11,MATCH($B329,Premissas!$A$39:$A$45,0))</f>
        <v/>
      </c>
      <c r="L329" s="22" t="str">
        <f>INDEX(Cronograma!K$5:K$11,MATCH($B329,Premissas!$A$39:$A$45,0))</f>
        <v/>
      </c>
      <c r="M329" s="22" t="str">
        <f>INDEX(Cronograma!L$5:L$11,MATCH($B329,Premissas!$A$39:$A$45,0))</f>
        <v/>
      </c>
      <c r="N329" s="22" t="str">
        <f>INDEX(Cronograma!M$5:M$11,MATCH($B329,Premissas!$A$39:$A$45,0))</f>
        <v>A</v>
      </c>
      <c r="O329" s="22" t="str">
        <f>INDEX(Cronograma!N$5:N$11,MATCH($B329,Premissas!$A$39:$A$45,0))</f>
        <v/>
      </c>
      <c r="P329" s="22" t="str">
        <f>INDEX(Cronograma!O$5:O$11,MATCH($B329,Premissas!$A$39:$A$45,0))</f>
        <v/>
      </c>
      <c r="Q329" s="22" t="str">
        <f>INDEX(Cronograma!P$5:P$11,MATCH($B329,Premissas!$A$39:$A$45,0))</f>
        <v/>
      </c>
      <c r="R329" s="22" t="str">
        <f>INDEX(Cronograma!Q$5:Q$11,MATCH($B329,Premissas!$A$39:$A$45,0))</f>
        <v/>
      </c>
      <c r="S329" s="22" t="str">
        <f>INDEX(Cronograma!R$5:R$11,MATCH($B329,Premissas!$A$39:$A$45,0))</f>
        <v>S</v>
      </c>
      <c r="T329" s="22" t="str">
        <f>INDEX(Cronograma!S$5:S$11,MATCH($B329,Premissas!$A$39:$A$45,0))</f>
        <v/>
      </c>
      <c r="U329" s="22" t="str">
        <f>INDEX(Cronograma!T$5:T$11,MATCH($B329,Premissas!$A$39:$A$45,0))</f>
        <v/>
      </c>
      <c r="V329" s="22" t="str">
        <f>INDEX(Cronograma!U$5:U$11,MATCH($B329,Premissas!$A$39:$A$45,0))</f>
        <v/>
      </c>
      <c r="W329" s="22" t="str">
        <f>INDEX(Cronograma!V$5:V$11,MATCH($B329,Premissas!$A$39:$A$45,0))</f>
        <v/>
      </c>
      <c r="X329" s="22" t="str">
        <f>INDEX(Cronograma!W$5:W$11,MATCH($B329,Premissas!$A$39:$A$45,0))</f>
        <v/>
      </c>
      <c r="Y329" s="22" t="str">
        <f>INDEX(Cronograma!X$5:X$11,MATCH($B329,Premissas!$A$39:$A$45,0))</f>
        <v>B</v>
      </c>
      <c r="Z329" s="22" t="str">
        <f>INDEX(Cronograma!Y$5:Y$11,MATCH($B329,Premissas!$A$39:$A$45,0))</f>
        <v/>
      </c>
      <c r="AA329" s="22" t="str">
        <f>INDEX(Cronograma!Z$5:Z$11,MATCH($B329,Premissas!$A$39:$A$45,0))</f>
        <v/>
      </c>
      <c r="AB329" s="22" t="str">
        <f>INDEX(Cronograma!AA$5:AA$11,MATCH($B329,Premissas!$A$39:$A$45,0))</f>
        <v/>
      </c>
      <c r="AC329" s="22" t="str">
        <f>INDEX(Cronograma!AB$5:AB$11,MATCH($B329,Premissas!$A$39:$A$45,0))</f>
        <v/>
      </c>
      <c r="AD329" s="22" t="str">
        <f>INDEX(Cronograma!AC$5:AC$11,MATCH($B329,Premissas!$A$39:$A$45,0))</f>
        <v>S</v>
      </c>
      <c r="AE329" s="22" t="str">
        <f>INDEX(Cronograma!AD$5:AD$11,MATCH($B329,Premissas!$A$39:$A$45,0))</f>
        <v/>
      </c>
      <c r="AF329" s="22" t="str">
        <f>INDEX(Cronograma!AE$5:AE$11,MATCH($B329,Premissas!$A$39:$A$45,0))</f>
        <v/>
      </c>
      <c r="AG329" s="22" t="str">
        <f>INDEX(Cronograma!AF$5:AF$11,MATCH($B329,Premissas!$A$39:$A$45,0))</f>
        <v/>
      </c>
      <c r="AH329" s="22" t="str">
        <f>INDEX(Cronograma!AG$5:AG$11,MATCH($B329,Premissas!$A$39:$A$45,0))</f>
        <v/>
      </c>
      <c r="AI329" s="22" t="str">
        <f>INDEX(Cronograma!AH$5:AH$11,MATCH($B329,Premissas!$A$39:$A$45,0))</f>
        <v/>
      </c>
      <c r="AJ329" s="22" t="str">
        <f>INDEX(Cronograma!AI$5:AI$11,MATCH($B329,Premissas!$A$39:$A$45,0))</f>
        <v/>
      </c>
      <c r="AK329" s="22" t="str">
        <f>INDEX(Cronograma!AJ$5:AJ$11,MATCH($B329,Premissas!$A$39:$A$45,0))</f>
        <v/>
      </c>
      <c r="AL329" s="22" t="str">
        <f>INDEX(Cronograma!AK$5:AK$11,MATCH($B329,Premissas!$A$39:$A$45,0))</f>
        <v/>
      </c>
      <c r="AM329" s="22" t="str">
        <f>INDEX(Cronograma!AL$5:AL$11,MATCH($B329,Premissas!$A$39:$A$45,0))</f>
        <v/>
      </c>
      <c r="AN329" s="22" t="str">
        <f>INDEX(Cronograma!AM$5:AM$11,MATCH($B329,Premissas!$A$39:$A$45,0))</f>
        <v/>
      </c>
      <c r="AO329" s="22" t="str">
        <f>INDEX(Cronograma!AN$5:AN$11,MATCH($B329,Premissas!$A$39:$A$45,0))</f>
        <v/>
      </c>
      <c r="AP329" s="22" t="str">
        <f>INDEX(Cronograma!AO$5:AO$11,MATCH($B329,Premissas!$A$39:$A$45,0))</f>
        <v/>
      </c>
      <c r="AQ329" s="22" t="str">
        <f>INDEX(Cronograma!AP$5:AP$11,MATCH($B329,Premissas!$A$39:$A$45,0))</f>
        <v/>
      </c>
      <c r="AR329" s="22" t="str">
        <f>INDEX(Cronograma!AQ$5:AQ$11,MATCH($B329,Premissas!$A$39:$A$45,0))</f>
        <v>A</v>
      </c>
      <c r="AS329" s="22" t="str">
        <f>INDEX(Cronograma!AR$5:AR$11,MATCH($B329,Premissas!$A$39:$A$45,0))</f>
        <v/>
      </c>
      <c r="AT329" s="22" t="str">
        <f>INDEX(Cronograma!AS$5:AS$11,MATCH($B329,Premissas!$A$39:$A$45,0))</f>
        <v/>
      </c>
      <c r="AU329" s="22" t="str">
        <f>INDEX(Cronograma!AT$5:AT$11,MATCH($B329,Premissas!$A$39:$A$45,0))</f>
        <v/>
      </c>
      <c r="AV329" s="22" t="str">
        <f>INDEX(Cronograma!AU$5:AU$11,MATCH($B329,Premissas!$A$39:$A$45,0))</f>
        <v/>
      </c>
      <c r="AW329" s="22" t="str">
        <f>INDEX(Cronograma!AV$5:AV$11,MATCH($B329,Premissas!$A$39:$A$45,0))</f>
        <v/>
      </c>
      <c r="AX329" s="22" t="str">
        <f>INDEX(Cronograma!AW$5:AW$11,MATCH($B329,Premissas!$A$39:$A$45,0))</f>
        <v/>
      </c>
      <c r="AY329" s="22" t="str">
        <f>INDEX(Cronograma!AX$5:AX$11,MATCH($B329,Premissas!$A$39:$A$45,0))</f>
        <v/>
      </c>
      <c r="AZ329" s="22" t="str">
        <f>INDEX(Cronograma!AY$5:AY$11,MATCH($B329,Premissas!$A$39:$A$45,0))</f>
        <v/>
      </c>
      <c r="BA329" s="22" t="str">
        <f>INDEX(Cronograma!AZ$5:AZ$11,MATCH($B329,Premissas!$A$39:$A$45,0))</f>
        <v/>
      </c>
      <c r="BB329" s="22" t="str">
        <f>INDEX(Cronograma!BA$5:BA$11,MATCH($B329,Premissas!$A$39:$A$45,0))</f>
        <v/>
      </c>
    </row>
    <row r="330" spans="1:54" ht="15" customHeight="1" x14ac:dyDescent="0.4">
      <c r="A330" s="15" t="str">
        <f>Frota!$B330&amp;" — "&amp;Frota!$A330</f>
        <v>Bell SC-800 — 164049</v>
      </c>
      <c r="B330" s="16" t="str">
        <f>Frota!$C330</f>
        <v>Carregadeira/Pesada</v>
      </c>
      <c r="C330" s="22" t="str">
        <f>INDEX(Cronograma!B$5:B$11,MATCH($B330,Premissas!$A$39:$A$45,0))</f>
        <v/>
      </c>
      <c r="D330" s="22" t="str">
        <f>INDEX(Cronograma!C$5:C$11,MATCH($B330,Premissas!$A$39:$A$45,0))</f>
        <v/>
      </c>
      <c r="E330" s="22" t="str">
        <f>INDEX(Cronograma!D$5:D$11,MATCH($B330,Premissas!$A$39:$A$45,0))</f>
        <v/>
      </c>
      <c r="F330" s="22" t="str">
        <f>INDEX(Cronograma!E$5:E$11,MATCH($B330,Premissas!$A$39:$A$45,0))</f>
        <v/>
      </c>
      <c r="G330" s="22" t="str">
        <f>INDEX(Cronograma!F$5:F$11,MATCH($B330,Premissas!$A$39:$A$45,0))</f>
        <v/>
      </c>
      <c r="H330" s="22" t="str">
        <f>INDEX(Cronograma!G$5:G$11,MATCH($B330,Premissas!$A$39:$A$45,0))</f>
        <v>S</v>
      </c>
      <c r="I330" s="22" t="str">
        <f>INDEX(Cronograma!H$5:H$11,MATCH($B330,Premissas!$A$39:$A$45,0))</f>
        <v/>
      </c>
      <c r="J330" s="22" t="str">
        <f>INDEX(Cronograma!I$5:I$11,MATCH($B330,Premissas!$A$39:$A$45,0))</f>
        <v/>
      </c>
      <c r="K330" s="22" t="str">
        <f>INDEX(Cronograma!J$5:J$11,MATCH($B330,Premissas!$A$39:$A$45,0))</f>
        <v/>
      </c>
      <c r="L330" s="22" t="str">
        <f>INDEX(Cronograma!K$5:K$11,MATCH($B330,Premissas!$A$39:$A$45,0))</f>
        <v/>
      </c>
      <c r="M330" s="22" t="str">
        <f>INDEX(Cronograma!L$5:L$11,MATCH($B330,Premissas!$A$39:$A$45,0))</f>
        <v/>
      </c>
      <c r="N330" s="22" t="str">
        <f>INDEX(Cronograma!M$5:M$11,MATCH($B330,Premissas!$A$39:$A$45,0))</f>
        <v>A</v>
      </c>
      <c r="O330" s="22" t="str">
        <f>INDEX(Cronograma!N$5:N$11,MATCH($B330,Premissas!$A$39:$A$45,0))</f>
        <v/>
      </c>
      <c r="P330" s="22" t="str">
        <f>INDEX(Cronograma!O$5:O$11,MATCH($B330,Premissas!$A$39:$A$45,0))</f>
        <v/>
      </c>
      <c r="Q330" s="22" t="str">
        <f>INDEX(Cronograma!P$5:P$11,MATCH($B330,Premissas!$A$39:$A$45,0))</f>
        <v/>
      </c>
      <c r="R330" s="22" t="str">
        <f>INDEX(Cronograma!Q$5:Q$11,MATCH($B330,Premissas!$A$39:$A$45,0))</f>
        <v/>
      </c>
      <c r="S330" s="22" t="str">
        <f>INDEX(Cronograma!R$5:R$11,MATCH($B330,Premissas!$A$39:$A$45,0))</f>
        <v>S</v>
      </c>
      <c r="T330" s="22" t="str">
        <f>INDEX(Cronograma!S$5:S$11,MATCH($B330,Premissas!$A$39:$A$45,0))</f>
        <v/>
      </c>
      <c r="U330" s="22" t="str">
        <f>INDEX(Cronograma!T$5:T$11,MATCH($B330,Premissas!$A$39:$A$45,0))</f>
        <v/>
      </c>
      <c r="V330" s="22" t="str">
        <f>INDEX(Cronograma!U$5:U$11,MATCH($B330,Premissas!$A$39:$A$45,0))</f>
        <v/>
      </c>
      <c r="W330" s="22" t="str">
        <f>INDEX(Cronograma!V$5:V$11,MATCH($B330,Premissas!$A$39:$A$45,0))</f>
        <v/>
      </c>
      <c r="X330" s="22" t="str">
        <f>INDEX(Cronograma!W$5:W$11,MATCH($B330,Premissas!$A$39:$A$45,0))</f>
        <v/>
      </c>
      <c r="Y330" s="22" t="str">
        <f>INDEX(Cronograma!X$5:X$11,MATCH($B330,Premissas!$A$39:$A$45,0))</f>
        <v>B</v>
      </c>
      <c r="Z330" s="22" t="str">
        <f>INDEX(Cronograma!Y$5:Y$11,MATCH($B330,Premissas!$A$39:$A$45,0))</f>
        <v/>
      </c>
      <c r="AA330" s="22" t="str">
        <f>INDEX(Cronograma!Z$5:Z$11,MATCH($B330,Premissas!$A$39:$A$45,0))</f>
        <v/>
      </c>
      <c r="AB330" s="22" t="str">
        <f>INDEX(Cronograma!AA$5:AA$11,MATCH($B330,Premissas!$A$39:$A$45,0))</f>
        <v/>
      </c>
      <c r="AC330" s="22" t="str">
        <f>INDEX(Cronograma!AB$5:AB$11,MATCH($B330,Premissas!$A$39:$A$45,0))</f>
        <v/>
      </c>
      <c r="AD330" s="22" t="str">
        <f>INDEX(Cronograma!AC$5:AC$11,MATCH($B330,Premissas!$A$39:$A$45,0))</f>
        <v>S</v>
      </c>
      <c r="AE330" s="22" t="str">
        <f>INDEX(Cronograma!AD$5:AD$11,MATCH($B330,Premissas!$A$39:$A$45,0))</f>
        <v/>
      </c>
      <c r="AF330" s="22" t="str">
        <f>INDEX(Cronograma!AE$5:AE$11,MATCH($B330,Premissas!$A$39:$A$45,0))</f>
        <v/>
      </c>
      <c r="AG330" s="22" t="str">
        <f>INDEX(Cronograma!AF$5:AF$11,MATCH($B330,Premissas!$A$39:$A$45,0))</f>
        <v/>
      </c>
      <c r="AH330" s="22" t="str">
        <f>INDEX(Cronograma!AG$5:AG$11,MATCH($B330,Premissas!$A$39:$A$45,0))</f>
        <v/>
      </c>
      <c r="AI330" s="22" t="str">
        <f>INDEX(Cronograma!AH$5:AH$11,MATCH($B330,Premissas!$A$39:$A$45,0))</f>
        <v/>
      </c>
      <c r="AJ330" s="22" t="str">
        <f>INDEX(Cronograma!AI$5:AI$11,MATCH($B330,Premissas!$A$39:$A$45,0))</f>
        <v/>
      </c>
      <c r="AK330" s="22" t="str">
        <f>INDEX(Cronograma!AJ$5:AJ$11,MATCH($B330,Premissas!$A$39:$A$45,0))</f>
        <v/>
      </c>
      <c r="AL330" s="22" t="str">
        <f>INDEX(Cronograma!AK$5:AK$11,MATCH($B330,Premissas!$A$39:$A$45,0))</f>
        <v/>
      </c>
      <c r="AM330" s="22" t="str">
        <f>INDEX(Cronograma!AL$5:AL$11,MATCH($B330,Premissas!$A$39:$A$45,0))</f>
        <v/>
      </c>
      <c r="AN330" s="22" t="str">
        <f>INDEX(Cronograma!AM$5:AM$11,MATCH($B330,Premissas!$A$39:$A$45,0))</f>
        <v/>
      </c>
      <c r="AO330" s="22" t="str">
        <f>INDEX(Cronograma!AN$5:AN$11,MATCH($B330,Premissas!$A$39:$A$45,0))</f>
        <v/>
      </c>
      <c r="AP330" s="22" t="str">
        <f>INDEX(Cronograma!AO$5:AO$11,MATCH($B330,Premissas!$A$39:$A$45,0))</f>
        <v/>
      </c>
      <c r="AQ330" s="22" t="str">
        <f>INDEX(Cronograma!AP$5:AP$11,MATCH($B330,Premissas!$A$39:$A$45,0))</f>
        <v/>
      </c>
      <c r="AR330" s="22" t="str">
        <f>INDEX(Cronograma!AQ$5:AQ$11,MATCH($B330,Premissas!$A$39:$A$45,0))</f>
        <v>A</v>
      </c>
      <c r="AS330" s="22" t="str">
        <f>INDEX(Cronograma!AR$5:AR$11,MATCH($B330,Premissas!$A$39:$A$45,0))</f>
        <v/>
      </c>
      <c r="AT330" s="22" t="str">
        <f>INDEX(Cronograma!AS$5:AS$11,MATCH($B330,Premissas!$A$39:$A$45,0))</f>
        <v/>
      </c>
      <c r="AU330" s="22" t="str">
        <f>INDEX(Cronograma!AT$5:AT$11,MATCH($B330,Premissas!$A$39:$A$45,0))</f>
        <v/>
      </c>
      <c r="AV330" s="22" t="str">
        <f>INDEX(Cronograma!AU$5:AU$11,MATCH($B330,Premissas!$A$39:$A$45,0))</f>
        <v/>
      </c>
      <c r="AW330" s="22" t="str">
        <f>INDEX(Cronograma!AV$5:AV$11,MATCH($B330,Premissas!$A$39:$A$45,0))</f>
        <v/>
      </c>
      <c r="AX330" s="22" t="str">
        <f>INDEX(Cronograma!AW$5:AW$11,MATCH($B330,Premissas!$A$39:$A$45,0))</f>
        <v/>
      </c>
      <c r="AY330" s="22" t="str">
        <f>INDEX(Cronograma!AX$5:AX$11,MATCH($B330,Premissas!$A$39:$A$45,0))</f>
        <v/>
      </c>
      <c r="AZ330" s="22" t="str">
        <f>INDEX(Cronograma!AY$5:AY$11,MATCH($B330,Premissas!$A$39:$A$45,0))</f>
        <v/>
      </c>
      <c r="BA330" s="22" t="str">
        <f>INDEX(Cronograma!AZ$5:AZ$11,MATCH($B330,Premissas!$A$39:$A$45,0))</f>
        <v/>
      </c>
      <c r="BB330" s="22" t="str">
        <f>INDEX(Cronograma!BA$5:BA$11,MATCH($B330,Premissas!$A$39:$A$45,0))</f>
        <v/>
      </c>
    </row>
    <row r="331" spans="1:54" ht="15" customHeight="1" x14ac:dyDescent="0.4">
      <c r="A331" s="15" t="str">
        <f>Frota!$B331&amp;" — "&amp;Frota!$A331</f>
        <v>Bell SC-800 — 164050</v>
      </c>
      <c r="B331" s="16" t="str">
        <f>Frota!$C331</f>
        <v>Carregadeira/Pesada</v>
      </c>
      <c r="C331" s="22" t="str">
        <f>INDEX(Cronograma!B$5:B$11,MATCH($B331,Premissas!$A$39:$A$45,0))</f>
        <v/>
      </c>
      <c r="D331" s="22" t="str">
        <f>INDEX(Cronograma!C$5:C$11,MATCH($B331,Premissas!$A$39:$A$45,0))</f>
        <v/>
      </c>
      <c r="E331" s="22" t="str">
        <f>INDEX(Cronograma!D$5:D$11,MATCH($B331,Premissas!$A$39:$A$45,0))</f>
        <v/>
      </c>
      <c r="F331" s="22" t="str">
        <f>INDEX(Cronograma!E$5:E$11,MATCH($B331,Premissas!$A$39:$A$45,0))</f>
        <v/>
      </c>
      <c r="G331" s="22" t="str">
        <f>INDEX(Cronograma!F$5:F$11,MATCH($B331,Premissas!$A$39:$A$45,0))</f>
        <v/>
      </c>
      <c r="H331" s="22" t="str">
        <f>INDEX(Cronograma!G$5:G$11,MATCH($B331,Premissas!$A$39:$A$45,0))</f>
        <v>S</v>
      </c>
      <c r="I331" s="22" t="str">
        <f>INDEX(Cronograma!H$5:H$11,MATCH($B331,Premissas!$A$39:$A$45,0))</f>
        <v/>
      </c>
      <c r="J331" s="22" t="str">
        <f>INDEX(Cronograma!I$5:I$11,MATCH($B331,Premissas!$A$39:$A$45,0))</f>
        <v/>
      </c>
      <c r="K331" s="22" t="str">
        <f>INDEX(Cronograma!J$5:J$11,MATCH($B331,Premissas!$A$39:$A$45,0))</f>
        <v/>
      </c>
      <c r="L331" s="22" t="str">
        <f>INDEX(Cronograma!K$5:K$11,MATCH($B331,Premissas!$A$39:$A$45,0))</f>
        <v/>
      </c>
      <c r="M331" s="22" t="str">
        <f>INDEX(Cronograma!L$5:L$11,MATCH($B331,Premissas!$A$39:$A$45,0))</f>
        <v/>
      </c>
      <c r="N331" s="22" t="str">
        <f>INDEX(Cronograma!M$5:M$11,MATCH($B331,Premissas!$A$39:$A$45,0))</f>
        <v>A</v>
      </c>
      <c r="O331" s="22" t="str">
        <f>INDEX(Cronograma!N$5:N$11,MATCH($B331,Premissas!$A$39:$A$45,0))</f>
        <v/>
      </c>
      <c r="P331" s="22" t="str">
        <f>INDEX(Cronograma!O$5:O$11,MATCH($B331,Premissas!$A$39:$A$45,0))</f>
        <v/>
      </c>
      <c r="Q331" s="22" t="str">
        <f>INDEX(Cronograma!P$5:P$11,MATCH($B331,Premissas!$A$39:$A$45,0))</f>
        <v/>
      </c>
      <c r="R331" s="22" t="str">
        <f>INDEX(Cronograma!Q$5:Q$11,MATCH($B331,Premissas!$A$39:$A$45,0))</f>
        <v/>
      </c>
      <c r="S331" s="22" t="str">
        <f>INDEX(Cronograma!R$5:R$11,MATCH($B331,Premissas!$A$39:$A$45,0))</f>
        <v>S</v>
      </c>
      <c r="T331" s="22" t="str">
        <f>INDEX(Cronograma!S$5:S$11,MATCH($B331,Premissas!$A$39:$A$45,0))</f>
        <v/>
      </c>
      <c r="U331" s="22" t="str">
        <f>INDEX(Cronograma!T$5:T$11,MATCH($B331,Premissas!$A$39:$A$45,0))</f>
        <v/>
      </c>
      <c r="V331" s="22" t="str">
        <f>INDEX(Cronograma!U$5:U$11,MATCH($B331,Premissas!$A$39:$A$45,0))</f>
        <v/>
      </c>
      <c r="W331" s="22" t="str">
        <f>INDEX(Cronograma!V$5:V$11,MATCH($B331,Premissas!$A$39:$A$45,0))</f>
        <v/>
      </c>
      <c r="X331" s="22" t="str">
        <f>INDEX(Cronograma!W$5:W$11,MATCH($B331,Premissas!$A$39:$A$45,0))</f>
        <v/>
      </c>
      <c r="Y331" s="22" t="str">
        <f>INDEX(Cronograma!X$5:X$11,MATCH($B331,Premissas!$A$39:$A$45,0))</f>
        <v>B</v>
      </c>
      <c r="Z331" s="22" t="str">
        <f>INDEX(Cronograma!Y$5:Y$11,MATCH($B331,Premissas!$A$39:$A$45,0))</f>
        <v/>
      </c>
      <c r="AA331" s="22" t="str">
        <f>INDEX(Cronograma!Z$5:Z$11,MATCH($B331,Premissas!$A$39:$A$45,0))</f>
        <v/>
      </c>
      <c r="AB331" s="22" t="str">
        <f>INDEX(Cronograma!AA$5:AA$11,MATCH($B331,Premissas!$A$39:$A$45,0))</f>
        <v/>
      </c>
      <c r="AC331" s="22" t="str">
        <f>INDEX(Cronograma!AB$5:AB$11,MATCH($B331,Premissas!$A$39:$A$45,0))</f>
        <v/>
      </c>
      <c r="AD331" s="22" t="str">
        <f>INDEX(Cronograma!AC$5:AC$11,MATCH($B331,Premissas!$A$39:$A$45,0))</f>
        <v>S</v>
      </c>
      <c r="AE331" s="22" t="str">
        <f>INDEX(Cronograma!AD$5:AD$11,MATCH($B331,Premissas!$A$39:$A$45,0))</f>
        <v/>
      </c>
      <c r="AF331" s="22" t="str">
        <f>INDEX(Cronograma!AE$5:AE$11,MATCH($B331,Premissas!$A$39:$A$45,0))</f>
        <v/>
      </c>
      <c r="AG331" s="22" t="str">
        <f>INDEX(Cronograma!AF$5:AF$11,MATCH($B331,Premissas!$A$39:$A$45,0))</f>
        <v/>
      </c>
      <c r="AH331" s="22" t="str">
        <f>INDEX(Cronograma!AG$5:AG$11,MATCH($B331,Premissas!$A$39:$A$45,0))</f>
        <v/>
      </c>
      <c r="AI331" s="22" t="str">
        <f>INDEX(Cronograma!AH$5:AH$11,MATCH($B331,Premissas!$A$39:$A$45,0))</f>
        <v/>
      </c>
      <c r="AJ331" s="22" t="str">
        <f>INDEX(Cronograma!AI$5:AI$11,MATCH($B331,Premissas!$A$39:$A$45,0))</f>
        <v/>
      </c>
      <c r="AK331" s="22" t="str">
        <f>INDEX(Cronograma!AJ$5:AJ$11,MATCH($B331,Premissas!$A$39:$A$45,0))</f>
        <v/>
      </c>
      <c r="AL331" s="22" t="str">
        <f>INDEX(Cronograma!AK$5:AK$11,MATCH($B331,Premissas!$A$39:$A$45,0))</f>
        <v/>
      </c>
      <c r="AM331" s="22" t="str">
        <f>INDEX(Cronograma!AL$5:AL$11,MATCH($B331,Premissas!$A$39:$A$45,0))</f>
        <v/>
      </c>
      <c r="AN331" s="22" t="str">
        <f>INDEX(Cronograma!AM$5:AM$11,MATCH($B331,Premissas!$A$39:$A$45,0))</f>
        <v/>
      </c>
      <c r="AO331" s="22" t="str">
        <f>INDEX(Cronograma!AN$5:AN$11,MATCH($B331,Premissas!$A$39:$A$45,0))</f>
        <v/>
      </c>
      <c r="AP331" s="22" t="str">
        <f>INDEX(Cronograma!AO$5:AO$11,MATCH($B331,Premissas!$A$39:$A$45,0))</f>
        <v/>
      </c>
      <c r="AQ331" s="22" t="str">
        <f>INDEX(Cronograma!AP$5:AP$11,MATCH($B331,Premissas!$A$39:$A$45,0))</f>
        <v/>
      </c>
      <c r="AR331" s="22" t="str">
        <f>INDEX(Cronograma!AQ$5:AQ$11,MATCH($B331,Premissas!$A$39:$A$45,0))</f>
        <v>A</v>
      </c>
      <c r="AS331" s="22" t="str">
        <f>INDEX(Cronograma!AR$5:AR$11,MATCH($B331,Premissas!$A$39:$A$45,0))</f>
        <v/>
      </c>
      <c r="AT331" s="22" t="str">
        <f>INDEX(Cronograma!AS$5:AS$11,MATCH($B331,Premissas!$A$39:$A$45,0))</f>
        <v/>
      </c>
      <c r="AU331" s="22" t="str">
        <f>INDEX(Cronograma!AT$5:AT$11,MATCH($B331,Premissas!$A$39:$A$45,0))</f>
        <v/>
      </c>
      <c r="AV331" s="22" t="str">
        <f>INDEX(Cronograma!AU$5:AU$11,MATCH($B331,Premissas!$A$39:$A$45,0))</f>
        <v/>
      </c>
      <c r="AW331" s="22" t="str">
        <f>INDEX(Cronograma!AV$5:AV$11,MATCH($B331,Premissas!$A$39:$A$45,0))</f>
        <v/>
      </c>
      <c r="AX331" s="22" t="str">
        <f>INDEX(Cronograma!AW$5:AW$11,MATCH($B331,Premissas!$A$39:$A$45,0))</f>
        <v/>
      </c>
      <c r="AY331" s="22" t="str">
        <f>INDEX(Cronograma!AX$5:AX$11,MATCH($B331,Premissas!$A$39:$A$45,0))</f>
        <v/>
      </c>
      <c r="AZ331" s="22" t="str">
        <f>INDEX(Cronograma!AY$5:AY$11,MATCH($B331,Premissas!$A$39:$A$45,0))</f>
        <v/>
      </c>
      <c r="BA331" s="22" t="str">
        <f>INDEX(Cronograma!AZ$5:AZ$11,MATCH($B331,Premissas!$A$39:$A$45,0))</f>
        <v/>
      </c>
      <c r="BB331" s="22" t="str">
        <f>INDEX(Cronograma!BA$5:BA$11,MATCH($B331,Premissas!$A$39:$A$45,0))</f>
        <v/>
      </c>
    </row>
    <row r="332" spans="1:54" ht="15" customHeight="1" x14ac:dyDescent="0.4">
      <c r="A332" s="15" t="str">
        <f>Frota!$B332&amp;" — "&amp;Frota!$A332</f>
        <v>Bell SC-800 — 164051</v>
      </c>
      <c r="B332" s="16" t="str">
        <f>Frota!$C332</f>
        <v>Carregadeira/Pesada</v>
      </c>
      <c r="C332" s="22" t="str">
        <f>INDEX(Cronograma!B$5:B$11,MATCH($B332,Premissas!$A$39:$A$45,0))</f>
        <v/>
      </c>
      <c r="D332" s="22" t="str">
        <f>INDEX(Cronograma!C$5:C$11,MATCH($B332,Premissas!$A$39:$A$45,0))</f>
        <v/>
      </c>
      <c r="E332" s="22" t="str">
        <f>INDEX(Cronograma!D$5:D$11,MATCH($B332,Premissas!$A$39:$A$45,0))</f>
        <v/>
      </c>
      <c r="F332" s="22" t="str">
        <f>INDEX(Cronograma!E$5:E$11,MATCH($B332,Premissas!$A$39:$A$45,0))</f>
        <v/>
      </c>
      <c r="G332" s="22" t="str">
        <f>INDEX(Cronograma!F$5:F$11,MATCH($B332,Premissas!$A$39:$A$45,0))</f>
        <v/>
      </c>
      <c r="H332" s="22" t="str">
        <f>INDEX(Cronograma!G$5:G$11,MATCH($B332,Premissas!$A$39:$A$45,0))</f>
        <v>S</v>
      </c>
      <c r="I332" s="22" t="str">
        <f>INDEX(Cronograma!H$5:H$11,MATCH($B332,Premissas!$A$39:$A$45,0))</f>
        <v/>
      </c>
      <c r="J332" s="22" t="str">
        <f>INDEX(Cronograma!I$5:I$11,MATCH($B332,Premissas!$A$39:$A$45,0))</f>
        <v/>
      </c>
      <c r="K332" s="22" t="str">
        <f>INDEX(Cronograma!J$5:J$11,MATCH($B332,Premissas!$A$39:$A$45,0))</f>
        <v/>
      </c>
      <c r="L332" s="22" t="str">
        <f>INDEX(Cronograma!K$5:K$11,MATCH($B332,Premissas!$A$39:$A$45,0))</f>
        <v/>
      </c>
      <c r="M332" s="22" t="str">
        <f>INDEX(Cronograma!L$5:L$11,MATCH($B332,Premissas!$A$39:$A$45,0))</f>
        <v/>
      </c>
      <c r="N332" s="22" t="str">
        <f>INDEX(Cronograma!M$5:M$11,MATCH($B332,Premissas!$A$39:$A$45,0))</f>
        <v>A</v>
      </c>
      <c r="O332" s="22" t="str">
        <f>INDEX(Cronograma!N$5:N$11,MATCH($B332,Premissas!$A$39:$A$45,0))</f>
        <v/>
      </c>
      <c r="P332" s="22" t="str">
        <f>INDEX(Cronograma!O$5:O$11,MATCH($B332,Premissas!$A$39:$A$45,0))</f>
        <v/>
      </c>
      <c r="Q332" s="22" t="str">
        <f>INDEX(Cronograma!P$5:P$11,MATCH($B332,Premissas!$A$39:$A$45,0))</f>
        <v/>
      </c>
      <c r="R332" s="22" t="str">
        <f>INDEX(Cronograma!Q$5:Q$11,MATCH($B332,Premissas!$A$39:$A$45,0))</f>
        <v/>
      </c>
      <c r="S332" s="22" t="str">
        <f>INDEX(Cronograma!R$5:R$11,MATCH($B332,Premissas!$A$39:$A$45,0))</f>
        <v>S</v>
      </c>
      <c r="T332" s="22" t="str">
        <f>INDEX(Cronograma!S$5:S$11,MATCH($B332,Premissas!$A$39:$A$45,0))</f>
        <v/>
      </c>
      <c r="U332" s="22" t="str">
        <f>INDEX(Cronograma!T$5:T$11,MATCH($B332,Premissas!$A$39:$A$45,0))</f>
        <v/>
      </c>
      <c r="V332" s="22" t="str">
        <f>INDEX(Cronograma!U$5:U$11,MATCH($B332,Premissas!$A$39:$A$45,0))</f>
        <v/>
      </c>
      <c r="W332" s="22" t="str">
        <f>INDEX(Cronograma!V$5:V$11,MATCH($B332,Premissas!$A$39:$A$45,0))</f>
        <v/>
      </c>
      <c r="X332" s="22" t="str">
        <f>INDEX(Cronograma!W$5:W$11,MATCH($B332,Premissas!$A$39:$A$45,0))</f>
        <v/>
      </c>
      <c r="Y332" s="22" t="str">
        <f>INDEX(Cronograma!X$5:X$11,MATCH($B332,Premissas!$A$39:$A$45,0))</f>
        <v>B</v>
      </c>
      <c r="Z332" s="22" t="str">
        <f>INDEX(Cronograma!Y$5:Y$11,MATCH($B332,Premissas!$A$39:$A$45,0))</f>
        <v/>
      </c>
      <c r="AA332" s="22" t="str">
        <f>INDEX(Cronograma!Z$5:Z$11,MATCH($B332,Premissas!$A$39:$A$45,0))</f>
        <v/>
      </c>
      <c r="AB332" s="22" t="str">
        <f>INDEX(Cronograma!AA$5:AA$11,MATCH($B332,Premissas!$A$39:$A$45,0))</f>
        <v/>
      </c>
      <c r="AC332" s="22" t="str">
        <f>INDEX(Cronograma!AB$5:AB$11,MATCH($B332,Premissas!$A$39:$A$45,0))</f>
        <v/>
      </c>
      <c r="AD332" s="22" t="str">
        <f>INDEX(Cronograma!AC$5:AC$11,MATCH($B332,Premissas!$A$39:$A$45,0))</f>
        <v>S</v>
      </c>
      <c r="AE332" s="22" t="str">
        <f>INDEX(Cronograma!AD$5:AD$11,MATCH($B332,Premissas!$A$39:$A$45,0))</f>
        <v/>
      </c>
      <c r="AF332" s="22" t="str">
        <f>INDEX(Cronograma!AE$5:AE$11,MATCH($B332,Premissas!$A$39:$A$45,0))</f>
        <v/>
      </c>
      <c r="AG332" s="22" t="str">
        <f>INDEX(Cronograma!AF$5:AF$11,MATCH($B332,Premissas!$A$39:$A$45,0))</f>
        <v/>
      </c>
      <c r="AH332" s="22" t="str">
        <f>INDEX(Cronograma!AG$5:AG$11,MATCH($B332,Premissas!$A$39:$A$45,0))</f>
        <v/>
      </c>
      <c r="AI332" s="22" t="str">
        <f>INDEX(Cronograma!AH$5:AH$11,MATCH($B332,Premissas!$A$39:$A$45,0))</f>
        <v/>
      </c>
      <c r="AJ332" s="22" t="str">
        <f>INDEX(Cronograma!AI$5:AI$11,MATCH($B332,Premissas!$A$39:$A$45,0))</f>
        <v/>
      </c>
      <c r="AK332" s="22" t="str">
        <f>INDEX(Cronograma!AJ$5:AJ$11,MATCH($B332,Premissas!$A$39:$A$45,0))</f>
        <v/>
      </c>
      <c r="AL332" s="22" t="str">
        <f>INDEX(Cronograma!AK$5:AK$11,MATCH($B332,Premissas!$A$39:$A$45,0))</f>
        <v/>
      </c>
      <c r="AM332" s="22" t="str">
        <f>INDEX(Cronograma!AL$5:AL$11,MATCH($B332,Premissas!$A$39:$A$45,0))</f>
        <v/>
      </c>
      <c r="AN332" s="22" t="str">
        <f>INDEX(Cronograma!AM$5:AM$11,MATCH($B332,Premissas!$A$39:$A$45,0))</f>
        <v/>
      </c>
      <c r="AO332" s="22" t="str">
        <f>INDEX(Cronograma!AN$5:AN$11,MATCH($B332,Premissas!$A$39:$A$45,0))</f>
        <v/>
      </c>
      <c r="AP332" s="22" t="str">
        <f>INDEX(Cronograma!AO$5:AO$11,MATCH($B332,Premissas!$A$39:$A$45,0))</f>
        <v/>
      </c>
      <c r="AQ332" s="22" t="str">
        <f>INDEX(Cronograma!AP$5:AP$11,MATCH($B332,Premissas!$A$39:$A$45,0))</f>
        <v/>
      </c>
      <c r="AR332" s="22" t="str">
        <f>INDEX(Cronograma!AQ$5:AQ$11,MATCH($B332,Premissas!$A$39:$A$45,0))</f>
        <v>A</v>
      </c>
      <c r="AS332" s="22" t="str">
        <f>INDEX(Cronograma!AR$5:AR$11,MATCH($B332,Premissas!$A$39:$A$45,0))</f>
        <v/>
      </c>
      <c r="AT332" s="22" t="str">
        <f>INDEX(Cronograma!AS$5:AS$11,MATCH($B332,Premissas!$A$39:$A$45,0))</f>
        <v/>
      </c>
      <c r="AU332" s="22" t="str">
        <f>INDEX(Cronograma!AT$5:AT$11,MATCH($B332,Premissas!$A$39:$A$45,0))</f>
        <v/>
      </c>
      <c r="AV332" s="22" t="str">
        <f>INDEX(Cronograma!AU$5:AU$11,MATCH($B332,Premissas!$A$39:$A$45,0))</f>
        <v/>
      </c>
      <c r="AW332" s="22" t="str">
        <f>INDEX(Cronograma!AV$5:AV$11,MATCH($B332,Premissas!$A$39:$A$45,0))</f>
        <v/>
      </c>
      <c r="AX332" s="22" t="str">
        <f>INDEX(Cronograma!AW$5:AW$11,MATCH($B332,Premissas!$A$39:$A$45,0))</f>
        <v/>
      </c>
      <c r="AY332" s="22" t="str">
        <f>INDEX(Cronograma!AX$5:AX$11,MATCH($B332,Premissas!$A$39:$A$45,0))</f>
        <v/>
      </c>
      <c r="AZ332" s="22" t="str">
        <f>INDEX(Cronograma!AY$5:AY$11,MATCH($B332,Premissas!$A$39:$A$45,0))</f>
        <v/>
      </c>
      <c r="BA332" s="22" t="str">
        <f>INDEX(Cronograma!AZ$5:AZ$11,MATCH($B332,Premissas!$A$39:$A$45,0))</f>
        <v/>
      </c>
      <c r="BB332" s="22" t="str">
        <f>INDEX(Cronograma!BA$5:BA$11,MATCH($B332,Premissas!$A$39:$A$45,0))</f>
        <v/>
      </c>
    </row>
    <row r="333" spans="1:54" ht="15" customHeight="1" x14ac:dyDescent="0.4">
      <c r="A333" s="15" t="str">
        <f>Frota!$B333&amp;" — "&amp;Frota!$A333</f>
        <v>Bell SC-800 — 164052</v>
      </c>
      <c r="B333" s="16" t="str">
        <f>Frota!$C333</f>
        <v>Carregadeira/Pesada</v>
      </c>
      <c r="C333" s="22" t="str">
        <f>INDEX(Cronograma!B$5:B$11,MATCH($B333,Premissas!$A$39:$A$45,0))</f>
        <v/>
      </c>
      <c r="D333" s="22" t="str">
        <f>INDEX(Cronograma!C$5:C$11,MATCH($B333,Premissas!$A$39:$A$45,0))</f>
        <v/>
      </c>
      <c r="E333" s="22" t="str">
        <f>INDEX(Cronograma!D$5:D$11,MATCH($B333,Premissas!$A$39:$A$45,0))</f>
        <v/>
      </c>
      <c r="F333" s="22" t="str">
        <f>INDEX(Cronograma!E$5:E$11,MATCH($B333,Premissas!$A$39:$A$45,0))</f>
        <v/>
      </c>
      <c r="G333" s="22" t="str">
        <f>INDEX(Cronograma!F$5:F$11,MATCH($B333,Premissas!$A$39:$A$45,0))</f>
        <v/>
      </c>
      <c r="H333" s="22" t="str">
        <f>INDEX(Cronograma!G$5:G$11,MATCH($B333,Premissas!$A$39:$A$45,0))</f>
        <v>S</v>
      </c>
      <c r="I333" s="22" t="str">
        <f>INDEX(Cronograma!H$5:H$11,MATCH($B333,Premissas!$A$39:$A$45,0))</f>
        <v/>
      </c>
      <c r="J333" s="22" t="str">
        <f>INDEX(Cronograma!I$5:I$11,MATCH($B333,Premissas!$A$39:$A$45,0))</f>
        <v/>
      </c>
      <c r="K333" s="22" t="str">
        <f>INDEX(Cronograma!J$5:J$11,MATCH($B333,Premissas!$A$39:$A$45,0))</f>
        <v/>
      </c>
      <c r="L333" s="22" t="str">
        <f>INDEX(Cronograma!K$5:K$11,MATCH($B333,Premissas!$A$39:$A$45,0))</f>
        <v/>
      </c>
      <c r="M333" s="22" t="str">
        <f>INDEX(Cronograma!L$5:L$11,MATCH($B333,Premissas!$A$39:$A$45,0))</f>
        <v/>
      </c>
      <c r="N333" s="22" t="str">
        <f>INDEX(Cronograma!M$5:M$11,MATCH($B333,Premissas!$A$39:$A$45,0))</f>
        <v>A</v>
      </c>
      <c r="O333" s="22" t="str">
        <f>INDEX(Cronograma!N$5:N$11,MATCH($B333,Premissas!$A$39:$A$45,0))</f>
        <v/>
      </c>
      <c r="P333" s="22" t="str">
        <f>INDEX(Cronograma!O$5:O$11,MATCH($B333,Premissas!$A$39:$A$45,0))</f>
        <v/>
      </c>
      <c r="Q333" s="22" t="str">
        <f>INDEX(Cronograma!P$5:P$11,MATCH($B333,Premissas!$A$39:$A$45,0))</f>
        <v/>
      </c>
      <c r="R333" s="22" t="str">
        <f>INDEX(Cronograma!Q$5:Q$11,MATCH($B333,Premissas!$A$39:$A$45,0))</f>
        <v/>
      </c>
      <c r="S333" s="22" t="str">
        <f>INDEX(Cronograma!R$5:R$11,MATCH($B333,Premissas!$A$39:$A$45,0))</f>
        <v>S</v>
      </c>
      <c r="T333" s="22" t="str">
        <f>INDEX(Cronograma!S$5:S$11,MATCH($B333,Premissas!$A$39:$A$45,0))</f>
        <v/>
      </c>
      <c r="U333" s="22" t="str">
        <f>INDEX(Cronograma!T$5:T$11,MATCH($B333,Premissas!$A$39:$A$45,0))</f>
        <v/>
      </c>
      <c r="V333" s="22" t="str">
        <f>INDEX(Cronograma!U$5:U$11,MATCH($B333,Premissas!$A$39:$A$45,0))</f>
        <v/>
      </c>
      <c r="W333" s="22" t="str">
        <f>INDEX(Cronograma!V$5:V$11,MATCH($B333,Premissas!$A$39:$A$45,0))</f>
        <v/>
      </c>
      <c r="X333" s="22" t="str">
        <f>INDEX(Cronograma!W$5:W$11,MATCH($B333,Premissas!$A$39:$A$45,0))</f>
        <v/>
      </c>
      <c r="Y333" s="22" t="str">
        <f>INDEX(Cronograma!X$5:X$11,MATCH($B333,Premissas!$A$39:$A$45,0))</f>
        <v>B</v>
      </c>
      <c r="Z333" s="22" t="str">
        <f>INDEX(Cronograma!Y$5:Y$11,MATCH($B333,Premissas!$A$39:$A$45,0))</f>
        <v/>
      </c>
      <c r="AA333" s="22" t="str">
        <f>INDEX(Cronograma!Z$5:Z$11,MATCH($B333,Premissas!$A$39:$A$45,0))</f>
        <v/>
      </c>
      <c r="AB333" s="22" t="str">
        <f>INDEX(Cronograma!AA$5:AA$11,MATCH($B333,Premissas!$A$39:$A$45,0))</f>
        <v/>
      </c>
      <c r="AC333" s="22" t="str">
        <f>INDEX(Cronograma!AB$5:AB$11,MATCH($B333,Premissas!$A$39:$A$45,0))</f>
        <v/>
      </c>
      <c r="AD333" s="22" t="str">
        <f>INDEX(Cronograma!AC$5:AC$11,MATCH($B333,Premissas!$A$39:$A$45,0))</f>
        <v>S</v>
      </c>
      <c r="AE333" s="22" t="str">
        <f>INDEX(Cronograma!AD$5:AD$11,MATCH($B333,Premissas!$A$39:$A$45,0))</f>
        <v/>
      </c>
      <c r="AF333" s="22" t="str">
        <f>INDEX(Cronograma!AE$5:AE$11,MATCH($B333,Premissas!$A$39:$A$45,0))</f>
        <v/>
      </c>
      <c r="AG333" s="22" t="str">
        <f>INDEX(Cronograma!AF$5:AF$11,MATCH($B333,Premissas!$A$39:$A$45,0))</f>
        <v/>
      </c>
      <c r="AH333" s="22" t="str">
        <f>INDEX(Cronograma!AG$5:AG$11,MATCH($B333,Premissas!$A$39:$A$45,0))</f>
        <v/>
      </c>
      <c r="AI333" s="22" t="str">
        <f>INDEX(Cronograma!AH$5:AH$11,MATCH($B333,Premissas!$A$39:$A$45,0))</f>
        <v/>
      </c>
      <c r="AJ333" s="22" t="str">
        <f>INDEX(Cronograma!AI$5:AI$11,MATCH($B333,Premissas!$A$39:$A$45,0))</f>
        <v/>
      </c>
      <c r="AK333" s="22" t="str">
        <f>INDEX(Cronograma!AJ$5:AJ$11,MATCH($B333,Premissas!$A$39:$A$45,0))</f>
        <v/>
      </c>
      <c r="AL333" s="22" t="str">
        <f>INDEX(Cronograma!AK$5:AK$11,MATCH($B333,Premissas!$A$39:$A$45,0))</f>
        <v/>
      </c>
      <c r="AM333" s="22" t="str">
        <f>INDEX(Cronograma!AL$5:AL$11,MATCH($B333,Premissas!$A$39:$A$45,0))</f>
        <v/>
      </c>
      <c r="AN333" s="22" t="str">
        <f>INDEX(Cronograma!AM$5:AM$11,MATCH($B333,Premissas!$A$39:$A$45,0))</f>
        <v/>
      </c>
      <c r="AO333" s="22" t="str">
        <f>INDEX(Cronograma!AN$5:AN$11,MATCH($B333,Premissas!$A$39:$A$45,0))</f>
        <v/>
      </c>
      <c r="AP333" s="22" t="str">
        <f>INDEX(Cronograma!AO$5:AO$11,MATCH($B333,Premissas!$A$39:$A$45,0))</f>
        <v/>
      </c>
      <c r="AQ333" s="22" t="str">
        <f>INDEX(Cronograma!AP$5:AP$11,MATCH($B333,Premissas!$A$39:$A$45,0))</f>
        <v/>
      </c>
      <c r="AR333" s="22" t="str">
        <f>INDEX(Cronograma!AQ$5:AQ$11,MATCH($B333,Premissas!$A$39:$A$45,0))</f>
        <v>A</v>
      </c>
      <c r="AS333" s="22" t="str">
        <f>INDEX(Cronograma!AR$5:AR$11,MATCH($B333,Premissas!$A$39:$A$45,0))</f>
        <v/>
      </c>
      <c r="AT333" s="22" t="str">
        <f>INDEX(Cronograma!AS$5:AS$11,MATCH($B333,Premissas!$A$39:$A$45,0))</f>
        <v/>
      </c>
      <c r="AU333" s="22" t="str">
        <f>INDEX(Cronograma!AT$5:AT$11,MATCH($B333,Premissas!$A$39:$A$45,0))</f>
        <v/>
      </c>
      <c r="AV333" s="22" t="str">
        <f>INDEX(Cronograma!AU$5:AU$11,MATCH($B333,Premissas!$A$39:$A$45,0))</f>
        <v/>
      </c>
      <c r="AW333" s="22" t="str">
        <f>INDEX(Cronograma!AV$5:AV$11,MATCH($B333,Premissas!$A$39:$A$45,0))</f>
        <v/>
      </c>
      <c r="AX333" s="22" t="str">
        <f>INDEX(Cronograma!AW$5:AW$11,MATCH($B333,Premissas!$A$39:$A$45,0))</f>
        <v/>
      </c>
      <c r="AY333" s="22" t="str">
        <f>INDEX(Cronograma!AX$5:AX$11,MATCH($B333,Premissas!$A$39:$A$45,0))</f>
        <v/>
      </c>
      <c r="AZ333" s="22" t="str">
        <f>INDEX(Cronograma!AY$5:AY$11,MATCH($B333,Premissas!$A$39:$A$45,0))</f>
        <v/>
      </c>
      <c r="BA333" s="22" t="str">
        <f>INDEX(Cronograma!AZ$5:AZ$11,MATCH($B333,Premissas!$A$39:$A$45,0))</f>
        <v/>
      </c>
      <c r="BB333" s="22" t="str">
        <f>INDEX(Cronograma!BA$5:BA$11,MATCH($B333,Premissas!$A$39:$A$45,0))</f>
        <v/>
      </c>
    </row>
    <row r="334" spans="1:54" ht="15" customHeight="1" x14ac:dyDescent="0.4">
      <c r="A334" s="15" t="str">
        <f>Frota!$B334&amp;" — "&amp;Frota!$A334</f>
        <v>Bell SC-800 — 164054</v>
      </c>
      <c r="B334" s="16" t="str">
        <f>Frota!$C334</f>
        <v>Carregadeira/Pesada</v>
      </c>
      <c r="C334" s="22" t="str">
        <f>INDEX(Cronograma!B$5:B$11,MATCH($B334,Premissas!$A$39:$A$45,0))</f>
        <v/>
      </c>
      <c r="D334" s="22" t="str">
        <f>INDEX(Cronograma!C$5:C$11,MATCH($B334,Premissas!$A$39:$A$45,0))</f>
        <v/>
      </c>
      <c r="E334" s="22" t="str">
        <f>INDEX(Cronograma!D$5:D$11,MATCH($B334,Premissas!$A$39:$A$45,0))</f>
        <v/>
      </c>
      <c r="F334" s="22" t="str">
        <f>INDEX(Cronograma!E$5:E$11,MATCH($B334,Premissas!$A$39:$A$45,0))</f>
        <v/>
      </c>
      <c r="G334" s="22" t="str">
        <f>INDEX(Cronograma!F$5:F$11,MATCH($B334,Premissas!$A$39:$A$45,0))</f>
        <v/>
      </c>
      <c r="H334" s="22" t="str">
        <f>INDEX(Cronograma!G$5:G$11,MATCH($B334,Premissas!$A$39:$A$45,0))</f>
        <v>S</v>
      </c>
      <c r="I334" s="22" t="str">
        <f>INDEX(Cronograma!H$5:H$11,MATCH($B334,Premissas!$A$39:$A$45,0))</f>
        <v/>
      </c>
      <c r="J334" s="22" t="str">
        <f>INDEX(Cronograma!I$5:I$11,MATCH($B334,Premissas!$A$39:$A$45,0))</f>
        <v/>
      </c>
      <c r="K334" s="22" t="str">
        <f>INDEX(Cronograma!J$5:J$11,MATCH($B334,Premissas!$A$39:$A$45,0))</f>
        <v/>
      </c>
      <c r="L334" s="22" t="str">
        <f>INDEX(Cronograma!K$5:K$11,MATCH($B334,Premissas!$A$39:$A$45,0))</f>
        <v/>
      </c>
      <c r="M334" s="22" t="str">
        <f>INDEX(Cronograma!L$5:L$11,MATCH($B334,Premissas!$A$39:$A$45,0))</f>
        <v/>
      </c>
      <c r="N334" s="22" t="str">
        <f>INDEX(Cronograma!M$5:M$11,MATCH($B334,Premissas!$A$39:$A$45,0))</f>
        <v>A</v>
      </c>
      <c r="O334" s="22" t="str">
        <f>INDEX(Cronograma!N$5:N$11,MATCH($B334,Premissas!$A$39:$A$45,0))</f>
        <v/>
      </c>
      <c r="P334" s="22" t="str">
        <f>INDEX(Cronograma!O$5:O$11,MATCH($B334,Premissas!$A$39:$A$45,0))</f>
        <v/>
      </c>
      <c r="Q334" s="22" t="str">
        <f>INDEX(Cronograma!P$5:P$11,MATCH($B334,Premissas!$A$39:$A$45,0))</f>
        <v/>
      </c>
      <c r="R334" s="22" t="str">
        <f>INDEX(Cronograma!Q$5:Q$11,MATCH($B334,Premissas!$A$39:$A$45,0))</f>
        <v/>
      </c>
      <c r="S334" s="22" t="str">
        <f>INDEX(Cronograma!R$5:R$11,MATCH($B334,Premissas!$A$39:$A$45,0))</f>
        <v>S</v>
      </c>
      <c r="T334" s="22" t="str">
        <f>INDEX(Cronograma!S$5:S$11,MATCH($B334,Premissas!$A$39:$A$45,0))</f>
        <v/>
      </c>
      <c r="U334" s="22" t="str">
        <f>INDEX(Cronograma!T$5:T$11,MATCH($B334,Premissas!$A$39:$A$45,0))</f>
        <v/>
      </c>
      <c r="V334" s="22" t="str">
        <f>INDEX(Cronograma!U$5:U$11,MATCH($B334,Premissas!$A$39:$A$45,0))</f>
        <v/>
      </c>
      <c r="W334" s="22" t="str">
        <f>INDEX(Cronograma!V$5:V$11,MATCH($B334,Premissas!$A$39:$A$45,0))</f>
        <v/>
      </c>
      <c r="X334" s="22" t="str">
        <f>INDEX(Cronograma!W$5:W$11,MATCH($B334,Premissas!$A$39:$A$45,0))</f>
        <v/>
      </c>
      <c r="Y334" s="22" t="str">
        <f>INDEX(Cronograma!X$5:X$11,MATCH($B334,Premissas!$A$39:$A$45,0))</f>
        <v>B</v>
      </c>
      <c r="Z334" s="22" t="str">
        <f>INDEX(Cronograma!Y$5:Y$11,MATCH($B334,Premissas!$A$39:$A$45,0))</f>
        <v/>
      </c>
      <c r="AA334" s="22" t="str">
        <f>INDEX(Cronograma!Z$5:Z$11,MATCH($B334,Premissas!$A$39:$A$45,0))</f>
        <v/>
      </c>
      <c r="AB334" s="22" t="str">
        <f>INDEX(Cronograma!AA$5:AA$11,MATCH($B334,Premissas!$A$39:$A$45,0))</f>
        <v/>
      </c>
      <c r="AC334" s="22" t="str">
        <f>INDEX(Cronograma!AB$5:AB$11,MATCH($B334,Premissas!$A$39:$A$45,0))</f>
        <v/>
      </c>
      <c r="AD334" s="22" t="str">
        <f>INDEX(Cronograma!AC$5:AC$11,MATCH($B334,Premissas!$A$39:$A$45,0))</f>
        <v>S</v>
      </c>
      <c r="AE334" s="22" t="str">
        <f>INDEX(Cronograma!AD$5:AD$11,MATCH($B334,Premissas!$A$39:$A$45,0))</f>
        <v/>
      </c>
      <c r="AF334" s="22" t="str">
        <f>INDEX(Cronograma!AE$5:AE$11,MATCH($B334,Premissas!$A$39:$A$45,0))</f>
        <v/>
      </c>
      <c r="AG334" s="22" t="str">
        <f>INDEX(Cronograma!AF$5:AF$11,MATCH($B334,Premissas!$A$39:$A$45,0))</f>
        <v/>
      </c>
      <c r="AH334" s="22" t="str">
        <f>INDEX(Cronograma!AG$5:AG$11,MATCH($B334,Premissas!$A$39:$A$45,0))</f>
        <v/>
      </c>
      <c r="AI334" s="22" t="str">
        <f>INDEX(Cronograma!AH$5:AH$11,MATCH($B334,Premissas!$A$39:$A$45,0))</f>
        <v/>
      </c>
      <c r="AJ334" s="22" t="str">
        <f>INDEX(Cronograma!AI$5:AI$11,MATCH($B334,Premissas!$A$39:$A$45,0))</f>
        <v/>
      </c>
      <c r="AK334" s="22" t="str">
        <f>INDEX(Cronograma!AJ$5:AJ$11,MATCH($B334,Premissas!$A$39:$A$45,0))</f>
        <v/>
      </c>
      <c r="AL334" s="22" t="str">
        <f>INDEX(Cronograma!AK$5:AK$11,MATCH($B334,Premissas!$A$39:$A$45,0))</f>
        <v/>
      </c>
      <c r="AM334" s="22" t="str">
        <f>INDEX(Cronograma!AL$5:AL$11,MATCH($B334,Premissas!$A$39:$A$45,0))</f>
        <v/>
      </c>
      <c r="AN334" s="22" t="str">
        <f>INDEX(Cronograma!AM$5:AM$11,MATCH($B334,Premissas!$A$39:$A$45,0))</f>
        <v/>
      </c>
      <c r="AO334" s="22" t="str">
        <f>INDEX(Cronograma!AN$5:AN$11,MATCH($B334,Premissas!$A$39:$A$45,0))</f>
        <v/>
      </c>
      <c r="AP334" s="22" t="str">
        <f>INDEX(Cronograma!AO$5:AO$11,MATCH($B334,Premissas!$A$39:$A$45,0))</f>
        <v/>
      </c>
      <c r="AQ334" s="22" t="str">
        <f>INDEX(Cronograma!AP$5:AP$11,MATCH($B334,Premissas!$A$39:$A$45,0))</f>
        <v/>
      </c>
      <c r="AR334" s="22" t="str">
        <f>INDEX(Cronograma!AQ$5:AQ$11,MATCH($B334,Premissas!$A$39:$A$45,0))</f>
        <v>A</v>
      </c>
      <c r="AS334" s="22" t="str">
        <f>INDEX(Cronograma!AR$5:AR$11,MATCH($B334,Premissas!$A$39:$A$45,0))</f>
        <v/>
      </c>
      <c r="AT334" s="22" t="str">
        <f>INDEX(Cronograma!AS$5:AS$11,MATCH($B334,Premissas!$A$39:$A$45,0))</f>
        <v/>
      </c>
      <c r="AU334" s="22" t="str">
        <f>INDEX(Cronograma!AT$5:AT$11,MATCH($B334,Premissas!$A$39:$A$45,0))</f>
        <v/>
      </c>
      <c r="AV334" s="22" t="str">
        <f>INDEX(Cronograma!AU$5:AU$11,MATCH($B334,Premissas!$A$39:$A$45,0))</f>
        <v/>
      </c>
      <c r="AW334" s="22" t="str">
        <f>INDEX(Cronograma!AV$5:AV$11,MATCH($B334,Premissas!$A$39:$A$45,0))</f>
        <v/>
      </c>
      <c r="AX334" s="22" t="str">
        <f>INDEX(Cronograma!AW$5:AW$11,MATCH($B334,Premissas!$A$39:$A$45,0))</f>
        <v/>
      </c>
      <c r="AY334" s="22" t="str">
        <f>INDEX(Cronograma!AX$5:AX$11,MATCH($B334,Premissas!$A$39:$A$45,0))</f>
        <v/>
      </c>
      <c r="AZ334" s="22" t="str">
        <f>INDEX(Cronograma!AY$5:AY$11,MATCH($B334,Premissas!$A$39:$A$45,0))</f>
        <v/>
      </c>
      <c r="BA334" s="22" t="str">
        <f>INDEX(Cronograma!AZ$5:AZ$11,MATCH($B334,Premissas!$A$39:$A$45,0))</f>
        <v/>
      </c>
      <c r="BB334" s="22" t="str">
        <f>INDEX(Cronograma!BA$5:BA$11,MATCH($B334,Premissas!$A$39:$A$45,0))</f>
        <v/>
      </c>
    </row>
    <row r="335" spans="1:54" ht="15" customHeight="1" x14ac:dyDescent="0.4">
      <c r="A335" s="15" t="str">
        <f>Frota!$B335&amp;" — "&amp;Frota!$A335</f>
        <v>Bell SC-800 — 164055</v>
      </c>
      <c r="B335" s="16" t="str">
        <f>Frota!$C335</f>
        <v>Carregadeira/Pesada</v>
      </c>
      <c r="C335" s="22" t="str">
        <f>INDEX(Cronograma!B$5:B$11,MATCH($B335,Premissas!$A$39:$A$45,0))</f>
        <v/>
      </c>
      <c r="D335" s="22" t="str">
        <f>INDEX(Cronograma!C$5:C$11,MATCH($B335,Premissas!$A$39:$A$45,0))</f>
        <v/>
      </c>
      <c r="E335" s="22" t="str">
        <f>INDEX(Cronograma!D$5:D$11,MATCH($B335,Premissas!$A$39:$A$45,0))</f>
        <v/>
      </c>
      <c r="F335" s="22" t="str">
        <f>INDEX(Cronograma!E$5:E$11,MATCH($B335,Premissas!$A$39:$A$45,0))</f>
        <v/>
      </c>
      <c r="G335" s="22" t="str">
        <f>INDEX(Cronograma!F$5:F$11,MATCH($B335,Premissas!$A$39:$A$45,0))</f>
        <v/>
      </c>
      <c r="H335" s="22" t="str">
        <f>INDEX(Cronograma!G$5:G$11,MATCH($B335,Premissas!$A$39:$A$45,0))</f>
        <v>S</v>
      </c>
      <c r="I335" s="22" t="str">
        <f>INDEX(Cronograma!H$5:H$11,MATCH($B335,Premissas!$A$39:$A$45,0))</f>
        <v/>
      </c>
      <c r="J335" s="22" t="str">
        <f>INDEX(Cronograma!I$5:I$11,MATCH($B335,Premissas!$A$39:$A$45,0))</f>
        <v/>
      </c>
      <c r="K335" s="22" t="str">
        <f>INDEX(Cronograma!J$5:J$11,MATCH($B335,Premissas!$A$39:$A$45,0))</f>
        <v/>
      </c>
      <c r="L335" s="22" t="str">
        <f>INDEX(Cronograma!K$5:K$11,MATCH($B335,Premissas!$A$39:$A$45,0))</f>
        <v/>
      </c>
      <c r="M335" s="22" t="str">
        <f>INDEX(Cronograma!L$5:L$11,MATCH($B335,Premissas!$A$39:$A$45,0))</f>
        <v/>
      </c>
      <c r="N335" s="22" t="str">
        <f>INDEX(Cronograma!M$5:M$11,MATCH($B335,Premissas!$A$39:$A$45,0))</f>
        <v>A</v>
      </c>
      <c r="O335" s="22" t="str">
        <f>INDEX(Cronograma!N$5:N$11,MATCH($B335,Premissas!$A$39:$A$45,0))</f>
        <v/>
      </c>
      <c r="P335" s="22" t="str">
        <f>INDEX(Cronograma!O$5:O$11,MATCH($B335,Premissas!$A$39:$A$45,0))</f>
        <v/>
      </c>
      <c r="Q335" s="22" t="str">
        <f>INDEX(Cronograma!P$5:P$11,MATCH($B335,Premissas!$A$39:$A$45,0))</f>
        <v/>
      </c>
      <c r="R335" s="22" t="str">
        <f>INDEX(Cronograma!Q$5:Q$11,MATCH($B335,Premissas!$A$39:$A$45,0))</f>
        <v/>
      </c>
      <c r="S335" s="22" t="str">
        <f>INDEX(Cronograma!R$5:R$11,MATCH($B335,Premissas!$A$39:$A$45,0))</f>
        <v>S</v>
      </c>
      <c r="T335" s="22" t="str">
        <f>INDEX(Cronograma!S$5:S$11,MATCH($B335,Premissas!$A$39:$A$45,0))</f>
        <v/>
      </c>
      <c r="U335" s="22" t="str">
        <f>INDEX(Cronograma!T$5:T$11,MATCH($B335,Premissas!$A$39:$A$45,0))</f>
        <v/>
      </c>
      <c r="V335" s="22" t="str">
        <f>INDEX(Cronograma!U$5:U$11,MATCH($B335,Premissas!$A$39:$A$45,0))</f>
        <v/>
      </c>
      <c r="W335" s="22" t="str">
        <f>INDEX(Cronograma!V$5:V$11,MATCH($B335,Premissas!$A$39:$A$45,0))</f>
        <v/>
      </c>
      <c r="X335" s="22" t="str">
        <f>INDEX(Cronograma!W$5:W$11,MATCH($B335,Premissas!$A$39:$A$45,0))</f>
        <v/>
      </c>
      <c r="Y335" s="22" t="str">
        <f>INDEX(Cronograma!X$5:X$11,MATCH($B335,Premissas!$A$39:$A$45,0))</f>
        <v>B</v>
      </c>
      <c r="Z335" s="22" t="str">
        <f>INDEX(Cronograma!Y$5:Y$11,MATCH($B335,Premissas!$A$39:$A$45,0))</f>
        <v/>
      </c>
      <c r="AA335" s="22" t="str">
        <f>INDEX(Cronograma!Z$5:Z$11,MATCH($B335,Premissas!$A$39:$A$45,0))</f>
        <v/>
      </c>
      <c r="AB335" s="22" t="str">
        <f>INDEX(Cronograma!AA$5:AA$11,MATCH($B335,Premissas!$A$39:$A$45,0))</f>
        <v/>
      </c>
      <c r="AC335" s="22" t="str">
        <f>INDEX(Cronograma!AB$5:AB$11,MATCH($B335,Premissas!$A$39:$A$45,0))</f>
        <v/>
      </c>
      <c r="AD335" s="22" t="str">
        <f>INDEX(Cronograma!AC$5:AC$11,MATCH($B335,Premissas!$A$39:$A$45,0))</f>
        <v>S</v>
      </c>
      <c r="AE335" s="22" t="str">
        <f>INDEX(Cronograma!AD$5:AD$11,MATCH($B335,Premissas!$A$39:$A$45,0))</f>
        <v/>
      </c>
      <c r="AF335" s="22" t="str">
        <f>INDEX(Cronograma!AE$5:AE$11,MATCH($B335,Premissas!$A$39:$A$45,0))</f>
        <v/>
      </c>
      <c r="AG335" s="22" t="str">
        <f>INDEX(Cronograma!AF$5:AF$11,MATCH($B335,Premissas!$A$39:$A$45,0))</f>
        <v/>
      </c>
      <c r="AH335" s="22" t="str">
        <f>INDEX(Cronograma!AG$5:AG$11,MATCH($B335,Premissas!$A$39:$A$45,0))</f>
        <v/>
      </c>
      <c r="AI335" s="22" t="str">
        <f>INDEX(Cronograma!AH$5:AH$11,MATCH($B335,Premissas!$A$39:$A$45,0))</f>
        <v/>
      </c>
      <c r="AJ335" s="22" t="str">
        <f>INDEX(Cronograma!AI$5:AI$11,MATCH($B335,Premissas!$A$39:$A$45,0))</f>
        <v/>
      </c>
      <c r="AK335" s="22" t="str">
        <f>INDEX(Cronograma!AJ$5:AJ$11,MATCH($B335,Premissas!$A$39:$A$45,0))</f>
        <v/>
      </c>
      <c r="AL335" s="22" t="str">
        <f>INDEX(Cronograma!AK$5:AK$11,MATCH($B335,Premissas!$A$39:$A$45,0))</f>
        <v/>
      </c>
      <c r="AM335" s="22" t="str">
        <f>INDEX(Cronograma!AL$5:AL$11,MATCH($B335,Premissas!$A$39:$A$45,0))</f>
        <v/>
      </c>
      <c r="AN335" s="22" t="str">
        <f>INDEX(Cronograma!AM$5:AM$11,MATCH($B335,Premissas!$A$39:$A$45,0))</f>
        <v/>
      </c>
      <c r="AO335" s="22" t="str">
        <f>INDEX(Cronograma!AN$5:AN$11,MATCH($B335,Premissas!$A$39:$A$45,0))</f>
        <v/>
      </c>
      <c r="AP335" s="22" t="str">
        <f>INDEX(Cronograma!AO$5:AO$11,MATCH($B335,Premissas!$A$39:$A$45,0))</f>
        <v/>
      </c>
      <c r="AQ335" s="22" t="str">
        <f>INDEX(Cronograma!AP$5:AP$11,MATCH($B335,Premissas!$A$39:$A$45,0))</f>
        <v/>
      </c>
      <c r="AR335" s="22" t="str">
        <f>INDEX(Cronograma!AQ$5:AQ$11,MATCH($B335,Premissas!$A$39:$A$45,0))</f>
        <v>A</v>
      </c>
      <c r="AS335" s="22" t="str">
        <f>INDEX(Cronograma!AR$5:AR$11,MATCH($B335,Premissas!$A$39:$A$45,0))</f>
        <v/>
      </c>
      <c r="AT335" s="22" t="str">
        <f>INDEX(Cronograma!AS$5:AS$11,MATCH($B335,Premissas!$A$39:$A$45,0))</f>
        <v/>
      </c>
      <c r="AU335" s="22" t="str">
        <f>INDEX(Cronograma!AT$5:AT$11,MATCH($B335,Premissas!$A$39:$A$45,0))</f>
        <v/>
      </c>
      <c r="AV335" s="22" t="str">
        <f>INDEX(Cronograma!AU$5:AU$11,MATCH($B335,Premissas!$A$39:$A$45,0))</f>
        <v/>
      </c>
      <c r="AW335" s="22" t="str">
        <f>INDEX(Cronograma!AV$5:AV$11,MATCH($B335,Premissas!$A$39:$A$45,0))</f>
        <v/>
      </c>
      <c r="AX335" s="22" t="str">
        <f>INDEX(Cronograma!AW$5:AW$11,MATCH($B335,Premissas!$A$39:$A$45,0))</f>
        <v/>
      </c>
      <c r="AY335" s="22" t="str">
        <f>INDEX(Cronograma!AX$5:AX$11,MATCH($B335,Premissas!$A$39:$A$45,0))</f>
        <v/>
      </c>
      <c r="AZ335" s="22" t="str">
        <f>INDEX(Cronograma!AY$5:AY$11,MATCH($B335,Premissas!$A$39:$A$45,0))</f>
        <v/>
      </c>
      <c r="BA335" s="22" t="str">
        <f>INDEX(Cronograma!AZ$5:AZ$11,MATCH($B335,Premissas!$A$39:$A$45,0))</f>
        <v/>
      </c>
      <c r="BB335" s="22" t="str">
        <f>INDEX(Cronograma!BA$5:BA$11,MATCH($B335,Premissas!$A$39:$A$45,0))</f>
        <v/>
      </c>
    </row>
    <row r="336" spans="1:54" ht="15" customHeight="1" x14ac:dyDescent="0.4">
      <c r="A336" s="15" t="str">
        <f>Frota!$B336&amp;" — "&amp;Frota!$A336</f>
        <v>Bell SC-800 — 164056</v>
      </c>
      <c r="B336" s="16" t="str">
        <f>Frota!$C336</f>
        <v>Carregadeira/Pesada</v>
      </c>
      <c r="C336" s="22" t="str">
        <f>INDEX(Cronograma!B$5:B$11,MATCH($B336,Premissas!$A$39:$A$45,0))</f>
        <v/>
      </c>
      <c r="D336" s="22" t="str">
        <f>INDEX(Cronograma!C$5:C$11,MATCH($B336,Premissas!$A$39:$A$45,0))</f>
        <v/>
      </c>
      <c r="E336" s="22" t="str">
        <f>INDEX(Cronograma!D$5:D$11,MATCH($B336,Premissas!$A$39:$A$45,0))</f>
        <v/>
      </c>
      <c r="F336" s="22" t="str">
        <f>INDEX(Cronograma!E$5:E$11,MATCH($B336,Premissas!$A$39:$A$45,0))</f>
        <v/>
      </c>
      <c r="G336" s="22" t="str">
        <f>INDEX(Cronograma!F$5:F$11,MATCH($B336,Premissas!$A$39:$A$45,0))</f>
        <v/>
      </c>
      <c r="H336" s="22" t="str">
        <f>INDEX(Cronograma!G$5:G$11,MATCH($B336,Premissas!$A$39:$A$45,0))</f>
        <v>S</v>
      </c>
      <c r="I336" s="22" t="str">
        <f>INDEX(Cronograma!H$5:H$11,MATCH($B336,Premissas!$A$39:$A$45,0))</f>
        <v/>
      </c>
      <c r="J336" s="22" t="str">
        <f>INDEX(Cronograma!I$5:I$11,MATCH($B336,Premissas!$A$39:$A$45,0))</f>
        <v/>
      </c>
      <c r="K336" s="22" t="str">
        <f>INDEX(Cronograma!J$5:J$11,MATCH($B336,Premissas!$A$39:$A$45,0))</f>
        <v/>
      </c>
      <c r="L336" s="22" t="str">
        <f>INDEX(Cronograma!K$5:K$11,MATCH($B336,Premissas!$A$39:$A$45,0))</f>
        <v/>
      </c>
      <c r="M336" s="22" t="str">
        <f>INDEX(Cronograma!L$5:L$11,MATCH($B336,Premissas!$A$39:$A$45,0))</f>
        <v/>
      </c>
      <c r="N336" s="22" t="str">
        <f>INDEX(Cronograma!M$5:M$11,MATCH($B336,Premissas!$A$39:$A$45,0))</f>
        <v>A</v>
      </c>
      <c r="O336" s="22" t="str">
        <f>INDEX(Cronograma!N$5:N$11,MATCH($B336,Premissas!$A$39:$A$45,0))</f>
        <v/>
      </c>
      <c r="P336" s="22" t="str">
        <f>INDEX(Cronograma!O$5:O$11,MATCH($B336,Premissas!$A$39:$A$45,0))</f>
        <v/>
      </c>
      <c r="Q336" s="22" t="str">
        <f>INDEX(Cronograma!P$5:P$11,MATCH($B336,Premissas!$A$39:$A$45,0))</f>
        <v/>
      </c>
      <c r="R336" s="22" t="str">
        <f>INDEX(Cronograma!Q$5:Q$11,MATCH($B336,Premissas!$A$39:$A$45,0))</f>
        <v/>
      </c>
      <c r="S336" s="22" t="str">
        <f>INDEX(Cronograma!R$5:R$11,MATCH($B336,Premissas!$A$39:$A$45,0))</f>
        <v>S</v>
      </c>
      <c r="T336" s="22" t="str">
        <f>INDEX(Cronograma!S$5:S$11,MATCH($B336,Premissas!$A$39:$A$45,0))</f>
        <v/>
      </c>
      <c r="U336" s="22" t="str">
        <f>INDEX(Cronograma!T$5:T$11,MATCH($B336,Premissas!$A$39:$A$45,0))</f>
        <v/>
      </c>
      <c r="V336" s="22" t="str">
        <f>INDEX(Cronograma!U$5:U$11,MATCH($B336,Premissas!$A$39:$A$45,0))</f>
        <v/>
      </c>
      <c r="W336" s="22" t="str">
        <f>INDEX(Cronograma!V$5:V$11,MATCH($B336,Premissas!$A$39:$A$45,0))</f>
        <v/>
      </c>
      <c r="X336" s="22" t="str">
        <f>INDEX(Cronograma!W$5:W$11,MATCH($B336,Premissas!$A$39:$A$45,0))</f>
        <v/>
      </c>
      <c r="Y336" s="22" t="str">
        <f>INDEX(Cronograma!X$5:X$11,MATCH($B336,Premissas!$A$39:$A$45,0))</f>
        <v>B</v>
      </c>
      <c r="Z336" s="22" t="str">
        <f>INDEX(Cronograma!Y$5:Y$11,MATCH($B336,Premissas!$A$39:$A$45,0))</f>
        <v/>
      </c>
      <c r="AA336" s="22" t="str">
        <f>INDEX(Cronograma!Z$5:Z$11,MATCH($B336,Premissas!$A$39:$A$45,0))</f>
        <v/>
      </c>
      <c r="AB336" s="22" t="str">
        <f>INDEX(Cronograma!AA$5:AA$11,MATCH($B336,Premissas!$A$39:$A$45,0))</f>
        <v/>
      </c>
      <c r="AC336" s="22" t="str">
        <f>INDEX(Cronograma!AB$5:AB$11,MATCH($B336,Premissas!$A$39:$A$45,0))</f>
        <v/>
      </c>
      <c r="AD336" s="22" t="str">
        <f>INDEX(Cronograma!AC$5:AC$11,MATCH($B336,Premissas!$A$39:$A$45,0))</f>
        <v>S</v>
      </c>
      <c r="AE336" s="22" t="str">
        <f>INDEX(Cronograma!AD$5:AD$11,MATCH($B336,Premissas!$A$39:$A$45,0))</f>
        <v/>
      </c>
      <c r="AF336" s="22" t="str">
        <f>INDEX(Cronograma!AE$5:AE$11,MATCH($B336,Premissas!$A$39:$A$45,0))</f>
        <v/>
      </c>
      <c r="AG336" s="22" t="str">
        <f>INDEX(Cronograma!AF$5:AF$11,MATCH($B336,Premissas!$A$39:$A$45,0))</f>
        <v/>
      </c>
      <c r="AH336" s="22" t="str">
        <f>INDEX(Cronograma!AG$5:AG$11,MATCH($B336,Premissas!$A$39:$A$45,0))</f>
        <v/>
      </c>
      <c r="AI336" s="22" t="str">
        <f>INDEX(Cronograma!AH$5:AH$11,MATCH($B336,Premissas!$A$39:$A$45,0))</f>
        <v/>
      </c>
      <c r="AJ336" s="22" t="str">
        <f>INDEX(Cronograma!AI$5:AI$11,MATCH($B336,Premissas!$A$39:$A$45,0))</f>
        <v/>
      </c>
      <c r="AK336" s="22" t="str">
        <f>INDEX(Cronograma!AJ$5:AJ$11,MATCH($B336,Premissas!$A$39:$A$45,0))</f>
        <v/>
      </c>
      <c r="AL336" s="22" t="str">
        <f>INDEX(Cronograma!AK$5:AK$11,MATCH($B336,Premissas!$A$39:$A$45,0))</f>
        <v/>
      </c>
      <c r="AM336" s="22" t="str">
        <f>INDEX(Cronograma!AL$5:AL$11,MATCH($B336,Premissas!$A$39:$A$45,0))</f>
        <v/>
      </c>
      <c r="AN336" s="22" t="str">
        <f>INDEX(Cronograma!AM$5:AM$11,MATCH($B336,Premissas!$A$39:$A$45,0))</f>
        <v/>
      </c>
      <c r="AO336" s="22" t="str">
        <f>INDEX(Cronograma!AN$5:AN$11,MATCH($B336,Premissas!$A$39:$A$45,0))</f>
        <v/>
      </c>
      <c r="AP336" s="22" t="str">
        <f>INDEX(Cronograma!AO$5:AO$11,MATCH($B336,Premissas!$A$39:$A$45,0))</f>
        <v/>
      </c>
      <c r="AQ336" s="22" t="str">
        <f>INDEX(Cronograma!AP$5:AP$11,MATCH($B336,Premissas!$A$39:$A$45,0))</f>
        <v/>
      </c>
      <c r="AR336" s="22" t="str">
        <f>INDEX(Cronograma!AQ$5:AQ$11,MATCH($B336,Premissas!$A$39:$A$45,0))</f>
        <v>A</v>
      </c>
      <c r="AS336" s="22" t="str">
        <f>INDEX(Cronograma!AR$5:AR$11,MATCH($B336,Premissas!$A$39:$A$45,0))</f>
        <v/>
      </c>
      <c r="AT336" s="22" t="str">
        <f>INDEX(Cronograma!AS$5:AS$11,MATCH($B336,Premissas!$A$39:$A$45,0))</f>
        <v/>
      </c>
      <c r="AU336" s="22" t="str">
        <f>INDEX(Cronograma!AT$5:AT$11,MATCH($B336,Premissas!$A$39:$A$45,0))</f>
        <v/>
      </c>
      <c r="AV336" s="22" t="str">
        <f>INDEX(Cronograma!AU$5:AU$11,MATCH($B336,Premissas!$A$39:$A$45,0))</f>
        <v/>
      </c>
      <c r="AW336" s="22" t="str">
        <f>INDEX(Cronograma!AV$5:AV$11,MATCH($B336,Premissas!$A$39:$A$45,0))</f>
        <v/>
      </c>
      <c r="AX336" s="22" t="str">
        <f>INDEX(Cronograma!AW$5:AW$11,MATCH($B336,Premissas!$A$39:$A$45,0))</f>
        <v/>
      </c>
      <c r="AY336" s="22" t="str">
        <f>INDEX(Cronograma!AX$5:AX$11,MATCH($B336,Premissas!$A$39:$A$45,0))</f>
        <v/>
      </c>
      <c r="AZ336" s="22" t="str">
        <f>INDEX(Cronograma!AY$5:AY$11,MATCH($B336,Premissas!$A$39:$A$45,0))</f>
        <v/>
      </c>
      <c r="BA336" s="22" t="str">
        <f>INDEX(Cronograma!AZ$5:AZ$11,MATCH($B336,Premissas!$A$39:$A$45,0))</f>
        <v/>
      </c>
      <c r="BB336" s="22" t="str">
        <f>INDEX(Cronograma!BA$5:BA$11,MATCH($B336,Premissas!$A$39:$A$45,0))</f>
        <v/>
      </c>
    </row>
    <row r="337" spans="1:54" ht="15" customHeight="1" x14ac:dyDescent="0.4">
      <c r="A337" s="15" t="str">
        <f>Frota!$B337&amp;" — "&amp;Frota!$A337</f>
        <v>Bell SC-800 — 164057</v>
      </c>
      <c r="B337" s="16" t="str">
        <f>Frota!$C337</f>
        <v>Carregadeira/Pesada</v>
      </c>
      <c r="C337" s="22" t="str">
        <f>INDEX(Cronograma!B$5:B$11,MATCH($B337,Premissas!$A$39:$A$45,0))</f>
        <v/>
      </c>
      <c r="D337" s="22" t="str">
        <f>INDEX(Cronograma!C$5:C$11,MATCH($B337,Premissas!$A$39:$A$45,0))</f>
        <v/>
      </c>
      <c r="E337" s="22" t="str">
        <f>INDEX(Cronograma!D$5:D$11,MATCH($B337,Premissas!$A$39:$A$45,0))</f>
        <v/>
      </c>
      <c r="F337" s="22" t="str">
        <f>INDEX(Cronograma!E$5:E$11,MATCH($B337,Premissas!$A$39:$A$45,0))</f>
        <v/>
      </c>
      <c r="G337" s="22" t="str">
        <f>INDEX(Cronograma!F$5:F$11,MATCH($B337,Premissas!$A$39:$A$45,0))</f>
        <v/>
      </c>
      <c r="H337" s="22" t="str">
        <f>INDEX(Cronograma!G$5:G$11,MATCH($B337,Premissas!$A$39:$A$45,0))</f>
        <v>S</v>
      </c>
      <c r="I337" s="22" t="str">
        <f>INDEX(Cronograma!H$5:H$11,MATCH($B337,Premissas!$A$39:$A$45,0))</f>
        <v/>
      </c>
      <c r="J337" s="22" t="str">
        <f>INDEX(Cronograma!I$5:I$11,MATCH($B337,Premissas!$A$39:$A$45,0))</f>
        <v/>
      </c>
      <c r="K337" s="22" t="str">
        <f>INDEX(Cronograma!J$5:J$11,MATCH($B337,Premissas!$A$39:$A$45,0))</f>
        <v/>
      </c>
      <c r="L337" s="22" t="str">
        <f>INDEX(Cronograma!K$5:K$11,MATCH($B337,Premissas!$A$39:$A$45,0))</f>
        <v/>
      </c>
      <c r="M337" s="22" t="str">
        <f>INDEX(Cronograma!L$5:L$11,MATCH($B337,Premissas!$A$39:$A$45,0))</f>
        <v/>
      </c>
      <c r="N337" s="22" t="str">
        <f>INDEX(Cronograma!M$5:M$11,MATCH($B337,Premissas!$A$39:$A$45,0))</f>
        <v>A</v>
      </c>
      <c r="O337" s="22" t="str">
        <f>INDEX(Cronograma!N$5:N$11,MATCH($B337,Premissas!$A$39:$A$45,0))</f>
        <v/>
      </c>
      <c r="P337" s="22" t="str">
        <f>INDEX(Cronograma!O$5:O$11,MATCH($B337,Premissas!$A$39:$A$45,0))</f>
        <v/>
      </c>
      <c r="Q337" s="22" t="str">
        <f>INDEX(Cronograma!P$5:P$11,MATCH($B337,Premissas!$A$39:$A$45,0))</f>
        <v/>
      </c>
      <c r="R337" s="22" t="str">
        <f>INDEX(Cronograma!Q$5:Q$11,MATCH($B337,Premissas!$A$39:$A$45,0))</f>
        <v/>
      </c>
      <c r="S337" s="22" t="str">
        <f>INDEX(Cronograma!R$5:R$11,MATCH($B337,Premissas!$A$39:$A$45,0))</f>
        <v>S</v>
      </c>
      <c r="T337" s="22" t="str">
        <f>INDEX(Cronograma!S$5:S$11,MATCH($B337,Premissas!$A$39:$A$45,0))</f>
        <v/>
      </c>
      <c r="U337" s="22" t="str">
        <f>INDEX(Cronograma!T$5:T$11,MATCH($B337,Premissas!$A$39:$A$45,0))</f>
        <v/>
      </c>
      <c r="V337" s="22" t="str">
        <f>INDEX(Cronograma!U$5:U$11,MATCH($B337,Premissas!$A$39:$A$45,0))</f>
        <v/>
      </c>
      <c r="W337" s="22" t="str">
        <f>INDEX(Cronograma!V$5:V$11,MATCH($B337,Premissas!$A$39:$A$45,0))</f>
        <v/>
      </c>
      <c r="X337" s="22" t="str">
        <f>INDEX(Cronograma!W$5:W$11,MATCH($B337,Premissas!$A$39:$A$45,0))</f>
        <v/>
      </c>
      <c r="Y337" s="22" t="str">
        <f>INDEX(Cronograma!X$5:X$11,MATCH($B337,Premissas!$A$39:$A$45,0))</f>
        <v>B</v>
      </c>
      <c r="Z337" s="22" t="str">
        <f>INDEX(Cronograma!Y$5:Y$11,MATCH($B337,Premissas!$A$39:$A$45,0))</f>
        <v/>
      </c>
      <c r="AA337" s="22" t="str">
        <f>INDEX(Cronograma!Z$5:Z$11,MATCH($B337,Premissas!$A$39:$A$45,0))</f>
        <v/>
      </c>
      <c r="AB337" s="22" t="str">
        <f>INDEX(Cronograma!AA$5:AA$11,MATCH($B337,Premissas!$A$39:$A$45,0))</f>
        <v/>
      </c>
      <c r="AC337" s="22" t="str">
        <f>INDEX(Cronograma!AB$5:AB$11,MATCH($B337,Premissas!$A$39:$A$45,0))</f>
        <v/>
      </c>
      <c r="AD337" s="22" t="str">
        <f>INDEX(Cronograma!AC$5:AC$11,MATCH($B337,Premissas!$A$39:$A$45,0))</f>
        <v>S</v>
      </c>
      <c r="AE337" s="22" t="str">
        <f>INDEX(Cronograma!AD$5:AD$11,MATCH($B337,Premissas!$A$39:$A$45,0))</f>
        <v/>
      </c>
      <c r="AF337" s="22" t="str">
        <f>INDEX(Cronograma!AE$5:AE$11,MATCH($B337,Premissas!$A$39:$A$45,0))</f>
        <v/>
      </c>
      <c r="AG337" s="22" t="str">
        <f>INDEX(Cronograma!AF$5:AF$11,MATCH($B337,Premissas!$A$39:$A$45,0))</f>
        <v/>
      </c>
      <c r="AH337" s="22" t="str">
        <f>INDEX(Cronograma!AG$5:AG$11,MATCH($B337,Premissas!$A$39:$A$45,0))</f>
        <v/>
      </c>
      <c r="AI337" s="22" t="str">
        <f>INDEX(Cronograma!AH$5:AH$11,MATCH($B337,Premissas!$A$39:$A$45,0))</f>
        <v/>
      </c>
      <c r="AJ337" s="22" t="str">
        <f>INDEX(Cronograma!AI$5:AI$11,MATCH($B337,Premissas!$A$39:$A$45,0))</f>
        <v/>
      </c>
      <c r="AK337" s="22" t="str">
        <f>INDEX(Cronograma!AJ$5:AJ$11,MATCH($B337,Premissas!$A$39:$A$45,0))</f>
        <v/>
      </c>
      <c r="AL337" s="22" t="str">
        <f>INDEX(Cronograma!AK$5:AK$11,MATCH($B337,Premissas!$A$39:$A$45,0))</f>
        <v/>
      </c>
      <c r="AM337" s="22" t="str">
        <f>INDEX(Cronograma!AL$5:AL$11,MATCH($B337,Premissas!$A$39:$A$45,0))</f>
        <v/>
      </c>
      <c r="AN337" s="22" t="str">
        <f>INDEX(Cronograma!AM$5:AM$11,MATCH($B337,Premissas!$A$39:$A$45,0))</f>
        <v/>
      </c>
      <c r="AO337" s="22" t="str">
        <f>INDEX(Cronograma!AN$5:AN$11,MATCH($B337,Premissas!$A$39:$A$45,0))</f>
        <v/>
      </c>
      <c r="AP337" s="22" t="str">
        <f>INDEX(Cronograma!AO$5:AO$11,MATCH($B337,Premissas!$A$39:$A$45,0))</f>
        <v/>
      </c>
      <c r="AQ337" s="22" t="str">
        <f>INDEX(Cronograma!AP$5:AP$11,MATCH($B337,Premissas!$A$39:$A$45,0))</f>
        <v/>
      </c>
      <c r="AR337" s="22" t="str">
        <f>INDEX(Cronograma!AQ$5:AQ$11,MATCH($B337,Premissas!$A$39:$A$45,0))</f>
        <v>A</v>
      </c>
      <c r="AS337" s="22" t="str">
        <f>INDEX(Cronograma!AR$5:AR$11,MATCH($B337,Premissas!$A$39:$A$45,0))</f>
        <v/>
      </c>
      <c r="AT337" s="22" t="str">
        <f>INDEX(Cronograma!AS$5:AS$11,MATCH($B337,Premissas!$A$39:$A$45,0))</f>
        <v/>
      </c>
      <c r="AU337" s="22" t="str">
        <f>INDEX(Cronograma!AT$5:AT$11,MATCH($B337,Premissas!$A$39:$A$45,0))</f>
        <v/>
      </c>
      <c r="AV337" s="22" t="str">
        <f>INDEX(Cronograma!AU$5:AU$11,MATCH($B337,Premissas!$A$39:$A$45,0))</f>
        <v/>
      </c>
      <c r="AW337" s="22" t="str">
        <f>INDEX(Cronograma!AV$5:AV$11,MATCH($B337,Premissas!$A$39:$A$45,0))</f>
        <v/>
      </c>
      <c r="AX337" s="22" t="str">
        <f>INDEX(Cronograma!AW$5:AW$11,MATCH($B337,Premissas!$A$39:$A$45,0))</f>
        <v/>
      </c>
      <c r="AY337" s="22" t="str">
        <f>INDEX(Cronograma!AX$5:AX$11,MATCH($B337,Premissas!$A$39:$A$45,0))</f>
        <v/>
      </c>
      <c r="AZ337" s="22" t="str">
        <f>INDEX(Cronograma!AY$5:AY$11,MATCH($B337,Premissas!$A$39:$A$45,0))</f>
        <v/>
      </c>
      <c r="BA337" s="22" t="str">
        <f>INDEX(Cronograma!AZ$5:AZ$11,MATCH($B337,Premissas!$A$39:$A$45,0))</f>
        <v/>
      </c>
      <c r="BB337" s="22" t="str">
        <f>INDEX(Cronograma!BA$5:BA$11,MATCH($B337,Premissas!$A$39:$A$45,0))</f>
        <v/>
      </c>
    </row>
    <row r="338" spans="1:54" ht="15" customHeight="1" x14ac:dyDescent="0.4">
      <c r="A338" s="15" t="str">
        <f>Frota!$B338&amp;" — "&amp;Frota!$A338</f>
        <v>Bell SC-800 — 164058</v>
      </c>
      <c r="B338" s="16" t="str">
        <f>Frota!$C338</f>
        <v>Carregadeira/Pesada</v>
      </c>
      <c r="C338" s="22" t="str">
        <f>INDEX(Cronograma!B$5:B$11,MATCH($B338,Premissas!$A$39:$A$45,0))</f>
        <v/>
      </c>
      <c r="D338" s="22" t="str">
        <f>INDEX(Cronograma!C$5:C$11,MATCH($B338,Premissas!$A$39:$A$45,0))</f>
        <v/>
      </c>
      <c r="E338" s="22" t="str">
        <f>INDEX(Cronograma!D$5:D$11,MATCH($B338,Premissas!$A$39:$A$45,0))</f>
        <v/>
      </c>
      <c r="F338" s="22" t="str">
        <f>INDEX(Cronograma!E$5:E$11,MATCH($B338,Premissas!$A$39:$A$45,0))</f>
        <v/>
      </c>
      <c r="G338" s="22" t="str">
        <f>INDEX(Cronograma!F$5:F$11,MATCH($B338,Premissas!$A$39:$A$45,0))</f>
        <v/>
      </c>
      <c r="H338" s="22" t="str">
        <f>INDEX(Cronograma!G$5:G$11,MATCH($B338,Premissas!$A$39:$A$45,0))</f>
        <v>S</v>
      </c>
      <c r="I338" s="22" t="str">
        <f>INDEX(Cronograma!H$5:H$11,MATCH($B338,Premissas!$A$39:$A$45,0))</f>
        <v/>
      </c>
      <c r="J338" s="22" t="str">
        <f>INDEX(Cronograma!I$5:I$11,MATCH($B338,Premissas!$A$39:$A$45,0))</f>
        <v/>
      </c>
      <c r="K338" s="22" t="str">
        <f>INDEX(Cronograma!J$5:J$11,MATCH($B338,Premissas!$A$39:$A$45,0))</f>
        <v/>
      </c>
      <c r="L338" s="22" t="str">
        <f>INDEX(Cronograma!K$5:K$11,MATCH($B338,Premissas!$A$39:$A$45,0))</f>
        <v/>
      </c>
      <c r="M338" s="22" t="str">
        <f>INDEX(Cronograma!L$5:L$11,MATCH($B338,Premissas!$A$39:$A$45,0))</f>
        <v/>
      </c>
      <c r="N338" s="22" t="str">
        <f>INDEX(Cronograma!M$5:M$11,MATCH($B338,Premissas!$A$39:$A$45,0))</f>
        <v>A</v>
      </c>
      <c r="O338" s="22" t="str">
        <f>INDEX(Cronograma!N$5:N$11,MATCH($B338,Premissas!$A$39:$A$45,0))</f>
        <v/>
      </c>
      <c r="P338" s="22" t="str">
        <f>INDEX(Cronograma!O$5:O$11,MATCH($B338,Premissas!$A$39:$A$45,0))</f>
        <v/>
      </c>
      <c r="Q338" s="22" t="str">
        <f>INDEX(Cronograma!P$5:P$11,MATCH($B338,Premissas!$A$39:$A$45,0))</f>
        <v/>
      </c>
      <c r="R338" s="22" t="str">
        <f>INDEX(Cronograma!Q$5:Q$11,MATCH($B338,Premissas!$A$39:$A$45,0))</f>
        <v/>
      </c>
      <c r="S338" s="22" t="str">
        <f>INDEX(Cronograma!R$5:R$11,MATCH($B338,Premissas!$A$39:$A$45,0))</f>
        <v>S</v>
      </c>
      <c r="T338" s="22" t="str">
        <f>INDEX(Cronograma!S$5:S$11,MATCH($B338,Premissas!$A$39:$A$45,0))</f>
        <v/>
      </c>
      <c r="U338" s="22" t="str">
        <f>INDEX(Cronograma!T$5:T$11,MATCH($B338,Premissas!$A$39:$A$45,0))</f>
        <v/>
      </c>
      <c r="V338" s="22" t="str">
        <f>INDEX(Cronograma!U$5:U$11,MATCH($B338,Premissas!$A$39:$A$45,0))</f>
        <v/>
      </c>
      <c r="W338" s="22" t="str">
        <f>INDEX(Cronograma!V$5:V$11,MATCH($B338,Premissas!$A$39:$A$45,0))</f>
        <v/>
      </c>
      <c r="X338" s="22" t="str">
        <f>INDEX(Cronograma!W$5:W$11,MATCH($B338,Premissas!$A$39:$A$45,0))</f>
        <v/>
      </c>
      <c r="Y338" s="22" t="str">
        <f>INDEX(Cronograma!X$5:X$11,MATCH($B338,Premissas!$A$39:$A$45,0))</f>
        <v>B</v>
      </c>
      <c r="Z338" s="22" t="str">
        <f>INDEX(Cronograma!Y$5:Y$11,MATCH($B338,Premissas!$A$39:$A$45,0))</f>
        <v/>
      </c>
      <c r="AA338" s="22" t="str">
        <f>INDEX(Cronograma!Z$5:Z$11,MATCH($B338,Premissas!$A$39:$A$45,0))</f>
        <v/>
      </c>
      <c r="AB338" s="22" t="str">
        <f>INDEX(Cronograma!AA$5:AA$11,MATCH($B338,Premissas!$A$39:$A$45,0))</f>
        <v/>
      </c>
      <c r="AC338" s="22" t="str">
        <f>INDEX(Cronograma!AB$5:AB$11,MATCH($B338,Premissas!$A$39:$A$45,0))</f>
        <v/>
      </c>
      <c r="AD338" s="22" t="str">
        <f>INDEX(Cronograma!AC$5:AC$11,MATCH($B338,Premissas!$A$39:$A$45,0))</f>
        <v>S</v>
      </c>
      <c r="AE338" s="22" t="str">
        <f>INDEX(Cronograma!AD$5:AD$11,MATCH($B338,Premissas!$A$39:$A$45,0))</f>
        <v/>
      </c>
      <c r="AF338" s="22" t="str">
        <f>INDEX(Cronograma!AE$5:AE$11,MATCH($B338,Premissas!$A$39:$A$45,0))</f>
        <v/>
      </c>
      <c r="AG338" s="22" t="str">
        <f>INDEX(Cronograma!AF$5:AF$11,MATCH($B338,Premissas!$A$39:$A$45,0))</f>
        <v/>
      </c>
      <c r="AH338" s="22" t="str">
        <f>INDEX(Cronograma!AG$5:AG$11,MATCH($B338,Premissas!$A$39:$A$45,0))</f>
        <v/>
      </c>
      <c r="AI338" s="22" t="str">
        <f>INDEX(Cronograma!AH$5:AH$11,MATCH($B338,Premissas!$A$39:$A$45,0))</f>
        <v/>
      </c>
      <c r="AJ338" s="22" t="str">
        <f>INDEX(Cronograma!AI$5:AI$11,MATCH($B338,Premissas!$A$39:$A$45,0))</f>
        <v/>
      </c>
      <c r="AK338" s="22" t="str">
        <f>INDEX(Cronograma!AJ$5:AJ$11,MATCH($B338,Premissas!$A$39:$A$45,0))</f>
        <v/>
      </c>
      <c r="AL338" s="22" t="str">
        <f>INDEX(Cronograma!AK$5:AK$11,MATCH($B338,Premissas!$A$39:$A$45,0))</f>
        <v/>
      </c>
      <c r="AM338" s="22" t="str">
        <f>INDEX(Cronograma!AL$5:AL$11,MATCH($B338,Premissas!$A$39:$A$45,0))</f>
        <v/>
      </c>
      <c r="AN338" s="22" t="str">
        <f>INDEX(Cronograma!AM$5:AM$11,MATCH($B338,Premissas!$A$39:$A$45,0))</f>
        <v/>
      </c>
      <c r="AO338" s="22" t="str">
        <f>INDEX(Cronograma!AN$5:AN$11,MATCH($B338,Premissas!$A$39:$A$45,0))</f>
        <v/>
      </c>
      <c r="AP338" s="22" t="str">
        <f>INDEX(Cronograma!AO$5:AO$11,MATCH($B338,Premissas!$A$39:$A$45,0))</f>
        <v/>
      </c>
      <c r="AQ338" s="22" t="str">
        <f>INDEX(Cronograma!AP$5:AP$11,MATCH($B338,Premissas!$A$39:$A$45,0))</f>
        <v/>
      </c>
      <c r="AR338" s="22" t="str">
        <f>INDEX(Cronograma!AQ$5:AQ$11,MATCH($B338,Premissas!$A$39:$A$45,0))</f>
        <v>A</v>
      </c>
      <c r="AS338" s="22" t="str">
        <f>INDEX(Cronograma!AR$5:AR$11,MATCH($B338,Premissas!$A$39:$A$45,0))</f>
        <v/>
      </c>
      <c r="AT338" s="22" t="str">
        <f>INDEX(Cronograma!AS$5:AS$11,MATCH($B338,Premissas!$A$39:$A$45,0))</f>
        <v/>
      </c>
      <c r="AU338" s="22" t="str">
        <f>INDEX(Cronograma!AT$5:AT$11,MATCH($B338,Premissas!$A$39:$A$45,0))</f>
        <v/>
      </c>
      <c r="AV338" s="22" t="str">
        <f>INDEX(Cronograma!AU$5:AU$11,MATCH($B338,Premissas!$A$39:$A$45,0))</f>
        <v/>
      </c>
      <c r="AW338" s="22" t="str">
        <f>INDEX(Cronograma!AV$5:AV$11,MATCH($B338,Premissas!$A$39:$A$45,0))</f>
        <v/>
      </c>
      <c r="AX338" s="22" t="str">
        <f>INDEX(Cronograma!AW$5:AW$11,MATCH($B338,Premissas!$A$39:$A$45,0))</f>
        <v/>
      </c>
      <c r="AY338" s="22" t="str">
        <f>INDEX(Cronograma!AX$5:AX$11,MATCH($B338,Premissas!$A$39:$A$45,0))</f>
        <v/>
      </c>
      <c r="AZ338" s="22" t="str">
        <f>INDEX(Cronograma!AY$5:AY$11,MATCH($B338,Premissas!$A$39:$A$45,0))</f>
        <v/>
      </c>
      <c r="BA338" s="22" t="str">
        <f>INDEX(Cronograma!AZ$5:AZ$11,MATCH($B338,Premissas!$A$39:$A$45,0))</f>
        <v/>
      </c>
      <c r="BB338" s="22" t="str">
        <f>INDEX(Cronograma!BA$5:BA$11,MATCH($B338,Premissas!$A$39:$A$45,0))</f>
        <v/>
      </c>
    </row>
    <row r="339" spans="1:54" ht="15" customHeight="1" x14ac:dyDescent="0.4">
      <c r="A339" s="15" t="str">
        <f>Frota!$B339&amp;" — "&amp;Frota!$A339</f>
        <v>Bell SC-800 — 164059</v>
      </c>
      <c r="B339" s="16" t="str">
        <f>Frota!$C339</f>
        <v>Carregadeira/Pesada</v>
      </c>
      <c r="C339" s="22" t="str">
        <f>INDEX(Cronograma!B$5:B$11,MATCH($B339,Premissas!$A$39:$A$45,0))</f>
        <v/>
      </c>
      <c r="D339" s="22" t="str">
        <f>INDEX(Cronograma!C$5:C$11,MATCH($B339,Premissas!$A$39:$A$45,0))</f>
        <v/>
      </c>
      <c r="E339" s="22" t="str">
        <f>INDEX(Cronograma!D$5:D$11,MATCH($B339,Premissas!$A$39:$A$45,0))</f>
        <v/>
      </c>
      <c r="F339" s="22" t="str">
        <f>INDEX(Cronograma!E$5:E$11,MATCH($B339,Premissas!$A$39:$A$45,0))</f>
        <v/>
      </c>
      <c r="G339" s="22" t="str">
        <f>INDEX(Cronograma!F$5:F$11,MATCH($B339,Premissas!$A$39:$A$45,0))</f>
        <v/>
      </c>
      <c r="H339" s="22" t="str">
        <f>INDEX(Cronograma!G$5:G$11,MATCH($B339,Premissas!$A$39:$A$45,0))</f>
        <v>S</v>
      </c>
      <c r="I339" s="22" t="str">
        <f>INDEX(Cronograma!H$5:H$11,MATCH($B339,Premissas!$A$39:$A$45,0))</f>
        <v/>
      </c>
      <c r="J339" s="22" t="str">
        <f>INDEX(Cronograma!I$5:I$11,MATCH($B339,Premissas!$A$39:$A$45,0))</f>
        <v/>
      </c>
      <c r="K339" s="22" t="str">
        <f>INDEX(Cronograma!J$5:J$11,MATCH($B339,Premissas!$A$39:$A$45,0))</f>
        <v/>
      </c>
      <c r="L339" s="22" t="str">
        <f>INDEX(Cronograma!K$5:K$11,MATCH($B339,Premissas!$A$39:$A$45,0))</f>
        <v/>
      </c>
      <c r="M339" s="22" t="str">
        <f>INDEX(Cronograma!L$5:L$11,MATCH($B339,Premissas!$A$39:$A$45,0))</f>
        <v/>
      </c>
      <c r="N339" s="22" t="str">
        <f>INDEX(Cronograma!M$5:M$11,MATCH($B339,Premissas!$A$39:$A$45,0))</f>
        <v>A</v>
      </c>
      <c r="O339" s="22" t="str">
        <f>INDEX(Cronograma!N$5:N$11,MATCH($B339,Premissas!$A$39:$A$45,0))</f>
        <v/>
      </c>
      <c r="P339" s="22" t="str">
        <f>INDEX(Cronograma!O$5:O$11,MATCH($B339,Premissas!$A$39:$A$45,0))</f>
        <v/>
      </c>
      <c r="Q339" s="22" t="str">
        <f>INDEX(Cronograma!P$5:P$11,MATCH($B339,Premissas!$A$39:$A$45,0))</f>
        <v/>
      </c>
      <c r="R339" s="22" t="str">
        <f>INDEX(Cronograma!Q$5:Q$11,MATCH($B339,Premissas!$A$39:$A$45,0))</f>
        <v/>
      </c>
      <c r="S339" s="22" t="str">
        <f>INDEX(Cronograma!R$5:R$11,MATCH($B339,Premissas!$A$39:$A$45,0))</f>
        <v>S</v>
      </c>
      <c r="T339" s="22" t="str">
        <f>INDEX(Cronograma!S$5:S$11,MATCH($B339,Premissas!$A$39:$A$45,0))</f>
        <v/>
      </c>
      <c r="U339" s="22" t="str">
        <f>INDEX(Cronograma!T$5:T$11,MATCH($B339,Premissas!$A$39:$A$45,0))</f>
        <v/>
      </c>
      <c r="V339" s="22" t="str">
        <f>INDEX(Cronograma!U$5:U$11,MATCH($B339,Premissas!$A$39:$A$45,0))</f>
        <v/>
      </c>
      <c r="W339" s="22" t="str">
        <f>INDEX(Cronograma!V$5:V$11,MATCH($B339,Premissas!$A$39:$A$45,0))</f>
        <v/>
      </c>
      <c r="X339" s="22" t="str">
        <f>INDEX(Cronograma!W$5:W$11,MATCH($B339,Premissas!$A$39:$A$45,0))</f>
        <v/>
      </c>
      <c r="Y339" s="22" t="str">
        <f>INDEX(Cronograma!X$5:X$11,MATCH($B339,Premissas!$A$39:$A$45,0))</f>
        <v>B</v>
      </c>
      <c r="Z339" s="22" t="str">
        <f>INDEX(Cronograma!Y$5:Y$11,MATCH($B339,Premissas!$A$39:$A$45,0))</f>
        <v/>
      </c>
      <c r="AA339" s="22" t="str">
        <f>INDEX(Cronograma!Z$5:Z$11,MATCH($B339,Premissas!$A$39:$A$45,0))</f>
        <v/>
      </c>
      <c r="AB339" s="22" t="str">
        <f>INDEX(Cronograma!AA$5:AA$11,MATCH($B339,Premissas!$A$39:$A$45,0))</f>
        <v/>
      </c>
      <c r="AC339" s="22" t="str">
        <f>INDEX(Cronograma!AB$5:AB$11,MATCH($B339,Premissas!$A$39:$A$45,0))</f>
        <v/>
      </c>
      <c r="AD339" s="22" t="str">
        <f>INDEX(Cronograma!AC$5:AC$11,MATCH($B339,Premissas!$A$39:$A$45,0))</f>
        <v>S</v>
      </c>
      <c r="AE339" s="22" t="str">
        <f>INDEX(Cronograma!AD$5:AD$11,MATCH($B339,Premissas!$A$39:$A$45,0))</f>
        <v/>
      </c>
      <c r="AF339" s="22" t="str">
        <f>INDEX(Cronograma!AE$5:AE$11,MATCH($B339,Premissas!$A$39:$A$45,0))</f>
        <v/>
      </c>
      <c r="AG339" s="22" t="str">
        <f>INDEX(Cronograma!AF$5:AF$11,MATCH($B339,Premissas!$A$39:$A$45,0))</f>
        <v/>
      </c>
      <c r="AH339" s="22" t="str">
        <f>INDEX(Cronograma!AG$5:AG$11,MATCH($B339,Premissas!$A$39:$A$45,0))</f>
        <v/>
      </c>
      <c r="AI339" s="22" t="str">
        <f>INDEX(Cronograma!AH$5:AH$11,MATCH($B339,Premissas!$A$39:$A$45,0))</f>
        <v/>
      </c>
      <c r="AJ339" s="22" t="str">
        <f>INDEX(Cronograma!AI$5:AI$11,MATCH($B339,Premissas!$A$39:$A$45,0))</f>
        <v/>
      </c>
      <c r="AK339" s="22" t="str">
        <f>INDEX(Cronograma!AJ$5:AJ$11,MATCH($B339,Premissas!$A$39:$A$45,0))</f>
        <v/>
      </c>
      <c r="AL339" s="22" t="str">
        <f>INDEX(Cronograma!AK$5:AK$11,MATCH($B339,Premissas!$A$39:$A$45,0))</f>
        <v/>
      </c>
      <c r="AM339" s="22" t="str">
        <f>INDEX(Cronograma!AL$5:AL$11,MATCH($B339,Premissas!$A$39:$A$45,0))</f>
        <v/>
      </c>
      <c r="AN339" s="22" t="str">
        <f>INDEX(Cronograma!AM$5:AM$11,MATCH($B339,Premissas!$A$39:$A$45,0))</f>
        <v/>
      </c>
      <c r="AO339" s="22" t="str">
        <f>INDEX(Cronograma!AN$5:AN$11,MATCH($B339,Premissas!$A$39:$A$45,0))</f>
        <v/>
      </c>
      <c r="AP339" s="22" t="str">
        <f>INDEX(Cronograma!AO$5:AO$11,MATCH($B339,Premissas!$A$39:$A$45,0))</f>
        <v/>
      </c>
      <c r="AQ339" s="22" t="str">
        <f>INDEX(Cronograma!AP$5:AP$11,MATCH($B339,Premissas!$A$39:$A$45,0))</f>
        <v/>
      </c>
      <c r="AR339" s="22" t="str">
        <f>INDEX(Cronograma!AQ$5:AQ$11,MATCH($B339,Premissas!$A$39:$A$45,0))</f>
        <v>A</v>
      </c>
      <c r="AS339" s="22" t="str">
        <f>INDEX(Cronograma!AR$5:AR$11,MATCH($B339,Premissas!$A$39:$A$45,0))</f>
        <v/>
      </c>
      <c r="AT339" s="22" t="str">
        <f>INDEX(Cronograma!AS$5:AS$11,MATCH($B339,Premissas!$A$39:$A$45,0))</f>
        <v/>
      </c>
      <c r="AU339" s="22" t="str">
        <f>INDEX(Cronograma!AT$5:AT$11,MATCH($B339,Premissas!$A$39:$A$45,0))</f>
        <v/>
      </c>
      <c r="AV339" s="22" t="str">
        <f>INDEX(Cronograma!AU$5:AU$11,MATCH($B339,Premissas!$A$39:$A$45,0))</f>
        <v/>
      </c>
      <c r="AW339" s="22" t="str">
        <f>INDEX(Cronograma!AV$5:AV$11,MATCH($B339,Premissas!$A$39:$A$45,0))</f>
        <v/>
      </c>
      <c r="AX339" s="22" t="str">
        <f>INDEX(Cronograma!AW$5:AW$11,MATCH($B339,Premissas!$A$39:$A$45,0))</f>
        <v/>
      </c>
      <c r="AY339" s="22" t="str">
        <f>INDEX(Cronograma!AX$5:AX$11,MATCH($B339,Premissas!$A$39:$A$45,0))</f>
        <v/>
      </c>
      <c r="AZ339" s="22" t="str">
        <f>INDEX(Cronograma!AY$5:AY$11,MATCH($B339,Premissas!$A$39:$A$45,0))</f>
        <v/>
      </c>
      <c r="BA339" s="22" t="str">
        <f>INDEX(Cronograma!AZ$5:AZ$11,MATCH($B339,Premissas!$A$39:$A$45,0))</f>
        <v/>
      </c>
      <c r="BB339" s="22" t="str">
        <f>INDEX(Cronograma!BA$5:BA$11,MATCH($B339,Premissas!$A$39:$A$45,0))</f>
        <v/>
      </c>
    </row>
    <row r="340" spans="1:54" ht="15" customHeight="1" x14ac:dyDescent="0.4">
      <c r="A340" s="15" t="str">
        <f>Frota!$B340&amp;" — "&amp;Frota!$A340</f>
        <v>Bell SC-800 — 164060</v>
      </c>
      <c r="B340" s="16" t="str">
        <f>Frota!$C340</f>
        <v>Carregadeira/Pesada</v>
      </c>
      <c r="C340" s="22" t="str">
        <f>INDEX(Cronograma!B$5:B$11,MATCH($B340,Premissas!$A$39:$A$45,0))</f>
        <v/>
      </c>
      <c r="D340" s="22" t="str">
        <f>INDEX(Cronograma!C$5:C$11,MATCH($B340,Premissas!$A$39:$A$45,0))</f>
        <v/>
      </c>
      <c r="E340" s="22" t="str">
        <f>INDEX(Cronograma!D$5:D$11,MATCH($B340,Premissas!$A$39:$A$45,0))</f>
        <v/>
      </c>
      <c r="F340" s="22" t="str">
        <f>INDEX(Cronograma!E$5:E$11,MATCH($B340,Premissas!$A$39:$A$45,0))</f>
        <v/>
      </c>
      <c r="G340" s="22" t="str">
        <f>INDEX(Cronograma!F$5:F$11,MATCH($B340,Premissas!$A$39:$A$45,0))</f>
        <v/>
      </c>
      <c r="H340" s="22" t="str">
        <f>INDEX(Cronograma!G$5:G$11,MATCH($B340,Premissas!$A$39:$A$45,0))</f>
        <v>S</v>
      </c>
      <c r="I340" s="22" t="str">
        <f>INDEX(Cronograma!H$5:H$11,MATCH($B340,Premissas!$A$39:$A$45,0))</f>
        <v/>
      </c>
      <c r="J340" s="22" t="str">
        <f>INDEX(Cronograma!I$5:I$11,MATCH($B340,Premissas!$A$39:$A$45,0))</f>
        <v/>
      </c>
      <c r="K340" s="22" t="str">
        <f>INDEX(Cronograma!J$5:J$11,MATCH($B340,Premissas!$A$39:$A$45,0))</f>
        <v/>
      </c>
      <c r="L340" s="22" t="str">
        <f>INDEX(Cronograma!K$5:K$11,MATCH($B340,Premissas!$A$39:$A$45,0))</f>
        <v/>
      </c>
      <c r="M340" s="22" t="str">
        <f>INDEX(Cronograma!L$5:L$11,MATCH($B340,Premissas!$A$39:$A$45,0))</f>
        <v/>
      </c>
      <c r="N340" s="22" t="str">
        <f>INDEX(Cronograma!M$5:M$11,MATCH($B340,Premissas!$A$39:$A$45,0))</f>
        <v>A</v>
      </c>
      <c r="O340" s="22" t="str">
        <f>INDEX(Cronograma!N$5:N$11,MATCH($B340,Premissas!$A$39:$A$45,0))</f>
        <v/>
      </c>
      <c r="P340" s="22" t="str">
        <f>INDEX(Cronograma!O$5:O$11,MATCH($B340,Premissas!$A$39:$A$45,0))</f>
        <v/>
      </c>
      <c r="Q340" s="22" t="str">
        <f>INDEX(Cronograma!P$5:P$11,MATCH($B340,Premissas!$A$39:$A$45,0))</f>
        <v/>
      </c>
      <c r="R340" s="22" t="str">
        <f>INDEX(Cronograma!Q$5:Q$11,MATCH($B340,Premissas!$A$39:$A$45,0))</f>
        <v/>
      </c>
      <c r="S340" s="22" t="str">
        <f>INDEX(Cronograma!R$5:R$11,MATCH($B340,Premissas!$A$39:$A$45,0))</f>
        <v>S</v>
      </c>
      <c r="T340" s="22" t="str">
        <f>INDEX(Cronograma!S$5:S$11,MATCH($B340,Premissas!$A$39:$A$45,0))</f>
        <v/>
      </c>
      <c r="U340" s="22" t="str">
        <f>INDEX(Cronograma!T$5:T$11,MATCH($B340,Premissas!$A$39:$A$45,0))</f>
        <v/>
      </c>
      <c r="V340" s="22" t="str">
        <f>INDEX(Cronograma!U$5:U$11,MATCH($B340,Premissas!$A$39:$A$45,0))</f>
        <v/>
      </c>
      <c r="W340" s="22" t="str">
        <f>INDEX(Cronograma!V$5:V$11,MATCH($B340,Premissas!$A$39:$A$45,0))</f>
        <v/>
      </c>
      <c r="X340" s="22" t="str">
        <f>INDEX(Cronograma!W$5:W$11,MATCH($B340,Premissas!$A$39:$A$45,0))</f>
        <v/>
      </c>
      <c r="Y340" s="22" t="str">
        <f>INDEX(Cronograma!X$5:X$11,MATCH($B340,Premissas!$A$39:$A$45,0))</f>
        <v>B</v>
      </c>
      <c r="Z340" s="22" t="str">
        <f>INDEX(Cronograma!Y$5:Y$11,MATCH($B340,Premissas!$A$39:$A$45,0))</f>
        <v/>
      </c>
      <c r="AA340" s="22" t="str">
        <f>INDEX(Cronograma!Z$5:Z$11,MATCH($B340,Premissas!$A$39:$A$45,0))</f>
        <v/>
      </c>
      <c r="AB340" s="22" t="str">
        <f>INDEX(Cronograma!AA$5:AA$11,MATCH($B340,Premissas!$A$39:$A$45,0))</f>
        <v/>
      </c>
      <c r="AC340" s="22" t="str">
        <f>INDEX(Cronograma!AB$5:AB$11,MATCH($B340,Premissas!$A$39:$A$45,0))</f>
        <v/>
      </c>
      <c r="AD340" s="22" t="str">
        <f>INDEX(Cronograma!AC$5:AC$11,MATCH($B340,Premissas!$A$39:$A$45,0))</f>
        <v>S</v>
      </c>
      <c r="AE340" s="22" t="str">
        <f>INDEX(Cronograma!AD$5:AD$11,MATCH($B340,Premissas!$A$39:$A$45,0))</f>
        <v/>
      </c>
      <c r="AF340" s="22" t="str">
        <f>INDEX(Cronograma!AE$5:AE$11,MATCH($B340,Premissas!$A$39:$A$45,0))</f>
        <v/>
      </c>
      <c r="AG340" s="22" t="str">
        <f>INDEX(Cronograma!AF$5:AF$11,MATCH($B340,Premissas!$A$39:$A$45,0))</f>
        <v/>
      </c>
      <c r="AH340" s="22" t="str">
        <f>INDEX(Cronograma!AG$5:AG$11,MATCH($B340,Premissas!$A$39:$A$45,0))</f>
        <v/>
      </c>
      <c r="AI340" s="22" t="str">
        <f>INDEX(Cronograma!AH$5:AH$11,MATCH($B340,Premissas!$A$39:$A$45,0))</f>
        <v/>
      </c>
      <c r="AJ340" s="22" t="str">
        <f>INDEX(Cronograma!AI$5:AI$11,MATCH($B340,Premissas!$A$39:$A$45,0))</f>
        <v/>
      </c>
      <c r="AK340" s="22" t="str">
        <f>INDEX(Cronograma!AJ$5:AJ$11,MATCH($B340,Premissas!$A$39:$A$45,0))</f>
        <v/>
      </c>
      <c r="AL340" s="22" t="str">
        <f>INDEX(Cronograma!AK$5:AK$11,MATCH($B340,Premissas!$A$39:$A$45,0))</f>
        <v/>
      </c>
      <c r="AM340" s="22" t="str">
        <f>INDEX(Cronograma!AL$5:AL$11,MATCH($B340,Premissas!$A$39:$A$45,0))</f>
        <v/>
      </c>
      <c r="AN340" s="22" t="str">
        <f>INDEX(Cronograma!AM$5:AM$11,MATCH($B340,Premissas!$A$39:$A$45,0))</f>
        <v/>
      </c>
      <c r="AO340" s="22" t="str">
        <f>INDEX(Cronograma!AN$5:AN$11,MATCH($B340,Premissas!$A$39:$A$45,0))</f>
        <v/>
      </c>
      <c r="AP340" s="22" t="str">
        <f>INDEX(Cronograma!AO$5:AO$11,MATCH($B340,Premissas!$A$39:$A$45,0))</f>
        <v/>
      </c>
      <c r="AQ340" s="22" t="str">
        <f>INDEX(Cronograma!AP$5:AP$11,MATCH($B340,Premissas!$A$39:$A$45,0))</f>
        <v/>
      </c>
      <c r="AR340" s="22" t="str">
        <f>INDEX(Cronograma!AQ$5:AQ$11,MATCH($B340,Premissas!$A$39:$A$45,0))</f>
        <v>A</v>
      </c>
      <c r="AS340" s="22" t="str">
        <f>INDEX(Cronograma!AR$5:AR$11,MATCH($B340,Premissas!$A$39:$A$45,0))</f>
        <v/>
      </c>
      <c r="AT340" s="22" t="str">
        <f>INDEX(Cronograma!AS$5:AS$11,MATCH($B340,Premissas!$A$39:$A$45,0))</f>
        <v/>
      </c>
      <c r="AU340" s="22" t="str">
        <f>INDEX(Cronograma!AT$5:AT$11,MATCH($B340,Premissas!$A$39:$A$45,0))</f>
        <v/>
      </c>
      <c r="AV340" s="22" t="str">
        <f>INDEX(Cronograma!AU$5:AU$11,MATCH($B340,Premissas!$A$39:$A$45,0))</f>
        <v/>
      </c>
      <c r="AW340" s="22" t="str">
        <f>INDEX(Cronograma!AV$5:AV$11,MATCH($B340,Premissas!$A$39:$A$45,0))</f>
        <v/>
      </c>
      <c r="AX340" s="22" t="str">
        <f>INDEX(Cronograma!AW$5:AW$11,MATCH($B340,Premissas!$A$39:$A$45,0))</f>
        <v/>
      </c>
      <c r="AY340" s="22" t="str">
        <f>INDEX(Cronograma!AX$5:AX$11,MATCH($B340,Premissas!$A$39:$A$45,0))</f>
        <v/>
      </c>
      <c r="AZ340" s="22" t="str">
        <f>INDEX(Cronograma!AY$5:AY$11,MATCH($B340,Premissas!$A$39:$A$45,0))</f>
        <v/>
      </c>
      <c r="BA340" s="22" t="str">
        <f>INDEX(Cronograma!AZ$5:AZ$11,MATCH($B340,Premissas!$A$39:$A$45,0))</f>
        <v/>
      </c>
      <c r="BB340" s="22" t="str">
        <f>INDEX(Cronograma!BA$5:BA$11,MATCH($B340,Premissas!$A$39:$A$45,0))</f>
        <v/>
      </c>
    </row>
    <row r="341" spans="1:54" ht="15" customHeight="1" x14ac:dyDescent="0.4">
      <c r="A341" s="15" t="str">
        <f>Frota!$B341&amp;" — "&amp;Frota!$A341</f>
        <v>Bell SC-800 — 164061</v>
      </c>
      <c r="B341" s="16" t="str">
        <f>Frota!$C341</f>
        <v>Carregadeira/Pesada</v>
      </c>
      <c r="C341" s="22" t="str">
        <f>INDEX(Cronograma!B$5:B$11,MATCH($B341,Premissas!$A$39:$A$45,0))</f>
        <v/>
      </c>
      <c r="D341" s="22" t="str">
        <f>INDEX(Cronograma!C$5:C$11,MATCH($B341,Premissas!$A$39:$A$45,0))</f>
        <v/>
      </c>
      <c r="E341" s="22" t="str">
        <f>INDEX(Cronograma!D$5:D$11,MATCH($B341,Premissas!$A$39:$A$45,0))</f>
        <v/>
      </c>
      <c r="F341" s="22" t="str">
        <f>INDEX(Cronograma!E$5:E$11,MATCH($B341,Premissas!$A$39:$A$45,0))</f>
        <v/>
      </c>
      <c r="G341" s="22" t="str">
        <f>INDEX(Cronograma!F$5:F$11,MATCH($B341,Premissas!$A$39:$A$45,0))</f>
        <v/>
      </c>
      <c r="H341" s="22" t="str">
        <f>INDEX(Cronograma!G$5:G$11,MATCH($B341,Premissas!$A$39:$A$45,0))</f>
        <v>S</v>
      </c>
      <c r="I341" s="22" t="str">
        <f>INDEX(Cronograma!H$5:H$11,MATCH($B341,Premissas!$A$39:$A$45,0))</f>
        <v/>
      </c>
      <c r="J341" s="22" t="str">
        <f>INDEX(Cronograma!I$5:I$11,MATCH($B341,Premissas!$A$39:$A$45,0))</f>
        <v/>
      </c>
      <c r="K341" s="22" t="str">
        <f>INDEX(Cronograma!J$5:J$11,MATCH($B341,Premissas!$A$39:$A$45,0))</f>
        <v/>
      </c>
      <c r="L341" s="22" t="str">
        <f>INDEX(Cronograma!K$5:K$11,MATCH($B341,Premissas!$A$39:$A$45,0))</f>
        <v/>
      </c>
      <c r="M341" s="22" t="str">
        <f>INDEX(Cronograma!L$5:L$11,MATCH($B341,Premissas!$A$39:$A$45,0))</f>
        <v/>
      </c>
      <c r="N341" s="22" t="str">
        <f>INDEX(Cronograma!M$5:M$11,MATCH($B341,Premissas!$A$39:$A$45,0))</f>
        <v>A</v>
      </c>
      <c r="O341" s="22" t="str">
        <f>INDEX(Cronograma!N$5:N$11,MATCH($B341,Premissas!$A$39:$A$45,0))</f>
        <v/>
      </c>
      <c r="P341" s="22" t="str">
        <f>INDEX(Cronograma!O$5:O$11,MATCH($B341,Premissas!$A$39:$A$45,0))</f>
        <v/>
      </c>
      <c r="Q341" s="22" t="str">
        <f>INDEX(Cronograma!P$5:P$11,MATCH($B341,Premissas!$A$39:$A$45,0))</f>
        <v/>
      </c>
      <c r="R341" s="22" t="str">
        <f>INDEX(Cronograma!Q$5:Q$11,MATCH($B341,Premissas!$A$39:$A$45,0))</f>
        <v/>
      </c>
      <c r="S341" s="22" t="str">
        <f>INDEX(Cronograma!R$5:R$11,MATCH($B341,Premissas!$A$39:$A$45,0))</f>
        <v>S</v>
      </c>
      <c r="T341" s="22" t="str">
        <f>INDEX(Cronograma!S$5:S$11,MATCH($B341,Premissas!$A$39:$A$45,0))</f>
        <v/>
      </c>
      <c r="U341" s="22" t="str">
        <f>INDEX(Cronograma!T$5:T$11,MATCH($B341,Premissas!$A$39:$A$45,0))</f>
        <v/>
      </c>
      <c r="V341" s="22" t="str">
        <f>INDEX(Cronograma!U$5:U$11,MATCH($B341,Premissas!$A$39:$A$45,0))</f>
        <v/>
      </c>
      <c r="W341" s="22" t="str">
        <f>INDEX(Cronograma!V$5:V$11,MATCH($B341,Premissas!$A$39:$A$45,0))</f>
        <v/>
      </c>
      <c r="X341" s="22" t="str">
        <f>INDEX(Cronograma!W$5:W$11,MATCH($B341,Premissas!$A$39:$A$45,0))</f>
        <v/>
      </c>
      <c r="Y341" s="22" t="str">
        <f>INDEX(Cronograma!X$5:X$11,MATCH($B341,Premissas!$A$39:$A$45,0))</f>
        <v>B</v>
      </c>
      <c r="Z341" s="22" t="str">
        <f>INDEX(Cronograma!Y$5:Y$11,MATCH($B341,Premissas!$A$39:$A$45,0))</f>
        <v/>
      </c>
      <c r="AA341" s="22" t="str">
        <f>INDEX(Cronograma!Z$5:Z$11,MATCH($B341,Premissas!$A$39:$A$45,0))</f>
        <v/>
      </c>
      <c r="AB341" s="22" t="str">
        <f>INDEX(Cronograma!AA$5:AA$11,MATCH($B341,Premissas!$A$39:$A$45,0))</f>
        <v/>
      </c>
      <c r="AC341" s="22" t="str">
        <f>INDEX(Cronograma!AB$5:AB$11,MATCH($B341,Premissas!$A$39:$A$45,0))</f>
        <v/>
      </c>
      <c r="AD341" s="22" t="str">
        <f>INDEX(Cronograma!AC$5:AC$11,MATCH($B341,Premissas!$A$39:$A$45,0))</f>
        <v>S</v>
      </c>
      <c r="AE341" s="22" t="str">
        <f>INDEX(Cronograma!AD$5:AD$11,MATCH($B341,Premissas!$A$39:$A$45,0))</f>
        <v/>
      </c>
      <c r="AF341" s="22" t="str">
        <f>INDEX(Cronograma!AE$5:AE$11,MATCH($B341,Premissas!$A$39:$A$45,0))</f>
        <v/>
      </c>
      <c r="AG341" s="22" t="str">
        <f>INDEX(Cronograma!AF$5:AF$11,MATCH($B341,Premissas!$A$39:$A$45,0))</f>
        <v/>
      </c>
      <c r="AH341" s="22" t="str">
        <f>INDEX(Cronograma!AG$5:AG$11,MATCH($B341,Premissas!$A$39:$A$45,0))</f>
        <v/>
      </c>
      <c r="AI341" s="22" t="str">
        <f>INDEX(Cronograma!AH$5:AH$11,MATCH($B341,Premissas!$A$39:$A$45,0))</f>
        <v/>
      </c>
      <c r="AJ341" s="22" t="str">
        <f>INDEX(Cronograma!AI$5:AI$11,MATCH($B341,Premissas!$A$39:$A$45,0))</f>
        <v/>
      </c>
      <c r="AK341" s="22" t="str">
        <f>INDEX(Cronograma!AJ$5:AJ$11,MATCH($B341,Premissas!$A$39:$A$45,0))</f>
        <v/>
      </c>
      <c r="AL341" s="22" t="str">
        <f>INDEX(Cronograma!AK$5:AK$11,MATCH($B341,Premissas!$A$39:$A$45,0))</f>
        <v/>
      </c>
      <c r="AM341" s="22" t="str">
        <f>INDEX(Cronograma!AL$5:AL$11,MATCH($B341,Premissas!$A$39:$A$45,0))</f>
        <v/>
      </c>
      <c r="AN341" s="22" t="str">
        <f>INDEX(Cronograma!AM$5:AM$11,MATCH($B341,Premissas!$A$39:$A$45,0))</f>
        <v/>
      </c>
      <c r="AO341" s="22" t="str">
        <f>INDEX(Cronograma!AN$5:AN$11,MATCH($B341,Premissas!$A$39:$A$45,0))</f>
        <v/>
      </c>
      <c r="AP341" s="22" t="str">
        <f>INDEX(Cronograma!AO$5:AO$11,MATCH($B341,Premissas!$A$39:$A$45,0))</f>
        <v/>
      </c>
      <c r="AQ341" s="22" t="str">
        <f>INDEX(Cronograma!AP$5:AP$11,MATCH($B341,Premissas!$A$39:$A$45,0))</f>
        <v/>
      </c>
      <c r="AR341" s="22" t="str">
        <f>INDEX(Cronograma!AQ$5:AQ$11,MATCH($B341,Premissas!$A$39:$A$45,0))</f>
        <v>A</v>
      </c>
      <c r="AS341" s="22" t="str">
        <f>INDEX(Cronograma!AR$5:AR$11,MATCH($B341,Premissas!$A$39:$A$45,0))</f>
        <v/>
      </c>
      <c r="AT341" s="22" t="str">
        <f>INDEX(Cronograma!AS$5:AS$11,MATCH($B341,Premissas!$A$39:$A$45,0))</f>
        <v/>
      </c>
      <c r="AU341" s="22" t="str">
        <f>INDEX(Cronograma!AT$5:AT$11,MATCH($B341,Premissas!$A$39:$A$45,0))</f>
        <v/>
      </c>
      <c r="AV341" s="22" t="str">
        <f>INDEX(Cronograma!AU$5:AU$11,MATCH($B341,Premissas!$A$39:$A$45,0))</f>
        <v/>
      </c>
      <c r="AW341" s="22" t="str">
        <f>INDEX(Cronograma!AV$5:AV$11,MATCH($B341,Premissas!$A$39:$A$45,0))</f>
        <v/>
      </c>
      <c r="AX341" s="22" t="str">
        <f>INDEX(Cronograma!AW$5:AW$11,MATCH($B341,Premissas!$A$39:$A$45,0))</f>
        <v/>
      </c>
      <c r="AY341" s="22" t="str">
        <f>INDEX(Cronograma!AX$5:AX$11,MATCH($B341,Premissas!$A$39:$A$45,0))</f>
        <v/>
      </c>
      <c r="AZ341" s="22" t="str">
        <f>INDEX(Cronograma!AY$5:AY$11,MATCH($B341,Premissas!$A$39:$A$45,0))</f>
        <v/>
      </c>
      <c r="BA341" s="22" t="str">
        <f>INDEX(Cronograma!AZ$5:AZ$11,MATCH($B341,Premissas!$A$39:$A$45,0))</f>
        <v/>
      </c>
      <c r="BB341" s="22" t="str">
        <f>INDEX(Cronograma!BA$5:BA$11,MATCH($B341,Premissas!$A$39:$A$45,0))</f>
        <v/>
      </c>
    </row>
    <row r="342" spans="1:54" ht="15" customHeight="1" x14ac:dyDescent="0.4">
      <c r="A342" s="15" t="str">
        <f>Frota!$B342&amp;" — "&amp;Frota!$A342</f>
        <v>Bell SC-800 — 164062</v>
      </c>
      <c r="B342" s="16" t="str">
        <f>Frota!$C342</f>
        <v>Carregadeira/Pesada</v>
      </c>
      <c r="C342" s="22" t="str">
        <f>INDEX(Cronograma!B$5:B$11,MATCH($B342,Premissas!$A$39:$A$45,0))</f>
        <v/>
      </c>
      <c r="D342" s="22" t="str">
        <f>INDEX(Cronograma!C$5:C$11,MATCH($B342,Premissas!$A$39:$A$45,0))</f>
        <v/>
      </c>
      <c r="E342" s="22" t="str">
        <f>INDEX(Cronograma!D$5:D$11,MATCH($B342,Premissas!$A$39:$A$45,0))</f>
        <v/>
      </c>
      <c r="F342" s="22" t="str">
        <f>INDEX(Cronograma!E$5:E$11,MATCH($B342,Premissas!$A$39:$A$45,0))</f>
        <v/>
      </c>
      <c r="G342" s="22" t="str">
        <f>INDEX(Cronograma!F$5:F$11,MATCH($B342,Premissas!$A$39:$A$45,0))</f>
        <v/>
      </c>
      <c r="H342" s="22" t="str">
        <f>INDEX(Cronograma!G$5:G$11,MATCH($B342,Premissas!$A$39:$A$45,0))</f>
        <v>S</v>
      </c>
      <c r="I342" s="22" t="str">
        <f>INDEX(Cronograma!H$5:H$11,MATCH($B342,Premissas!$A$39:$A$45,0))</f>
        <v/>
      </c>
      <c r="J342" s="22" t="str">
        <f>INDEX(Cronograma!I$5:I$11,MATCH($B342,Premissas!$A$39:$A$45,0))</f>
        <v/>
      </c>
      <c r="K342" s="22" t="str">
        <f>INDEX(Cronograma!J$5:J$11,MATCH($B342,Premissas!$A$39:$A$45,0))</f>
        <v/>
      </c>
      <c r="L342" s="22" t="str">
        <f>INDEX(Cronograma!K$5:K$11,MATCH($B342,Premissas!$A$39:$A$45,0))</f>
        <v/>
      </c>
      <c r="M342" s="22" t="str">
        <f>INDEX(Cronograma!L$5:L$11,MATCH($B342,Premissas!$A$39:$A$45,0))</f>
        <v/>
      </c>
      <c r="N342" s="22" t="str">
        <f>INDEX(Cronograma!M$5:M$11,MATCH($B342,Premissas!$A$39:$A$45,0))</f>
        <v>A</v>
      </c>
      <c r="O342" s="22" t="str">
        <f>INDEX(Cronograma!N$5:N$11,MATCH($B342,Premissas!$A$39:$A$45,0))</f>
        <v/>
      </c>
      <c r="P342" s="22" t="str">
        <f>INDEX(Cronograma!O$5:O$11,MATCH($B342,Premissas!$A$39:$A$45,0))</f>
        <v/>
      </c>
      <c r="Q342" s="22" t="str">
        <f>INDEX(Cronograma!P$5:P$11,MATCH($B342,Premissas!$A$39:$A$45,0))</f>
        <v/>
      </c>
      <c r="R342" s="22" t="str">
        <f>INDEX(Cronograma!Q$5:Q$11,MATCH($B342,Premissas!$A$39:$A$45,0))</f>
        <v/>
      </c>
      <c r="S342" s="22" t="str">
        <f>INDEX(Cronograma!R$5:R$11,MATCH($B342,Premissas!$A$39:$A$45,0))</f>
        <v>S</v>
      </c>
      <c r="T342" s="22" t="str">
        <f>INDEX(Cronograma!S$5:S$11,MATCH($B342,Premissas!$A$39:$A$45,0))</f>
        <v/>
      </c>
      <c r="U342" s="22" t="str">
        <f>INDEX(Cronograma!T$5:T$11,MATCH($B342,Premissas!$A$39:$A$45,0))</f>
        <v/>
      </c>
      <c r="V342" s="22" t="str">
        <f>INDEX(Cronograma!U$5:U$11,MATCH($B342,Premissas!$A$39:$A$45,0))</f>
        <v/>
      </c>
      <c r="W342" s="22" t="str">
        <f>INDEX(Cronograma!V$5:V$11,MATCH($B342,Premissas!$A$39:$A$45,0))</f>
        <v/>
      </c>
      <c r="X342" s="22" t="str">
        <f>INDEX(Cronograma!W$5:W$11,MATCH($B342,Premissas!$A$39:$A$45,0))</f>
        <v/>
      </c>
      <c r="Y342" s="22" t="str">
        <f>INDEX(Cronograma!X$5:X$11,MATCH($B342,Premissas!$A$39:$A$45,0))</f>
        <v>B</v>
      </c>
      <c r="Z342" s="22" t="str">
        <f>INDEX(Cronograma!Y$5:Y$11,MATCH($B342,Premissas!$A$39:$A$45,0))</f>
        <v/>
      </c>
      <c r="AA342" s="22" t="str">
        <f>INDEX(Cronograma!Z$5:Z$11,MATCH($B342,Premissas!$A$39:$A$45,0))</f>
        <v/>
      </c>
      <c r="AB342" s="22" t="str">
        <f>INDEX(Cronograma!AA$5:AA$11,MATCH($B342,Premissas!$A$39:$A$45,0))</f>
        <v/>
      </c>
      <c r="AC342" s="22" t="str">
        <f>INDEX(Cronograma!AB$5:AB$11,MATCH($B342,Premissas!$A$39:$A$45,0))</f>
        <v/>
      </c>
      <c r="AD342" s="22" t="str">
        <f>INDEX(Cronograma!AC$5:AC$11,MATCH($B342,Premissas!$A$39:$A$45,0))</f>
        <v>S</v>
      </c>
      <c r="AE342" s="22" t="str">
        <f>INDEX(Cronograma!AD$5:AD$11,MATCH($B342,Premissas!$A$39:$A$45,0))</f>
        <v/>
      </c>
      <c r="AF342" s="22" t="str">
        <f>INDEX(Cronograma!AE$5:AE$11,MATCH($B342,Premissas!$A$39:$A$45,0))</f>
        <v/>
      </c>
      <c r="AG342" s="22" t="str">
        <f>INDEX(Cronograma!AF$5:AF$11,MATCH($B342,Premissas!$A$39:$A$45,0))</f>
        <v/>
      </c>
      <c r="AH342" s="22" t="str">
        <f>INDEX(Cronograma!AG$5:AG$11,MATCH($B342,Premissas!$A$39:$A$45,0))</f>
        <v/>
      </c>
      <c r="AI342" s="22" t="str">
        <f>INDEX(Cronograma!AH$5:AH$11,MATCH($B342,Premissas!$A$39:$A$45,0))</f>
        <v/>
      </c>
      <c r="AJ342" s="22" t="str">
        <f>INDEX(Cronograma!AI$5:AI$11,MATCH($B342,Premissas!$A$39:$A$45,0))</f>
        <v/>
      </c>
      <c r="AK342" s="22" t="str">
        <f>INDEX(Cronograma!AJ$5:AJ$11,MATCH($B342,Premissas!$A$39:$A$45,0))</f>
        <v/>
      </c>
      <c r="AL342" s="22" t="str">
        <f>INDEX(Cronograma!AK$5:AK$11,MATCH($B342,Premissas!$A$39:$A$45,0))</f>
        <v/>
      </c>
      <c r="AM342" s="22" t="str">
        <f>INDEX(Cronograma!AL$5:AL$11,MATCH($B342,Premissas!$A$39:$A$45,0))</f>
        <v/>
      </c>
      <c r="AN342" s="22" t="str">
        <f>INDEX(Cronograma!AM$5:AM$11,MATCH($B342,Premissas!$A$39:$A$45,0))</f>
        <v/>
      </c>
      <c r="AO342" s="22" t="str">
        <f>INDEX(Cronograma!AN$5:AN$11,MATCH($B342,Premissas!$A$39:$A$45,0))</f>
        <v/>
      </c>
      <c r="AP342" s="22" t="str">
        <f>INDEX(Cronograma!AO$5:AO$11,MATCH($B342,Premissas!$A$39:$A$45,0))</f>
        <v/>
      </c>
      <c r="AQ342" s="22" t="str">
        <f>INDEX(Cronograma!AP$5:AP$11,MATCH($B342,Premissas!$A$39:$A$45,0))</f>
        <v/>
      </c>
      <c r="AR342" s="22" t="str">
        <f>INDEX(Cronograma!AQ$5:AQ$11,MATCH($B342,Premissas!$A$39:$A$45,0))</f>
        <v>A</v>
      </c>
      <c r="AS342" s="22" t="str">
        <f>INDEX(Cronograma!AR$5:AR$11,MATCH($B342,Premissas!$A$39:$A$45,0))</f>
        <v/>
      </c>
      <c r="AT342" s="22" t="str">
        <f>INDEX(Cronograma!AS$5:AS$11,MATCH($B342,Premissas!$A$39:$A$45,0))</f>
        <v/>
      </c>
      <c r="AU342" s="22" t="str">
        <f>INDEX(Cronograma!AT$5:AT$11,MATCH($B342,Premissas!$A$39:$A$45,0))</f>
        <v/>
      </c>
      <c r="AV342" s="22" t="str">
        <f>INDEX(Cronograma!AU$5:AU$11,MATCH($B342,Premissas!$A$39:$A$45,0))</f>
        <v/>
      </c>
      <c r="AW342" s="22" t="str">
        <f>INDEX(Cronograma!AV$5:AV$11,MATCH($B342,Premissas!$A$39:$A$45,0))</f>
        <v/>
      </c>
      <c r="AX342" s="22" t="str">
        <f>INDEX(Cronograma!AW$5:AW$11,MATCH($B342,Premissas!$A$39:$A$45,0))</f>
        <v/>
      </c>
      <c r="AY342" s="22" t="str">
        <f>INDEX(Cronograma!AX$5:AX$11,MATCH($B342,Premissas!$A$39:$A$45,0))</f>
        <v/>
      </c>
      <c r="AZ342" s="22" t="str">
        <f>INDEX(Cronograma!AY$5:AY$11,MATCH($B342,Premissas!$A$39:$A$45,0))</f>
        <v/>
      </c>
      <c r="BA342" s="22" t="str">
        <f>INDEX(Cronograma!AZ$5:AZ$11,MATCH($B342,Premissas!$A$39:$A$45,0))</f>
        <v/>
      </c>
      <c r="BB342" s="22" t="str">
        <f>INDEX(Cronograma!BA$5:BA$11,MATCH($B342,Premissas!$A$39:$A$45,0))</f>
        <v/>
      </c>
    </row>
    <row r="343" spans="1:54" ht="15" customHeight="1" x14ac:dyDescent="0.4">
      <c r="A343" s="15" t="str">
        <f>Frota!$B343&amp;" — "&amp;Frota!$A343</f>
        <v>Bell SC-800 — 164063</v>
      </c>
      <c r="B343" s="16" t="str">
        <f>Frota!$C343</f>
        <v>Carregadeira/Pesada</v>
      </c>
      <c r="C343" s="22" t="str">
        <f>INDEX(Cronograma!B$5:B$11,MATCH($B343,Premissas!$A$39:$A$45,0))</f>
        <v/>
      </c>
      <c r="D343" s="22" t="str">
        <f>INDEX(Cronograma!C$5:C$11,MATCH($B343,Premissas!$A$39:$A$45,0))</f>
        <v/>
      </c>
      <c r="E343" s="22" t="str">
        <f>INDEX(Cronograma!D$5:D$11,MATCH($B343,Premissas!$A$39:$A$45,0))</f>
        <v/>
      </c>
      <c r="F343" s="22" t="str">
        <f>INDEX(Cronograma!E$5:E$11,MATCH($B343,Premissas!$A$39:$A$45,0))</f>
        <v/>
      </c>
      <c r="G343" s="22" t="str">
        <f>INDEX(Cronograma!F$5:F$11,MATCH($B343,Premissas!$A$39:$A$45,0))</f>
        <v/>
      </c>
      <c r="H343" s="22" t="str">
        <f>INDEX(Cronograma!G$5:G$11,MATCH($B343,Premissas!$A$39:$A$45,0))</f>
        <v>S</v>
      </c>
      <c r="I343" s="22" t="str">
        <f>INDEX(Cronograma!H$5:H$11,MATCH($B343,Premissas!$A$39:$A$45,0))</f>
        <v/>
      </c>
      <c r="J343" s="22" t="str">
        <f>INDEX(Cronograma!I$5:I$11,MATCH($B343,Premissas!$A$39:$A$45,0))</f>
        <v/>
      </c>
      <c r="K343" s="22" t="str">
        <f>INDEX(Cronograma!J$5:J$11,MATCH($B343,Premissas!$A$39:$A$45,0))</f>
        <v/>
      </c>
      <c r="L343" s="22" t="str">
        <f>INDEX(Cronograma!K$5:K$11,MATCH($B343,Premissas!$A$39:$A$45,0))</f>
        <v/>
      </c>
      <c r="M343" s="22" t="str">
        <f>INDEX(Cronograma!L$5:L$11,MATCH($B343,Premissas!$A$39:$A$45,0))</f>
        <v/>
      </c>
      <c r="N343" s="22" t="str">
        <f>INDEX(Cronograma!M$5:M$11,MATCH($B343,Premissas!$A$39:$A$45,0))</f>
        <v>A</v>
      </c>
      <c r="O343" s="22" t="str">
        <f>INDEX(Cronograma!N$5:N$11,MATCH($B343,Premissas!$A$39:$A$45,0))</f>
        <v/>
      </c>
      <c r="P343" s="22" t="str">
        <f>INDEX(Cronograma!O$5:O$11,MATCH($B343,Premissas!$A$39:$A$45,0))</f>
        <v/>
      </c>
      <c r="Q343" s="22" t="str">
        <f>INDEX(Cronograma!P$5:P$11,MATCH($B343,Premissas!$A$39:$A$45,0))</f>
        <v/>
      </c>
      <c r="R343" s="22" t="str">
        <f>INDEX(Cronograma!Q$5:Q$11,MATCH($B343,Premissas!$A$39:$A$45,0))</f>
        <v/>
      </c>
      <c r="S343" s="22" t="str">
        <f>INDEX(Cronograma!R$5:R$11,MATCH($B343,Premissas!$A$39:$A$45,0))</f>
        <v>S</v>
      </c>
      <c r="T343" s="22" t="str">
        <f>INDEX(Cronograma!S$5:S$11,MATCH($B343,Premissas!$A$39:$A$45,0))</f>
        <v/>
      </c>
      <c r="U343" s="22" t="str">
        <f>INDEX(Cronograma!T$5:T$11,MATCH($B343,Premissas!$A$39:$A$45,0))</f>
        <v/>
      </c>
      <c r="V343" s="22" t="str">
        <f>INDEX(Cronograma!U$5:U$11,MATCH($B343,Premissas!$A$39:$A$45,0))</f>
        <v/>
      </c>
      <c r="W343" s="22" t="str">
        <f>INDEX(Cronograma!V$5:V$11,MATCH($B343,Premissas!$A$39:$A$45,0))</f>
        <v/>
      </c>
      <c r="X343" s="22" t="str">
        <f>INDEX(Cronograma!W$5:W$11,MATCH($B343,Premissas!$A$39:$A$45,0))</f>
        <v/>
      </c>
      <c r="Y343" s="22" t="str">
        <f>INDEX(Cronograma!X$5:X$11,MATCH($B343,Premissas!$A$39:$A$45,0))</f>
        <v>B</v>
      </c>
      <c r="Z343" s="22" t="str">
        <f>INDEX(Cronograma!Y$5:Y$11,MATCH($B343,Premissas!$A$39:$A$45,0))</f>
        <v/>
      </c>
      <c r="AA343" s="22" t="str">
        <f>INDEX(Cronograma!Z$5:Z$11,MATCH($B343,Premissas!$A$39:$A$45,0))</f>
        <v/>
      </c>
      <c r="AB343" s="22" t="str">
        <f>INDEX(Cronograma!AA$5:AA$11,MATCH($B343,Premissas!$A$39:$A$45,0))</f>
        <v/>
      </c>
      <c r="AC343" s="22" t="str">
        <f>INDEX(Cronograma!AB$5:AB$11,MATCH($B343,Premissas!$A$39:$A$45,0))</f>
        <v/>
      </c>
      <c r="AD343" s="22" t="str">
        <f>INDEX(Cronograma!AC$5:AC$11,MATCH($B343,Premissas!$A$39:$A$45,0))</f>
        <v>S</v>
      </c>
      <c r="AE343" s="22" t="str">
        <f>INDEX(Cronograma!AD$5:AD$11,MATCH($B343,Premissas!$A$39:$A$45,0))</f>
        <v/>
      </c>
      <c r="AF343" s="22" t="str">
        <f>INDEX(Cronograma!AE$5:AE$11,MATCH($B343,Premissas!$A$39:$A$45,0))</f>
        <v/>
      </c>
      <c r="AG343" s="22" t="str">
        <f>INDEX(Cronograma!AF$5:AF$11,MATCH($B343,Premissas!$A$39:$A$45,0))</f>
        <v/>
      </c>
      <c r="AH343" s="22" t="str">
        <f>INDEX(Cronograma!AG$5:AG$11,MATCH($B343,Premissas!$A$39:$A$45,0))</f>
        <v/>
      </c>
      <c r="AI343" s="22" t="str">
        <f>INDEX(Cronograma!AH$5:AH$11,MATCH($B343,Premissas!$A$39:$A$45,0))</f>
        <v/>
      </c>
      <c r="AJ343" s="22" t="str">
        <f>INDEX(Cronograma!AI$5:AI$11,MATCH($B343,Premissas!$A$39:$A$45,0))</f>
        <v/>
      </c>
      <c r="AK343" s="22" t="str">
        <f>INDEX(Cronograma!AJ$5:AJ$11,MATCH($B343,Premissas!$A$39:$A$45,0))</f>
        <v/>
      </c>
      <c r="AL343" s="22" t="str">
        <f>INDEX(Cronograma!AK$5:AK$11,MATCH($B343,Premissas!$A$39:$A$45,0))</f>
        <v/>
      </c>
      <c r="AM343" s="22" t="str">
        <f>INDEX(Cronograma!AL$5:AL$11,MATCH($B343,Premissas!$A$39:$A$45,0))</f>
        <v/>
      </c>
      <c r="AN343" s="22" t="str">
        <f>INDEX(Cronograma!AM$5:AM$11,MATCH($B343,Premissas!$A$39:$A$45,0))</f>
        <v/>
      </c>
      <c r="AO343" s="22" t="str">
        <f>INDEX(Cronograma!AN$5:AN$11,MATCH($B343,Premissas!$A$39:$A$45,0))</f>
        <v/>
      </c>
      <c r="AP343" s="22" t="str">
        <f>INDEX(Cronograma!AO$5:AO$11,MATCH($B343,Premissas!$A$39:$A$45,0))</f>
        <v/>
      </c>
      <c r="AQ343" s="22" t="str">
        <f>INDEX(Cronograma!AP$5:AP$11,MATCH($B343,Premissas!$A$39:$A$45,0))</f>
        <v/>
      </c>
      <c r="AR343" s="22" t="str">
        <f>INDEX(Cronograma!AQ$5:AQ$11,MATCH($B343,Premissas!$A$39:$A$45,0))</f>
        <v>A</v>
      </c>
      <c r="AS343" s="22" t="str">
        <f>INDEX(Cronograma!AR$5:AR$11,MATCH($B343,Premissas!$A$39:$A$45,0))</f>
        <v/>
      </c>
      <c r="AT343" s="22" t="str">
        <f>INDEX(Cronograma!AS$5:AS$11,MATCH($B343,Premissas!$A$39:$A$45,0))</f>
        <v/>
      </c>
      <c r="AU343" s="22" t="str">
        <f>INDEX(Cronograma!AT$5:AT$11,MATCH($B343,Premissas!$A$39:$A$45,0))</f>
        <v/>
      </c>
      <c r="AV343" s="22" t="str">
        <f>INDEX(Cronograma!AU$5:AU$11,MATCH($B343,Premissas!$A$39:$A$45,0))</f>
        <v/>
      </c>
      <c r="AW343" s="22" t="str">
        <f>INDEX(Cronograma!AV$5:AV$11,MATCH($B343,Premissas!$A$39:$A$45,0))</f>
        <v/>
      </c>
      <c r="AX343" s="22" t="str">
        <f>INDEX(Cronograma!AW$5:AW$11,MATCH($B343,Premissas!$A$39:$A$45,0))</f>
        <v/>
      </c>
      <c r="AY343" s="22" t="str">
        <f>INDEX(Cronograma!AX$5:AX$11,MATCH($B343,Premissas!$A$39:$A$45,0))</f>
        <v/>
      </c>
      <c r="AZ343" s="22" t="str">
        <f>INDEX(Cronograma!AY$5:AY$11,MATCH($B343,Premissas!$A$39:$A$45,0))</f>
        <v/>
      </c>
      <c r="BA343" s="22" t="str">
        <f>INDEX(Cronograma!AZ$5:AZ$11,MATCH($B343,Premissas!$A$39:$A$45,0))</f>
        <v/>
      </c>
      <c r="BB343" s="22" t="str">
        <f>INDEX(Cronograma!BA$5:BA$11,MATCH($B343,Premissas!$A$39:$A$45,0))</f>
        <v/>
      </c>
    </row>
    <row r="344" spans="1:54" ht="15" customHeight="1" x14ac:dyDescent="0.4">
      <c r="A344" s="15" t="str">
        <f>Frota!$B344&amp;" — "&amp;Frota!$A344</f>
        <v>Bell SC-800 — 164064</v>
      </c>
      <c r="B344" s="16" t="str">
        <f>Frota!$C344</f>
        <v>Carregadeira/Pesada</v>
      </c>
      <c r="C344" s="22" t="str">
        <f>INDEX(Cronograma!B$5:B$11,MATCH($B344,Premissas!$A$39:$A$45,0))</f>
        <v/>
      </c>
      <c r="D344" s="22" t="str">
        <f>INDEX(Cronograma!C$5:C$11,MATCH($B344,Premissas!$A$39:$A$45,0))</f>
        <v/>
      </c>
      <c r="E344" s="22" t="str">
        <f>INDEX(Cronograma!D$5:D$11,MATCH($B344,Premissas!$A$39:$A$45,0))</f>
        <v/>
      </c>
      <c r="F344" s="22" t="str">
        <f>INDEX(Cronograma!E$5:E$11,MATCH($B344,Premissas!$A$39:$A$45,0))</f>
        <v/>
      </c>
      <c r="G344" s="22" t="str">
        <f>INDEX(Cronograma!F$5:F$11,MATCH($B344,Premissas!$A$39:$A$45,0))</f>
        <v/>
      </c>
      <c r="H344" s="22" t="str">
        <f>INDEX(Cronograma!G$5:G$11,MATCH($B344,Premissas!$A$39:$A$45,0))</f>
        <v>S</v>
      </c>
      <c r="I344" s="22" t="str">
        <f>INDEX(Cronograma!H$5:H$11,MATCH($B344,Premissas!$A$39:$A$45,0))</f>
        <v/>
      </c>
      <c r="J344" s="22" t="str">
        <f>INDEX(Cronograma!I$5:I$11,MATCH($B344,Premissas!$A$39:$A$45,0))</f>
        <v/>
      </c>
      <c r="K344" s="22" t="str">
        <f>INDEX(Cronograma!J$5:J$11,MATCH($B344,Premissas!$A$39:$A$45,0))</f>
        <v/>
      </c>
      <c r="L344" s="22" t="str">
        <f>INDEX(Cronograma!K$5:K$11,MATCH($B344,Premissas!$A$39:$A$45,0))</f>
        <v/>
      </c>
      <c r="M344" s="22" t="str">
        <f>INDEX(Cronograma!L$5:L$11,MATCH($B344,Premissas!$A$39:$A$45,0))</f>
        <v/>
      </c>
      <c r="N344" s="22" t="str">
        <f>INDEX(Cronograma!M$5:M$11,MATCH($B344,Premissas!$A$39:$A$45,0))</f>
        <v>A</v>
      </c>
      <c r="O344" s="22" t="str">
        <f>INDEX(Cronograma!N$5:N$11,MATCH($B344,Premissas!$A$39:$A$45,0))</f>
        <v/>
      </c>
      <c r="P344" s="22" t="str">
        <f>INDEX(Cronograma!O$5:O$11,MATCH($B344,Premissas!$A$39:$A$45,0))</f>
        <v/>
      </c>
      <c r="Q344" s="22" t="str">
        <f>INDEX(Cronograma!P$5:P$11,MATCH($B344,Premissas!$A$39:$A$45,0))</f>
        <v/>
      </c>
      <c r="R344" s="22" t="str">
        <f>INDEX(Cronograma!Q$5:Q$11,MATCH($B344,Premissas!$A$39:$A$45,0))</f>
        <v/>
      </c>
      <c r="S344" s="22" t="str">
        <f>INDEX(Cronograma!R$5:R$11,MATCH($B344,Premissas!$A$39:$A$45,0))</f>
        <v>S</v>
      </c>
      <c r="T344" s="22" t="str">
        <f>INDEX(Cronograma!S$5:S$11,MATCH($B344,Premissas!$A$39:$A$45,0))</f>
        <v/>
      </c>
      <c r="U344" s="22" t="str">
        <f>INDEX(Cronograma!T$5:T$11,MATCH($B344,Premissas!$A$39:$A$45,0))</f>
        <v/>
      </c>
      <c r="V344" s="22" t="str">
        <f>INDEX(Cronograma!U$5:U$11,MATCH($B344,Premissas!$A$39:$A$45,0))</f>
        <v/>
      </c>
      <c r="W344" s="22" t="str">
        <f>INDEX(Cronograma!V$5:V$11,MATCH($B344,Premissas!$A$39:$A$45,0))</f>
        <v/>
      </c>
      <c r="X344" s="22" t="str">
        <f>INDEX(Cronograma!W$5:W$11,MATCH($B344,Premissas!$A$39:$A$45,0))</f>
        <v/>
      </c>
      <c r="Y344" s="22" t="str">
        <f>INDEX(Cronograma!X$5:X$11,MATCH($B344,Premissas!$A$39:$A$45,0))</f>
        <v>B</v>
      </c>
      <c r="Z344" s="22" t="str">
        <f>INDEX(Cronograma!Y$5:Y$11,MATCH($B344,Premissas!$A$39:$A$45,0))</f>
        <v/>
      </c>
      <c r="AA344" s="22" t="str">
        <f>INDEX(Cronograma!Z$5:Z$11,MATCH($B344,Premissas!$A$39:$A$45,0))</f>
        <v/>
      </c>
      <c r="AB344" s="22" t="str">
        <f>INDEX(Cronograma!AA$5:AA$11,MATCH($B344,Premissas!$A$39:$A$45,0))</f>
        <v/>
      </c>
      <c r="AC344" s="22" t="str">
        <f>INDEX(Cronograma!AB$5:AB$11,MATCH($B344,Premissas!$A$39:$A$45,0))</f>
        <v/>
      </c>
      <c r="AD344" s="22" t="str">
        <f>INDEX(Cronograma!AC$5:AC$11,MATCH($B344,Premissas!$A$39:$A$45,0))</f>
        <v>S</v>
      </c>
      <c r="AE344" s="22" t="str">
        <f>INDEX(Cronograma!AD$5:AD$11,MATCH($B344,Premissas!$A$39:$A$45,0))</f>
        <v/>
      </c>
      <c r="AF344" s="22" t="str">
        <f>INDEX(Cronograma!AE$5:AE$11,MATCH($B344,Premissas!$A$39:$A$45,0))</f>
        <v/>
      </c>
      <c r="AG344" s="22" t="str">
        <f>INDEX(Cronograma!AF$5:AF$11,MATCH($B344,Premissas!$A$39:$A$45,0))</f>
        <v/>
      </c>
      <c r="AH344" s="22" t="str">
        <f>INDEX(Cronograma!AG$5:AG$11,MATCH($B344,Premissas!$A$39:$A$45,0))</f>
        <v/>
      </c>
      <c r="AI344" s="22" t="str">
        <f>INDEX(Cronograma!AH$5:AH$11,MATCH($B344,Premissas!$A$39:$A$45,0))</f>
        <v/>
      </c>
      <c r="AJ344" s="22" t="str">
        <f>INDEX(Cronograma!AI$5:AI$11,MATCH($B344,Premissas!$A$39:$A$45,0))</f>
        <v/>
      </c>
      <c r="AK344" s="22" t="str">
        <f>INDEX(Cronograma!AJ$5:AJ$11,MATCH($B344,Premissas!$A$39:$A$45,0))</f>
        <v/>
      </c>
      <c r="AL344" s="22" t="str">
        <f>INDEX(Cronograma!AK$5:AK$11,MATCH($B344,Premissas!$A$39:$A$45,0))</f>
        <v/>
      </c>
      <c r="AM344" s="22" t="str">
        <f>INDEX(Cronograma!AL$5:AL$11,MATCH($B344,Premissas!$A$39:$A$45,0))</f>
        <v/>
      </c>
      <c r="AN344" s="22" t="str">
        <f>INDEX(Cronograma!AM$5:AM$11,MATCH($B344,Premissas!$A$39:$A$45,0))</f>
        <v/>
      </c>
      <c r="AO344" s="22" t="str">
        <f>INDEX(Cronograma!AN$5:AN$11,MATCH($B344,Premissas!$A$39:$A$45,0))</f>
        <v/>
      </c>
      <c r="AP344" s="22" t="str">
        <f>INDEX(Cronograma!AO$5:AO$11,MATCH($B344,Premissas!$A$39:$A$45,0))</f>
        <v/>
      </c>
      <c r="AQ344" s="22" t="str">
        <f>INDEX(Cronograma!AP$5:AP$11,MATCH($B344,Premissas!$A$39:$A$45,0))</f>
        <v/>
      </c>
      <c r="AR344" s="22" t="str">
        <f>INDEX(Cronograma!AQ$5:AQ$11,MATCH($B344,Premissas!$A$39:$A$45,0))</f>
        <v>A</v>
      </c>
      <c r="AS344" s="22" t="str">
        <f>INDEX(Cronograma!AR$5:AR$11,MATCH($B344,Premissas!$A$39:$A$45,0))</f>
        <v/>
      </c>
      <c r="AT344" s="22" t="str">
        <f>INDEX(Cronograma!AS$5:AS$11,MATCH($B344,Premissas!$A$39:$A$45,0))</f>
        <v/>
      </c>
      <c r="AU344" s="22" t="str">
        <f>INDEX(Cronograma!AT$5:AT$11,MATCH($B344,Premissas!$A$39:$A$45,0))</f>
        <v/>
      </c>
      <c r="AV344" s="22" t="str">
        <f>INDEX(Cronograma!AU$5:AU$11,MATCH($B344,Premissas!$A$39:$A$45,0))</f>
        <v/>
      </c>
      <c r="AW344" s="22" t="str">
        <f>INDEX(Cronograma!AV$5:AV$11,MATCH($B344,Premissas!$A$39:$A$45,0))</f>
        <v/>
      </c>
      <c r="AX344" s="22" t="str">
        <f>INDEX(Cronograma!AW$5:AW$11,MATCH($B344,Premissas!$A$39:$A$45,0))</f>
        <v/>
      </c>
      <c r="AY344" s="22" t="str">
        <f>INDEX(Cronograma!AX$5:AX$11,MATCH($B344,Premissas!$A$39:$A$45,0))</f>
        <v/>
      </c>
      <c r="AZ344" s="22" t="str">
        <f>INDEX(Cronograma!AY$5:AY$11,MATCH($B344,Premissas!$A$39:$A$45,0))</f>
        <v/>
      </c>
      <c r="BA344" s="22" t="str">
        <f>INDEX(Cronograma!AZ$5:AZ$11,MATCH($B344,Premissas!$A$39:$A$45,0))</f>
        <v/>
      </c>
      <c r="BB344" s="22" t="str">
        <f>INDEX(Cronograma!BA$5:BA$11,MATCH($B344,Premissas!$A$39:$A$45,0))</f>
        <v/>
      </c>
    </row>
    <row r="345" spans="1:54" ht="15" customHeight="1" x14ac:dyDescent="0.4">
      <c r="A345" s="15" t="str">
        <f>Frota!$B345&amp;" — "&amp;Frota!$A345</f>
        <v>Bell SC-800 — 164065</v>
      </c>
      <c r="B345" s="16" t="str">
        <f>Frota!$C345</f>
        <v>Carregadeira/Pesada</v>
      </c>
      <c r="C345" s="22" t="str">
        <f>INDEX(Cronograma!B$5:B$11,MATCH($B345,Premissas!$A$39:$A$45,0))</f>
        <v/>
      </c>
      <c r="D345" s="22" t="str">
        <f>INDEX(Cronograma!C$5:C$11,MATCH($B345,Premissas!$A$39:$A$45,0))</f>
        <v/>
      </c>
      <c r="E345" s="22" t="str">
        <f>INDEX(Cronograma!D$5:D$11,MATCH($B345,Premissas!$A$39:$A$45,0))</f>
        <v/>
      </c>
      <c r="F345" s="22" t="str">
        <f>INDEX(Cronograma!E$5:E$11,MATCH($B345,Premissas!$A$39:$A$45,0))</f>
        <v/>
      </c>
      <c r="G345" s="22" t="str">
        <f>INDEX(Cronograma!F$5:F$11,MATCH($B345,Premissas!$A$39:$A$45,0))</f>
        <v/>
      </c>
      <c r="H345" s="22" t="str">
        <f>INDEX(Cronograma!G$5:G$11,MATCH($B345,Premissas!$A$39:$A$45,0))</f>
        <v>S</v>
      </c>
      <c r="I345" s="22" t="str">
        <f>INDEX(Cronograma!H$5:H$11,MATCH($B345,Premissas!$A$39:$A$45,0))</f>
        <v/>
      </c>
      <c r="J345" s="22" t="str">
        <f>INDEX(Cronograma!I$5:I$11,MATCH($B345,Premissas!$A$39:$A$45,0))</f>
        <v/>
      </c>
      <c r="K345" s="22" t="str">
        <f>INDEX(Cronograma!J$5:J$11,MATCH($B345,Premissas!$A$39:$A$45,0))</f>
        <v/>
      </c>
      <c r="L345" s="22" t="str">
        <f>INDEX(Cronograma!K$5:K$11,MATCH($B345,Premissas!$A$39:$A$45,0))</f>
        <v/>
      </c>
      <c r="M345" s="22" t="str">
        <f>INDEX(Cronograma!L$5:L$11,MATCH($B345,Premissas!$A$39:$A$45,0))</f>
        <v/>
      </c>
      <c r="N345" s="22" t="str">
        <f>INDEX(Cronograma!M$5:M$11,MATCH($B345,Premissas!$A$39:$A$45,0))</f>
        <v>A</v>
      </c>
      <c r="O345" s="22" t="str">
        <f>INDEX(Cronograma!N$5:N$11,MATCH($B345,Premissas!$A$39:$A$45,0))</f>
        <v/>
      </c>
      <c r="P345" s="22" t="str">
        <f>INDEX(Cronograma!O$5:O$11,MATCH($B345,Premissas!$A$39:$A$45,0))</f>
        <v/>
      </c>
      <c r="Q345" s="22" t="str">
        <f>INDEX(Cronograma!P$5:P$11,MATCH($B345,Premissas!$A$39:$A$45,0))</f>
        <v/>
      </c>
      <c r="R345" s="22" t="str">
        <f>INDEX(Cronograma!Q$5:Q$11,MATCH($B345,Premissas!$A$39:$A$45,0))</f>
        <v/>
      </c>
      <c r="S345" s="22" t="str">
        <f>INDEX(Cronograma!R$5:R$11,MATCH($B345,Premissas!$A$39:$A$45,0))</f>
        <v>S</v>
      </c>
      <c r="T345" s="22" t="str">
        <f>INDEX(Cronograma!S$5:S$11,MATCH($B345,Premissas!$A$39:$A$45,0))</f>
        <v/>
      </c>
      <c r="U345" s="22" t="str">
        <f>INDEX(Cronograma!T$5:T$11,MATCH($B345,Premissas!$A$39:$A$45,0))</f>
        <v/>
      </c>
      <c r="V345" s="22" t="str">
        <f>INDEX(Cronograma!U$5:U$11,MATCH($B345,Premissas!$A$39:$A$45,0))</f>
        <v/>
      </c>
      <c r="W345" s="22" t="str">
        <f>INDEX(Cronograma!V$5:V$11,MATCH($B345,Premissas!$A$39:$A$45,0))</f>
        <v/>
      </c>
      <c r="X345" s="22" t="str">
        <f>INDEX(Cronograma!W$5:W$11,MATCH($B345,Premissas!$A$39:$A$45,0))</f>
        <v/>
      </c>
      <c r="Y345" s="22" t="str">
        <f>INDEX(Cronograma!X$5:X$11,MATCH($B345,Premissas!$A$39:$A$45,0))</f>
        <v>B</v>
      </c>
      <c r="Z345" s="22" t="str">
        <f>INDEX(Cronograma!Y$5:Y$11,MATCH($B345,Premissas!$A$39:$A$45,0))</f>
        <v/>
      </c>
      <c r="AA345" s="22" t="str">
        <f>INDEX(Cronograma!Z$5:Z$11,MATCH($B345,Premissas!$A$39:$A$45,0))</f>
        <v/>
      </c>
      <c r="AB345" s="22" t="str">
        <f>INDEX(Cronograma!AA$5:AA$11,MATCH($B345,Premissas!$A$39:$A$45,0))</f>
        <v/>
      </c>
      <c r="AC345" s="22" t="str">
        <f>INDEX(Cronograma!AB$5:AB$11,MATCH($B345,Premissas!$A$39:$A$45,0))</f>
        <v/>
      </c>
      <c r="AD345" s="22" t="str">
        <f>INDEX(Cronograma!AC$5:AC$11,MATCH($B345,Premissas!$A$39:$A$45,0))</f>
        <v>S</v>
      </c>
      <c r="AE345" s="22" t="str">
        <f>INDEX(Cronograma!AD$5:AD$11,MATCH($B345,Premissas!$A$39:$A$45,0))</f>
        <v/>
      </c>
      <c r="AF345" s="22" t="str">
        <f>INDEX(Cronograma!AE$5:AE$11,MATCH($B345,Premissas!$A$39:$A$45,0))</f>
        <v/>
      </c>
      <c r="AG345" s="22" t="str">
        <f>INDEX(Cronograma!AF$5:AF$11,MATCH($B345,Premissas!$A$39:$A$45,0))</f>
        <v/>
      </c>
      <c r="AH345" s="22" t="str">
        <f>INDEX(Cronograma!AG$5:AG$11,MATCH($B345,Premissas!$A$39:$A$45,0))</f>
        <v/>
      </c>
      <c r="AI345" s="22" t="str">
        <f>INDEX(Cronograma!AH$5:AH$11,MATCH($B345,Premissas!$A$39:$A$45,0))</f>
        <v/>
      </c>
      <c r="AJ345" s="22" t="str">
        <f>INDEX(Cronograma!AI$5:AI$11,MATCH($B345,Premissas!$A$39:$A$45,0))</f>
        <v/>
      </c>
      <c r="AK345" s="22" t="str">
        <f>INDEX(Cronograma!AJ$5:AJ$11,MATCH($B345,Premissas!$A$39:$A$45,0))</f>
        <v/>
      </c>
      <c r="AL345" s="22" t="str">
        <f>INDEX(Cronograma!AK$5:AK$11,MATCH($B345,Premissas!$A$39:$A$45,0))</f>
        <v/>
      </c>
      <c r="AM345" s="22" t="str">
        <f>INDEX(Cronograma!AL$5:AL$11,MATCH($B345,Premissas!$A$39:$A$45,0))</f>
        <v/>
      </c>
      <c r="AN345" s="22" t="str">
        <f>INDEX(Cronograma!AM$5:AM$11,MATCH($B345,Premissas!$A$39:$A$45,0))</f>
        <v/>
      </c>
      <c r="AO345" s="22" t="str">
        <f>INDEX(Cronograma!AN$5:AN$11,MATCH($B345,Premissas!$A$39:$A$45,0))</f>
        <v/>
      </c>
      <c r="AP345" s="22" t="str">
        <f>INDEX(Cronograma!AO$5:AO$11,MATCH($B345,Premissas!$A$39:$A$45,0))</f>
        <v/>
      </c>
      <c r="AQ345" s="22" t="str">
        <f>INDEX(Cronograma!AP$5:AP$11,MATCH($B345,Premissas!$A$39:$A$45,0))</f>
        <v/>
      </c>
      <c r="AR345" s="22" t="str">
        <f>INDEX(Cronograma!AQ$5:AQ$11,MATCH($B345,Premissas!$A$39:$A$45,0))</f>
        <v>A</v>
      </c>
      <c r="AS345" s="22" t="str">
        <f>INDEX(Cronograma!AR$5:AR$11,MATCH($B345,Premissas!$A$39:$A$45,0))</f>
        <v/>
      </c>
      <c r="AT345" s="22" t="str">
        <f>INDEX(Cronograma!AS$5:AS$11,MATCH($B345,Premissas!$A$39:$A$45,0))</f>
        <v/>
      </c>
      <c r="AU345" s="22" t="str">
        <f>INDEX(Cronograma!AT$5:AT$11,MATCH($B345,Premissas!$A$39:$A$45,0))</f>
        <v/>
      </c>
      <c r="AV345" s="22" t="str">
        <f>INDEX(Cronograma!AU$5:AU$11,MATCH($B345,Premissas!$A$39:$A$45,0))</f>
        <v/>
      </c>
      <c r="AW345" s="22" t="str">
        <f>INDEX(Cronograma!AV$5:AV$11,MATCH($B345,Premissas!$A$39:$A$45,0))</f>
        <v/>
      </c>
      <c r="AX345" s="22" t="str">
        <f>INDEX(Cronograma!AW$5:AW$11,MATCH($B345,Premissas!$A$39:$A$45,0))</f>
        <v/>
      </c>
      <c r="AY345" s="22" t="str">
        <f>INDEX(Cronograma!AX$5:AX$11,MATCH($B345,Premissas!$A$39:$A$45,0))</f>
        <v/>
      </c>
      <c r="AZ345" s="22" t="str">
        <f>INDEX(Cronograma!AY$5:AY$11,MATCH($B345,Premissas!$A$39:$A$45,0))</f>
        <v/>
      </c>
      <c r="BA345" s="22" t="str">
        <f>INDEX(Cronograma!AZ$5:AZ$11,MATCH($B345,Premissas!$A$39:$A$45,0))</f>
        <v/>
      </c>
      <c r="BB345" s="22" t="str">
        <f>INDEX(Cronograma!BA$5:BA$11,MATCH($B345,Premissas!$A$39:$A$45,0))</f>
        <v/>
      </c>
    </row>
    <row r="346" spans="1:54" ht="15" customHeight="1" x14ac:dyDescent="0.4">
      <c r="A346" s="15" t="str">
        <f>Frota!$B346&amp;" — "&amp;Frota!$A346</f>
        <v>Bell SC-800 — 164066</v>
      </c>
      <c r="B346" s="16" t="str">
        <f>Frota!$C346</f>
        <v>Carregadeira/Pesada</v>
      </c>
      <c r="C346" s="22" t="str">
        <f>INDEX(Cronograma!B$5:B$11,MATCH($B346,Premissas!$A$39:$A$45,0))</f>
        <v/>
      </c>
      <c r="D346" s="22" t="str">
        <f>INDEX(Cronograma!C$5:C$11,MATCH($B346,Premissas!$A$39:$A$45,0))</f>
        <v/>
      </c>
      <c r="E346" s="22" t="str">
        <f>INDEX(Cronograma!D$5:D$11,MATCH($B346,Premissas!$A$39:$A$45,0))</f>
        <v/>
      </c>
      <c r="F346" s="22" t="str">
        <f>INDEX(Cronograma!E$5:E$11,MATCH($B346,Premissas!$A$39:$A$45,0))</f>
        <v/>
      </c>
      <c r="G346" s="22" t="str">
        <f>INDEX(Cronograma!F$5:F$11,MATCH($B346,Premissas!$A$39:$A$45,0))</f>
        <v/>
      </c>
      <c r="H346" s="22" t="str">
        <f>INDEX(Cronograma!G$5:G$11,MATCH($B346,Premissas!$A$39:$A$45,0))</f>
        <v>S</v>
      </c>
      <c r="I346" s="22" t="str">
        <f>INDEX(Cronograma!H$5:H$11,MATCH($B346,Premissas!$A$39:$A$45,0))</f>
        <v/>
      </c>
      <c r="J346" s="22" t="str">
        <f>INDEX(Cronograma!I$5:I$11,MATCH($B346,Premissas!$A$39:$A$45,0))</f>
        <v/>
      </c>
      <c r="K346" s="22" t="str">
        <f>INDEX(Cronograma!J$5:J$11,MATCH($B346,Premissas!$A$39:$A$45,0))</f>
        <v/>
      </c>
      <c r="L346" s="22" t="str">
        <f>INDEX(Cronograma!K$5:K$11,MATCH($B346,Premissas!$A$39:$A$45,0))</f>
        <v/>
      </c>
      <c r="M346" s="22" t="str">
        <f>INDEX(Cronograma!L$5:L$11,MATCH($B346,Premissas!$A$39:$A$45,0))</f>
        <v/>
      </c>
      <c r="N346" s="22" t="str">
        <f>INDEX(Cronograma!M$5:M$11,MATCH($B346,Premissas!$A$39:$A$45,0))</f>
        <v>A</v>
      </c>
      <c r="O346" s="22" t="str">
        <f>INDEX(Cronograma!N$5:N$11,MATCH($B346,Premissas!$A$39:$A$45,0))</f>
        <v/>
      </c>
      <c r="P346" s="22" t="str">
        <f>INDEX(Cronograma!O$5:O$11,MATCH($B346,Premissas!$A$39:$A$45,0))</f>
        <v/>
      </c>
      <c r="Q346" s="22" t="str">
        <f>INDEX(Cronograma!P$5:P$11,MATCH($B346,Premissas!$A$39:$A$45,0))</f>
        <v/>
      </c>
      <c r="R346" s="22" t="str">
        <f>INDEX(Cronograma!Q$5:Q$11,MATCH($B346,Premissas!$A$39:$A$45,0))</f>
        <v/>
      </c>
      <c r="S346" s="22" t="str">
        <f>INDEX(Cronograma!R$5:R$11,MATCH($B346,Premissas!$A$39:$A$45,0))</f>
        <v>S</v>
      </c>
      <c r="T346" s="22" t="str">
        <f>INDEX(Cronograma!S$5:S$11,MATCH($B346,Premissas!$A$39:$A$45,0))</f>
        <v/>
      </c>
      <c r="U346" s="22" t="str">
        <f>INDEX(Cronograma!T$5:T$11,MATCH($B346,Premissas!$A$39:$A$45,0))</f>
        <v/>
      </c>
      <c r="V346" s="22" t="str">
        <f>INDEX(Cronograma!U$5:U$11,MATCH($B346,Premissas!$A$39:$A$45,0))</f>
        <v/>
      </c>
      <c r="W346" s="22" t="str">
        <f>INDEX(Cronograma!V$5:V$11,MATCH($B346,Premissas!$A$39:$A$45,0))</f>
        <v/>
      </c>
      <c r="X346" s="22" t="str">
        <f>INDEX(Cronograma!W$5:W$11,MATCH($B346,Premissas!$A$39:$A$45,0))</f>
        <v/>
      </c>
      <c r="Y346" s="22" t="str">
        <f>INDEX(Cronograma!X$5:X$11,MATCH($B346,Premissas!$A$39:$A$45,0))</f>
        <v>B</v>
      </c>
      <c r="Z346" s="22" t="str">
        <f>INDEX(Cronograma!Y$5:Y$11,MATCH($B346,Premissas!$A$39:$A$45,0))</f>
        <v/>
      </c>
      <c r="AA346" s="22" t="str">
        <f>INDEX(Cronograma!Z$5:Z$11,MATCH($B346,Premissas!$A$39:$A$45,0))</f>
        <v/>
      </c>
      <c r="AB346" s="22" t="str">
        <f>INDEX(Cronograma!AA$5:AA$11,MATCH($B346,Premissas!$A$39:$A$45,0))</f>
        <v/>
      </c>
      <c r="AC346" s="22" t="str">
        <f>INDEX(Cronograma!AB$5:AB$11,MATCH($B346,Premissas!$A$39:$A$45,0))</f>
        <v/>
      </c>
      <c r="AD346" s="22" t="str">
        <f>INDEX(Cronograma!AC$5:AC$11,MATCH($B346,Premissas!$A$39:$A$45,0))</f>
        <v>S</v>
      </c>
      <c r="AE346" s="22" t="str">
        <f>INDEX(Cronograma!AD$5:AD$11,MATCH($B346,Premissas!$A$39:$A$45,0))</f>
        <v/>
      </c>
      <c r="AF346" s="22" t="str">
        <f>INDEX(Cronograma!AE$5:AE$11,MATCH($B346,Premissas!$A$39:$A$45,0))</f>
        <v/>
      </c>
      <c r="AG346" s="22" t="str">
        <f>INDEX(Cronograma!AF$5:AF$11,MATCH($B346,Premissas!$A$39:$A$45,0))</f>
        <v/>
      </c>
      <c r="AH346" s="22" t="str">
        <f>INDEX(Cronograma!AG$5:AG$11,MATCH($B346,Premissas!$A$39:$A$45,0))</f>
        <v/>
      </c>
      <c r="AI346" s="22" t="str">
        <f>INDEX(Cronograma!AH$5:AH$11,MATCH($B346,Premissas!$A$39:$A$45,0))</f>
        <v/>
      </c>
      <c r="AJ346" s="22" t="str">
        <f>INDEX(Cronograma!AI$5:AI$11,MATCH($B346,Premissas!$A$39:$A$45,0))</f>
        <v/>
      </c>
      <c r="AK346" s="22" t="str">
        <f>INDEX(Cronograma!AJ$5:AJ$11,MATCH($B346,Premissas!$A$39:$A$45,0))</f>
        <v/>
      </c>
      <c r="AL346" s="22" t="str">
        <f>INDEX(Cronograma!AK$5:AK$11,MATCH($B346,Premissas!$A$39:$A$45,0))</f>
        <v/>
      </c>
      <c r="AM346" s="22" t="str">
        <f>INDEX(Cronograma!AL$5:AL$11,MATCH($B346,Premissas!$A$39:$A$45,0))</f>
        <v/>
      </c>
      <c r="AN346" s="22" t="str">
        <f>INDEX(Cronograma!AM$5:AM$11,MATCH($B346,Premissas!$A$39:$A$45,0))</f>
        <v/>
      </c>
      <c r="AO346" s="22" t="str">
        <f>INDEX(Cronograma!AN$5:AN$11,MATCH($B346,Premissas!$A$39:$A$45,0))</f>
        <v/>
      </c>
      <c r="AP346" s="22" t="str">
        <f>INDEX(Cronograma!AO$5:AO$11,MATCH($B346,Premissas!$A$39:$A$45,0))</f>
        <v/>
      </c>
      <c r="AQ346" s="22" t="str">
        <f>INDEX(Cronograma!AP$5:AP$11,MATCH($B346,Premissas!$A$39:$A$45,0))</f>
        <v/>
      </c>
      <c r="AR346" s="22" t="str">
        <f>INDEX(Cronograma!AQ$5:AQ$11,MATCH($B346,Premissas!$A$39:$A$45,0))</f>
        <v>A</v>
      </c>
      <c r="AS346" s="22" t="str">
        <f>INDEX(Cronograma!AR$5:AR$11,MATCH($B346,Premissas!$A$39:$A$45,0))</f>
        <v/>
      </c>
      <c r="AT346" s="22" t="str">
        <f>INDEX(Cronograma!AS$5:AS$11,MATCH($B346,Premissas!$A$39:$A$45,0))</f>
        <v/>
      </c>
      <c r="AU346" s="22" t="str">
        <f>INDEX(Cronograma!AT$5:AT$11,MATCH($B346,Premissas!$A$39:$A$45,0))</f>
        <v/>
      </c>
      <c r="AV346" s="22" t="str">
        <f>INDEX(Cronograma!AU$5:AU$11,MATCH($B346,Premissas!$A$39:$A$45,0))</f>
        <v/>
      </c>
      <c r="AW346" s="22" t="str">
        <f>INDEX(Cronograma!AV$5:AV$11,MATCH($B346,Premissas!$A$39:$A$45,0))</f>
        <v/>
      </c>
      <c r="AX346" s="22" t="str">
        <f>INDEX(Cronograma!AW$5:AW$11,MATCH($B346,Premissas!$A$39:$A$45,0))</f>
        <v/>
      </c>
      <c r="AY346" s="22" t="str">
        <f>INDEX(Cronograma!AX$5:AX$11,MATCH($B346,Premissas!$A$39:$A$45,0))</f>
        <v/>
      </c>
      <c r="AZ346" s="22" t="str">
        <f>INDEX(Cronograma!AY$5:AY$11,MATCH($B346,Premissas!$A$39:$A$45,0))</f>
        <v/>
      </c>
      <c r="BA346" s="22" t="str">
        <f>INDEX(Cronograma!AZ$5:AZ$11,MATCH($B346,Premissas!$A$39:$A$45,0))</f>
        <v/>
      </c>
      <c r="BB346" s="22" t="str">
        <f>INDEX(Cronograma!BA$5:BA$11,MATCH($B346,Premissas!$A$39:$A$45,0))</f>
        <v/>
      </c>
    </row>
    <row r="347" spans="1:54" ht="15" customHeight="1" x14ac:dyDescent="0.4">
      <c r="A347" s="15" t="str">
        <f>Frota!$B347&amp;" — "&amp;Frota!$A347</f>
        <v>Bell SC-800 — 164067</v>
      </c>
      <c r="B347" s="16" t="str">
        <f>Frota!$C347</f>
        <v>Carregadeira/Pesada</v>
      </c>
      <c r="C347" s="22" t="str">
        <f>INDEX(Cronograma!B$5:B$11,MATCH($B347,Premissas!$A$39:$A$45,0))</f>
        <v/>
      </c>
      <c r="D347" s="22" t="str">
        <f>INDEX(Cronograma!C$5:C$11,MATCH($B347,Premissas!$A$39:$A$45,0))</f>
        <v/>
      </c>
      <c r="E347" s="22" t="str">
        <f>INDEX(Cronograma!D$5:D$11,MATCH($B347,Premissas!$A$39:$A$45,0))</f>
        <v/>
      </c>
      <c r="F347" s="22" t="str">
        <f>INDEX(Cronograma!E$5:E$11,MATCH($B347,Premissas!$A$39:$A$45,0))</f>
        <v/>
      </c>
      <c r="G347" s="22" t="str">
        <f>INDEX(Cronograma!F$5:F$11,MATCH($B347,Premissas!$A$39:$A$45,0))</f>
        <v/>
      </c>
      <c r="H347" s="22" t="str">
        <f>INDEX(Cronograma!G$5:G$11,MATCH($B347,Premissas!$A$39:$A$45,0))</f>
        <v>S</v>
      </c>
      <c r="I347" s="22" t="str">
        <f>INDEX(Cronograma!H$5:H$11,MATCH($B347,Premissas!$A$39:$A$45,0))</f>
        <v/>
      </c>
      <c r="J347" s="22" t="str">
        <f>INDEX(Cronograma!I$5:I$11,MATCH($B347,Premissas!$A$39:$A$45,0))</f>
        <v/>
      </c>
      <c r="K347" s="22" t="str">
        <f>INDEX(Cronograma!J$5:J$11,MATCH($B347,Premissas!$A$39:$A$45,0))</f>
        <v/>
      </c>
      <c r="L347" s="22" t="str">
        <f>INDEX(Cronograma!K$5:K$11,MATCH($B347,Premissas!$A$39:$A$45,0))</f>
        <v/>
      </c>
      <c r="M347" s="22" t="str">
        <f>INDEX(Cronograma!L$5:L$11,MATCH($B347,Premissas!$A$39:$A$45,0))</f>
        <v/>
      </c>
      <c r="N347" s="22" t="str">
        <f>INDEX(Cronograma!M$5:M$11,MATCH($B347,Premissas!$A$39:$A$45,0))</f>
        <v>A</v>
      </c>
      <c r="O347" s="22" t="str">
        <f>INDEX(Cronograma!N$5:N$11,MATCH($B347,Premissas!$A$39:$A$45,0))</f>
        <v/>
      </c>
      <c r="P347" s="22" t="str">
        <f>INDEX(Cronograma!O$5:O$11,MATCH($B347,Premissas!$A$39:$A$45,0))</f>
        <v/>
      </c>
      <c r="Q347" s="22" t="str">
        <f>INDEX(Cronograma!P$5:P$11,MATCH($B347,Premissas!$A$39:$A$45,0))</f>
        <v/>
      </c>
      <c r="R347" s="22" t="str">
        <f>INDEX(Cronograma!Q$5:Q$11,MATCH($B347,Premissas!$A$39:$A$45,0))</f>
        <v/>
      </c>
      <c r="S347" s="22" t="str">
        <f>INDEX(Cronograma!R$5:R$11,MATCH($B347,Premissas!$A$39:$A$45,0))</f>
        <v>S</v>
      </c>
      <c r="T347" s="22" t="str">
        <f>INDEX(Cronograma!S$5:S$11,MATCH($B347,Premissas!$A$39:$A$45,0))</f>
        <v/>
      </c>
      <c r="U347" s="22" t="str">
        <f>INDEX(Cronograma!T$5:T$11,MATCH($B347,Premissas!$A$39:$A$45,0))</f>
        <v/>
      </c>
      <c r="V347" s="22" t="str">
        <f>INDEX(Cronograma!U$5:U$11,MATCH($B347,Premissas!$A$39:$A$45,0))</f>
        <v/>
      </c>
      <c r="W347" s="22" t="str">
        <f>INDEX(Cronograma!V$5:V$11,MATCH($B347,Premissas!$A$39:$A$45,0))</f>
        <v/>
      </c>
      <c r="X347" s="22" t="str">
        <f>INDEX(Cronograma!W$5:W$11,MATCH($B347,Premissas!$A$39:$A$45,0))</f>
        <v/>
      </c>
      <c r="Y347" s="22" t="str">
        <f>INDEX(Cronograma!X$5:X$11,MATCH($B347,Premissas!$A$39:$A$45,0))</f>
        <v>B</v>
      </c>
      <c r="Z347" s="22" t="str">
        <f>INDEX(Cronograma!Y$5:Y$11,MATCH($B347,Premissas!$A$39:$A$45,0))</f>
        <v/>
      </c>
      <c r="AA347" s="22" t="str">
        <f>INDEX(Cronograma!Z$5:Z$11,MATCH($B347,Premissas!$A$39:$A$45,0))</f>
        <v/>
      </c>
      <c r="AB347" s="22" t="str">
        <f>INDEX(Cronograma!AA$5:AA$11,MATCH($B347,Premissas!$A$39:$A$45,0))</f>
        <v/>
      </c>
      <c r="AC347" s="22" t="str">
        <f>INDEX(Cronograma!AB$5:AB$11,MATCH($B347,Premissas!$A$39:$A$45,0))</f>
        <v/>
      </c>
      <c r="AD347" s="22" t="str">
        <f>INDEX(Cronograma!AC$5:AC$11,MATCH($B347,Premissas!$A$39:$A$45,0))</f>
        <v>S</v>
      </c>
      <c r="AE347" s="22" t="str">
        <f>INDEX(Cronograma!AD$5:AD$11,MATCH($B347,Premissas!$A$39:$A$45,0))</f>
        <v/>
      </c>
      <c r="AF347" s="22" t="str">
        <f>INDEX(Cronograma!AE$5:AE$11,MATCH($B347,Premissas!$A$39:$A$45,0))</f>
        <v/>
      </c>
      <c r="AG347" s="22" t="str">
        <f>INDEX(Cronograma!AF$5:AF$11,MATCH($B347,Premissas!$A$39:$A$45,0))</f>
        <v/>
      </c>
      <c r="AH347" s="22" t="str">
        <f>INDEX(Cronograma!AG$5:AG$11,MATCH($B347,Premissas!$A$39:$A$45,0))</f>
        <v/>
      </c>
      <c r="AI347" s="22" t="str">
        <f>INDEX(Cronograma!AH$5:AH$11,MATCH($B347,Premissas!$A$39:$A$45,0))</f>
        <v/>
      </c>
      <c r="AJ347" s="22" t="str">
        <f>INDEX(Cronograma!AI$5:AI$11,MATCH($B347,Premissas!$A$39:$A$45,0))</f>
        <v/>
      </c>
      <c r="AK347" s="22" t="str">
        <f>INDEX(Cronograma!AJ$5:AJ$11,MATCH($B347,Premissas!$A$39:$A$45,0))</f>
        <v/>
      </c>
      <c r="AL347" s="22" t="str">
        <f>INDEX(Cronograma!AK$5:AK$11,MATCH($B347,Premissas!$A$39:$A$45,0))</f>
        <v/>
      </c>
      <c r="AM347" s="22" t="str">
        <f>INDEX(Cronograma!AL$5:AL$11,MATCH($B347,Premissas!$A$39:$A$45,0))</f>
        <v/>
      </c>
      <c r="AN347" s="22" t="str">
        <f>INDEX(Cronograma!AM$5:AM$11,MATCH($B347,Premissas!$A$39:$A$45,0))</f>
        <v/>
      </c>
      <c r="AO347" s="22" t="str">
        <f>INDEX(Cronograma!AN$5:AN$11,MATCH($B347,Premissas!$A$39:$A$45,0))</f>
        <v/>
      </c>
      <c r="AP347" s="22" t="str">
        <f>INDEX(Cronograma!AO$5:AO$11,MATCH($B347,Premissas!$A$39:$A$45,0))</f>
        <v/>
      </c>
      <c r="AQ347" s="22" t="str">
        <f>INDEX(Cronograma!AP$5:AP$11,MATCH($B347,Premissas!$A$39:$A$45,0))</f>
        <v/>
      </c>
      <c r="AR347" s="22" t="str">
        <f>INDEX(Cronograma!AQ$5:AQ$11,MATCH($B347,Premissas!$A$39:$A$45,0))</f>
        <v>A</v>
      </c>
      <c r="AS347" s="22" t="str">
        <f>INDEX(Cronograma!AR$5:AR$11,MATCH($B347,Premissas!$A$39:$A$45,0))</f>
        <v/>
      </c>
      <c r="AT347" s="22" t="str">
        <f>INDEX(Cronograma!AS$5:AS$11,MATCH($B347,Premissas!$A$39:$A$45,0))</f>
        <v/>
      </c>
      <c r="AU347" s="22" t="str">
        <f>INDEX(Cronograma!AT$5:AT$11,MATCH($B347,Premissas!$A$39:$A$45,0))</f>
        <v/>
      </c>
      <c r="AV347" s="22" t="str">
        <f>INDEX(Cronograma!AU$5:AU$11,MATCH($B347,Premissas!$A$39:$A$45,0))</f>
        <v/>
      </c>
      <c r="AW347" s="22" t="str">
        <f>INDEX(Cronograma!AV$5:AV$11,MATCH($B347,Premissas!$A$39:$A$45,0))</f>
        <v/>
      </c>
      <c r="AX347" s="22" t="str">
        <f>INDEX(Cronograma!AW$5:AW$11,MATCH($B347,Premissas!$A$39:$A$45,0))</f>
        <v/>
      </c>
      <c r="AY347" s="22" t="str">
        <f>INDEX(Cronograma!AX$5:AX$11,MATCH($B347,Premissas!$A$39:$A$45,0))</f>
        <v/>
      </c>
      <c r="AZ347" s="22" t="str">
        <f>INDEX(Cronograma!AY$5:AY$11,MATCH($B347,Premissas!$A$39:$A$45,0))</f>
        <v/>
      </c>
      <c r="BA347" s="22" t="str">
        <f>INDEX(Cronograma!AZ$5:AZ$11,MATCH($B347,Premissas!$A$39:$A$45,0))</f>
        <v/>
      </c>
      <c r="BB347" s="22" t="str">
        <f>INDEX(Cronograma!BA$5:BA$11,MATCH($B347,Premissas!$A$39:$A$45,0))</f>
        <v/>
      </c>
    </row>
    <row r="348" spans="1:54" ht="15" customHeight="1" x14ac:dyDescent="0.4">
      <c r="A348" s="15" t="str">
        <f>Frota!$B348&amp;" — "&amp;Frota!$A348</f>
        <v>Bell SC-800 — 164068</v>
      </c>
      <c r="B348" s="16" t="str">
        <f>Frota!$C348</f>
        <v>Carregadeira/Pesada</v>
      </c>
      <c r="C348" s="22" t="str">
        <f>INDEX(Cronograma!B$5:B$11,MATCH($B348,Premissas!$A$39:$A$45,0))</f>
        <v/>
      </c>
      <c r="D348" s="22" t="str">
        <f>INDEX(Cronograma!C$5:C$11,MATCH($B348,Premissas!$A$39:$A$45,0))</f>
        <v/>
      </c>
      <c r="E348" s="22" t="str">
        <f>INDEX(Cronograma!D$5:D$11,MATCH($B348,Premissas!$A$39:$A$45,0))</f>
        <v/>
      </c>
      <c r="F348" s="22" t="str">
        <f>INDEX(Cronograma!E$5:E$11,MATCH($B348,Premissas!$A$39:$A$45,0))</f>
        <v/>
      </c>
      <c r="G348" s="22" t="str">
        <f>INDEX(Cronograma!F$5:F$11,MATCH($B348,Premissas!$A$39:$A$45,0))</f>
        <v/>
      </c>
      <c r="H348" s="22" t="str">
        <f>INDEX(Cronograma!G$5:G$11,MATCH($B348,Premissas!$A$39:$A$45,0))</f>
        <v>S</v>
      </c>
      <c r="I348" s="22" t="str">
        <f>INDEX(Cronograma!H$5:H$11,MATCH($B348,Premissas!$A$39:$A$45,0))</f>
        <v/>
      </c>
      <c r="J348" s="22" t="str">
        <f>INDEX(Cronograma!I$5:I$11,MATCH($B348,Premissas!$A$39:$A$45,0))</f>
        <v/>
      </c>
      <c r="K348" s="22" t="str">
        <f>INDEX(Cronograma!J$5:J$11,MATCH($B348,Premissas!$A$39:$A$45,0))</f>
        <v/>
      </c>
      <c r="L348" s="22" t="str">
        <f>INDEX(Cronograma!K$5:K$11,MATCH($B348,Premissas!$A$39:$A$45,0))</f>
        <v/>
      </c>
      <c r="M348" s="22" t="str">
        <f>INDEX(Cronograma!L$5:L$11,MATCH($B348,Premissas!$A$39:$A$45,0))</f>
        <v/>
      </c>
      <c r="N348" s="22" t="str">
        <f>INDEX(Cronograma!M$5:M$11,MATCH($B348,Premissas!$A$39:$A$45,0))</f>
        <v>A</v>
      </c>
      <c r="O348" s="22" t="str">
        <f>INDEX(Cronograma!N$5:N$11,MATCH($B348,Premissas!$A$39:$A$45,0))</f>
        <v/>
      </c>
      <c r="P348" s="22" t="str">
        <f>INDEX(Cronograma!O$5:O$11,MATCH($B348,Premissas!$A$39:$A$45,0))</f>
        <v/>
      </c>
      <c r="Q348" s="22" t="str">
        <f>INDEX(Cronograma!P$5:P$11,MATCH($B348,Premissas!$A$39:$A$45,0))</f>
        <v/>
      </c>
      <c r="R348" s="22" t="str">
        <f>INDEX(Cronograma!Q$5:Q$11,MATCH($B348,Premissas!$A$39:$A$45,0))</f>
        <v/>
      </c>
      <c r="S348" s="22" t="str">
        <f>INDEX(Cronograma!R$5:R$11,MATCH($B348,Premissas!$A$39:$A$45,0))</f>
        <v>S</v>
      </c>
      <c r="T348" s="22" t="str">
        <f>INDEX(Cronograma!S$5:S$11,MATCH($B348,Premissas!$A$39:$A$45,0))</f>
        <v/>
      </c>
      <c r="U348" s="22" t="str">
        <f>INDEX(Cronograma!T$5:T$11,MATCH($B348,Premissas!$A$39:$A$45,0))</f>
        <v/>
      </c>
      <c r="V348" s="22" t="str">
        <f>INDEX(Cronograma!U$5:U$11,MATCH($B348,Premissas!$A$39:$A$45,0))</f>
        <v/>
      </c>
      <c r="W348" s="22" t="str">
        <f>INDEX(Cronograma!V$5:V$11,MATCH($B348,Premissas!$A$39:$A$45,0))</f>
        <v/>
      </c>
      <c r="X348" s="22" t="str">
        <f>INDEX(Cronograma!W$5:W$11,MATCH($B348,Premissas!$A$39:$A$45,0))</f>
        <v/>
      </c>
      <c r="Y348" s="22" t="str">
        <f>INDEX(Cronograma!X$5:X$11,MATCH($B348,Premissas!$A$39:$A$45,0))</f>
        <v>B</v>
      </c>
      <c r="Z348" s="22" t="str">
        <f>INDEX(Cronograma!Y$5:Y$11,MATCH($B348,Premissas!$A$39:$A$45,0))</f>
        <v/>
      </c>
      <c r="AA348" s="22" t="str">
        <f>INDEX(Cronograma!Z$5:Z$11,MATCH($B348,Premissas!$A$39:$A$45,0))</f>
        <v/>
      </c>
      <c r="AB348" s="22" t="str">
        <f>INDEX(Cronograma!AA$5:AA$11,MATCH($B348,Premissas!$A$39:$A$45,0))</f>
        <v/>
      </c>
      <c r="AC348" s="22" t="str">
        <f>INDEX(Cronograma!AB$5:AB$11,MATCH($B348,Premissas!$A$39:$A$45,0))</f>
        <v/>
      </c>
      <c r="AD348" s="22" t="str">
        <f>INDEX(Cronograma!AC$5:AC$11,MATCH($B348,Premissas!$A$39:$A$45,0))</f>
        <v>S</v>
      </c>
      <c r="AE348" s="22" t="str">
        <f>INDEX(Cronograma!AD$5:AD$11,MATCH($B348,Premissas!$A$39:$A$45,0))</f>
        <v/>
      </c>
      <c r="AF348" s="22" t="str">
        <f>INDEX(Cronograma!AE$5:AE$11,MATCH($B348,Premissas!$A$39:$A$45,0))</f>
        <v/>
      </c>
      <c r="AG348" s="22" t="str">
        <f>INDEX(Cronograma!AF$5:AF$11,MATCH($B348,Premissas!$A$39:$A$45,0))</f>
        <v/>
      </c>
      <c r="AH348" s="22" t="str">
        <f>INDEX(Cronograma!AG$5:AG$11,MATCH($B348,Premissas!$A$39:$A$45,0))</f>
        <v/>
      </c>
      <c r="AI348" s="22" t="str">
        <f>INDEX(Cronograma!AH$5:AH$11,MATCH($B348,Premissas!$A$39:$A$45,0))</f>
        <v/>
      </c>
      <c r="AJ348" s="22" t="str">
        <f>INDEX(Cronograma!AI$5:AI$11,MATCH($B348,Premissas!$A$39:$A$45,0))</f>
        <v/>
      </c>
      <c r="AK348" s="22" t="str">
        <f>INDEX(Cronograma!AJ$5:AJ$11,MATCH($B348,Premissas!$A$39:$A$45,0))</f>
        <v/>
      </c>
      <c r="AL348" s="22" t="str">
        <f>INDEX(Cronograma!AK$5:AK$11,MATCH($B348,Premissas!$A$39:$A$45,0))</f>
        <v/>
      </c>
      <c r="AM348" s="22" t="str">
        <f>INDEX(Cronograma!AL$5:AL$11,MATCH($B348,Premissas!$A$39:$A$45,0))</f>
        <v/>
      </c>
      <c r="AN348" s="22" t="str">
        <f>INDEX(Cronograma!AM$5:AM$11,MATCH($B348,Premissas!$A$39:$A$45,0))</f>
        <v/>
      </c>
      <c r="AO348" s="22" t="str">
        <f>INDEX(Cronograma!AN$5:AN$11,MATCH($B348,Premissas!$A$39:$A$45,0))</f>
        <v/>
      </c>
      <c r="AP348" s="22" t="str">
        <f>INDEX(Cronograma!AO$5:AO$11,MATCH($B348,Premissas!$A$39:$A$45,0))</f>
        <v/>
      </c>
      <c r="AQ348" s="22" t="str">
        <f>INDEX(Cronograma!AP$5:AP$11,MATCH($B348,Premissas!$A$39:$A$45,0))</f>
        <v/>
      </c>
      <c r="AR348" s="22" t="str">
        <f>INDEX(Cronograma!AQ$5:AQ$11,MATCH($B348,Premissas!$A$39:$A$45,0))</f>
        <v>A</v>
      </c>
      <c r="AS348" s="22" t="str">
        <f>INDEX(Cronograma!AR$5:AR$11,MATCH($B348,Premissas!$A$39:$A$45,0))</f>
        <v/>
      </c>
      <c r="AT348" s="22" t="str">
        <f>INDEX(Cronograma!AS$5:AS$11,MATCH($B348,Premissas!$A$39:$A$45,0))</f>
        <v/>
      </c>
      <c r="AU348" s="22" t="str">
        <f>INDEX(Cronograma!AT$5:AT$11,MATCH($B348,Premissas!$A$39:$A$45,0))</f>
        <v/>
      </c>
      <c r="AV348" s="22" t="str">
        <f>INDEX(Cronograma!AU$5:AU$11,MATCH($B348,Premissas!$A$39:$A$45,0))</f>
        <v/>
      </c>
      <c r="AW348" s="22" t="str">
        <f>INDEX(Cronograma!AV$5:AV$11,MATCH($B348,Premissas!$A$39:$A$45,0))</f>
        <v/>
      </c>
      <c r="AX348" s="22" t="str">
        <f>INDEX(Cronograma!AW$5:AW$11,MATCH($B348,Premissas!$A$39:$A$45,0))</f>
        <v/>
      </c>
      <c r="AY348" s="22" t="str">
        <f>INDEX(Cronograma!AX$5:AX$11,MATCH($B348,Premissas!$A$39:$A$45,0))</f>
        <v/>
      </c>
      <c r="AZ348" s="22" t="str">
        <f>INDEX(Cronograma!AY$5:AY$11,MATCH($B348,Premissas!$A$39:$A$45,0))</f>
        <v/>
      </c>
      <c r="BA348" s="22" t="str">
        <f>INDEX(Cronograma!AZ$5:AZ$11,MATCH($B348,Premissas!$A$39:$A$45,0))</f>
        <v/>
      </c>
      <c r="BB348" s="22" t="str">
        <f>INDEX(Cronograma!BA$5:BA$11,MATCH($B348,Premissas!$A$39:$A$45,0))</f>
        <v/>
      </c>
    </row>
    <row r="349" spans="1:54" ht="15" customHeight="1" x14ac:dyDescent="0.4">
      <c r="A349" s="15" t="str">
        <f>Frota!$B349&amp;" — "&amp;Frota!$A349</f>
        <v>Bell SC-800 — 164069</v>
      </c>
      <c r="B349" s="16" t="str">
        <f>Frota!$C349</f>
        <v>Carregadeira/Pesada</v>
      </c>
      <c r="C349" s="22" t="str">
        <f>INDEX(Cronograma!B$5:B$11,MATCH($B349,Premissas!$A$39:$A$45,0))</f>
        <v/>
      </c>
      <c r="D349" s="22" t="str">
        <f>INDEX(Cronograma!C$5:C$11,MATCH($B349,Premissas!$A$39:$A$45,0))</f>
        <v/>
      </c>
      <c r="E349" s="22" t="str">
        <f>INDEX(Cronograma!D$5:D$11,MATCH($B349,Premissas!$A$39:$A$45,0))</f>
        <v/>
      </c>
      <c r="F349" s="22" t="str">
        <f>INDEX(Cronograma!E$5:E$11,MATCH($B349,Premissas!$A$39:$A$45,0))</f>
        <v/>
      </c>
      <c r="G349" s="22" t="str">
        <f>INDEX(Cronograma!F$5:F$11,MATCH($B349,Premissas!$A$39:$A$45,0))</f>
        <v/>
      </c>
      <c r="H349" s="22" t="str">
        <f>INDEX(Cronograma!G$5:G$11,MATCH($B349,Premissas!$A$39:$A$45,0))</f>
        <v>S</v>
      </c>
      <c r="I349" s="22" t="str">
        <f>INDEX(Cronograma!H$5:H$11,MATCH($B349,Premissas!$A$39:$A$45,0))</f>
        <v/>
      </c>
      <c r="J349" s="22" t="str">
        <f>INDEX(Cronograma!I$5:I$11,MATCH($B349,Premissas!$A$39:$A$45,0))</f>
        <v/>
      </c>
      <c r="K349" s="22" t="str">
        <f>INDEX(Cronograma!J$5:J$11,MATCH($B349,Premissas!$A$39:$A$45,0))</f>
        <v/>
      </c>
      <c r="L349" s="22" t="str">
        <f>INDEX(Cronograma!K$5:K$11,MATCH($B349,Premissas!$A$39:$A$45,0))</f>
        <v/>
      </c>
      <c r="M349" s="22" t="str">
        <f>INDEX(Cronograma!L$5:L$11,MATCH($B349,Premissas!$A$39:$A$45,0))</f>
        <v/>
      </c>
      <c r="N349" s="22" t="str">
        <f>INDEX(Cronograma!M$5:M$11,MATCH($B349,Premissas!$A$39:$A$45,0))</f>
        <v>A</v>
      </c>
      <c r="O349" s="22" t="str">
        <f>INDEX(Cronograma!N$5:N$11,MATCH($B349,Premissas!$A$39:$A$45,0))</f>
        <v/>
      </c>
      <c r="P349" s="22" t="str">
        <f>INDEX(Cronograma!O$5:O$11,MATCH($B349,Premissas!$A$39:$A$45,0))</f>
        <v/>
      </c>
      <c r="Q349" s="22" t="str">
        <f>INDEX(Cronograma!P$5:P$11,MATCH($B349,Premissas!$A$39:$A$45,0))</f>
        <v/>
      </c>
      <c r="R349" s="22" t="str">
        <f>INDEX(Cronograma!Q$5:Q$11,MATCH($B349,Premissas!$A$39:$A$45,0))</f>
        <v/>
      </c>
      <c r="S349" s="22" t="str">
        <f>INDEX(Cronograma!R$5:R$11,MATCH($B349,Premissas!$A$39:$A$45,0))</f>
        <v>S</v>
      </c>
      <c r="T349" s="22" t="str">
        <f>INDEX(Cronograma!S$5:S$11,MATCH($B349,Premissas!$A$39:$A$45,0))</f>
        <v/>
      </c>
      <c r="U349" s="22" t="str">
        <f>INDEX(Cronograma!T$5:T$11,MATCH($B349,Premissas!$A$39:$A$45,0))</f>
        <v/>
      </c>
      <c r="V349" s="22" t="str">
        <f>INDEX(Cronograma!U$5:U$11,MATCH($B349,Premissas!$A$39:$A$45,0))</f>
        <v/>
      </c>
      <c r="W349" s="22" t="str">
        <f>INDEX(Cronograma!V$5:V$11,MATCH($B349,Premissas!$A$39:$A$45,0))</f>
        <v/>
      </c>
      <c r="X349" s="22" t="str">
        <f>INDEX(Cronograma!W$5:W$11,MATCH($B349,Premissas!$A$39:$A$45,0))</f>
        <v/>
      </c>
      <c r="Y349" s="22" t="str">
        <f>INDEX(Cronograma!X$5:X$11,MATCH($B349,Premissas!$A$39:$A$45,0))</f>
        <v>B</v>
      </c>
      <c r="Z349" s="22" t="str">
        <f>INDEX(Cronograma!Y$5:Y$11,MATCH($B349,Premissas!$A$39:$A$45,0))</f>
        <v/>
      </c>
      <c r="AA349" s="22" t="str">
        <f>INDEX(Cronograma!Z$5:Z$11,MATCH($B349,Premissas!$A$39:$A$45,0))</f>
        <v/>
      </c>
      <c r="AB349" s="22" t="str">
        <f>INDEX(Cronograma!AA$5:AA$11,MATCH($B349,Premissas!$A$39:$A$45,0))</f>
        <v/>
      </c>
      <c r="AC349" s="22" t="str">
        <f>INDEX(Cronograma!AB$5:AB$11,MATCH($B349,Premissas!$A$39:$A$45,0))</f>
        <v/>
      </c>
      <c r="AD349" s="22" t="str">
        <f>INDEX(Cronograma!AC$5:AC$11,MATCH($B349,Premissas!$A$39:$A$45,0))</f>
        <v>S</v>
      </c>
      <c r="AE349" s="22" t="str">
        <f>INDEX(Cronograma!AD$5:AD$11,MATCH($B349,Premissas!$A$39:$A$45,0))</f>
        <v/>
      </c>
      <c r="AF349" s="22" t="str">
        <f>INDEX(Cronograma!AE$5:AE$11,MATCH($B349,Premissas!$A$39:$A$45,0))</f>
        <v/>
      </c>
      <c r="AG349" s="22" t="str">
        <f>INDEX(Cronograma!AF$5:AF$11,MATCH($B349,Premissas!$A$39:$A$45,0))</f>
        <v/>
      </c>
      <c r="AH349" s="22" t="str">
        <f>INDEX(Cronograma!AG$5:AG$11,MATCH($B349,Premissas!$A$39:$A$45,0))</f>
        <v/>
      </c>
      <c r="AI349" s="22" t="str">
        <f>INDEX(Cronograma!AH$5:AH$11,MATCH($B349,Premissas!$A$39:$A$45,0))</f>
        <v/>
      </c>
      <c r="AJ349" s="22" t="str">
        <f>INDEX(Cronograma!AI$5:AI$11,MATCH($B349,Premissas!$A$39:$A$45,0))</f>
        <v/>
      </c>
      <c r="AK349" s="22" t="str">
        <f>INDEX(Cronograma!AJ$5:AJ$11,MATCH($B349,Premissas!$A$39:$A$45,0))</f>
        <v/>
      </c>
      <c r="AL349" s="22" t="str">
        <f>INDEX(Cronograma!AK$5:AK$11,MATCH($B349,Premissas!$A$39:$A$45,0))</f>
        <v/>
      </c>
      <c r="AM349" s="22" t="str">
        <f>INDEX(Cronograma!AL$5:AL$11,MATCH($B349,Premissas!$A$39:$A$45,0))</f>
        <v/>
      </c>
      <c r="AN349" s="22" t="str">
        <f>INDEX(Cronograma!AM$5:AM$11,MATCH($B349,Premissas!$A$39:$A$45,0))</f>
        <v/>
      </c>
      <c r="AO349" s="22" t="str">
        <f>INDEX(Cronograma!AN$5:AN$11,MATCH($B349,Premissas!$A$39:$A$45,0))</f>
        <v/>
      </c>
      <c r="AP349" s="22" t="str">
        <f>INDEX(Cronograma!AO$5:AO$11,MATCH($B349,Premissas!$A$39:$A$45,0))</f>
        <v/>
      </c>
      <c r="AQ349" s="22" t="str">
        <f>INDEX(Cronograma!AP$5:AP$11,MATCH($B349,Premissas!$A$39:$A$45,0))</f>
        <v/>
      </c>
      <c r="AR349" s="22" t="str">
        <f>INDEX(Cronograma!AQ$5:AQ$11,MATCH($B349,Premissas!$A$39:$A$45,0))</f>
        <v>A</v>
      </c>
      <c r="AS349" s="22" t="str">
        <f>INDEX(Cronograma!AR$5:AR$11,MATCH($B349,Premissas!$A$39:$A$45,0))</f>
        <v/>
      </c>
      <c r="AT349" s="22" t="str">
        <f>INDEX(Cronograma!AS$5:AS$11,MATCH($B349,Premissas!$A$39:$A$45,0))</f>
        <v/>
      </c>
      <c r="AU349" s="22" t="str">
        <f>INDEX(Cronograma!AT$5:AT$11,MATCH($B349,Premissas!$A$39:$A$45,0))</f>
        <v/>
      </c>
      <c r="AV349" s="22" t="str">
        <f>INDEX(Cronograma!AU$5:AU$11,MATCH($B349,Premissas!$A$39:$A$45,0))</f>
        <v/>
      </c>
      <c r="AW349" s="22" t="str">
        <f>INDEX(Cronograma!AV$5:AV$11,MATCH($B349,Premissas!$A$39:$A$45,0))</f>
        <v/>
      </c>
      <c r="AX349" s="22" t="str">
        <f>INDEX(Cronograma!AW$5:AW$11,MATCH($B349,Premissas!$A$39:$A$45,0))</f>
        <v/>
      </c>
      <c r="AY349" s="22" t="str">
        <f>INDEX(Cronograma!AX$5:AX$11,MATCH($B349,Premissas!$A$39:$A$45,0))</f>
        <v/>
      </c>
      <c r="AZ349" s="22" t="str">
        <f>INDEX(Cronograma!AY$5:AY$11,MATCH($B349,Premissas!$A$39:$A$45,0))</f>
        <v/>
      </c>
      <c r="BA349" s="22" t="str">
        <f>INDEX(Cronograma!AZ$5:AZ$11,MATCH($B349,Premissas!$A$39:$A$45,0))</f>
        <v/>
      </c>
      <c r="BB349" s="22" t="str">
        <f>INDEX(Cronograma!BA$5:BA$11,MATCH($B349,Premissas!$A$39:$A$45,0))</f>
        <v/>
      </c>
    </row>
    <row r="350" spans="1:54" ht="15" customHeight="1" x14ac:dyDescent="0.4">
      <c r="A350" s="15" t="str">
        <f>Frota!$B350&amp;" — "&amp;Frota!$A350</f>
        <v>Bell SC-800 — 164070</v>
      </c>
      <c r="B350" s="16" t="str">
        <f>Frota!$C350</f>
        <v>Carregadeira/Pesada</v>
      </c>
      <c r="C350" s="22" t="str">
        <f>INDEX(Cronograma!B$5:B$11,MATCH($B350,Premissas!$A$39:$A$45,0))</f>
        <v/>
      </c>
      <c r="D350" s="22" t="str">
        <f>INDEX(Cronograma!C$5:C$11,MATCH($B350,Premissas!$A$39:$A$45,0))</f>
        <v/>
      </c>
      <c r="E350" s="22" t="str">
        <f>INDEX(Cronograma!D$5:D$11,MATCH($B350,Premissas!$A$39:$A$45,0))</f>
        <v/>
      </c>
      <c r="F350" s="22" t="str">
        <f>INDEX(Cronograma!E$5:E$11,MATCH($B350,Premissas!$A$39:$A$45,0))</f>
        <v/>
      </c>
      <c r="G350" s="22" t="str">
        <f>INDEX(Cronograma!F$5:F$11,MATCH($B350,Premissas!$A$39:$A$45,0))</f>
        <v/>
      </c>
      <c r="H350" s="22" t="str">
        <f>INDEX(Cronograma!G$5:G$11,MATCH($B350,Premissas!$A$39:$A$45,0))</f>
        <v>S</v>
      </c>
      <c r="I350" s="22" t="str">
        <f>INDEX(Cronograma!H$5:H$11,MATCH($B350,Premissas!$A$39:$A$45,0))</f>
        <v/>
      </c>
      <c r="J350" s="22" t="str">
        <f>INDEX(Cronograma!I$5:I$11,MATCH($B350,Premissas!$A$39:$A$45,0))</f>
        <v/>
      </c>
      <c r="K350" s="22" t="str">
        <f>INDEX(Cronograma!J$5:J$11,MATCH($B350,Premissas!$A$39:$A$45,0))</f>
        <v/>
      </c>
      <c r="L350" s="22" t="str">
        <f>INDEX(Cronograma!K$5:K$11,MATCH($B350,Premissas!$A$39:$A$45,0))</f>
        <v/>
      </c>
      <c r="M350" s="22" t="str">
        <f>INDEX(Cronograma!L$5:L$11,MATCH($B350,Premissas!$A$39:$A$45,0))</f>
        <v/>
      </c>
      <c r="N350" s="22" t="str">
        <f>INDEX(Cronograma!M$5:M$11,MATCH($B350,Premissas!$A$39:$A$45,0))</f>
        <v>A</v>
      </c>
      <c r="O350" s="22" t="str">
        <f>INDEX(Cronograma!N$5:N$11,MATCH($B350,Premissas!$A$39:$A$45,0))</f>
        <v/>
      </c>
      <c r="P350" s="22" t="str">
        <f>INDEX(Cronograma!O$5:O$11,MATCH($B350,Premissas!$A$39:$A$45,0))</f>
        <v/>
      </c>
      <c r="Q350" s="22" t="str">
        <f>INDEX(Cronograma!P$5:P$11,MATCH($B350,Premissas!$A$39:$A$45,0))</f>
        <v/>
      </c>
      <c r="R350" s="22" t="str">
        <f>INDEX(Cronograma!Q$5:Q$11,MATCH($B350,Premissas!$A$39:$A$45,0))</f>
        <v/>
      </c>
      <c r="S350" s="22" t="str">
        <f>INDEX(Cronograma!R$5:R$11,MATCH($B350,Premissas!$A$39:$A$45,0))</f>
        <v>S</v>
      </c>
      <c r="T350" s="22" t="str">
        <f>INDEX(Cronograma!S$5:S$11,MATCH($B350,Premissas!$A$39:$A$45,0))</f>
        <v/>
      </c>
      <c r="U350" s="22" t="str">
        <f>INDEX(Cronograma!T$5:T$11,MATCH($B350,Premissas!$A$39:$A$45,0))</f>
        <v/>
      </c>
      <c r="V350" s="22" t="str">
        <f>INDEX(Cronograma!U$5:U$11,MATCH($B350,Premissas!$A$39:$A$45,0))</f>
        <v/>
      </c>
      <c r="W350" s="22" t="str">
        <f>INDEX(Cronograma!V$5:V$11,MATCH($B350,Premissas!$A$39:$A$45,0))</f>
        <v/>
      </c>
      <c r="X350" s="22" t="str">
        <f>INDEX(Cronograma!W$5:W$11,MATCH($B350,Premissas!$A$39:$A$45,0))</f>
        <v/>
      </c>
      <c r="Y350" s="22" t="str">
        <f>INDEX(Cronograma!X$5:X$11,MATCH($B350,Premissas!$A$39:$A$45,0))</f>
        <v>B</v>
      </c>
      <c r="Z350" s="22" t="str">
        <f>INDEX(Cronograma!Y$5:Y$11,MATCH($B350,Premissas!$A$39:$A$45,0))</f>
        <v/>
      </c>
      <c r="AA350" s="22" t="str">
        <f>INDEX(Cronograma!Z$5:Z$11,MATCH($B350,Premissas!$A$39:$A$45,0))</f>
        <v/>
      </c>
      <c r="AB350" s="22" t="str">
        <f>INDEX(Cronograma!AA$5:AA$11,MATCH($B350,Premissas!$A$39:$A$45,0))</f>
        <v/>
      </c>
      <c r="AC350" s="22" t="str">
        <f>INDEX(Cronograma!AB$5:AB$11,MATCH($B350,Premissas!$A$39:$A$45,0))</f>
        <v/>
      </c>
      <c r="AD350" s="22" t="str">
        <f>INDEX(Cronograma!AC$5:AC$11,MATCH($B350,Premissas!$A$39:$A$45,0))</f>
        <v>S</v>
      </c>
      <c r="AE350" s="22" t="str">
        <f>INDEX(Cronograma!AD$5:AD$11,MATCH($B350,Premissas!$A$39:$A$45,0))</f>
        <v/>
      </c>
      <c r="AF350" s="22" t="str">
        <f>INDEX(Cronograma!AE$5:AE$11,MATCH($B350,Premissas!$A$39:$A$45,0))</f>
        <v/>
      </c>
      <c r="AG350" s="22" t="str">
        <f>INDEX(Cronograma!AF$5:AF$11,MATCH($B350,Premissas!$A$39:$A$45,0))</f>
        <v/>
      </c>
      <c r="AH350" s="22" t="str">
        <f>INDEX(Cronograma!AG$5:AG$11,MATCH($B350,Premissas!$A$39:$A$45,0))</f>
        <v/>
      </c>
      <c r="AI350" s="22" t="str">
        <f>INDEX(Cronograma!AH$5:AH$11,MATCH($B350,Premissas!$A$39:$A$45,0))</f>
        <v/>
      </c>
      <c r="AJ350" s="22" t="str">
        <f>INDEX(Cronograma!AI$5:AI$11,MATCH($B350,Premissas!$A$39:$A$45,0))</f>
        <v/>
      </c>
      <c r="AK350" s="22" t="str">
        <f>INDEX(Cronograma!AJ$5:AJ$11,MATCH($B350,Premissas!$A$39:$A$45,0))</f>
        <v/>
      </c>
      <c r="AL350" s="22" t="str">
        <f>INDEX(Cronograma!AK$5:AK$11,MATCH($B350,Premissas!$A$39:$A$45,0))</f>
        <v/>
      </c>
      <c r="AM350" s="22" t="str">
        <f>INDEX(Cronograma!AL$5:AL$11,MATCH($B350,Premissas!$A$39:$A$45,0))</f>
        <v/>
      </c>
      <c r="AN350" s="22" t="str">
        <f>INDEX(Cronograma!AM$5:AM$11,MATCH($B350,Premissas!$A$39:$A$45,0))</f>
        <v/>
      </c>
      <c r="AO350" s="22" t="str">
        <f>INDEX(Cronograma!AN$5:AN$11,MATCH($B350,Premissas!$A$39:$A$45,0))</f>
        <v/>
      </c>
      <c r="AP350" s="22" t="str">
        <f>INDEX(Cronograma!AO$5:AO$11,MATCH($B350,Premissas!$A$39:$A$45,0))</f>
        <v/>
      </c>
      <c r="AQ350" s="22" t="str">
        <f>INDEX(Cronograma!AP$5:AP$11,MATCH($B350,Premissas!$A$39:$A$45,0))</f>
        <v/>
      </c>
      <c r="AR350" s="22" t="str">
        <f>INDEX(Cronograma!AQ$5:AQ$11,MATCH($B350,Premissas!$A$39:$A$45,0))</f>
        <v>A</v>
      </c>
      <c r="AS350" s="22" t="str">
        <f>INDEX(Cronograma!AR$5:AR$11,MATCH($B350,Premissas!$A$39:$A$45,0))</f>
        <v/>
      </c>
      <c r="AT350" s="22" t="str">
        <f>INDEX(Cronograma!AS$5:AS$11,MATCH($B350,Premissas!$A$39:$A$45,0))</f>
        <v/>
      </c>
      <c r="AU350" s="22" t="str">
        <f>INDEX(Cronograma!AT$5:AT$11,MATCH($B350,Premissas!$A$39:$A$45,0))</f>
        <v/>
      </c>
      <c r="AV350" s="22" t="str">
        <f>INDEX(Cronograma!AU$5:AU$11,MATCH($B350,Premissas!$A$39:$A$45,0))</f>
        <v/>
      </c>
      <c r="AW350" s="22" t="str">
        <f>INDEX(Cronograma!AV$5:AV$11,MATCH($B350,Premissas!$A$39:$A$45,0))</f>
        <v/>
      </c>
      <c r="AX350" s="22" t="str">
        <f>INDEX(Cronograma!AW$5:AW$11,MATCH($B350,Premissas!$A$39:$A$45,0))</f>
        <v/>
      </c>
      <c r="AY350" s="22" t="str">
        <f>INDEX(Cronograma!AX$5:AX$11,MATCH($B350,Premissas!$A$39:$A$45,0))</f>
        <v/>
      </c>
      <c r="AZ350" s="22" t="str">
        <f>INDEX(Cronograma!AY$5:AY$11,MATCH($B350,Premissas!$A$39:$A$45,0))</f>
        <v/>
      </c>
      <c r="BA350" s="22" t="str">
        <f>INDEX(Cronograma!AZ$5:AZ$11,MATCH($B350,Premissas!$A$39:$A$45,0))</f>
        <v/>
      </c>
      <c r="BB350" s="22" t="str">
        <f>INDEX(Cronograma!BA$5:BA$11,MATCH($B350,Premissas!$A$39:$A$45,0))</f>
        <v/>
      </c>
    </row>
    <row r="351" spans="1:54" ht="15" customHeight="1" x14ac:dyDescent="0.4">
      <c r="A351" s="15" t="str">
        <f>Frota!$B351&amp;" — "&amp;Frota!$A351</f>
        <v>Bell SC-800 — 164071</v>
      </c>
      <c r="B351" s="16" t="str">
        <f>Frota!$C351</f>
        <v>Carregadeira/Pesada</v>
      </c>
      <c r="C351" s="22" t="str">
        <f>INDEX(Cronograma!B$5:B$11,MATCH($B351,Premissas!$A$39:$A$45,0))</f>
        <v/>
      </c>
      <c r="D351" s="22" t="str">
        <f>INDEX(Cronograma!C$5:C$11,MATCH($B351,Premissas!$A$39:$A$45,0))</f>
        <v/>
      </c>
      <c r="E351" s="22" t="str">
        <f>INDEX(Cronograma!D$5:D$11,MATCH($B351,Premissas!$A$39:$A$45,0))</f>
        <v/>
      </c>
      <c r="F351" s="22" t="str">
        <f>INDEX(Cronograma!E$5:E$11,MATCH($B351,Premissas!$A$39:$A$45,0))</f>
        <v/>
      </c>
      <c r="G351" s="22" t="str">
        <f>INDEX(Cronograma!F$5:F$11,MATCH($B351,Premissas!$A$39:$A$45,0))</f>
        <v/>
      </c>
      <c r="H351" s="22" t="str">
        <f>INDEX(Cronograma!G$5:G$11,MATCH($B351,Premissas!$A$39:$A$45,0))</f>
        <v>S</v>
      </c>
      <c r="I351" s="22" t="str">
        <f>INDEX(Cronograma!H$5:H$11,MATCH($B351,Premissas!$A$39:$A$45,0))</f>
        <v/>
      </c>
      <c r="J351" s="22" t="str">
        <f>INDEX(Cronograma!I$5:I$11,MATCH($B351,Premissas!$A$39:$A$45,0))</f>
        <v/>
      </c>
      <c r="K351" s="22" t="str">
        <f>INDEX(Cronograma!J$5:J$11,MATCH($B351,Premissas!$A$39:$A$45,0))</f>
        <v/>
      </c>
      <c r="L351" s="22" t="str">
        <f>INDEX(Cronograma!K$5:K$11,MATCH($B351,Premissas!$A$39:$A$45,0))</f>
        <v/>
      </c>
      <c r="M351" s="22" t="str">
        <f>INDEX(Cronograma!L$5:L$11,MATCH($B351,Premissas!$A$39:$A$45,0))</f>
        <v/>
      </c>
      <c r="N351" s="22" t="str">
        <f>INDEX(Cronograma!M$5:M$11,MATCH($B351,Premissas!$A$39:$A$45,0))</f>
        <v>A</v>
      </c>
      <c r="O351" s="22" t="str">
        <f>INDEX(Cronograma!N$5:N$11,MATCH($B351,Premissas!$A$39:$A$45,0))</f>
        <v/>
      </c>
      <c r="P351" s="22" t="str">
        <f>INDEX(Cronograma!O$5:O$11,MATCH($B351,Premissas!$A$39:$A$45,0))</f>
        <v/>
      </c>
      <c r="Q351" s="22" t="str">
        <f>INDEX(Cronograma!P$5:P$11,MATCH($B351,Premissas!$A$39:$A$45,0))</f>
        <v/>
      </c>
      <c r="R351" s="22" t="str">
        <f>INDEX(Cronograma!Q$5:Q$11,MATCH($B351,Premissas!$A$39:$A$45,0))</f>
        <v/>
      </c>
      <c r="S351" s="22" t="str">
        <f>INDEX(Cronograma!R$5:R$11,MATCH($B351,Premissas!$A$39:$A$45,0))</f>
        <v>S</v>
      </c>
      <c r="T351" s="22" t="str">
        <f>INDEX(Cronograma!S$5:S$11,MATCH($B351,Premissas!$A$39:$A$45,0))</f>
        <v/>
      </c>
      <c r="U351" s="22" t="str">
        <f>INDEX(Cronograma!T$5:T$11,MATCH($B351,Premissas!$A$39:$A$45,0))</f>
        <v/>
      </c>
      <c r="V351" s="22" t="str">
        <f>INDEX(Cronograma!U$5:U$11,MATCH($B351,Premissas!$A$39:$A$45,0))</f>
        <v/>
      </c>
      <c r="W351" s="22" t="str">
        <f>INDEX(Cronograma!V$5:V$11,MATCH($B351,Premissas!$A$39:$A$45,0))</f>
        <v/>
      </c>
      <c r="X351" s="22" t="str">
        <f>INDEX(Cronograma!W$5:W$11,MATCH($B351,Premissas!$A$39:$A$45,0))</f>
        <v/>
      </c>
      <c r="Y351" s="22" t="str">
        <f>INDEX(Cronograma!X$5:X$11,MATCH($B351,Premissas!$A$39:$A$45,0))</f>
        <v>B</v>
      </c>
      <c r="Z351" s="22" t="str">
        <f>INDEX(Cronograma!Y$5:Y$11,MATCH($B351,Premissas!$A$39:$A$45,0))</f>
        <v/>
      </c>
      <c r="AA351" s="22" t="str">
        <f>INDEX(Cronograma!Z$5:Z$11,MATCH($B351,Premissas!$A$39:$A$45,0))</f>
        <v/>
      </c>
      <c r="AB351" s="22" t="str">
        <f>INDEX(Cronograma!AA$5:AA$11,MATCH($B351,Premissas!$A$39:$A$45,0))</f>
        <v/>
      </c>
      <c r="AC351" s="22" t="str">
        <f>INDEX(Cronograma!AB$5:AB$11,MATCH($B351,Premissas!$A$39:$A$45,0))</f>
        <v/>
      </c>
      <c r="AD351" s="22" t="str">
        <f>INDEX(Cronograma!AC$5:AC$11,MATCH($B351,Premissas!$A$39:$A$45,0))</f>
        <v>S</v>
      </c>
      <c r="AE351" s="22" t="str">
        <f>INDEX(Cronograma!AD$5:AD$11,MATCH($B351,Premissas!$A$39:$A$45,0))</f>
        <v/>
      </c>
      <c r="AF351" s="22" t="str">
        <f>INDEX(Cronograma!AE$5:AE$11,MATCH($B351,Premissas!$A$39:$A$45,0))</f>
        <v/>
      </c>
      <c r="AG351" s="22" t="str">
        <f>INDEX(Cronograma!AF$5:AF$11,MATCH($B351,Premissas!$A$39:$A$45,0))</f>
        <v/>
      </c>
      <c r="AH351" s="22" t="str">
        <f>INDEX(Cronograma!AG$5:AG$11,MATCH($B351,Premissas!$A$39:$A$45,0))</f>
        <v/>
      </c>
      <c r="AI351" s="22" t="str">
        <f>INDEX(Cronograma!AH$5:AH$11,MATCH($B351,Premissas!$A$39:$A$45,0))</f>
        <v/>
      </c>
      <c r="AJ351" s="22" t="str">
        <f>INDEX(Cronograma!AI$5:AI$11,MATCH($B351,Premissas!$A$39:$A$45,0))</f>
        <v/>
      </c>
      <c r="AK351" s="22" t="str">
        <f>INDEX(Cronograma!AJ$5:AJ$11,MATCH($B351,Premissas!$A$39:$A$45,0))</f>
        <v/>
      </c>
      <c r="AL351" s="22" t="str">
        <f>INDEX(Cronograma!AK$5:AK$11,MATCH($B351,Premissas!$A$39:$A$45,0))</f>
        <v/>
      </c>
      <c r="AM351" s="22" t="str">
        <f>INDEX(Cronograma!AL$5:AL$11,MATCH($B351,Premissas!$A$39:$A$45,0))</f>
        <v/>
      </c>
      <c r="AN351" s="22" t="str">
        <f>INDEX(Cronograma!AM$5:AM$11,MATCH($B351,Premissas!$A$39:$A$45,0))</f>
        <v/>
      </c>
      <c r="AO351" s="22" t="str">
        <f>INDEX(Cronograma!AN$5:AN$11,MATCH($B351,Premissas!$A$39:$A$45,0))</f>
        <v/>
      </c>
      <c r="AP351" s="22" t="str">
        <f>INDEX(Cronograma!AO$5:AO$11,MATCH($B351,Premissas!$A$39:$A$45,0))</f>
        <v/>
      </c>
      <c r="AQ351" s="22" t="str">
        <f>INDEX(Cronograma!AP$5:AP$11,MATCH($B351,Premissas!$A$39:$A$45,0))</f>
        <v/>
      </c>
      <c r="AR351" s="22" t="str">
        <f>INDEX(Cronograma!AQ$5:AQ$11,MATCH($B351,Premissas!$A$39:$A$45,0))</f>
        <v>A</v>
      </c>
      <c r="AS351" s="22" t="str">
        <f>INDEX(Cronograma!AR$5:AR$11,MATCH($B351,Premissas!$A$39:$A$45,0))</f>
        <v/>
      </c>
      <c r="AT351" s="22" t="str">
        <f>INDEX(Cronograma!AS$5:AS$11,MATCH($B351,Premissas!$A$39:$A$45,0))</f>
        <v/>
      </c>
      <c r="AU351" s="22" t="str">
        <f>INDEX(Cronograma!AT$5:AT$11,MATCH($B351,Premissas!$A$39:$A$45,0))</f>
        <v/>
      </c>
      <c r="AV351" s="22" t="str">
        <f>INDEX(Cronograma!AU$5:AU$11,MATCH($B351,Premissas!$A$39:$A$45,0))</f>
        <v/>
      </c>
      <c r="AW351" s="22" t="str">
        <f>INDEX(Cronograma!AV$5:AV$11,MATCH($B351,Premissas!$A$39:$A$45,0))</f>
        <v/>
      </c>
      <c r="AX351" s="22" t="str">
        <f>INDEX(Cronograma!AW$5:AW$11,MATCH($B351,Premissas!$A$39:$A$45,0))</f>
        <v/>
      </c>
      <c r="AY351" s="22" t="str">
        <f>INDEX(Cronograma!AX$5:AX$11,MATCH($B351,Premissas!$A$39:$A$45,0))</f>
        <v/>
      </c>
      <c r="AZ351" s="22" t="str">
        <f>INDEX(Cronograma!AY$5:AY$11,MATCH($B351,Premissas!$A$39:$A$45,0))</f>
        <v/>
      </c>
      <c r="BA351" s="22" t="str">
        <f>INDEX(Cronograma!AZ$5:AZ$11,MATCH($B351,Premissas!$A$39:$A$45,0))</f>
        <v/>
      </c>
      <c r="BB351" s="22" t="str">
        <f>INDEX(Cronograma!BA$5:BA$11,MATCH($B351,Premissas!$A$39:$A$45,0))</f>
        <v/>
      </c>
    </row>
    <row r="352" spans="1:54" ht="15" customHeight="1" x14ac:dyDescent="0.4">
      <c r="A352" s="15" t="str">
        <f>Frota!$B352&amp;" — "&amp;Frota!$A352</f>
        <v>Bell SC-800 — 164072</v>
      </c>
      <c r="B352" s="16" t="str">
        <f>Frota!$C352</f>
        <v>Carregadeira/Pesada</v>
      </c>
      <c r="C352" s="22" t="str">
        <f>INDEX(Cronograma!B$5:B$11,MATCH($B352,Premissas!$A$39:$A$45,0))</f>
        <v/>
      </c>
      <c r="D352" s="22" t="str">
        <f>INDEX(Cronograma!C$5:C$11,MATCH($B352,Premissas!$A$39:$A$45,0))</f>
        <v/>
      </c>
      <c r="E352" s="22" t="str">
        <f>INDEX(Cronograma!D$5:D$11,MATCH($B352,Premissas!$A$39:$A$45,0))</f>
        <v/>
      </c>
      <c r="F352" s="22" t="str">
        <f>INDEX(Cronograma!E$5:E$11,MATCH($B352,Premissas!$A$39:$A$45,0))</f>
        <v/>
      </c>
      <c r="G352" s="22" t="str">
        <f>INDEX(Cronograma!F$5:F$11,MATCH($B352,Premissas!$A$39:$A$45,0))</f>
        <v/>
      </c>
      <c r="H352" s="22" t="str">
        <f>INDEX(Cronograma!G$5:G$11,MATCH($B352,Premissas!$A$39:$A$45,0))</f>
        <v>S</v>
      </c>
      <c r="I352" s="22" t="str">
        <f>INDEX(Cronograma!H$5:H$11,MATCH($B352,Premissas!$A$39:$A$45,0))</f>
        <v/>
      </c>
      <c r="J352" s="22" t="str">
        <f>INDEX(Cronograma!I$5:I$11,MATCH($B352,Premissas!$A$39:$A$45,0))</f>
        <v/>
      </c>
      <c r="K352" s="22" t="str">
        <f>INDEX(Cronograma!J$5:J$11,MATCH($B352,Premissas!$A$39:$A$45,0))</f>
        <v/>
      </c>
      <c r="L352" s="22" t="str">
        <f>INDEX(Cronograma!K$5:K$11,MATCH($B352,Premissas!$A$39:$A$45,0))</f>
        <v/>
      </c>
      <c r="M352" s="22" t="str">
        <f>INDEX(Cronograma!L$5:L$11,MATCH($B352,Premissas!$A$39:$A$45,0))</f>
        <v/>
      </c>
      <c r="N352" s="22" t="str">
        <f>INDEX(Cronograma!M$5:M$11,MATCH($B352,Premissas!$A$39:$A$45,0))</f>
        <v>A</v>
      </c>
      <c r="O352" s="22" t="str">
        <f>INDEX(Cronograma!N$5:N$11,MATCH($B352,Premissas!$A$39:$A$45,0))</f>
        <v/>
      </c>
      <c r="P352" s="22" t="str">
        <f>INDEX(Cronograma!O$5:O$11,MATCH($B352,Premissas!$A$39:$A$45,0))</f>
        <v/>
      </c>
      <c r="Q352" s="22" t="str">
        <f>INDEX(Cronograma!P$5:P$11,MATCH($B352,Premissas!$A$39:$A$45,0))</f>
        <v/>
      </c>
      <c r="R352" s="22" t="str">
        <f>INDEX(Cronograma!Q$5:Q$11,MATCH($B352,Premissas!$A$39:$A$45,0))</f>
        <v/>
      </c>
      <c r="S352" s="22" t="str">
        <f>INDEX(Cronograma!R$5:R$11,MATCH($B352,Premissas!$A$39:$A$45,0))</f>
        <v>S</v>
      </c>
      <c r="T352" s="22" t="str">
        <f>INDEX(Cronograma!S$5:S$11,MATCH($B352,Premissas!$A$39:$A$45,0))</f>
        <v/>
      </c>
      <c r="U352" s="22" t="str">
        <f>INDEX(Cronograma!T$5:T$11,MATCH($B352,Premissas!$A$39:$A$45,0))</f>
        <v/>
      </c>
      <c r="V352" s="22" t="str">
        <f>INDEX(Cronograma!U$5:U$11,MATCH($B352,Premissas!$A$39:$A$45,0))</f>
        <v/>
      </c>
      <c r="W352" s="22" t="str">
        <f>INDEX(Cronograma!V$5:V$11,MATCH($B352,Premissas!$A$39:$A$45,0))</f>
        <v/>
      </c>
      <c r="X352" s="22" t="str">
        <f>INDEX(Cronograma!W$5:W$11,MATCH($B352,Premissas!$A$39:$A$45,0))</f>
        <v/>
      </c>
      <c r="Y352" s="22" t="str">
        <f>INDEX(Cronograma!X$5:X$11,MATCH($B352,Premissas!$A$39:$A$45,0))</f>
        <v>B</v>
      </c>
      <c r="Z352" s="22" t="str">
        <f>INDEX(Cronograma!Y$5:Y$11,MATCH($B352,Premissas!$A$39:$A$45,0))</f>
        <v/>
      </c>
      <c r="AA352" s="22" t="str">
        <f>INDEX(Cronograma!Z$5:Z$11,MATCH($B352,Premissas!$A$39:$A$45,0))</f>
        <v/>
      </c>
      <c r="AB352" s="22" t="str">
        <f>INDEX(Cronograma!AA$5:AA$11,MATCH($B352,Premissas!$A$39:$A$45,0))</f>
        <v/>
      </c>
      <c r="AC352" s="22" t="str">
        <f>INDEX(Cronograma!AB$5:AB$11,MATCH($B352,Premissas!$A$39:$A$45,0))</f>
        <v/>
      </c>
      <c r="AD352" s="22" t="str">
        <f>INDEX(Cronograma!AC$5:AC$11,MATCH($B352,Premissas!$A$39:$A$45,0))</f>
        <v>S</v>
      </c>
      <c r="AE352" s="22" t="str">
        <f>INDEX(Cronograma!AD$5:AD$11,MATCH($B352,Premissas!$A$39:$A$45,0))</f>
        <v/>
      </c>
      <c r="AF352" s="22" t="str">
        <f>INDEX(Cronograma!AE$5:AE$11,MATCH($B352,Premissas!$A$39:$A$45,0))</f>
        <v/>
      </c>
      <c r="AG352" s="22" t="str">
        <f>INDEX(Cronograma!AF$5:AF$11,MATCH($B352,Premissas!$A$39:$A$45,0))</f>
        <v/>
      </c>
      <c r="AH352" s="22" t="str">
        <f>INDEX(Cronograma!AG$5:AG$11,MATCH($B352,Premissas!$A$39:$A$45,0))</f>
        <v/>
      </c>
      <c r="AI352" s="22" t="str">
        <f>INDEX(Cronograma!AH$5:AH$11,MATCH($B352,Premissas!$A$39:$A$45,0))</f>
        <v/>
      </c>
      <c r="AJ352" s="22" t="str">
        <f>INDEX(Cronograma!AI$5:AI$11,MATCH($B352,Premissas!$A$39:$A$45,0))</f>
        <v/>
      </c>
      <c r="AK352" s="22" t="str">
        <f>INDEX(Cronograma!AJ$5:AJ$11,MATCH($B352,Premissas!$A$39:$A$45,0))</f>
        <v/>
      </c>
      <c r="AL352" s="22" t="str">
        <f>INDEX(Cronograma!AK$5:AK$11,MATCH($B352,Premissas!$A$39:$A$45,0))</f>
        <v/>
      </c>
      <c r="AM352" s="22" t="str">
        <f>INDEX(Cronograma!AL$5:AL$11,MATCH($B352,Premissas!$A$39:$A$45,0))</f>
        <v/>
      </c>
      <c r="AN352" s="22" t="str">
        <f>INDEX(Cronograma!AM$5:AM$11,MATCH($B352,Premissas!$A$39:$A$45,0))</f>
        <v/>
      </c>
      <c r="AO352" s="22" t="str">
        <f>INDEX(Cronograma!AN$5:AN$11,MATCH($B352,Premissas!$A$39:$A$45,0))</f>
        <v/>
      </c>
      <c r="AP352" s="22" t="str">
        <f>INDEX(Cronograma!AO$5:AO$11,MATCH($B352,Premissas!$A$39:$A$45,0))</f>
        <v/>
      </c>
      <c r="AQ352" s="22" t="str">
        <f>INDEX(Cronograma!AP$5:AP$11,MATCH($B352,Premissas!$A$39:$A$45,0))</f>
        <v/>
      </c>
      <c r="AR352" s="22" t="str">
        <f>INDEX(Cronograma!AQ$5:AQ$11,MATCH($B352,Premissas!$A$39:$A$45,0))</f>
        <v>A</v>
      </c>
      <c r="AS352" s="22" t="str">
        <f>INDEX(Cronograma!AR$5:AR$11,MATCH($B352,Premissas!$A$39:$A$45,0))</f>
        <v/>
      </c>
      <c r="AT352" s="22" t="str">
        <f>INDEX(Cronograma!AS$5:AS$11,MATCH($B352,Premissas!$A$39:$A$45,0))</f>
        <v/>
      </c>
      <c r="AU352" s="22" t="str">
        <f>INDEX(Cronograma!AT$5:AT$11,MATCH($B352,Premissas!$A$39:$A$45,0))</f>
        <v/>
      </c>
      <c r="AV352" s="22" t="str">
        <f>INDEX(Cronograma!AU$5:AU$11,MATCH($B352,Premissas!$A$39:$A$45,0))</f>
        <v/>
      </c>
      <c r="AW352" s="22" t="str">
        <f>INDEX(Cronograma!AV$5:AV$11,MATCH($B352,Premissas!$A$39:$A$45,0))</f>
        <v/>
      </c>
      <c r="AX352" s="22" t="str">
        <f>INDEX(Cronograma!AW$5:AW$11,MATCH($B352,Premissas!$A$39:$A$45,0))</f>
        <v/>
      </c>
      <c r="AY352" s="22" t="str">
        <f>INDEX(Cronograma!AX$5:AX$11,MATCH($B352,Premissas!$A$39:$A$45,0))</f>
        <v/>
      </c>
      <c r="AZ352" s="22" t="str">
        <f>INDEX(Cronograma!AY$5:AY$11,MATCH($B352,Premissas!$A$39:$A$45,0))</f>
        <v/>
      </c>
      <c r="BA352" s="22" t="str">
        <f>INDEX(Cronograma!AZ$5:AZ$11,MATCH($B352,Premissas!$A$39:$A$45,0))</f>
        <v/>
      </c>
      <c r="BB352" s="22" t="str">
        <f>INDEX(Cronograma!BA$5:BA$11,MATCH($B352,Premissas!$A$39:$A$45,0))</f>
        <v/>
      </c>
    </row>
    <row r="353" spans="1:54" ht="15" customHeight="1" x14ac:dyDescent="0.4">
      <c r="A353" s="15" t="str">
        <f>Frota!$B353&amp;" — "&amp;Frota!$A353</f>
        <v>Pulverizador Manual — 171001</v>
      </c>
      <c r="B353" s="16" t="str">
        <f>Frota!$C353</f>
        <v>Pulverizador</v>
      </c>
      <c r="C353" s="22" t="str">
        <f>INDEX(Cronograma!B$5:B$11,MATCH($B353,Premissas!$A$39:$A$45,0))</f>
        <v/>
      </c>
      <c r="D353" s="22" t="str">
        <f>INDEX(Cronograma!C$5:C$11,MATCH($B353,Premissas!$A$39:$A$45,0))</f>
        <v/>
      </c>
      <c r="E353" s="22" t="str">
        <f>INDEX(Cronograma!D$5:D$11,MATCH($B353,Premissas!$A$39:$A$45,0))</f>
        <v/>
      </c>
      <c r="F353" s="22" t="str">
        <f>INDEX(Cronograma!E$5:E$11,MATCH($B353,Premissas!$A$39:$A$45,0))</f>
        <v/>
      </c>
      <c r="G353" s="22" t="str">
        <f>INDEX(Cronograma!F$5:F$11,MATCH($B353,Premissas!$A$39:$A$45,0))</f>
        <v>S</v>
      </c>
      <c r="H353" s="22" t="str">
        <f>INDEX(Cronograma!G$5:G$11,MATCH($B353,Premissas!$A$39:$A$45,0))</f>
        <v/>
      </c>
      <c r="I353" s="22" t="str">
        <f>INDEX(Cronograma!H$5:H$11,MATCH($B353,Premissas!$A$39:$A$45,0))</f>
        <v/>
      </c>
      <c r="J353" s="22" t="str">
        <f>INDEX(Cronograma!I$5:I$11,MATCH($B353,Premissas!$A$39:$A$45,0))</f>
        <v/>
      </c>
      <c r="K353" s="22" t="str">
        <f>INDEX(Cronograma!J$5:J$11,MATCH($B353,Premissas!$A$39:$A$45,0))</f>
        <v/>
      </c>
      <c r="L353" s="22" t="str">
        <f>INDEX(Cronograma!K$5:K$11,MATCH($B353,Premissas!$A$39:$A$45,0))</f>
        <v>A</v>
      </c>
      <c r="M353" s="22" t="str">
        <f>INDEX(Cronograma!L$5:L$11,MATCH($B353,Premissas!$A$39:$A$45,0))</f>
        <v/>
      </c>
      <c r="N353" s="22" t="str">
        <f>INDEX(Cronograma!M$5:M$11,MATCH($B353,Premissas!$A$39:$A$45,0))</f>
        <v/>
      </c>
      <c r="O353" s="22" t="str">
        <f>INDEX(Cronograma!N$5:N$11,MATCH($B353,Premissas!$A$39:$A$45,0))</f>
        <v/>
      </c>
      <c r="P353" s="22" t="str">
        <f>INDEX(Cronograma!O$5:O$11,MATCH($B353,Premissas!$A$39:$A$45,0))</f>
        <v/>
      </c>
      <c r="Q353" s="22" t="str">
        <f>INDEX(Cronograma!P$5:P$11,MATCH($B353,Premissas!$A$39:$A$45,0))</f>
        <v>S</v>
      </c>
      <c r="R353" s="22" t="str">
        <f>INDEX(Cronograma!Q$5:Q$11,MATCH($B353,Premissas!$A$39:$A$45,0))</f>
        <v/>
      </c>
      <c r="S353" s="22" t="str">
        <f>INDEX(Cronograma!R$5:R$11,MATCH($B353,Premissas!$A$39:$A$45,0))</f>
        <v/>
      </c>
      <c r="T353" s="22" t="str">
        <f>INDEX(Cronograma!S$5:S$11,MATCH($B353,Premissas!$A$39:$A$45,0))</f>
        <v/>
      </c>
      <c r="U353" s="22" t="str">
        <f>INDEX(Cronograma!T$5:T$11,MATCH($B353,Premissas!$A$39:$A$45,0))</f>
        <v/>
      </c>
      <c r="V353" s="22" t="str">
        <f>INDEX(Cronograma!U$5:U$11,MATCH($B353,Premissas!$A$39:$A$45,0))</f>
        <v>A</v>
      </c>
      <c r="W353" s="22" t="str">
        <f>INDEX(Cronograma!V$5:V$11,MATCH($B353,Premissas!$A$39:$A$45,0))</f>
        <v/>
      </c>
      <c r="X353" s="22" t="str">
        <f>INDEX(Cronograma!W$5:W$11,MATCH($B353,Premissas!$A$39:$A$45,0))</f>
        <v/>
      </c>
      <c r="Y353" s="22" t="str">
        <f>INDEX(Cronograma!X$5:X$11,MATCH($B353,Premissas!$A$39:$A$45,0))</f>
        <v/>
      </c>
      <c r="Z353" s="22" t="str">
        <f>INDEX(Cronograma!Y$5:Y$11,MATCH($B353,Premissas!$A$39:$A$45,0))</f>
        <v/>
      </c>
      <c r="AA353" s="22" t="str">
        <f>INDEX(Cronograma!Z$5:Z$11,MATCH($B353,Premissas!$A$39:$A$45,0))</f>
        <v>S</v>
      </c>
      <c r="AB353" s="22" t="str">
        <f>INDEX(Cronograma!AA$5:AA$11,MATCH($B353,Premissas!$A$39:$A$45,0))</f>
        <v/>
      </c>
      <c r="AC353" s="22" t="str">
        <f>INDEX(Cronograma!AB$5:AB$11,MATCH($B353,Premissas!$A$39:$A$45,0))</f>
        <v/>
      </c>
      <c r="AD353" s="22" t="str">
        <f>INDEX(Cronograma!AC$5:AC$11,MATCH($B353,Premissas!$A$39:$A$45,0))</f>
        <v/>
      </c>
      <c r="AE353" s="22" t="str">
        <f>INDEX(Cronograma!AD$5:AD$11,MATCH($B353,Premissas!$A$39:$A$45,0))</f>
        <v/>
      </c>
      <c r="AF353" s="22" t="str">
        <f>INDEX(Cronograma!AE$5:AE$11,MATCH($B353,Premissas!$A$39:$A$45,0))</f>
        <v>A</v>
      </c>
      <c r="AG353" s="22" t="str">
        <f>INDEX(Cronograma!AF$5:AF$11,MATCH($B353,Premissas!$A$39:$A$45,0))</f>
        <v/>
      </c>
      <c r="AH353" s="22" t="str">
        <f>INDEX(Cronograma!AG$5:AG$11,MATCH($B353,Premissas!$A$39:$A$45,0))</f>
        <v/>
      </c>
      <c r="AI353" s="22" t="str">
        <f>INDEX(Cronograma!AH$5:AH$11,MATCH($B353,Premissas!$A$39:$A$45,0))</f>
        <v/>
      </c>
      <c r="AJ353" s="22" t="str">
        <f>INDEX(Cronograma!AI$5:AI$11,MATCH($B353,Premissas!$A$39:$A$45,0))</f>
        <v/>
      </c>
      <c r="AK353" s="22" t="str">
        <f>INDEX(Cronograma!AJ$5:AJ$11,MATCH($B353,Premissas!$A$39:$A$45,0))</f>
        <v>S</v>
      </c>
      <c r="AL353" s="22" t="str">
        <f>INDEX(Cronograma!AK$5:AK$11,MATCH($B353,Premissas!$A$39:$A$45,0))</f>
        <v/>
      </c>
      <c r="AM353" s="22" t="str">
        <f>INDEX(Cronograma!AL$5:AL$11,MATCH($B353,Premissas!$A$39:$A$45,0))</f>
        <v/>
      </c>
      <c r="AN353" s="22" t="str">
        <f>INDEX(Cronograma!AM$5:AM$11,MATCH($B353,Premissas!$A$39:$A$45,0))</f>
        <v/>
      </c>
      <c r="AO353" s="22" t="str">
        <f>INDEX(Cronograma!AN$5:AN$11,MATCH($B353,Premissas!$A$39:$A$45,0))</f>
        <v/>
      </c>
      <c r="AP353" s="22" t="str">
        <f>INDEX(Cronograma!AO$5:AO$11,MATCH($B353,Premissas!$A$39:$A$45,0))</f>
        <v>A</v>
      </c>
      <c r="AQ353" s="22" t="str">
        <f>INDEX(Cronograma!AP$5:AP$11,MATCH($B353,Premissas!$A$39:$A$45,0))</f>
        <v/>
      </c>
      <c r="AR353" s="22" t="str">
        <f>INDEX(Cronograma!AQ$5:AQ$11,MATCH($B353,Premissas!$A$39:$A$45,0))</f>
        <v/>
      </c>
      <c r="AS353" s="22" t="str">
        <f>INDEX(Cronograma!AR$5:AR$11,MATCH($B353,Premissas!$A$39:$A$45,0))</f>
        <v/>
      </c>
      <c r="AT353" s="22" t="str">
        <f>INDEX(Cronograma!AS$5:AS$11,MATCH($B353,Premissas!$A$39:$A$45,0))</f>
        <v/>
      </c>
      <c r="AU353" s="22" t="str">
        <f>INDEX(Cronograma!AT$5:AT$11,MATCH($B353,Premissas!$A$39:$A$45,0))</f>
        <v>S</v>
      </c>
      <c r="AV353" s="22" t="str">
        <f>INDEX(Cronograma!AU$5:AU$11,MATCH($B353,Premissas!$A$39:$A$45,0))</f>
        <v/>
      </c>
      <c r="AW353" s="22" t="str">
        <f>INDEX(Cronograma!AV$5:AV$11,MATCH($B353,Premissas!$A$39:$A$45,0))</f>
        <v/>
      </c>
      <c r="AX353" s="22" t="str">
        <f>INDEX(Cronograma!AW$5:AW$11,MATCH($B353,Premissas!$A$39:$A$45,0))</f>
        <v/>
      </c>
      <c r="AY353" s="22" t="str">
        <f>INDEX(Cronograma!AX$5:AX$11,MATCH($B353,Premissas!$A$39:$A$45,0))</f>
        <v/>
      </c>
      <c r="AZ353" s="22" t="str">
        <f>INDEX(Cronograma!AY$5:AY$11,MATCH($B353,Premissas!$A$39:$A$45,0))</f>
        <v>A</v>
      </c>
      <c r="BA353" s="22" t="str">
        <f>INDEX(Cronograma!AZ$5:AZ$11,MATCH($B353,Premissas!$A$39:$A$45,0))</f>
        <v/>
      </c>
      <c r="BB353" s="22" t="str">
        <f>INDEX(Cronograma!BA$5:BA$11,MATCH($B353,Premissas!$A$39:$A$45,0))</f>
        <v/>
      </c>
    </row>
    <row r="354" spans="1:54" ht="15" customHeight="1" x14ac:dyDescent="0.4">
      <c r="A354" s="15" t="str">
        <f>Frota!$B354&amp;" — "&amp;Frota!$A354</f>
        <v>Pulverizador Manual — 171002</v>
      </c>
      <c r="B354" s="16" t="str">
        <f>Frota!$C354</f>
        <v>Pulverizador</v>
      </c>
      <c r="C354" s="22" t="str">
        <f>INDEX(Cronograma!B$5:B$11,MATCH($B354,Premissas!$A$39:$A$45,0))</f>
        <v/>
      </c>
      <c r="D354" s="22" t="str">
        <f>INDEX(Cronograma!C$5:C$11,MATCH($B354,Premissas!$A$39:$A$45,0))</f>
        <v/>
      </c>
      <c r="E354" s="22" t="str">
        <f>INDEX(Cronograma!D$5:D$11,MATCH($B354,Premissas!$A$39:$A$45,0))</f>
        <v/>
      </c>
      <c r="F354" s="22" t="str">
        <f>INDEX(Cronograma!E$5:E$11,MATCH($B354,Premissas!$A$39:$A$45,0))</f>
        <v/>
      </c>
      <c r="G354" s="22" t="str">
        <f>INDEX(Cronograma!F$5:F$11,MATCH($B354,Premissas!$A$39:$A$45,0))</f>
        <v>S</v>
      </c>
      <c r="H354" s="22" t="str">
        <f>INDEX(Cronograma!G$5:G$11,MATCH($B354,Premissas!$A$39:$A$45,0))</f>
        <v/>
      </c>
      <c r="I354" s="22" t="str">
        <f>INDEX(Cronograma!H$5:H$11,MATCH($B354,Premissas!$A$39:$A$45,0))</f>
        <v/>
      </c>
      <c r="J354" s="22" t="str">
        <f>INDEX(Cronograma!I$5:I$11,MATCH($B354,Premissas!$A$39:$A$45,0))</f>
        <v/>
      </c>
      <c r="K354" s="22" t="str">
        <f>INDEX(Cronograma!J$5:J$11,MATCH($B354,Premissas!$A$39:$A$45,0))</f>
        <v/>
      </c>
      <c r="L354" s="22" t="str">
        <f>INDEX(Cronograma!K$5:K$11,MATCH($B354,Premissas!$A$39:$A$45,0))</f>
        <v>A</v>
      </c>
      <c r="M354" s="22" t="str">
        <f>INDEX(Cronograma!L$5:L$11,MATCH($B354,Premissas!$A$39:$A$45,0))</f>
        <v/>
      </c>
      <c r="N354" s="22" t="str">
        <f>INDEX(Cronograma!M$5:M$11,MATCH($B354,Premissas!$A$39:$A$45,0))</f>
        <v/>
      </c>
      <c r="O354" s="22" t="str">
        <f>INDEX(Cronograma!N$5:N$11,MATCH($B354,Premissas!$A$39:$A$45,0))</f>
        <v/>
      </c>
      <c r="P354" s="22" t="str">
        <f>INDEX(Cronograma!O$5:O$11,MATCH($B354,Premissas!$A$39:$A$45,0))</f>
        <v/>
      </c>
      <c r="Q354" s="22" t="str">
        <f>INDEX(Cronograma!P$5:P$11,MATCH($B354,Premissas!$A$39:$A$45,0))</f>
        <v>S</v>
      </c>
      <c r="R354" s="22" t="str">
        <f>INDEX(Cronograma!Q$5:Q$11,MATCH($B354,Premissas!$A$39:$A$45,0))</f>
        <v/>
      </c>
      <c r="S354" s="22" t="str">
        <f>INDEX(Cronograma!R$5:R$11,MATCH($B354,Premissas!$A$39:$A$45,0))</f>
        <v/>
      </c>
      <c r="T354" s="22" t="str">
        <f>INDEX(Cronograma!S$5:S$11,MATCH($B354,Premissas!$A$39:$A$45,0))</f>
        <v/>
      </c>
      <c r="U354" s="22" t="str">
        <f>INDEX(Cronograma!T$5:T$11,MATCH($B354,Premissas!$A$39:$A$45,0))</f>
        <v/>
      </c>
      <c r="V354" s="22" t="str">
        <f>INDEX(Cronograma!U$5:U$11,MATCH($B354,Premissas!$A$39:$A$45,0))</f>
        <v>A</v>
      </c>
      <c r="W354" s="22" t="str">
        <f>INDEX(Cronograma!V$5:V$11,MATCH($B354,Premissas!$A$39:$A$45,0))</f>
        <v/>
      </c>
      <c r="X354" s="22" t="str">
        <f>INDEX(Cronograma!W$5:W$11,MATCH($B354,Premissas!$A$39:$A$45,0))</f>
        <v/>
      </c>
      <c r="Y354" s="22" t="str">
        <f>INDEX(Cronograma!X$5:X$11,MATCH($B354,Premissas!$A$39:$A$45,0))</f>
        <v/>
      </c>
      <c r="Z354" s="22" t="str">
        <f>INDEX(Cronograma!Y$5:Y$11,MATCH($B354,Premissas!$A$39:$A$45,0))</f>
        <v/>
      </c>
      <c r="AA354" s="22" t="str">
        <f>INDEX(Cronograma!Z$5:Z$11,MATCH($B354,Premissas!$A$39:$A$45,0))</f>
        <v>S</v>
      </c>
      <c r="AB354" s="22" t="str">
        <f>INDEX(Cronograma!AA$5:AA$11,MATCH($B354,Premissas!$A$39:$A$45,0))</f>
        <v/>
      </c>
      <c r="AC354" s="22" t="str">
        <f>INDEX(Cronograma!AB$5:AB$11,MATCH($B354,Premissas!$A$39:$A$45,0))</f>
        <v/>
      </c>
      <c r="AD354" s="22" t="str">
        <f>INDEX(Cronograma!AC$5:AC$11,MATCH($B354,Premissas!$A$39:$A$45,0))</f>
        <v/>
      </c>
      <c r="AE354" s="22" t="str">
        <f>INDEX(Cronograma!AD$5:AD$11,MATCH($B354,Premissas!$A$39:$A$45,0))</f>
        <v/>
      </c>
      <c r="AF354" s="22" t="str">
        <f>INDEX(Cronograma!AE$5:AE$11,MATCH($B354,Premissas!$A$39:$A$45,0))</f>
        <v>A</v>
      </c>
      <c r="AG354" s="22" t="str">
        <f>INDEX(Cronograma!AF$5:AF$11,MATCH($B354,Premissas!$A$39:$A$45,0))</f>
        <v/>
      </c>
      <c r="AH354" s="22" t="str">
        <f>INDEX(Cronograma!AG$5:AG$11,MATCH($B354,Premissas!$A$39:$A$45,0))</f>
        <v/>
      </c>
      <c r="AI354" s="22" t="str">
        <f>INDEX(Cronograma!AH$5:AH$11,MATCH($B354,Premissas!$A$39:$A$45,0))</f>
        <v/>
      </c>
      <c r="AJ354" s="22" t="str">
        <f>INDEX(Cronograma!AI$5:AI$11,MATCH($B354,Premissas!$A$39:$A$45,0))</f>
        <v/>
      </c>
      <c r="AK354" s="22" t="str">
        <f>INDEX(Cronograma!AJ$5:AJ$11,MATCH($B354,Premissas!$A$39:$A$45,0))</f>
        <v>S</v>
      </c>
      <c r="AL354" s="22" t="str">
        <f>INDEX(Cronograma!AK$5:AK$11,MATCH($B354,Premissas!$A$39:$A$45,0))</f>
        <v/>
      </c>
      <c r="AM354" s="22" t="str">
        <f>INDEX(Cronograma!AL$5:AL$11,MATCH($B354,Premissas!$A$39:$A$45,0))</f>
        <v/>
      </c>
      <c r="AN354" s="22" t="str">
        <f>INDEX(Cronograma!AM$5:AM$11,MATCH($B354,Premissas!$A$39:$A$45,0))</f>
        <v/>
      </c>
      <c r="AO354" s="22" t="str">
        <f>INDEX(Cronograma!AN$5:AN$11,MATCH($B354,Premissas!$A$39:$A$45,0))</f>
        <v/>
      </c>
      <c r="AP354" s="22" t="str">
        <f>INDEX(Cronograma!AO$5:AO$11,MATCH($B354,Premissas!$A$39:$A$45,0))</f>
        <v>A</v>
      </c>
      <c r="AQ354" s="22" t="str">
        <f>INDEX(Cronograma!AP$5:AP$11,MATCH($B354,Premissas!$A$39:$A$45,0))</f>
        <v/>
      </c>
      <c r="AR354" s="22" t="str">
        <f>INDEX(Cronograma!AQ$5:AQ$11,MATCH($B354,Premissas!$A$39:$A$45,0))</f>
        <v/>
      </c>
      <c r="AS354" s="22" t="str">
        <f>INDEX(Cronograma!AR$5:AR$11,MATCH($B354,Premissas!$A$39:$A$45,0))</f>
        <v/>
      </c>
      <c r="AT354" s="22" t="str">
        <f>INDEX(Cronograma!AS$5:AS$11,MATCH($B354,Premissas!$A$39:$A$45,0))</f>
        <v/>
      </c>
      <c r="AU354" s="22" t="str">
        <f>INDEX(Cronograma!AT$5:AT$11,MATCH($B354,Premissas!$A$39:$A$45,0))</f>
        <v>S</v>
      </c>
      <c r="AV354" s="22" t="str">
        <f>INDEX(Cronograma!AU$5:AU$11,MATCH($B354,Premissas!$A$39:$A$45,0))</f>
        <v/>
      </c>
      <c r="AW354" s="22" t="str">
        <f>INDEX(Cronograma!AV$5:AV$11,MATCH($B354,Premissas!$A$39:$A$45,0))</f>
        <v/>
      </c>
      <c r="AX354" s="22" t="str">
        <f>INDEX(Cronograma!AW$5:AW$11,MATCH($B354,Premissas!$A$39:$A$45,0))</f>
        <v/>
      </c>
      <c r="AY354" s="22" t="str">
        <f>INDEX(Cronograma!AX$5:AX$11,MATCH($B354,Premissas!$A$39:$A$45,0))</f>
        <v/>
      </c>
      <c r="AZ354" s="22" t="str">
        <f>INDEX(Cronograma!AY$5:AY$11,MATCH($B354,Premissas!$A$39:$A$45,0))</f>
        <v>A</v>
      </c>
      <c r="BA354" s="22" t="str">
        <f>INDEX(Cronograma!AZ$5:AZ$11,MATCH($B354,Premissas!$A$39:$A$45,0))</f>
        <v/>
      </c>
      <c r="BB354" s="22" t="str">
        <f>INDEX(Cronograma!BA$5:BA$11,MATCH($B354,Premissas!$A$39:$A$45,0))</f>
        <v/>
      </c>
    </row>
    <row r="355" spans="1:54" ht="15" customHeight="1" x14ac:dyDescent="0.4">
      <c r="A355" s="15" t="str">
        <f>Frota!$B355&amp;" — "&amp;Frota!$A355</f>
        <v>Pulverizador Manual — 171003</v>
      </c>
      <c r="B355" s="16" t="str">
        <f>Frota!$C355</f>
        <v>Pulverizador</v>
      </c>
      <c r="C355" s="22" t="str">
        <f>INDEX(Cronograma!B$5:B$11,MATCH($B355,Premissas!$A$39:$A$45,0))</f>
        <v/>
      </c>
      <c r="D355" s="22" t="str">
        <f>INDEX(Cronograma!C$5:C$11,MATCH($B355,Premissas!$A$39:$A$45,0))</f>
        <v/>
      </c>
      <c r="E355" s="22" t="str">
        <f>INDEX(Cronograma!D$5:D$11,MATCH($B355,Premissas!$A$39:$A$45,0))</f>
        <v/>
      </c>
      <c r="F355" s="22" t="str">
        <f>INDEX(Cronograma!E$5:E$11,MATCH($B355,Premissas!$A$39:$A$45,0))</f>
        <v/>
      </c>
      <c r="G355" s="22" t="str">
        <f>INDEX(Cronograma!F$5:F$11,MATCH($B355,Premissas!$A$39:$A$45,0))</f>
        <v>S</v>
      </c>
      <c r="H355" s="22" t="str">
        <f>INDEX(Cronograma!G$5:G$11,MATCH($B355,Premissas!$A$39:$A$45,0))</f>
        <v/>
      </c>
      <c r="I355" s="22" t="str">
        <f>INDEX(Cronograma!H$5:H$11,MATCH($B355,Premissas!$A$39:$A$45,0))</f>
        <v/>
      </c>
      <c r="J355" s="22" t="str">
        <f>INDEX(Cronograma!I$5:I$11,MATCH($B355,Premissas!$A$39:$A$45,0))</f>
        <v/>
      </c>
      <c r="K355" s="22" t="str">
        <f>INDEX(Cronograma!J$5:J$11,MATCH($B355,Premissas!$A$39:$A$45,0))</f>
        <v/>
      </c>
      <c r="L355" s="22" t="str">
        <f>INDEX(Cronograma!K$5:K$11,MATCH($B355,Premissas!$A$39:$A$45,0))</f>
        <v>A</v>
      </c>
      <c r="M355" s="22" t="str">
        <f>INDEX(Cronograma!L$5:L$11,MATCH($B355,Premissas!$A$39:$A$45,0))</f>
        <v/>
      </c>
      <c r="N355" s="22" t="str">
        <f>INDEX(Cronograma!M$5:M$11,MATCH($B355,Premissas!$A$39:$A$45,0))</f>
        <v/>
      </c>
      <c r="O355" s="22" t="str">
        <f>INDEX(Cronograma!N$5:N$11,MATCH($B355,Premissas!$A$39:$A$45,0))</f>
        <v/>
      </c>
      <c r="P355" s="22" t="str">
        <f>INDEX(Cronograma!O$5:O$11,MATCH($B355,Premissas!$A$39:$A$45,0))</f>
        <v/>
      </c>
      <c r="Q355" s="22" t="str">
        <f>INDEX(Cronograma!P$5:P$11,MATCH($B355,Premissas!$A$39:$A$45,0))</f>
        <v>S</v>
      </c>
      <c r="R355" s="22" t="str">
        <f>INDEX(Cronograma!Q$5:Q$11,MATCH($B355,Premissas!$A$39:$A$45,0))</f>
        <v/>
      </c>
      <c r="S355" s="22" t="str">
        <f>INDEX(Cronograma!R$5:R$11,MATCH($B355,Premissas!$A$39:$A$45,0))</f>
        <v/>
      </c>
      <c r="T355" s="22" t="str">
        <f>INDEX(Cronograma!S$5:S$11,MATCH($B355,Premissas!$A$39:$A$45,0))</f>
        <v/>
      </c>
      <c r="U355" s="22" t="str">
        <f>INDEX(Cronograma!T$5:T$11,MATCH($B355,Premissas!$A$39:$A$45,0))</f>
        <v/>
      </c>
      <c r="V355" s="22" t="str">
        <f>INDEX(Cronograma!U$5:U$11,MATCH($B355,Premissas!$A$39:$A$45,0))</f>
        <v>A</v>
      </c>
      <c r="W355" s="22" t="str">
        <f>INDEX(Cronograma!V$5:V$11,MATCH($B355,Premissas!$A$39:$A$45,0))</f>
        <v/>
      </c>
      <c r="X355" s="22" t="str">
        <f>INDEX(Cronograma!W$5:W$11,MATCH($B355,Premissas!$A$39:$A$45,0))</f>
        <v/>
      </c>
      <c r="Y355" s="22" t="str">
        <f>INDEX(Cronograma!X$5:X$11,MATCH($B355,Premissas!$A$39:$A$45,0))</f>
        <v/>
      </c>
      <c r="Z355" s="22" t="str">
        <f>INDEX(Cronograma!Y$5:Y$11,MATCH($B355,Premissas!$A$39:$A$45,0))</f>
        <v/>
      </c>
      <c r="AA355" s="22" t="str">
        <f>INDEX(Cronograma!Z$5:Z$11,MATCH($B355,Premissas!$A$39:$A$45,0))</f>
        <v>S</v>
      </c>
      <c r="AB355" s="22" t="str">
        <f>INDEX(Cronograma!AA$5:AA$11,MATCH($B355,Premissas!$A$39:$A$45,0))</f>
        <v/>
      </c>
      <c r="AC355" s="22" t="str">
        <f>INDEX(Cronograma!AB$5:AB$11,MATCH($B355,Premissas!$A$39:$A$45,0))</f>
        <v/>
      </c>
      <c r="AD355" s="22" t="str">
        <f>INDEX(Cronograma!AC$5:AC$11,MATCH($B355,Premissas!$A$39:$A$45,0))</f>
        <v/>
      </c>
      <c r="AE355" s="22" t="str">
        <f>INDEX(Cronograma!AD$5:AD$11,MATCH($B355,Premissas!$A$39:$A$45,0))</f>
        <v/>
      </c>
      <c r="AF355" s="22" t="str">
        <f>INDEX(Cronograma!AE$5:AE$11,MATCH($B355,Premissas!$A$39:$A$45,0))</f>
        <v>A</v>
      </c>
      <c r="AG355" s="22" t="str">
        <f>INDEX(Cronograma!AF$5:AF$11,MATCH($B355,Premissas!$A$39:$A$45,0))</f>
        <v/>
      </c>
      <c r="AH355" s="22" t="str">
        <f>INDEX(Cronograma!AG$5:AG$11,MATCH($B355,Premissas!$A$39:$A$45,0))</f>
        <v/>
      </c>
      <c r="AI355" s="22" t="str">
        <f>INDEX(Cronograma!AH$5:AH$11,MATCH($B355,Premissas!$A$39:$A$45,0))</f>
        <v/>
      </c>
      <c r="AJ355" s="22" t="str">
        <f>INDEX(Cronograma!AI$5:AI$11,MATCH($B355,Premissas!$A$39:$A$45,0))</f>
        <v/>
      </c>
      <c r="AK355" s="22" t="str">
        <f>INDEX(Cronograma!AJ$5:AJ$11,MATCH($B355,Premissas!$A$39:$A$45,0))</f>
        <v>S</v>
      </c>
      <c r="AL355" s="22" t="str">
        <f>INDEX(Cronograma!AK$5:AK$11,MATCH($B355,Premissas!$A$39:$A$45,0))</f>
        <v/>
      </c>
      <c r="AM355" s="22" t="str">
        <f>INDEX(Cronograma!AL$5:AL$11,MATCH($B355,Premissas!$A$39:$A$45,0))</f>
        <v/>
      </c>
      <c r="AN355" s="22" t="str">
        <f>INDEX(Cronograma!AM$5:AM$11,MATCH($B355,Premissas!$A$39:$A$45,0))</f>
        <v/>
      </c>
      <c r="AO355" s="22" t="str">
        <f>INDEX(Cronograma!AN$5:AN$11,MATCH($B355,Premissas!$A$39:$A$45,0))</f>
        <v/>
      </c>
      <c r="AP355" s="22" t="str">
        <f>INDEX(Cronograma!AO$5:AO$11,MATCH($B355,Premissas!$A$39:$A$45,0))</f>
        <v>A</v>
      </c>
      <c r="AQ355" s="22" t="str">
        <f>INDEX(Cronograma!AP$5:AP$11,MATCH($B355,Premissas!$A$39:$A$45,0))</f>
        <v/>
      </c>
      <c r="AR355" s="22" t="str">
        <f>INDEX(Cronograma!AQ$5:AQ$11,MATCH($B355,Premissas!$A$39:$A$45,0))</f>
        <v/>
      </c>
      <c r="AS355" s="22" t="str">
        <f>INDEX(Cronograma!AR$5:AR$11,MATCH($B355,Premissas!$A$39:$A$45,0))</f>
        <v/>
      </c>
      <c r="AT355" s="22" t="str">
        <f>INDEX(Cronograma!AS$5:AS$11,MATCH($B355,Premissas!$A$39:$A$45,0))</f>
        <v/>
      </c>
      <c r="AU355" s="22" t="str">
        <f>INDEX(Cronograma!AT$5:AT$11,MATCH($B355,Premissas!$A$39:$A$45,0))</f>
        <v>S</v>
      </c>
      <c r="AV355" s="22" t="str">
        <f>INDEX(Cronograma!AU$5:AU$11,MATCH($B355,Premissas!$A$39:$A$45,0))</f>
        <v/>
      </c>
      <c r="AW355" s="22" t="str">
        <f>INDEX(Cronograma!AV$5:AV$11,MATCH($B355,Premissas!$A$39:$A$45,0))</f>
        <v/>
      </c>
      <c r="AX355" s="22" t="str">
        <f>INDEX(Cronograma!AW$5:AW$11,MATCH($B355,Premissas!$A$39:$A$45,0))</f>
        <v/>
      </c>
      <c r="AY355" s="22" t="str">
        <f>INDEX(Cronograma!AX$5:AX$11,MATCH($B355,Premissas!$A$39:$A$45,0))</f>
        <v/>
      </c>
      <c r="AZ355" s="22" t="str">
        <f>INDEX(Cronograma!AY$5:AY$11,MATCH($B355,Premissas!$A$39:$A$45,0))</f>
        <v>A</v>
      </c>
      <c r="BA355" s="22" t="str">
        <f>INDEX(Cronograma!AZ$5:AZ$11,MATCH($B355,Premissas!$A$39:$A$45,0))</f>
        <v/>
      </c>
      <c r="BB355" s="22" t="str">
        <f>INDEX(Cronograma!BA$5:BA$11,MATCH($B355,Premissas!$A$39:$A$45,0))</f>
        <v/>
      </c>
    </row>
    <row r="356" spans="1:54" ht="15" customHeight="1" x14ac:dyDescent="0.4">
      <c r="A356" s="15" t="str">
        <f>Frota!$B356&amp;" — "&amp;Frota!$A356</f>
        <v>Pulverizador Manual — 171004</v>
      </c>
      <c r="B356" s="16" t="str">
        <f>Frota!$C356</f>
        <v>Pulverizador</v>
      </c>
      <c r="C356" s="22" t="str">
        <f>INDEX(Cronograma!B$5:B$11,MATCH($B356,Premissas!$A$39:$A$45,0))</f>
        <v/>
      </c>
      <c r="D356" s="22" t="str">
        <f>INDEX(Cronograma!C$5:C$11,MATCH($B356,Premissas!$A$39:$A$45,0))</f>
        <v/>
      </c>
      <c r="E356" s="22" t="str">
        <f>INDEX(Cronograma!D$5:D$11,MATCH($B356,Premissas!$A$39:$A$45,0))</f>
        <v/>
      </c>
      <c r="F356" s="22" t="str">
        <f>INDEX(Cronograma!E$5:E$11,MATCH($B356,Premissas!$A$39:$A$45,0))</f>
        <v/>
      </c>
      <c r="G356" s="22" t="str">
        <f>INDEX(Cronograma!F$5:F$11,MATCH($B356,Premissas!$A$39:$A$45,0))</f>
        <v>S</v>
      </c>
      <c r="H356" s="22" t="str">
        <f>INDEX(Cronograma!G$5:G$11,MATCH($B356,Premissas!$A$39:$A$45,0))</f>
        <v/>
      </c>
      <c r="I356" s="22" t="str">
        <f>INDEX(Cronograma!H$5:H$11,MATCH($B356,Premissas!$A$39:$A$45,0))</f>
        <v/>
      </c>
      <c r="J356" s="22" t="str">
        <f>INDEX(Cronograma!I$5:I$11,MATCH($B356,Premissas!$A$39:$A$45,0))</f>
        <v/>
      </c>
      <c r="K356" s="22" t="str">
        <f>INDEX(Cronograma!J$5:J$11,MATCH($B356,Premissas!$A$39:$A$45,0))</f>
        <v/>
      </c>
      <c r="L356" s="22" t="str">
        <f>INDEX(Cronograma!K$5:K$11,MATCH($B356,Premissas!$A$39:$A$45,0))</f>
        <v>A</v>
      </c>
      <c r="M356" s="22" t="str">
        <f>INDEX(Cronograma!L$5:L$11,MATCH($B356,Premissas!$A$39:$A$45,0))</f>
        <v/>
      </c>
      <c r="N356" s="22" t="str">
        <f>INDEX(Cronograma!M$5:M$11,MATCH($B356,Premissas!$A$39:$A$45,0))</f>
        <v/>
      </c>
      <c r="O356" s="22" t="str">
        <f>INDEX(Cronograma!N$5:N$11,MATCH($B356,Premissas!$A$39:$A$45,0))</f>
        <v/>
      </c>
      <c r="P356" s="22" t="str">
        <f>INDEX(Cronograma!O$5:O$11,MATCH($B356,Premissas!$A$39:$A$45,0))</f>
        <v/>
      </c>
      <c r="Q356" s="22" t="str">
        <f>INDEX(Cronograma!P$5:P$11,MATCH($B356,Premissas!$A$39:$A$45,0))</f>
        <v>S</v>
      </c>
      <c r="R356" s="22" t="str">
        <f>INDEX(Cronograma!Q$5:Q$11,MATCH($B356,Premissas!$A$39:$A$45,0))</f>
        <v/>
      </c>
      <c r="S356" s="22" t="str">
        <f>INDEX(Cronograma!R$5:R$11,MATCH($B356,Premissas!$A$39:$A$45,0))</f>
        <v/>
      </c>
      <c r="T356" s="22" t="str">
        <f>INDEX(Cronograma!S$5:S$11,MATCH($B356,Premissas!$A$39:$A$45,0))</f>
        <v/>
      </c>
      <c r="U356" s="22" t="str">
        <f>INDEX(Cronograma!T$5:T$11,MATCH($B356,Premissas!$A$39:$A$45,0))</f>
        <v/>
      </c>
      <c r="V356" s="22" t="str">
        <f>INDEX(Cronograma!U$5:U$11,MATCH($B356,Premissas!$A$39:$A$45,0))</f>
        <v>A</v>
      </c>
      <c r="W356" s="22" t="str">
        <f>INDEX(Cronograma!V$5:V$11,MATCH($B356,Premissas!$A$39:$A$45,0))</f>
        <v/>
      </c>
      <c r="X356" s="22" t="str">
        <f>INDEX(Cronograma!W$5:W$11,MATCH($B356,Premissas!$A$39:$A$45,0))</f>
        <v/>
      </c>
      <c r="Y356" s="22" t="str">
        <f>INDEX(Cronograma!X$5:X$11,MATCH($B356,Premissas!$A$39:$A$45,0))</f>
        <v/>
      </c>
      <c r="Z356" s="22" t="str">
        <f>INDEX(Cronograma!Y$5:Y$11,MATCH($B356,Premissas!$A$39:$A$45,0))</f>
        <v/>
      </c>
      <c r="AA356" s="22" t="str">
        <f>INDEX(Cronograma!Z$5:Z$11,MATCH($B356,Premissas!$A$39:$A$45,0))</f>
        <v>S</v>
      </c>
      <c r="AB356" s="22" t="str">
        <f>INDEX(Cronograma!AA$5:AA$11,MATCH($B356,Premissas!$A$39:$A$45,0))</f>
        <v/>
      </c>
      <c r="AC356" s="22" t="str">
        <f>INDEX(Cronograma!AB$5:AB$11,MATCH($B356,Premissas!$A$39:$A$45,0))</f>
        <v/>
      </c>
      <c r="AD356" s="22" t="str">
        <f>INDEX(Cronograma!AC$5:AC$11,MATCH($B356,Premissas!$A$39:$A$45,0))</f>
        <v/>
      </c>
      <c r="AE356" s="22" t="str">
        <f>INDEX(Cronograma!AD$5:AD$11,MATCH($B356,Premissas!$A$39:$A$45,0))</f>
        <v/>
      </c>
      <c r="AF356" s="22" t="str">
        <f>INDEX(Cronograma!AE$5:AE$11,MATCH($B356,Premissas!$A$39:$A$45,0))</f>
        <v>A</v>
      </c>
      <c r="AG356" s="22" t="str">
        <f>INDEX(Cronograma!AF$5:AF$11,MATCH($B356,Premissas!$A$39:$A$45,0))</f>
        <v/>
      </c>
      <c r="AH356" s="22" t="str">
        <f>INDEX(Cronograma!AG$5:AG$11,MATCH($B356,Premissas!$A$39:$A$45,0))</f>
        <v/>
      </c>
      <c r="AI356" s="22" t="str">
        <f>INDEX(Cronograma!AH$5:AH$11,MATCH($B356,Premissas!$A$39:$A$45,0))</f>
        <v/>
      </c>
      <c r="AJ356" s="22" t="str">
        <f>INDEX(Cronograma!AI$5:AI$11,MATCH($B356,Premissas!$A$39:$A$45,0))</f>
        <v/>
      </c>
      <c r="AK356" s="22" t="str">
        <f>INDEX(Cronograma!AJ$5:AJ$11,MATCH($B356,Premissas!$A$39:$A$45,0))</f>
        <v>S</v>
      </c>
      <c r="AL356" s="22" t="str">
        <f>INDEX(Cronograma!AK$5:AK$11,MATCH($B356,Premissas!$A$39:$A$45,0))</f>
        <v/>
      </c>
      <c r="AM356" s="22" t="str">
        <f>INDEX(Cronograma!AL$5:AL$11,MATCH($B356,Premissas!$A$39:$A$45,0))</f>
        <v/>
      </c>
      <c r="AN356" s="22" t="str">
        <f>INDEX(Cronograma!AM$5:AM$11,MATCH($B356,Premissas!$A$39:$A$45,0))</f>
        <v/>
      </c>
      <c r="AO356" s="22" t="str">
        <f>INDEX(Cronograma!AN$5:AN$11,MATCH($B356,Premissas!$A$39:$A$45,0))</f>
        <v/>
      </c>
      <c r="AP356" s="22" t="str">
        <f>INDEX(Cronograma!AO$5:AO$11,MATCH($B356,Premissas!$A$39:$A$45,0))</f>
        <v>A</v>
      </c>
      <c r="AQ356" s="22" t="str">
        <f>INDEX(Cronograma!AP$5:AP$11,MATCH($B356,Premissas!$A$39:$A$45,0))</f>
        <v/>
      </c>
      <c r="AR356" s="22" t="str">
        <f>INDEX(Cronograma!AQ$5:AQ$11,MATCH($B356,Premissas!$A$39:$A$45,0))</f>
        <v/>
      </c>
      <c r="AS356" s="22" t="str">
        <f>INDEX(Cronograma!AR$5:AR$11,MATCH($B356,Premissas!$A$39:$A$45,0))</f>
        <v/>
      </c>
      <c r="AT356" s="22" t="str">
        <f>INDEX(Cronograma!AS$5:AS$11,MATCH($B356,Premissas!$A$39:$A$45,0))</f>
        <v/>
      </c>
      <c r="AU356" s="22" t="str">
        <f>INDEX(Cronograma!AT$5:AT$11,MATCH($B356,Premissas!$A$39:$A$45,0))</f>
        <v>S</v>
      </c>
      <c r="AV356" s="22" t="str">
        <f>INDEX(Cronograma!AU$5:AU$11,MATCH($B356,Premissas!$A$39:$A$45,0))</f>
        <v/>
      </c>
      <c r="AW356" s="22" t="str">
        <f>INDEX(Cronograma!AV$5:AV$11,MATCH($B356,Premissas!$A$39:$A$45,0))</f>
        <v/>
      </c>
      <c r="AX356" s="22" t="str">
        <f>INDEX(Cronograma!AW$5:AW$11,MATCH($B356,Premissas!$A$39:$A$45,0))</f>
        <v/>
      </c>
      <c r="AY356" s="22" t="str">
        <f>INDEX(Cronograma!AX$5:AX$11,MATCH($B356,Premissas!$A$39:$A$45,0))</f>
        <v/>
      </c>
      <c r="AZ356" s="22" t="str">
        <f>INDEX(Cronograma!AY$5:AY$11,MATCH($B356,Premissas!$A$39:$A$45,0))</f>
        <v>A</v>
      </c>
      <c r="BA356" s="22" t="str">
        <f>INDEX(Cronograma!AZ$5:AZ$11,MATCH($B356,Premissas!$A$39:$A$45,0))</f>
        <v/>
      </c>
      <c r="BB356" s="22" t="str">
        <f>INDEX(Cronograma!BA$5:BA$11,MATCH($B356,Premissas!$A$39:$A$45,0))</f>
        <v/>
      </c>
    </row>
    <row r="357" spans="1:54" ht="15" customHeight="1" x14ac:dyDescent="0.4">
      <c r="A357" s="15" t="str">
        <f>Frota!$B357&amp;" — "&amp;Frota!$A357</f>
        <v>Pulverizador Manual — 171005</v>
      </c>
      <c r="B357" s="16" t="str">
        <f>Frota!$C357</f>
        <v>Pulverizador</v>
      </c>
      <c r="C357" s="22" t="str">
        <f>INDEX(Cronograma!B$5:B$11,MATCH($B357,Premissas!$A$39:$A$45,0))</f>
        <v/>
      </c>
      <c r="D357" s="22" t="str">
        <f>INDEX(Cronograma!C$5:C$11,MATCH($B357,Premissas!$A$39:$A$45,0))</f>
        <v/>
      </c>
      <c r="E357" s="22" t="str">
        <f>INDEX(Cronograma!D$5:D$11,MATCH($B357,Premissas!$A$39:$A$45,0))</f>
        <v/>
      </c>
      <c r="F357" s="22" t="str">
        <f>INDEX(Cronograma!E$5:E$11,MATCH($B357,Premissas!$A$39:$A$45,0))</f>
        <v/>
      </c>
      <c r="G357" s="22" t="str">
        <f>INDEX(Cronograma!F$5:F$11,MATCH($B357,Premissas!$A$39:$A$45,0))</f>
        <v>S</v>
      </c>
      <c r="H357" s="22" t="str">
        <f>INDEX(Cronograma!G$5:G$11,MATCH($B357,Premissas!$A$39:$A$45,0))</f>
        <v/>
      </c>
      <c r="I357" s="22" t="str">
        <f>INDEX(Cronograma!H$5:H$11,MATCH($B357,Premissas!$A$39:$A$45,0))</f>
        <v/>
      </c>
      <c r="J357" s="22" t="str">
        <f>INDEX(Cronograma!I$5:I$11,MATCH($B357,Premissas!$A$39:$A$45,0))</f>
        <v/>
      </c>
      <c r="K357" s="22" t="str">
        <f>INDEX(Cronograma!J$5:J$11,MATCH($B357,Premissas!$A$39:$A$45,0))</f>
        <v/>
      </c>
      <c r="L357" s="22" t="str">
        <f>INDEX(Cronograma!K$5:K$11,MATCH($B357,Premissas!$A$39:$A$45,0))</f>
        <v>A</v>
      </c>
      <c r="M357" s="22" t="str">
        <f>INDEX(Cronograma!L$5:L$11,MATCH($B357,Premissas!$A$39:$A$45,0))</f>
        <v/>
      </c>
      <c r="N357" s="22" t="str">
        <f>INDEX(Cronograma!M$5:M$11,MATCH($B357,Premissas!$A$39:$A$45,0))</f>
        <v/>
      </c>
      <c r="O357" s="22" t="str">
        <f>INDEX(Cronograma!N$5:N$11,MATCH($B357,Premissas!$A$39:$A$45,0))</f>
        <v/>
      </c>
      <c r="P357" s="22" t="str">
        <f>INDEX(Cronograma!O$5:O$11,MATCH($B357,Premissas!$A$39:$A$45,0))</f>
        <v/>
      </c>
      <c r="Q357" s="22" t="str">
        <f>INDEX(Cronograma!P$5:P$11,MATCH($B357,Premissas!$A$39:$A$45,0))</f>
        <v>S</v>
      </c>
      <c r="R357" s="22" t="str">
        <f>INDEX(Cronograma!Q$5:Q$11,MATCH($B357,Premissas!$A$39:$A$45,0))</f>
        <v/>
      </c>
      <c r="S357" s="22" t="str">
        <f>INDEX(Cronograma!R$5:R$11,MATCH($B357,Premissas!$A$39:$A$45,0))</f>
        <v/>
      </c>
      <c r="T357" s="22" t="str">
        <f>INDEX(Cronograma!S$5:S$11,MATCH($B357,Premissas!$A$39:$A$45,0))</f>
        <v/>
      </c>
      <c r="U357" s="22" t="str">
        <f>INDEX(Cronograma!T$5:T$11,MATCH($B357,Premissas!$A$39:$A$45,0))</f>
        <v/>
      </c>
      <c r="V357" s="22" t="str">
        <f>INDEX(Cronograma!U$5:U$11,MATCH($B357,Premissas!$A$39:$A$45,0))</f>
        <v>A</v>
      </c>
      <c r="W357" s="22" t="str">
        <f>INDEX(Cronograma!V$5:V$11,MATCH($B357,Premissas!$A$39:$A$45,0))</f>
        <v/>
      </c>
      <c r="X357" s="22" t="str">
        <f>INDEX(Cronograma!W$5:W$11,MATCH($B357,Premissas!$A$39:$A$45,0))</f>
        <v/>
      </c>
      <c r="Y357" s="22" t="str">
        <f>INDEX(Cronograma!X$5:X$11,MATCH($B357,Premissas!$A$39:$A$45,0))</f>
        <v/>
      </c>
      <c r="Z357" s="22" t="str">
        <f>INDEX(Cronograma!Y$5:Y$11,MATCH($B357,Premissas!$A$39:$A$45,0))</f>
        <v/>
      </c>
      <c r="AA357" s="22" t="str">
        <f>INDEX(Cronograma!Z$5:Z$11,MATCH($B357,Premissas!$A$39:$A$45,0))</f>
        <v>S</v>
      </c>
      <c r="AB357" s="22" t="str">
        <f>INDEX(Cronograma!AA$5:AA$11,MATCH($B357,Premissas!$A$39:$A$45,0))</f>
        <v/>
      </c>
      <c r="AC357" s="22" t="str">
        <f>INDEX(Cronograma!AB$5:AB$11,MATCH($B357,Premissas!$A$39:$A$45,0))</f>
        <v/>
      </c>
      <c r="AD357" s="22" t="str">
        <f>INDEX(Cronograma!AC$5:AC$11,MATCH($B357,Premissas!$A$39:$A$45,0))</f>
        <v/>
      </c>
      <c r="AE357" s="22" t="str">
        <f>INDEX(Cronograma!AD$5:AD$11,MATCH($B357,Premissas!$A$39:$A$45,0))</f>
        <v/>
      </c>
      <c r="AF357" s="22" t="str">
        <f>INDEX(Cronograma!AE$5:AE$11,MATCH($B357,Premissas!$A$39:$A$45,0))</f>
        <v>A</v>
      </c>
      <c r="AG357" s="22" t="str">
        <f>INDEX(Cronograma!AF$5:AF$11,MATCH($B357,Premissas!$A$39:$A$45,0))</f>
        <v/>
      </c>
      <c r="AH357" s="22" t="str">
        <f>INDEX(Cronograma!AG$5:AG$11,MATCH($B357,Premissas!$A$39:$A$45,0))</f>
        <v/>
      </c>
      <c r="AI357" s="22" t="str">
        <f>INDEX(Cronograma!AH$5:AH$11,MATCH($B357,Premissas!$A$39:$A$45,0))</f>
        <v/>
      </c>
      <c r="AJ357" s="22" t="str">
        <f>INDEX(Cronograma!AI$5:AI$11,MATCH($B357,Premissas!$A$39:$A$45,0))</f>
        <v/>
      </c>
      <c r="AK357" s="22" t="str">
        <f>INDEX(Cronograma!AJ$5:AJ$11,MATCH($B357,Premissas!$A$39:$A$45,0))</f>
        <v>S</v>
      </c>
      <c r="AL357" s="22" t="str">
        <f>INDEX(Cronograma!AK$5:AK$11,MATCH($B357,Premissas!$A$39:$A$45,0))</f>
        <v/>
      </c>
      <c r="AM357" s="22" t="str">
        <f>INDEX(Cronograma!AL$5:AL$11,MATCH($B357,Premissas!$A$39:$A$45,0))</f>
        <v/>
      </c>
      <c r="AN357" s="22" t="str">
        <f>INDEX(Cronograma!AM$5:AM$11,MATCH($B357,Premissas!$A$39:$A$45,0))</f>
        <v/>
      </c>
      <c r="AO357" s="22" t="str">
        <f>INDEX(Cronograma!AN$5:AN$11,MATCH($B357,Premissas!$A$39:$A$45,0))</f>
        <v/>
      </c>
      <c r="AP357" s="22" t="str">
        <f>INDEX(Cronograma!AO$5:AO$11,MATCH($B357,Premissas!$A$39:$A$45,0))</f>
        <v>A</v>
      </c>
      <c r="AQ357" s="22" t="str">
        <f>INDEX(Cronograma!AP$5:AP$11,MATCH($B357,Premissas!$A$39:$A$45,0))</f>
        <v/>
      </c>
      <c r="AR357" s="22" t="str">
        <f>INDEX(Cronograma!AQ$5:AQ$11,MATCH($B357,Premissas!$A$39:$A$45,0))</f>
        <v/>
      </c>
      <c r="AS357" s="22" t="str">
        <f>INDEX(Cronograma!AR$5:AR$11,MATCH($B357,Premissas!$A$39:$A$45,0))</f>
        <v/>
      </c>
      <c r="AT357" s="22" t="str">
        <f>INDEX(Cronograma!AS$5:AS$11,MATCH($B357,Premissas!$A$39:$A$45,0))</f>
        <v/>
      </c>
      <c r="AU357" s="22" t="str">
        <f>INDEX(Cronograma!AT$5:AT$11,MATCH($B357,Premissas!$A$39:$A$45,0))</f>
        <v>S</v>
      </c>
      <c r="AV357" s="22" t="str">
        <f>INDEX(Cronograma!AU$5:AU$11,MATCH($B357,Premissas!$A$39:$A$45,0))</f>
        <v/>
      </c>
      <c r="AW357" s="22" t="str">
        <f>INDEX(Cronograma!AV$5:AV$11,MATCH($B357,Premissas!$A$39:$A$45,0))</f>
        <v/>
      </c>
      <c r="AX357" s="22" t="str">
        <f>INDEX(Cronograma!AW$5:AW$11,MATCH($B357,Premissas!$A$39:$A$45,0))</f>
        <v/>
      </c>
      <c r="AY357" s="22" t="str">
        <f>INDEX(Cronograma!AX$5:AX$11,MATCH($B357,Premissas!$A$39:$A$45,0))</f>
        <v/>
      </c>
      <c r="AZ357" s="22" t="str">
        <f>INDEX(Cronograma!AY$5:AY$11,MATCH($B357,Premissas!$A$39:$A$45,0))</f>
        <v>A</v>
      </c>
      <c r="BA357" s="22" t="str">
        <f>INDEX(Cronograma!AZ$5:AZ$11,MATCH($B357,Premissas!$A$39:$A$45,0))</f>
        <v/>
      </c>
      <c r="BB357" s="22" t="str">
        <f>INDEX(Cronograma!BA$5:BA$11,MATCH($B357,Premissas!$A$39:$A$45,0))</f>
        <v/>
      </c>
    </row>
    <row r="358" spans="1:54" ht="15" customHeight="1" x14ac:dyDescent="0.4">
      <c r="A358" s="15" t="str">
        <f>Frota!$B358&amp;" — "&amp;Frota!$A358</f>
        <v>Pulverizador Manual — 171006</v>
      </c>
      <c r="B358" s="16" t="str">
        <f>Frota!$C358</f>
        <v>Pulverizador</v>
      </c>
      <c r="C358" s="22" t="str">
        <f>INDEX(Cronograma!B$5:B$11,MATCH($B358,Premissas!$A$39:$A$45,0))</f>
        <v/>
      </c>
      <c r="D358" s="22" t="str">
        <f>INDEX(Cronograma!C$5:C$11,MATCH($B358,Premissas!$A$39:$A$45,0))</f>
        <v/>
      </c>
      <c r="E358" s="22" t="str">
        <f>INDEX(Cronograma!D$5:D$11,MATCH($B358,Premissas!$A$39:$A$45,0))</f>
        <v/>
      </c>
      <c r="F358" s="22" t="str">
        <f>INDEX(Cronograma!E$5:E$11,MATCH($B358,Premissas!$A$39:$A$45,0))</f>
        <v/>
      </c>
      <c r="G358" s="22" t="str">
        <f>INDEX(Cronograma!F$5:F$11,MATCH($B358,Premissas!$A$39:$A$45,0))</f>
        <v>S</v>
      </c>
      <c r="H358" s="22" t="str">
        <f>INDEX(Cronograma!G$5:G$11,MATCH($B358,Premissas!$A$39:$A$45,0))</f>
        <v/>
      </c>
      <c r="I358" s="22" t="str">
        <f>INDEX(Cronograma!H$5:H$11,MATCH($B358,Premissas!$A$39:$A$45,0))</f>
        <v/>
      </c>
      <c r="J358" s="22" t="str">
        <f>INDEX(Cronograma!I$5:I$11,MATCH($B358,Premissas!$A$39:$A$45,0))</f>
        <v/>
      </c>
      <c r="K358" s="22" t="str">
        <f>INDEX(Cronograma!J$5:J$11,MATCH($B358,Premissas!$A$39:$A$45,0))</f>
        <v/>
      </c>
      <c r="L358" s="22" t="str">
        <f>INDEX(Cronograma!K$5:K$11,MATCH($B358,Premissas!$A$39:$A$45,0))</f>
        <v>A</v>
      </c>
      <c r="M358" s="22" t="str">
        <f>INDEX(Cronograma!L$5:L$11,MATCH($B358,Premissas!$A$39:$A$45,0))</f>
        <v/>
      </c>
      <c r="N358" s="22" t="str">
        <f>INDEX(Cronograma!M$5:M$11,MATCH($B358,Premissas!$A$39:$A$45,0))</f>
        <v/>
      </c>
      <c r="O358" s="22" t="str">
        <f>INDEX(Cronograma!N$5:N$11,MATCH($B358,Premissas!$A$39:$A$45,0))</f>
        <v/>
      </c>
      <c r="P358" s="22" t="str">
        <f>INDEX(Cronograma!O$5:O$11,MATCH($B358,Premissas!$A$39:$A$45,0))</f>
        <v/>
      </c>
      <c r="Q358" s="22" t="str">
        <f>INDEX(Cronograma!P$5:P$11,MATCH($B358,Premissas!$A$39:$A$45,0))</f>
        <v>S</v>
      </c>
      <c r="R358" s="22" t="str">
        <f>INDEX(Cronograma!Q$5:Q$11,MATCH($B358,Premissas!$A$39:$A$45,0))</f>
        <v/>
      </c>
      <c r="S358" s="22" t="str">
        <f>INDEX(Cronograma!R$5:R$11,MATCH($B358,Premissas!$A$39:$A$45,0))</f>
        <v/>
      </c>
      <c r="T358" s="22" t="str">
        <f>INDEX(Cronograma!S$5:S$11,MATCH($B358,Premissas!$A$39:$A$45,0))</f>
        <v/>
      </c>
      <c r="U358" s="22" t="str">
        <f>INDEX(Cronograma!T$5:T$11,MATCH($B358,Premissas!$A$39:$A$45,0))</f>
        <v/>
      </c>
      <c r="V358" s="22" t="str">
        <f>INDEX(Cronograma!U$5:U$11,MATCH($B358,Premissas!$A$39:$A$45,0))</f>
        <v>A</v>
      </c>
      <c r="W358" s="22" t="str">
        <f>INDEX(Cronograma!V$5:V$11,MATCH($B358,Premissas!$A$39:$A$45,0))</f>
        <v/>
      </c>
      <c r="X358" s="22" t="str">
        <f>INDEX(Cronograma!W$5:W$11,MATCH($B358,Premissas!$A$39:$A$45,0))</f>
        <v/>
      </c>
      <c r="Y358" s="22" t="str">
        <f>INDEX(Cronograma!X$5:X$11,MATCH($B358,Premissas!$A$39:$A$45,0))</f>
        <v/>
      </c>
      <c r="Z358" s="22" t="str">
        <f>INDEX(Cronograma!Y$5:Y$11,MATCH($B358,Premissas!$A$39:$A$45,0))</f>
        <v/>
      </c>
      <c r="AA358" s="22" t="str">
        <f>INDEX(Cronograma!Z$5:Z$11,MATCH($B358,Premissas!$A$39:$A$45,0))</f>
        <v>S</v>
      </c>
      <c r="AB358" s="22" t="str">
        <f>INDEX(Cronograma!AA$5:AA$11,MATCH($B358,Premissas!$A$39:$A$45,0))</f>
        <v/>
      </c>
      <c r="AC358" s="22" t="str">
        <f>INDEX(Cronograma!AB$5:AB$11,MATCH($B358,Premissas!$A$39:$A$45,0))</f>
        <v/>
      </c>
      <c r="AD358" s="22" t="str">
        <f>INDEX(Cronograma!AC$5:AC$11,MATCH($B358,Premissas!$A$39:$A$45,0))</f>
        <v/>
      </c>
      <c r="AE358" s="22" t="str">
        <f>INDEX(Cronograma!AD$5:AD$11,MATCH($B358,Premissas!$A$39:$A$45,0))</f>
        <v/>
      </c>
      <c r="AF358" s="22" t="str">
        <f>INDEX(Cronograma!AE$5:AE$11,MATCH($B358,Premissas!$A$39:$A$45,0))</f>
        <v>A</v>
      </c>
      <c r="AG358" s="22" t="str">
        <f>INDEX(Cronograma!AF$5:AF$11,MATCH($B358,Premissas!$A$39:$A$45,0))</f>
        <v/>
      </c>
      <c r="AH358" s="22" t="str">
        <f>INDEX(Cronograma!AG$5:AG$11,MATCH($B358,Premissas!$A$39:$A$45,0))</f>
        <v/>
      </c>
      <c r="AI358" s="22" t="str">
        <f>INDEX(Cronograma!AH$5:AH$11,MATCH($B358,Premissas!$A$39:$A$45,0))</f>
        <v/>
      </c>
      <c r="AJ358" s="22" t="str">
        <f>INDEX(Cronograma!AI$5:AI$11,MATCH($B358,Premissas!$A$39:$A$45,0))</f>
        <v/>
      </c>
      <c r="AK358" s="22" t="str">
        <f>INDEX(Cronograma!AJ$5:AJ$11,MATCH($B358,Premissas!$A$39:$A$45,0))</f>
        <v>S</v>
      </c>
      <c r="AL358" s="22" t="str">
        <f>INDEX(Cronograma!AK$5:AK$11,MATCH($B358,Premissas!$A$39:$A$45,0))</f>
        <v/>
      </c>
      <c r="AM358" s="22" t="str">
        <f>INDEX(Cronograma!AL$5:AL$11,MATCH($B358,Premissas!$A$39:$A$45,0))</f>
        <v/>
      </c>
      <c r="AN358" s="22" t="str">
        <f>INDEX(Cronograma!AM$5:AM$11,MATCH($B358,Premissas!$A$39:$A$45,0))</f>
        <v/>
      </c>
      <c r="AO358" s="22" t="str">
        <f>INDEX(Cronograma!AN$5:AN$11,MATCH($B358,Premissas!$A$39:$A$45,0))</f>
        <v/>
      </c>
      <c r="AP358" s="22" t="str">
        <f>INDEX(Cronograma!AO$5:AO$11,MATCH($B358,Premissas!$A$39:$A$45,0))</f>
        <v>A</v>
      </c>
      <c r="AQ358" s="22" t="str">
        <f>INDEX(Cronograma!AP$5:AP$11,MATCH($B358,Premissas!$A$39:$A$45,0))</f>
        <v/>
      </c>
      <c r="AR358" s="22" t="str">
        <f>INDEX(Cronograma!AQ$5:AQ$11,MATCH($B358,Premissas!$A$39:$A$45,0))</f>
        <v/>
      </c>
      <c r="AS358" s="22" t="str">
        <f>INDEX(Cronograma!AR$5:AR$11,MATCH($B358,Premissas!$A$39:$A$45,0))</f>
        <v/>
      </c>
      <c r="AT358" s="22" t="str">
        <f>INDEX(Cronograma!AS$5:AS$11,MATCH($B358,Premissas!$A$39:$A$45,0))</f>
        <v/>
      </c>
      <c r="AU358" s="22" t="str">
        <f>INDEX(Cronograma!AT$5:AT$11,MATCH($B358,Premissas!$A$39:$A$45,0))</f>
        <v>S</v>
      </c>
      <c r="AV358" s="22" t="str">
        <f>INDEX(Cronograma!AU$5:AU$11,MATCH($B358,Premissas!$A$39:$A$45,0))</f>
        <v/>
      </c>
      <c r="AW358" s="22" t="str">
        <f>INDEX(Cronograma!AV$5:AV$11,MATCH($B358,Premissas!$A$39:$A$45,0))</f>
        <v/>
      </c>
      <c r="AX358" s="22" t="str">
        <f>INDEX(Cronograma!AW$5:AW$11,MATCH($B358,Premissas!$A$39:$A$45,0))</f>
        <v/>
      </c>
      <c r="AY358" s="22" t="str">
        <f>INDEX(Cronograma!AX$5:AX$11,MATCH($B358,Premissas!$A$39:$A$45,0))</f>
        <v/>
      </c>
      <c r="AZ358" s="22" t="str">
        <f>INDEX(Cronograma!AY$5:AY$11,MATCH($B358,Premissas!$A$39:$A$45,0))</f>
        <v>A</v>
      </c>
      <c r="BA358" s="22" t="str">
        <f>INDEX(Cronograma!AZ$5:AZ$11,MATCH($B358,Premissas!$A$39:$A$45,0))</f>
        <v/>
      </c>
      <c r="BB358" s="22" t="str">
        <f>INDEX(Cronograma!BA$5:BA$11,MATCH($B358,Premissas!$A$39:$A$45,0))</f>
        <v/>
      </c>
    </row>
    <row r="359" spans="1:54" ht="15" customHeight="1" x14ac:dyDescent="0.4">
      <c r="A359" s="15" t="str">
        <f>Frota!$B359&amp;" — "&amp;Frota!$A359</f>
        <v>Pulverizador Manual — 171007</v>
      </c>
      <c r="B359" s="16" t="str">
        <f>Frota!$C359</f>
        <v>Pulverizador</v>
      </c>
      <c r="C359" s="22" t="str">
        <f>INDEX(Cronograma!B$5:B$11,MATCH($B359,Premissas!$A$39:$A$45,0))</f>
        <v/>
      </c>
      <c r="D359" s="22" t="str">
        <f>INDEX(Cronograma!C$5:C$11,MATCH($B359,Premissas!$A$39:$A$45,0))</f>
        <v/>
      </c>
      <c r="E359" s="22" t="str">
        <f>INDEX(Cronograma!D$5:D$11,MATCH($B359,Premissas!$A$39:$A$45,0))</f>
        <v/>
      </c>
      <c r="F359" s="22" t="str">
        <f>INDEX(Cronograma!E$5:E$11,MATCH($B359,Premissas!$A$39:$A$45,0))</f>
        <v/>
      </c>
      <c r="G359" s="22" t="str">
        <f>INDEX(Cronograma!F$5:F$11,MATCH($B359,Premissas!$A$39:$A$45,0))</f>
        <v>S</v>
      </c>
      <c r="H359" s="22" t="str">
        <f>INDEX(Cronograma!G$5:G$11,MATCH($B359,Premissas!$A$39:$A$45,0))</f>
        <v/>
      </c>
      <c r="I359" s="22" t="str">
        <f>INDEX(Cronograma!H$5:H$11,MATCH($B359,Premissas!$A$39:$A$45,0))</f>
        <v/>
      </c>
      <c r="J359" s="22" t="str">
        <f>INDEX(Cronograma!I$5:I$11,MATCH($B359,Premissas!$A$39:$A$45,0))</f>
        <v/>
      </c>
      <c r="K359" s="22" t="str">
        <f>INDEX(Cronograma!J$5:J$11,MATCH($B359,Premissas!$A$39:$A$45,0))</f>
        <v/>
      </c>
      <c r="L359" s="22" t="str">
        <f>INDEX(Cronograma!K$5:K$11,MATCH($B359,Premissas!$A$39:$A$45,0))</f>
        <v>A</v>
      </c>
      <c r="M359" s="22" t="str">
        <f>INDEX(Cronograma!L$5:L$11,MATCH($B359,Premissas!$A$39:$A$45,0))</f>
        <v/>
      </c>
      <c r="N359" s="22" t="str">
        <f>INDEX(Cronograma!M$5:M$11,MATCH($B359,Premissas!$A$39:$A$45,0))</f>
        <v/>
      </c>
      <c r="O359" s="22" t="str">
        <f>INDEX(Cronograma!N$5:N$11,MATCH($B359,Premissas!$A$39:$A$45,0))</f>
        <v/>
      </c>
      <c r="P359" s="22" t="str">
        <f>INDEX(Cronograma!O$5:O$11,MATCH($B359,Premissas!$A$39:$A$45,0))</f>
        <v/>
      </c>
      <c r="Q359" s="22" t="str">
        <f>INDEX(Cronograma!P$5:P$11,MATCH($B359,Premissas!$A$39:$A$45,0))</f>
        <v>S</v>
      </c>
      <c r="R359" s="22" t="str">
        <f>INDEX(Cronograma!Q$5:Q$11,MATCH($B359,Premissas!$A$39:$A$45,0))</f>
        <v/>
      </c>
      <c r="S359" s="22" t="str">
        <f>INDEX(Cronograma!R$5:R$11,MATCH($B359,Premissas!$A$39:$A$45,0))</f>
        <v/>
      </c>
      <c r="T359" s="22" t="str">
        <f>INDEX(Cronograma!S$5:S$11,MATCH($B359,Premissas!$A$39:$A$45,0))</f>
        <v/>
      </c>
      <c r="U359" s="22" t="str">
        <f>INDEX(Cronograma!T$5:T$11,MATCH($B359,Premissas!$A$39:$A$45,0))</f>
        <v/>
      </c>
      <c r="V359" s="22" t="str">
        <f>INDEX(Cronograma!U$5:U$11,MATCH($B359,Premissas!$A$39:$A$45,0))</f>
        <v>A</v>
      </c>
      <c r="W359" s="22" t="str">
        <f>INDEX(Cronograma!V$5:V$11,MATCH($B359,Premissas!$A$39:$A$45,0))</f>
        <v/>
      </c>
      <c r="X359" s="22" t="str">
        <f>INDEX(Cronograma!W$5:W$11,MATCH($B359,Premissas!$A$39:$A$45,0))</f>
        <v/>
      </c>
      <c r="Y359" s="22" t="str">
        <f>INDEX(Cronograma!X$5:X$11,MATCH($B359,Premissas!$A$39:$A$45,0))</f>
        <v/>
      </c>
      <c r="Z359" s="22" t="str">
        <f>INDEX(Cronograma!Y$5:Y$11,MATCH($B359,Premissas!$A$39:$A$45,0))</f>
        <v/>
      </c>
      <c r="AA359" s="22" t="str">
        <f>INDEX(Cronograma!Z$5:Z$11,MATCH($B359,Premissas!$A$39:$A$45,0))</f>
        <v>S</v>
      </c>
      <c r="AB359" s="22" t="str">
        <f>INDEX(Cronograma!AA$5:AA$11,MATCH($B359,Premissas!$A$39:$A$45,0))</f>
        <v/>
      </c>
      <c r="AC359" s="22" t="str">
        <f>INDEX(Cronograma!AB$5:AB$11,MATCH($B359,Premissas!$A$39:$A$45,0))</f>
        <v/>
      </c>
      <c r="AD359" s="22" t="str">
        <f>INDEX(Cronograma!AC$5:AC$11,MATCH($B359,Premissas!$A$39:$A$45,0))</f>
        <v/>
      </c>
      <c r="AE359" s="22" t="str">
        <f>INDEX(Cronograma!AD$5:AD$11,MATCH($B359,Premissas!$A$39:$A$45,0))</f>
        <v/>
      </c>
      <c r="AF359" s="22" t="str">
        <f>INDEX(Cronograma!AE$5:AE$11,MATCH($B359,Premissas!$A$39:$A$45,0))</f>
        <v>A</v>
      </c>
      <c r="AG359" s="22" t="str">
        <f>INDEX(Cronograma!AF$5:AF$11,MATCH($B359,Premissas!$A$39:$A$45,0))</f>
        <v/>
      </c>
      <c r="AH359" s="22" t="str">
        <f>INDEX(Cronograma!AG$5:AG$11,MATCH($B359,Premissas!$A$39:$A$45,0))</f>
        <v/>
      </c>
      <c r="AI359" s="22" t="str">
        <f>INDEX(Cronograma!AH$5:AH$11,MATCH($B359,Premissas!$A$39:$A$45,0))</f>
        <v/>
      </c>
      <c r="AJ359" s="22" t="str">
        <f>INDEX(Cronograma!AI$5:AI$11,MATCH($B359,Premissas!$A$39:$A$45,0))</f>
        <v/>
      </c>
      <c r="AK359" s="22" t="str">
        <f>INDEX(Cronograma!AJ$5:AJ$11,MATCH($B359,Premissas!$A$39:$A$45,0))</f>
        <v>S</v>
      </c>
      <c r="AL359" s="22" t="str">
        <f>INDEX(Cronograma!AK$5:AK$11,MATCH($B359,Premissas!$A$39:$A$45,0))</f>
        <v/>
      </c>
      <c r="AM359" s="22" t="str">
        <f>INDEX(Cronograma!AL$5:AL$11,MATCH($B359,Premissas!$A$39:$A$45,0))</f>
        <v/>
      </c>
      <c r="AN359" s="22" t="str">
        <f>INDEX(Cronograma!AM$5:AM$11,MATCH($B359,Premissas!$A$39:$A$45,0))</f>
        <v/>
      </c>
      <c r="AO359" s="22" t="str">
        <f>INDEX(Cronograma!AN$5:AN$11,MATCH($B359,Premissas!$A$39:$A$45,0))</f>
        <v/>
      </c>
      <c r="AP359" s="22" t="str">
        <f>INDEX(Cronograma!AO$5:AO$11,MATCH($B359,Premissas!$A$39:$A$45,0))</f>
        <v>A</v>
      </c>
      <c r="AQ359" s="22" t="str">
        <f>INDEX(Cronograma!AP$5:AP$11,MATCH($B359,Premissas!$A$39:$A$45,0))</f>
        <v/>
      </c>
      <c r="AR359" s="22" t="str">
        <f>INDEX(Cronograma!AQ$5:AQ$11,MATCH($B359,Premissas!$A$39:$A$45,0))</f>
        <v/>
      </c>
      <c r="AS359" s="22" t="str">
        <f>INDEX(Cronograma!AR$5:AR$11,MATCH($B359,Premissas!$A$39:$A$45,0))</f>
        <v/>
      </c>
      <c r="AT359" s="22" t="str">
        <f>INDEX(Cronograma!AS$5:AS$11,MATCH($B359,Premissas!$A$39:$A$45,0))</f>
        <v/>
      </c>
      <c r="AU359" s="22" t="str">
        <f>INDEX(Cronograma!AT$5:AT$11,MATCH($B359,Premissas!$A$39:$A$45,0))</f>
        <v>S</v>
      </c>
      <c r="AV359" s="22" t="str">
        <f>INDEX(Cronograma!AU$5:AU$11,MATCH($B359,Premissas!$A$39:$A$45,0))</f>
        <v/>
      </c>
      <c r="AW359" s="22" t="str">
        <f>INDEX(Cronograma!AV$5:AV$11,MATCH($B359,Premissas!$A$39:$A$45,0))</f>
        <v/>
      </c>
      <c r="AX359" s="22" t="str">
        <f>INDEX(Cronograma!AW$5:AW$11,MATCH($B359,Premissas!$A$39:$A$45,0))</f>
        <v/>
      </c>
      <c r="AY359" s="22" t="str">
        <f>INDEX(Cronograma!AX$5:AX$11,MATCH($B359,Premissas!$A$39:$A$45,0))</f>
        <v/>
      </c>
      <c r="AZ359" s="22" t="str">
        <f>INDEX(Cronograma!AY$5:AY$11,MATCH($B359,Premissas!$A$39:$A$45,0))</f>
        <v>A</v>
      </c>
      <c r="BA359" s="22" t="str">
        <f>INDEX(Cronograma!AZ$5:AZ$11,MATCH($B359,Premissas!$A$39:$A$45,0))</f>
        <v/>
      </c>
      <c r="BB359" s="22" t="str">
        <f>INDEX(Cronograma!BA$5:BA$11,MATCH($B359,Premissas!$A$39:$A$45,0))</f>
        <v/>
      </c>
    </row>
    <row r="360" spans="1:54" ht="15" customHeight="1" x14ac:dyDescent="0.4">
      <c r="A360" s="15" t="str">
        <f>Frota!$B360&amp;" — "&amp;Frota!$A360</f>
        <v>Pulverizador Manual — 171008</v>
      </c>
      <c r="B360" s="16" t="str">
        <f>Frota!$C360</f>
        <v>Pulverizador</v>
      </c>
      <c r="C360" s="22" t="str">
        <f>INDEX(Cronograma!B$5:B$11,MATCH($B360,Premissas!$A$39:$A$45,0))</f>
        <v/>
      </c>
      <c r="D360" s="22" t="str">
        <f>INDEX(Cronograma!C$5:C$11,MATCH($B360,Premissas!$A$39:$A$45,0))</f>
        <v/>
      </c>
      <c r="E360" s="22" t="str">
        <f>INDEX(Cronograma!D$5:D$11,MATCH($B360,Premissas!$A$39:$A$45,0))</f>
        <v/>
      </c>
      <c r="F360" s="22" t="str">
        <f>INDEX(Cronograma!E$5:E$11,MATCH($B360,Premissas!$A$39:$A$45,0))</f>
        <v/>
      </c>
      <c r="G360" s="22" t="str">
        <f>INDEX(Cronograma!F$5:F$11,MATCH($B360,Premissas!$A$39:$A$45,0))</f>
        <v>S</v>
      </c>
      <c r="H360" s="22" t="str">
        <f>INDEX(Cronograma!G$5:G$11,MATCH($B360,Premissas!$A$39:$A$45,0))</f>
        <v/>
      </c>
      <c r="I360" s="22" t="str">
        <f>INDEX(Cronograma!H$5:H$11,MATCH($B360,Premissas!$A$39:$A$45,0))</f>
        <v/>
      </c>
      <c r="J360" s="22" t="str">
        <f>INDEX(Cronograma!I$5:I$11,MATCH($B360,Premissas!$A$39:$A$45,0))</f>
        <v/>
      </c>
      <c r="K360" s="22" t="str">
        <f>INDEX(Cronograma!J$5:J$11,MATCH($B360,Premissas!$A$39:$A$45,0))</f>
        <v/>
      </c>
      <c r="L360" s="22" t="str">
        <f>INDEX(Cronograma!K$5:K$11,MATCH($B360,Premissas!$A$39:$A$45,0))</f>
        <v>A</v>
      </c>
      <c r="M360" s="22" t="str">
        <f>INDEX(Cronograma!L$5:L$11,MATCH($B360,Premissas!$A$39:$A$45,0))</f>
        <v/>
      </c>
      <c r="N360" s="22" t="str">
        <f>INDEX(Cronograma!M$5:M$11,MATCH($B360,Premissas!$A$39:$A$45,0))</f>
        <v/>
      </c>
      <c r="O360" s="22" t="str">
        <f>INDEX(Cronograma!N$5:N$11,MATCH($B360,Premissas!$A$39:$A$45,0))</f>
        <v/>
      </c>
      <c r="P360" s="22" t="str">
        <f>INDEX(Cronograma!O$5:O$11,MATCH($B360,Premissas!$A$39:$A$45,0))</f>
        <v/>
      </c>
      <c r="Q360" s="22" t="str">
        <f>INDEX(Cronograma!P$5:P$11,MATCH($B360,Premissas!$A$39:$A$45,0))</f>
        <v>S</v>
      </c>
      <c r="R360" s="22" t="str">
        <f>INDEX(Cronograma!Q$5:Q$11,MATCH($B360,Premissas!$A$39:$A$45,0))</f>
        <v/>
      </c>
      <c r="S360" s="22" t="str">
        <f>INDEX(Cronograma!R$5:R$11,MATCH($B360,Premissas!$A$39:$A$45,0))</f>
        <v/>
      </c>
      <c r="T360" s="22" t="str">
        <f>INDEX(Cronograma!S$5:S$11,MATCH($B360,Premissas!$A$39:$A$45,0))</f>
        <v/>
      </c>
      <c r="U360" s="22" t="str">
        <f>INDEX(Cronograma!T$5:T$11,MATCH($B360,Premissas!$A$39:$A$45,0))</f>
        <v/>
      </c>
      <c r="V360" s="22" t="str">
        <f>INDEX(Cronograma!U$5:U$11,MATCH($B360,Premissas!$A$39:$A$45,0))</f>
        <v>A</v>
      </c>
      <c r="W360" s="22" t="str">
        <f>INDEX(Cronograma!V$5:V$11,MATCH($B360,Premissas!$A$39:$A$45,0))</f>
        <v/>
      </c>
      <c r="X360" s="22" t="str">
        <f>INDEX(Cronograma!W$5:W$11,MATCH($B360,Premissas!$A$39:$A$45,0))</f>
        <v/>
      </c>
      <c r="Y360" s="22" t="str">
        <f>INDEX(Cronograma!X$5:X$11,MATCH($B360,Premissas!$A$39:$A$45,0))</f>
        <v/>
      </c>
      <c r="Z360" s="22" t="str">
        <f>INDEX(Cronograma!Y$5:Y$11,MATCH($B360,Premissas!$A$39:$A$45,0))</f>
        <v/>
      </c>
      <c r="AA360" s="22" t="str">
        <f>INDEX(Cronograma!Z$5:Z$11,MATCH($B360,Premissas!$A$39:$A$45,0))</f>
        <v>S</v>
      </c>
      <c r="AB360" s="22" t="str">
        <f>INDEX(Cronograma!AA$5:AA$11,MATCH($B360,Premissas!$A$39:$A$45,0))</f>
        <v/>
      </c>
      <c r="AC360" s="22" t="str">
        <f>INDEX(Cronograma!AB$5:AB$11,MATCH($B360,Premissas!$A$39:$A$45,0))</f>
        <v/>
      </c>
      <c r="AD360" s="22" t="str">
        <f>INDEX(Cronograma!AC$5:AC$11,MATCH($B360,Premissas!$A$39:$A$45,0))</f>
        <v/>
      </c>
      <c r="AE360" s="22" t="str">
        <f>INDEX(Cronograma!AD$5:AD$11,MATCH($B360,Premissas!$A$39:$A$45,0))</f>
        <v/>
      </c>
      <c r="AF360" s="22" t="str">
        <f>INDEX(Cronograma!AE$5:AE$11,MATCH($B360,Premissas!$A$39:$A$45,0))</f>
        <v>A</v>
      </c>
      <c r="AG360" s="22" t="str">
        <f>INDEX(Cronograma!AF$5:AF$11,MATCH($B360,Premissas!$A$39:$A$45,0))</f>
        <v/>
      </c>
      <c r="AH360" s="22" t="str">
        <f>INDEX(Cronograma!AG$5:AG$11,MATCH($B360,Premissas!$A$39:$A$45,0))</f>
        <v/>
      </c>
      <c r="AI360" s="22" t="str">
        <f>INDEX(Cronograma!AH$5:AH$11,MATCH($B360,Premissas!$A$39:$A$45,0))</f>
        <v/>
      </c>
      <c r="AJ360" s="22" t="str">
        <f>INDEX(Cronograma!AI$5:AI$11,MATCH($B360,Premissas!$A$39:$A$45,0))</f>
        <v/>
      </c>
      <c r="AK360" s="22" t="str">
        <f>INDEX(Cronograma!AJ$5:AJ$11,MATCH($B360,Premissas!$A$39:$A$45,0))</f>
        <v>S</v>
      </c>
      <c r="AL360" s="22" t="str">
        <f>INDEX(Cronograma!AK$5:AK$11,MATCH($B360,Premissas!$A$39:$A$45,0))</f>
        <v/>
      </c>
      <c r="AM360" s="22" t="str">
        <f>INDEX(Cronograma!AL$5:AL$11,MATCH($B360,Premissas!$A$39:$A$45,0))</f>
        <v/>
      </c>
      <c r="AN360" s="22" t="str">
        <f>INDEX(Cronograma!AM$5:AM$11,MATCH($B360,Premissas!$A$39:$A$45,0))</f>
        <v/>
      </c>
      <c r="AO360" s="22" t="str">
        <f>INDEX(Cronograma!AN$5:AN$11,MATCH($B360,Premissas!$A$39:$A$45,0))</f>
        <v/>
      </c>
      <c r="AP360" s="22" t="str">
        <f>INDEX(Cronograma!AO$5:AO$11,MATCH($B360,Premissas!$A$39:$A$45,0))</f>
        <v>A</v>
      </c>
      <c r="AQ360" s="22" t="str">
        <f>INDEX(Cronograma!AP$5:AP$11,MATCH($B360,Premissas!$A$39:$A$45,0))</f>
        <v/>
      </c>
      <c r="AR360" s="22" t="str">
        <f>INDEX(Cronograma!AQ$5:AQ$11,MATCH($B360,Premissas!$A$39:$A$45,0))</f>
        <v/>
      </c>
      <c r="AS360" s="22" t="str">
        <f>INDEX(Cronograma!AR$5:AR$11,MATCH($B360,Premissas!$A$39:$A$45,0))</f>
        <v/>
      </c>
      <c r="AT360" s="22" t="str">
        <f>INDEX(Cronograma!AS$5:AS$11,MATCH($B360,Premissas!$A$39:$A$45,0))</f>
        <v/>
      </c>
      <c r="AU360" s="22" t="str">
        <f>INDEX(Cronograma!AT$5:AT$11,MATCH($B360,Premissas!$A$39:$A$45,0))</f>
        <v>S</v>
      </c>
      <c r="AV360" s="22" t="str">
        <f>INDEX(Cronograma!AU$5:AU$11,MATCH($B360,Premissas!$A$39:$A$45,0))</f>
        <v/>
      </c>
      <c r="AW360" s="22" t="str">
        <f>INDEX(Cronograma!AV$5:AV$11,MATCH($B360,Premissas!$A$39:$A$45,0))</f>
        <v/>
      </c>
      <c r="AX360" s="22" t="str">
        <f>INDEX(Cronograma!AW$5:AW$11,MATCH($B360,Premissas!$A$39:$A$45,0))</f>
        <v/>
      </c>
      <c r="AY360" s="22" t="str">
        <f>INDEX(Cronograma!AX$5:AX$11,MATCH($B360,Premissas!$A$39:$A$45,0))</f>
        <v/>
      </c>
      <c r="AZ360" s="22" t="str">
        <f>INDEX(Cronograma!AY$5:AY$11,MATCH($B360,Premissas!$A$39:$A$45,0))</f>
        <v>A</v>
      </c>
      <c r="BA360" s="22" t="str">
        <f>INDEX(Cronograma!AZ$5:AZ$11,MATCH($B360,Premissas!$A$39:$A$45,0))</f>
        <v/>
      </c>
      <c r="BB360" s="22" t="str">
        <f>INDEX(Cronograma!BA$5:BA$11,MATCH($B360,Premissas!$A$39:$A$45,0))</f>
        <v/>
      </c>
    </row>
    <row r="361" spans="1:54" ht="15" customHeight="1" x14ac:dyDescent="0.4">
      <c r="A361" s="15" t="str">
        <f>Frota!$B361&amp;" — "&amp;Frota!$A361</f>
        <v>Pulverizador Manual — 171009</v>
      </c>
      <c r="B361" s="16" t="str">
        <f>Frota!$C361</f>
        <v>Pulverizador</v>
      </c>
      <c r="C361" s="22" t="str">
        <f>INDEX(Cronograma!B$5:B$11,MATCH($B361,Premissas!$A$39:$A$45,0))</f>
        <v/>
      </c>
      <c r="D361" s="22" t="str">
        <f>INDEX(Cronograma!C$5:C$11,MATCH($B361,Premissas!$A$39:$A$45,0))</f>
        <v/>
      </c>
      <c r="E361" s="22" t="str">
        <f>INDEX(Cronograma!D$5:D$11,MATCH($B361,Premissas!$A$39:$A$45,0))</f>
        <v/>
      </c>
      <c r="F361" s="22" t="str">
        <f>INDEX(Cronograma!E$5:E$11,MATCH($B361,Premissas!$A$39:$A$45,0))</f>
        <v/>
      </c>
      <c r="G361" s="22" t="str">
        <f>INDEX(Cronograma!F$5:F$11,MATCH($B361,Premissas!$A$39:$A$45,0))</f>
        <v>S</v>
      </c>
      <c r="H361" s="22" t="str">
        <f>INDEX(Cronograma!G$5:G$11,MATCH($B361,Premissas!$A$39:$A$45,0))</f>
        <v/>
      </c>
      <c r="I361" s="22" t="str">
        <f>INDEX(Cronograma!H$5:H$11,MATCH($B361,Premissas!$A$39:$A$45,0))</f>
        <v/>
      </c>
      <c r="J361" s="22" t="str">
        <f>INDEX(Cronograma!I$5:I$11,MATCH($B361,Premissas!$A$39:$A$45,0))</f>
        <v/>
      </c>
      <c r="K361" s="22" t="str">
        <f>INDEX(Cronograma!J$5:J$11,MATCH($B361,Premissas!$A$39:$A$45,0))</f>
        <v/>
      </c>
      <c r="L361" s="22" t="str">
        <f>INDEX(Cronograma!K$5:K$11,MATCH($B361,Premissas!$A$39:$A$45,0))</f>
        <v>A</v>
      </c>
      <c r="M361" s="22" t="str">
        <f>INDEX(Cronograma!L$5:L$11,MATCH($B361,Premissas!$A$39:$A$45,0))</f>
        <v/>
      </c>
      <c r="N361" s="22" t="str">
        <f>INDEX(Cronograma!M$5:M$11,MATCH($B361,Premissas!$A$39:$A$45,0))</f>
        <v/>
      </c>
      <c r="O361" s="22" t="str">
        <f>INDEX(Cronograma!N$5:N$11,MATCH($B361,Premissas!$A$39:$A$45,0))</f>
        <v/>
      </c>
      <c r="P361" s="22" t="str">
        <f>INDEX(Cronograma!O$5:O$11,MATCH($B361,Premissas!$A$39:$A$45,0))</f>
        <v/>
      </c>
      <c r="Q361" s="22" t="str">
        <f>INDEX(Cronograma!P$5:P$11,MATCH($B361,Premissas!$A$39:$A$45,0))</f>
        <v>S</v>
      </c>
      <c r="R361" s="22" t="str">
        <f>INDEX(Cronograma!Q$5:Q$11,MATCH($B361,Premissas!$A$39:$A$45,0))</f>
        <v/>
      </c>
      <c r="S361" s="22" t="str">
        <f>INDEX(Cronograma!R$5:R$11,MATCH($B361,Premissas!$A$39:$A$45,0))</f>
        <v/>
      </c>
      <c r="T361" s="22" t="str">
        <f>INDEX(Cronograma!S$5:S$11,MATCH($B361,Premissas!$A$39:$A$45,0))</f>
        <v/>
      </c>
      <c r="U361" s="22" t="str">
        <f>INDEX(Cronograma!T$5:T$11,MATCH($B361,Premissas!$A$39:$A$45,0))</f>
        <v/>
      </c>
      <c r="V361" s="22" t="str">
        <f>INDEX(Cronograma!U$5:U$11,MATCH($B361,Premissas!$A$39:$A$45,0))</f>
        <v>A</v>
      </c>
      <c r="W361" s="22" t="str">
        <f>INDEX(Cronograma!V$5:V$11,MATCH($B361,Premissas!$A$39:$A$45,0))</f>
        <v/>
      </c>
      <c r="X361" s="22" t="str">
        <f>INDEX(Cronograma!W$5:W$11,MATCH($B361,Premissas!$A$39:$A$45,0))</f>
        <v/>
      </c>
      <c r="Y361" s="22" t="str">
        <f>INDEX(Cronograma!X$5:X$11,MATCH($B361,Premissas!$A$39:$A$45,0))</f>
        <v/>
      </c>
      <c r="Z361" s="22" t="str">
        <f>INDEX(Cronograma!Y$5:Y$11,MATCH($B361,Premissas!$A$39:$A$45,0))</f>
        <v/>
      </c>
      <c r="AA361" s="22" t="str">
        <f>INDEX(Cronograma!Z$5:Z$11,MATCH($B361,Premissas!$A$39:$A$45,0))</f>
        <v>S</v>
      </c>
      <c r="AB361" s="22" t="str">
        <f>INDEX(Cronograma!AA$5:AA$11,MATCH($B361,Premissas!$A$39:$A$45,0))</f>
        <v/>
      </c>
      <c r="AC361" s="22" t="str">
        <f>INDEX(Cronograma!AB$5:AB$11,MATCH($B361,Premissas!$A$39:$A$45,0))</f>
        <v/>
      </c>
      <c r="AD361" s="22" t="str">
        <f>INDEX(Cronograma!AC$5:AC$11,MATCH($B361,Premissas!$A$39:$A$45,0))</f>
        <v/>
      </c>
      <c r="AE361" s="22" t="str">
        <f>INDEX(Cronograma!AD$5:AD$11,MATCH($B361,Premissas!$A$39:$A$45,0))</f>
        <v/>
      </c>
      <c r="AF361" s="22" t="str">
        <f>INDEX(Cronograma!AE$5:AE$11,MATCH($B361,Premissas!$A$39:$A$45,0))</f>
        <v>A</v>
      </c>
      <c r="AG361" s="22" t="str">
        <f>INDEX(Cronograma!AF$5:AF$11,MATCH($B361,Premissas!$A$39:$A$45,0))</f>
        <v/>
      </c>
      <c r="AH361" s="22" t="str">
        <f>INDEX(Cronograma!AG$5:AG$11,MATCH($B361,Premissas!$A$39:$A$45,0))</f>
        <v/>
      </c>
      <c r="AI361" s="22" t="str">
        <f>INDEX(Cronograma!AH$5:AH$11,MATCH($B361,Premissas!$A$39:$A$45,0))</f>
        <v/>
      </c>
      <c r="AJ361" s="22" t="str">
        <f>INDEX(Cronograma!AI$5:AI$11,MATCH($B361,Premissas!$A$39:$A$45,0))</f>
        <v/>
      </c>
      <c r="AK361" s="22" t="str">
        <f>INDEX(Cronograma!AJ$5:AJ$11,MATCH($B361,Premissas!$A$39:$A$45,0))</f>
        <v>S</v>
      </c>
      <c r="AL361" s="22" t="str">
        <f>INDEX(Cronograma!AK$5:AK$11,MATCH($B361,Premissas!$A$39:$A$45,0))</f>
        <v/>
      </c>
      <c r="AM361" s="22" t="str">
        <f>INDEX(Cronograma!AL$5:AL$11,MATCH($B361,Premissas!$A$39:$A$45,0))</f>
        <v/>
      </c>
      <c r="AN361" s="22" t="str">
        <f>INDEX(Cronograma!AM$5:AM$11,MATCH($B361,Premissas!$A$39:$A$45,0))</f>
        <v/>
      </c>
      <c r="AO361" s="22" t="str">
        <f>INDEX(Cronograma!AN$5:AN$11,MATCH($B361,Premissas!$A$39:$A$45,0))</f>
        <v/>
      </c>
      <c r="AP361" s="22" t="str">
        <f>INDEX(Cronograma!AO$5:AO$11,MATCH($B361,Premissas!$A$39:$A$45,0))</f>
        <v>A</v>
      </c>
      <c r="AQ361" s="22" t="str">
        <f>INDEX(Cronograma!AP$5:AP$11,MATCH($B361,Premissas!$A$39:$A$45,0))</f>
        <v/>
      </c>
      <c r="AR361" s="22" t="str">
        <f>INDEX(Cronograma!AQ$5:AQ$11,MATCH($B361,Premissas!$A$39:$A$45,0))</f>
        <v/>
      </c>
      <c r="AS361" s="22" t="str">
        <f>INDEX(Cronograma!AR$5:AR$11,MATCH($B361,Premissas!$A$39:$A$45,0))</f>
        <v/>
      </c>
      <c r="AT361" s="22" t="str">
        <f>INDEX(Cronograma!AS$5:AS$11,MATCH($B361,Premissas!$A$39:$A$45,0))</f>
        <v/>
      </c>
      <c r="AU361" s="22" t="str">
        <f>INDEX(Cronograma!AT$5:AT$11,MATCH($B361,Premissas!$A$39:$A$45,0))</f>
        <v>S</v>
      </c>
      <c r="AV361" s="22" t="str">
        <f>INDEX(Cronograma!AU$5:AU$11,MATCH($B361,Premissas!$A$39:$A$45,0))</f>
        <v/>
      </c>
      <c r="AW361" s="22" t="str">
        <f>INDEX(Cronograma!AV$5:AV$11,MATCH($B361,Premissas!$A$39:$A$45,0))</f>
        <v/>
      </c>
      <c r="AX361" s="22" t="str">
        <f>INDEX(Cronograma!AW$5:AW$11,MATCH($B361,Premissas!$A$39:$A$45,0))</f>
        <v/>
      </c>
      <c r="AY361" s="22" t="str">
        <f>INDEX(Cronograma!AX$5:AX$11,MATCH($B361,Premissas!$A$39:$A$45,0))</f>
        <v/>
      </c>
      <c r="AZ361" s="22" t="str">
        <f>INDEX(Cronograma!AY$5:AY$11,MATCH($B361,Premissas!$A$39:$A$45,0))</f>
        <v>A</v>
      </c>
      <c r="BA361" s="22" t="str">
        <f>INDEX(Cronograma!AZ$5:AZ$11,MATCH($B361,Premissas!$A$39:$A$45,0))</f>
        <v/>
      </c>
      <c r="BB361" s="22" t="str">
        <f>INDEX(Cronograma!BA$5:BA$11,MATCH($B361,Premissas!$A$39:$A$45,0))</f>
        <v/>
      </c>
    </row>
    <row r="362" spans="1:54" ht="15" customHeight="1" x14ac:dyDescent="0.4">
      <c r="A362" s="15" t="str">
        <f>Frota!$B362&amp;" — "&amp;Frota!$A362</f>
        <v>Roçadeira Manual — 172001</v>
      </c>
      <c r="B362" s="16" t="str">
        <f>Frota!$C362</f>
        <v>Implemento</v>
      </c>
      <c r="C362" s="22" t="str">
        <f>INDEX(Cronograma!B$5:B$11,MATCH($B362,Premissas!$A$39:$A$45,0))</f>
        <v/>
      </c>
      <c r="D362" s="22" t="str">
        <f>INDEX(Cronograma!C$5:C$11,MATCH($B362,Premissas!$A$39:$A$45,0))</f>
        <v/>
      </c>
      <c r="E362" s="22" t="str">
        <f>INDEX(Cronograma!D$5:D$11,MATCH($B362,Premissas!$A$39:$A$45,0))</f>
        <v/>
      </c>
      <c r="F362" s="22" t="str">
        <f>INDEX(Cronograma!E$5:E$11,MATCH($B362,Premissas!$A$39:$A$45,0))</f>
        <v/>
      </c>
      <c r="G362" s="22" t="str">
        <f>INDEX(Cronograma!F$5:F$11,MATCH($B362,Premissas!$A$39:$A$45,0))</f>
        <v/>
      </c>
      <c r="H362" s="22" t="str">
        <f>INDEX(Cronograma!G$5:G$11,MATCH($B362,Premissas!$A$39:$A$45,0))</f>
        <v/>
      </c>
      <c r="I362" s="22" t="str">
        <f>INDEX(Cronograma!H$5:H$11,MATCH($B362,Premissas!$A$39:$A$45,0))</f>
        <v/>
      </c>
      <c r="J362" s="22" t="str">
        <f>INDEX(Cronograma!I$5:I$11,MATCH($B362,Premissas!$A$39:$A$45,0))</f>
        <v>S</v>
      </c>
      <c r="K362" s="22" t="str">
        <f>INDEX(Cronograma!J$5:J$11,MATCH($B362,Premissas!$A$39:$A$45,0))</f>
        <v/>
      </c>
      <c r="L362" s="22" t="str">
        <f>INDEX(Cronograma!K$5:K$11,MATCH($B362,Premissas!$A$39:$A$45,0))</f>
        <v/>
      </c>
      <c r="M362" s="22" t="str">
        <f>INDEX(Cronograma!L$5:L$11,MATCH($B362,Premissas!$A$39:$A$45,0))</f>
        <v/>
      </c>
      <c r="N362" s="22" t="str">
        <f>INDEX(Cronograma!M$5:M$11,MATCH($B362,Premissas!$A$39:$A$45,0))</f>
        <v/>
      </c>
      <c r="O362" s="22" t="str">
        <f>INDEX(Cronograma!N$5:N$11,MATCH($B362,Premissas!$A$39:$A$45,0))</f>
        <v/>
      </c>
      <c r="P362" s="22" t="str">
        <f>INDEX(Cronograma!O$5:O$11,MATCH($B362,Premissas!$A$39:$A$45,0))</f>
        <v/>
      </c>
      <c r="Q362" s="22" t="str">
        <f>INDEX(Cronograma!P$5:P$11,MATCH($B362,Premissas!$A$39:$A$45,0))</f>
        <v/>
      </c>
      <c r="R362" s="22" t="str">
        <f>INDEX(Cronograma!Q$5:Q$11,MATCH($B362,Premissas!$A$39:$A$45,0))</f>
        <v>A</v>
      </c>
      <c r="S362" s="22" t="str">
        <f>INDEX(Cronograma!R$5:R$11,MATCH($B362,Premissas!$A$39:$A$45,0))</f>
        <v/>
      </c>
      <c r="T362" s="22" t="str">
        <f>INDEX(Cronograma!S$5:S$11,MATCH($B362,Premissas!$A$39:$A$45,0))</f>
        <v/>
      </c>
      <c r="U362" s="22" t="str">
        <f>INDEX(Cronograma!T$5:T$11,MATCH($B362,Premissas!$A$39:$A$45,0))</f>
        <v/>
      </c>
      <c r="V362" s="22" t="str">
        <f>INDEX(Cronograma!U$5:U$11,MATCH($B362,Premissas!$A$39:$A$45,0))</f>
        <v/>
      </c>
      <c r="W362" s="22" t="str">
        <f>INDEX(Cronograma!V$5:V$11,MATCH($B362,Premissas!$A$39:$A$45,0))</f>
        <v/>
      </c>
      <c r="X362" s="22" t="str">
        <f>INDEX(Cronograma!W$5:W$11,MATCH($B362,Premissas!$A$39:$A$45,0))</f>
        <v/>
      </c>
      <c r="Y362" s="22" t="str">
        <f>INDEX(Cronograma!X$5:X$11,MATCH($B362,Premissas!$A$39:$A$45,0))</f>
        <v/>
      </c>
      <c r="Z362" s="22" t="str">
        <f>INDEX(Cronograma!Y$5:Y$11,MATCH($B362,Premissas!$A$39:$A$45,0))</f>
        <v>S</v>
      </c>
      <c r="AA362" s="22" t="str">
        <f>INDEX(Cronograma!Z$5:Z$11,MATCH($B362,Premissas!$A$39:$A$45,0))</f>
        <v/>
      </c>
      <c r="AB362" s="22" t="str">
        <f>INDEX(Cronograma!AA$5:AA$11,MATCH($B362,Premissas!$A$39:$A$45,0))</f>
        <v/>
      </c>
      <c r="AC362" s="22" t="str">
        <f>INDEX(Cronograma!AB$5:AB$11,MATCH($B362,Premissas!$A$39:$A$45,0))</f>
        <v/>
      </c>
      <c r="AD362" s="22" t="str">
        <f>INDEX(Cronograma!AC$5:AC$11,MATCH($B362,Premissas!$A$39:$A$45,0))</f>
        <v/>
      </c>
      <c r="AE362" s="22" t="str">
        <f>INDEX(Cronograma!AD$5:AD$11,MATCH($B362,Premissas!$A$39:$A$45,0))</f>
        <v/>
      </c>
      <c r="AF362" s="22" t="str">
        <f>INDEX(Cronograma!AE$5:AE$11,MATCH($B362,Premissas!$A$39:$A$45,0))</f>
        <v/>
      </c>
      <c r="AG362" s="22" t="str">
        <f>INDEX(Cronograma!AF$5:AF$11,MATCH($B362,Premissas!$A$39:$A$45,0))</f>
        <v/>
      </c>
      <c r="AH362" s="22" t="str">
        <f>INDEX(Cronograma!AG$5:AG$11,MATCH($B362,Premissas!$A$39:$A$45,0))</f>
        <v/>
      </c>
      <c r="AI362" s="22" t="str">
        <f>INDEX(Cronograma!AH$5:AH$11,MATCH($B362,Premissas!$A$39:$A$45,0))</f>
        <v/>
      </c>
      <c r="AJ362" s="22" t="str">
        <f>INDEX(Cronograma!AI$5:AI$11,MATCH($B362,Premissas!$A$39:$A$45,0))</f>
        <v/>
      </c>
      <c r="AK362" s="22" t="str">
        <f>INDEX(Cronograma!AJ$5:AJ$11,MATCH($B362,Premissas!$A$39:$A$45,0))</f>
        <v/>
      </c>
      <c r="AL362" s="22" t="str">
        <f>INDEX(Cronograma!AK$5:AK$11,MATCH($B362,Premissas!$A$39:$A$45,0))</f>
        <v>A</v>
      </c>
      <c r="AM362" s="22" t="str">
        <f>INDEX(Cronograma!AL$5:AL$11,MATCH($B362,Premissas!$A$39:$A$45,0))</f>
        <v/>
      </c>
      <c r="AN362" s="22" t="str">
        <f>INDEX(Cronograma!AM$5:AM$11,MATCH($B362,Premissas!$A$39:$A$45,0))</f>
        <v/>
      </c>
      <c r="AO362" s="22" t="str">
        <f>INDEX(Cronograma!AN$5:AN$11,MATCH($B362,Premissas!$A$39:$A$45,0))</f>
        <v/>
      </c>
      <c r="AP362" s="22" t="str">
        <f>INDEX(Cronograma!AO$5:AO$11,MATCH($B362,Premissas!$A$39:$A$45,0))</f>
        <v/>
      </c>
      <c r="AQ362" s="22" t="str">
        <f>INDEX(Cronograma!AP$5:AP$11,MATCH($B362,Premissas!$A$39:$A$45,0))</f>
        <v/>
      </c>
      <c r="AR362" s="22" t="str">
        <f>INDEX(Cronograma!AQ$5:AQ$11,MATCH($B362,Premissas!$A$39:$A$45,0))</f>
        <v/>
      </c>
      <c r="AS362" s="22" t="str">
        <f>INDEX(Cronograma!AR$5:AR$11,MATCH($B362,Premissas!$A$39:$A$45,0))</f>
        <v/>
      </c>
      <c r="AT362" s="22" t="str">
        <f>INDEX(Cronograma!AS$5:AS$11,MATCH($B362,Premissas!$A$39:$A$45,0))</f>
        <v/>
      </c>
      <c r="AU362" s="22" t="str">
        <f>INDEX(Cronograma!AT$5:AT$11,MATCH($B362,Premissas!$A$39:$A$45,0))</f>
        <v/>
      </c>
      <c r="AV362" s="22" t="str">
        <f>INDEX(Cronograma!AU$5:AU$11,MATCH($B362,Premissas!$A$39:$A$45,0))</f>
        <v/>
      </c>
      <c r="AW362" s="22" t="str">
        <f>INDEX(Cronograma!AV$5:AV$11,MATCH($B362,Premissas!$A$39:$A$45,0))</f>
        <v/>
      </c>
      <c r="AX362" s="22" t="str">
        <f>INDEX(Cronograma!AW$5:AW$11,MATCH($B362,Premissas!$A$39:$A$45,0))</f>
        <v/>
      </c>
      <c r="AY362" s="22" t="str">
        <f>INDEX(Cronograma!AX$5:AX$11,MATCH($B362,Premissas!$A$39:$A$45,0))</f>
        <v/>
      </c>
      <c r="AZ362" s="22" t="str">
        <f>INDEX(Cronograma!AY$5:AY$11,MATCH($B362,Premissas!$A$39:$A$45,0))</f>
        <v/>
      </c>
      <c r="BA362" s="22" t="str">
        <f>INDEX(Cronograma!AZ$5:AZ$11,MATCH($B362,Premissas!$A$39:$A$45,0))</f>
        <v/>
      </c>
      <c r="BB362" s="22" t="str">
        <f>INDEX(Cronograma!BA$5:BA$11,MATCH($B362,Premissas!$A$39:$A$45,0))</f>
        <v/>
      </c>
    </row>
    <row r="363" spans="1:54" ht="15" customHeight="1" x14ac:dyDescent="0.4">
      <c r="A363" s="15" t="str">
        <f>Frota!$B363&amp;" — "&amp;Frota!$A363</f>
        <v>Roçadeira Manual — 172003</v>
      </c>
      <c r="B363" s="16" t="str">
        <f>Frota!$C363</f>
        <v>Implemento</v>
      </c>
      <c r="C363" s="22" t="str">
        <f>INDEX(Cronograma!B$5:B$11,MATCH($B363,Premissas!$A$39:$A$45,0))</f>
        <v/>
      </c>
      <c r="D363" s="22" t="str">
        <f>INDEX(Cronograma!C$5:C$11,MATCH($B363,Premissas!$A$39:$A$45,0))</f>
        <v/>
      </c>
      <c r="E363" s="22" t="str">
        <f>INDEX(Cronograma!D$5:D$11,MATCH($B363,Premissas!$A$39:$A$45,0))</f>
        <v/>
      </c>
      <c r="F363" s="22" t="str">
        <f>INDEX(Cronograma!E$5:E$11,MATCH($B363,Premissas!$A$39:$A$45,0))</f>
        <v/>
      </c>
      <c r="G363" s="22" t="str">
        <f>INDEX(Cronograma!F$5:F$11,MATCH($B363,Premissas!$A$39:$A$45,0))</f>
        <v/>
      </c>
      <c r="H363" s="22" t="str">
        <f>INDEX(Cronograma!G$5:G$11,MATCH($B363,Premissas!$A$39:$A$45,0))</f>
        <v/>
      </c>
      <c r="I363" s="22" t="str">
        <f>INDEX(Cronograma!H$5:H$11,MATCH($B363,Premissas!$A$39:$A$45,0))</f>
        <v/>
      </c>
      <c r="J363" s="22" t="str">
        <f>INDEX(Cronograma!I$5:I$11,MATCH($B363,Premissas!$A$39:$A$45,0))</f>
        <v>S</v>
      </c>
      <c r="K363" s="22" t="str">
        <f>INDEX(Cronograma!J$5:J$11,MATCH($B363,Premissas!$A$39:$A$45,0))</f>
        <v/>
      </c>
      <c r="L363" s="22" t="str">
        <f>INDEX(Cronograma!K$5:K$11,MATCH($B363,Premissas!$A$39:$A$45,0))</f>
        <v/>
      </c>
      <c r="M363" s="22" t="str">
        <f>INDEX(Cronograma!L$5:L$11,MATCH($B363,Premissas!$A$39:$A$45,0))</f>
        <v/>
      </c>
      <c r="N363" s="22" t="str">
        <f>INDEX(Cronograma!M$5:M$11,MATCH($B363,Premissas!$A$39:$A$45,0))</f>
        <v/>
      </c>
      <c r="O363" s="22" t="str">
        <f>INDEX(Cronograma!N$5:N$11,MATCH($B363,Premissas!$A$39:$A$45,0))</f>
        <v/>
      </c>
      <c r="P363" s="22" t="str">
        <f>INDEX(Cronograma!O$5:O$11,MATCH($B363,Premissas!$A$39:$A$45,0))</f>
        <v/>
      </c>
      <c r="Q363" s="22" t="str">
        <f>INDEX(Cronograma!P$5:P$11,MATCH($B363,Premissas!$A$39:$A$45,0))</f>
        <v/>
      </c>
      <c r="R363" s="22" t="str">
        <f>INDEX(Cronograma!Q$5:Q$11,MATCH($B363,Premissas!$A$39:$A$45,0))</f>
        <v>A</v>
      </c>
      <c r="S363" s="22" t="str">
        <f>INDEX(Cronograma!R$5:R$11,MATCH($B363,Premissas!$A$39:$A$45,0))</f>
        <v/>
      </c>
      <c r="T363" s="22" t="str">
        <f>INDEX(Cronograma!S$5:S$11,MATCH($B363,Premissas!$A$39:$A$45,0))</f>
        <v/>
      </c>
      <c r="U363" s="22" t="str">
        <f>INDEX(Cronograma!T$5:T$11,MATCH($B363,Premissas!$A$39:$A$45,0))</f>
        <v/>
      </c>
      <c r="V363" s="22" t="str">
        <f>INDEX(Cronograma!U$5:U$11,MATCH($B363,Premissas!$A$39:$A$45,0))</f>
        <v/>
      </c>
      <c r="W363" s="22" t="str">
        <f>INDEX(Cronograma!V$5:V$11,MATCH($B363,Premissas!$A$39:$A$45,0))</f>
        <v/>
      </c>
      <c r="X363" s="22" t="str">
        <f>INDEX(Cronograma!W$5:W$11,MATCH($B363,Premissas!$A$39:$A$45,0))</f>
        <v/>
      </c>
      <c r="Y363" s="22" t="str">
        <f>INDEX(Cronograma!X$5:X$11,MATCH($B363,Premissas!$A$39:$A$45,0))</f>
        <v/>
      </c>
      <c r="Z363" s="22" t="str">
        <f>INDEX(Cronograma!Y$5:Y$11,MATCH($B363,Premissas!$A$39:$A$45,0))</f>
        <v>S</v>
      </c>
      <c r="AA363" s="22" t="str">
        <f>INDEX(Cronograma!Z$5:Z$11,MATCH($B363,Premissas!$A$39:$A$45,0))</f>
        <v/>
      </c>
      <c r="AB363" s="22" t="str">
        <f>INDEX(Cronograma!AA$5:AA$11,MATCH($B363,Premissas!$A$39:$A$45,0))</f>
        <v/>
      </c>
      <c r="AC363" s="22" t="str">
        <f>INDEX(Cronograma!AB$5:AB$11,MATCH($B363,Premissas!$A$39:$A$45,0))</f>
        <v/>
      </c>
      <c r="AD363" s="22" t="str">
        <f>INDEX(Cronograma!AC$5:AC$11,MATCH($B363,Premissas!$A$39:$A$45,0))</f>
        <v/>
      </c>
      <c r="AE363" s="22" t="str">
        <f>INDEX(Cronograma!AD$5:AD$11,MATCH($B363,Premissas!$A$39:$A$45,0))</f>
        <v/>
      </c>
      <c r="AF363" s="22" t="str">
        <f>INDEX(Cronograma!AE$5:AE$11,MATCH($B363,Premissas!$A$39:$A$45,0))</f>
        <v/>
      </c>
      <c r="AG363" s="22" t="str">
        <f>INDEX(Cronograma!AF$5:AF$11,MATCH($B363,Premissas!$A$39:$A$45,0))</f>
        <v/>
      </c>
      <c r="AH363" s="22" t="str">
        <f>INDEX(Cronograma!AG$5:AG$11,MATCH($B363,Premissas!$A$39:$A$45,0))</f>
        <v/>
      </c>
      <c r="AI363" s="22" t="str">
        <f>INDEX(Cronograma!AH$5:AH$11,MATCH($B363,Premissas!$A$39:$A$45,0))</f>
        <v/>
      </c>
      <c r="AJ363" s="22" t="str">
        <f>INDEX(Cronograma!AI$5:AI$11,MATCH($B363,Premissas!$A$39:$A$45,0))</f>
        <v/>
      </c>
      <c r="AK363" s="22" t="str">
        <f>INDEX(Cronograma!AJ$5:AJ$11,MATCH($B363,Premissas!$A$39:$A$45,0))</f>
        <v/>
      </c>
      <c r="AL363" s="22" t="str">
        <f>INDEX(Cronograma!AK$5:AK$11,MATCH($B363,Premissas!$A$39:$A$45,0))</f>
        <v>A</v>
      </c>
      <c r="AM363" s="22" t="str">
        <f>INDEX(Cronograma!AL$5:AL$11,MATCH($B363,Premissas!$A$39:$A$45,0))</f>
        <v/>
      </c>
      <c r="AN363" s="22" t="str">
        <f>INDEX(Cronograma!AM$5:AM$11,MATCH($B363,Premissas!$A$39:$A$45,0))</f>
        <v/>
      </c>
      <c r="AO363" s="22" t="str">
        <f>INDEX(Cronograma!AN$5:AN$11,MATCH($B363,Premissas!$A$39:$A$45,0))</f>
        <v/>
      </c>
      <c r="AP363" s="22" t="str">
        <f>INDEX(Cronograma!AO$5:AO$11,MATCH($B363,Premissas!$A$39:$A$45,0))</f>
        <v/>
      </c>
      <c r="AQ363" s="22" t="str">
        <f>INDEX(Cronograma!AP$5:AP$11,MATCH($B363,Premissas!$A$39:$A$45,0))</f>
        <v/>
      </c>
      <c r="AR363" s="22" t="str">
        <f>INDEX(Cronograma!AQ$5:AQ$11,MATCH($B363,Premissas!$A$39:$A$45,0))</f>
        <v/>
      </c>
      <c r="AS363" s="22" t="str">
        <f>INDEX(Cronograma!AR$5:AR$11,MATCH($B363,Premissas!$A$39:$A$45,0))</f>
        <v/>
      </c>
      <c r="AT363" s="22" t="str">
        <f>INDEX(Cronograma!AS$5:AS$11,MATCH($B363,Premissas!$A$39:$A$45,0))</f>
        <v/>
      </c>
      <c r="AU363" s="22" t="str">
        <f>INDEX(Cronograma!AT$5:AT$11,MATCH($B363,Premissas!$A$39:$A$45,0))</f>
        <v/>
      </c>
      <c r="AV363" s="22" t="str">
        <f>INDEX(Cronograma!AU$5:AU$11,MATCH($B363,Premissas!$A$39:$A$45,0))</f>
        <v/>
      </c>
      <c r="AW363" s="22" t="str">
        <f>INDEX(Cronograma!AV$5:AV$11,MATCH($B363,Premissas!$A$39:$A$45,0))</f>
        <v/>
      </c>
      <c r="AX363" s="22" t="str">
        <f>INDEX(Cronograma!AW$5:AW$11,MATCH($B363,Premissas!$A$39:$A$45,0))</f>
        <v/>
      </c>
      <c r="AY363" s="22" t="str">
        <f>INDEX(Cronograma!AX$5:AX$11,MATCH($B363,Premissas!$A$39:$A$45,0))</f>
        <v/>
      </c>
      <c r="AZ363" s="22" t="str">
        <f>INDEX(Cronograma!AY$5:AY$11,MATCH($B363,Premissas!$A$39:$A$45,0))</f>
        <v/>
      </c>
      <c r="BA363" s="22" t="str">
        <f>INDEX(Cronograma!AZ$5:AZ$11,MATCH($B363,Premissas!$A$39:$A$45,0))</f>
        <v/>
      </c>
      <c r="BB363" s="22" t="str">
        <f>INDEX(Cronograma!BA$5:BA$11,MATCH($B363,Premissas!$A$39:$A$45,0))</f>
        <v/>
      </c>
    </row>
    <row r="364" spans="1:54" ht="15" customHeight="1" x14ac:dyDescent="0.4">
      <c r="A364" s="15" t="str">
        <f>Frota!$B364&amp;" — "&amp;Frota!$A364</f>
        <v>Roçadeira Manual — 172004</v>
      </c>
      <c r="B364" s="16" t="str">
        <f>Frota!$C364</f>
        <v>Implemento</v>
      </c>
      <c r="C364" s="22" t="str">
        <f>INDEX(Cronograma!B$5:B$11,MATCH($B364,Premissas!$A$39:$A$45,0))</f>
        <v/>
      </c>
      <c r="D364" s="22" t="str">
        <f>INDEX(Cronograma!C$5:C$11,MATCH($B364,Premissas!$A$39:$A$45,0))</f>
        <v/>
      </c>
      <c r="E364" s="22" t="str">
        <f>INDEX(Cronograma!D$5:D$11,MATCH($B364,Premissas!$A$39:$A$45,0))</f>
        <v/>
      </c>
      <c r="F364" s="22" t="str">
        <f>INDEX(Cronograma!E$5:E$11,MATCH($B364,Premissas!$A$39:$A$45,0))</f>
        <v/>
      </c>
      <c r="G364" s="22" t="str">
        <f>INDEX(Cronograma!F$5:F$11,MATCH($B364,Premissas!$A$39:$A$45,0))</f>
        <v/>
      </c>
      <c r="H364" s="22" t="str">
        <f>INDEX(Cronograma!G$5:G$11,MATCH($B364,Premissas!$A$39:$A$45,0))</f>
        <v/>
      </c>
      <c r="I364" s="22" t="str">
        <f>INDEX(Cronograma!H$5:H$11,MATCH($B364,Premissas!$A$39:$A$45,0))</f>
        <v/>
      </c>
      <c r="J364" s="22" t="str">
        <f>INDEX(Cronograma!I$5:I$11,MATCH($B364,Premissas!$A$39:$A$45,0))</f>
        <v>S</v>
      </c>
      <c r="K364" s="22" t="str">
        <f>INDEX(Cronograma!J$5:J$11,MATCH($B364,Premissas!$A$39:$A$45,0))</f>
        <v/>
      </c>
      <c r="L364" s="22" t="str">
        <f>INDEX(Cronograma!K$5:K$11,MATCH($B364,Premissas!$A$39:$A$45,0))</f>
        <v/>
      </c>
      <c r="M364" s="22" t="str">
        <f>INDEX(Cronograma!L$5:L$11,MATCH($B364,Premissas!$A$39:$A$45,0))</f>
        <v/>
      </c>
      <c r="N364" s="22" t="str">
        <f>INDEX(Cronograma!M$5:M$11,MATCH($B364,Premissas!$A$39:$A$45,0))</f>
        <v/>
      </c>
      <c r="O364" s="22" t="str">
        <f>INDEX(Cronograma!N$5:N$11,MATCH($B364,Premissas!$A$39:$A$45,0))</f>
        <v/>
      </c>
      <c r="P364" s="22" t="str">
        <f>INDEX(Cronograma!O$5:O$11,MATCH($B364,Premissas!$A$39:$A$45,0))</f>
        <v/>
      </c>
      <c r="Q364" s="22" t="str">
        <f>INDEX(Cronograma!P$5:P$11,MATCH($B364,Premissas!$A$39:$A$45,0))</f>
        <v/>
      </c>
      <c r="R364" s="22" t="str">
        <f>INDEX(Cronograma!Q$5:Q$11,MATCH($B364,Premissas!$A$39:$A$45,0))</f>
        <v>A</v>
      </c>
      <c r="S364" s="22" t="str">
        <f>INDEX(Cronograma!R$5:R$11,MATCH($B364,Premissas!$A$39:$A$45,0))</f>
        <v/>
      </c>
      <c r="T364" s="22" t="str">
        <f>INDEX(Cronograma!S$5:S$11,MATCH($B364,Premissas!$A$39:$A$45,0))</f>
        <v/>
      </c>
      <c r="U364" s="22" t="str">
        <f>INDEX(Cronograma!T$5:T$11,MATCH($B364,Premissas!$A$39:$A$45,0))</f>
        <v/>
      </c>
      <c r="V364" s="22" t="str">
        <f>INDEX(Cronograma!U$5:U$11,MATCH($B364,Premissas!$A$39:$A$45,0))</f>
        <v/>
      </c>
      <c r="W364" s="22" t="str">
        <f>INDEX(Cronograma!V$5:V$11,MATCH($B364,Premissas!$A$39:$A$45,0))</f>
        <v/>
      </c>
      <c r="X364" s="22" t="str">
        <f>INDEX(Cronograma!W$5:W$11,MATCH($B364,Premissas!$A$39:$A$45,0))</f>
        <v/>
      </c>
      <c r="Y364" s="22" t="str">
        <f>INDEX(Cronograma!X$5:X$11,MATCH($B364,Premissas!$A$39:$A$45,0))</f>
        <v/>
      </c>
      <c r="Z364" s="22" t="str">
        <f>INDEX(Cronograma!Y$5:Y$11,MATCH($B364,Premissas!$A$39:$A$45,0))</f>
        <v>S</v>
      </c>
      <c r="AA364" s="22" t="str">
        <f>INDEX(Cronograma!Z$5:Z$11,MATCH($B364,Premissas!$A$39:$A$45,0))</f>
        <v/>
      </c>
      <c r="AB364" s="22" t="str">
        <f>INDEX(Cronograma!AA$5:AA$11,MATCH($B364,Premissas!$A$39:$A$45,0))</f>
        <v/>
      </c>
      <c r="AC364" s="22" t="str">
        <f>INDEX(Cronograma!AB$5:AB$11,MATCH($B364,Premissas!$A$39:$A$45,0))</f>
        <v/>
      </c>
      <c r="AD364" s="22" t="str">
        <f>INDEX(Cronograma!AC$5:AC$11,MATCH($B364,Premissas!$A$39:$A$45,0))</f>
        <v/>
      </c>
      <c r="AE364" s="22" t="str">
        <f>INDEX(Cronograma!AD$5:AD$11,MATCH($B364,Premissas!$A$39:$A$45,0))</f>
        <v/>
      </c>
      <c r="AF364" s="22" t="str">
        <f>INDEX(Cronograma!AE$5:AE$11,MATCH($B364,Premissas!$A$39:$A$45,0))</f>
        <v/>
      </c>
      <c r="AG364" s="22" t="str">
        <f>INDEX(Cronograma!AF$5:AF$11,MATCH($B364,Premissas!$A$39:$A$45,0))</f>
        <v/>
      </c>
      <c r="AH364" s="22" t="str">
        <f>INDEX(Cronograma!AG$5:AG$11,MATCH($B364,Premissas!$A$39:$A$45,0))</f>
        <v/>
      </c>
      <c r="AI364" s="22" t="str">
        <f>INDEX(Cronograma!AH$5:AH$11,MATCH($B364,Premissas!$A$39:$A$45,0))</f>
        <v/>
      </c>
      <c r="AJ364" s="22" t="str">
        <f>INDEX(Cronograma!AI$5:AI$11,MATCH($B364,Premissas!$A$39:$A$45,0))</f>
        <v/>
      </c>
      <c r="AK364" s="22" t="str">
        <f>INDEX(Cronograma!AJ$5:AJ$11,MATCH($B364,Premissas!$A$39:$A$45,0))</f>
        <v/>
      </c>
      <c r="AL364" s="22" t="str">
        <f>INDEX(Cronograma!AK$5:AK$11,MATCH($B364,Premissas!$A$39:$A$45,0))</f>
        <v>A</v>
      </c>
      <c r="AM364" s="22" t="str">
        <f>INDEX(Cronograma!AL$5:AL$11,MATCH($B364,Premissas!$A$39:$A$45,0))</f>
        <v/>
      </c>
      <c r="AN364" s="22" t="str">
        <f>INDEX(Cronograma!AM$5:AM$11,MATCH($B364,Premissas!$A$39:$A$45,0))</f>
        <v/>
      </c>
      <c r="AO364" s="22" t="str">
        <f>INDEX(Cronograma!AN$5:AN$11,MATCH($B364,Premissas!$A$39:$A$45,0))</f>
        <v/>
      </c>
      <c r="AP364" s="22" t="str">
        <f>INDEX(Cronograma!AO$5:AO$11,MATCH($B364,Premissas!$A$39:$A$45,0))</f>
        <v/>
      </c>
      <c r="AQ364" s="22" t="str">
        <f>INDEX(Cronograma!AP$5:AP$11,MATCH($B364,Premissas!$A$39:$A$45,0))</f>
        <v/>
      </c>
      <c r="AR364" s="22" t="str">
        <f>INDEX(Cronograma!AQ$5:AQ$11,MATCH($B364,Premissas!$A$39:$A$45,0))</f>
        <v/>
      </c>
      <c r="AS364" s="22" t="str">
        <f>INDEX(Cronograma!AR$5:AR$11,MATCH($B364,Premissas!$A$39:$A$45,0))</f>
        <v/>
      </c>
      <c r="AT364" s="22" t="str">
        <f>INDEX(Cronograma!AS$5:AS$11,MATCH($B364,Premissas!$A$39:$A$45,0))</f>
        <v/>
      </c>
      <c r="AU364" s="22" t="str">
        <f>INDEX(Cronograma!AT$5:AT$11,MATCH($B364,Premissas!$A$39:$A$45,0))</f>
        <v/>
      </c>
      <c r="AV364" s="22" t="str">
        <f>INDEX(Cronograma!AU$5:AU$11,MATCH($B364,Premissas!$A$39:$A$45,0))</f>
        <v/>
      </c>
      <c r="AW364" s="22" t="str">
        <f>INDEX(Cronograma!AV$5:AV$11,MATCH($B364,Premissas!$A$39:$A$45,0))</f>
        <v/>
      </c>
      <c r="AX364" s="22" t="str">
        <f>INDEX(Cronograma!AW$5:AW$11,MATCH($B364,Premissas!$A$39:$A$45,0))</f>
        <v/>
      </c>
      <c r="AY364" s="22" t="str">
        <f>INDEX(Cronograma!AX$5:AX$11,MATCH($B364,Premissas!$A$39:$A$45,0))</f>
        <v/>
      </c>
      <c r="AZ364" s="22" t="str">
        <f>INDEX(Cronograma!AY$5:AY$11,MATCH($B364,Premissas!$A$39:$A$45,0))</f>
        <v/>
      </c>
      <c r="BA364" s="22" t="str">
        <f>INDEX(Cronograma!AZ$5:AZ$11,MATCH($B364,Premissas!$A$39:$A$45,0))</f>
        <v/>
      </c>
      <c r="BB364" s="22" t="str">
        <f>INDEX(Cronograma!BA$5:BA$11,MATCH($B364,Premissas!$A$39:$A$45,0))</f>
        <v/>
      </c>
    </row>
    <row r="365" spans="1:54" ht="15" customHeight="1" x14ac:dyDescent="0.4">
      <c r="A365" s="15" t="str">
        <f>Frota!$B365&amp;" — "&amp;Frota!$A365</f>
        <v>Roçadeira Manual — 172006</v>
      </c>
      <c r="B365" s="16" t="str">
        <f>Frota!$C365</f>
        <v>Implemento</v>
      </c>
      <c r="C365" s="22" t="str">
        <f>INDEX(Cronograma!B$5:B$11,MATCH($B365,Premissas!$A$39:$A$45,0))</f>
        <v/>
      </c>
      <c r="D365" s="22" t="str">
        <f>INDEX(Cronograma!C$5:C$11,MATCH($B365,Premissas!$A$39:$A$45,0))</f>
        <v/>
      </c>
      <c r="E365" s="22" t="str">
        <f>INDEX(Cronograma!D$5:D$11,MATCH($B365,Premissas!$A$39:$A$45,0))</f>
        <v/>
      </c>
      <c r="F365" s="22" t="str">
        <f>INDEX(Cronograma!E$5:E$11,MATCH($B365,Premissas!$A$39:$A$45,0))</f>
        <v/>
      </c>
      <c r="G365" s="22" t="str">
        <f>INDEX(Cronograma!F$5:F$11,MATCH($B365,Premissas!$A$39:$A$45,0))</f>
        <v/>
      </c>
      <c r="H365" s="22" t="str">
        <f>INDEX(Cronograma!G$5:G$11,MATCH($B365,Premissas!$A$39:$A$45,0))</f>
        <v/>
      </c>
      <c r="I365" s="22" t="str">
        <f>INDEX(Cronograma!H$5:H$11,MATCH($B365,Premissas!$A$39:$A$45,0))</f>
        <v/>
      </c>
      <c r="J365" s="22" t="str">
        <f>INDEX(Cronograma!I$5:I$11,MATCH($B365,Premissas!$A$39:$A$45,0))</f>
        <v>S</v>
      </c>
      <c r="K365" s="22" t="str">
        <f>INDEX(Cronograma!J$5:J$11,MATCH($B365,Premissas!$A$39:$A$45,0))</f>
        <v/>
      </c>
      <c r="L365" s="22" t="str">
        <f>INDEX(Cronograma!K$5:K$11,MATCH($B365,Premissas!$A$39:$A$45,0))</f>
        <v/>
      </c>
      <c r="M365" s="22" t="str">
        <f>INDEX(Cronograma!L$5:L$11,MATCH($B365,Premissas!$A$39:$A$45,0))</f>
        <v/>
      </c>
      <c r="N365" s="22" t="str">
        <f>INDEX(Cronograma!M$5:M$11,MATCH($B365,Premissas!$A$39:$A$45,0))</f>
        <v/>
      </c>
      <c r="O365" s="22" t="str">
        <f>INDEX(Cronograma!N$5:N$11,MATCH($B365,Premissas!$A$39:$A$45,0))</f>
        <v/>
      </c>
      <c r="P365" s="22" t="str">
        <f>INDEX(Cronograma!O$5:O$11,MATCH($B365,Premissas!$A$39:$A$45,0))</f>
        <v/>
      </c>
      <c r="Q365" s="22" t="str">
        <f>INDEX(Cronograma!P$5:P$11,MATCH($B365,Premissas!$A$39:$A$45,0))</f>
        <v/>
      </c>
      <c r="R365" s="22" t="str">
        <f>INDEX(Cronograma!Q$5:Q$11,MATCH($B365,Premissas!$A$39:$A$45,0))</f>
        <v>A</v>
      </c>
      <c r="S365" s="22" t="str">
        <f>INDEX(Cronograma!R$5:R$11,MATCH($B365,Premissas!$A$39:$A$45,0))</f>
        <v/>
      </c>
      <c r="T365" s="22" t="str">
        <f>INDEX(Cronograma!S$5:S$11,MATCH($B365,Premissas!$A$39:$A$45,0))</f>
        <v/>
      </c>
      <c r="U365" s="22" t="str">
        <f>INDEX(Cronograma!T$5:T$11,MATCH($B365,Premissas!$A$39:$A$45,0))</f>
        <v/>
      </c>
      <c r="V365" s="22" t="str">
        <f>INDEX(Cronograma!U$5:U$11,MATCH($B365,Premissas!$A$39:$A$45,0))</f>
        <v/>
      </c>
      <c r="W365" s="22" t="str">
        <f>INDEX(Cronograma!V$5:V$11,MATCH($B365,Premissas!$A$39:$A$45,0))</f>
        <v/>
      </c>
      <c r="X365" s="22" t="str">
        <f>INDEX(Cronograma!W$5:W$11,MATCH($B365,Premissas!$A$39:$A$45,0))</f>
        <v/>
      </c>
      <c r="Y365" s="22" t="str">
        <f>INDEX(Cronograma!X$5:X$11,MATCH($B365,Premissas!$A$39:$A$45,0))</f>
        <v/>
      </c>
      <c r="Z365" s="22" t="str">
        <f>INDEX(Cronograma!Y$5:Y$11,MATCH($B365,Premissas!$A$39:$A$45,0))</f>
        <v>S</v>
      </c>
      <c r="AA365" s="22" t="str">
        <f>INDEX(Cronograma!Z$5:Z$11,MATCH($B365,Premissas!$A$39:$A$45,0))</f>
        <v/>
      </c>
      <c r="AB365" s="22" t="str">
        <f>INDEX(Cronograma!AA$5:AA$11,MATCH($B365,Premissas!$A$39:$A$45,0))</f>
        <v/>
      </c>
      <c r="AC365" s="22" t="str">
        <f>INDEX(Cronograma!AB$5:AB$11,MATCH($B365,Premissas!$A$39:$A$45,0))</f>
        <v/>
      </c>
      <c r="AD365" s="22" t="str">
        <f>INDEX(Cronograma!AC$5:AC$11,MATCH($B365,Premissas!$A$39:$A$45,0))</f>
        <v/>
      </c>
      <c r="AE365" s="22" t="str">
        <f>INDEX(Cronograma!AD$5:AD$11,MATCH($B365,Premissas!$A$39:$A$45,0))</f>
        <v/>
      </c>
      <c r="AF365" s="22" t="str">
        <f>INDEX(Cronograma!AE$5:AE$11,MATCH($B365,Premissas!$A$39:$A$45,0))</f>
        <v/>
      </c>
      <c r="AG365" s="22" t="str">
        <f>INDEX(Cronograma!AF$5:AF$11,MATCH($B365,Premissas!$A$39:$A$45,0))</f>
        <v/>
      </c>
      <c r="AH365" s="22" t="str">
        <f>INDEX(Cronograma!AG$5:AG$11,MATCH($B365,Premissas!$A$39:$A$45,0))</f>
        <v/>
      </c>
      <c r="AI365" s="22" t="str">
        <f>INDEX(Cronograma!AH$5:AH$11,MATCH($B365,Premissas!$A$39:$A$45,0))</f>
        <v/>
      </c>
      <c r="AJ365" s="22" t="str">
        <f>INDEX(Cronograma!AI$5:AI$11,MATCH($B365,Premissas!$A$39:$A$45,0))</f>
        <v/>
      </c>
      <c r="AK365" s="22" t="str">
        <f>INDEX(Cronograma!AJ$5:AJ$11,MATCH($B365,Premissas!$A$39:$A$45,0))</f>
        <v/>
      </c>
      <c r="AL365" s="22" t="str">
        <f>INDEX(Cronograma!AK$5:AK$11,MATCH($B365,Premissas!$A$39:$A$45,0))</f>
        <v>A</v>
      </c>
      <c r="AM365" s="22" t="str">
        <f>INDEX(Cronograma!AL$5:AL$11,MATCH($B365,Premissas!$A$39:$A$45,0))</f>
        <v/>
      </c>
      <c r="AN365" s="22" t="str">
        <f>INDEX(Cronograma!AM$5:AM$11,MATCH($B365,Premissas!$A$39:$A$45,0))</f>
        <v/>
      </c>
      <c r="AO365" s="22" t="str">
        <f>INDEX(Cronograma!AN$5:AN$11,MATCH($B365,Premissas!$A$39:$A$45,0))</f>
        <v/>
      </c>
      <c r="AP365" s="22" t="str">
        <f>INDEX(Cronograma!AO$5:AO$11,MATCH($B365,Premissas!$A$39:$A$45,0))</f>
        <v/>
      </c>
      <c r="AQ365" s="22" t="str">
        <f>INDEX(Cronograma!AP$5:AP$11,MATCH($B365,Premissas!$A$39:$A$45,0))</f>
        <v/>
      </c>
      <c r="AR365" s="22" t="str">
        <f>INDEX(Cronograma!AQ$5:AQ$11,MATCH($B365,Premissas!$A$39:$A$45,0))</f>
        <v/>
      </c>
      <c r="AS365" s="22" t="str">
        <f>INDEX(Cronograma!AR$5:AR$11,MATCH($B365,Premissas!$A$39:$A$45,0))</f>
        <v/>
      </c>
      <c r="AT365" s="22" t="str">
        <f>INDEX(Cronograma!AS$5:AS$11,MATCH($B365,Premissas!$A$39:$A$45,0))</f>
        <v/>
      </c>
      <c r="AU365" s="22" t="str">
        <f>INDEX(Cronograma!AT$5:AT$11,MATCH($B365,Premissas!$A$39:$A$45,0))</f>
        <v/>
      </c>
      <c r="AV365" s="22" t="str">
        <f>INDEX(Cronograma!AU$5:AU$11,MATCH($B365,Premissas!$A$39:$A$45,0))</f>
        <v/>
      </c>
      <c r="AW365" s="22" t="str">
        <f>INDEX(Cronograma!AV$5:AV$11,MATCH($B365,Premissas!$A$39:$A$45,0))</f>
        <v/>
      </c>
      <c r="AX365" s="22" t="str">
        <f>INDEX(Cronograma!AW$5:AW$11,MATCH($B365,Premissas!$A$39:$A$45,0))</f>
        <v/>
      </c>
      <c r="AY365" s="22" t="str">
        <f>INDEX(Cronograma!AX$5:AX$11,MATCH($B365,Premissas!$A$39:$A$45,0))</f>
        <v/>
      </c>
      <c r="AZ365" s="22" t="str">
        <f>INDEX(Cronograma!AY$5:AY$11,MATCH($B365,Premissas!$A$39:$A$45,0))</f>
        <v/>
      </c>
      <c r="BA365" s="22" t="str">
        <f>INDEX(Cronograma!AZ$5:AZ$11,MATCH($B365,Premissas!$A$39:$A$45,0))</f>
        <v/>
      </c>
      <c r="BB365" s="22" t="str">
        <f>INDEX(Cronograma!BA$5:BA$11,MATCH($B365,Premissas!$A$39:$A$45,0))</f>
        <v/>
      </c>
    </row>
    <row r="366" spans="1:54" ht="15" customHeight="1" x14ac:dyDescent="0.4">
      <c r="A366" s="15" t="str">
        <f>Frota!$B366&amp;" — "&amp;Frota!$A366</f>
        <v>Roçadeira Manual — 172007</v>
      </c>
      <c r="B366" s="16" t="str">
        <f>Frota!$C366</f>
        <v>Implemento</v>
      </c>
      <c r="C366" s="22" t="str">
        <f>INDEX(Cronograma!B$5:B$11,MATCH($B366,Premissas!$A$39:$A$45,0))</f>
        <v/>
      </c>
      <c r="D366" s="22" t="str">
        <f>INDEX(Cronograma!C$5:C$11,MATCH($B366,Premissas!$A$39:$A$45,0))</f>
        <v/>
      </c>
      <c r="E366" s="22" t="str">
        <f>INDEX(Cronograma!D$5:D$11,MATCH($B366,Premissas!$A$39:$A$45,0))</f>
        <v/>
      </c>
      <c r="F366" s="22" t="str">
        <f>INDEX(Cronograma!E$5:E$11,MATCH($B366,Premissas!$A$39:$A$45,0))</f>
        <v/>
      </c>
      <c r="G366" s="22" t="str">
        <f>INDEX(Cronograma!F$5:F$11,MATCH($B366,Premissas!$A$39:$A$45,0))</f>
        <v/>
      </c>
      <c r="H366" s="22" t="str">
        <f>INDEX(Cronograma!G$5:G$11,MATCH($B366,Premissas!$A$39:$A$45,0))</f>
        <v/>
      </c>
      <c r="I366" s="22" t="str">
        <f>INDEX(Cronograma!H$5:H$11,MATCH($B366,Premissas!$A$39:$A$45,0))</f>
        <v/>
      </c>
      <c r="J366" s="22" t="str">
        <f>INDEX(Cronograma!I$5:I$11,MATCH($B366,Premissas!$A$39:$A$45,0))</f>
        <v>S</v>
      </c>
      <c r="K366" s="22" t="str">
        <f>INDEX(Cronograma!J$5:J$11,MATCH($B366,Premissas!$A$39:$A$45,0))</f>
        <v/>
      </c>
      <c r="L366" s="22" t="str">
        <f>INDEX(Cronograma!K$5:K$11,MATCH($B366,Premissas!$A$39:$A$45,0))</f>
        <v/>
      </c>
      <c r="M366" s="22" t="str">
        <f>INDEX(Cronograma!L$5:L$11,MATCH($B366,Premissas!$A$39:$A$45,0))</f>
        <v/>
      </c>
      <c r="N366" s="22" t="str">
        <f>INDEX(Cronograma!M$5:M$11,MATCH($B366,Premissas!$A$39:$A$45,0))</f>
        <v/>
      </c>
      <c r="O366" s="22" t="str">
        <f>INDEX(Cronograma!N$5:N$11,MATCH($B366,Premissas!$A$39:$A$45,0))</f>
        <v/>
      </c>
      <c r="P366" s="22" t="str">
        <f>INDEX(Cronograma!O$5:O$11,MATCH($B366,Premissas!$A$39:$A$45,0))</f>
        <v/>
      </c>
      <c r="Q366" s="22" t="str">
        <f>INDEX(Cronograma!P$5:P$11,MATCH($B366,Premissas!$A$39:$A$45,0))</f>
        <v/>
      </c>
      <c r="R366" s="22" t="str">
        <f>INDEX(Cronograma!Q$5:Q$11,MATCH($B366,Premissas!$A$39:$A$45,0))</f>
        <v>A</v>
      </c>
      <c r="S366" s="22" t="str">
        <f>INDEX(Cronograma!R$5:R$11,MATCH($B366,Premissas!$A$39:$A$45,0))</f>
        <v/>
      </c>
      <c r="T366" s="22" t="str">
        <f>INDEX(Cronograma!S$5:S$11,MATCH($B366,Premissas!$A$39:$A$45,0))</f>
        <v/>
      </c>
      <c r="U366" s="22" t="str">
        <f>INDEX(Cronograma!T$5:T$11,MATCH($B366,Premissas!$A$39:$A$45,0))</f>
        <v/>
      </c>
      <c r="V366" s="22" t="str">
        <f>INDEX(Cronograma!U$5:U$11,MATCH($B366,Premissas!$A$39:$A$45,0))</f>
        <v/>
      </c>
      <c r="W366" s="22" t="str">
        <f>INDEX(Cronograma!V$5:V$11,MATCH($B366,Premissas!$A$39:$A$45,0))</f>
        <v/>
      </c>
      <c r="X366" s="22" t="str">
        <f>INDEX(Cronograma!W$5:W$11,MATCH($B366,Premissas!$A$39:$A$45,0))</f>
        <v/>
      </c>
      <c r="Y366" s="22" t="str">
        <f>INDEX(Cronograma!X$5:X$11,MATCH($B366,Premissas!$A$39:$A$45,0))</f>
        <v/>
      </c>
      <c r="Z366" s="22" t="str">
        <f>INDEX(Cronograma!Y$5:Y$11,MATCH($B366,Premissas!$A$39:$A$45,0))</f>
        <v>S</v>
      </c>
      <c r="AA366" s="22" t="str">
        <f>INDEX(Cronograma!Z$5:Z$11,MATCH($B366,Premissas!$A$39:$A$45,0))</f>
        <v/>
      </c>
      <c r="AB366" s="22" t="str">
        <f>INDEX(Cronograma!AA$5:AA$11,MATCH($B366,Premissas!$A$39:$A$45,0))</f>
        <v/>
      </c>
      <c r="AC366" s="22" t="str">
        <f>INDEX(Cronograma!AB$5:AB$11,MATCH($B366,Premissas!$A$39:$A$45,0))</f>
        <v/>
      </c>
      <c r="AD366" s="22" t="str">
        <f>INDEX(Cronograma!AC$5:AC$11,MATCH($B366,Premissas!$A$39:$A$45,0))</f>
        <v/>
      </c>
      <c r="AE366" s="22" t="str">
        <f>INDEX(Cronograma!AD$5:AD$11,MATCH($B366,Premissas!$A$39:$A$45,0))</f>
        <v/>
      </c>
      <c r="AF366" s="22" t="str">
        <f>INDEX(Cronograma!AE$5:AE$11,MATCH($B366,Premissas!$A$39:$A$45,0))</f>
        <v/>
      </c>
      <c r="AG366" s="22" t="str">
        <f>INDEX(Cronograma!AF$5:AF$11,MATCH($B366,Premissas!$A$39:$A$45,0))</f>
        <v/>
      </c>
      <c r="AH366" s="22" t="str">
        <f>INDEX(Cronograma!AG$5:AG$11,MATCH($B366,Premissas!$A$39:$A$45,0))</f>
        <v/>
      </c>
      <c r="AI366" s="22" t="str">
        <f>INDEX(Cronograma!AH$5:AH$11,MATCH($B366,Premissas!$A$39:$A$45,0))</f>
        <v/>
      </c>
      <c r="AJ366" s="22" t="str">
        <f>INDEX(Cronograma!AI$5:AI$11,MATCH($B366,Premissas!$A$39:$A$45,0))</f>
        <v/>
      </c>
      <c r="AK366" s="22" t="str">
        <f>INDEX(Cronograma!AJ$5:AJ$11,MATCH($B366,Premissas!$A$39:$A$45,0))</f>
        <v/>
      </c>
      <c r="AL366" s="22" t="str">
        <f>INDEX(Cronograma!AK$5:AK$11,MATCH($B366,Premissas!$A$39:$A$45,0))</f>
        <v>A</v>
      </c>
      <c r="AM366" s="22" t="str">
        <f>INDEX(Cronograma!AL$5:AL$11,MATCH($B366,Premissas!$A$39:$A$45,0))</f>
        <v/>
      </c>
      <c r="AN366" s="22" t="str">
        <f>INDEX(Cronograma!AM$5:AM$11,MATCH($B366,Premissas!$A$39:$A$45,0))</f>
        <v/>
      </c>
      <c r="AO366" s="22" t="str">
        <f>INDEX(Cronograma!AN$5:AN$11,MATCH($B366,Premissas!$A$39:$A$45,0))</f>
        <v/>
      </c>
      <c r="AP366" s="22" t="str">
        <f>INDEX(Cronograma!AO$5:AO$11,MATCH($B366,Premissas!$A$39:$A$45,0))</f>
        <v/>
      </c>
      <c r="AQ366" s="22" t="str">
        <f>INDEX(Cronograma!AP$5:AP$11,MATCH($B366,Premissas!$A$39:$A$45,0))</f>
        <v/>
      </c>
      <c r="AR366" s="22" t="str">
        <f>INDEX(Cronograma!AQ$5:AQ$11,MATCH($B366,Premissas!$A$39:$A$45,0))</f>
        <v/>
      </c>
      <c r="AS366" s="22" t="str">
        <f>INDEX(Cronograma!AR$5:AR$11,MATCH($B366,Premissas!$A$39:$A$45,0))</f>
        <v/>
      </c>
      <c r="AT366" s="22" t="str">
        <f>INDEX(Cronograma!AS$5:AS$11,MATCH($B366,Premissas!$A$39:$A$45,0))</f>
        <v/>
      </c>
      <c r="AU366" s="22" t="str">
        <f>INDEX(Cronograma!AT$5:AT$11,MATCH($B366,Premissas!$A$39:$A$45,0))</f>
        <v/>
      </c>
      <c r="AV366" s="22" t="str">
        <f>INDEX(Cronograma!AU$5:AU$11,MATCH($B366,Premissas!$A$39:$A$45,0))</f>
        <v/>
      </c>
      <c r="AW366" s="22" t="str">
        <f>INDEX(Cronograma!AV$5:AV$11,MATCH($B366,Premissas!$A$39:$A$45,0))</f>
        <v/>
      </c>
      <c r="AX366" s="22" t="str">
        <f>INDEX(Cronograma!AW$5:AW$11,MATCH($B366,Premissas!$A$39:$A$45,0))</f>
        <v/>
      </c>
      <c r="AY366" s="22" t="str">
        <f>INDEX(Cronograma!AX$5:AX$11,MATCH($B366,Premissas!$A$39:$A$45,0))</f>
        <v/>
      </c>
      <c r="AZ366" s="22" t="str">
        <f>INDEX(Cronograma!AY$5:AY$11,MATCH($B366,Premissas!$A$39:$A$45,0))</f>
        <v/>
      </c>
      <c r="BA366" s="22" t="str">
        <f>INDEX(Cronograma!AZ$5:AZ$11,MATCH($B366,Premissas!$A$39:$A$45,0))</f>
        <v/>
      </c>
      <c r="BB366" s="22" t="str">
        <f>INDEX(Cronograma!BA$5:BA$11,MATCH($B366,Premissas!$A$39:$A$45,0))</f>
        <v/>
      </c>
    </row>
    <row r="367" spans="1:54" ht="15" customHeight="1" x14ac:dyDescent="0.4">
      <c r="A367" s="15" t="str">
        <f>Frota!$B367&amp;" — "&amp;Frota!$A367</f>
        <v>Roçadeira Manual — 172008</v>
      </c>
      <c r="B367" s="16" t="str">
        <f>Frota!$C367</f>
        <v>Implemento</v>
      </c>
      <c r="C367" s="22" t="str">
        <f>INDEX(Cronograma!B$5:B$11,MATCH($B367,Premissas!$A$39:$A$45,0))</f>
        <v/>
      </c>
      <c r="D367" s="22" t="str">
        <f>INDEX(Cronograma!C$5:C$11,MATCH($B367,Premissas!$A$39:$A$45,0))</f>
        <v/>
      </c>
      <c r="E367" s="22" t="str">
        <f>INDEX(Cronograma!D$5:D$11,MATCH($B367,Premissas!$A$39:$A$45,0))</f>
        <v/>
      </c>
      <c r="F367" s="22" t="str">
        <f>INDEX(Cronograma!E$5:E$11,MATCH($B367,Premissas!$A$39:$A$45,0))</f>
        <v/>
      </c>
      <c r="G367" s="22" t="str">
        <f>INDEX(Cronograma!F$5:F$11,MATCH($B367,Premissas!$A$39:$A$45,0))</f>
        <v/>
      </c>
      <c r="H367" s="22" t="str">
        <f>INDEX(Cronograma!G$5:G$11,MATCH($B367,Premissas!$A$39:$A$45,0))</f>
        <v/>
      </c>
      <c r="I367" s="22" t="str">
        <f>INDEX(Cronograma!H$5:H$11,MATCH($B367,Premissas!$A$39:$A$45,0))</f>
        <v/>
      </c>
      <c r="J367" s="22" t="str">
        <f>INDEX(Cronograma!I$5:I$11,MATCH($B367,Premissas!$A$39:$A$45,0))</f>
        <v>S</v>
      </c>
      <c r="K367" s="22" t="str">
        <f>INDEX(Cronograma!J$5:J$11,MATCH($B367,Premissas!$A$39:$A$45,0))</f>
        <v/>
      </c>
      <c r="L367" s="22" t="str">
        <f>INDEX(Cronograma!K$5:K$11,MATCH($B367,Premissas!$A$39:$A$45,0))</f>
        <v/>
      </c>
      <c r="M367" s="22" t="str">
        <f>INDEX(Cronograma!L$5:L$11,MATCH($B367,Premissas!$A$39:$A$45,0))</f>
        <v/>
      </c>
      <c r="N367" s="22" t="str">
        <f>INDEX(Cronograma!M$5:M$11,MATCH($B367,Premissas!$A$39:$A$45,0))</f>
        <v/>
      </c>
      <c r="O367" s="22" t="str">
        <f>INDEX(Cronograma!N$5:N$11,MATCH($B367,Premissas!$A$39:$A$45,0))</f>
        <v/>
      </c>
      <c r="P367" s="22" t="str">
        <f>INDEX(Cronograma!O$5:O$11,MATCH($B367,Premissas!$A$39:$A$45,0))</f>
        <v/>
      </c>
      <c r="Q367" s="22" t="str">
        <f>INDEX(Cronograma!P$5:P$11,MATCH($B367,Premissas!$A$39:$A$45,0))</f>
        <v/>
      </c>
      <c r="R367" s="22" t="str">
        <f>INDEX(Cronograma!Q$5:Q$11,MATCH($B367,Premissas!$A$39:$A$45,0))</f>
        <v>A</v>
      </c>
      <c r="S367" s="22" t="str">
        <f>INDEX(Cronograma!R$5:R$11,MATCH($B367,Premissas!$A$39:$A$45,0))</f>
        <v/>
      </c>
      <c r="T367" s="22" t="str">
        <f>INDEX(Cronograma!S$5:S$11,MATCH($B367,Premissas!$A$39:$A$45,0))</f>
        <v/>
      </c>
      <c r="U367" s="22" t="str">
        <f>INDEX(Cronograma!T$5:T$11,MATCH($B367,Premissas!$A$39:$A$45,0))</f>
        <v/>
      </c>
      <c r="V367" s="22" t="str">
        <f>INDEX(Cronograma!U$5:U$11,MATCH($B367,Premissas!$A$39:$A$45,0))</f>
        <v/>
      </c>
      <c r="W367" s="22" t="str">
        <f>INDEX(Cronograma!V$5:V$11,MATCH($B367,Premissas!$A$39:$A$45,0))</f>
        <v/>
      </c>
      <c r="X367" s="22" t="str">
        <f>INDEX(Cronograma!W$5:W$11,MATCH($B367,Premissas!$A$39:$A$45,0))</f>
        <v/>
      </c>
      <c r="Y367" s="22" t="str">
        <f>INDEX(Cronograma!X$5:X$11,MATCH($B367,Premissas!$A$39:$A$45,0))</f>
        <v/>
      </c>
      <c r="Z367" s="22" t="str">
        <f>INDEX(Cronograma!Y$5:Y$11,MATCH($B367,Premissas!$A$39:$A$45,0))</f>
        <v>S</v>
      </c>
      <c r="AA367" s="22" t="str">
        <f>INDEX(Cronograma!Z$5:Z$11,MATCH($B367,Premissas!$A$39:$A$45,0))</f>
        <v/>
      </c>
      <c r="AB367" s="22" t="str">
        <f>INDEX(Cronograma!AA$5:AA$11,MATCH($B367,Premissas!$A$39:$A$45,0))</f>
        <v/>
      </c>
      <c r="AC367" s="22" t="str">
        <f>INDEX(Cronograma!AB$5:AB$11,MATCH($B367,Premissas!$A$39:$A$45,0))</f>
        <v/>
      </c>
      <c r="AD367" s="22" t="str">
        <f>INDEX(Cronograma!AC$5:AC$11,MATCH($B367,Premissas!$A$39:$A$45,0))</f>
        <v/>
      </c>
      <c r="AE367" s="22" t="str">
        <f>INDEX(Cronograma!AD$5:AD$11,MATCH($B367,Premissas!$A$39:$A$45,0))</f>
        <v/>
      </c>
      <c r="AF367" s="22" t="str">
        <f>INDEX(Cronograma!AE$5:AE$11,MATCH($B367,Premissas!$A$39:$A$45,0))</f>
        <v/>
      </c>
      <c r="AG367" s="22" t="str">
        <f>INDEX(Cronograma!AF$5:AF$11,MATCH($B367,Premissas!$A$39:$A$45,0))</f>
        <v/>
      </c>
      <c r="AH367" s="22" t="str">
        <f>INDEX(Cronograma!AG$5:AG$11,MATCH($B367,Premissas!$A$39:$A$45,0))</f>
        <v/>
      </c>
      <c r="AI367" s="22" t="str">
        <f>INDEX(Cronograma!AH$5:AH$11,MATCH($B367,Premissas!$A$39:$A$45,0))</f>
        <v/>
      </c>
      <c r="AJ367" s="22" t="str">
        <f>INDEX(Cronograma!AI$5:AI$11,MATCH($B367,Premissas!$A$39:$A$45,0))</f>
        <v/>
      </c>
      <c r="AK367" s="22" t="str">
        <f>INDEX(Cronograma!AJ$5:AJ$11,MATCH($B367,Premissas!$A$39:$A$45,0))</f>
        <v/>
      </c>
      <c r="AL367" s="22" t="str">
        <f>INDEX(Cronograma!AK$5:AK$11,MATCH($B367,Premissas!$A$39:$A$45,0))</f>
        <v>A</v>
      </c>
      <c r="AM367" s="22" t="str">
        <f>INDEX(Cronograma!AL$5:AL$11,MATCH($B367,Premissas!$A$39:$A$45,0))</f>
        <v/>
      </c>
      <c r="AN367" s="22" t="str">
        <f>INDEX(Cronograma!AM$5:AM$11,MATCH($B367,Premissas!$A$39:$A$45,0))</f>
        <v/>
      </c>
      <c r="AO367" s="22" t="str">
        <f>INDEX(Cronograma!AN$5:AN$11,MATCH($B367,Premissas!$A$39:$A$45,0))</f>
        <v/>
      </c>
      <c r="AP367" s="22" t="str">
        <f>INDEX(Cronograma!AO$5:AO$11,MATCH($B367,Premissas!$A$39:$A$45,0))</f>
        <v/>
      </c>
      <c r="AQ367" s="22" t="str">
        <f>INDEX(Cronograma!AP$5:AP$11,MATCH($B367,Premissas!$A$39:$A$45,0))</f>
        <v/>
      </c>
      <c r="AR367" s="22" t="str">
        <f>INDEX(Cronograma!AQ$5:AQ$11,MATCH($B367,Premissas!$A$39:$A$45,0))</f>
        <v/>
      </c>
      <c r="AS367" s="22" t="str">
        <f>INDEX(Cronograma!AR$5:AR$11,MATCH($B367,Premissas!$A$39:$A$45,0))</f>
        <v/>
      </c>
      <c r="AT367" s="22" t="str">
        <f>INDEX(Cronograma!AS$5:AS$11,MATCH($B367,Premissas!$A$39:$A$45,0))</f>
        <v/>
      </c>
      <c r="AU367" s="22" t="str">
        <f>INDEX(Cronograma!AT$5:AT$11,MATCH($B367,Premissas!$A$39:$A$45,0))</f>
        <v/>
      </c>
      <c r="AV367" s="22" t="str">
        <f>INDEX(Cronograma!AU$5:AU$11,MATCH($B367,Premissas!$A$39:$A$45,0))</f>
        <v/>
      </c>
      <c r="AW367" s="22" t="str">
        <f>INDEX(Cronograma!AV$5:AV$11,MATCH($B367,Premissas!$A$39:$A$45,0))</f>
        <v/>
      </c>
      <c r="AX367" s="22" t="str">
        <f>INDEX(Cronograma!AW$5:AW$11,MATCH($B367,Premissas!$A$39:$A$45,0))</f>
        <v/>
      </c>
      <c r="AY367" s="22" t="str">
        <f>INDEX(Cronograma!AX$5:AX$11,MATCH($B367,Premissas!$A$39:$A$45,0))</f>
        <v/>
      </c>
      <c r="AZ367" s="22" t="str">
        <f>INDEX(Cronograma!AY$5:AY$11,MATCH($B367,Premissas!$A$39:$A$45,0))</f>
        <v/>
      </c>
      <c r="BA367" s="22" t="str">
        <f>INDEX(Cronograma!AZ$5:AZ$11,MATCH($B367,Premissas!$A$39:$A$45,0))</f>
        <v/>
      </c>
      <c r="BB367" s="22" t="str">
        <f>INDEX(Cronograma!BA$5:BA$11,MATCH($B367,Premissas!$A$39:$A$45,0))</f>
        <v/>
      </c>
    </row>
    <row r="368" spans="1:54" ht="15" customHeight="1" x14ac:dyDescent="0.4">
      <c r="A368" s="15" t="str">
        <f>Frota!$B368&amp;" — "&amp;Frota!$A368</f>
        <v>Roçadeira Manual — 172009</v>
      </c>
      <c r="B368" s="16" t="str">
        <f>Frota!$C368</f>
        <v>Implemento</v>
      </c>
      <c r="C368" s="22" t="str">
        <f>INDEX(Cronograma!B$5:B$11,MATCH($B368,Premissas!$A$39:$A$45,0))</f>
        <v/>
      </c>
      <c r="D368" s="22" t="str">
        <f>INDEX(Cronograma!C$5:C$11,MATCH($B368,Premissas!$A$39:$A$45,0))</f>
        <v/>
      </c>
      <c r="E368" s="22" t="str">
        <f>INDEX(Cronograma!D$5:D$11,MATCH($B368,Premissas!$A$39:$A$45,0))</f>
        <v/>
      </c>
      <c r="F368" s="22" t="str">
        <f>INDEX(Cronograma!E$5:E$11,MATCH($B368,Premissas!$A$39:$A$45,0))</f>
        <v/>
      </c>
      <c r="G368" s="22" t="str">
        <f>INDEX(Cronograma!F$5:F$11,MATCH($B368,Premissas!$A$39:$A$45,0))</f>
        <v/>
      </c>
      <c r="H368" s="22" t="str">
        <f>INDEX(Cronograma!G$5:G$11,MATCH($B368,Premissas!$A$39:$A$45,0))</f>
        <v/>
      </c>
      <c r="I368" s="22" t="str">
        <f>INDEX(Cronograma!H$5:H$11,MATCH($B368,Premissas!$A$39:$A$45,0))</f>
        <v/>
      </c>
      <c r="J368" s="22" t="str">
        <f>INDEX(Cronograma!I$5:I$11,MATCH($B368,Premissas!$A$39:$A$45,0))</f>
        <v>S</v>
      </c>
      <c r="K368" s="22" t="str">
        <f>INDEX(Cronograma!J$5:J$11,MATCH($B368,Premissas!$A$39:$A$45,0))</f>
        <v/>
      </c>
      <c r="L368" s="22" t="str">
        <f>INDEX(Cronograma!K$5:K$11,MATCH($B368,Premissas!$A$39:$A$45,0))</f>
        <v/>
      </c>
      <c r="M368" s="22" t="str">
        <f>INDEX(Cronograma!L$5:L$11,MATCH($B368,Premissas!$A$39:$A$45,0))</f>
        <v/>
      </c>
      <c r="N368" s="22" t="str">
        <f>INDEX(Cronograma!M$5:M$11,MATCH($B368,Premissas!$A$39:$A$45,0))</f>
        <v/>
      </c>
      <c r="O368" s="22" t="str">
        <f>INDEX(Cronograma!N$5:N$11,MATCH($B368,Premissas!$A$39:$A$45,0))</f>
        <v/>
      </c>
      <c r="P368" s="22" t="str">
        <f>INDEX(Cronograma!O$5:O$11,MATCH($B368,Premissas!$A$39:$A$45,0))</f>
        <v/>
      </c>
      <c r="Q368" s="22" t="str">
        <f>INDEX(Cronograma!P$5:P$11,MATCH($B368,Premissas!$A$39:$A$45,0))</f>
        <v/>
      </c>
      <c r="R368" s="22" t="str">
        <f>INDEX(Cronograma!Q$5:Q$11,MATCH($B368,Premissas!$A$39:$A$45,0))</f>
        <v>A</v>
      </c>
      <c r="S368" s="22" t="str">
        <f>INDEX(Cronograma!R$5:R$11,MATCH($B368,Premissas!$A$39:$A$45,0))</f>
        <v/>
      </c>
      <c r="T368" s="22" t="str">
        <f>INDEX(Cronograma!S$5:S$11,MATCH($B368,Premissas!$A$39:$A$45,0))</f>
        <v/>
      </c>
      <c r="U368" s="22" t="str">
        <f>INDEX(Cronograma!T$5:T$11,MATCH($B368,Premissas!$A$39:$A$45,0))</f>
        <v/>
      </c>
      <c r="V368" s="22" t="str">
        <f>INDEX(Cronograma!U$5:U$11,MATCH($B368,Premissas!$A$39:$A$45,0))</f>
        <v/>
      </c>
      <c r="W368" s="22" t="str">
        <f>INDEX(Cronograma!V$5:V$11,MATCH($B368,Premissas!$A$39:$A$45,0))</f>
        <v/>
      </c>
      <c r="X368" s="22" t="str">
        <f>INDEX(Cronograma!W$5:W$11,MATCH($B368,Premissas!$A$39:$A$45,0))</f>
        <v/>
      </c>
      <c r="Y368" s="22" t="str">
        <f>INDEX(Cronograma!X$5:X$11,MATCH($B368,Premissas!$A$39:$A$45,0))</f>
        <v/>
      </c>
      <c r="Z368" s="22" t="str">
        <f>INDEX(Cronograma!Y$5:Y$11,MATCH($B368,Premissas!$A$39:$A$45,0))</f>
        <v>S</v>
      </c>
      <c r="AA368" s="22" t="str">
        <f>INDEX(Cronograma!Z$5:Z$11,MATCH($B368,Premissas!$A$39:$A$45,0))</f>
        <v/>
      </c>
      <c r="AB368" s="22" t="str">
        <f>INDEX(Cronograma!AA$5:AA$11,MATCH($B368,Premissas!$A$39:$A$45,0))</f>
        <v/>
      </c>
      <c r="AC368" s="22" t="str">
        <f>INDEX(Cronograma!AB$5:AB$11,MATCH($B368,Premissas!$A$39:$A$45,0))</f>
        <v/>
      </c>
      <c r="AD368" s="22" t="str">
        <f>INDEX(Cronograma!AC$5:AC$11,MATCH($B368,Premissas!$A$39:$A$45,0))</f>
        <v/>
      </c>
      <c r="AE368" s="22" t="str">
        <f>INDEX(Cronograma!AD$5:AD$11,MATCH($B368,Premissas!$A$39:$A$45,0))</f>
        <v/>
      </c>
      <c r="AF368" s="22" t="str">
        <f>INDEX(Cronograma!AE$5:AE$11,MATCH($B368,Premissas!$A$39:$A$45,0))</f>
        <v/>
      </c>
      <c r="AG368" s="22" t="str">
        <f>INDEX(Cronograma!AF$5:AF$11,MATCH($B368,Premissas!$A$39:$A$45,0))</f>
        <v/>
      </c>
      <c r="AH368" s="22" t="str">
        <f>INDEX(Cronograma!AG$5:AG$11,MATCH($B368,Premissas!$A$39:$A$45,0))</f>
        <v/>
      </c>
      <c r="AI368" s="22" t="str">
        <f>INDEX(Cronograma!AH$5:AH$11,MATCH($B368,Premissas!$A$39:$A$45,0))</f>
        <v/>
      </c>
      <c r="AJ368" s="22" t="str">
        <f>INDEX(Cronograma!AI$5:AI$11,MATCH($B368,Premissas!$A$39:$A$45,0))</f>
        <v/>
      </c>
      <c r="AK368" s="22" t="str">
        <f>INDEX(Cronograma!AJ$5:AJ$11,MATCH($B368,Premissas!$A$39:$A$45,0))</f>
        <v/>
      </c>
      <c r="AL368" s="22" t="str">
        <f>INDEX(Cronograma!AK$5:AK$11,MATCH($B368,Premissas!$A$39:$A$45,0))</f>
        <v>A</v>
      </c>
      <c r="AM368" s="22" t="str">
        <f>INDEX(Cronograma!AL$5:AL$11,MATCH($B368,Premissas!$A$39:$A$45,0))</f>
        <v/>
      </c>
      <c r="AN368" s="22" t="str">
        <f>INDEX(Cronograma!AM$5:AM$11,MATCH($B368,Premissas!$A$39:$A$45,0))</f>
        <v/>
      </c>
      <c r="AO368" s="22" t="str">
        <f>INDEX(Cronograma!AN$5:AN$11,MATCH($B368,Premissas!$A$39:$A$45,0))</f>
        <v/>
      </c>
      <c r="AP368" s="22" t="str">
        <f>INDEX(Cronograma!AO$5:AO$11,MATCH($B368,Premissas!$A$39:$A$45,0))</f>
        <v/>
      </c>
      <c r="AQ368" s="22" t="str">
        <f>INDEX(Cronograma!AP$5:AP$11,MATCH($B368,Premissas!$A$39:$A$45,0))</f>
        <v/>
      </c>
      <c r="AR368" s="22" t="str">
        <f>INDEX(Cronograma!AQ$5:AQ$11,MATCH($B368,Premissas!$A$39:$A$45,0))</f>
        <v/>
      </c>
      <c r="AS368" s="22" t="str">
        <f>INDEX(Cronograma!AR$5:AR$11,MATCH($B368,Premissas!$A$39:$A$45,0))</f>
        <v/>
      </c>
      <c r="AT368" s="22" t="str">
        <f>INDEX(Cronograma!AS$5:AS$11,MATCH($B368,Premissas!$A$39:$A$45,0))</f>
        <v/>
      </c>
      <c r="AU368" s="22" t="str">
        <f>INDEX(Cronograma!AT$5:AT$11,MATCH($B368,Premissas!$A$39:$A$45,0))</f>
        <v/>
      </c>
      <c r="AV368" s="22" t="str">
        <f>INDEX(Cronograma!AU$5:AU$11,MATCH($B368,Premissas!$A$39:$A$45,0))</f>
        <v/>
      </c>
      <c r="AW368" s="22" t="str">
        <f>INDEX(Cronograma!AV$5:AV$11,MATCH($B368,Premissas!$A$39:$A$45,0))</f>
        <v/>
      </c>
      <c r="AX368" s="22" t="str">
        <f>INDEX(Cronograma!AW$5:AW$11,MATCH($B368,Premissas!$A$39:$A$45,0))</f>
        <v/>
      </c>
      <c r="AY368" s="22" t="str">
        <f>INDEX(Cronograma!AX$5:AX$11,MATCH($B368,Premissas!$A$39:$A$45,0))</f>
        <v/>
      </c>
      <c r="AZ368" s="22" t="str">
        <f>INDEX(Cronograma!AY$5:AY$11,MATCH($B368,Premissas!$A$39:$A$45,0))</f>
        <v/>
      </c>
      <c r="BA368" s="22" t="str">
        <f>INDEX(Cronograma!AZ$5:AZ$11,MATCH($B368,Premissas!$A$39:$A$45,0))</f>
        <v/>
      </c>
      <c r="BB368" s="22" t="str">
        <f>INDEX(Cronograma!BA$5:BA$11,MATCH($B368,Premissas!$A$39:$A$45,0))</f>
        <v/>
      </c>
    </row>
    <row r="369" spans="1:54" ht="15" customHeight="1" x14ac:dyDescent="0.4">
      <c r="A369" s="15" t="str">
        <f>Frota!$B369&amp;" — "&amp;Frota!$A369</f>
        <v>Roçadeira Manual — 172010</v>
      </c>
      <c r="B369" s="16" t="str">
        <f>Frota!$C369</f>
        <v>Implemento</v>
      </c>
      <c r="C369" s="22" t="str">
        <f>INDEX(Cronograma!B$5:B$11,MATCH($B369,Premissas!$A$39:$A$45,0))</f>
        <v/>
      </c>
      <c r="D369" s="22" t="str">
        <f>INDEX(Cronograma!C$5:C$11,MATCH($B369,Premissas!$A$39:$A$45,0))</f>
        <v/>
      </c>
      <c r="E369" s="22" t="str">
        <f>INDEX(Cronograma!D$5:D$11,MATCH($B369,Premissas!$A$39:$A$45,0))</f>
        <v/>
      </c>
      <c r="F369" s="22" t="str">
        <f>INDEX(Cronograma!E$5:E$11,MATCH($B369,Premissas!$A$39:$A$45,0))</f>
        <v/>
      </c>
      <c r="G369" s="22" t="str">
        <f>INDEX(Cronograma!F$5:F$11,MATCH($B369,Premissas!$A$39:$A$45,0))</f>
        <v/>
      </c>
      <c r="H369" s="22" t="str">
        <f>INDEX(Cronograma!G$5:G$11,MATCH($B369,Premissas!$A$39:$A$45,0))</f>
        <v/>
      </c>
      <c r="I369" s="22" t="str">
        <f>INDEX(Cronograma!H$5:H$11,MATCH($B369,Premissas!$A$39:$A$45,0))</f>
        <v/>
      </c>
      <c r="J369" s="22" t="str">
        <f>INDEX(Cronograma!I$5:I$11,MATCH($B369,Premissas!$A$39:$A$45,0))</f>
        <v>S</v>
      </c>
      <c r="K369" s="22" t="str">
        <f>INDEX(Cronograma!J$5:J$11,MATCH($B369,Premissas!$A$39:$A$45,0))</f>
        <v/>
      </c>
      <c r="L369" s="22" t="str">
        <f>INDEX(Cronograma!K$5:K$11,MATCH($B369,Premissas!$A$39:$A$45,0))</f>
        <v/>
      </c>
      <c r="M369" s="22" t="str">
        <f>INDEX(Cronograma!L$5:L$11,MATCH($B369,Premissas!$A$39:$A$45,0))</f>
        <v/>
      </c>
      <c r="N369" s="22" t="str">
        <f>INDEX(Cronograma!M$5:M$11,MATCH($B369,Premissas!$A$39:$A$45,0))</f>
        <v/>
      </c>
      <c r="O369" s="22" t="str">
        <f>INDEX(Cronograma!N$5:N$11,MATCH($B369,Premissas!$A$39:$A$45,0))</f>
        <v/>
      </c>
      <c r="P369" s="22" t="str">
        <f>INDEX(Cronograma!O$5:O$11,MATCH($B369,Premissas!$A$39:$A$45,0))</f>
        <v/>
      </c>
      <c r="Q369" s="22" t="str">
        <f>INDEX(Cronograma!P$5:P$11,MATCH($B369,Premissas!$A$39:$A$45,0))</f>
        <v/>
      </c>
      <c r="R369" s="22" t="str">
        <f>INDEX(Cronograma!Q$5:Q$11,MATCH($B369,Premissas!$A$39:$A$45,0))</f>
        <v>A</v>
      </c>
      <c r="S369" s="22" t="str">
        <f>INDEX(Cronograma!R$5:R$11,MATCH($B369,Premissas!$A$39:$A$45,0))</f>
        <v/>
      </c>
      <c r="T369" s="22" t="str">
        <f>INDEX(Cronograma!S$5:S$11,MATCH($B369,Premissas!$A$39:$A$45,0))</f>
        <v/>
      </c>
      <c r="U369" s="22" t="str">
        <f>INDEX(Cronograma!T$5:T$11,MATCH($B369,Premissas!$A$39:$A$45,0))</f>
        <v/>
      </c>
      <c r="V369" s="22" t="str">
        <f>INDEX(Cronograma!U$5:U$11,MATCH($B369,Premissas!$A$39:$A$45,0))</f>
        <v/>
      </c>
      <c r="W369" s="22" t="str">
        <f>INDEX(Cronograma!V$5:V$11,MATCH($B369,Premissas!$A$39:$A$45,0))</f>
        <v/>
      </c>
      <c r="X369" s="22" t="str">
        <f>INDEX(Cronograma!W$5:W$11,MATCH($B369,Premissas!$A$39:$A$45,0))</f>
        <v/>
      </c>
      <c r="Y369" s="22" t="str">
        <f>INDEX(Cronograma!X$5:X$11,MATCH($B369,Premissas!$A$39:$A$45,0))</f>
        <v/>
      </c>
      <c r="Z369" s="22" t="str">
        <f>INDEX(Cronograma!Y$5:Y$11,MATCH($B369,Premissas!$A$39:$A$45,0))</f>
        <v>S</v>
      </c>
      <c r="AA369" s="22" t="str">
        <f>INDEX(Cronograma!Z$5:Z$11,MATCH($B369,Premissas!$A$39:$A$45,0))</f>
        <v/>
      </c>
      <c r="AB369" s="22" t="str">
        <f>INDEX(Cronograma!AA$5:AA$11,MATCH($B369,Premissas!$A$39:$A$45,0))</f>
        <v/>
      </c>
      <c r="AC369" s="22" t="str">
        <f>INDEX(Cronograma!AB$5:AB$11,MATCH($B369,Premissas!$A$39:$A$45,0))</f>
        <v/>
      </c>
      <c r="AD369" s="22" t="str">
        <f>INDEX(Cronograma!AC$5:AC$11,MATCH($B369,Premissas!$A$39:$A$45,0))</f>
        <v/>
      </c>
      <c r="AE369" s="22" t="str">
        <f>INDEX(Cronograma!AD$5:AD$11,MATCH($B369,Premissas!$A$39:$A$45,0))</f>
        <v/>
      </c>
      <c r="AF369" s="22" t="str">
        <f>INDEX(Cronograma!AE$5:AE$11,MATCH($B369,Premissas!$A$39:$A$45,0))</f>
        <v/>
      </c>
      <c r="AG369" s="22" t="str">
        <f>INDEX(Cronograma!AF$5:AF$11,MATCH($B369,Premissas!$A$39:$A$45,0))</f>
        <v/>
      </c>
      <c r="AH369" s="22" t="str">
        <f>INDEX(Cronograma!AG$5:AG$11,MATCH($B369,Premissas!$A$39:$A$45,0))</f>
        <v/>
      </c>
      <c r="AI369" s="22" t="str">
        <f>INDEX(Cronograma!AH$5:AH$11,MATCH($B369,Premissas!$A$39:$A$45,0))</f>
        <v/>
      </c>
      <c r="AJ369" s="22" t="str">
        <f>INDEX(Cronograma!AI$5:AI$11,MATCH($B369,Premissas!$A$39:$A$45,0))</f>
        <v/>
      </c>
      <c r="AK369" s="22" t="str">
        <f>INDEX(Cronograma!AJ$5:AJ$11,MATCH($B369,Premissas!$A$39:$A$45,0))</f>
        <v/>
      </c>
      <c r="AL369" s="22" t="str">
        <f>INDEX(Cronograma!AK$5:AK$11,MATCH($B369,Premissas!$A$39:$A$45,0))</f>
        <v>A</v>
      </c>
      <c r="AM369" s="22" t="str">
        <f>INDEX(Cronograma!AL$5:AL$11,MATCH($B369,Premissas!$A$39:$A$45,0))</f>
        <v/>
      </c>
      <c r="AN369" s="22" t="str">
        <f>INDEX(Cronograma!AM$5:AM$11,MATCH($B369,Premissas!$A$39:$A$45,0))</f>
        <v/>
      </c>
      <c r="AO369" s="22" t="str">
        <f>INDEX(Cronograma!AN$5:AN$11,MATCH($B369,Premissas!$A$39:$A$45,0))</f>
        <v/>
      </c>
      <c r="AP369" s="22" t="str">
        <f>INDEX(Cronograma!AO$5:AO$11,MATCH($B369,Premissas!$A$39:$A$45,0))</f>
        <v/>
      </c>
      <c r="AQ369" s="22" t="str">
        <f>INDEX(Cronograma!AP$5:AP$11,MATCH($B369,Premissas!$A$39:$A$45,0))</f>
        <v/>
      </c>
      <c r="AR369" s="22" t="str">
        <f>INDEX(Cronograma!AQ$5:AQ$11,MATCH($B369,Premissas!$A$39:$A$45,0))</f>
        <v/>
      </c>
      <c r="AS369" s="22" t="str">
        <f>INDEX(Cronograma!AR$5:AR$11,MATCH($B369,Premissas!$A$39:$A$45,0))</f>
        <v/>
      </c>
      <c r="AT369" s="22" t="str">
        <f>INDEX(Cronograma!AS$5:AS$11,MATCH($B369,Premissas!$A$39:$A$45,0))</f>
        <v/>
      </c>
      <c r="AU369" s="22" t="str">
        <f>INDEX(Cronograma!AT$5:AT$11,MATCH($B369,Premissas!$A$39:$A$45,0))</f>
        <v/>
      </c>
      <c r="AV369" s="22" t="str">
        <f>INDEX(Cronograma!AU$5:AU$11,MATCH($B369,Premissas!$A$39:$A$45,0))</f>
        <v/>
      </c>
      <c r="AW369" s="22" t="str">
        <f>INDEX(Cronograma!AV$5:AV$11,MATCH($B369,Premissas!$A$39:$A$45,0))</f>
        <v/>
      </c>
      <c r="AX369" s="22" t="str">
        <f>INDEX(Cronograma!AW$5:AW$11,MATCH($B369,Premissas!$A$39:$A$45,0))</f>
        <v/>
      </c>
      <c r="AY369" s="22" t="str">
        <f>INDEX(Cronograma!AX$5:AX$11,MATCH($B369,Premissas!$A$39:$A$45,0))</f>
        <v/>
      </c>
      <c r="AZ369" s="22" t="str">
        <f>INDEX(Cronograma!AY$5:AY$11,MATCH($B369,Premissas!$A$39:$A$45,0))</f>
        <v/>
      </c>
      <c r="BA369" s="22" t="str">
        <f>INDEX(Cronograma!AZ$5:AZ$11,MATCH($B369,Premissas!$A$39:$A$45,0))</f>
        <v/>
      </c>
      <c r="BB369" s="22" t="str">
        <f>INDEX(Cronograma!BA$5:BA$11,MATCH($B369,Premissas!$A$39:$A$45,0))</f>
        <v/>
      </c>
    </row>
    <row r="370" spans="1:54" ht="15" customHeight="1" x14ac:dyDescent="0.4">
      <c r="A370" s="15" t="str">
        <f>Frota!$B370&amp;" — "&amp;Frota!$A370</f>
        <v>Roçadeira Manual — 172011</v>
      </c>
      <c r="B370" s="16" t="str">
        <f>Frota!$C370</f>
        <v>Implemento</v>
      </c>
      <c r="C370" s="22" t="str">
        <f>INDEX(Cronograma!B$5:B$11,MATCH($B370,Premissas!$A$39:$A$45,0))</f>
        <v/>
      </c>
      <c r="D370" s="22" t="str">
        <f>INDEX(Cronograma!C$5:C$11,MATCH($B370,Premissas!$A$39:$A$45,0))</f>
        <v/>
      </c>
      <c r="E370" s="22" t="str">
        <f>INDEX(Cronograma!D$5:D$11,MATCH($B370,Premissas!$A$39:$A$45,0))</f>
        <v/>
      </c>
      <c r="F370" s="22" t="str">
        <f>INDEX(Cronograma!E$5:E$11,MATCH($B370,Premissas!$A$39:$A$45,0))</f>
        <v/>
      </c>
      <c r="G370" s="22" t="str">
        <f>INDEX(Cronograma!F$5:F$11,MATCH($B370,Premissas!$A$39:$A$45,0))</f>
        <v/>
      </c>
      <c r="H370" s="22" t="str">
        <f>INDEX(Cronograma!G$5:G$11,MATCH($B370,Premissas!$A$39:$A$45,0))</f>
        <v/>
      </c>
      <c r="I370" s="22" t="str">
        <f>INDEX(Cronograma!H$5:H$11,MATCH($B370,Premissas!$A$39:$A$45,0))</f>
        <v/>
      </c>
      <c r="J370" s="22" t="str">
        <f>INDEX(Cronograma!I$5:I$11,MATCH($B370,Premissas!$A$39:$A$45,0))</f>
        <v>S</v>
      </c>
      <c r="K370" s="22" t="str">
        <f>INDEX(Cronograma!J$5:J$11,MATCH($B370,Premissas!$A$39:$A$45,0))</f>
        <v/>
      </c>
      <c r="L370" s="22" t="str">
        <f>INDEX(Cronograma!K$5:K$11,MATCH($B370,Premissas!$A$39:$A$45,0))</f>
        <v/>
      </c>
      <c r="M370" s="22" t="str">
        <f>INDEX(Cronograma!L$5:L$11,MATCH($B370,Premissas!$A$39:$A$45,0))</f>
        <v/>
      </c>
      <c r="N370" s="22" t="str">
        <f>INDEX(Cronograma!M$5:M$11,MATCH($B370,Premissas!$A$39:$A$45,0))</f>
        <v/>
      </c>
      <c r="O370" s="22" t="str">
        <f>INDEX(Cronograma!N$5:N$11,MATCH($B370,Premissas!$A$39:$A$45,0))</f>
        <v/>
      </c>
      <c r="P370" s="22" t="str">
        <f>INDEX(Cronograma!O$5:O$11,MATCH($B370,Premissas!$A$39:$A$45,0))</f>
        <v/>
      </c>
      <c r="Q370" s="22" t="str">
        <f>INDEX(Cronograma!P$5:P$11,MATCH($B370,Premissas!$A$39:$A$45,0))</f>
        <v/>
      </c>
      <c r="R370" s="22" t="str">
        <f>INDEX(Cronograma!Q$5:Q$11,MATCH($B370,Premissas!$A$39:$A$45,0))</f>
        <v>A</v>
      </c>
      <c r="S370" s="22" t="str">
        <f>INDEX(Cronograma!R$5:R$11,MATCH($B370,Premissas!$A$39:$A$45,0))</f>
        <v/>
      </c>
      <c r="T370" s="22" t="str">
        <f>INDEX(Cronograma!S$5:S$11,MATCH($B370,Premissas!$A$39:$A$45,0))</f>
        <v/>
      </c>
      <c r="U370" s="22" t="str">
        <f>INDEX(Cronograma!T$5:T$11,MATCH($B370,Premissas!$A$39:$A$45,0))</f>
        <v/>
      </c>
      <c r="V370" s="22" t="str">
        <f>INDEX(Cronograma!U$5:U$11,MATCH($B370,Premissas!$A$39:$A$45,0))</f>
        <v/>
      </c>
      <c r="W370" s="22" t="str">
        <f>INDEX(Cronograma!V$5:V$11,MATCH($B370,Premissas!$A$39:$A$45,0))</f>
        <v/>
      </c>
      <c r="X370" s="22" t="str">
        <f>INDEX(Cronograma!W$5:W$11,MATCH($B370,Premissas!$A$39:$A$45,0))</f>
        <v/>
      </c>
      <c r="Y370" s="22" t="str">
        <f>INDEX(Cronograma!X$5:X$11,MATCH($B370,Premissas!$A$39:$A$45,0))</f>
        <v/>
      </c>
      <c r="Z370" s="22" t="str">
        <f>INDEX(Cronograma!Y$5:Y$11,MATCH($B370,Premissas!$A$39:$A$45,0))</f>
        <v>S</v>
      </c>
      <c r="AA370" s="22" t="str">
        <f>INDEX(Cronograma!Z$5:Z$11,MATCH($B370,Premissas!$A$39:$A$45,0))</f>
        <v/>
      </c>
      <c r="AB370" s="22" t="str">
        <f>INDEX(Cronograma!AA$5:AA$11,MATCH($B370,Premissas!$A$39:$A$45,0))</f>
        <v/>
      </c>
      <c r="AC370" s="22" t="str">
        <f>INDEX(Cronograma!AB$5:AB$11,MATCH($B370,Premissas!$A$39:$A$45,0))</f>
        <v/>
      </c>
      <c r="AD370" s="22" t="str">
        <f>INDEX(Cronograma!AC$5:AC$11,MATCH($B370,Premissas!$A$39:$A$45,0))</f>
        <v/>
      </c>
      <c r="AE370" s="22" t="str">
        <f>INDEX(Cronograma!AD$5:AD$11,MATCH($B370,Premissas!$A$39:$A$45,0))</f>
        <v/>
      </c>
      <c r="AF370" s="22" t="str">
        <f>INDEX(Cronograma!AE$5:AE$11,MATCH($B370,Premissas!$A$39:$A$45,0))</f>
        <v/>
      </c>
      <c r="AG370" s="22" t="str">
        <f>INDEX(Cronograma!AF$5:AF$11,MATCH($B370,Premissas!$A$39:$A$45,0))</f>
        <v/>
      </c>
      <c r="AH370" s="22" t="str">
        <f>INDEX(Cronograma!AG$5:AG$11,MATCH($B370,Premissas!$A$39:$A$45,0))</f>
        <v/>
      </c>
      <c r="AI370" s="22" t="str">
        <f>INDEX(Cronograma!AH$5:AH$11,MATCH($B370,Premissas!$A$39:$A$45,0))</f>
        <v/>
      </c>
      <c r="AJ370" s="22" t="str">
        <f>INDEX(Cronograma!AI$5:AI$11,MATCH($B370,Premissas!$A$39:$A$45,0))</f>
        <v/>
      </c>
      <c r="AK370" s="22" t="str">
        <f>INDEX(Cronograma!AJ$5:AJ$11,MATCH($B370,Premissas!$A$39:$A$45,0))</f>
        <v/>
      </c>
      <c r="AL370" s="22" t="str">
        <f>INDEX(Cronograma!AK$5:AK$11,MATCH($B370,Premissas!$A$39:$A$45,0))</f>
        <v>A</v>
      </c>
      <c r="AM370" s="22" t="str">
        <f>INDEX(Cronograma!AL$5:AL$11,MATCH($B370,Premissas!$A$39:$A$45,0))</f>
        <v/>
      </c>
      <c r="AN370" s="22" t="str">
        <f>INDEX(Cronograma!AM$5:AM$11,MATCH($B370,Premissas!$A$39:$A$45,0))</f>
        <v/>
      </c>
      <c r="AO370" s="22" t="str">
        <f>INDEX(Cronograma!AN$5:AN$11,MATCH($B370,Premissas!$A$39:$A$45,0))</f>
        <v/>
      </c>
      <c r="AP370" s="22" t="str">
        <f>INDEX(Cronograma!AO$5:AO$11,MATCH($B370,Premissas!$A$39:$A$45,0))</f>
        <v/>
      </c>
      <c r="AQ370" s="22" t="str">
        <f>INDEX(Cronograma!AP$5:AP$11,MATCH($B370,Premissas!$A$39:$A$45,0))</f>
        <v/>
      </c>
      <c r="AR370" s="22" t="str">
        <f>INDEX(Cronograma!AQ$5:AQ$11,MATCH($B370,Premissas!$A$39:$A$45,0))</f>
        <v/>
      </c>
      <c r="AS370" s="22" t="str">
        <f>INDEX(Cronograma!AR$5:AR$11,MATCH($B370,Premissas!$A$39:$A$45,0))</f>
        <v/>
      </c>
      <c r="AT370" s="22" t="str">
        <f>INDEX(Cronograma!AS$5:AS$11,MATCH($B370,Premissas!$A$39:$A$45,0))</f>
        <v/>
      </c>
      <c r="AU370" s="22" t="str">
        <f>INDEX(Cronograma!AT$5:AT$11,MATCH($B370,Premissas!$A$39:$A$45,0))</f>
        <v/>
      </c>
      <c r="AV370" s="22" t="str">
        <f>INDEX(Cronograma!AU$5:AU$11,MATCH($B370,Premissas!$A$39:$A$45,0))</f>
        <v/>
      </c>
      <c r="AW370" s="22" t="str">
        <f>INDEX(Cronograma!AV$5:AV$11,MATCH($B370,Premissas!$A$39:$A$45,0))</f>
        <v/>
      </c>
      <c r="AX370" s="22" t="str">
        <f>INDEX(Cronograma!AW$5:AW$11,MATCH($B370,Premissas!$A$39:$A$45,0))</f>
        <v/>
      </c>
      <c r="AY370" s="22" t="str">
        <f>INDEX(Cronograma!AX$5:AX$11,MATCH($B370,Premissas!$A$39:$A$45,0))</f>
        <v/>
      </c>
      <c r="AZ370" s="22" t="str">
        <f>INDEX(Cronograma!AY$5:AY$11,MATCH($B370,Premissas!$A$39:$A$45,0))</f>
        <v/>
      </c>
      <c r="BA370" s="22" t="str">
        <f>INDEX(Cronograma!AZ$5:AZ$11,MATCH($B370,Premissas!$A$39:$A$45,0))</f>
        <v/>
      </c>
      <c r="BB370" s="22" t="str">
        <f>INDEX(Cronograma!BA$5:BA$11,MATCH($B370,Premissas!$A$39:$A$45,0))</f>
        <v/>
      </c>
    </row>
    <row r="371" spans="1:54" ht="15" customHeight="1" x14ac:dyDescent="0.4">
      <c r="A371" s="15" t="str">
        <f>Frota!$B371&amp;" — "&amp;Frota!$A371</f>
        <v>Roçadeira Manual — 172012</v>
      </c>
      <c r="B371" s="16" t="str">
        <f>Frota!$C371</f>
        <v>Implemento</v>
      </c>
      <c r="C371" s="22" t="str">
        <f>INDEX(Cronograma!B$5:B$11,MATCH($B371,Premissas!$A$39:$A$45,0))</f>
        <v/>
      </c>
      <c r="D371" s="22" t="str">
        <f>INDEX(Cronograma!C$5:C$11,MATCH($B371,Premissas!$A$39:$A$45,0))</f>
        <v/>
      </c>
      <c r="E371" s="22" t="str">
        <f>INDEX(Cronograma!D$5:D$11,MATCH($B371,Premissas!$A$39:$A$45,0))</f>
        <v/>
      </c>
      <c r="F371" s="22" t="str">
        <f>INDEX(Cronograma!E$5:E$11,MATCH($B371,Premissas!$A$39:$A$45,0))</f>
        <v/>
      </c>
      <c r="G371" s="22" t="str">
        <f>INDEX(Cronograma!F$5:F$11,MATCH($B371,Premissas!$A$39:$A$45,0))</f>
        <v/>
      </c>
      <c r="H371" s="22" t="str">
        <f>INDEX(Cronograma!G$5:G$11,MATCH($B371,Premissas!$A$39:$A$45,0))</f>
        <v/>
      </c>
      <c r="I371" s="22" t="str">
        <f>INDEX(Cronograma!H$5:H$11,MATCH($B371,Premissas!$A$39:$A$45,0))</f>
        <v/>
      </c>
      <c r="J371" s="22" t="str">
        <f>INDEX(Cronograma!I$5:I$11,MATCH($B371,Premissas!$A$39:$A$45,0))</f>
        <v>S</v>
      </c>
      <c r="K371" s="22" t="str">
        <f>INDEX(Cronograma!J$5:J$11,MATCH($B371,Premissas!$A$39:$A$45,0))</f>
        <v/>
      </c>
      <c r="L371" s="22" t="str">
        <f>INDEX(Cronograma!K$5:K$11,MATCH($B371,Premissas!$A$39:$A$45,0))</f>
        <v/>
      </c>
      <c r="M371" s="22" t="str">
        <f>INDEX(Cronograma!L$5:L$11,MATCH($B371,Premissas!$A$39:$A$45,0))</f>
        <v/>
      </c>
      <c r="N371" s="22" t="str">
        <f>INDEX(Cronograma!M$5:M$11,MATCH($B371,Premissas!$A$39:$A$45,0))</f>
        <v/>
      </c>
      <c r="O371" s="22" t="str">
        <f>INDEX(Cronograma!N$5:N$11,MATCH($B371,Premissas!$A$39:$A$45,0))</f>
        <v/>
      </c>
      <c r="P371" s="22" t="str">
        <f>INDEX(Cronograma!O$5:O$11,MATCH($B371,Premissas!$A$39:$A$45,0))</f>
        <v/>
      </c>
      <c r="Q371" s="22" t="str">
        <f>INDEX(Cronograma!P$5:P$11,MATCH($B371,Premissas!$A$39:$A$45,0))</f>
        <v/>
      </c>
      <c r="R371" s="22" t="str">
        <f>INDEX(Cronograma!Q$5:Q$11,MATCH($B371,Premissas!$A$39:$A$45,0))</f>
        <v>A</v>
      </c>
      <c r="S371" s="22" t="str">
        <f>INDEX(Cronograma!R$5:R$11,MATCH($B371,Premissas!$A$39:$A$45,0))</f>
        <v/>
      </c>
      <c r="T371" s="22" t="str">
        <f>INDEX(Cronograma!S$5:S$11,MATCH($B371,Premissas!$A$39:$A$45,0))</f>
        <v/>
      </c>
      <c r="U371" s="22" t="str">
        <f>INDEX(Cronograma!T$5:T$11,MATCH($B371,Premissas!$A$39:$A$45,0))</f>
        <v/>
      </c>
      <c r="V371" s="22" t="str">
        <f>INDEX(Cronograma!U$5:U$11,MATCH($B371,Premissas!$A$39:$A$45,0))</f>
        <v/>
      </c>
      <c r="W371" s="22" t="str">
        <f>INDEX(Cronograma!V$5:V$11,MATCH($B371,Premissas!$A$39:$A$45,0))</f>
        <v/>
      </c>
      <c r="X371" s="22" t="str">
        <f>INDEX(Cronograma!W$5:W$11,MATCH($B371,Premissas!$A$39:$A$45,0))</f>
        <v/>
      </c>
      <c r="Y371" s="22" t="str">
        <f>INDEX(Cronograma!X$5:X$11,MATCH($B371,Premissas!$A$39:$A$45,0))</f>
        <v/>
      </c>
      <c r="Z371" s="22" t="str">
        <f>INDEX(Cronograma!Y$5:Y$11,MATCH($B371,Premissas!$A$39:$A$45,0))</f>
        <v>S</v>
      </c>
      <c r="AA371" s="22" t="str">
        <f>INDEX(Cronograma!Z$5:Z$11,MATCH($B371,Premissas!$A$39:$A$45,0))</f>
        <v/>
      </c>
      <c r="AB371" s="22" t="str">
        <f>INDEX(Cronograma!AA$5:AA$11,MATCH($B371,Premissas!$A$39:$A$45,0))</f>
        <v/>
      </c>
      <c r="AC371" s="22" t="str">
        <f>INDEX(Cronograma!AB$5:AB$11,MATCH($B371,Premissas!$A$39:$A$45,0))</f>
        <v/>
      </c>
      <c r="AD371" s="22" t="str">
        <f>INDEX(Cronograma!AC$5:AC$11,MATCH($B371,Premissas!$A$39:$A$45,0))</f>
        <v/>
      </c>
      <c r="AE371" s="22" t="str">
        <f>INDEX(Cronograma!AD$5:AD$11,MATCH($B371,Premissas!$A$39:$A$45,0))</f>
        <v/>
      </c>
      <c r="AF371" s="22" t="str">
        <f>INDEX(Cronograma!AE$5:AE$11,MATCH($B371,Premissas!$A$39:$A$45,0))</f>
        <v/>
      </c>
      <c r="AG371" s="22" t="str">
        <f>INDEX(Cronograma!AF$5:AF$11,MATCH($B371,Premissas!$A$39:$A$45,0))</f>
        <v/>
      </c>
      <c r="AH371" s="22" t="str">
        <f>INDEX(Cronograma!AG$5:AG$11,MATCH($B371,Premissas!$A$39:$A$45,0))</f>
        <v/>
      </c>
      <c r="AI371" s="22" t="str">
        <f>INDEX(Cronograma!AH$5:AH$11,MATCH($B371,Premissas!$A$39:$A$45,0))</f>
        <v/>
      </c>
      <c r="AJ371" s="22" t="str">
        <f>INDEX(Cronograma!AI$5:AI$11,MATCH($B371,Premissas!$A$39:$A$45,0))</f>
        <v/>
      </c>
      <c r="AK371" s="22" t="str">
        <f>INDEX(Cronograma!AJ$5:AJ$11,MATCH($B371,Premissas!$A$39:$A$45,0))</f>
        <v/>
      </c>
      <c r="AL371" s="22" t="str">
        <f>INDEX(Cronograma!AK$5:AK$11,MATCH($B371,Premissas!$A$39:$A$45,0))</f>
        <v>A</v>
      </c>
      <c r="AM371" s="22" t="str">
        <f>INDEX(Cronograma!AL$5:AL$11,MATCH($B371,Premissas!$A$39:$A$45,0))</f>
        <v/>
      </c>
      <c r="AN371" s="22" t="str">
        <f>INDEX(Cronograma!AM$5:AM$11,MATCH($B371,Premissas!$A$39:$A$45,0))</f>
        <v/>
      </c>
      <c r="AO371" s="22" t="str">
        <f>INDEX(Cronograma!AN$5:AN$11,MATCH($B371,Premissas!$A$39:$A$45,0))</f>
        <v/>
      </c>
      <c r="AP371" s="22" t="str">
        <f>INDEX(Cronograma!AO$5:AO$11,MATCH($B371,Premissas!$A$39:$A$45,0))</f>
        <v/>
      </c>
      <c r="AQ371" s="22" t="str">
        <f>INDEX(Cronograma!AP$5:AP$11,MATCH($B371,Premissas!$A$39:$A$45,0))</f>
        <v/>
      </c>
      <c r="AR371" s="22" t="str">
        <f>INDEX(Cronograma!AQ$5:AQ$11,MATCH($B371,Premissas!$A$39:$A$45,0))</f>
        <v/>
      </c>
      <c r="AS371" s="22" t="str">
        <f>INDEX(Cronograma!AR$5:AR$11,MATCH($B371,Premissas!$A$39:$A$45,0))</f>
        <v/>
      </c>
      <c r="AT371" s="22" t="str">
        <f>INDEX(Cronograma!AS$5:AS$11,MATCH($B371,Premissas!$A$39:$A$45,0))</f>
        <v/>
      </c>
      <c r="AU371" s="22" t="str">
        <f>INDEX(Cronograma!AT$5:AT$11,MATCH($B371,Premissas!$A$39:$A$45,0))</f>
        <v/>
      </c>
      <c r="AV371" s="22" t="str">
        <f>INDEX(Cronograma!AU$5:AU$11,MATCH($B371,Premissas!$A$39:$A$45,0))</f>
        <v/>
      </c>
      <c r="AW371" s="22" t="str">
        <f>INDEX(Cronograma!AV$5:AV$11,MATCH($B371,Premissas!$A$39:$A$45,0))</f>
        <v/>
      </c>
      <c r="AX371" s="22" t="str">
        <f>INDEX(Cronograma!AW$5:AW$11,MATCH($B371,Premissas!$A$39:$A$45,0))</f>
        <v/>
      </c>
      <c r="AY371" s="22" t="str">
        <f>INDEX(Cronograma!AX$5:AX$11,MATCH($B371,Premissas!$A$39:$A$45,0))</f>
        <v/>
      </c>
      <c r="AZ371" s="22" t="str">
        <f>INDEX(Cronograma!AY$5:AY$11,MATCH($B371,Premissas!$A$39:$A$45,0))</f>
        <v/>
      </c>
      <c r="BA371" s="22" t="str">
        <f>INDEX(Cronograma!AZ$5:AZ$11,MATCH($B371,Premissas!$A$39:$A$45,0))</f>
        <v/>
      </c>
      <c r="BB371" s="22" t="str">
        <f>INDEX(Cronograma!BA$5:BA$11,MATCH($B371,Premissas!$A$39:$A$45,0))</f>
        <v/>
      </c>
    </row>
    <row r="372" spans="1:54" ht="15" customHeight="1" x14ac:dyDescent="0.4">
      <c r="A372" s="15" t="str">
        <f>Frota!$B372&amp;" — "&amp;Frota!$A372</f>
        <v>Pulverizador Manual — 173005</v>
      </c>
      <c r="B372" s="16" t="str">
        <f>Frota!$C372</f>
        <v>Pulverizador</v>
      </c>
      <c r="C372" s="22" t="str">
        <f>INDEX(Cronograma!B$5:B$11,MATCH($B372,Premissas!$A$39:$A$45,0))</f>
        <v/>
      </c>
      <c r="D372" s="22" t="str">
        <f>INDEX(Cronograma!C$5:C$11,MATCH($B372,Premissas!$A$39:$A$45,0))</f>
        <v/>
      </c>
      <c r="E372" s="22" t="str">
        <f>INDEX(Cronograma!D$5:D$11,MATCH($B372,Premissas!$A$39:$A$45,0))</f>
        <v/>
      </c>
      <c r="F372" s="22" t="str">
        <f>INDEX(Cronograma!E$5:E$11,MATCH($B372,Premissas!$A$39:$A$45,0))</f>
        <v/>
      </c>
      <c r="G372" s="22" t="str">
        <f>INDEX(Cronograma!F$5:F$11,MATCH($B372,Premissas!$A$39:$A$45,0))</f>
        <v>S</v>
      </c>
      <c r="H372" s="22" t="str">
        <f>INDEX(Cronograma!G$5:G$11,MATCH($B372,Premissas!$A$39:$A$45,0))</f>
        <v/>
      </c>
      <c r="I372" s="22" t="str">
        <f>INDEX(Cronograma!H$5:H$11,MATCH($B372,Premissas!$A$39:$A$45,0))</f>
        <v/>
      </c>
      <c r="J372" s="22" t="str">
        <f>INDEX(Cronograma!I$5:I$11,MATCH($B372,Premissas!$A$39:$A$45,0))</f>
        <v/>
      </c>
      <c r="K372" s="22" t="str">
        <f>INDEX(Cronograma!J$5:J$11,MATCH($B372,Premissas!$A$39:$A$45,0))</f>
        <v/>
      </c>
      <c r="L372" s="22" t="str">
        <f>INDEX(Cronograma!K$5:K$11,MATCH($B372,Premissas!$A$39:$A$45,0))</f>
        <v>A</v>
      </c>
      <c r="M372" s="22" t="str">
        <f>INDEX(Cronograma!L$5:L$11,MATCH($B372,Premissas!$A$39:$A$45,0))</f>
        <v/>
      </c>
      <c r="N372" s="22" t="str">
        <f>INDEX(Cronograma!M$5:M$11,MATCH($B372,Premissas!$A$39:$A$45,0))</f>
        <v/>
      </c>
      <c r="O372" s="22" t="str">
        <f>INDEX(Cronograma!N$5:N$11,MATCH($B372,Premissas!$A$39:$A$45,0))</f>
        <v/>
      </c>
      <c r="P372" s="22" t="str">
        <f>INDEX(Cronograma!O$5:O$11,MATCH($B372,Premissas!$A$39:$A$45,0))</f>
        <v/>
      </c>
      <c r="Q372" s="22" t="str">
        <f>INDEX(Cronograma!P$5:P$11,MATCH($B372,Premissas!$A$39:$A$45,0))</f>
        <v>S</v>
      </c>
      <c r="R372" s="22" t="str">
        <f>INDEX(Cronograma!Q$5:Q$11,MATCH($B372,Premissas!$A$39:$A$45,0))</f>
        <v/>
      </c>
      <c r="S372" s="22" t="str">
        <f>INDEX(Cronograma!R$5:R$11,MATCH($B372,Premissas!$A$39:$A$45,0))</f>
        <v/>
      </c>
      <c r="T372" s="22" t="str">
        <f>INDEX(Cronograma!S$5:S$11,MATCH($B372,Premissas!$A$39:$A$45,0))</f>
        <v/>
      </c>
      <c r="U372" s="22" t="str">
        <f>INDEX(Cronograma!T$5:T$11,MATCH($B372,Premissas!$A$39:$A$45,0))</f>
        <v/>
      </c>
      <c r="V372" s="22" t="str">
        <f>INDEX(Cronograma!U$5:U$11,MATCH($B372,Premissas!$A$39:$A$45,0))</f>
        <v>A</v>
      </c>
      <c r="W372" s="22" t="str">
        <f>INDEX(Cronograma!V$5:V$11,MATCH($B372,Premissas!$A$39:$A$45,0))</f>
        <v/>
      </c>
      <c r="X372" s="22" t="str">
        <f>INDEX(Cronograma!W$5:W$11,MATCH($B372,Premissas!$A$39:$A$45,0))</f>
        <v/>
      </c>
      <c r="Y372" s="22" t="str">
        <f>INDEX(Cronograma!X$5:X$11,MATCH($B372,Premissas!$A$39:$A$45,0))</f>
        <v/>
      </c>
      <c r="Z372" s="22" t="str">
        <f>INDEX(Cronograma!Y$5:Y$11,MATCH($B372,Premissas!$A$39:$A$45,0))</f>
        <v/>
      </c>
      <c r="AA372" s="22" t="str">
        <f>INDEX(Cronograma!Z$5:Z$11,MATCH($B372,Premissas!$A$39:$A$45,0))</f>
        <v>S</v>
      </c>
      <c r="AB372" s="22" t="str">
        <f>INDEX(Cronograma!AA$5:AA$11,MATCH($B372,Premissas!$A$39:$A$45,0))</f>
        <v/>
      </c>
      <c r="AC372" s="22" t="str">
        <f>INDEX(Cronograma!AB$5:AB$11,MATCH($B372,Premissas!$A$39:$A$45,0))</f>
        <v/>
      </c>
      <c r="AD372" s="22" t="str">
        <f>INDEX(Cronograma!AC$5:AC$11,MATCH($B372,Premissas!$A$39:$A$45,0))</f>
        <v/>
      </c>
      <c r="AE372" s="22" t="str">
        <f>INDEX(Cronograma!AD$5:AD$11,MATCH($B372,Premissas!$A$39:$A$45,0))</f>
        <v/>
      </c>
      <c r="AF372" s="22" t="str">
        <f>INDEX(Cronograma!AE$5:AE$11,MATCH($B372,Premissas!$A$39:$A$45,0))</f>
        <v>A</v>
      </c>
      <c r="AG372" s="22" t="str">
        <f>INDEX(Cronograma!AF$5:AF$11,MATCH($B372,Premissas!$A$39:$A$45,0))</f>
        <v/>
      </c>
      <c r="AH372" s="22" t="str">
        <f>INDEX(Cronograma!AG$5:AG$11,MATCH($B372,Premissas!$A$39:$A$45,0))</f>
        <v/>
      </c>
      <c r="AI372" s="22" t="str">
        <f>INDEX(Cronograma!AH$5:AH$11,MATCH($B372,Premissas!$A$39:$A$45,0))</f>
        <v/>
      </c>
      <c r="AJ372" s="22" t="str">
        <f>INDEX(Cronograma!AI$5:AI$11,MATCH($B372,Premissas!$A$39:$A$45,0))</f>
        <v/>
      </c>
      <c r="AK372" s="22" t="str">
        <f>INDEX(Cronograma!AJ$5:AJ$11,MATCH($B372,Premissas!$A$39:$A$45,0))</f>
        <v>S</v>
      </c>
      <c r="AL372" s="22" t="str">
        <f>INDEX(Cronograma!AK$5:AK$11,MATCH($B372,Premissas!$A$39:$A$45,0))</f>
        <v/>
      </c>
      <c r="AM372" s="22" t="str">
        <f>INDEX(Cronograma!AL$5:AL$11,MATCH($B372,Premissas!$A$39:$A$45,0))</f>
        <v/>
      </c>
      <c r="AN372" s="22" t="str">
        <f>INDEX(Cronograma!AM$5:AM$11,MATCH($B372,Premissas!$A$39:$A$45,0))</f>
        <v/>
      </c>
      <c r="AO372" s="22" t="str">
        <f>INDEX(Cronograma!AN$5:AN$11,MATCH($B372,Premissas!$A$39:$A$45,0))</f>
        <v/>
      </c>
      <c r="AP372" s="22" t="str">
        <f>INDEX(Cronograma!AO$5:AO$11,MATCH($B372,Premissas!$A$39:$A$45,0))</f>
        <v>A</v>
      </c>
      <c r="AQ372" s="22" t="str">
        <f>INDEX(Cronograma!AP$5:AP$11,MATCH($B372,Premissas!$A$39:$A$45,0))</f>
        <v/>
      </c>
      <c r="AR372" s="22" t="str">
        <f>INDEX(Cronograma!AQ$5:AQ$11,MATCH($B372,Premissas!$A$39:$A$45,0))</f>
        <v/>
      </c>
      <c r="AS372" s="22" t="str">
        <f>INDEX(Cronograma!AR$5:AR$11,MATCH($B372,Premissas!$A$39:$A$45,0))</f>
        <v/>
      </c>
      <c r="AT372" s="22" t="str">
        <f>INDEX(Cronograma!AS$5:AS$11,MATCH($B372,Premissas!$A$39:$A$45,0))</f>
        <v/>
      </c>
      <c r="AU372" s="22" t="str">
        <f>INDEX(Cronograma!AT$5:AT$11,MATCH($B372,Premissas!$A$39:$A$45,0))</f>
        <v>S</v>
      </c>
      <c r="AV372" s="22" t="str">
        <f>INDEX(Cronograma!AU$5:AU$11,MATCH($B372,Premissas!$A$39:$A$45,0))</f>
        <v/>
      </c>
      <c r="AW372" s="22" t="str">
        <f>INDEX(Cronograma!AV$5:AV$11,MATCH($B372,Premissas!$A$39:$A$45,0))</f>
        <v/>
      </c>
      <c r="AX372" s="22" t="str">
        <f>INDEX(Cronograma!AW$5:AW$11,MATCH($B372,Premissas!$A$39:$A$45,0))</f>
        <v/>
      </c>
      <c r="AY372" s="22" t="str">
        <f>INDEX(Cronograma!AX$5:AX$11,MATCH($B372,Premissas!$A$39:$A$45,0))</f>
        <v/>
      </c>
      <c r="AZ372" s="22" t="str">
        <f>INDEX(Cronograma!AY$5:AY$11,MATCH($B372,Premissas!$A$39:$A$45,0))</f>
        <v>A</v>
      </c>
      <c r="BA372" s="22" t="str">
        <f>INDEX(Cronograma!AZ$5:AZ$11,MATCH($B372,Premissas!$A$39:$A$45,0))</f>
        <v/>
      </c>
      <c r="BB372" s="22" t="str">
        <f>INDEX(Cronograma!BA$5:BA$11,MATCH($B372,Premissas!$A$39:$A$45,0))</f>
        <v/>
      </c>
    </row>
    <row r="373" spans="1:54" ht="15" customHeight="1" x14ac:dyDescent="0.4">
      <c r="A373" s="15" t="str">
        <f>Frota!$B373&amp;" — "&amp;Frota!$A373</f>
        <v>Pulverizador Manual — 173006</v>
      </c>
      <c r="B373" s="16" t="str">
        <f>Frota!$C373</f>
        <v>Pulverizador</v>
      </c>
      <c r="C373" s="22" t="str">
        <f>INDEX(Cronograma!B$5:B$11,MATCH($B373,Premissas!$A$39:$A$45,0))</f>
        <v/>
      </c>
      <c r="D373" s="22" t="str">
        <f>INDEX(Cronograma!C$5:C$11,MATCH($B373,Premissas!$A$39:$A$45,0))</f>
        <v/>
      </c>
      <c r="E373" s="22" t="str">
        <f>INDEX(Cronograma!D$5:D$11,MATCH($B373,Premissas!$A$39:$A$45,0))</f>
        <v/>
      </c>
      <c r="F373" s="22" t="str">
        <f>INDEX(Cronograma!E$5:E$11,MATCH($B373,Premissas!$A$39:$A$45,0))</f>
        <v/>
      </c>
      <c r="G373" s="22" t="str">
        <f>INDEX(Cronograma!F$5:F$11,MATCH($B373,Premissas!$A$39:$A$45,0))</f>
        <v>S</v>
      </c>
      <c r="H373" s="22" t="str">
        <f>INDEX(Cronograma!G$5:G$11,MATCH($B373,Premissas!$A$39:$A$45,0))</f>
        <v/>
      </c>
      <c r="I373" s="22" t="str">
        <f>INDEX(Cronograma!H$5:H$11,MATCH($B373,Premissas!$A$39:$A$45,0))</f>
        <v/>
      </c>
      <c r="J373" s="22" t="str">
        <f>INDEX(Cronograma!I$5:I$11,MATCH($B373,Premissas!$A$39:$A$45,0))</f>
        <v/>
      </c>
      <c r="K373" s="22" t="str">
        <f>INDEX(Cronograma!J$5:J$11,MATCH($B373,Premissas!$A$39:$A$45,0))</f>
        <v/>
      </c>
      <c r="L373" s="22" t="str">
        <f>INDEX(Cronograma!K$5:K$11,MATCH($B373,Premissas!$A$39:$A$45,0))</f>
        <v>A</v>
      </c>
      <c r="M373" s="22" t="str">
        <f>INDEX(Cronograma!L$5:L$11,MATCH($B373,Premissas!$A$39:$A$45,0))</f>
        <v/>
      </c>
      <c r="N373" s="22" t="str">
        <f>INDEX(Cronograma!M$5:M$11,MATCH($B373,Premissas!$A$39:$A$45,0))</f>
        <v/>
      </c>
      <c r="O373" s="22" t="str">
        <f>INDEX(Cronograma!N$5:N$11,MATCH($B373,Premissas!$A$39:$A$45,0))</f>
        <v/>
      </c>
      <c r="P373" s="22" t="str">
        <f>INDEX(Cronograma!O$5:O$11,MATCH($B373,Premissas!$A$39:$A$45,0))</f>
        <v/>
      </c>
      <c r="Q373" s="22" t="str">
        <f>INDEX(Cronograma!P$5:P$11,MATCH($B373,Premissas!$A$39:$A$45,0))</f>
        <v>S</v>
      </c>
      <c r="R373" s="22" t="str">
        <f>INDEX(Cronograma!Q$5:Q$11,MATCH($B373,Premissas!$A$39:$A$45,0))</f>
        <v/>
      </c>
      <c r="S373" s="22" t="str">
        <f>INDEX(Cronograma!R$5:R$11,MATCH($B373,Premissas!$A$39:$A$45,0))</f>
        <v/>
      </c>
      <c r="T373" s="22" t="str">
        <f>INDEX(Cronograma!S$5:S$11,MATCH($B373,Premissas!$A$39:$A$45,0))</f>
        <v/>
      </c>
      <c r="U373" s="22" t="str">
        <f>INDEX(Cronograma!T$5:T$11,MATCH($B373,Premissas!$A$39:$A$45,0))</f>
        <v/>
      </c>
      <c r="V373" s="22" t="str">
        <f>INDEX(Cronograma!U$5:U$11,MATCH($B373,Premissas!$A$39:$A$45,0))</f>
        <v>A</v>
      </c>
      <c r="W373" s="22" t="str">
        <f>INDEX(Cronograma!V$5:V$11,MATCH($B373,Premissas!$A$39:$A$45,0))</f>
        <v/>
      </c>
      <c r="X373" s="22" t="str">
        <f>INDEX(Cronograma!W$5:W$11,MATCH($B373,Premissas!$A$39:$A$45,0))</f>
        <v/>
      </c>
      <c r="Y373" s="22" t="str">
        <f>INDEX(Cronograma!X$5:X$11,MATCH($B373,Premissas!$A$39:$A$45,0))</f>
        <v/>
      </c>
      <c r="Z373" s="22" t="str">
        <f>INDEX(Cronograma!Y$5:Y$11,MATCH($B373,Premissas!$A$39:$A$45,0))</f>
        <v/>
      </c>
      <c r="AA373" s="22" t="str">
        <f>INDEX(Cronograma!Z$5:Z$11,MATCH($B373,Premissas!$A$39:$A$45,0))</f>
        <v>S</v>
      </c>
      <c r="AB373" s="22" t="str">
        <f>INDEX(Cronograma!AA$5:AA$11,MATCH($B373,Premissas!$A$39:$A$45,0))</f>
        <v/>
      </c>
      <c r="AC373" s="22" t="str">
        <f>INDEX(Cronograma!AB$5:AB$11,MATCH($B373,Premissas!$A$39:$A$45,0))</f>
        <v/>
      </c>
      <c r="AD373" s="22" t="str">
        <f>INDEX(Cronograma!AC$5:AC$11,MATCH($B373,Premissas!$A$39:$A$45,0))</f>
        <v/>
      </c>
      <c r="AE373" s="22" t="str">
        <f>INDEX(Cronograma!AD$5:AD$11,MATCH($B373,Premissas!$A$39:$A$45,0))</f>
        <v/>
      </c>
      <c r="AF373" s="22" t="str">
        <f>INDEX(Cronograma!AE$5:AE$11,MATCH($B373,Premissas!$A$39:$A$45,0))</f>
        <v>A</v>
      </c>
      <c r="AG373" s="22" t="str">
        <f>INDEX(Cronograma!AF$5:AF$11,MATCH($B373,Premissas!$A$39:$A$45,0))</f>
        <v/>
      </c>
      <c r="AH373" s="22" t="str">
        <f>INDEX(Cronograma!AG$5:AG$11,MATCH($B373,Premissas!$A$39:$A$45,0))</f>
        <v/>
      </c>
      <c r="AI373" s="22" t="str">
        <f>INDEX(Cronograma!AH$5:AH$11,MATCH($B373,Premissas!$A$39:$A$45,0))</f>
        <v/>
      </c>
      <c r="AJ373" s="22" t="str">
        <f>INDEX(Cronograma!AI$5:AI$11,MATCH($B373,Premissas!$A$39:$A$45,0))</f>
        <v/>
      </c>
      <c r="AK373" s="22" t="str">
        <f>INDEX(Cronograma!AJ$5:AJ$11,MATCH($B373,Premissas!$A$39:$A$45,0))</f>
        <v>S</v>
      </c>
      <c r="AL373" s="22" t="str">
        <f>INDEX(Cronograma!AK$5:AK$11,MATCH($B373,Premissas!$A$39:$A$45,0))</f>
        <v/>
      </c>
      <c r="AM373" s="22" t="str">
        <f>INDEX(Cronograma!AL$5:AL$11,MATCH($B373,Premissas!$A$39:$A$45,0))</f>
        <v/>
      </c>
      <c r="AN373" s="22" t="str">
        <f>INDEX(Cronograma!AM$5:AM$11,MATCH($B373,Premissas!$A$39:$A$45,0))</f>
        <v/>
      </c>
      <c r="AO373" s="22" t="str">
        <f>INDEX(Cronograma!AN$5:AN$11,MATCH($B373,Premissas!$A$39:$A$45,0))</f>
        <v/>
      </c>
      <c r="AP373" s="22" t="str">
        <f>INDEX(Cronograma!AO$5:AO$11,MATCH($B373,Premissas!$A$39:$A$45,0))</f>
        <v>A</v>
      </c>
      <c r="AQ373" s="22" t="str">
        <f>INDEX(Cronograma!AP$5:AP$11,MATCH($B373,Premissas!$A$39:$A$45,0))</f>
        <v/>
      </c>
      <c r="AR373" s="22" t="str">
        <f>INDEX(Cronograma!AQ$5:AQ$11,MATCH($B373,Premissas!$A$39:$A$45,0))</f>
        <v/>
      </c>
      <c r="AS373" s="22" t="str">
        <f>INDEX(Cronograma!AR$5:AR$11,MATCH($B373,Premissas!$A$39:$A$45,0))</f>
        <v/>
      </c>
      <c r="AT373" s="22" t="str">
        <f>INDEX(Cronograma!AS$5:AS$11,MATCH($B373,Premissas!$A$39:$A$45,0))</f>
        <v/>
      </c>
      <c r="AU373" s="22" t="str">
        <f>INDEX(Cronograma!AT$5:AT$11,MATCH($B373,Premissas!$A$39:$A$45,0))</f>
        <v>S</v>
      </c>
      <c r="AV373" s="22" t="str">
        <f>INDEX(Cronograma!AU$5:AU$11,MATCH($B373,Premissas!$A$39:$A$45,0))</f>
        <v/>
      </c>
      <c r="AW373" s="22" t="str">
        <f>INDEX(Cronograma!AV$5:AV$11,MATCH($B373,Premissas!$A$39:$A$45,0))</f>
        <v/>
      </c>
      <c r="AX373" s="22" t="str">
        <f>INDEX(Cronograma!AW$5:AW$11,MATCH($B373,Premissas!$A$39:$A$45,0))</f>
        <v/>
      </c>
      <c r="AY373" s="22" t="str">
        <f>INDEX(Cronograma!AX$5:AX$11,MATCH($B373,Premissas!$A$39:$A$45,0))</f>
        <v/>
      </c>
      <c r="AZ373" s="22" t="str">
        <f>INDEX(Cronograma!AY$5:AY$11,MATCH($B373,Premissas!$A$39:$A$45,0))</f>
        <v>A</v>
      </c>
      <c r="BA373" s="22" t="str">
        <f>INDEX(Cronograma!AZ$5:AZ$11,MATCH($B373,Premissas!$A$39:$A$45,0))</f>
        <v/>
      </c>
      <c r="BB373" s="22" t="str">
        <f>INDEX(Cronograma!BA$5:BA$11,MATCH($B373,Premissas!$A$39:$A$45,0))</f>
        <v/>
      </c>
    </row>
    <row r="374" spans="1:54" ht="15" customHeight="1" x14ac:dyDescent="0.4">
      <c r="A374" s="15" t="str">
        <f>Frota!$B374&amp;" — "&amp;Frota!$A374</f>
        <v>Pulverizador Manual — 173007</v>
      </c>
      <c r="B374" s="16" t="str">
        <f>Frota!$C374</f>
        <v>Pulverizador</v>
      </c>
      <c r="C374" s="22" t="str">
        <f>INDEX(Cronograma!B$5:B$11,MATCH($B374,Premissas!$A$39:$A$45,0))</f>
        <v/>
      </c>
      <c r="D374" s="22" t="str">
        <f>INDEX(Cronograma!C$5:C$11,MATCH($B374,Premissas!$A$39:$A$45,0))</f>
        <v/>
      </c>
      <c r="E374" s="22" t="str">
        <f>INDEX(Cronograma!D$5:D$11,MATCH($B374,Premissas!$A$39:$A$45,0))</f>
        <v/>
      </c>
      <c r="F374" s="22" t="str">
        <f>INDEX(Cronograma!E$5:E$11,MATCH($B374,Premissas!$A$39:$A$45,0))</f>
        <v/>
      </c>
      <c r="G374" s="22" t="str">
        <f>INDEX(Cronograma!F$5:F$11,MATCH($B374,Premissas!$A$39:$A$45,0))</f>
        <v>S</v>
      </c>
      <c r="H374" s="22" t="str">
        <f>INDEX(Cronograma!G$5:G$11,MATCH($B374,Premissas!$A$39:$A$45,0))</f>
        <v/>
      </c>
      <c r="I374" s="22" t="str">
        <f>INDEX(Cronograma!H$5:H$11,MATCH($B374,Premissas!$A$39:$A$45,0))</f>
        <v/>
      </c>
      <c r="J374" s="22" t="str">
        <f>INDEX(Cronograma!I$5:I$11,MATCH($B374,Premissas!$A$39:$A$45,0))</f>
        <v/>
      </c>
      <c r="K374" s="22" t="str">
        <f>INDEX(Cronograma!J$5:J$11,MATCH($B374,Premissas!$A$39:$A$45,0))</f>
        <v/>
      </c>
      <c r="L374" s="22" t="str">
        <f>INDEX(Cronograma!K$5:K$11,MATCH($B374,Premissas!$A$39:$A$45,0))</f>
        <v>A</v>
      </c>
      <c r="M374" s="22" t="str">
        <f>INDEX(Cronograma!L$5:L$11,MATCH($B374,Premissas!$A$39:$A$45,0))</f>
        <v/>
      </c>
      <c r="N374" s="22" t="str">
        <f>INDEX(Cronograma!M$5:M$11,MATCH($B374,Premissas!$A$39:$A$45,0))</f>
        <v/>
      </c>
      <c r="O374" s="22" t="str">
        <f>INDEX(Cronograma!N$5:N$11,MATCH($B374,Premissas!$A$39:$A$45,0))</f>
        <v/>
      </c>
      <c r="P374" s="22" t="str">
        <f>INDEX(Cronograma!O$5:O$11,MATCH($B374,Premissas!$A$39:$A$45,0))</f>
        <v/>
      </c>
      <c r="Q374" s="22" t="str">
        <f>INDEX(Cronograma!P$5:P$11,MATCH($B374,Premissas!$A$39:$A$45,0))</f>
        <v>S</v>
      </c>
      <c r="R374" s="22" t="str">
        <f>INDEX(Cronograma!Q$5:Q$11,MATCH($B374,Premissas!$A$39:$A$45,0))</f>
        <v/>
      </c>
      <c r="S374" s="22" t="str">
        <f>INDEX(Cronograma!R$5:R$11,MATCH($B374,Premissas!$A$39:$A$45,0))</f>
        <v/>
      </c>
      <c r="T374" s="22" t="str">
        <f>INDEX(Cronograma!S$5:S$11,MATCH($B374,Premissas!$A$39:$A$45,0))</f>
        <v/>
      </c>
      <c r="U374" s="22" t="str">
        <f>INDEX(Cronograma!T$5:T$11,MATCH($B374,Premissas!$A$39:$A$45,0))</f>
        <v/>
      </c>
      <c r="V374" s="22" t="str">
        <f>INDEX(Cronograma!U$5:U$11,MATCH($B374,Premissas!$A$39:$A$45,0))</f>
        <v>A</v>
      </c>
      <c r="W374" s="22" t="str">
        <f>INDEX(Cronograma!V$5:V$11,MATCH($B374,Premissas!$A$39:$A$45,0))</f>
        <v/>
      </c>
      <c r="X374" s="22" t="str">
        <f>INDEX(Cronograma!W$5:W$11,MATCH($B374,Premissas!$A$39:$A$45,0))</f>
        <v/>
      </c>
      <c r="Y374" s="22" t="str">
        <f>INDEX(Cronograma!X$5:X$11,MATCH($B374,Premissas!$A$39:$A$45,0))</f>
        <v/>
      </c>
      <c r="Z374" s="22" t="str">
        <f>INDEX(Cronograma!Y$5:Y$11,MATCH($B374,Premissas!$A$39:$A$45,0))</f>
        <v/>
      </c>
      <c r="AA374" s="22" t="str">
        <f>INDEX(Cronograma!Z$5:Z$11,MATCH($B374,Premissas!$A$39:$A$45,0))</f>
        <v>S</v>
      </c>
      <c r="AB374" s="22" t="str">
        <f>INDEX(Cronograma!AA$5:AA$11,MATCH($B374,Premissas!$A$39:$A$45,0))</f>
        <v/>
      </c>
      <c r="AC374" s="22" t="str">
        <f>INDEX(Cronograma!AB$5:AB$11,MATCH($B374,Premissas!$A$39:$A$45,0))</f>
        <v/>
      </c>
      <c r="AD374" s="22" t="str">
        <f>INDEX(Cronograma!AC$5:AC$11,MATCH($B374,Premissas!$A$39:$A$45,0))</f>
        <v/>
      </c>
      <c r="AE374" s="22" t="str">
        <f>INDEX(Cronograma!AD$5:AD$11,MATCH($B374,Premissas!$A$39:$A$45,0))</f>
        <v/>
      </c>
      <c r="AF374" s="22" t="str">
        <f>INDEX(Cronograma!AE$5:AE$11,MATCH($B374,Premissas!$A$39:$A$45,0))</f>
        <v>A</v>
      </c>
      <c r="AG374" s="22" t="str">
        <f>INDEX(Cronograma!AF$5:AF$11,MATCH($B374,Premissas!$A$39:$A$45,0))</f>
        <v/>
      </c>
      <c r="AH374" s="22" t="str">
        <f>INDEX(Cronograma!AG$5:AG$11,MATCH($B374,Premissas!$A$39:$A$45,0))</f>
        <v/>
      </c>
      <c r="AI374" s="22" t="str">
        <f>INDEX(Cronograma!AH$5:AH$11,MATCH($B374,Premissas!$A$39:$A$45,0))</f>
        <v/>
      </c>
      <c r="AJ374" s="22" t="str">
        <f>INDEX(Cronograma!AI$5:AI$11,MATCH($B374,Premissas!$A$39:$A$45,0))</f>
        <v/>
      </c>
      <c r="AK374" s="22" t="str">
        <f>INDEX(Cronograma!AJ$5:AJ$11,MATCH($B374,Premissas!$A$39:$A$45,0))</f>
        <v>S</v>
      </c>
      <c r="AL374" s="22" t="str">
        <f>INDEX(Cronograma!AK$5:AK$11,MATCH($B374,Premissas!$A$39:$A$45,0))</f>
        <v/>
      </c>
      <c r="AM374" s="22" t="str">
        <f>INDEX(Cronograma!AL$5:AL$11,MATCH($B374,Premissas!$A$39:$A$45,0))</f>
        <v/>
      </c>
      <c r="AN374" s="22" t="str">
        <f>INDEX(Cronograma!AM$5:AM$11,MATCH($B374,Premissas!$A$39:$A$45,0))</f>
        <v/>
      </c>
      <c r="AO374" s="22" t="str">
        <f>INDEX(Cronograma!AN$5:AN$11,MATCH($B374,Premissas!$A$39:$A$45,0))</f>
        <v/>
      </c>
      <c r="AP374" s="22" t="str">
        <f>INDEX(Cronograma!AO$5:AO$11,MATCH($B374,Premissas!$A$39:$A$45,0))</f>
        <v>A</v>
      </c>
      <c r="AQ374" s="22" t="str">
        <f>INDEX(Cronograma!AP$5:AP$11,MATCH($B374,Premissas!$A$39:$A$45,0))</f>
        <v/>
      </c>
      <c r="AR374" s="22" t="str">
        <f>INDEX(Cronograma!AQ$5:AQ$11,MATCH($B374,Premissas!$A$39:$A$45,0))</f>
        <v/>
      </c>
      <c r="AS374" s="22" t="str">
        <f>INDEX(Cronograma!AR$5:AR$11,MATCH($B374,Premissas!$A$39:$A$45,0))</f>
        <v/>
      </c>
      <c r="AT374" s="22" t="str">
        <f>INDEX(Cronograma!AS$5:AS$11,MATCH($B374,Premissas!$A$39:$A$45,0))</f>
        <v/>
      </c>
      <c r="AU374" s="22" t="str">
        <f>INDEX(Cronograma!AT$5:AT$11,MATCH($B374,Premissas!$A$39:$A$45,0))</f>
        <v>S</v>
      </c>
      <c r="AV374" s="22" t="str">
        <f>INDEX(Cronograma!AU$5:AU$11,MATCH($B374,Premissas!$A$39:$A$45,0))</f>
        <v/>
      </c>
      <c r="AW374" s="22" t="str">
        <f>INDEX(Cronograma!AV$5:AV$11,MATCH($B374,Premissas!$A$39:$A$45,0))</f>
        <v/>
      </c>
      <c r="AX374" s="22" t="str">
        <f>INDEX(Cronograma!AW$5:AW$11,MATCH($B374,Premissas!$A$39:$A$45,0))</f>
        <v/>
      </c>
      <c r="AY374" s="22" t="str">
        <f>INDEX(Cronograma!AX$5:AX$11,MATCH($B374,Premissas!$A$39:$A$45,0))</f>
        <v/>
      </c>
      <c r="AZ374" s="22" t="str">
        <f>INDEX(Cronograma!AY$5:AY$11,MATCH($B374,Premissas!$A$39:$A$45,0))</f>
        <v>A</v>
      </c>
      <c r="BA374" s="22" t="str">
        <f>INDEX(Cronograma!AZ$5:AZ$11,MATCH($B374,Premissas!$A$39:$A$45,0))</f>
        <v/>
      </c>
      <c r="BB374" s="22" t="str">
        <f>INDEX(Cronograma!BA$5:BA$11,MATCH($B374,Premissas!$A$39:$A$45,0))</f>
        <v/>
      </c>
    </row>
    <row r="375" spans="1:54" ht="15" customHeight="1" x14ac:dyDescent="0.4">
      <c r="A375" s="15" t="str">
        <f>Frota!$B375&amp;" — "&amp;Frota!$A375</f>
        <v>Bomba Branco — 178027</v>
      </c>
      <c r="B375" s="16" t="str">
        <f>Frota!$C375</f>
        <v>Implemento</v>
      </c>
      <c r="C375" s="22" t="str">
        <f>INDEX(Cronograma!B$5:B$11,MATCH($B375,Premissas!$A$39:$A$45,0))</f>
        <v/>
      </c>
      <c r="D375" s="22" t="str">
        <f>INDEX(Cronograma!C$5:C$11,MATCH($B375,Premissas!$A$39:$A$45,0))</f>
        <v/>
      </c>
      <c r="E375" s="22" t="str">
        <f>INDEX(Cronograma!D$5:D$11,MATCH($B375,Premissas!$A$39:$A$45,0))</f>
        <v/>
      </c>
      <c r="F375" s="22" t="str">
        <f>INDEX(Cronograma!E$5:E$11,MATCH($B375,Premissas!$A$39:$A$45,0))</f>
        <v/>
      </c>
      <c r="G375" s="22" t="str">
        <f>INDEX(Cronograma!F$5:F$11,MATCH($B375,Premissas!$A$39:$A$45,0))</f>
        <v/>
      </c>
      <c r="H375" s="22" t="str">
        <f>INDEX(Cronograma!G$5:G$11,MATCH($B375,Premissas!$A$39:$A$45,0))</f>
        <v/>
      </c>
      <c r="I375" s="22" t="str">
        <f>INDEX(Cronograma!H$5:H$11,MATCH($B375,Premissas!$A$39:$A$45,0))</f>
        <v/>
      </c>
      <c r="J375" s="22" t="str">
        <f>INDEX(Cronograma!I$5:I$11,MATCH($B375,Premissas!$A$39:$A$45,0))</f>
        <v>S</v>
      </c>
      <c r="K375" s="22" t="str">
        <f>INDEX(Cronograma!J$5:J$11,MATCH($B375,Premissas!$A$39:$A$45,0))</f>
        <v/>
      </c>
      <c r="L375" s="22" t="str">
        <f>INDEX(Cronograma!K$5:K$11,MATCH($B375,Premissas!$A$39:$A$45,0))</f>
        <v/>
      </c>
      <c r="M375" s="22" t="str">
        <f>INDEX(Cronograma!L$5:L$11,MATCH($B375,Premissas!$A$39:$A$45,0))</f>
        <v/>
      </c>
      <c r="N375" s="22" t="str">
        <f>INDEX(Cronograma!M$5:M$11,MATCH($B375,Premissas!$A$39:$A$45,0))</f>
        <v/>
      </c>
      <c r="O375" s="22" t="str">
        <f>INDEX(Cronograma!N$5:N$11,MATCH($B375,Premissas!$A$39:$A$45,0))</f>
        <v/>
      </c>
      <c r="P375" s="22" t="str">
        <f>INDEX(Cronograma!O$5:O$11,MATCH($B375,Premissas!$A$39:$A$45,0))</f>
        <v/>
      </c>
      <c r="Q375" s="22" t="str">
        <f>INDEX(Cronograma!P$5:P$11,MATCH($B375,Premissas!$A$39:$A$45,0))</f>
        <v/>
      </c>
      <c r="R375" s="22" t="str">
        <f>INDEX(Cronograma!Q$5:Q$11,MATCH($B375,Premissas!$A$39:$A$45,0))</f>
        <v>A</v>
      </c>
      <c r="S375" s="22" t="str">
        <f>INDEX(Cronograma!R$5:R$11,MATCH($B375,Premissas!$A$39:$A$45,0))</f>
        <v/>
      </c>
      <c r="T375" s="22" t="str">
        <f>INDEX(Cronograma!S$5:S$11,MATCH($B375,Premissas!$A$39:$A$45,0))</f>
        <v/>
      </c>
      <c r="U375" s="22" t="str">
        <f>INDEX(Cronograma!T$5:T$11,MATCH($B375,Premissas!$A$39:$A$45,0))</f>
        <v/>
      </c>
      <c r="V375" s="22" t="str">
        <f>INDEX(Cronograma!U$5:U$11,MATCH($B375,Premissas!$A$39:$A$45,0))</f>
        <v/>
      </c>
      <c r="W375" s="22" t="str">
        <f>INDEX(Cronograma!V$5:V$11,MATCH($B375,Premissas!$A$39:$A$45,0))</f>
        <v/>
      </c>
      <c r="X375" s="22" t="str">
        <f>INDEX(Cronograma!W$5:W$11,MATCH($B375,Premissas!$A$39:$A$45,0))</f>
        <v/>
      </c>
      <c r="Y375" s="22" t="str">
        <f>INDEX(Cronograma!X$5:X$11,MATCH($B375,Premissas!$A$39:$A$45,0))</f>
        <v/>
      </c>
      <c r="Z375" s="22" t="str">
        <f>INDEX(Cronograma!Y$5:Y$11,MATCH($B375,Premissas!$A$39:$A$45,0))</f>
        <v>S</v>
      </c>
      <c r="AA375" s="22" t="str">
        <f>INDEX(Cronograma!Z$5:Z$11,MATCH($B375,Premissas!$A$39:$A$45,0))</f>
        <v/>
      </c>
      <c r="AB375" s="22" t="str">
        <f>INDEX(Cronograma!AA$5:AA$11,MATCH($B375,Premissas!$A$39:$A$45,0))</f>
        <v/>
      </c>
      <c r="AC375" s="22" t="str">
        <f>INDEX(Cronograma!AB$5:AB$11,MATCH($B375,Premissas!$A$39:$A$45,0))</f>
        <v/>
      </c>
      <c r="AD375" s="22" t="str">
        <f>INDEX(Cronograma!AC$5:AC$11,MATCH($B375,Premissas!$A$39:$A$45,0))</f>
        <v/>
      </c>
      <c r="AE375" s="22" t="str">
        <f>INDEX(Cronograma!AD$5:AD$11,MATCH($B375,Premissas!$A$39:$A$45,0))</f>
        <v/>
      </c>
      <c r="AF375" s="22" t="str">
        <f>INDEX(Cronograma!AE$5:AE$11,MATCH($B375,Premissas!$A$39:$A$45,0))</f>
        <v/>
      </c>
      <c r="AG375" s="22" t="str">
        <f>INDEX(Cronograma!AF$5:AF$11,MATCH($B375,Premissas!$A$39:$A$45,0))</f>
        <v/>
      </c>
      <c r="AH375" s="22" t="str">
        <f>INDEX(Cronograma!AG$5:AG$11,MATCH($B375,Premissas!$A$39:$A$45,0))</f>
        <v/>
      </c>
      <c r="AI375" s="22" t="str">
        <f>INDEX(Cronograma!AH$5:AH$11,MATCH($B375,Premissas!$A$39:$A$45,0))</f>
        <v/>
      </c>
      <c r="AJ375" s="22" t="str">
        <f>INDEX(Cronograma!AI$5:AI$11,MATCH($B375,Premissas!$A$39:$A$45,0))</f>
        <v/>
      </c>
      <c r="AK375" s="22" t="str">
        <f>INDEX(Cronograma!AJ$5:AJ$11,MATCH($B375,Premissas!$A$39:$A$45,0))</f>
        <v/>
      </c>
      <c r="AL375" s="22" t="str">
        <f>INDEX(Cronograma!AK$5:AK$11,MATCH($B375,Premissas!$A$39:$A$45,0))</f>
        <v>A</v>
      </c>
      <c r="AM375" s="22" t="str">
        <f>INDEX(Cronograma!AL$5:AL$11,MATCH($B375,Premissas!$A$39:$A$45,0))</f>
        <v/>
      </c>
      <c r="AN375" s="22" t="str">
        <f>INDEX(Cronograma!AM$5:AM$11,MATCH($B375,Premissas!$A$39:$A$45,0))</f>
        <v/>
      </c>
      <c r="AO375" s="22" t="str">
        <f>INDEX(Cronograma!AN$5:AN$11,MATCH($B375,Premissas!$A$39:$A$45,0))</f>
        <v/>
      </c>
      <c r="AP375" s="22" t="str">
        <f>INDEX(Cronograma!AO$5:AO$11,MATCH($B375,Premissas!$A$39:$A$45,0))</f>
        <v/>
      </c>
      <c r="AQ375" s="22" t="str">
        <f>INDEX(Cronograma!AP$5:AP$11,MATCH($B375,Premissas!$A$39:$A$45,0))</f>
        <v/>
      </c>
      <c r="AR375" s="22" t="str">
        <f>INDEX(Cronograma!AQ$5:AQ$11,MATCH($B375,Premissas!$A$39:$A$45,0))</f>
        <v/>
      </c>
      <c r="AS375" s="22" t="str">
        <f>INDEX(Cronograma!AR$5:AR$11,MATCH($B375,Premissas!$A$39:$A$45,0))</f>
        <v/>
      </c>
      <c r="AT375" s="22" t="str">
        <f>INDEX(Cronograma!AS$5:AS$11,MATCH($B375,Premissas!$A$39:$A$45,0))</f>
        <v/>
      </c>
      <c r="AU375" s="22" t="str">
        <f>INDEX(Cronograma!AT$5:AT$11,MATCH($B375,Premissas!$A$39:$A$45,0))</f>
        <v/>
      </c>
      <c r="AV375" s="22" t="str">
        <f>INDEX(Cronograma!AU$5:AU$11,MATCH($B375,Premissas!$A$39:$A$45,0))</f>
        <v/>
      </c>
      <c r="AW375" s="22" t="str">
        <f>INDEX(Cronograma!AV$5:AV$11,MATCH($B375,Premissas!$A$39:$A$45,0))</f>
        <v/>
      </c>
      <c r="AX375" s="22" t="str">
        <f>INDEX(Cronograma!AW$5:AW$11,MATCH($B375,Premissas!$A$39:$A$45,0))</f>
        <v/>
      </c>
      <c r="AY375" s="22" t="str">
        <f>INDEX(Cronograma!AX$5:AX$11,MATCH($B375,Premissas!$A$39:$A$45,0))</f>
        <v/>
      </c>
      <c r="AZ375" s="22" t="str">
        <f>INDEX(Cronograma!AY$5:AY$11,MATCH($B375,Premissas!$A$39:$A$45,0))</f>
        <v/>
      </c>
      <c r="BA375" s="22" t="str">
        <f>INDEX(Cronograma!AZ$5:AZ$11,MATCH($B375,Premissas!$A$39:$A$45,0))</f>
        <v/>
      </c>
      <c r="BB375" s="22" t="str">
        <f>INDEX(Cronograma!BA$5:BA$11,MATCH($B375,Premissas!$A$39:$A$45,0))</f>
        <v/>
      </c>
    </row>
    <row r="376" spans="1:54" ht="15" customHeight="1" x14ac:dyDescent="0.4">
      <c r="A376" s="15" t="str">
        <f>Frota!$B376&amp;" — "&amp;Frota!$A376</f>
        <v>Bomba Branco — 178030</v>
      </c>
      <c r="B376" s="16" t="str">
        <f>Frota!$C376</f>
        <v>Implemento</v>
      </c>
      <c r="C376" s="22" t="str">
        <f>INDEX(Cronograma!B$5:B$11,MATCH($B376,Premissas!$A$39:$A$45,0))</f>
        <v/>
      </c>
      <c r="D376" s="22" t="str">
        <f>INDEX(Cronograma!C$5:C$11,MATCH($B376,Premissas!$A$39:$A$45,0))</f>
        <v/>
      </c>
      <c r="E376" s="22" t="str">
        <f>INDEX(Cronograma!D$5:D$11,MATCH($B376,Premissas!$A$39:$A$45,0))</f>
        <v/>
      </c>
      <c r="F376" s="22" t="str">
        <f>INDEX(Cronograma!E$5:E$11,MATCH($B376,Premissas!$A$39:$A$45,0))</f>
        <v/>
      </c>
      <c r="G376" s="22" t="str">
        <f>INDEX(Cronograma!F$5:F$11,MATCH($B376,Premissas!$A$39:$A$45,0))</f>
        <v/>
      </c>
      <c r="H376" s="22" t="str">
        <f>INDEX(Cronograma!G$5:G$11,MATCH($B376,Premissas!$A$39:$A$45,0))</f>
        <v/>
      </c>
      <c r="I376" s="22" t="str">
        <f>INDEX(Cronograma!H$5:H$11,MATCH($B376,Premissas!$A$39:$A$45,0))</f>
        <v/>
      </c>
      <c r="J376" s="22" t="str">
        <f>INDEX(Cronograma!I$5:I$11,MATCH($B376,Premissas!$A$39:$A$45,0))</f>
        <v>S</v>
      </c>
      <c r="K376" s="22" t="str">
        <f>INDEX(Cronograma!J$5:J$11,MATCH($B376,Premissas!$A$39:$A$45,0))</f>
        <v/>
      </c>
      <c r="L376" s="22" t="str">
        <f>INDEX(Cronograma!K$5:K$11,MATCH($B376,Premissas!$A$39:$A$45,0))</f>
        <v/>
      </c>
      <c r="M376" s="22" t="str">
        <f>INDEX(Cronograma!L$5:L$11,MATCH($B376,Premissas!$A$39:$A$45,0))</f>
        <v/>
      </c>
      <c r="N376" s="22" t="str">
        <f>INDEX(Cronograma!M$5:M$11,MATCH($B376,Premissas!$A$39:$A$45,0))</f>
        <v/>
      </c>
      <c r="O376" s="22" t="str">
        <f>INDEX(Cronograma!N$5:N$11,MATCH($B376,Premissas!$A$39:$A$45,0))</f>
        <v/>
      </c>
      <c r="P376" s="22" t="str">
        <f>INDEX(Cronograma!O$5:O$11,MATCH($B376,Premissas!$A$39:$A$45,0))</f>
        <v/>
      </c>
      <c r="Q376" s="22" t="str">
        <f>INDEX(Cronograma!P$5:P$11,MATCH($B376,Premissas!$A$39:$A$45,0))</f>
        <v/>
      </c>
      <c r="R376" s="22" t="str">
        <f>INDEX(Cronograma!Q$5:Q$11,MATCH($B376,Premissas!$A$39:$A$45,0))</f>
        <v>A</v>
      </c>
      <c r="S376" s="22" t="str">
        <f>INDEX(Cronograma!R$5:R$11,MATCH($B376,Premissas!$A$39:$A$45,0))</f>
        <v/>
      </c>
      <c r="T376" s="22" t="str">
        <f>INDEX(Cronograma!S$5:S$11,MATCH($B376,Premissas!$A$39:$A$45,0))</f>
        <v/>
      </c>
      <c r="U376" s="22" t="str">
        <f>INDEX(Cronograma!T$5:T$11,MATCH($B376,Premissas!$A$39:$A$45,0))</f>
        <v/>
      </c>
      <c r="V376" s="22" t="str">
        <f>INDEX(Cronograma!U$5:U$11,MATCH($B376,Premissas!$A$39:$A$45,0))</f>
        <v/>
      </c>
      <c r="W376" s="22" t="str">
        <f>INDEX(Cronograma!V$5:V$11,MATCH($B376,Premissas!$A$39:$A$45,0))</f>
        <v/>
      </c>
      <c r="X376" s="22" t="str">
        <f>INDEX(Cronograma!W$5:W$11,MATCH($B376,Premissas!$A$39:$A$45,0))</f>
        <v/>
      </c>
      <c r="Y376" s="22" t="str">
        <f>INDEX(Cronograma!X$5:X$11,MATCH($B376,Premissas!$A$39:$A$45,0))</f>
        <v/>
      </c>
      <c r="Z376" s="22" t="str">
        <f>INDEX(Cronograma!Y$5:Y$11,MATCH($B376,Premissas!$A$39:$A$45,0))</f>
        <v>S</v>
      </c>
      <c r="AA376" s="22" t="str">
        <f>INDEX(Cronograma!Z$5:Z$11,MATCH($B376,Premissas!$A$39:$A$45,0))</f>
        <v/>
      </c>
      <c r="AB376" s="22" t="str">
        <f>INDEX(Cronograma!AA$5:AA$11,MATCH($B376,Premissas!$A$39:$A$45,0))</f>
        <v/>
      </c>
      <c r="AC376" s="22" t="str">
        <f>INDEX(Cronograma!AB$5:AB$11,MATCH($B376,Premissas!$A$39:$A$45,0))</f>
        <v/>
      </c>
      <c r="AD376" s="22" t="str">
        <f>INDEX(Cronograma!AC$5:AC$11,MATCH($B376,Premissas!$A$39:$A$45,0))</f>
        <v/>
      </c>
      <c r="AE376" s="22" t="str">
        <f>INDEX(Cronograma!AD$5:AD$11,MATCH($B376,Premissas!$A$39:$A$45,0))</f>
        <v/>
      </c>
      <c r="AF376" s="22" t="str">
        <f>INDEX(Cronograma!AE$5:AE$11,MATCH($B376,Premissas!$A$39:$A$45,0))</f>
        <v/>
      </c>
      <c r="AG376" s="22" t="str">
        <f>INDEX(Cronograma!AF$5:AF$11,MATCH($B376,Premissas!$A$39:$A$45,0))</f>
        <v/>
      </c>
      <c r="AH376" s="22" t="str">
        <f>INDEX(Cronograma!AG$5:AG$11,MATCH($B376,Premissas!$A$39:$A$45,0))</f>
        <v/>
      </c>
      <c r="AI376" s="22" t="str">
        <f>INDEX(Cronograma!AH$5:AH$11,MATCH($B376,Premissas!$A$39:$A$45,0))</f>
        <v/>
      </c>
      <c r="AJ376" s="22" t="str">
        <f>INDEX(Cronograma!AI$5:AI$11,MATCH($B376,Premissas!$A$39:$A$45,0))</f>
        <v/>
      </c>
      <c r="AK376" s="22" t="str">
        <f>INDEX(Cronograma!AJ$5:AJ$11,MATCH($B376,Premissas!$A$39:$A$45,0))</f>
        <v/>
      </c>
      <c r="AL376" s="22" t="str">
        <f>INDEX(Cronograma!AK$5:AK$11,MATCH($B376,Premissas!$A$39:$A$45,0))</f>
        <v>A</v>
      </c>
      <c r="AM376" s="22" t="str">
        <f>INDEX(Cronograma!AL$5:AL$11,MATCH($B376,Premissas!$A$39:$A$45,0))</f>
        <v/>
      </c>
      <c r="AN376" s="22" t="str">
        <f>INDEX(Cronograma!AM$5:AM$11,MATCH($B376,Premissas!$A$39:$A$45,0))</f>
        <v/>
      </c>
      <c r="AO376" s="22" t="str">
        <f>INDEX(Cronograma!AN$5:AN$11,MATCH($B376,Premissas!$A$39:$A$45,0))</f>
        <v/>
      </c>
      <c r="AP376" s="22" t="str">
        <f>INDEX(Cronograma!AO$5:AO$11,MATCH($B376,Premissas!$A$39:$A$45,0))</f>
        <v/>
      </c>
      <c r="AQ376" s="22" t="str">
        <f>INDEX(Cronograma!AP$5:AP$11,MATCH($B376,Premissas!$A$39:$A$45,0))</f>
        <v/>
      </c>
      <c r="AR376" s="22" t="str">
        <f>INDEX(Cronograma!AQ$5:AQ$11,MATCH($B376,Premissas!$A$39:$A$45,0))</f>
        <v/>
      </c>
      <c r="AS376" s="22" t="str">
        <f>INDEX(Cronograma!AR$5:AR$11,MATCH($B376,Premissas!$A$39:$A$45,0))</f>
        <v/>
      </c>
      <c r="AT376" s="22" t="str">
        <f>INDEX(Cronograma!AS$5:AS$11,MATCH($B376,Premissas!$A$39:$A$45,0))</f>
        <v/>
      </c>
      <c r="AU376" s="22" t="str">
        <f>INDEX(Cronograma!AT$5:AT$11,MATCH($B376,Premissas!$A$39:$A$45,0))</f>
        <v/>
      </c>
      <c r="AV376" s="22" t="str">
        <f>INDEX(Cronograma!AU$5:AU$11,MATCH($B376,Premissas!$A$39:$A$45,0))</f>
        <v/>
      </c>
      <c r="AW376" s="22" t="str">
        <f>INDEX(Cronograma!AV$5:AV$11,MATCH($B376,Premissas!$A$39:$A$45,0))</f>
        <v/>
      </c>
      <c r="AX376" s="22" t="str">
        <f>INDEX(Cronograma!AW$5:AW$11,MATCH($B376,Premissas!$A$39:$A$45,0))</f>
        <v/>
      </c>
      <c r="AY376" s="22" t="str">
        <f>INDEX(Cronograma!AX$5:AX$11,MATCH($B376,Premissas!$A$39:$A$45,0))</f>
        <v/>
      </c>
      <c r="AZ376" s="22" t="str">
        <f>INDEX(Cronograma!AY$5:AY$11,MATCH($B376,Premissas!$A$39:$A$45,0))</f>
        <v/>
      </c>
      <c r="BA376" s="22" t="str">
        <f>INDEX(Cronograma!AZ$5:AZ$11,MATCH($B376,Premissas!$A$39:$A$45,0))</f>
        <v/>
      </c>
      <c r="BB376" s="22" t="str">
        <f>INDEX(Cronograma!BA$5:BA$11,MATCH($B376,Premissas!$A$39:$A$45,0))</f>
        <v/>
      </c>
    </row>
    <row r="377" spans="1:54" ht="15" customHeight="1" x14ac:dyDescent="0.4">
      <c r="A377" s="15" t="str">
        <f>Frota!$B377&amp;" — "&amp;Frota!$A377</f>
        <v>Termonebulizador — 178040</v>
      </c>
      <c r="B377" s="16" t="str">
        <f>Frota!$C377</f>
        <v>Implemento</v>
      </c>
      <c r="C377" s="22" t="str">
        <f>INDEX(Cronograma!B$5:B$11,MATCH($B377,Premissas!$A$39:$A$45,0))</f>
        <v/>
      </c>
      <c r="D377" s="22" t="str">
        <f>INDEX(Cronograma!C$5:C$11,MATCH($B377,Premissas!$A$39:$A$45,0))</f>
        <v/>
      </c>
      <c r="E377" s="22" t="str">
        <f>INDEX(Cronograma!D$5:D$11,MATCH($B377,Premissas!$A$39:$A$45,0))</f>
        <v/>
      </c>
      <c r="F377" s="22" t="str">
        <f>INDEX(Cronograma!E$5:E$11,MATCH($B377,Premissas!$A$39:$A$45,0))</f>
        <v/>
      </c>
      <c r="G377" s="22" t="str">
        <f>INDEX(Cronograma!F$5:F$11,MATCH($B377,Premissas!$A$39:$A$45,0))</f>
        <v/>
      </c>
      <c r="H377" s="22" t="str">
        <f>INDEX(Cronograma!G$5:G$11,MATCH($B377,Premissas!$A$39:$A$45,0))</f>
        <v/>
      </c>
      <c r="I377" s="22" t="str">
        <f>INDEX(Cronograma!H$5:H$11,MATCH($B377,Premissas!$A$39:$A$45,0))</f>
        <v/>
      </c>
      <c r="J377" s="22" t="str">
        <f>INDEX(Cronograma!I$5:I$11,MATCH($B377,Premissas!$A$39:$A$45,0))</f>
        <v>S</v>
      </c>
      <c r="K377" s="22" t="str">
        <f>INDEX(Cronograma!J$5:J$11,MATCH($B377,Premissas!$A$39:$A$45,0))</f>
        <v/>
      </c>
      <c r="L377" s="22" t="str">
        <f>INDEX(Cronograma!K$5:K$11,MATCH($B377,Premissas!$A$39:$A$45,0))</f>
        <v/>
      </c>
      <c r="M377" s="22" t="str">
        <f>INDEX(Cronograma!L$5:L$11,MATCH($B377,Premissas!$A$39:$A$45,0))</f>
        <v/>
      </c>
      <c r="N377" s="22" t="str">
        <f>INDEX(Cronograma!M$5:M$11,MATCH($B377,Premissas!$A$39:$A$45,0))</f>
        <v/>
      </c>
      <c r="O377" s="22" t="str">
        <f>INDEX(Cronograma!N$5:N$11,MATCH($B377,Premissas!$A$39:$A$45,0))</f>
        <v/>
      </c>
      <c r="P377" s="22" t="str">
        <f>INDEX(Cronograma!O$5:O$11,MATCH($B377,Premissas!$A$39:$A$45,0))</f>
        <v/>
      </c>
      <c r="Q377" s="22" t="str">
        <f>INDEX(Cronograma!P$5:P$11,MATCH($B377,Premissas!$A$39:$A$45,0))</f>
        <v/>
      </c>
      <c r="R377" s="22" t="str">
        <f>INDEX(Cronograma!Q$5:Q$11,MATCH($B377,Premissas!$A$39:$A$45,0))</f>
        <v>A</v>
      </c>
      <c r="S377" s="22" t="str">
        <f>INDEX(Cronograma!R$5:R$11,MATCH($B377,Premissas!$A$39:$A$45,0))</f>
        <v/>
      </c>
      <c r="T377" s="22" t="str">
        <f>INDEX(Cronograma!S$5:S$11,MATCH($B377,Premissas!$A$39:$A$45,0))</f>
        <v/>
      </c>
      <c r="U377" s="22" t="str">
        <f>INDEX(Cronograma!T$5:T$11,MATCH($B377,Premissas!$A$39:$A$45,0))</f>
        <v/>
      </c>
      <c r="V377" s="22" t="str">
        <f>INDEX(Cronograma!U$5:U$11,MATCH($B377,Premissas!$A$39:$A$45,0))</f>
        <v/>
      </c>
      <c r="W377" s="22" t="str">
        <f>INDEX(Cronograma!V$5:V$11,MATCH($B377,Premissas!$A$39:$A$45,0))</f>
        <v/>
      </c>
      <c r="X377" s="22" t="str">
        <f>INDEX(Cronograma!W$5:W$11,MATCH($B377,Premissas!$A$39:$A$45,0))</f>
        <v/>
      </c>
      <c r="Y377" s="22" t="str">
        <f>INDEX(Cronograma!X$5:X$11,MATCH($B377,Premissas!$A$39:$A$45,0))</f>
        <v/>
      </c>
      <c r="Z377" s="22" t="str">
        <f>INDEX(Cronograma!Y$5:Y$11,MATCH($B377,Premissas!$A$39:$A$45,0))</f>
        <v>S</v>
      </c>
      <c r="AA377" s="22" t="str">
        <f>INDEX(Cronograma!Z$5:Z$11,MATCH($B377,Premissas!$A$39:$A$45,0))</f>
        <v/>
      </c>
      <c r="AB377" s="22" t="str">
        <f>INDEX(Cronograma!AA$5:AA$11,MATCH($B377,Premissas!$A$39:$A$45,0))</f>
        <v/>
      </c>
      <c r="AC377" s="22" t="str">
        <f>INDEX(Cronograma!AB$5:AB$11,MATCH($B377,Premissas!$A$39:$A$45,0))</f>
        <v/>
      </c>
      <c r="AD377" s="22" t="str">
        <f>INDEX(Cronograma!AC$5:AC$11,MATCH($B377,Premissas!$A$39:$A$45,0))</f>
        <v/>
      </c>
      <c r="AE377" s="22" t="str">
        <f>INDEX(Cronograma!AD$5:AD$11,MATCH($B377,Premissas!$A$39:$A$45,0))</f>
        <v/>
      </c>
      <c r="AF377" s="22" t="str">
        <f>INDEX(Cronograma!AE$5:AE$11,MATCH($B377,Premissas!$A$39:$A$45,0))</f>
        <v/>
      </c>
      <c r="AG377" s="22" t="str">
        <f>INDEX(Cronograma!AF$5:AF$11,MATCH($B377,Premissas!$A$39:$A$45,0))</f>
        <v/>
      </c>
      <c r="AH377" s="22" t="str">
        <f>INDEX(Cronograma!AG$5:AG$11,MATCH($B377,Premissas!$A$39:$A$45,0))</f>
        <v/>
      </c>
      <c r="AI377" s="22" t="str">
        <f>INDEX(Cronograma!AH$5:AH$11,MATCH($B377,Premissas!$A$39:$A$45,0))</f>
        <v/>
      </c>
      <c r="AJ377" s="22" t="str">
        <f>INDEX(Cronograma!AI$5:AI$11,MATCH($B377,Premissas!$A$39:$A$45,0))</f>
        <v/>
      </c>
      <c r="AK377" s="22" t="str">
        <f>INDEX(Cronograma!AJ$5:AJ$11,MATCH($B377,Premissas!$A$39:$A$45,0))</f>
        <v/>
      </c>
      <c r="AL377" s="22" t="str">
        <f>INDEX(Cronograma!AK$5:AK$11,MATCH($B377,Premissas!$A$39:$A$45,0))</f>
        <v>A</v>
      </c>
      <c r="AM377" s="22" t="str">
        <f>INDEX(Cronograma!AL$5:AL$11,MATCH($B377,Premissas!$A$39:$A$45,0))</f>
        <v/>
      </c>
      <c r="AN377" s="22" t="str">
        <f>INDEX(Cronograma!AM$5:AM$11,MATCH($B377,Premissas!$A$39:$A$45,0))</f>
        <v/>
      </c>
      <c r="AO377" s="22" t="str">
        <f>INDEX(Cronograma!AN$5:AN$11,MATCH($B377,Premissas!$A$39:$A$45,0))</f>
        <v/>
      </c>
      <c r="AP377" s="22" t="str">
        <f>INDEX(Cronograma!AO$5:AO$11,MATCH($B377,Premissas!$A$39:$A$45,0))</f>
        <v/>
      </c>
      <c r="AQ377" s="22" t="str">
        <f>INDEX(Cronograma!AP$5:AP$11,MATCH($B377,Premissas!$A$39:$A$45,0))</f>
        <v/>
      </c>
      <c r="AR377" s="22" t="str">
        <f>INDEX(Cronograma!AQ$5:AQ$11,MATCH($B377,Premissas!$A$39:$A$45,0))</f>
        <v/>
      </c>
      <c r="AS377" s="22" t="str">
        <f>INDEX(Cronograma!AR$5:AR$11,MATCH($B377,Premissas!$A$39:$A$45,0))</f>
        <v/>
      </c>
      <c r="AT377" s="22" t="str">
        <f>INDEX(Cronograma!AS$5:AS$11,MATCH($B377,Premissas!$A$39:$A$45,0))</f>
        <v/>
      </c>
      <c r="AU377" s="22" t="str">
        <f>INDEX(Cronograma!AT$5:AT$11,MATCH($B377,Premissas!$A$39:$A$45,0))</f>
        <v/>
      </c>
      <c r="AV377" s="22" t="str">
        <f>INDEX(Cronograma!AU$5:AU$11,MATCH($B377,Premissas!$A$39:$A$45,0))</f>
        <v/>
      </c>
      <c r="AW377" s="22" t="str">
        <f>INDEX(Cronograma!AV$5:AV$11,MATCH($B377,Premissas!$A$39:$A$45,0))</f>
        <v/>
      </c>
      <c r="AX377" s="22" t="str">
        <f>INDEX(Cronograma!AW$5:AW$11,MATCH($B377,Premissas!$A$39:$A$45,0))</f>
        <v/>
      </c>
      <c r="AY377" s="22" t="str">
        <f>INDEX(Cronograma!AX$5:AX$11,MATCH($B377,Premissas!$A$39:$A$45,0))</f>
        <v/>
      </c>
      <c r="AZ377" s="22" t="str">
        <f>INDEX(Cronograma!AY$5:AY$11,MATCH($B377,Premissas!$A$39:$A$45,0))</f>
        <v/>
      </c>
      <c r="BA377" s="22" t="str">
        <f>INDEX(Cronograma!AZ$5:AZ$11,MATCH($B377,Premissas!$A$39:$A$45,0))</f>
        <v/>
      </c>
      <c r="BB377" s="22" t="str">
        <f>INDEX(Cronograma!BA$5:BA$11,MATCH($B377,Premissas!$A$39:$A$45,0))</f>
        <v/>
      </c>
    </row>
    <row r="378" spans="1:54" ht="15" customHeight="1" x14ac:dyDescent="0.4">
      <c r="A378" s="15" t="str">
        <f>Frota!$B378&amp;" — "&amp;Frota!$A378</f>
        <v>Termonebulizador — 178041</v>
      </c>
      <c r="B378" s="16" t="str">
        <f>Frota!$C378</f>
        <v>Implemento</v>
      </c>
      <c r="C378" s="22" t="str">
        <f>INDEX(Cronograma!B$5:B$11,MATCH($B378,Premissas!$A$39:$A$45,0))</f>
        <v/>
      </c>
      <c r="D378" s="22" t="str">
        <f>INDEX(Cronograma!C$5:C$11,MATCH($B378,Premissas!$A$39:$A$45,0))</f>
        <v/>
      </c>
      <c r="E378" s="22" t="str">
        <f>INDEX(Cronograma!D$5:D$11,MATCH($B378,Premissas!$A$39:$A$45,0))</f>
        <v/>
      </c>
      <c r="F378" s="22" t="str">
        <f>INDEX(Cronograma!E$5:E$11,MATCH($B378,Premissas!$A$39:$A$45,0))</f>
        <v/>
      </c>
      <c r="G378" s="22" t="str">
        <f>INDEX(Cronograma!F$5:F$11,MATCH($B378,Premissas!$A$39:$A$45,0))</f>
        <v/>
      </c>
      <c r="H378" s="22" t="str">
        <f>INDEX(Cronograma!G$5:G$11,MATCH($B378,Premissas!$A$39:$A$45,0))</f>
        <v/>
      </c>
      <c r="I378" s="22" t="str">
        <f>INDEX(Cronograma!H$5:H$11,MATCH($B378,Premissas!$A$39:$A$45,0))</f>
        <v/>
      </c>
      <c r="J378" s="22" t="str">
        <f>INDEX(Cronograma!I$5:I$11,MATCH($B378,Premissas!$A$39:$A$45,0))</f>
        <v>S</v>
      </c>
      <c r="K378" s="22" t="str">
        <f>INDEX(Cronograma!J$5:J$11,MATCH($B378,Premissas!$A$39:$A$45,0))</f>
        <v/>
      </c>
      <c r="L378" s="22" t="str">
        <f>INDEX(Cronograma!K$5:K$11,MATCH($B378,Premissas!$A$39:$A$45,0))</f>
        <v/>
      </c>
      <c r="M378" s="22" t="str">
        <f>INDEX(Cronograma!L$5:L$11,MATCH($B378,Premissas!$A$39:$A$45,0))</f>
        <v/>
      </c>
      <c r="N378" s="22" t="str">
        <f>INDEX(Cronograma!M$5:M$11,MATCH($B378,Premissas!$A$39:$A$45,0))</f>
        <v/>
      </c>
      <c r="O378" s="22" t="str">
        <f>INDEX(Cronograma!N$5:N$11,MATCH($B378,Premissas!$A$39:$A$45,0))</f>
        <v/>
      </c>
      <c r="P378" s="22" t="str">
        <f>INDEX(Cronograma!O$5:O$11,MATCH($B378,Premissas!$A$39:$A$45,0))</f>
        <v/>
      </c>
      <c r="Q378" s="22" t="str">
        <f>INDEX(Cronograma!P$5:P$11,MATCH($B378,Premissas!$A$39:$A$45,0))</f>
        <v/>
      </c>
      <c r="R378" s="22" t="str">
        <f>INDEX(Cronograma!Q$5:Q$11,MATCH($B378,Premissas!$A$39:$A$45,0))</f>
        <v>A</v>
      </c>
      <c r="S378" s="22" t="str">
        <f>INDEX(Cronograma!R$5:R$11,MATCH($B378,Premissas!$A$39:$A$45,0))</f>
        <v/>
      </c>
      <c r="T378" s="22" t="str">
        <f>INDEX(Cronograma!S$5:S$11,MATCH($B378,Premissas!$A$39:$A$45,0))</f>
        <v/>
      </c>
      <c r="U378" s="22" t="str">
        <f>INDEX(Cronograma!T$5:T$11,MATCH($B378,Premissas!$A$39:$A$45,0))</f>
        <v/>
      </c>
      <c r="V378" s="22" t="str">
        <f>INDEX(Cronograma!U$5:U$11,MATCH($B378,Premissas!$A$39:$A$45,0))</f>
        <v/>
      </c>
      <c r="W378" s="22" t="str">
        <f>INDEX(Cronograma!V$5:V$11,MATCH($B378,Premissas!$A$39:$A$45,0))</f>
        <v/>
      </c>
      <c r="X378" s="22" t="str">
        <f>INDEX(Cronograma!W$5:W$11,MATCH($B378,Premissas!$A$39:$A$45,0))</f>
        <v/>
      </c>
      <c r="Y378" s="22" t="str">
        <f>INDEX(Cronograma!X$5:X$11,MATCH($B378,Premissas!$A$39:$A$45,0))</f>
        <v/>
      </c>
      <c r="Z378" s="22" t="str">
        <f>INDEX(Cronograma!Y$5:Y$11,MATCH($B378,Premissas!$A$39:$A$45,0))</f>
        <v>S</v>
      </c>
      <c r="AA378" s="22" t="str">
        <f>INDEX(Cronograma!Z$5:Z$11,MATCH($B378,Premissas!$A$39:$A$45,0))</f>
        <v/>
      </c>
      <c r="AB378" s="22" t="str">
        <f>INDEX(Cronograma!AA$5:AA$11,MATCH($B378,Premissas!$A$39:$A$45,0))</f>
        <v/>
      </c>
      <c r="AC378" s="22" t="str">
        <f>INDEX(Cronograma!AB$5:AB$11,MATCH($B378,Premissas!$A$39:$A$45,0))</f>
        <v/>
      </c>
      <c r="AD378" s="22" t="str">
        <f>INDEX(Cronograma!AC$5:AC$11,MATCH($B378,Premissas!$A$39:$A$45,0))</f>
        <v/>
      </c>
      <c r="AE378" s="22" t="str">
        <f>INDEX(Cronograma!AD$5:AD$11,MATCH($B378,Premissas!$A$39:$A$45,0))</f>
        <v/>
      </c>
      <c r="AF378" s="22" t="str">
        <f>INDEX(Cronograma!AE$5:AE$11,MATCH($B378,Premissas!$A$39:$A$45,0))</f>
        <v/>
      </c>
      <c r="AG378" s="22" t="str">
        <f>INDEX(Cronograma!AF$5:AF$11,MATCH($B378,Premissas!$A$39:$A$45,0))</f>
        <v/>
      </c>
      <c r="AH378" s="22" t="str">
        <f>INDEX(Cronograma!AG$5:AG$11,MATCH($B378,Premissas!$A$39:$A$45,0))</f>
        <v/>
      </c>
      <c r="AI378" s="22" t="str">
        <f>INDEX(Cronograma!AH$5:AH$11,MATCH($B378,Premissas!$A$39:$A$45,0))</f>
        <v/>
      </c>
      <c r="AJ378" s="22" t="str">
        <f>INDEX(Cronograma!AI$5:AI$11,MATCH($B378,Premissas!$A$39:$A$45,0))</f>
        <v/>
      </c>
      <c r="AK378" s="22" t="str">
        <f>INDEX(Cronograma!AJ$5:AJ$11,MATCH($B378,Premissas!$A$39:$A$45,0))</f>
        <v/>
      </c>
      <c r="AL378" s="22" t="str">
        <f>INDEX(Cronograma!AK$5:AK$11,MATCH($B378,Premissas!$A$39:$A$45,0))</f>
        <v>A</v>
      </c>
      <c r="AM378" s="22" t="str">
        <f>INDEX(Cronograma!AL$5:AL$11,MATCH($B378,Premissas!$A$39:$A$45,0))</f>
        <v/>
      </c>
      <c r="AN378" s="22" t="str">
        <f>INDEX(Cronograma!AM$5:AM$11,MATCH($B378,Premissas!$A$39:$A$45,0))</f>
        <v/>
      </c>
      <c r="AO378" s="22" t="str">
        <f>INDEX(Cronograma!AN$5:AN$11,MATCH($B378,Premissas!$A$39:$A$45,0))</f>
        <v/>
      </c>
      <c r="AP378" s="22" t="str">
        <f>INDEX(Cronograma!AO$5:AO$11,MATCH($B378,Premissas!$A$39:$A$45,0))</f>
        <v/>
      </c>
      <c r="AQ378" s="22" t="str">
        <f>INDEX(Cronograma!AP$5:AP$11,MATCH($B378,Premissas!$A$39:$A$45,0))</f>
        <v/>
      </c>
      <c r="AR378" s="22" t="str">
        <f>INDEX(Cronograma!AQ$5:AQ$11,MATCH($B378,Premissas!$A$39:$A$45,0))</f>
        <v/>
      </c>
      <c r="AS378" s="22" t="str">
        <f>INDEX(Cronograma!AR$5:AR$11,MATCH($B378,Premissas!$A$39:$A$45,0))</f>
        <v/>
      </c>
      <c r="AT378" s="22" t="str">
        <f>INDEX(Cronograma!AS$5:AS$11,MATCH($B378,Premissas!$A$39:$A$45,0))</f>
        <v/>
      </c>
      <c r="AU378" s="22" t="str">
        <f>INDEX(Cronograma!AT$5:AT$11,MATCH($B378,Premissas!$A$39:$A$45,0))</f>
        <v/>
      </c>
      <c r="AV378" s="22" t="str">
        <f>INDEX(Cronograma!AU$5:AU$11,MATCH($B378,Premissas!$A$39:$A$45,0))</f>
        <v/>
      </c>
      <c r="AW378" s="22" t="str">
        <f>INDEX(Cronograma!AV$5:AV$11,MATCH($B378,Premissas!$A$39:$A$45,0))</f>
        <v/>
      </c>
      <c r="AX378" s="22" t="str">
        <f>INDEX(Cronograma!AW$5:AW$11,MATCH($B378,Premissas!$A$39:$A$45,0))</f>
        <v/>
      </c>
      <c r="AY378" s="22" t="str">
        <f>INDEX(Cronograma!AX$5:AX$11,MATCH($B378,Premissas!$A$39:$A$45,0))</f>
        <v/>
      </c>
      <c r="AZ378" s="22" t="str">
        <f>INDEX(Cronograma!AY$5:AY$11,MATCH($B378,Premissas!$A$39:$A$45,0))</f>
        <v/>
      </c>
      <c r="BA378" s="22" t="str">
        <f>INDEX(Cronograma!AZ$5:AZ$11,MATCH($B378,Premissas!$A$39:$A$45,0))</f>
        <v/>
      </c>
      <c r="BB378" s="22" t="str">
        <f>INDEX(Cronograma!BA$5:BA$11,MATCH($B378,Premissas!$A$39:$A$45,0))</f>
        <v/>
      </c>
    </row>
    <row r="379" spans="1:54" ht="15" customHeight="1" x14ac:dyDescent="0.4">
      <c r="A379" s="15" t="str">
        <f>Frota!$B379&amp;" — "&amp;Frota!$A379</f>
        <v>Termonebulizador — 178042</v>
      </c>
      <c r="B379" s="16" t="str">
        <f>Frota!$C379</f>
        <v>Implemento</v>
      </c>
      <c r="C379" s="22" t="str">
        <f>INDEX(Cronograma!B$5:B$11,MATCH($B379,Premissas!$A$39:$A$45,0))</f>
        <v/>
      </c>
      <c r="D379" s="22" t="str">
        <f>INDEX(Cronograma!C$5:C$11,MATCH($B379,Premissas!$A$39:$A$45,0))</f>
        <v/>
      </c>
      <c r="E379" s="22" t="str">
        <f>INDEX(Cronograma!D$5:D$11,MATCH($B379,Premissas!$A$39:$A$45,0))</f>
        <v/>
      </c>
      <c r="F379" s="22" t="str">
        <f>INDEX(Cronograma!E$5:E$11,MATCH($B379,Premissas!$A$39:$A$45,0))</f>
        <v/>
      </c>
      <c r="G379" s="22" t="str">
        <f>INDEX(Cronograma!F$5:F$11,MATCH($B379,Premissas!$A$39:$A$45,0))</f>
        <v/>
      </c>
      <c r="H379" s="22" t="str">
        <f>INDEX(Cronograma!G$5:G$11,MATCH($B379,Premissas!$A$39:$A$45,0))</f>
        <v/>
      </c>
      <c r="I379" s="22" t="str">
        <f>INDEX(Cronograma!H$5:H$11,MATCH($B379,Premissas!$A$39:$A$45,0))</f>
        <v/>
      </c>
      <c r="J379" s="22" t="str">
        <f>INDEX(Cronograma!I$5:I$11,MATCH($B379,Premissas!$A$39:$A$45,0))</f>
        <v>S</v>
      </c>
      <c r="K379" s="22" t="str">
        <f>INDEX(Cronograma!J$5:J$11,MATCH($B379,Premissas!$A$39:$A$45,0))</f>
        <v/>
      </c>
      <c r="L379" s="22" t="str">
        <f>INDEX(Cronograma!K$5:K$11,MATCH($B379,Premissas!$A$39:$A$45,0))</f>
        <v/>
      </c>
      <c r="M379" s="22" t="str">
        <f>INDEX(Cronograma!L$5:L$11,MATCH($B379,Premissas!$A$39:$A$45,0))</f>
        <v/>
      </c>
      <c r="N379" s="22" t="str">
        <f>INDEX(Cronograma!M$5:M$11,MATCH($B379,Premissas!$A$39:$A$45,0))</f>
        <v/>
      </c>
      <c r="O379" s="22" t="str">
        <f>INDEX(Cronograma!N$5:N$11,MATCH($B379,Premissas!$A$39:$A$45,0))</f>
        <v/>
      </c>
      <c r="P379" s="22" t="str">
        <f>INDEX(Cronograma!O$5:O$11,MATCH($B379,Premissas!$A$39:$A$45,0))</f>
        <v/>
      </c>
      <c r="Q379" s="22" t="str">
        <f>INDEX(Cronograma!P$5:P$11,MATCH($B379,Premissas!$A$39:$A$45,0))</f>
        <v/>
      </c>
      <c r="R379" s="22" t="str">
        <f>INDEX(Cronograma!Q$5:Q$11,MATCH($B379,Premissas!$A$39:$A$45,0))</f>
        <v>A</v>
      </c>
      <c r="S379" s="22" t="str">
        <f>INDEX(Cronograma!R$5:R$11,MATCH($B379,Premissas!$A$39:$A$45,0))</f>
        <v/>
      </c>
      <c r="T379" s="22" t="str">
        <f>INDEX(Cronograma!S$5:S$11,MATCH($B379,Premissas!$A$39:$A$45,0))</f>
        <v/>
      </c>
      <c r="U379" s="22" t="str">
        <f>INDEX(Cronograma!T$5:T$11,MATCH($B379,Premissas!$A$39:$A$45,0))</f>
        <v/>
      </c>
      <c r="V379" s="22" t="str">
        <f>INDEX(Cronograma!U$5:U$11,MATCH($B379,Premissas!$A$39:$A$45,0))</f>
        <v/>
      </c>
      <c r="W379" s="22" t="str">
        <f>INDEX(Cronograma!V$5:V$11,MATCH($B379,Premissas!$A$39:$A$45,0))</f>
        <v/>
      </c>
      <c r="X379" s="22" t="str">
        <f>INDEX(Cronograma!W$5:W$11,MATCH($B379,Premissas!$A$39:$A$45,0))</f>
        <v/>
      </c>
      <c r="Y379" s="22" t="str">
        <f>INDEX(Cronograma!X$5:X$11,MATCH($B379,Premissas!$A$39:$A$45,0))</f>
        <v/>
      </c>
      <c r="Z379" s="22" t="str">
        <f>INDEX(Cronograma!Y$5:Y$11,MATCH($B379,Premissas!$A$39:$A$45,0))</f>
        <v>S</v>
      </c>
      <c r="AA379" s="22" t="str">
        <f>INDEX(Cronograma!Z$5:Z$11,MATCH($B379,Premissas!$A$39:$A$45,0))</f>
        <v/>
      </c>
      <c r="AB379" s="22" t="str">
        <f>INDEX(Cronograma!AA$5:AA$11,MATCH($B379,Premissas!$A$39:$A$45,0))</f>
        <v/>
      </c>
      <c r="AC379" s="22" t="str">
        <f>INDEX(Cronograma!AB$5:AB$11,MATCH($B379,Premissas!$A$39:$A$45,0))</f>
        <v/>
      </c>
      <c r="AD379" s="22" t="str">
        <f>INDEX(Cronograma!AC$5:AC$11,MATCH($B379,Premissas!$A$39:$A$45,0))</f>
        <v/>
      </c>
      <c r="AE379" s="22" t="str">
        <f>INDEX(Cronograma!AD$5:AD$11,MATCH($B379,Premissas!$A$39:$A$45,0))</f>
        <v/>
      </c>
      <c r="AF379" s="22" t="str">
        <f>INDEX(Cronograma!AE$5:AE$11,MATCH($B379,Premissas!$A$39:$A$45,0))</f>
        <v/>
      </c>
      <c r="AG379" s="22" t="str">
        <f>INDEX(Cronograma!AF$5:AF$11,MATCH($B379,Premissas!$A$39:$A$45,0))</f>
        <v/>
      </c>
      <c r="AH379" s="22" t="str">
        <f>INDEX(Cronograma!AG$5:AG$11,MATCH($B379,Premissas!$A$39:$A$45,0))</f>
        <v/>
      </c>
      <c r="AI379" s="22" t="str">
        <f>INDEX(Cronograma!AH$5:AH$11,MATCH($B379,Premissas!$A$39:$A$45,0))</f>
        <v/>
      </c>
      <c r="AJ379" s="22" t="str">
        <f>INDEX(Cronograma!AI$5:AI$11,MATCH($B379,Premissas!$A$39:$A$45,0))</f>
        <v/>
      </c>
      <c r="AK379" s="22" t="str">
        <f>INDEX(Cronograma!AJ$5:AJ$11,MATCH($B379,Premissas!$A$39:$A$45,0))</f>
        <v/>
      </c>
      <c r="AL379" s="22" t="str">
        <f>INDEX(Cronograma!AK$5:AK$11,MATCH($B379,Premissas!$A$39:$A$45,0))</f>
        <v>A</v>
      </c>
      <c r="AM379" s="22" t="str">
        <f>INDEX(Cronograma!AL$5:AL$11,MATCH($B379,Premissas!$A$39:$A$45,0))</f>
        <v/>
      </c>
      <c r="AN379" s="22" t="str">
        <f>INDEX(Cronograma!AM$5:AM$11,MATCH($B379,Premissas!$A$39:$A$45,0))</f>
        <v/>
      </c>
      <c r="AO379" s="22" t="str">
        <f>INDEX(Cronograma!AN$5:AN$11,MATCH($B379,Premissas!$A$39:$A$45,0))</f>
        <v/>
      </c>
      <c r="AP379" s="22" t="str">
        <f>INDEX(Cronograma!AO$5:AO$11,MATCH($B379,Premissas!$A$39:$A$45,0))</f>
        <v/>
      </c>
      <c r="AQ379" s="22" t="str">
        <f>INDEX(Cronograma!AP$5:AP$11,MATCH($B379,Premissas!$A$39:$A$45,0))</f>
        <v/>
      </c>
      <c r="AR379" s="22" t="str">
        <f>INDEX(Cronograma!AQ$5:AQ$11,MATCH($B379,Premissas!$A$39:$A$45,0))</f>
        <v/>
      </c>
      <c r="AS379" s="22" t="str">
        <f>INDEX(Cronograma!AR$5:AR$11,MATCH($B379,Premissas!$A$39:$A$45,0))</f>
        <v/>
      </c>
      <c r="AT379" s="22" t="str">
        <f>INDEX(Cronograma!AS$5:AS$11,MATCH($B379,Premissas!$A$39:$A$45,0))</f>
        <v/>
      </c>
      <c r="AU379" s="22" t="str">
        <f>INDEX(Cronograma!AT$5:AT$11,MATCH($B379,Premissas!$A$39:$A$45,0))</f>
        <v/>
      </c>
      <c r="AV379" s="22" t="str">
        <f>INDEX(Cronograma!AU$5:AU$11,MATCH($B379,Premissas!$A$39:$A$45,0))</f>
        <v/>
      </c>
      <c r="AW379" s="22" t="str">
        <f>INDEX(Cronograma!AV$5:AV$11,MATCH($B379,Premissas!$A$39:$A$45,0))</f>
        <v/>
      </c>
      <c r="AX379" s="22" t="str">
        <f>INDEX(Cronograma!AW$5:AW$11,MATCH($B379,Premissas!$A$39:$A$45,0))</f>
        <v/>
      </c>
      <c r="AY379" s="22" t="str">
        <f>INDEX(Cronograma!AX$5:AX$11,MATCH($B379,Premissas!$A$39:$A$45,0))</f>
        <v/>
      </c>
      <c r="AZ379" s="22" t="str">
        <f>INDEX(Cronograma!AY$5:AY$11,MATCH($B379,Premissas!$A$39:$A$45,0))</f>
        <v/>
      </c>
      <c r="BA379" s="22" t="str">
        <f>INDEX(Cronograma!AZ$5:AZ$11,MATCH($B379,Premissas!$A$39:$A$45,0))</f>
        <v/>
      </c>
      <c r="BB379" s="22" t="str">
        <f>INDEX(Cronograma!BA$5:BA$11,MATCH($B379,Premissas!$A$39:$A$45,0))</f>
        <v/>
      </c>
    </row>
    <row r="380" spans="1:54" ht="15" customHeight="1" x14ac:dyDescent="0.4">
      <c r="A380" s="15" t="str">
        <f>Frota!$B380&amp;" — "&amp;Frota!$A380</f>
        <v>Termonebulizador — 178043</v>
      </c>
      <c r="B380" s="16" t="str">
        <f>Frota!$C380</f>
        <v>Implemento</v>
      </c>
      <c r="C380" s="22" t="str">
        <f>INDEX(Cronograma!B$5:B$11,MATCH($B380,Premissas!$A$39:$A$45,0))</f>
        <v/>
      </c>
      <c r="D380" s="22" t="str">
        <f>INDEX(Cronograma!C$5:C$11,MATCH($B380,Premissas!$A$39:$A$45,0))</f>
        <v/>
      </c>
      <c r="E380" s="22" t="str">
        <f>INDEX(Cronograma!D$5:D$11,MATCH($B380,Premissas!$A$39:$A$45,0))</f>
        <v/>
      </c>
      <c r="F380" s="22" t="str">
        <f>INDEX(Cronograma!E$5:E$11,MATCH($B380,Premissas!$A$39:$A$45,0))</f>
        <v/>
      </c>
      <c r="G380" s="22" t="str">
        <f>INDEX(Cronograma!F$5:F$11,MATCH($B380,Premissas!$A$39:$A$45,0))</f>
        <v/>
      </c>
      <c r="H380" s="22" t="str">
        <f>INDEX(Cronograma!G$5:G$11,MATCH($B380,Premissas!$A$39:$A$45,0))</f>
        <v/>
      </c>
      <c r="I380" s="22" t="str">
        <f>INDEX(Cronograma!H$5:H$11,MATCH($B380,Premissas!$A$39:$A$45,0))</f>
        <v/>
      </c>
      <c r="J380" s="22" t="str">
        <f>INDEX(Cronograma!I$5:I$11,MATCH($B380,Premissas!$A$39:$A$45,0))</f>
        <v>S</v>
      </c>
      <c r="K380" s="22" t="str">
        <f>INDEX(Cronograma!J$5:J$11,MATCH($B380,Premissas!$A$39:$A$45,0))</f>
        <v/>
      </c>
      <c r="L380" s="22" t="str">
        <f>INDEX(Cronograma!K$5:K$11,MATCH($B380,Premissas!$A$39:$A$45,0))</f>
        <v/>
      </c>
      <c r="M380" s="22" t="str">
        <f>INDEX(Cronograma!L$5:L$11,MATCH($B380,Premissas!$A$39:$A$45,0))</f>
        <v/>
      </c>
      <c r="N380" s="22" t="str">
        <f>INDEX(Cronograma!M$5:M$11,MATCH($B380,Premissas!$A$39:$A$45,0))</f>
        <v/>
      </c>
      <c r="O380" s="22" t="str">
        <f>INDEX(Cronograma!N$5:N$11,MATCH($B380,Premissas!$A$39:$A$45,0))</f>
        <v/>
      </c>
      <c r="P380" s="22" t="str">
        <f>INDEX(Cronograma!O$5:O$11,MATCH($B380,Premissas!$A$39:$A$45,0))</f>
        <v/>
      </c>
      <c r="Q380" s="22" t="str">
        <f>INDEX(Cronograma!P$5:P$11,MATCH($B380,Premissas!$A$39:$A$45,0))</f>
        <v/>
      </c>
      <c r="R380" s="22" t="str">
        <f>INDEX(Cronograma!Q$5:Q$11,MATCH($B380,Premissas!$A$39:$A$45,0))</f>
        <v>A</v>
      </c>
      <c r="S380" s="22" t="str">
        <f>INDEX(Cronograma!R$5:R$11,MATCH($B380,Premissas!$A$39:$A$45,0))</f>
        <v/>
      </c>
      <c r="T380" s="22" t="str">
        <f>INDEX(Cronograma!S$5:S$11,MATCH($B380,Premissas!$A$39:$A$45,0))</f>
        <v/>
      </c>
      <c r="U380" s="22" t="str">
        <f>INDEX(Cronograma!T$5:T$11,MATCH($B380,Premissas!$A$39:$A$45,0))</f>
        <v/>
      </c>
      <c r="V380" s="22" t="str">
        <f>INDEX(Cronograma!U$5:U$11,MATCH($B380,Premissas!$A$39:$A$45,0))</f>
        <v/>
      </c>
      <c r="W380" s="22" t="str">
        <f>INDEX(Cronograma!V$5:V$11,MATCH($B380,Premissas!$A$39:$A$45,0))</f>
        <v/>
      </c>
      <c r="X380" s="22" t="str">
        <f>INDEX(Cronograma!W$5:W$11,MATCH($B380,Premissas!$A$39:$A$45,0))</f>
        <v/>
      </c>
      <c r="Y380" s="22" t="str">
        <f>INDEX(Cronograma!X$5:X$11,MATCH($B380,Premissas!$A$39:$A$45,0))</f>
        <v/>
      </c>
      <c r="Z380" s="22" t="str">
        <f>INDEX(Cronograma!Y$5:Y$11,MATCH($B380,Premissas!$A$39:$A$45,0))</f>
        <v>S</v>
      </c>
      <c r="AA380" s="22" t="str">
        <f>INDEX(Cronograma!Z$5:Z$11,MATCH($B380,Premissas!$A$39:$A$45,0))</f>
        <v/>
      </c>
      <c r="AB380" s="22" t="str">
        <f>INDEX(Cronograma!AA$5:AA$11,MATCH($B380,Premissas!$A$39:$A$45,0))</f>
        <v/>
      </c>
      <c r="AC380" s="22" t="str">
        <f>INDEX(Cronograma!AB$5:AB$11,MATCH($B380,Premissas!$A$39:$A$45,0))</f>
        <v/>
      </c>
      <c r="AD380" s="22" t="str">
        <f>INDEX(Cronograma!AC$5:AC$11,MATCH($B380,Premissas!$A$39:$A$45,0))</f>
        <v/>
      </c>
      <c r="AE380" s="22" t="str">
        <f>INDEX(Cronograma!AD$5:AD$11,MATCH($B380,Premissas!$A$39:$A$45,0))</f>
        <v/>
      </c>
      <c r="AF380" s="22" t="str">
        <f>INDEX(Cronograma!AE$5:AE$11,MATCH($B380,Premissas!$A$39:$A$45,0))</f>
        <v/>
      </c>
      <c r="AG380" s="22" t="str">
        <f>INDEX(Cronograma!AF$5:AF$11,MATCH($B380,Premissas!$A$39:$A$45,0))</f>
        <v/>
      </c>
      <c r="AH380" s="22" t="str">
        <f>INDEX(Cronograma!AG$5:AG$11,MATCH($B380,Premissas!$A$39:$A$45,0))</f>
        <v/>
      </c>
      <c r="AI380" s="22" t="str">
        <f>INDEX(Cronograma!AH$5:AH$11,MATCH($B380,Premissas!$A$39:$A$45,0))</f>
        <v/>
      </c>
      <c r="AJ380" s="22" t="str">
        <f>INDEX(Cronograma!AI$5:AI$11,MATCH($B380,Premissas!$A$39:$A$45,0))</f>
        <v/>
      </c>
      <c r="AK380" s="22" t="str">
        <f>INDEX(Cronograma!AJ$5:AJ$11,MATCH($B380,Premissas!$A$39:$A$45,0))</f>
        <v/>
      </c>
      <c r="AL380" s="22" t="str">
        <f>INDEX(Cronograma!AK$5:AK$11,MATCH($B380,Premissas!$A$39:$A$45,0))</f>
        <v>A</v>
      </c>
      <c r="AM380" s="22" t="str">
        <f>INDEX(Cronograma!AL$5:AL$11,MATCH($B380,Premissas!$A$39:$A$45,0))</f>
        <v/>
      </c>
      <c r="AN380" s="22" t="str">
        <f>INDEX(Cronograma!AM$5:AM$11,MATCH($B380,Premissas!$A$39:$A$45,0))</f>
        <v/>
      </c>
      <c r="AO380" s="22" t="str">
        <f>INDEX(Cronograma!AN$5:AN$11,MATCH($B380,Premissas!$A$39:$A$45,0))</f>
        <v/>
      </c>
      <c r="AP380" s="22" t="str">
        <f>INDEX(Cronograma!AO$5:AO$11,MATCH($B380,Premissas!$A$39:$A$45,0))</f>
        <v/>
      </c>
      <c r="AQ380" s="22" t="str">
        <f>INDEX(Cronograma!AP$5:AP$11,MATCH($B380,Premissas!$A$39:$A$45,0))</f>
        <v/>
      </c>
      <c r="AR380" s="22" t="str">
        <f>INDEX(Cronograma!AQ$5:AQ$11,MATCH($B380,Premissas!$A$39:$A$45,0))</f>
        <v/>
      </c>
      <c r="AS380" s="22" t="str">
        <f>INDEX(Cronograma!AR$5:AR$11,MATCH($B380,Premissas!$A$39:$A$45,0))</f>
        <v/>
      </c>
      <c r="AT380" s="22" t="str">
        <f>INDEX(Cronograma!AS$5:AS$11,MATCH($B380,Premissas!$A$39:$A$45,0))</f>
        <v/>
      </c>
      <c r="AU380" s="22" t="str">
        <f>INDEX(Cronograma!AT$5:AT$11,MATCH($B380,Premissas!$A$39:$A$45,0))</f>
        <v/>
      </c>
      <c r="AV380" s="22" t="str">
        <f>INDEX(Cronograma!AU$5:AU$11,MATCH($B380,Premissas!$A$39:$A$45,0))</f>
        <v/>
      </c>
      <c r="AW380" s="22" t="str">
        <f>INDEX(Cronograma!AV$5:AV$11,MATCH($B380,Premissas!$A$39:$A$45,0))</f>
        <v/>
      </c>
      <c r="AX380" s="22" t="str">
        <f>INDEX(Cronograma!AW$5:AW$11,MATCH($B380,Premissas!$A$39:$A$45,0))</f>
        <v/>
      </c>
      <c r="AY380" s="22" t="str">
        <f>INDEX(Cronograma!AX$5:AX$11,MATCH($B380,Premissas!$A$39:$A$45,0))</f>
        <v/>
      </c>
      <c r="AZ380" s="22" t="str">
        <f>INDEX(Cronograma!AY$5:AY$11,MATCH($B380,Premissas!$A$39:$A$45,0))</f>
        <v/>
      </c>
      <c r="BA380" s="22" t="str">
        <f>INDEX(Cronograma!AZ$5:AZ$11,MATCH($B380,Premissas!$A$39:$A$45,0))</f>
        <v/>
      </c>
      <c r="BB380" s="22" t="str">
        <f>INDEX(Cronograma!BA$5:BA$11,MATCH($B380,Premissas!$A$39:$A$45,0))</f>
        <v/>
      </c>
    </row>
    <row r="381" spans="1:54" ht="15" customHeight="1" x14ac:dyDescent="0.4">
      <c r="A381" s="15" t="str">
        <f>Frota!$B381&amp;" — "&amp;Frota!$A381</f>
        <v>Mobi Way — 303100</v>
      </c>
      <c r="B381" s="16" t="str">
        <f>Frota!$C381</f>
        <v>Veículo Leve</v>
      </c>
      <c r="C381" s="22" t="str">
        <f>INDEX(Cronograma!B$5:B$11,MATCH($B381,Premissas!$A$39:$A$45,0))</f>
        <v/>
      </c>
      <c r="D381" s="22" t="str">
        <f>INDEX(Cronograma!C$5:C$11,MATCH($B381,Premissas!$A$39:$A$45,0))</f>
        <v/>
      </c>
      <c r="E381" s="22" t="str">
        <f>INDEX(Cronograma!D$5:D$11,MATCH($B381,Premissas!$A$39:$A$45,0))</f>
        <v/>
      </c>
      <c r="F381" s="22" t="str">
        <f>INDEX(Cronograma!E$5:E$11,MATCH($B381,Premissas!$A$39:$A$45,0))</f>
        <v/>
      </c>
      <c r="G381" s="22" t="str">
        <f>INDEX(Cronograma!F$5:F$11,MATCH($B381,Premissas!$A$39:$A$45,0))</f>
        <v/>
      </c>
      <c r="H381" s="22" t="str">
        <f>INDEX(Cronograma!G$5:G$11,MATCH($B381,Premissas!$A$39:$A$45,0))</f>
        <v/>
      </c>
      <c r="I381" s="22" t="str">
        <f>INDEX(Cronograma!H$5:H$11,MATCH($B381,Premissas!$A$39:$A$45,0))</f>
        <v/>
      </c>
      <c r="J381" s="22" t="str">
        <f>INDEX(Cronograma!I$5:I$11,MATCH($B381,Premissas!$A$39:$A$45,0))</f>
        <v/>
      </c>
      <c r="K381" s="22" t="str">
        <f>INDEX(Cronograma!J$5:J$11,MATCH($B381,Premissas!$A$39:$A$45,0))</f>
        <v/>
      </c>
      <c r="L381" s="22" t="str">
        <f>INDEX(Cronograma!K$5:K$11,MATCH($B381,Premissas!$A$39:$A$45,0))</f>
        <v/>
      </c>
      <c r="M381" s="22" t="str">
        <f>INDEX(Cronograma!L$5:L$11,MATCH($B381,Premissas!$A$39:$A$45,0))</f>
        <v/>
      </c>
      <c r="N381" s="22" t="str">
        <f>INDEX(Cronograma!M$5:M$11,MATCH($B381,Premissas!$A$39:$A$45,0))</f>
        <v/>
      </c>
      <c r="O381" s="22" t="str">
        <f>INDEX(Cronograma!N$5:N$11,MATCH($B381,Premissas!$A$39:$A$45,0))</f>
        <v/>
      </c>
      <c r="P381" s="22" t="str">
        <f>INDEX(Cronograma!O$5:O$11,MATCH($B381,Premissas!$A$39:$A$45,0))</f>
        <v/>
      </c>
      <c r="Q381" s="22" t="str">
        <f>INDEX(Cronograma!P$5:P$11,MATCH($B381,Premissas!$A$39:$A$45,0))</f>
        <v>S</v>
      </c>
      <c r="R381" s="22" t="str">
        <f>INDEX(Cronograma!Q$5:Q$11,MATCH($B381,Premissas!$A$39:$A$45,0))</f>
        <v/>
      </c>
      <c r="S381" s="22" t="str">
        <f>INDEX(Cronograma!R$5:R$11,MATCH($B381,Premissas!$A$39:$A$45,0))</f>
        <v/>
      </c>
      <c r="T381" s="22" t="str">
        <f>INDEX(Cronograma!S$5:S$11,MATCH($B381,Premissas!$A$39:$A$45,0))</f>
        <v/>
      </c>
      <c r="U381" s="22" t="str">
        <f>INDEX(Cronograma!T$5:T$11,MATCH($B381,Premissas!$A$39:$A$45,0))</f>
        <v/>
      </c>
      <c r="V381" s="22" t="str">
        <f>INDEX(Cronograma!U$5:U$11,MATCH($B381,Premissas!$A$39:$A$45,0))</f>
        <v/>
      </c>
      <c r="W381" s="22" t="str">
        <f>INDEX(Cronograma!V$5:V$11,MATCH($B381,Premissas!$A$39:$A$45,0))</f>
        <v/>
      </c>
      <c r="X381" s="22" t="str">
        <f>INDEX(Cronograma!W$5:W$11,MATCH($B381,Premissas!$A$39:$A$45,0))</f>
        <v/>
      </c>
      <c r="Y381" s="22" t="str">
        <f>INDEX(Cronograma!X$5:X$11,MATCH($B381,Premissas!$A$39:$A$45,0))</f>
        <v/>
      </c>
      <c r="Z381" s="22" t="str">
        <f>INDEX(Cronograma!Y$5:Y$11,MATCH($B381,Premissas!$A$39:$A$45,0))</f>
        <v/>
      </c>
      <c r="AA381" s="22" t="str">
        <f>INDEX(Cronograma!Z$5:Z$11,MATCH($B381,Premissas!$A$39:$A$45,0))</f>
        <v/>
      </c>
      <c r="AB381" s="22" t="str">
        <f>INDEX(Cronograma!AA$5:AA$11,MATCH($B381,Premissas!$A$39:$A$45,0))</f>
        <v/>
      </c>
      <c r="AC381" s="22" t="str">
        <f>INDEX(Cronograma!AB$5:AB$11,MATCH($B381,Premissas!$A$39:$A$45,0))</f>
        <v/>
      </c>
      <c r="AD381" s="22" t="str">
        <f>INDEX(Cronograma!AC$5:AC$11,MATCH($B381,Premissas!$A$39:$A$45,0))</f>
        <v/>
      </c>
      <c r="AE381" s="22" t="str">
        <f>INDEX(Cronograma!AD$5:AD$11,MATCH($B381,Premissas!$A$39:$A$45,0))</f>
        <v>A</v>
      </c>
      <c r="AF381" s="22" t="str">
        <f>INDEX(Cronograma!AE$5:AE$11,MATCH($B381,Premissas!$A$39:$A$45,0))</f>
        <v/>
      </c>
      <c r="AG381" s="22" t="str">
        <f>INDEX(Cronograma!AF$5:AF$11,MATCH($B381,Premissas!$A$39:$A$45,0))</f>
        <v/>
      </c>
      <c r="AH381" s="22" t="str">
        <f>INDEX(Cronograma!AG$5:AG$11,MATCH($B381,Premissas!$A$39:$A$45,0))</f>
        <v/>
      </c>
      <c r="AI381" s="22" t="str">
        <f>INDEX(Cronograma!AH$5:AH$11,MATCH($B381,Premissas!$A$39:$A$45,0))</f>
        <v/>
      </c>
      <c r="AJ381" s="22" t="str">
        <f>INDEX(Cronograma!AI$5:AI$11,MATCH($B381,Premissas!$A$39:$A$45,0))</f>
        <v/>
      </c>
      <c r="AK381" s="22" t="str">
        <f>INDEX(Cronograma!AJ$5:AJ$11,MATCH($B381,Premissas!$A$39:$A$45,0))</f>
        <v/>
      </c>
      <c r="AL381" s="22" t="str">
        <f>INDEX(Cronograma!AK$5:AK$11,MATCH($B381,Premissas!$A$39:$A$45,0))</f>
        <v/>
      </c>
      <c r="AM381" s="22" t="str">
        <f>INDEX(Cronograma!AL$5:AL$11,MATCH($B381,Premissas!$A$39:$A$45,0))</f>
        <v/>
      </c>
      <c r="AN381" s="22" t="str">
        <f>INDEX(Cronograma!AM$5:AM$11,MATCH($B381,Premissas!$A$39:$A$45,0))</f>
        <v/>
      </c>
      <c r="AO381" s="22" t="str">
        <f>INDEX(Cronograma!AN$5:AN$11,MATCH($B381,Premissas!$A$39:$A$45,0))</f>
        <v/>
      </c>
      <c r="AP381" s="22" t="str">
        <f>INDEX(Cronograma!AO$5:AO$11,MATCH($B381,Premissas!$A$39:$A$45,0))</f>
        <v/>
      </c>
      <c r="AQ381" s="22" t="str">
        <f>INDEX(Cronograma!AP$5:AP$11,MATCH($B381,Premissas!$A$39:$A$45,0))</f>
        <v/>
      </c>
      <c r="AR381" s="22" t="str">
        <f>INDEX(Cronograma!AQ$5:AQ$11,MATCH($B381,Premissas!$A$39:$A$45,0))</f>
        <v/>
      </c>
      <c r="AS381" s="22" t="str">
        <f>INDEX(Cronograma!AR$5:AR$11,MATCH($B381,Premissas!$A$39:$A$45,0))</f>
        <v/>
      </c>
      <c r="AT381" s="22" t="str">
        <f>INDEX(Cronograma!AS$5:AS$11,MATCH($B381,Premissas!$A$39:$A$45,0))</f>
        <v/>
      </c>
      <c r="AU381" s="22" t="str">
        <f>INDEX(Cronograma!AT$5:AT$11,MATCH($B381,Premissas!$A$39:$A$45,0))</f>
        <v/>
      </c>
      <c r="AV381" s="22" t="str">
        <f>INDEX(Cronograma!AU$5:AU$11,MATCH($B381,Premissas!$A$39:$A$45,0))</f>
        <v/>
      </c>
      <c r="AW381" s="22" t="str">
        <f>INDEX(Cronograma!AV$5:AV$11,MATCH($B381,Premissas!$A$39:$A$45,0))</f>
        <v/>
      </c>
      <c r="AX381" s="22" t="str">
        <f>INDEX(Cronograma!AW$5:AW$11,MATCH($B381,Premissas!$A$39:$A$45,0))</f>
        <v>S</v>
      </c>
      <c r="AY381" s="22" t="str">
        <f>INDEX(Cronograma!AX$5:AX$11,MATCH($B381,Premissas!$A$39:$A$45,0))</f>
        <v/>
      </c>
      <c r="AZ381" s="22" t="str">
        <f>INDEX(Cronograma!AY$5:AY$11,MATCH($B381,Premissas!$A$39:$A$45,0))</f>
        <v/>
      </c>
      <c r="BA381" s="22" t="str">
        <f>INDEX(Cronograma!AZ$5:AZ$11,MATCH($B381,Premissas!$A$39:$A$45,0))</f>
        <v/>
      </c>
      <c r="BB381" s="22" t="str">
        <f>INDEX(Cronograma!BA$5:BA$11,MATCH($B381,Premissas!$A$39:$A$45,0))</f>
        <v/>
      </c>
    </row>
    <row r="382" spans="1:54" ht="15" customHeight="1" x14ac:dyDescent="0.4">
      <c r="A382" s="15" t="str">
        <f>Frota!$B382&amp;" — "&amp;Frota!$A382</f>
        <v>Mobi Way — 303117</v>
      </c>
      <c r="B382" s="16" t="str">
        <f>Frota!$C382</f>
        <v>Veículo Leve</v>
      </c>
      <c r="C382" s="22" t="str">
        <f>INDEX(Cronograma!B$5:B$11,MATCH($B382,Premissas!$A$39:$A$45,0))</f>
        <v/>
      </c>
      <c r="D382" s="22" t="str">
        <f>INDEX(Cronograma!C$5:C$11,MATCH($B382,Premissas!$A$39:$A$45,0))</f>
        <v/>
      </c>
      <c r="E382" s="22" t="str">
        <f>INDEX(Cronograma!D$5:D$11,MATCH($B382,Premissas!$A$39:$A$45,0))</f>
        <v/>
      </c>
      <c r="F382" s="22" t="str">
        <f>INDEX(Cronograma!E$5:E$11,MATCH($B382,Premissas!$A$39:$A$45,0))</f>
        <v/>
      </c>
      <c r="G382" s="22" t="str">
        <f>INDEX(Cronograma!F$5:F$11,MATCH($B382,Premissas!$A$39:$A$45,0))</f>
        <v/>
      </c>
      <c r="H382" s="22" t="str">
        <f>INDEX(Cronograma!G$5:G$11,MATCH($B382,Premissas!$A$39:$A$45,0))</f>
        <v/>
      </c>
      <c r="I382" s="22" t="str">
        <f>INDEX(Cronograma!H$5:H$11,MATCH($B382,Premissas!$A$39:$A$45,0))</f>
        <v/>
      </c>
      <c r="J382" s="22" t="str">
        <f>INDEX(Cronograma!I$5:I$11,MATCH($B382,Premissas!$A$39:$A$45,0))</f>
        <v/>
      </c>
      <c r="K382" s="22" t="str">
        <f>INDEX(Cronograma!J$5:J$11,MATCH($B382,Premissas!$A$39:$A$45,0))</f>
        <v/>
      </c>
      <c r="L382" s="22" t="str">
        <f>INDEX(Cronograma!K$5:K$11,MATCH($B382,Premissas!$A$39:$A$45,0))</f>
        <v/>
      </c>
      <c r="M382" s="22" t="str">
        <f>INDEX(Cronograma!L$5:L$11,MATCH($B382,Premissas!$A$39:$A$45,0))</f>
        <v/>
      </c>
      <c r="N382" s="22" t="str">
        <f>INDEX(Cronograma!M$5:M$11,MATCH($B382,Premissas!$A$39:$A$45,0))</f>
        <v/>
      </c>
      <c r="O382" s="22" t="str">
        <f>INDEX(Cronograma!N$5:N$11,MATCH($B382,Premissas!$A$39:$A$45,0))</f>
        <v/>
      </c>
      <c r="P382" s="22" t="str">
        <f>INDEX(Cronograma!O$5:O$11,MATCH($B382,Premissas!$A$39:$A$45,0))</f>
        <v/>
      </c>
      <c r="Q382" s="22" t="str">
        <f>INDEX(Cronograma!P$5:P$11,MATCH($B382,Premissas!$A$39:$A$45,0))</f>
        <v>S</v>
      </c>
      <c r="R382" s="22" t="str">
        <f>INDEX(Cronograma!Q$5:Q$11,MATCH($B382,Premissas!$A$39:$A$45,0))</f>
        <v/>
      </c>
      <c r="S382" s="22" t="str">
        <f>INDEX(Cronograma!R$5:R$11,MATCH($B382,Premissas!$A$39:$A$45,0))</f>
        <v/>
      </c>
      <c r="T382" s="22" t="str">
        <f>INDEX(Cronograma!S$5:S$11,MATCH($B382,Premissas!$A$39:$A$45,0))</f>
        <v/>
      </c>
      <c r="U382" s="22" t="str">
        <f>INDEX(Cronograma!T$5:T$11,MATCH($B382,Premissas!$A$39:$A$45,0))</f>
        <v/>
      </c>
      <c r="V382" s="22" t="str">
        <f>INDEX(Cronograma!U$5:U$11,MATCH($B382,Premissas!$A$39:$A$45,0))</f>
        <v/>
      </c>
      <c r="W382" s="22" t="str">
        <f>INDEX(Cronograma!V$5:V$11,MATCH($B382,Premissas!$A$39:$A$45,0))</f>
        <v/>
      </c>
      <c r="X382" s="22" t="str">
        <f>INDEX(Cronograma!W$5:W$11,MATCH($B382,Premissas!$A$39:$A$45,0))</f>
        <v/>
      </c>
      <c r="Y382" s="22" t="str">
        <f>INDEX(Cronograma!X$5:X$11,MATCH($B382,Premissas!$A$39:$A$45,0))</f>
        <v/>
      </c>
      <c r="Z382" s="22" t="str">
        <f>INDEX(Cronograma!Y$5:Y$11,MATCH($B382,Premissas!$A$39:$A$45,0))</f>
        <v/>
      </c>
      <c r="AA382" s="22" t="str">
        <f>INDEX(Cronograma!Z$5:Z$11,MATCH($B382,Premissas!$A$39:$A$45,0))</f>
        <v/>
      </c>
      <c r="AB382" s="22" t="str">
        <f>INDEX(Cronograma!AA$5:AA$11,MATCH($B382,Premissas!$A$39:$A$45,0))</f>
        <v/>
      </c>
      <c r="AC382" s="22" t="str">
        <f>INDEX(Cronograma!AB$5:AB$11,MATCH($B382,Premissas!$A$39:$A$45,0))</f>
        <v/>
      </c>
      <c r="AD382" s="22" t="str">
        <f>INDEX(Cronograma!AC$5:AC$11,MATCH($B382,Premissas!$A$39:$A$45,0))</f>
        <v/>
      </c>
      <c r="AE382" s="22" t="str">
        <f>INDEX(Cronograma!AD$5:AD$11,MATCH($B382,Premissas!$A$39:$A$45,0))</f>
        <v>A</v>
      </c>
      <c r="AF382" s="22" t="str">
        <f>INDEX(Cronograma!AE$5:AE$11,MATCH($B382,Premissas!$A$39:$A$45,0))</f>
        <v/>
      </c>
      <c r="AG382" s="22" t="str">
        <f>INDEX(Cronograma!AF$5:AF$11,MATCH($B382,Premissas!$A$39:$A$45,0))</f>
        <v/>
      </c>
      <c r="AH382" s="22" t="str">
        <f>INDEX(Cronograma!AG$5:AG$11,MATCH($B382,Premissas!$A$39:$A$45,0))</f>
        <v/>
      </c>
      <c r="AI382" s="22" t="str">
        <f>INDEX(Cronograma!AH$5:AH$11,MATCH($B382,Premissas!$A$39:$A$45,0))</f>
        <v/>
      </c>
      <c r="AJ382" s="22" t="str">
        <f>INDEX(Cronograma!AI$5:AI$11,MATCH($B382,Premissas!$A$39:$A$45,0))</f>
        <v/>
      </c>
      <c r="AK382" s="22" t="str">
        <f>INDEX(Cronograma!AJ$5:AJ$11,MATCH($B382,Premissas!$A$39:$A$45,0))</f>
        <v/>
      </c>
      <c r="AL382" s="22" t="str">
        <f>INDEX(Cronograma!AK$5:AK$11,MATCH($B382,Premissas!$A$39:$A$45,0))</f>
        <v/>
      </c>
      <c r="AM382" s="22" t="str">
        <f>INDEX(Cronograma!AL$5:AL$11,MATCH($B382,Premissas!$A$39:$A$45,0))</f>
        <v/>
      </c>
      <c r="AN382" s="22" t="str">
        <f>INDEX(Cronograma!AM$5:AM$11,MATCH($B382,Premissas!$A$39:$A$45,0))</f>
        <v/>
      </c>
      <c r="AO382" s="22" t="str">
        <f>INDEX(Cronograma!AN$5:AN$11,MATCH($B382,Premissas!$A$39:$A$45,0))</f>
        <v/>
      </c>
      <c r="AP382" s="22" t="str">
        <f>INDEX(Cronograma!AO$5:AO$11,MATCH($B382,Premissas!$A$39:$A$45,0))</f>
        <v/>
      </c>
      <c r="AQ382" s="22" t="str">
        <f>INDEX(Cronograma!AP$5:AP$11,MATCH($B382,Premissas!$A$39:$A$45,0))</f>
        <v/>
      </c>
      <c r="AR382" s="22" t="str">
        <f>INDEX(Cronograma!AQ$5:AQ$11,MATCH($B382,Premissas!$A$39:$A$45,0))</f>
        <v/>
      </c>
      <c r="AS382" s="22" t="str">
        <f>INDEX(Cronograma!AR$5:AR$11,MATCH($B382,Premissas!$A$39:$A$45,0))</f>
        <v/>
      </c>
      <c r="AT382" s="22" t="str">
        <f>INDEX(Cronograma!AS$5:AS$11,MATCH($B382,Premissas!$A$39:$A$45,0))</f>
        <v/>
      </c>
      <c r="AU382" s="22" t="str">
        <f>INDEX(Cronograma!AT$5:AT$11,MATCH($B382,Premissas!$A$39:$A$45,0))</f>
        <v/>
      </c>
      <c r="AV382" s="22" t="str">
        <f>INDEX(Cronograma!AU$5:AU$11,MATCH($B382,Premissas!$A$39:$A$45,0))</f>
        <v/>
      </c>
      <c r="AW382" s="22" t="str">
        <f>INDEX(Cronograma!AV$5:AV$11,MATCH($B382,Premissas!$A$39:$A$45,0))</f>
        <v/>
      </c>
      <c r="AX382" s="22" t="str">
        <f>INDEX(Cronograma!AW$5:AW$11,MATCH($B382,Premissas!$A$39:$A$45,0))</f>
        <v>S</v>
      </c>
      <c r="AY382" s="22" t="str">
        <f>INDEX(Cronograma!AX$5:AX$11,MATCH($B382,Premissas!$A$39:$A$45,0))</f>
        <v/>
      </c>
      <c r="AZ382" s="22" t="str">
        <f>INDEX(Cronograma!AY$5:AY$11,MATCH($B382,Premissas!$A$39:$A$45,0))</f>
        <v/>
      </c>
      <c r="BA382" s="22" t="str">
        <f>INDEX(Cronograma!AZ$5:AZ$11,MATCH($B382,Premissas!$A$39:$A$45,0))</f>
        <v/>
      </c>
      <c r="BB382" s="22" t="str">
        <f>INDEX(Cronograma!BA$5:BA$11,MATCH($B382,Premissas!$A$39:$A$45,0))</f>
        <v/>
      </c>
    </row>
    <row r="383" spans="1:54" ht="15" customHeight="1" x14ac:dyDescent="0.4">
      <c r="A383" s="15" t="str">
        <f>Frota!$B383&amp;" — "&amp;Frota!$A383</f>
        <v>Mobi Way — 303119</v>
      </c>
      <c r="B383" s="16" t="str">
        <f>Frota!$C383</f>
        <v>Veículo Leve</v>
      </c>
      <c r="C383" s="22" t="str">
        <f>INDEX(Cronograma!B$5:B$11,MATCH($B383,Premissas!$A$39:$A$45,0))</f>
        <v/>
      </c>
      <c r="D383" s="22" t="str">
        <f>INDEX(Cronograma!C$5:C$11,MATCH($B383,Premissas!$A$39:$A$45,0))</f>
        <v/>
      </c>
      <c r="E383" s="22" t="str">
        <f>INDEX(Cronograma!D$5:D$11,MATCH($B383,Premissas!$A$39:$A$45,0))</f>
        <v/>
      </c>
      <c r="F383" s="22" t="str">
        <f>INDEX(Cronograma!E$5:E$11,MATCH($B383,Premissas!$A$39:$A$45,0))</f>
        <v/>
      </c>
      <c r="G383" s="22" t="str">
        <f>INDEX(Cronograma!F$5:F$11,MATCH($B383,Premissas!$A$39:$A$45,0))</f>
        <v/>
      </c>
      <c r="H383" s="22" t="str">
        <f>INDEX(Cronograma!G$5:G$11,MATCH($B383,Premissas!$A$39:$A$45,0))</f>
        <v/>
      </c>
      <c r="I383" s="22" t="str">
        <f>INDEX(Cronograma!H$5:H$11,MATCH($B383,Premissas!$A$39:$A$45,0))</f>
        <v/>
      </c>
      <c r="J383" s="22" t="str">
        <f>INDEX(Cronograma!I$5:I$11,MATCH($B383,Premissas!$A$39:$A$45,0))</f>
        <v/>
      </c>
      <c r="K383" s="22" t="str">
        <f>INDEX(Cronograma!J$5:J$11,MATCH($B383,Premissas!$A$39:$A$45,0))</f>
        <v/>
      </c>
      <c r="L383" s="22" t="str">
        <f>INDEX(Cronograma!K$5:K$11,MATCH($B383,Premissas!$A$39:$A$45,0))</f>
        <v/>
      </c>
      <c r="M383" s="22" t="str">
        <f>INDEX(Cronograma!L$5:L$11,MATCH($B383,Premissas!$A$39:$A$45,0))</f>
        <v/>
      </c>
      <c r="N383" s="22" t="str">
        <f>INDEX(Cronograma!M$5:M$11,MATCH($B383,Premissas!$A$39:$A$45,0))</f>
        <v/>
      </c>
      <c r="O383" s="22" t="str">
        <f>INDEX(Cronograma!N$5:N$11,MATCH($B383,Premissas!$A$39:$A$45,0))</f>
        <v/>
      </c>
      <c r="P383" s="22" t="str">
        <f>INDEX(Cronograma!O$5:O$11,MATCH($B383,Premissas!$A$39:$A$45,0))</f>
        <v/>
      </c>
      <c r="Q383" s="22" t="str">
        <f>INDEX(Cronograma!P$5:P$11,MATCH($B383,Premissas!$A$39:$A$45,0))</f>
        <v>S</v>
      </c>
      <c r="R383" s="22" t="str">
        <f>INDEX(Cronograma!Q$5:Q$11,MATCH($B383,Premissas!$A$39:$A$45,0))</f>
        <v/>
      </c>
      <c r="S383" s="22" t="str">
        <f>INDEX(Cronograma!R$5:R$11,MATCH($B383,Premissas!$A$39:$A$45,0))</f>
        <v/>
      </c>
      <c r="T383" s="22" t="str">
        <f>INDEX(Cronograma!S$5:S$11,MATCH($B383,Premissas!$A$39:$A$45,0))</f>
        <v/>
      </c>
      <c r="U383" s="22" t="str">
        <f>INDEX(Cronograma!T$5:T$11,MATCH($B383,Premissas!$A$39:$A$45,0))</f>
        <v/>
      </c>
      <c r="V383" s="22" t="str">
        <f>INDEX(Cronograma!U$5:U$11,MATCH($B383,Premissas!$A$39:$A$45,0))</f>
        <v/>
      </c>
      <c r="W383" s="22" t="str">
        <f>INDEX(Cronograma!V$5:V$11,MATCH($B383,Premissas!$A$39:$A$45,0))</f>
        <v/>
      </c>
      <c r="X383" s="22" t="str">
        <f>INDEX(Cronograma!W$5:W$11,MATCH($B383,Premissas!$A$39:$A$45,0))</f>
        <v/>
      </c>
      <c r="Y383" s="22" t="str">
        <f>INDEX(Cronograma!X$5:X$11,MATCH($B383,Premissas!$A$39:$A$45,0))</f>
        <v/>
      </c>
      <c r="Z383" s="22" t="str">
        <f>INDEX(Cronograma!Y$5:Y$11,MATCH($B383,Premissas!$A$39:$A$45,0))</f>
        <v/>
      </c>
      <c r="AA383" s="22" t="str">
        <f>INDEX(Cronograma!Z$5:Z$11,MATCH($B383,Premissas!$A$39:$A$45,0))</f>
        <v/>
      </c>
      <c r="AB383" s="22" t="str">
        <f>INDEX(Cronograma!AA$5:AA$11,MATCH($B383,Premissas!$A$39:$A$45,0))</f>
        <v/>
      </c>
      <c r="AC383" s="22" t="str">
        <f>INDEX(Cronograma!AB$5:AB$11,MATCH($B383,Premissas!$A$39:$A$45,0))</f>
        <v/>
      </c>
      <c r="AD383" s="22" t="str">
        <f>INDEX(Cronograma!AC$5:AC$11,MATCH($B383,Premissas!$A$39:$A$45,0))</f>
        <v/>
      </c>
      <c r="AE383" s="22" t="str">
        <f>INDEX(Cronograma!AD$5:AD$11,MATCH($B383,Premissas!$A$39:$A$45,0))</f>
        <v>A</v>
      </c>
      <c r="AF383" s="22" t="str">
        <f>INDEX(Cronograma!AE$5:AE$11,MATCH($B383,Premissas!$A$39:$A$45,0))</f>
        <v/>
      </c>
      <c r="AG383" s="22" t="str">
        <f>INDEX(Cronograma!AF$5:AF$11,MATCH($B383,Premissas!$A$39:$A$45,0))</f>
        <v/>
      </c>
      <c r="AH383" s="22" t="str">
        <f>INDEX(Cronograma!AG$5:AG$11,MATCH($B383,Premissas!$A$39:$A$45,0))</f>
        <v/>
      </c>
      <c r="AI383" s="22" t="str">
        <f>INDEX(Cronograma!AH$5:AH$11,MATCH($B383,Premissas!$A$39:$A$45,0))</f>
        <v/>
      </c>
      <c r="AJ383" s="22" t="str">
        <f>INDEX(Cronograma!AI$5:AI$11,MATCH($B383,Premissas!$A$39:$A$45,0))</f>
        <v/>
      </c>
      <c r="AK383" s="22" t="str">
        <f>INDEX(Cronograma!AJ$5:AJ$11,MATCH($B383,Premissas!$A$39:$A$45,0))</f>
        <v/>
      </c>
      <c r="AL383" s="22" t="str">
        <f>INDEX(Cronograma!AK$5:AK$11,MATCH($B383,Premissas!$A$39:$A$45,0))</f>
        <v/>
      </c>
      <c r="AM383" s="22" t="str">
        <f>INDEX(Cronograma!AL$5:AL$11,MATCH($B383,Premissas!$A$39:$A$45,0))</f>
        <v/>
      </c>
      <c r="AN383" s="22" t="str">
        <f>INDEX(Cronograma!AM$5:AM$11,MATCH($B383,Premissas!$A$39:$A$45,0))</f>
        <v/>
      </c>
      <c r="AO383" s="22" t="str">
        <f>INDEX(Cronograma!AN$5:AN$11,MATCH($B383,Premissas!$A$39:$A$45,0))</f>
        <v/>
      </c>
      <c r="AP383" s="22" t="str">
        <f>INDEX(Cronograma!AO$5:AO$11,MATCH($B383,Premissas!$A$39:$A$45,0))</f>
        <v/>
      </c>
      <c r="AQ383" s="22" t="str">
        <f>INDEX(Cronograma!AP$5:AP$11,MATCH($B383,Premissas!$A$39:$A$45,0))</f>
        <v/>
      </c>
      <c r="AR383" s="22" t="str">
        <f>INDEX(Cronograma!AQ$5:AQ$11,MATCH($B383,Premissas!$A$39:$A$45,0))</f>
        <v/>
      </c>
      <c r="AS383" s="22" t="str">
        <f>INDEX(Cronograma!AR$5:AR$11,MATCH($B383,Premissas!$A$39:$A$45,0))</f>
        <v/>
      </c>
      <c r="AT383" s="22" t="str">
        <f>INDEX(Cronograma!AS$5:AS$11,MATCH($B383,Premissas!$A$39:$A$45,0))</f>
        <v/>
      </c>
      <c r="AU383" s="22" t="str">
        <f>INDEX(Cronograma!AT$5:AT$11,MATCH($B383,Premissas!$A$39:$A$45,0))</f>
        <v/>
      </c>
      <c r="AV383" s="22" t="str">
        <f>INDEX(Cronograma!AU$5:AU$11,MATCH($B383,Premissas!$A$39:$A$45,0))</f>
        <v/>
      </c>
      <c r="AW383" s="22" t="str">
        <f>INDEX(Cronograma!AV$5:AV$11,MATCH($B383,Premissas!$A$39:$A$45,0))</f>
        <v/>
      </c>
      <c r="AX383" s="22" t="str">
        <f>INDEX(Cronograma!AW$5:AW$11,MATCH($B383,Premissas!$A$39:$A$45,0))</f>
        <v>S</v>
      </c>
      <c r="AY383" s="22" t="str">
        <f>INDEX(Cronograma!AX$5:AX$11,MATCH($B383,Premissas!$A$39:$A$45,0))</f>
        <v/>
      </c>
      <c r="AZ383" s="22" t="str">
        <f>INDEX(Cronograma!AY$5:AY$11,MATCH($B383,Premissas!$A$39:$A$45,0))</f>
        <v/>
      </c>
      <c r="BA383" s="22" t="str">
        <f>INDEX(Cronograma!AZ$5:AZ$11,MATCH($B383,Premissas!$A$39:$A$45,0))</f>
        <v/>
      </c>
      <c r="BB383" s="22" t="str">
        <f>INDEX(Cronograma!BA$5:BA$11,MATCH($B383,Premissas!$A$39:$A$45,0))</f>
        <v/>
      </c>
    </row>
    <row r="384" spans="1:54" ht="15" customHeight="1" x14ac:dyDescent="0.4">
      <c r="A384" s="15" t="str">
        <f>Frota!$B384&amp;" — "&amp;Frota!$A384</f>
        <v>Mobi Way — 303122</v>
      </c>
      <c r="B384" s="16" t="str">
        <f>Frota!$C384</f>
        <v>Veículo Leve</v>
      </c>
      <c r="C384" s="22" t="str">
        <f>INDEX(Cronograma!B$5:B$11,MATCH($B384,Premissas!$A$39:$A$45,0))</f>
        <v/>
      </c>
      <c r="D384" s="22" t="str">
        <f>INDEX(Cronograma!C$5:C$11,MATCH($B384,Premissas!$A$39:$A$45,0))</f>
        <v/>
      </c>
      <c r="E384" s="22" t="str">
        <f>INDEX(Cronograma!D$5:D$11,MATCH($B384,Premissas!$A$39:$A$45,0))</f>
        <v/>
      </c>
      <c r="F384" s="22" t="str">
        <f>INDEX(Cronograma!E$5:E$11,MATCH($B384,Premissas!$A$39:$A$45,0))</f>
        <v/>
      </c>
      <c r="G384" s="22" t="str">
        <f>INDEX(Cronograma!F$5:F$11,MATCH($B384,Premissas!$A$39:$A$45,0))</f>
        <v/>
      </c>
      <c r="H384" s="22" t="str">
        <f>INDEX(Cronograma!G$5:G$11,MATCH($B384,Premissas!$A$39:$A$45,0))</f>
        <v/>
      </c>
      <c r="I384" s="22" t="str">
        <f>INDEX(Cronograma!H$5:H$11,MATCH($B384,Premissas!$A$39:$A$45,0))</f>
        <v/>
      </c>
      <c r="J384" s="22" t="str">
        <f>INDEX(Cronograma!I$5:I$11,MATCH($B384,Premissas!$A$39:$A$45,0))</f>
        <v/>
      </c>
      <c r="K384" s="22" t="str">
        <f>INDEX(Cronograma!J$5:J$11,MATCH($B384,Premissas!$A$39:$A$45,0))</f>
        <v/>
      </c>
      <c r="L384" s="22" t="str">
        <f>INDEX(Cronograma!K$5:K$11,MATCH($B384,Premissas!$A$39:$A$45,0))</f>
        <v/>
      </c>
      <c r="M384" s="22" t="str">
        <f>INDEX(Cronograma!L$5:L$11,MATCH($B384,Premissas!$A$39:$A$45,0))</f>
        <v/>
      </c>
      <c r="N384" s="22" t="str">
        <f>INDEX(Cronograma!M$5:M$11,MATCH($B384,Premissas!$A$39:$A$45,0))</f>
        <v/>
      </c>
      <c r="O384" s="22" t="str">
        <f>INDEX(Cronograma!N$5:N$11,MATCH($B384,Premissas!$A$39:$A$45,0))</f>
        <v/>
      </c>
      <c r="P384" s="22" t="str">
        <f>INDEX(Cronograma!O$5:O$11,MATCH($B384,Premissas!$A$39:$A$45,0))</f>
        <v/>
      </c>
      <c r="Q384" s="22" t="str">
        <f>INDEX(Cronograma!P$5:P$11,MATCH($B384,Premissas!$A$39:$A$45,0))</f>
        <v>S</v>
      </c>
      <c r="R384" s="22" t="str">
        <f>INDEX(Cronograma!Q$5:Q$11,MATCH($B384,Premissas!$A$39:$A$45,0))</f>
        <v/>
      </c>
      <c r="S384" s="22" t="str">
        <f>INDEX(Cronograma!R$5:R$11,MATCH($B384,Premissas!$A$39:$A$45,0))</f>
        <v/>
      </c>
      <c r="T384" s="22" t="str">
        <f>INDEX(Cronograma!S$5:S$11,MATCH($B384,Premissas!$A$39:$A$45,0))</f>
        <v/>
      </c>
      <c r="U384" s="22" t="str">
        <f>INDEX(Cronograma!T$5:T$11,MATCH($B384,Premissas!$A$39:$A$45,0))</f>
        <v/>
      </c>
      <c r="V384" s="22" t="str">
        <f>INDEX(Cronograma!U$5:U$11,MATCH($B384,Premissas!$A$39:$A$45,0))</f>
        <v/>
      </c>
      <c r="W384" s="22" t="str">
        <f>INDEX(Cronograma!V$5:V$11,MATCH($B384,Premissas!$A$39:$A$45,0))</f>
        <v/>
      </c>
      <c r="X384" s="22" t="str">
        <f>INDEX(Cronograma!W$5:W$11,MATCH($B384,Premissas!$A$39:$A$45,0))</f>
        <v/>
      </c>
      <c r="Y384" s="22" t="str">
        <f>INDEX(Cronograma!X$5:X$11,MATCH($B384,Premissas!$A$39:$A$45,0))</f>
        <v/>
      </c>
      <c r="Z384" s="22" t="str">
        <f>INDEX(Cronograma!Y$5:Y$11,MATCH($B384,Premissas!$A$39:$A$45,0))</f>
        <v/>
      </c>
      <c r="AA384" s="22" t="str">
        <f>INDEX(Cronograma!Z$5:Z$11,MATCH($B384,Premissas!$A$39:$A$45,0))</f>
        <v/>
      </c>
      <c r="AB384" s="22" t="str">
        <f>INDEX(Cronograma!AA$5:AA$11,MATCH($B384,Premissas!$A$39:$A$45,0))</f>
        <v/>
      </c>
      <c r="AC384" s="22" t="str">
        <f>INDEX(Cronograma!AB$5:AB$11,MATCH($B384,Premissas!$A$39:$A$45,0))</f>
        <v/>
      </c>
      <c r="AD384" s="22" t="str">
        <f>INDEX(Cronograma!AC$5:AC$11,MATCH($B384,Premissas!$A$39:$A$45,0))</f>
        <v/>
      </c>
      <c r="AE384" s="22" t="str">
        <f>INDEX(Cronograma!AD$5:AD$11,MATCH($B384,Premissas!$A$39:$A$45,0))</f>
        <v>A</v>
      </c>
      <c r="AF384" s="22" t="str">
        <f>INDEX(Cronograma!AE$5:AE$11,MATCH($B384,Premissas!$A$39:$A$45,0))</f>
        <v/>
      </c>
      <c r="AG384" s="22" t="str">
        <f>INDEX(Cronograma!AF$5:AF$11,MATCH($B384,Premissas!$A$39:$A$45,0))</f>
        <v/>
      </c>
      <c r="AH384" s="22" t="str">
        <f>INDEX(Cronograma!AG$5:AG$11,MATCH($B384,Premissas!$A$39:$A$45,0))</f>
        <v/>
      </c>
      <c r="AI384" s="22" t="str">
        <f>INDEX(Cronograma!AH$5:AH$11,MATCH($B384,Premissas!$A$39:$A$45,0))</f>
        <v/>
      </c>
      <c r="AJ384" s="22" t="str">
        <f>INDEX(Cronograma!AI$5:AI$11,MATCH($B384,Premissas!$A$39:$A$45,0))</f>
        <v/>
      </c>
      <c r="AK384" s="22" t="str">
        <f>INDEX(Cronograma!AJ$5:AJ$11,MATCH($B384,Premissas!$A$39:$A$45,0))</f>
        <v/>
      </c>
      <c r="AL384" s="22" t="str">
        <f>INDEX(Cronograma!AK$5:AK$11,MATCH($B384,Premissas!$A$39:$A$45,0))</f>
        <v/>
      </c>
      <c r="AM384" s="22" t="str">
        <f>INDEX(Cronograma!AL$5:AL$11,MATCH($B384,Premissas!$A$39:$A$45,0))</f>
        <v/>
      </c>
      <c r="AN384" s="22" t="str">
        <f>INDEX(Cronograma!AM$5:AM$11,MATCH($B384,Premissas!$A$39:$A$45,0))</f>
        <v/>
      </c>
      <c r="AO384" s="22" t="str">
        <f>INDEX(Cronograma!AN$5:AN$11,MATCH($B384,Premissas!$A$39:$A$45,0))</f>
        <v/>
      </c>
      <c r="AP384" s="22" t="str">
        <f>INDEX(Cronograma!AO$5:AO$11,MATCH($B384,Premissas!$A$39:$A$45,0))</f>
        <v/>
      </c>
      <c r="AQ384" s="22" t="str">
        <f>INDEX(Cronograma!AP$5:AP$11,MATCH($B384,Premissas!$A$39:$A$45,0))</f>
        <v/>
      </c>
      <c r="AR384" s="22" t="str">
        <f>INDEX(Cronograma!AQ$5:AQ$11,MATCH($B384,Premissas!$A$39:$A$45,0))</f>
        <v/>
      </c>
      <c r="AS384" s="22" t="str">
        <f>INDEX(Cronograma!AR$5:AR$11,MATCH($B384,Premissas!$A$39:$A$45,0))</f>
        <v/>
      </c>
      <c r="AT384" s="22" t="str">
        <f>INDEX(Cronograma!AS$5:AS$11,MATCH($B384,Premissas!$A$39:$A$45,0))</f>
        <v/>
      </c>
      <c r="AU384" s="22" t="str">
        <f>INDEX(Cronograma!AT$5:AT$11,MATCH($B384,Premissas!$A$39:$A$45,0))</f>
        <v/>
      </c>
      <c r="AV384" s="22" t="str">
        <f>INDEX(Cronograma!AU$5:AU$11,MATCH($B384,Premissas!$A$39:$A$45,0))</f>
        <v/>
      </c>
      <c r="AW384" s="22" t="str">
        <f>INDEX(Cronograma!AV$5:AV$11,MATCH($B384,Premissas!$A$39:$A$45,0))</f>
        <v/>
      </c>
      <c r="AX384" s="22" t="str">
        <f>INDEX(Cronograma!AW$5:AW$11,MATCH($B384,Premissas!$A$39:$A$45,0))</f>
        <v>S</v>
      </c>
      <c r="AY384" s="22" t="str">
        <f>INDEX(Cronograma!AX$5:AX$11,MATCH($B384,Premissas!$A$39:$A$45,0))</f>
        <v/>
      </c>
      <c r="AZ384" s="22" t="str">
        <f>INDEX(Cronograma!AY$5:AY$11,MATCH($B384,Premissas!$A$39:$A$45,0))</f>
        <v/>
      </c>
      <c r="BA384" s="22" t="str">
        <f>INDEX(Cronograma!AZ$5:AZ$11,MATCH($B384,Premissas!$A$39:$A$45,0))</f>
        <v/>
      </c>
      <c r="BB384" s="22" t="str">
        <f>INDEX(Cronograma!BA$5:BA$11,MATCH($B384,Premissas!$A$39:$A$45,0))</f>
        <v/>
      </c>
    </row>
    <row r="385" spans="1:54" ht="15" customHeight="1" x14ac:dyDescent="0.4">
      <c r="A385" s="15" t="str">
        <f>Frota!$B385&amp;" — "&amp;Frota!$A385</f>
        <v>Mobi Way — 303123</v>
      </c>
      <c r="B385" s="16" t="str">
        <f>Frota!$C385</f>
        <v>Veículo Leve</v>
      </c>
      <c r="C385" s="22" t="str">
        <f>INDEX(Cronograma!B$5:B$11,MATCH($B385,Premissas!$A$39:$A$45,0))</f>
        <v/>
      </c>
      <c r="D385" s="22" t="str">
        <f>INDEX(Cronograma!C$5:C$11,MATCH($B385,Premissas!$A$39:$A$45,0))</f>
        <v/>
      </c>
      <c r="E385" s="22" t="str">
        <f>INDEX(Cronograma!D$5:D$11,MATCH($B385,Premissas!$A$39:$A$45,0))</f>
        <v/>
      </c>
      <c r="F385" s="22" t="str">
        <f>INDEX(Cronograma!E$5:E$11,MATCH($B385,Premissas!$A$39:$A$45,0))</f>
        <v/>
      </c>
      <c r="G385" s="22" t="str">
        <f>INDEX(Cronograma!F$5:F$11,MATCH($B385,Premissas!$A$39:$A$45,0))</f>
        <v/>
      </c>
      <c r="H385" s="22" t="str">
        <f>INDEX(Cronograma!G$5:G$11,MATCH($B385,Premissas!$A$39:$A$45,0))</f>
        <v/>
      </c>
      <c r="I385" s="22" t="str">
        <f>INDEX(Cronograma!H$5:H$11,MATCH($B385,Premissas!$A$39:$A$45,0))</f>
        <v/>
      </c>
      <c r="J385" s="22" t="str">
        <f>INDEX(Cronograma!I$5:I$11,MATCH($B385,Premissas!$A$39:$A$45,0))</f>
        <v/>
      </c>
      <c r="K385" s="22" t="str">
        <f>INDEX(Cronograma!J$5:J$11,MATCH($B385,Premissas!$A$39:$A$45,0))</f>
        <v/>
      </c>
      <c r="L385" s="22" t="str">
        <f>INDEX(Cronograma!K$5:K$11,MATCH($B385,Premissas!$A$39:$A$45,0))</f>
        <v/>
      </c>
      <c r="M385" s="22" t="str">
        <f>INDEX(Cronograma!L$5:L$11,MATCH($B385,Premissas!$A$39:$A$45,0))</f>
        <v/>
      </c>
      <c r="N385" s="22" t="str">
        <f>INDEX(Cronograma!M$5:M$11,MATCH($B385,Premissas!$A$39:$A$45,0))</f>
        <v/>
      </c>
      <c r="O385" s="22" t="str">
        <f>INDEX(Cronograma!N$5:N$11,MATCH($B385,Premissas!$A$39:$A$45,0))</f>
        <v/>
      </c>
      <c r="P385" s="22" t="str">
        <f>INDEX(Cronograma!O$5:O$11,MATCH($B385,Premissas!$A$39:$A$45,0))</f>
        <v/>
      </c>
      <c r="Q385" s="22" t="str">
        <f>INDEX(Cronograma!P$5:P$11,MATCH($B385,Premissas!$A$39:$A$45,0))</f>
        <v>S</v>
      </c>
      <c r="R385" s="22" t="str">
        <f>INDEX(Cronograma!Q$5:Q$11,MATCH($B385,Premissas!$A$39:$A$45,0))</f>
        <v/>
      </c>
      <c r="S385" s="22" t="str">
        <f>INDEX(Cronograma!R$5:R$11,MATCH($B385,Premissas!$A$39:$A$45,0))</f>
        <v/>
      </c>
      <c r="T385" s="22" t="str">
        <f>INDEX(Cronograma!S$5:S$11,MATCH($B385,Premissas!$A$39:$A$45,0))</f>
        <v/>
      </c>
      <c r="U385" s="22" t="str">
        <f>INDEX(Cronograma!T$5:T$11,MATCH($B385,Premissas!$A$39:$A$45,0))</f>
        <v/>
      </c>
      <c r="V385" s="22" t="str">
        <f>INDEX(Cronograma!U$5:U$11,MATCH($B385,Premissas!$A$39:$A$45,0))</f>
        <v/>
      </c>
      <c r="W385" s="22" t="str">
        <f>INDEX(Cronograma!V$5:V$11,MATCH($B385,Premissas!$A$39:$A$45,0))</f>
        <v/>
      </c>
      <c r="X385" s="22" t="str">
        <f>INDEX(Cronograma!W$5:W$11,MATCH($B385,Premissas!$A$39:$A$45,0))</f>
        <v/>
      </c>
      <c r="Y385" s="22" t="str">
        <f>INDEX(Cronograma!X$5:X$11,MATCH($B385,Premissas!$A$39:$A$45,0))</f>
        <v/>
      </c>
      <c r="Z385" s="22" t="str">
        <f>INDEX(Cronograma!Y$5:Y$11,MATCH($B385,Premissas!$A$39:$A$45,0))</f>
        <v/>
      </c>
      <c r="AA385" s="22" t="str">
        <f>INDEX(Cronograma!Z$5:Z$11,MATCH($B385,Premissas!$A$39:$A$45,0))</f>
        <v/>
      </c>
      <c r="AB385" s="22" t="str">
        <f>INDEX(Cronograma!AA$5:AA$11,MATCH($B385,Premissas!$A$39:$A$45,0))</f>
        <v/>
      </c>
      <c r="AC385" s="22" t="str">
        <f>INDEX(Cronograma!AB$5:AB$11,MATCH($B385,Premissas!$A$39:$A$45,0))</f>
        <v/>
      </c>
      <c r="AD385" s="22" t="str">
        <f>INDEX(Cronograma!AC$5:AC$11,MATCH($B385,Premissas!$A$39:$A$45,0))</f>
        <v/>
      </c>
      <c r="AE385" s="22" t="str">
        <f>INDEX(Cronograma!AD$5:AD$11,MATCH($B385,Premissas!$A$39:$A$45,0))</f>
        <v>A</v>
      </c>
      <c r="AF385" s="22" t="str">
        <f>INDEX(Cronograma!AE$5:AE$11,MATCH($B385,Premissas!$A$39:$A$45,0))</f>
        <v/>
      </c>
      <c r="AG385" s="22" t="str">
        <f>INDEX(Cronograma!AF$5:AF$11,MATCH($B385,Premissas!$A$39:$A$45,0))</f>
        <v/>
      </c>
      <c r="AH385" s="22" t="str">
        <f>INDEX(Cronograma!AG$5:AG$11,MATCH($B385,Premissas!$A$39:$A$45,0))</f>
        <v/>
      </c>
      <c r="AI385" s="22" t="str">
        <f>INDEX(Cronograma!AH$5:AH$11,MATCH($B385,Premissas!$A$39:$A$45,0))</f>
        <v/>
      </c>
      <c r="AJ385" s="22" t="str">
        <f>INDEX(Cronograma!AI$5:AI$11,MATCH($B385,Premissas!$A$39:$A$45,0))</f>
        <v/>
      </c>
      <c r="AK385" s="22" t="str">
        <f>INDEX(Cronograma!AJ$5:AJ$11,MATCH($B385,Premissas!$A$39:$A$45,0))</f>
        <v/>
      </c>
      <c r="AL385" s="22" t="str">
        <f>INDEX(Cronograma!AK$5:AK$11,MATCH($B385,Premissas!$A$39:$A$45,0))</f>
        <v/>
      </c>
      <c r="AM385" s="22" t="str">
        <f>INDEX(Cronograma!AL$5:AL$11,MATCH($B385,Premissas!$A$39:$A$45,0))</f>
        <v/>
      </c>
      <c r="AN385" s="22" t="str">
        <f>INDEX(Cronograma!AM$5:AM$11,MATCH($B385,Premissas!$A$39:$A$45,0))</f>
        <v/>
      </c>
      <c r="AO385" s="22" t="str">
        <f>INDEX(Cronograma!AN$5:AN$11,MATCH($B385,Premissas!$A$39:$A$45,0))</f>
        <v/>
      </c>
      <c r="AP385" s="22" t="str">
        <f>INDEX(Cronograma!AO$5:AO$11,MATCH($B385,Premissas!$A$39:$A$45,0))</f>
        <v/>
      </c>
      <c r="AQ385" s="22" t="str">
        <f>INDEX(Cronograma!AP$5:AP$11,MATCH($B385,Premissas!$A$39:$A$45,0))</f>
        <v/>
      </c>
      <c r="AR385" s="22" t="str">
        <f>INDEX(Cronograma!AQ$5:AQ$11,MATCH($B385,Premissas!$A$39:$A$45,0))</f>
        <v/>
      </c>
      <c r="AS385" s="22" t="str">
        <f>INDEX(Cronograma!AR$5:AR$11,MATCH($B385,Premissas!$A$39:$A$45,0))</f>
        <v/>
      </c>
      <c r="AT385" s="22" t="str">
        <f>INDEX(Cronograma!AS$5:AS$11,MATCH($B385,Premissas!$A$39:$A$45,0))</f>
        <v/>
      </c>
      <c r="AU385" s="22" t="str">
        <f>INDEX(Cronograma!AT$5:AT$11,MATCH($B385,Premissas!$A$39:$A$45,0))</f>
        <v/>
      </c>
      <c r="AV385" s="22" t="str">
        <f>INDEX(Cronograma!AU$5:AU$11,MATCH($B385,Premissas!$A$39:$A$45,0))</f>
        <v/>
      </c>
      <c r="AW385" s="22" t="str">
        <f>INDEX(Cronograma!AV$5:AV$11,MATCH($B385,Premissas!$A$39:$A$45,0))</f>
        <v/>
      </c>
      <c r="AX385" s="22" t="str">
        <f>INDEX(Cronograma!AW$5:AW$11,MATCH($B385,Premissas!$A$39:$A$45,0))</f>
        <v>S</v>
      </c>
      <c r="AY385" s="22" t="str">
        <f>INDEX(Cronograma!AX$5:AX$11,MATCH($B385,Premissas!$A$39:$A$45,0))</f>
        <v/>
      </c>
      <c r="AZ385" s="22" t="str">
        <f>INDEX(Cronograma!AY$5:AY$11,MATCH($B385,Premissas!$A$39:$A$45,0))</f>
        <v/>
      </c>
      <c r="BA385" s="22" t="str">
        <f>INDEX(Cronograma!AZ$5:AZ$11,MATCH($B385,Premissas!$A$39:$A$45,0))</f>
        <v/>
      </c>
      <c r="BB385" s="22" t="str">
        <f>INDEX(Cronograma!BA$5:BA$11,MATCH($B385,Premissas!$A$39:$A$45,0))</f>
        <v/>
      </c>
    </row>
    <row r="386" spans="1:54" ht="15" customHeight="1" x14ac:dyDescent="0.4">
      <c r="A386" s="15" t="str">
        <f>Frota!$B386&amp;" — "&amp;Frota!$A386</f>
        <v>Mobi Way — 303128</v>
      </c>
      <c r="B386" s="16" t="str">
        <f>Frota!$C386</f>
        <v>Veículo Leve</v>
      </c>
      <c r="C386" s="22" t="str">
        <f>INDEX(Cronograma!B$5:B$11,MATCH($B386,Premissas!$A$39:$A$45,0))</f>
        <v/>
      </c>
      <c r="D386" s="22" t="str">
        <f>INDEX(Cronograma!C$5:C$11,MATCH($B386,Premissas!$A$39:$A$45,0))</f>
        <v/>
      </c>
      <c r="E386" s="22" t="str">
        <f>INDEX(Cronograma!D$5:D$11,MATCH($B386,Premissas!$A$39:$A$45,0))</f>
        <v/>
      </c>
      <c r="F386" s="22" t="str">
        <f>INDEX(Cronograma!E$5:E$11,MATCH($B386,Premissas!$A$39:$A$45,0))</f>
        <v/>
      </c>
      <c r="G386" s="22" t="str">
        <f>INDEX(Cronograma!F$5:F$11,MATCH($B386,Premissas!$A$39:$A$45,0))</f>
        <v/>
      </c>
      <c r="H386" s="22" t="str">
        <f>INDEX(Cronograma!G$5:G$11,MATCH($B386,Premissas!$A$39:$A$45,0))</f>
        <v/>
      </c>
      <c r="I386" s="22" t="str">
        <f>INDEX(Cronograma!H$5:H$11,MATCH($B386,Premissas!$A$39:$A$45,0))</f>
        <v/>
      </c>
      <c r="J386" s="22" t="str">
        <f>INDEX(Cronograma!I$5:I$11,MATCH($B386,Premissas!$A$39:$A$45,0))</f>
        <v/>
      </c>
      <c r="K386" s="22" t="str">
        <f>INDEX(Cronograma!J$5:J$11,MATCH($B386,Premissas!$A$39:$A$45,0))</f>
        <v/>
      </c>
      <c r="L386" s="22" t="str">
        <f>INDEX(Cronograma!K$5:K$11,MATCH($B386,Premissas!$A$39:$A$45,0))</f>
        <v/>
      </c>
      <c r="M386" s="22" t="str">
        <f>INDEX(Cronograma!L$5:L$11,MATCH($B386,Premissas!$A$39:$A$45,0))</f>
        <v/>
      </c>
      <c r="N386" s="22" t="str">
        <f>INDEX(Cronograma!M$5:M$11,MATCH($B386,Premissas!$A$39:$A$45,0))</f>
        <v/>
      </c>
      <c r="O386" s="22" t="str">
        <f>INDEX(Cronograma!N$5:N$11,MATCH($B386,Premissas!$A$39:$A$45,0))</f>
        <v/>
      </c>
      <c r="P386" s="22" t="str">
        <f>INDEX(Cronograma!O$5:O$11,MATCH($B386,Premissas!$A$39:$A$45,0))</f>
        <v/>
      </c>
      <c r="Q386" s="22" t="str">
        <f>INDEX(Cronograma!P$5:P$11,MATCH($B386,Premissas!$A$39:$A$45,0))</f>
        <v>S</v>
      </c>
      <c r="R386" s="22" t="str">
        <f>INDEX(Cronograma!Q$5:Q$11,MATCH($B386,Premissas!$A$39:$A$45,0))</f>
        <v/>
      </c>
      <c r="S386" s="22" t="str">
        <f>INDEX(Cronograma!R$5:R$11,MATCH($B386,Premissas!$A$39:$A$45,0))</f>
        <v/>
      </c>
      <c r="T386" s="22" t="str">
        <f>INDEX(Cronograma!S$5:S$11,MATCH($B386,Premissas!$A$39:$A$45,0))</f>
        <v/>
      </c>
      <c r="U386" s="22" t="str">
        <f>INDEX(Cronograma!T$5:T$11,MATCH($B386,Premissas!$A$39:$A$45,0))</f>
        <v/>
      </c>
      <c r="V386" s="22" t="str">
        <f>INDEX(Cronograma!U$5:U$11,MATCH($B386,Premissas!$A$39:$A$45,0))</f>
        <v/>
      </c>
      <c r="W386" s="22" t="str">
        <f>INDEX(Cronograma!V$5:V$11,MATCH($B386,Premissas!$A$39:$A$45,0))</f>
        <v/>
      </c>
      <c r="X386" s="22" t="str">
        <f>INDEX(Cronograma!W$5:W$11,MATCH($B386,Premissas!$A$39:$A$45,0))</f>
        <v/>
      </c>
      <c r="Y386" s="22" t="str">
        <f>INDEX(Cronograma!X$5:X$11,MATCH($B386,Premissas!$A$39:$A$45,0))</f>
        <v/>
      </c>
      <c r="Z386" s="22" t="str">
        <f>INDEX(Cronograma!Y$5:Y$11,MATCH($B386,Premissas!$A$39:$A$45,0))</f>
        <v/>
      </c>
      <c r="AA386" s="22" t="str">
        <f>INDEX(Cronograma!Z$5:Z$11,MATCH($B386,Premissas!$A$39:$A$45,0))</f>
        <v/>
      </c>
      <c r="AB386" s="22" t="str">
        <f>INDEX(Cronograma!AA$5:AA$11,MATCH($B386,Premissas!$A$39:$A$45,0))</f>
        <v/>
      </c>
      <c r="AC386" s="22" t="str">
        <f>INDEX(Cronograma!AB$5:AB$11,MATCH($B386,Premissas!$A$39:$A$45,0))</f>
        <v/>
      </c>
      <c r="AD386" s="22" t="str">
        <f>INDEX(Cronograma!AC$5:AC$11,MATCH($B386,Premissas!$A$39:$A$45,0))</f>
        <v/>
      </c>
      <c r="AE386" s="22" t="str">
        <f>INDEX(Cronograma!AD$5:AD$11,MATCH($B386,Premissas!$A$39:$A$45,0))</f>
        <v>A</v>
      </c>
      <c r="AF386" s="22" t="str">
        <f>INDEX(Cronograma!AE$5:AE$11,MATCH($B386,Premissas!$A$39:$A$45,0))</f>
        <v/>
      </c>
      <c r="AG386" s="22" t="str">
        <f>INDEX(Cronograma!AF$5:AF$11,MATCH($B386,Premissas!$A$39:$A$45,0))</f>
        <v/>
      </c>
      <c r="AH386" s="22" t="str">
        <f>INDEX(Cronograma!AG$5:AG$11,MATCH($B386,Premissas!$A$39:$A$45,0))</f>
        <v/>
      </c>
      <c r="AI386" s="22" t="str">
        <f>INDEX(Cronograma!AH$5:AH$11,MATCH($B386,Premissas!$A$39:$A$45,0))</f>
        <v/>
      </c>
      <c r="AJ386" s="22" t="str">
        <f>INDEX(Cronograma!AI$5:AI$11,MATCH($B386,Premissas!$A$39:$A$45,0))</f>
        <v/>
      </c>
      <c r="AK386" s="22" t="str">
        <f>INDEX(Cronograma!AJ$5:AJ$11,MATCH($B386,Premissas!$A$39:$A$45,0))</f>
        <v/>
      </c>
      <c r="AL386" s="22" t="str">
        <f>INDEX(Cronograma!AK$5:AK$11,MATCH($B386,Premissas!$A$39:$A$45,0))</f>
        <v/>
      </c>
      <c r="AM386" s="22" t="str">
        <f>INDEX(Cronograma!AL$5:AL$11,MATCH($B386,Premissas!$A$39:$A$45,0))</f>
        <v/>
      </c>
      <c r="AN386" s="22" t="str">
        <f>INDEX(Cronograma!AM$5:AM$11,MATCH($B386,Premissas!$A$39:$A$45,0))</f>
        <v/>
      </c>
      <c r="AO386" s="22" t="str">
        <f>INDEX(Cronograma!AN$5:AN$11,MATCH($B386,Premissas!$A$39:$A$45,0))</f>
        <v/>
      </c>
      <c r="AP386" s="22" t="str">
        <f>INDEX(Cronograma!AO$5:AO$11,MATCH($B386,Premissas!$A$39:$A$45,0))</f>
        <v/>
      </c>
      <c r="AQ386" s="22" t="str">
        <f>INDEX(Cronograma!AP$5:AP$11,MATCH($B386,Premissas!$A$39:$A$45,0))</f>
        <v/>
      </c>
      <c r="AR386" s="22" t="str">
        <f>INDEX(Cronograma!AQ$5:AQ$11,MATCH($B386,Premissas!$A$39:$A$45,0))</f>
        <v/>
      </c>
      <c r="AS386" s="22" t="str">
        <f>INDEX(Cronograma!AR$5:AR$11,MATCH($B386,Premissas!$A$39:$A$45,0))</f>
        <v/>
      </c>
      <c r="AT386" s="22" t="str">
        <f>INDEX(Cronograma!AS$5:AS$11,MATCH($B386,Premissas!$A$39:$A$45,0))</f>
        <v/>
      </c>
      <c r="AU386" s="22" t="str">
        <f>INDEX(Cronograma!AT$5:AT$11,MATCH($B386,Premissas!$A$39:$A$45,0))</f>
        <v/>
      </c>
      <c r="AV386" s="22" t="str">
        <f>INDEX(Cronograma!AU$5:AU$11,MATCH($B386,Premissas!$A$39:$A$45,0))</f>
        <v/>
      </c>
      <c r="AW386" s="22" t="str">
        <f>INDEX(Cronograma!AV$5:AV$11,MATCH($B386,Premissas!$A$39:$A$45,0))</f>
        <v/>
      </c>
      <c r="AX386" s="22" t="str">
        <f>INDEX(Cronograma!AW$5:AW$11,MATCH($B386,Premissas!$A$39:$A$45,0))</f>
        <v>S</v>
      </c>
      <c r="AY386" s="22" t="str">
        <f>INDEX(Cronograma!AX$5:AX$11,MATCH($B386,Premissas!$A$39:$A$45,0))</f>
        <v/>
      </c>
      <c r="AZ386" s="22" t="str">
        <f>INDEX(Cronograma!AY$5:AY$11,MATCH($B386,Premissas!$A$39:$A$45,0))</f>
        <v/>
      </c>
      <c r="BA386" s="22" t="str">
        <f>INDEX(Cronograma!AZ$5:AZ$11,MATCH($B386,Premissas!$A$39:$A$45,0))</f>
        <v/>
      </c>
      <c r="BB386" s="22" t="str">
        <f>INDEX(Cronograma!BA$5:BA$11,MATCH($B386,Premissas!$A$39:$A$45,0))</f>
        <v/>
      </c>
    </row>
    <row r="387" spans="1:54" ht="15" customHeight="1" x14ac:dyDescent="0.4">
      <c r="A387" s="15" t="str">
        <f>Frota!$B387&amp;" — "&amp;Frota!$A387</f>
        <v>Chinesa — 580001</v>
      </c>
      <c r="B387" s="16" t="str">
        <f>Frota!$C387</f>
        <v>Implemento</v>
      </c>
      <c r="C387" s="22" t="str">
        <f>INDEX(Cronograma!B$5:B$11,MATCH($B387,Premissas!$A$39:$A$45,0))</f>
        <v/>
      </c>
      <c r="D387" s="22" t="str">
        <f>INDEX(Cronograma!C$5:C$11,MATCH($B387,Premissas!$A$39:$A$45,0))</f>
        <v/>
      </c>
      <c r="E387" s="22" t="str">
        <f>INDEX(Cronograma!D$5:D$11,MATCH($B387,Premissas!$A$39:$A$45,0))</f>
        <v/>
      </c>
      <c r="F387" s="22" t="str">
        <f>INDEX(Cronograma!E$5:E$11,MATCH($B387,Premissas!$A$39:$A$45,0))</f>
        <v/>
      </c>
      <c r="G387" s="22" t="str">
        <f>INDEX(Cronograma!F$5:F$11,MATCH($B387,Premissas!$A$39:$A$45,0))</f>
        <v/>
      </c>
      <c r="H387" s="22" t="str">
        <f>INDEX(Cronograma!G$5:G$11,MATCH($B387,Premissas!$A$39:$A$45,0))</f>
        <v/>
      </c>
      <c r="I387" s="22" t="str">
        <f>INDEX(Cronograma!H$5:H$11,MATCH($B387,Premissas!$A$39:$A$45,0))</f>
        <v/>
      </c>
      <c r="J387" s="22" t="str">
        <f>INDEX(Cronograma!I$5:I$11,MATCH($B387,Premissas!$A$39:$A$45,0))</f>
        <v>S</v>
      </c>
      <c r="K387" s="22" t="str">
        <f>INDEX(Cronograma!J$5:J$11,MATCH($B387,Premissas!$A$39:$A$45,0))</f>
        <v/>
      </c>
      <c r="L387" s="22" t="str">
        <f>INDEX(Cronograma!K$5:K$11,MATCH($B387,Premissas!$A$39:$A$45,0))</f>
        <v/>
      </c>
      <c r="M387" s="22" t="str">
        <f>INDEX(Cronograma!L$5:L$11,MATCH($B387,Premissas!$A$39:$A$45,0))</f>
        <v/>
      </c>
      <c r="N387" s="22" t="str">
        <f>INDEX(Cronograma!M$5:M$11,MATCH($B387,Premissas!$A$39:$A$45,0))</f>
        <v/>
      </c>
      <c r="O387" s="22" t="str">
        <f>INDEX(Cronograma!N$5:N$11,MATCH($B387,Premissas!$A$39:$A$45,0))</f>
        <v/>
      </c>
      <c r="P387" s="22" t="str">
        <f>INDEX(Cronograma!O$5:O$11,MATCH($B387,Premissas!$A$39:$A$45,0))</f>
        <v/>
      </c>
      <c r="Q387" s="22" t="str">
        <f>INDEX(Cronograma!P$5:P$11,MATCH($B387,Premissas!$A$39:$A$45,0))</f>
        <v/>
      </c>
      <c r="R387" s="22" t="str">
        <f>INDEX(Cronograma!Q$5:Q$11,MATCH($B387,Premissas!$A$39:$A$45,0))</f>
        <v>A</v>
      </c>
      <c r="S387" s="22" t="str">
        <f>INDEX(Cronograma!R$5:R$11,MATCH($B387,Premissas!$A$39:$A$45,0))</f>
        <v/>
      </c>
      <c r="T387" s="22" t="str">
        <f>INDEX(Cronograma!S$5:S$11,MATCH($B387,Premissas!$A$39:$A$45,0))</f>
        <v/>
      </c>
      <c r="U387" s="22" t="str">
        <f>INDEX(Cronograma!T$5:T$11,MATCH($B387,Premissas!$A$39:$A$45,0))</f>
        <v/>
      </c>
      <c r="V387" s="22" t="str">
        <f>INDEX(Cronograma!U$5:U$11,MATCH($B387,Premissas!$A$39:$A$45,0))</f>
        <v/>
      </c>
      <c r="W387" s="22" t="str">
        <f>INDEX(Cronograma!V$5:V$11,MATCH($B387,Premissas!$A$39:$A$45,0))</f>
        <v/>
      </c>
      <c r="X387" s="22" t="str">
        <f>INDEX(Cronograma!W$5:W$11,MATCH($B387,Premissas!$A$39:$A$45,0))</f>
        <v/>
      </c>
      <c r="Y387" s="22" t="str">
        <f>INDEX(Cronograma!X$5:X$11,MATCH($B387,Premissas!$A$39:$A$45,0))</f>
        <v/>
      </c>
      <c r="Z387" s="22" t="str">
        <f>INDEX(Cronograma!Y$5:Y$11,MATCH($B387,Premissas!$A$39:$A$45,0))</f>
        <v>S</v>
      </c>
      <c r="AA387" s="22" t="str">
        <f>INDEX(Cronograma!Z$5:Z$11,MATCH($B387,Premissas!$A$39:$A$45,0))</f>
        <v/>
      </c>
      <c r="AB387" s="22" t="str">
        <f>INDEX(Cronograma!AA$5:AA$11,MATCH($B387,Premissas!$A$39:$A$45,0))</f>
        <v/>
      </c>
      <c r="AC387" s="22" t="str">
        <f>INDEX(Cronograma!AB$5:AB$11,MATCH($B387,Premissas!$A$39:$A$45,0))</f>
        <v/>
      </c>
      <c r="AD387" s="22" t="str">
        <f>INDEX(Cronograma!AC$5:AC$11,MATCH($B387,Premissas!$A$39:$A$45,0))</f>
        <v/>
      </c>
      <c r="AE387" s="22" t="str">
        <f>INDEX(Cronograma!AD$5:AD$11,MATCH($B387,Premissas!$A$39:$A$45,0))</f>
        <v/>
      </c>
      <c r="AF387" s="22" t="str">
        <f>INDEX(Cronograma!AE$5:AE$11,MATCH($B387,Premissas!$A$39:$A$45,0))</f>
        <v/>
      </c>
      <c r="AG387" s="22" t="str">
        <f>INDEX(Cronograma!AF$5:AF$11,MATCH($B387,Premissas!$A$39:$A$45,0))</f>
        <v/>
      </c>
      <c r="AH387" s="22" t="str">
        <f>INDEX(Cronograma!AG$5:AG$11,MATCH($B387,Premissas!$A$39:$A$45,0))</f>
        <v/>
      </c>
      <c r="AI387" s="22" t="str">
        <f>INDEX(Cronograma!AH$5:AH$11,MATCH($B387,Premissas!$A$39:$A$45,0))</f>
        <v/>
      </c>
      <c r="AJ387" s="22" t="str">
        <f>INDEX(Cronograma!AI$5:AI$11,MATCH($B387,Premissas!$A$39:$A$45,0))</f>
        <v/>
      </c>
      <c r="AK387" s="22" t="str">
        <f>INDEX(Cronograma!AJ$5:AJ$11,MATCH($B387,Premissas!$A$39:$A$45,0))</f>
        <v/>
      </c>
      <c r="AL387" s="22" t="str">
        <f>INDEX(Cronograma!AK$5:AK$11,MATCH($B387,Premissas!$A$39:$A$45,0))</f>
        <v>A</v>
      </c>
      <c r="AM387" s="22" t="str">
        <f>INDEX(Cronograma!AL$5:AL$11,MATCH($B387,Premissas!$A$39:$A$45,0))</f>
        <v/>
      </c>
      <c r="AN387" s="22" t="str">
        <f>INDEX(Cronograma!AM$5:AM$11,MATCH($B387,Premissas!$A$39:$A$45,0))</f>
        <v/>
      </c>
      <c r="AO387" s="22" t="str">
        <f>INDEX(Cronograma!AN$5:AN$11,MATCH($B387,Premissas!$A$39:$A$45,0))</f>
        <v/>
      </c>
      <c r="AP387" s="22" t="str">
        <f>INDEX(Cronograma!AO$5:AO$11,MATCH($B387,Premissas!$A$39:$A$45,0))</f>
        <v/>
      </c>
      <c r="AQ387" s="22" t="str">
        <f>INDEX(Cronograma!AP$5:AP$11,MATCH($B387,Premissas!$A$39:$A$45,0))</f>
        <v/>
      </c>
      <c r="AR387" s="22" t="str">
        <f>INDEX(Cronograma!AQ$5:AQ$11,MATCH($B387,Premissas!$A$39:$A$45,0))</f>
        <v/>
      </c>
      <c r="AS387" s="22" t="str">
        <f>INDEX(Cronograma!AR$5:AR$11,MATCH($B387,Premissas!$A$39:$A$45,0))</f>
        <v/>
      </c>
      <c r="AT387" s="22" t="str">
        <f>INDEX(Cronograma!AS$5:AS$11,MATCH($B387,Premissas!$A$39:$A$45,0))</f>
        <v/>
      </c>
      <c r="AU387" s="22" t="str">
        <f>INDEX(Cronograma!AT$5:AT$11,MATCH($B387,Premissas!$A$39:$A$45,0))</f>
        <v/>
      </c>
      <c r="AV387" s="22" t="str">
        <f>INDEX(Cronograma!AU$5:AU$11,MATCH($B387,Premissas!$A$39:$A$45,0))</f>
        <v/>
      </c>
      <c r="AW387" s="22" t="str">
        <f>INDEX(Cronograma!AV$5:AV$11,MATCH($B387,Premissas!$A$39:$A$45,0))</f>
        <v/>
      </c>
      <c r="AX387" s="22" t="str">
        <f>INDEX(Cronograma!AW$5:AW$11,MATCH($B387,Premissas!$A$39:$A$45,0))</f>
        <v/>
      </c>
      <c r="AY387" s="22" t="str">
        <f>INDEX(Cronograma!AX$5:AX$11,MATCH($B387,Premissas!$A$39:$A$45,0))</f>
        <v/>
      </c>
      <c r="AZ387" s="22" t="str">
        <f>INDEX(Cronograma!AY$5:AY$11,MATCH($B387,Premissas!$A$39:$A$45,0))</f>
        <v/>
      </c>
      <c r="BA387" s="22" t="str">
        <f>INDEX(Cronograma!AZ$5:AZ$11,MATCH($B387,Premissas!$A$39:$A$45,0))</f>
        <v/>
      </c>
      <c r="BB387" s="22" t="str">
        <f>INDEX(Cronograma!BA$5:BA$11,MATCH($B387,Premissas!$A$39:$A$45,0))</f>
        <v/>
      </c>
    </row>
    <row r="388" spans="1:54" ht="15" customHeight="1" x14ac:dyDescent="0.4">
      <c r="A388" s="15" t="str">
        <f>Frota!$B388&amp;" — "&amp;Frota!$A388</f>
        <v>Chinesa — 580002</v>
      </c>
      <c r="B388" s="16" t="str">
        <f>Frota!$C388</f>
        <v>Implemento</v>
      </c>
      <c r="C388" s="22" t="str">
        <f>INDEX(Cronograma!B$5:B$11,MATCH($B388,Premissas!$A$39:$A$45,0))</f>
        <v/>
      </c>
      <c r="D388" s="22" t="str">
        <f>INDEX(Cronograma!C$5:C$11,MATCH($B388,Premissas!$A$39:$A$45,0))</f>
        <v/>
      </c>
      <c r="E388" s="22" t="str">
        <f>INDEX(Cronograma!D$5:D$11,MATCH($B388,Premissas!$A$39:$A$45,0))</f>
        <v/>
      </c>
      <c r="F388" s="22" t="str">
        <f>INDEX(Cronograma!E$5:E$11,MATCH($B388,Premissas!$A$39:$A$45,0))</f>
        <v/>
      </c>
      <c r="G388" s="22" t="str">
        <f>INDEX(Cronograma!F$5:F$11,MATCH($B388,Premissas!$A$39:$A$45,0))</f>
        <v/>
      </c>
      <c r="H388" s="22" t="str">
        <f>INDEX(Cronograma!G$5:G$11,MATCH($B388,Premissas!$A$39:$A$45,0))</f>
        <v/>
      </c>
      <c r="I388" s="22" t="str">
        <f>INDEX(Cronograma!H$5:H$11,MATCH($B388,Premissas!$A$39:$A$45,0))</f>
        <v/>
      </c>
      <c r="J388" s="22" t="str">
        <f>INDEX(Cronograma!I$5:I$11,MATCH($B388,Premissas!$A$39:$A$45,0))</f>
        <v>S</v>
      </c>
      <c r="K388" s="22" t="str">
        <f>INDEX(Cronograma!J$5:J$11,MATCH($B388,Premissas!$A$39:$A$45,0))</f>
        <v/>
      </c>
      <c r="L388" s="22" t="str">
        <f>INDEX(Cronograma!K$5:K$11,MATCH($B388,Premissas!$A$39:$A$45,0))</f>
        <v/>
      </c>
      <c r="M388" s="22" t="str">
        <f>INDEX(Cronograma!L$5:L$11,MATCH($B388,Premissas!$A$39:$A$45,0))</f>
        <v/>
      </c>
      <c r="N388" s="22" t="str">
        <f>INDEX(Cronograma!M$5:M$11,MATCH($B388,Premissas!$A$39:$A$45,0))</f>
        <v/>
      </c>
      <c r="O388" s="22" t="str">
        <f>INDEX(Cronograma!N$5:N$11,MATCH($B388,Premissas!$A$39:$A$45,0))</f>
        <v/>
      </c>
      <c r="P388" s="22" t="str">
        <f>INDEX(Cronograma!O$5:O$11,MATCH($B388,Premissas!$A$39:$A$45,0))</f>
        <v/>
      </c>
      <c r="Q388" s="22" t="str">
        <f>INDEX(Cronograma!P$5:P$11,MATCH($B388,Premissas!$A$39:$A$45,0))</f>
        <v/>
      </c>
      <c r="R388" s="22" t="str">
        <f>INDEX(Cronograma!Q$5:Q$11,MATCH($B388,Premissas!$A$39:$A$45,0))</f>
        <v>A</v>
      </c>
      <c r="S388" s="22" t="str">
        <f>INDEX(Cronograma!R$5:R$11,MATCH($B388,Premissas!$A$39:$A$45,0))</f>
        <v/>
      </c>
      <c r="T388" s="22" t="str">
        <f>INDEX(Cronograma!S$5:S$11,MATCH($B388,Premissas!$A$39:$A$45,0))</f>
        <v/>
      </c>
      <c r="U388" s="22" t="str">
        <f>INDEX(Cronograma!T$5:T$11,MATCH($B388,Premissas!$A$39:$A$45,0))</f>
        <v/>
      </c>
      <c r="V388" s="22" t="str">
        <f>INDEX(Cronograma!U$5:U$11,MATCH($B388,Premissas!$A$39:$A$45,0))</f>
        <v/>
      </c>
      <c r="W388" s="22" t="str">
        <f>INDEX(Cronograma!V$5:V$11,MATCH($B388,Premissas!$A$39:$A$45,0))</f>
        <v/>
      </c>
      <c r="X388" s="22" t="str">
        <f>INDEX(Cronograma!W$5:W$11,MATCH($B388,Premissas!$A$39:$A$45,0))</f>
        <v/>
      </c>
      <c r="Y388" s="22" t="str">
        <f>INDEX(Cronograma!X$5:X$11,MATCH($B388,Premissas!$A$39:$A$45,0))</f>
        <v/>
      </c>
      <c r="Z388" s="22" t="str">
        <f>INDEX(Cronograma!Y$5:Y$11,MATCH($B388,Premissas!$A$39:$A$45,0))</f>
        <v>S</v>
      </c>
      <c r="AA388" s="22" t="str">
        <f>INDEX(Cronograma!Z$5:Z$11,MATCH($B388,Premissas!$A$39:$A$45,0))</f>
        <v/>
      </c>
      <c r="AB388" s="22" t="str">
        <f>INDEX(Cronograma!AA$5:AA$11,MATCH($B388,Premissas!$A$39:$A$45,0))</f>
        <v/>
      </c>
      <c r="AC388" s="22" t="str">
        <f>INDEX(Cronograma!AB$5:AB$11,MATCH($B388,Premissas!$A$39:$A$45,0))</f>
        <v/>
      </c>
      <c r="AD388" s="22" t="str">
        <f>INDEX(Cronograma!AC$5:AC$11,MATCH($B388,Premissas!$A$39:$A$45,0))</f>
        <v/>
      </c>
      <c r="AE388" s="22" t="str">
        <f>INDEX(Cronograma!AD$5:AD$11,MATCH($B388,Premissas!$A$39:$A$45,0))</f>
        <v/>
      </c>
      <c r="AF388" s="22" t="str">
        <f>INDEX(Cronograma!AE$5:AE$11,MATCH($B388,Premissas!$A$39:$A$45,0))</f>
        <v/>
      </c>
      <c r="AG388" s="22" t="str">
        <f>INDEX(Cronograma!AF$5:AF$11,MATCH($B388,Premissas!$A$39:$A$45,0))</f>
        <v/>
      </c>
      <c r="AH388" s="22" t="str">
        <f>INDEX(Cronograma!AG$5:AG$11,MATCH($B388,Premissas!$A$39:$A$45,0))</f>
        <v/>
      </c>
      <c r="AI388" s="22" t="str">
        <f>INDEX(Cronograma!AH$5:AH$11,MATCH($B388,Premissas!$A$39:$A$45,0))</f>
        <v/>
      </c>
      <c r="AJ388" s="22" t="str">
        <f>INDEX(Cronograma!AI$5:AI$11,MATCH($B388,Premissas!$A$39:$A$45,0))</f>
        <v/>
      </c>
      <c r="AK388" s="22" t="str">
        <f>INDEX(Cronograma!AJ$5:AJ$11,MATCH($B388,Premissas!$A$39:$A$45,0))</f>
        <v/>
      </c>
      <c r="AL388" s="22" t="str">
        <f>INDEX(Cronograma!AK$5:AK$11,MATCH($B388,Premissas!$A$39:$A$45,0))</f>
        <v>A</v>
      </c>
      <c r="AM388" s="22" t="str">
        <f>INDEX(Cronograma!AL$5:AL$11,MATCH($B388,Premissas!$A$39:$A$45,0))</f>
        <v/>
      </c>
      <c r="AN388" s="22" t="str">
        <f>INDEX(Cronograma!AM$5:AM$11,MATCH($B388,Premissas!$A$39:$A$45,0))</f>
        <v/>
      </c>
      <c r="AO388" s="22" t="str">
        <f>INDEX(Cronograma!AN$5:AN$11,MATCH($B388,Premissas!$A$39:$A$45,0))</f>
        <v/>
      </c>
      <c r="AP388" s="22" t="str">
        <f>INDEX(Cronograma!AO$5:AO$11,MATCH($B388,Premissas!$A$39:$A$45,0))</f>
        <v/>
      </c>
      <c r="AQ388" s="22" t="str">
        <f>INDEX(Cronograma!AP$5:AP$11,MATCH($B388,Premissas!$A$39:$A$45,0))</f>
        <v/>
      </c>
      <c r="AR388" s="22" t="str">
        <f>INDEX(Cronograma!AQ$5:AQ$11,MATCH($B388,Premissas!$A$39:$A$45,0))</f>
        <v/>
      </c>
      <c r="AS388" s="22" t="str">
        <f>INDEX(Cronograma!AR$5:AR$11,MATCH($B388,Premissas!$A$39:$A$45,0))</f>
        <v/>
      </c>
      <c r="AT388" s="22" t="str">
        <f>INDEX(Cronograma!AS$5:AS$11,MATCH($B388,Premissas!$A$39:$A$45,0))</f>
        <v/>
      </c>
      <c r="AU388" s="22" t="str">
        <f>INDEX(Cronograma!AT$5:AT$11,MATCH($B388,Premissas!$A$39:$A$45,0))</f>
        <v/>
      </c>
      <c r="AV388" s="22" t="str">
        <f>INDEX(Cronograma!AU$5:AU$11,MATCH($B388,Premissas!$A$39:$A$45,0))</f>
        <v/>
      </c>
      <c r="AW388" s="22" t="str">
        <f>INDEX(Cronograma!AV$5:AV$11,MATCH($B388,Premissas!$A$39:$A$45,0))</f>
        <v/>
      </c>
      <c r="AX388" s="22" t="str">
        <f>INDEX(Cronograma!AW$5:AW$11,MATCH($B388,Premissas!$A$39:$A$45,0))</f>
        <v/>
      </c>
      <c r="AY388" s="22" t="str">
        <f>INDEX(Cronograma!AX$5:AX$11,MATCH($B388,Premissas!$A$39:$A$45,0))</f>
        <v/>
      </c>
      <c r="AZ388" s="22" t="str">
        <f>INDEX(Cronograma!AY$5:AY$11,MATCH($B388,Premissas!$A$39:$A$45,0))</f>
        <v/>
      </c>
      <c r="BA388" s="22" t="str">
        <f>INDEX(Cronograma!AZ$5:AZ$11,MATCH($B388,Premissas!$A$39:$A$45,0))</f>
        <v/>
      </c>
      <c r="BB388" s="22" t="str">
        <f>INDEX(Cronograma!BA$5:BA$11,MATCH($B388,Premissas!$A$39:$A$45,0))</f>
        <v/>
      </c>
    </row>
  </sheetData>
  <autoFilter ref="A4:BB388" xr:uid="{00000000-0009-0000-0000-000008000000}"/>
  <mergeCells count="2">
    <mergeCell ref="A1:BB1"/>
    <mergeCell ref="A2:BB2"/>
  </mergeCells>
  <conditionalFormatting sqref="C5:BB388">
    <cfRule type="expression" dxfId="14" priority="2">
      <formula>OR(EXACT(C5,"B"),EXACT(C5,"C"))</formula>
    </cfRule>
    <cfRule type="expression" dxfId="13" priority="3">
      <formula>EXACT(C5,"A")</formula>
    </cfRule>
    <cfRule type="expression" dxfId="12" priority="4">
      <formula>EXACT(C5,"S")</formula>
    </cfRule>
  </conditionalFormatting>
  <hyperlinks>
    <hyperlink ref="BD1" r:id="rId1" location="Menu!A1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106"/>
  <sheetViews>
    <sheetView tabSelected="1" topLeftCell="D1" zoomScaleNormal="100" workbookViewId="0">
      <pane ySplit="5" topLeftCell="A6" activePane="bottomLeft" state="frozen"/>
      <selection pane="bottomLeft" activeCell="N20" sqref="N20"/>
    </sheetView>
  </sheetViews>
  <sheetFormatPr defaultColWidth="8.69140625" defaultRowHeight="14.6" x14ac:dyDescent="0.4"/>
  <cols>
    <col min="1" max="1" width="12" customWidth="1"/>
    <col min="2" max="2" width="8" customWidth="1"/>
    <col min="3" max="4" width="7" customWidth="1"/>
    <col min="5" max="5" width="11" customWidth="1"/>
    <col min="6" max="6" width="36" customWidth="1"/>
    <col min="7" max="7" width="15" customWidth="1"/>
    <col min="8" max="8" width="18" customWidth="1"/>
    <col min="9" max="10" width="7" customWidth="1"/>
    <col min="11" max="11" width="28" customWidth="1"/>
    <col min="12" max="12" width="32.3828125" bestFit="1" customWidth="1"/>
    <col min="13" max="16" width="13" customWidth="1"/>
  </cols>
  <sheetData>
    <row r="1" spans="1:16" ht="15.75" customHeight="1" x14ac:dyDescent="0.45">
      <c r="A1" s="3" t="s">
        <v>965</v>
      </c>
      <c r="B1" s="3"/>
      <c r="C1" s="3"/>
      <c r="D1" s="3"/>
      <c r="E1" s="3"/>
      <c r="F1" s="3"/>
      <c r="G1" s="3"/>
      <c r="H1" s="3"/>
      <c r="I1" s="3"/>
      <c r="J1" s="3"/>
      <c r="K1" s="3"/>
      <c r="M1" s="11" t="s">
        <v>47</v>
      </c>
    </row>
    <row r="2" spans="1:16" ht="39.75" customHeight="1" x14ac:dyDescent="0.4">
      <c r="A2" s="2" t="s">
        <v>966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6" ht="15" customHeight="1" x14ac:dyDescent="0.4">
      <c r="M3" s="12" t="s">
        <v>967</v>
      </c>
    </row>
    <row r="4" spans="1:16" ht="23.25" customHeight="1" x14ac:dyDescent="0.4">
      <c r="M4" s="14" t="s">
        <v>968</v>
      </c>
      <c r="N4" s="14" t="s">
        <v>969</v>
      </c>
      <c r="O4" s="14" t="s">
        <v>970</v>
      </c>
      <c r="P4" s="14" t="s">
        <v>971</v>
      </c>
    </row>
    <row r="5" spans="1:16" ht="23.25" customHeight="1" x14ac:dyDescent="0.4">
      <c r="A5" s="14" t="s">
        <v>972</v>
      </c>
      <c r="B5" s="14" t="s">
        <v>973</v>
      </c>
      <c r="C5" s="14" t="s">
        <v>974</v>
      </c>
      <c r="D5" s="14" t="s">
        <v>82</v>
      </c>
      <c r="E5" s="14" t="s">
        <v>975</v>
      </c>
      <c r="F5" s="14" t="s">
        <v>964</v>
      </c>
      <c r="G5" s="14" t="s">
        <v>152</v>
      </c>
      <c r="H5" s="14" t="s">
        <v>128</v>
      </c>
      <c r="I5" s="14" t="s">
        <v>976</v>
      </c>
      <c r="J5" s="14" t="s">
        <v>850</v>
      </c>
      <c r="K5" s="14" t="s">
        <v>977</v>
      </c>
      <c r="L5" s="14" t="s">
        <v>978</v>
      </c>
      <c r="M5" s="23" t="s">
        <v>979</v>
      </c>
      <c r="N5" s="16">
        <f>COUNTIFS($C$6:$C$2106,1)</f>
        <v>553</v>
      </c>
      <c r="O5" s="16">
        <f>ROUND(SUMIFS($J$6:$J$2106,$C$6:$C$2106,1),1)</f>
        <v>1782</v>
      </c>
      <c r="P5" s="24">
        <f>SUMPRODUCT(($C$6:$C$2106=1)/COUNTIFS($F$6:$F$2106,$F$6:$F$2106&amp;"",$C$6:$C$2106,$C$6:$C$2106))</f>
        <v>333.99999999999972</v>
      </c>
    </row>
    <row r="6" spans="1:16" ht="15" customHeight="1" x14ac:dyDescent="0.4">
      <c r="A6" s="25">
        <v>46280</v>
      </c>
      <c r="B6" s="16">
        <v>3</v>
      </c>
      <c r="C6" s="16">
        <v>1</v>
      </c>
      <c r="D6" s="16">
        <v>9</v>
      </c>
      <c r="E6" s="16" t="s">
        <v>980</v>
      </c>
      <c r="F6" s="16" t="s">
        <v>981</v>
      </c>
      <c r="G6" s="16" t="s">
        <v>184</v>
      </c>
      <c r="H6" s="16" t="s">
        <v>138</v>
      </c>
      <c r="I6" s="22" t="s">
        <v>856</v>
      </c>
      <c r="J6" s="16">
        <f>IFERROR(INDEX(Aux_HH!$J$4:$J$31,MATCH($H6&amp;"|"&amp;$I6,Aux_HH!$A$4:$A$31,0)),"")</f>
        <v>3</v>
      </c>
      <c r="K6" s="16" t="s">
        <v>76</v>
      </c>
      <c r="L6" s="16" t="str">
        <f>IF(COUNTIFS(Pessoas!$C$5:$C$44,$K6,Pessoas!$G$5:$G$44,"Ativo")=0,"Equipe "&amp;$K6,INDEX(Pessoas!$A$5:$A$44,_xludf.aggregate(15,6,(ROW(Pessoas!$A$5:$A$44)-4)/((Pessoas!$C$5:$C$44=$K6)*(Pessoas!$G$5:$G$44="Ativo")),MOD(ROW()-6,MAX(1,COUNTIFS(Pessoas!$C$5:$C$44,$K6,Pessoas!$G$5:$G$44,"Ativo")))+1)))</f>
        <v>Equipe Oficina Mecânica Central-Taisa</v>
      </c>
      <c r="M6" s="23" t="s">
        <v>982</v>
      </c>
      <c r="N6" s="16">
        <f>COUNTIFS($C$6:$C$2106,2)</f>
        <v>754</v>
      </c>
      <c r="O6" s="16">
        <f>ROUND(SUMIFS($J$6:$J$2106,$C$6:$C$2106,2),1)</f>
        <v>3151.5</v>
      </c>
      <c r="P6" s="24">
        <f>SUMPRODUCT(($C$6:$C$2106=2)/COUNTIFS($F$6:$F$2106,$F$6:$F$2106&amp;"",$C$6:$C$2106,$C$6:$C$2106))</f>
        <v>383.99999999999932</v>
      </c>
    </row>
    <row r="7" spans="1:16" ht="15" customHeight="1" x14ac:dyDescent="0.4">
      <c r="A7" s="25">
        <v>46280</v>
      </c>
      <c r="B7" s="16">
        <v>3</v>
      </c>
      <c r="C7" s="16">
        <v>1</v>
      </c>
      <c r="D7" s="16">
        <v>9</v>
      </c>
      <c r="E7" s="16" t="s">
        <v>980</v>
      </c>
      <c r="F7" s="16" t="s">
        <v>983</v>
      </c>
      <c r="G7" s="16" t="s">
        <v>184</v>
      </c>
      <c r="H7" s="16" t="s">
        <v>138</v>
      </c>
      <c r="I7" s="22" t="s">
        <v>856</v>
      </c>
      <c r="J7" s="16">
        <f>IFERROR(INDEX(Aux_HH!$J$4:$J$31,MATCH($H7&amp;"|"&amp;$I7,Aux_HH!$A$4:$A$31,0)),"")</f>
        <v>3</v>
      </c>
      <c r="K7" s="16" t="s">
        <v>76</v>
      </c>
      <c r="L7" s="16" t="str">
        <f>IF(COUNTIFS(Pessoas!$C$5:$C$44,$K7,Pessoas!$G$5:$G$44,"Ativo")=0,"Equipe "&amp;$K7,INDEX(Pessoas!$A$5:$A$44,_xludf.aggregate(15,6,(ROW(Pessoas!$A$5:$A$44)-4)/((Pessoas!$C$5:$C$44=$K7)*(Pessoas!$G$5:$G$44="Ativo")),MOD(ROW()-6,MAX(1,COUNTIFS(Pessoas!$C$5:$C$44,$K7,Pessoas!$G$5:$G$44,"Ativo")))+1)))</f>
        <v>Equipe Oficina Mecânica Central-Taisa</v>
      </c>
      <c r="M7" s="23" t="s">
        <v>984</v>
      </c>
      <c r="N7" s="16">
        <f>COUNTIFS($C$6:$C$2106,3)</f>
        <v>404</v>
      </c>
      <c r="O7" s="16">
        <f>ROUND(SUMIFS($J$6:$J$2106,$C$6:$C$2106,3),1)</f>
        <v>1801.5</v>
      </c>
      <c r="P7" s="24">
        <f>SUMPRODUCT(($C$6:$C$2106=3)/COUNTIFS($F$6:$F$2106,$F$6:$F$2106&amp;"",$C$6:$C$2106,$C$6:$C$2106))</f>
        <v>384</v>
      </c>
    </row>
    <row r="8" spans="1:16" ht="15" customHeight="1" x14ac:dyDescent="0.4">
      <c r="A8" s="25">
        <v>46281</v>
      </c>
      <c r="B8" s="16">
        <v>3</v>
      </c>
      <c r="C8" s="16">
        <v>1</v>
      </c>
      <c r="D8" s="16">
        <v>9</v>
      </c>
      <c r="E8" s="16" t="s">
        <v>980</v>
      </c>
      <c r="F8" s="16" t="s">
        <v>985</v>
      </c>
      <c r="G8" s="16" t="s">
        <v>184</v>
      </c>
      <c r="H8" s="16" t="s">
        <v>138</v>
      </c>
      <c r="I8" s="22" t="s">
        <v>856</v>
      </c>
      <c r="J8" s="16">
        <f>IFERROR(INDEX(Aux_HH!$J$4:$J$31,MATCH($H8&amp;"|"&amp;$I8,Aux_HH!$A$4:$A$31,0)),"")</f>
        <v>3</v>
      </c>
      <c r="K8" s="16" t="s">
        <v>76</v>
      </c>
      <c r="L8" s="16" t="str">
        <f>IF(COUNTIFS(Pessoas!$C$5:$C$44,$K8,Pessoas!$G$5:$G$44,"Ativo")=0,"Equipe "&amp;$K8,INDEX(Pessoas!$A$5:$A$44,_xludf.aggregate(15,6,(ROW(Pessoas!$A$5:$A$44)-4)/((Pessoas!$C$5:$C$44=$K8)*(Pessoas!$G$5:$G$44="Ativo")),MOD(ROW()-6,MAX(1,COUNTIFS(Pessoas!$C$5:$C$44,$K8,Pessoas!$G$5:$G$44,"Ativo")))+1)))</f>
        <v>Equipe Oficina Mecânica Central-Taisa</v>
      </c>
      <c r="M8" s="23" t="s">
        <v>986</v>
      </c>
      <c r="N8" s="16">
        <f>COUNTIFS($C$6:$C$2106,4)</f>
        <v>390</v>
      </c>
      <c r="O8" s="16">
        <f>ROUND(SUMIFS($J$6:$J$2106,$C$6:$C$2106,4),1)</f>
        <v>1248.5</v>
      </c>
      <c r="P8" s="24">
        <f>SUMPRODUCT(($C$6:$C$2106=4)/COUNTIFS($F$6:$F$2106,$F$6:$F$2106&amp;"",$C$6:$C$2106,$C$6:$C$2106))</f>
        <v>365.99999999999989</v>
      </c>
    </row>
    <row r="9" spans="1:16" ht="15" customHeight="1" x14ac:dyDescent="0.4">
      <c r="A9" s="25">
        <v>46281</v>
      </c>
      <c r="B9" s="16">
        <v>3</v>
      </c>
      <c r="C9" s="16">
        <v>1</v>
      </c>
      <c r="D9" s="16">
        <v>9</v>
      </c>
      <c r="E9" s="16" t="s">
        <v>980</v>
      </c>
      <c r="F9" s="16" t="s">
        <v>987</v>
      </c>
      <c r="G9" s="16" t="s">
        <v>526</v>
      </c>
      <c r="H9" s="16" t="s">
        <v>138</v>
      </c>
      <c r="I9" s="22" t="s">
        <v>856</v>
      </c>
      <c r="J9" s="16">
        <f>IFERROR(INDEX(Aux_HH!$J$4:$J$31,MATCH($H9&amp;"|"&amp;$I9,Aux_HH!$A$4:$A$31,0)),"")</f>
        <v>3</v>
      </c>
      <c r="K9" s="16" t="s">
        <v>76</v>
      </c>
      <c r="L9" s="16" t="str">
        <f>IF(COUNTIFS(Pessoas!$C$5:$C$44,$K9,Pessoas!$G$5:$G$44,"Ativo")=0,"Equipe "&amp;$K9,INDEX(Pessoas!$A$5:$A$44,_xludf.aggregate(15,6,(ROW(Pessoas!$A$5:$A$44)-4)/((Pessoas!$C$5:$C$44=$K9)*(Pessoas!$G$5:$G$44="Ativo")),MOD(ROW()-6,MAX(1,COUNTIFS(Pessoas!$C$5:$C$44,$K9,Pessoas!$G$5:$G$44,"Ativo")))+1)))</f>
        <v>Equipe Oficina Mecânica Central-Taisa</v>
      </c>
    </row>
    <row r="10" spans="1:16" ht="15" customHeight="1" x14ac:dyDescent="0.4">
      <c r="A10" s="25">
        <v>46282</v>
      </c>
      <c r="B10" s="16">
        <v>3</v>
      </c>
      <c r="C10" s="16">
        <v>1</v>
      </c>
      <c r="D10" s="16">
        <v>9</v>
      </c>
      <c r="E10" s="16" t="s">
        <v>980</v>
      </c>
      <c r="F10" s="16" t="s">
        <v>988</v>
      </c>
      <c r="G10" s="16" t="s">
        <v>184</v>
      </c>
      <c r="H10" s="16" t="s">
        <v>138</v>
      </c>
      <c r="I10" s="22" t="s">
        <v>856</v>
      </c>
      <c r="J10" s="16">
        <f>IFERROR(INDEX(Aux_HH!$J$4:$J$31,MATCH($H10&amp;"|"&amp;$I10,Aux_HH!$A$4:$A$31,0)),"")</f>
        <v>3</v>
      </c>
      <c r="K10" s="16" t="s">
        <v>76</v>
      </c>
      <c r="L10" s="16" t="str">
        <f>IF(COUNTIFS(Pessoas!$C$5:$C$44,$K10,Pessoas!$G$5:$G$44,"Ativo")=0,"Equipe "&amp;$K10,INDEX(Pessoas!$A$5:$A$44,_xludf.aggregate(15,6,(ROW(Pessoas!$A$5:$A$44)-4)/((Pessoas!$C$5:$C$44=$K10)*(Pessoas!$G$5:$G$44="Ativo")),MOD(ROW()-6,MAX(1,COUNTIFS(Pessoas!$C$5:$C$44,$K10,Pessoas!$G$5:$G$44,"Ativo")))+1)))</f>
        <v>Equipe Oficina Mecânica Central-Taisa</v>
      </c>
      <c r="M10" s="12" t="s">
        <v>989</v>
      </c>
    </row>
    <row r="11" spans="1:16" ht="15" customHeight="1" x14ac:dyDescent="0.4">
      <c r="A11" s="25">
        <v>46282</v>
      </c>
      <c r="B11" s="16">
        <v>3</v>
      </c>
      <c r="C11" s="16">
        <v>1</v>
      </c>
      <c r="D11" s="16">
        <v>9</v>
      </c>
      <c r="E11" s="16" t="s">
        <v>980</v>
      </c>
      <c r="F11" s="16" t="s">
        <v>990</v>
      </c>
      <c r="G11" s="16" t="s">
        <v>526</v>
      </c>
      <c r="H11" s="16" t="s">
        <v>138</v>
      </c>
      <c r="I11" s="22" t="s">
        <v>856</v>
      </c>
      <c r="J11" s="16">
        <f>IFERROR(INDEX(Aux_HH!$J$4:$J$31,MATCH($H11&amp;"|"&amp;$I11,Aux_HH!$A$4:$A$31,0)),"")</f>
        <v>3</v>
      </c>
      <c r="K11" s="16" t="s">
        <v>76</v>
      </c>
      <c r="L11" s="16" t="str">
        <f>IF(COUNTIFS(Pessoas!$C$5:$C$44,$K11,Pessoas!$G$5:$G$44,"Ativo")=0,"Equipe "&amp;$K11,INDEX(Pessoas!$A$5:$A$44,_xludf.aggregate(15,6,(ROW(Pessoas!$A$5:$A$44)-4)/((Pessoas!$C$5:$C$44=$K11)*(Pessoas!$G$5:$G$44="Ativo")),MOD(ROW()-6,MAX(1,COUNTIFS(Pessoas!$C$5:$C$44,$K11,Pessoas!$G$5:$G$44,"Ativo")))+1)))</f>
        <v>Equipe Oficina Mecânica Central-Taisa</v>
      </c>
      <c r="M11" s="14" t="s">
        <v>82</v>
      </c>
      <c r="N11" s="14" t="s">
        <v>969</v>
      </c>
      <c r="O11" s="14" t="s">
        <v>850</v>
      </c>
      <c r="P11" s="14" t="s">
        <v>991</v>
      </c>
    </row>
    <row r="12" spans="1:16" ht="15" customHeight="1" x14ac:dyDescent="0.4">
      <c r="A12" s="25">
        <v>46283</v>
      </c>
      <c r="B12" s="16">
        <v>3</v>
      </c>
      <c r="C12" s="16">
        <v>1</v>
      </c>
      <c r="D12" s="16">
        <v>9</v>
      </c>
      <c r="E12" s="16" t="s">
        <v>980</v>
      </c>
      <c r="F12" s="16" t="s">
        <v>992</v>
      </c>
      <c r="G12" s="16" t="s">
        <v>184</v>
      </c>
      <c r="H12" s="16" t="s">
        <v>138</v>
      </c>
      <c r="I12" s="22" t="s">
        <v>856</v>
      </c>
      <c r="J12" s="16">
        <f>IFERROR(INDEX(Aux_HH!$J$4:$J$31,MATCH($H12&amp;"|"&amp;$I12,Aux_HH!$A$4:$A$31,0)),"")</f>
        <v>3</v>
      </c>
      <c r="K12" s="16" t="s">
        <v>76</v>
      </c>
      <c r="L12" s="16" t="str">
        <f>IF(COUNTIFS(Pessoas!$C$5:$C$44,$K12,Pessoas!$G$5:$G$44,"Ativo")=0,"Equipe "&amp;$K12,INDEX(Pessoas!$A$5:$A$44,_xludf.aggregate(15,6,(ROW(Pessoas!$A$5:$A$44)-4)/((Pessoas!$C$5:$C$44=$K12)*(Pessoas!$G$5:$G$44="Ativo")),MOD(ROW()-6,MAX(1,COUNTIFS(Pessoas!$C$5:$C$44,$K12,Pessoas!$G$5:$G$44,"Ativo")))+1)))</f>
        <v>Equipe Oficina Mecânica Central-Taisa</v>
      </c>
      <c r="M12" s="15" t="s">
        <v>83</v>
      </c>
      <c r="N12" s="16">
        <f>COUNTIFS($D$6:$D$2106,1)</f>
        <v>245</v>
      </c>
      <c r="O12" s="16">
        <f>ROUND(SUMIFS($J$6:$J$2106,$D$6:$D$2106,1),0)</f>
        <v>743</v>
      </c>
      <c r="P12" s="24">
        <f>SUMPRODUCT(($D$6:$D$2106=1)/COUNTIFS($F$6:$F$2106,$F$6:$F$2106&amp;"",$D$6:$D$2106,$D$6:$D$2106))</f>
        <v>243</v>
      </c>
    </row>
    <row r="13" spans="1:16" ht="15" customHeight="1" x14ac:dyDescent="0.4">
      <c r="A13" s="25">
        <v>46286</v>
      </c>
      <c r="B13" s="16">
        <v>3</v>
      </c>
      <c r="C13" s="16">
        <v>1</v>
      </c>
      <c r="D13" s="16">
        <v>9</v>
      </c>
      <c r="E13" s="16" t="s">
        <v>980</v>
      </c>
      <c r="F13" s="16" t="s">
        <v>993</v>
      </c>
      <c r="G13" s="16" t="s">
        <v>184</v>
      </c>
      <c r="H13" s="16" t="s">
        <v>138</v>
      </c>
      <c r="I13" s="22" t="s">
        <v>856</v>
      </c>
      <c r="J13" s="16">
        <f>IFERROR(INDEX(Aux_HH!$J$4:$J$31,MATCH($H13&amp;"|"&amp;$I13,Aux_HH!$A$4:$A$31,0)),"")</f>
        <v>3</v>
      </c>
      <c r="K13" s="16" t="s">
        <v>76</v>
      </c>
      <c r="L13" s="16" t="str">
        <f>IF(COUNTIFS(Pessoas!$C$5:$C$44,$K13,Pessoas!$G$5:$G$44,"Ativo")=0,"Equipe "&amp;$K13,INDEX(Pessoas!$A$5:$A$44,_xludf.aggregate(15,6,(ROW(Pessoas!$A$5:$A$44)-4)/((Pessoas!$C$5:$C$44=$K13)*(Pessoas!$G$5:$G$44="Ativo")),MOD(ROW()-6,MAX(1,COUNTIFS(Pessoas!$C$5:$C$44,$K13,Pessoas!$G$5:$G$44,"Ativo")))+1)))</f>
        <v>Equipe Oficina Mecânica Central-Taisa</v>
      </c>
      <c r="M13" s="15" t="s">
        <v>84</v>
      </c>
      <c r="N13" s="16">
        <f>COUNTIFS($D$6:$D$2106,2)</f>
        <v>221</v>
      </c>
      <c r="O13" s="16">
        <f>ROUND(SUMIFS($J$6:$J$2106,$D$6:$D$2106,2),0)</f>
        <v>1523</v>
      </c>
      <c r="P13" s="24">
        <f>SUMPRODUCT(($D$6:$D$2106=2)/COUNTIFS($F$6:$F$2106,$F$6:$F$2106&amp;"",$D$6:$D$2106,$D$6:$D$2106))</f>
        <v>213</v>
      </c>
    </row>
    <row r="14" spans="1:16" ht="15" customHeight="1" x14ac:dyDescent="0.4">
      <c r="A14" s="25">
        <v>46294</v>
      </c>
      <c r="B14" s="16">
        <v>5</v>
      </c>
      <c r="C14" s="16">
        <v>1</v>
      </c>
      <c r="D14" s="16">
        <v>9</v>
      </c>
      <c r="E14" s="16" t="s">
        <v>980</v>
      </c>
      <c r="F14" s="16" t="s">
        <v>981</v>
      </c>
      <c r="G14" s="16" t="s">
        <v>184</v>
      </c>
      <c r="H14" s="16" t="s">
        <v>138</v>
      </c>
      <c r="I14" s="22" t="s">
        <v>861</v>
      </c>
      <c r="J14" s="16">
        <f>IFERROR(INDEX(Aux_HH!$J$4:$J$31,MATCH($H14&amp;"|"&amp;$I14,Aux_HH!$A$4:$A$31,0)),"")</f>
        <v>6</v>
      </c>
      <c r="K14" s="16" t="s">
        <v>76</v>
      </c>
      <c r="L14" s="16" t="str">
        <f>IF(COUNTIFS(Pessoas!$C$5:$C$44,$K14,Pessoas!$G$5:$G$44,"Ativo")=0,"Equipe "&amp;$K14,INDEX(Pessoas!$A$5:$A$44,_xludf.aggregate(15,6,(ROW(Pessoas!$A$5:$A$44)-4)/((Pessoas!$C$5:$C$44=$K14)*(Pessoas!$G$5:$G$44="Ativo")),MOD(ROW()-6,MAX(1,COUNTIFS(Pessoas!$C$5:$C$44,$K14,Pessoas!$G$5:$G$44,"Ativo")))+1)))</f>
        <v>Equipe Oficina Mecânica Central-Taisa</v>
      </c>
      <c r="M14" s="15" t="s">
        <v>85</v>
      </c>
      <c r="N14" s="16">
        <f>COUNTIFS($D$6:$D$2106,3)</f>
        <v>272</v>
      </c>
      <c r="O14" s="16">
        <f>ROUND(SUMIFS($J$6:$J$2106,$D$6:$D$2106,3),0)</f>
        <v>1469</v>
      </c>
      <c r="P14" s="24">
        <f>SUMPRODUCT(($D$6:$D$2106=3)/COUNTIFS($F$6:$F$2106,$F$6:$F$2106&amp;"",$D$6:$D$2106,$D$6:$D$2106))</f>
        <v>264</v>
      </c>
    </row>
    <row r="15" spans="1:16" ht="15" customHeight="1" x14ac:dyDescent="0.4">
      <c r="A15" s="25">
        <v>46294</v>
      </c>
      <c r="B15" s="16">
        <v>5</v>
      </c>
      <c r="C15" s="16">
        <v>1</v>
      </c>
      <c r="D15" s="16">
        <v>9</v>
      </c>
      <c r="E15" s="16" t="s">
        <v>980</v>
      </c>
      <c r="F15" s="16" t="s">
        <v>983</v>
      </c>
      <c r="G15" s="16" t="s">
        <v>184</v>
      </c>
      <c r="H15" s="16" t="s">
        <v>138</v>
      </c>
      <c r="I15" s="22" t="s">
        <v>861</v>
      </c>
      <c r="J15" s="16">
        <f>IFERROR(INDEX(Aux_HH!$J$4:$J$31,MATCH($H15&amp;"|"&amp;$I15,Aux_HH!$A$4:$A$31,0)),"")</f>
        <v>6</v>
      </c>
      <c r="K15" s="16" t="s">
        <v>76</v>
      </c>
      <c r="L15" s="16" t="str">
        <f>IF(COUNTIFS(Pessoas!$C$5:$C$44,$K15,Pessoas!$G$5:$G$44,"Ativo")=0,"Equipe "&amp;$K15,INDEX(Pessoas!$A$5:$A$44,_xludf.aggregate(15,6,(ROW(Pessoas!$A$5:$A$44)-4)/((Pessoas!$C$5:$C$44=$K15)*(Pessoas!$G$5:$G$44="Ativo")),MOD(ROW()-6,MAX(1,COUNTIFS(Pessoas!$C$5:$C$44,$K15,Pessoas!$G$5:$G$44,"Ativo")))+1)))</f>
        <v>Equipe Oficina Mecânica Central-Taisa</v>
      </c>
      <c r="M15" s="15" t="s">
        <v>86</v>
      </c>
      <c r="N15" s="16">
        <f>COUNTIFS($D$6:$D$2106,4)</f>
        <v>112</v>
      </c>
      <c r="O15" s="16">
        <f>ROUND(SUMIFS($J$6:$J$2106,$D$6:$D$2106,4),0)</f>
        <v>275</v>
      </c>
      <c r="P15" s="24">
        <f>SUMPRODUCT(($D$6:$D$2106=4)/COUNTIFS($F$6:$F$2106,$F$6:$F$2106&amp;"",$D$6:$D$2106,$D$6:$D$2106))</f>
        <v>112</v>
      </c>
    </row>
    <row r="16" spans="1:16" ht="15" customHeight="1" x14ac:dyDescent="0.4">
      <c r="A16" s="25">
        <v>46294</v>
      </c>
      <c r="B16" s="16">
        <v>5</v>
      </c>
      <c r="C16" s="16">
        <v>1</v>
      </c>
      <c r="D16" s="16">
        <v>9</v>
      </c>
      <c r="E16" s="16" t="s">
        <v>980</v>
      </c>
      <c r="F16" s="16" t="s">
        <v>994</v>
      </c>
      <c r="G16" s="16" t="s">
        <v>688</v>
      </c>
      <c r="H16" s="16" t="s">
        <v>145</v>
      </c>
      <c r="I16" s="22" t="s">
        <v>856</v>
      </c>
      <c r="J16" s="16">
        <f>IFERROR(INDEX(Aux_HH!$J$4:$J$31,MATCH($H16&amp;"|"&amp;$I16,Aux_HH!$A$4:$A$31,0)),"")</f>
        <v>2</v>
      </c>
      <c r="K16" s="16" t="s">
        <v>76</v>
      </c>
      <c r="L16" s="16" t="str">
        <f>IF(COUNTIFS(Pessoas!$C$5:$C$44,$K16,Pessoas!$G$5:$G$44,"Ativo")=0,"Equipe "&amp;$K16,INDEX(Pessoas!$A$5:$A$44,_xludf.aggregate(15,6,(ROW(Pessoas!$A$5:$A$44)-4)/((Pessoas!$C$5:$C$44=$K16)*(Pessoas!$G$5:$G$44="Ativo")),MOD(ROW()-6,MAX(1,COUNTIFS(Pessoas!$C$5:$C$44,$K16,Pessoas!$G$5:$G$44,"Ativo")))+1)))</f>
        <v>Equipe Oficina Mecânica Central-Taisa</v>
      </c>
      <c r="M16" s="15" t="s">
        <v>87</v>
      </c>
      <c r="N16" s="16">
        <f>COUNTIFS($D$6:$D$2106,5)</f>
        <v>20</v>
      </c>
      <c r="O16" s="16">
        <f>ROUND(SUMIFS($J$6:$J$2106,$D$6:$D$2106,5),0)</f>
        <v>58</v>
      </c>
      <c r="P16" s="24">
        <f>SUMPRODUCT(($D$6:$D$2106=5)/COUNTIFS($F$6:$F$2106,$F$6:$F$2106&amp;"",$D$6:$D$2106,$D$6:$D$2106))</f>
        <v>20</v>
      </c>
    </row>
    <row r="17" spans="1:16" ht="15" customHeight="1" x14ac:dyDescent="0.4">
      <c r="A17" s="25">
        <v>46294</v>
      </c>
      <c r="B17" s="16">
        <v>5</v>
      </c>
      <c r="C17" s="16">
        <v>1</v>
      </c>
      <c r="D17" s="16">
        <v>9</v>
      </c>
      <c r="E17" s="16" t="s">
        <v>980</v>
      </c>
      <c r="F17" s="16" t="s">
        <v>995</v>
      </c>
      <c r="G17" s="16" t="s">
        <v>688</v>
      </c>
      <c r="H17" s="16" t="s">
        <v>145</v>
      </c>
      <c r="I17" s="22" t="s">
        <v>856</v>
      </c>
      <c r="J17" s="16">
        <f>IFERROR(INDEX(Aux_HH!$J$4:$J$31,MATCH($H17&amp;"|"&amp;$I17,Aux_HH!$A$4:$A$31,0)),"")</f>
        <v>2</v>
      </c>
      <c r="K17" s="16" t="s">
        <v>76</v>
      </c>
      <c r="L17" s="16" t="str">
        <f>IF(COUNTIFS(Pessoas!$C$5:$C$44,$K17,Pessoas!$G$5:$G$44,"Ativo")=0,"Equipe "&amp;$K17,INDEX(Pessoas!$A$5:$A$44,_xludf.aggregate(15,6,(ROW(Pessoas!$A$5:$A$44)-4)/((Pessoas!$C$5:$C$44=$K17)*(Pessoas!$G$5:$G$44="Ativo")),MOD(ROW()-6,MAX(1,COUNTIFS(Pessoas!$C$5:$C$44,$K17,Pessoas!$G$5:$G$44,"Ativo")))+1)))</f>
        <v>Equipe Oficina Mecânica Central-Taisa</v>
      </c>
      <c r="M17" s="15" t="s">
        <v>88</v>
      </c>
      <c r="N17" s="16">
        <f>COUNTIFS($D$6:$D$2106,6)</f>
        <v>206</v>
      </c>
      <c r="O17" s="16">
        <f>ROUND(SUMIFS($J$6:$J$2106,$D$6:$D$2106,6),0)</f>
        <v>619</v>
      </c>
      <c r="P17" s="24">
        <f>SUMPRODUCT(($D$6:$D$2106=6)/COUNTIFS($F$6:$F$2106,$F$6:$F$2106&amp;"",$D$6:$D$2106,$D$6:$D$2106))</f>
        <v>206</v>
      </c>
    </row>
    <row r="18" spans="1:16" ht="15" customHeight="1" x14ac:dyDescent="0.4">
      <c r="A18" s="25">
        <v>46295</v>
      </c>
      <c r="B18" s="16">
        <v>5</v>
      </c>
      <c r="C18" s="16">
        <v>1</v>
      </c>
      <c r="D18" s="16">
        <v>9</v>
      </c>
      <c r="E18" s="16" t="s">
        <v>980</v>
      </c>
      <c r="F18" s="16" t="s">
        <v>985</v>
      </c>
      <c r="G18" s="16" t="s">
        <v>184</v>
      </c>
      <c r="H18" s="16" t="s">
        <v>138</v>
      </c>
      <c r="I18" s="22" t="s">
        <v>861</v>
      </c>
      <c r="J18" s="16">
        <f>IFERROR(INDEX(Aux_HH!$J$4:$J$31,MATCH($H18&amp;"|"&amp;$I18,Aux_HH!$A$4:$A$31,0)),"")</f>
        <v>6</v>
      </c>
      <c r="K18" s="16" t="s">
        <v>76</v>
      </c>
      <c r="L18" s="16" t="str">
        <f>IF(COUNTIFS(Pessoas!$C$5:$C$44,$K18,Pessoas!$G$5:$G$44,"Ativo")=0,"Equipe "&amp;$K18,INDEX(Pessoas!$A$5:$A$44,_xludf.aggregate(15,6,(ROW(Pessoas!$A$5:$A$44)-4)/((Pessoas!$C$5:$C$44=$K18)*(Pessoas!$G$5:$G$44="Ativo")),MOD(ROW()-6,MAX(1,COUNTIFS(Pessoas!$C$5:$C$44,$K18,Pessoas!$G$5:$G$44,"Ativo")))+1)))</f>
        <v>Equipe Oficina Mecânica Central-Taisa</v>
      </c>
      <c r="M18" s="15" t="s">
        <v>89</v>
      </c>
      <c r="N18" s="16">
        <f>COUNTIFS($D$6:$D$2106,7)</f>
        <v>52</v>
      </c>
      <c r="O18" s="16">
        <f>ROUND(SUMIFS($J$6:$J$2106,$D$6:$D$2106,7),0)</f>
        <v>84</v>
      </c>
      <c r="P18" s="24">
        <f>SUMPRODUCT(($D$6:$D$2106=7)/COUNTIFS($F$6:$F$2106,$F$6:$F$2106&amp;"",$D$6:$D$2106,$D$6:$D$2106))</f>
        <v>52</v>
      </c>
    </row>
    <row r="19" spans="1:16" ht="15" customHeight="1" x14ac:dyDescent="0.4">
      <c r="A19" s="25">
        <v>46295</v>
      </c>
      <c r="B19" s="16">
        <v>5</v>
      </c>
      <c r="C19" s="16">
        <v>1</v>
      </c>
      <c r="D19" s="16">
        <v>9</v>
      </c>
      <c r="E19" s="16" t="s">
        <v>980</v>
      </c>
      <c r="F19" s="16" t="s">
        <v>987</v>
      </c>
      <c r="G19" s="16" t="s">
        <v>526</v>
      </c>
      <c r="H19" s="16" t="s">
        <v>138</v>
      </c>
      <c r="I19" s="22" t="s">
        <v>861</v>
      </c>
      <c r="J19" s="16">
        <f>IFERROR(INDEX(Aux_HH!$J$4:$J$31,MATCH($H19&amp;"|"&amp;$I19,Aux_HH!$A$4:$A$31,0)),"")</f>
        <v>6</v>
      </c>
      <c r="K19" s="16" t="s">
        <v>76</v>
      </c>
      <c r="L19" s="16" t="str">
        <f>IF(COUNTIFS(Pessoas!$C$5:$C$44,$K19,Pessoas!$G$5:$G$44,"Ativo")=0,"Equipe "&amp;$K19,INDEX(Pessoas!$A$5:$A$44,_xludf.aggregate(15,6,(ROW(Pessoas!$A$5:$A$44)-4)/((Pessoas!$C$5:$C$44=$K19)*(Pessoas!$G$5:$G$44="Ativo")),MOD(ROW()-6,MAX(1,COUNTIFS(Pessoas!$C$5:$C$44,$K19,Pessoas!$G$5:$G$44,"Ativo")))+1)))</f>
        <v>Equipe Oficina Mecânica Central-Taisa</v>
      </c>
      <c r="M19" s="15" t="s">
        <v>90</v>
      </c>
      <c r="N19" s="16">
        <f>COUNTIFS($D$6:$D$2106,8)</f>
        <v>132</v>
      </c>
      <c r="O19" s="16">
        <f>ROUND(SUMIFS($J$6:$J$2106,$D$6:$D$2106,8),0)</f>
        <v>546</v>
      </c>
      <c r="P19" s="24">
        <f>SUMPRODUCT(($D$6:$D$2106=8)/COUNTIFS($F$6:$F$2106,$F$6:$F$2106&amp;"",$D$6:$D$2106,$D$6:$D$2106))</f>
        <v>132</v>
      </c>
    </row>
    <row r="20" spans="1:16" ht="15" customHeight="1" x14ac:dyDescent="0.4">
      <c r="A20" s="25">
        <v>46295</v>
      </c>
      <c r="B20" s="16">
        <v>5</v>
      </c>
      <c r="C20" s="16">
        <v>1</v>
      </c>
      <c r="D20" s="16">
        <v>9</v>
      </c>
      <c r="E20" s="16" t="s">
        <v>980</v>
      </c>
      <c r="F20" s="16" t="s">
        <v>996</v>
      </c>
      <c r="G20" s="16" t="s">
        <v>688</v>
      </c>
      <c r="H20" s="16" t="s">
        <v>145</v>
      </c>
      <c r="I20" s="22" t="s">
        <v>856</v>
      </c>
      <c r="J20" s="16">
        <f>IFERROR(INDEX(Aux_HH!$J$4:$J$31,MATCH($H20&amp;"|"&amp;$I20,Aux_HH!$A$4:$A$31,0)),"")</f>
        <v>2</v>
      </c>
      <c r="K20" s="16" t="s">
        <v>76</v>
      </c>
      <c r="L20" s="16" t="str">
        <f>IF(COUNTIFS(Pessoas!$C$5:$C$44,$K20,Pessoas!$G$5:$G$44,"Ativo")=0,"Equipe "&amp;$K20,INDEX(Pessoas!$A$5:$A$44,_xludf.aggregate(15,6,(ROW(Pessoas!$A$5:$A$44)-4)/((Pessoas!$C$5:$C$44=$K20)*(Pessoas!$G$5:$G$44="Ativo")),MOD(ROW()-6,MAX(1,COUNTIFS(Pessoas!$C$5:$C$44,$K20,Pessoas!$G$5:$G$44,"Ativo")))+1)))</f>
        <v>Equipe Oficina Mecânica Central-Taisa</v>
      </c>
      <c r="M20" s="15" t="s">
        <v>91</v>
      </c>
      <c r="N20" s="16">
        <f>COUNTIFS($D$6:$D$2106,9)</f>
        <v>16</v>
      </c>
      <c r="O20" s="16">
        <f>ROUND(SUMIFS($J$6:$J$2106,$D$6:$D$2106,9),0)</f>
        <v>56</v>
      </c>
      <c r="P20" s="24">
        <f>SUMPRODUCT(($D$6:$D$2106=9)/COUNTIFS($F$6:$F$2106,$F$6:$F$2106&amp;"",$D$6:$D$2106,$D$6:$D$2106))</f>
        <v>12</v>
      </c>
    </row>
    <row r="21" spans="1:16" ht="15" customHeight="1" x14ac:dyDescent="0.4">
      <c r="A21" s="25">
        <v>46295</v>
      </c>
      <c r="B21" s="16">
        <v>5</v>
      </c>
      <c r="C21" s="16">
        <v>1</v>
      </c>
      <c r="D21" s="16">
        <v>9</v>
      </c>
      <c r="E21" s="16" t="s">
        <v>980</v>
      </c>
      <c r="F21" s="16" t="s">
        <v>997</v>
      </c>
      <c r="G21" s="16" t="s">
        <v>688</v>
      </c>
      <c r="H21" s="16" t="s">
        <v>145</v>
      </c>
      <c r="I21" s="22" t="s">
        <v>856</v>
      </c>
      <c r="J21" s="16">
        <f>IFERROR(INDEX(Aux_HH!$J$4:$J$31,MATCH($H21&amp;"|"&amp;$I21,Aux_HH!$A$4:$A$31,0)),"")</f>
        <v>2</v>
      </c>
      <c r="K21" s="16" t="s">
        <v>76</v>
      </c>
      <c r="L21" s="16" t="str">
        <f>IF(COUNTIFS(Pessoas!$C$5:$C$44,$K21,Pessoas!$G$5:$G$44,"Ativo")=0,"Equipe "&amp;$K21,INDEX(Pessoas!$A$5:$A$44,_xludf.aggregate(15,6,(ROW(Pessoas!$A$5:$A$44)-4)/((Pessoas!$C$5:$C$44=$K21)*(Pessoas!$G$5:$G$44="Ativo")),MOD(ROW()-6,MAX(1,COUNTIFS(Pessoas!$C$5:$C$44,$K21,Pessoas!$G$5:$G$44,"Ativo")))+1)))</f>
        <v>Equipe Oficina Mecânica Central-Taisa</v>
      </c>
      <c r="M21" s="15" t="s">
        <v>92</v>
      </c>
      <c r="N21" s="16">
        <f>COUNTIFS($D$6:$D$2106,10)</f>
        <v>334</v>
      </c>
      <c r="O21" s="16">
        <f>ROUND(SUMIFS($J$6:$J$2106,$D$6:$D$2106,10),0)</f>
        <v>771</v>
      </c>
      <c r="P21" s="24">
        <f>SUMPRODUCT(($D$6:$D$2106=10)/COUNTIFS($F$6:$F$2106,$F$6:$F$2106&amp;"",$D$6:$D$2106,$D$6:$D$2106))</f>
        <v>330</v>
      </c>
    </row>
    <row r="22" spans="1:16" ht="15" customHeight="1" x14ac:dyDescent="0.4">
      <c r="A22" s="25">
        <v>46296</v>
      </c>
      <c r="B22" s="16">
        <v>5</v>
      </c>
      <c r="C22" s="16">
        <v>1</v>
      </c>
      <c r="D22" s="16">
        <v>10</v>
      </c>
      <c r="E22" s="16" t="s">
        <v>980</v>
      </c>
      <c r="F22" s="16" t="s">
        <v>988</v>
      </c>
      <c r="G22" s="16" t="s">
        <v>184</v>
      </c>
      <c r="H22" s="16" t="s">
        <v>138</v>
      </c>
      <c r="I22" s="22" t="s">
        <v>861</v>
      </c>
      <c r="J22" s="16">
        <f>IFERROR(INDEX(Aux_HH!$J$4:$J$31,MATCH($H22&amp;"|"&amp;$I22,Aux_HH!$A$4:$A$31,0)),"")</f>
        <v>6</v>
      </c>
      <c r="K22" s="16" t="s">
        <v>76</v>
      </c>
      <c r="L22" s="16" t="str">
        <f>IF(COUNTIFS(Pessoas!$C$5:$C$44,$K22,Pessoas!$G$5:$G$44,"Ativo")=0,"Equipe "&amp;$K22,INDEX(Pessoas!$A$5:$A$44,_xludf.aggregate(15,6,(ROW(Pessoas!$A$5:$A$44)-4)/((Pessoas!$C$5:$C$44=$K22)*(Pessoas!$G$5:$G$44="Ativo")),MOD(ROW()-6,MAX(1,COUNTIFS(Pessoas!$C$5:$C$44,$K22,Pessoas!$G$5:$G$44,"Ativo")))+1)))</f>
        <v>Equipe Oficina Mecânica Central-Taisa</v>
      </c>
      <c r="M22" s="15" t="s">
        <v>93</v>
      </c>
      <c r="N22" s="16">
        <f>COUNTIFS($D$6:$D$2106,11)</f>
        <v>203</v>
      </c>
      <c r="O22" s="16">
        <f>ROUND(SUMIFS($J$6:$J$2106,$D$6:$D$2106,11),0)</f>
        <v>956</v>
      </c>
      <c r="P22" s="24">
        <f>SUMPRODUCT(($D$6:$D$2106=11)/COUNTIFS($F$6:$F$2106,$F$6:$F$2106&amp;"",$D$6:$D$2106,$D$6:$D$2106))</f>
        <v>195</v>
      </c>
    </row>
    <row r="23" spans="1:16" ht="15" customHeight="1" x14ac:dyDescent="0.4">
      <c r="A23" s="25">
        <v>46296</v>
      </c>
      <c r="B23" s="16">
        <v>5</v>
      </c>
      <c r="C23" s="16">
        <v>1</v>
      </c>
      <c r="D23" s="16">
        <v>10</v>
      </c>
      <c r="E23" s="16" t="s">
        <v>980</v>
      </c>
      <c r="F23" s="16" t="s">
        <v>990</v>
      </c>
      <c r="G23" s="16" t="s">
        <v>526</v>
      </c>
      <c r="H23" s="16" t="s">
        <v>138</v>
      </c>
      <c r="I23" s="22" t="s">
        <v>861</v>
      </c>
      <c r="J23" s="16">
        <f>IFERROR(INDEX(Aux_HH!$J$4:$J$31,MATCH($H23&amp;"|"&amp;$I23,Aux_HH!$A$4:$A$31,0)),"")</f>
        <v>6</v>
      </c>
      <c r="K23" s="16" t="s">
        <v>76</v>
      </c>
      <c r="L23" s="16" t="str">
        <f>IF(COUNTIFS(Pessoas!$C$5:$C$44,$K23,Pessoas!$G$5:$G$44,"Ativo")=0,"Equipe "&amp;$K23,INDEX(Pessoas!$A$5:$A$44,_xludf.aggregate(15,6,(ROW(Pessoas!$A$5:$A$44)-4)/((Pessoas!$C$5:$C$44=$K23)*(Pessoas!$G$5:$G$44="Ativo")),MOD(ROW()-6,MAX(1,COUNTIFS(Pessoas!$C$5:$C$44,$K23,Pessoas!$G$5:$G$44,"Ativo")))+1)))</f>
        <v>Equipe Oficina Mecânica Central-Taisa</v>
      </c>
      <c r="M23" s="15" t="s">
        <v>94</v>
      </c>
      <c r="N23" s="16">
        <f>COUNTIFS($D$6:$D$2106,12)</f>
        <v>288</v>
      </c>
      <c r="O23" s="16">
        <f>ROUND(SUMIFS($J$6:$J$2106,$D$6:$D$2106,12),0)</f>
        <v>886</v>
      </c>
      <c r="P23" s="24">
        <f>SUMPRODUCT(($D$6:$D$2106=12)/COUNTIFS($F$6:$F$2106,$F$6:$F$2106&amp;"",$D$6:$D$2106,$D$6:$D$2106))</f>
        <v>282</v>
      </c>
    </row>
    <row r="24" spans="1:16" ht="15" customHeight="1" x14ac:dyDescent="0.4">
      <c r="A24" s="25">
        <v>46296</v>
      </c>
      <c r="B24" s="16">
        <v>5</v>
      </c>
      <c r="C24" s="16">
        <v>1</v>
      </c>
      <c r="D24" s="16">
        <v>10</v>
      </c>
      <c r="E24" s="16" t="s">
        <v>980</v>
      </c>
      <c r="F24" s="16" t="s">
        <v>998</v>
      </c>
      <c r="G24" s="16" t="s">
        <v>688</v>
      </c>
      <c r="H24" s="16" t="s">
        <v>145</v>
      </c>
      <c r="I24" s="22" t="s">
        <v>856</v>
      </c>
      <c r="J24" s="16">
        <f>IFERROR(INDEX(Aux_HH!$J$4:$J$31,MATCH($H24&amp;"|"&amp;$I24,Aux_HH!$A$4:$A$31,0)),"")</f>
        <v>2</v>
      </c>
      <c r="K24" s="16" t="s">
        <v>76</v>
      </c>
      <c r="L24" s="16" t="str">
        <f>IF(COUNTIFS(Pessoas!$C$5:$C$44,$K24,Pessoas!$G$5:$G$44,"Ativo")=0,"Equipe "&amp;$K24,INDEX(Pessoas!$A$5:$A$44,_xludf.aggregate(15,6,(ROW(Pessoas!$A$5:$A$44)-4)/((Pessoas!$C$5:$C$44=$K24)*(Pessoas!$G$5:$G$44="Ativo")),MOD(ROW()-6,MAX(1,COUNTIFS(Pessoas!$C$5:$C$44,$K24,Pessoas!$G$5:$G$44,"Ativo")))+1)))</f>
        <v>Equipe Oficina Mecânica Central-Taisa</v>
      </c>
      <c r="M24" s="4" t="s">
        <v>999</v>
      </c>
      <c r="N24" s="4">
        <f>COUNTA($I$6:$I$2106)</f>
        <v>2101</v>
      </c>
      <c r="O24" s="4">
        <f>ROUND(SUM($J$6:$J$2106),0)</f>
        <v>7984</v>
      </c>
      <c r="P24" s="4">
        <v>384</v>
      </c>
    </row>
    <row r="25" spans="1:16" ht="15" customHeight="1" x14ac:dyDescent="0.4">
      <c r="A25" s="25">
        <v>46296</v>
      </c>
      <c r="B25" s="16">
        <v>5</v>
      </c>
      <c r="C25" s="16">
        <v>1</v>
      </c>
      <c r="D25" s="16">
        <v>10</v>
      </c>
      <c r="E25" s="16" t="s">
        <v>980</v>
      </c>
      <c r="F25" s="16" t="s">
        <v>1000</v>
      </c>
      <c r="G25" s="16" t="s">
        <v>688</v>
      </c>
      <c r="H25" s="16" t="s">
        <v>145</v>
      </c>
      <c r="I25" s="22" t="s">
        <v>856</v>
      </c>
      <c r="J25" s="16">
        <f>IFERROR(INDEX(Aux_HH!$J$4:$J$31,MATCH($H25&amp;"|"&amp;$I25,Aux_HH!$A$4:$A$31,0)),"")</f>
        <v>2</v>
      </c>
      <c r="K25" s="16" t="s">
        <v>76</v>
      </c>
      <c r="L25" s="16" t="str">
        <f>IF(COUNTIFS(Pessoas!$C$5:$C$44,$K25,Pessoas!$G$5:$G$44,"Ativo")=0,"Equipe "&amp;$K25,INDEX(Pessoas!$A$5:$A$44,_xludf.aggregate(15,6,(ROW(Pessoas!$A$5:$A$44)-4)/((Pessoas!$C$5:$C$44=$K25)*(Pessoas!$G$5:$G$44="Ativo")),MOD(ROW()-6,MAX(1,COUNTIFS(Pessoas!$C$5:$C$44,$K25,Pessoas!$G$5:$G$44,"Ativo")))+1)))</f>
        <v>Equipe Oficina Mecânica Central-Taisa</v>
      </c>
    </row>
    <row r="26" spans="1:16" ht="15" customHeight="1" x14ac:dyDescent="0.4">
      <c r="A26" s="25">
        <v>46297</v>
      </c>
      <c r="B26" s="16">
        <v>5</v>
      </c>
      <c r="C26" s="16">
        <v>1</v>
      </c>
      <c r="D26" s="16">
        <v>10</v>
      </c>
      <c r="E26" s="16" t="s">
        <v>980</v>
      </c>
      <c r="F26" s="16" t="s">
        <v>992</v>
      </c>
      <c r="G26" s="16" t="s">
        <v>184</v>
      </c>
      <c r="H26" s="16" t="s">
        <v>138</v>
      </c>
      <c r="I26" s="22" t="s">
        <v>861</v>
      </c>
      <c r="J26" s="16">
        <f>IFERROR(INDEX(Aux_HH!$J$4:$J$31,MATCH($H26&amp;"|"&amp;$I26,Aux_HH!$A$4:$A$31,0)),"")</f>
        <v>6</v>
      </c>
      <c r="K26" s="16" t="s">
        <v>76</v>
      </c>
      <c r="L26" s="16" t="str">
        <f>IF(COUNTIFS(Pessoas!$C$5:$C$44,$K26,Pessoas!$G$5:$G$44,"Ativo")=0,"Equipe "&amp;$K26,INDEX(Pessoas!$A$5:$A$44,_xludf.aggregate(15,6,(ROW(Pessoas!$A$5:$A$44)-4)/((Pessoas!$C$5:$C$44=$K26)*(Pessoas!$G$5:$G$44="Ativo")),MOD(ROW()-6,MAX(1,COUNTIFS(Pessoas!$C$5:$C$44,$K26,Pessoas!$G$5:$G$44,"Ativo")))+1)))</f>
        <v>Equipe Oficina Mecânica Central-Taisa</v>
      </c>
    </row>
    <row r="27" spans="1:16" ht="15" customHeight="1" x14ac:dyDescent="0.4">
      <c r="A27" s="25">
        <v>46297</v>
      </c>
      <c r="B27" s="16">
        <v>5</v>
      </c>
      <c r="C27" s="16">
        <v>1</v>
      </c>
      <c r="D27" s="16">
        <v>10</v>
      </c>
      <c r="E27" s="16" t="s">
        <v>980</v>
      </c>
      <c r="F27" s="16" t="s">
        <v>1001</v>
      </c>
      <c r="G27" s="16" t="s">
        <v>688</v>
      </c>
      <c r="H27" s="16" t="s">
        <v>145</v>
      </c>
      <c r="I27" s="22" t="s">
        <v>856</v>
      </c>
      <c r="J27" s="16">
        <f>IFERROR(INDEX(Aux_HH!$J$4:$J$31,MATCH($H27&amp;"|"&amp;$I27,Aux_HH!$A$4:$A$31,0)),"")</f>
        <v>2</v>
      </c>
      <c r="K27" s="16" t="s">
        <v>76</v>
      </c>
      <c r="L27" s="16" t="str">
        <f>IF(COUNTIFS(Pessoas!$C$5:$C$44,$K27,Pessoas!$G$5:$G$44,"Ativo")=0,"Equipe "&amp;$K27,INDEX(Pessoas!$A$5:$A$44,_xludf.aggregate(15,6,(ROW(Pessoas!$A$5:$A$44)-4)/((Pessoas!$C$5:$C$44=$K27)*(Pessoas!$G$5:$G$44="Ativo")),MOD(ROW()-6,MAX(1,COUNTIFS(Pessoas!$C$5:$C$44,$K27,Pessoas!$G$5:$G$44,"Ativo")))+1)))</f>
        <v>Equipe Oficina Mecânica Central-Taisa</v>
      </c>
    </row>
    <row r="28" spans="1:16" ht="15" customHeight="1" x14ac:dyDescent="0.4">
      <c r="A28" s="25">
        <v>46297</v>
      </c>
      <c r="B28" s="16">
        <v>5</v>
      </c>
      <c r="C28" s="16">
        <v>1</v>
      </c>
      <c r="D28" s="16">
        <v>10</v>
      </c>
      <c r="E28" s="16" t="s">
        <v>980</v>
      </c>
      <c r="F28" s="16" t="s">
        <v>1002</v>
      </c>
      <c r="G28" s="16" t="s">
        <v>688</v>
      </c>
      <c r="H28" s="16" t="s">
        <v>145</v>
      </c>
      <c r="I28" s="22" t="s">
        <v>856</v>
      </c>
      <c r="J28" s="16">
        <f>IFERROR(INDEX(Aux_HH!$J$4:$J$31,MATCH($H28&amp;"|"&amp;$I28,Aux_HH!$A$4:$A$31,0)),"")</f>
        <v>2</v>
      </c>
      <c r="K28" s="16" t="s">
        <v>76</v>
      </c>
      <c r="L28" s="16" t="str">
        <f>IF(COUNTIFS(Pessoas!$C$5:$C$44,$K28,Pessoas!$G$5:$G$44,"Ativo")=0,"Equipe "&amp;$K28,INDEX(Pessoas!$A$5:$A$44,_xludf.aggregate(15,6,(ROW(Pessoas!$A$5:$A$44)-4)/((Pessoas!$C$5:$C$44=$K28)*(Pessoas!$G$5:$G$44="Ativo")),MOD(ROW()-6,MAX(1,COUNTIFS(Pessoas!$C$5:$C$44,$K28,Pessoas!$G$5:$G$44,"Ativo")))+1)))</f>
        <v>Equipe Oficina Mecânica Central-Taisa</v>
      </c>
    </row>
    <row r="29" spans="1:16" ht="15" customHeight="1" x14ac:dyDescent="0.4">
      <c r="A29" s="25">
        <v>46297</v>
      </c>
      <c r="B29" s="16">
        <v>5</v>
      </c>
      <c r="C29" s="16">
        <v>1</v>
      </c>
      <c r="D29" s="16">
        <v>10</v>
      </c>
      <c r="E29" s="16" t="s">
        <v>980</v>
      </c>
      <c r="F29" s="16" t="s">
        <v>1003</v>
      </c>
      <c r="G29" s="16" t="s">
        <v>688</v>
      </c>
      <c r="H29" s="16" t="s">
        <v>145</v>
      </c>
      <c r="I29" s="22" t="s">
        <v>856</v>
      </c>
      <c r="J29" s="16">
        <f>IFERROR(INDEX(Aux_HH!$J$4:$J$31,MATCH($H29&amp;"|"&amp;$I29,Aux_HH!$A$4:$A$31,0)),"")</f>
        <v>2</v>
      </c>
      <c r="K29" s="16" t="s">
        <v>76</v>
      </c>
      <c r="L29" s="16" t="str">
        <f>IF(COUNTIFS(Pessoas!$C$5:$C$44,$K29,Pessoas!$G$5:$G$44,"Ativo")=0,"Equipe "&amp;$K29,INDEX(Pessoas!$A$5:$A$44,_xludf.aggregate(15,6,(ROW(Pessoas!$A$5:$A$44)-4)/((Pessoas!$C$5:$C$44=$K29)*(Pessoas!$G$5:$G$44="Ativo")),MOD(ROW()-6,MAX(1,COUNTIFS(Pessoas!$C$5:$C$44,$K29,Pessoas!$G$5:$G$44,"Ativo")))+1)))</f>
        <v>Equipe Oficina Mecânica Central-Taisa</v>
      </c>
    </row>
    <row r="30" spans="1:16" ht="15" customHeight="1" x14ac:dyDescent="0.4">
      <c r="A30" s="25">
        <v>46300</v>
      </c>
      <c r="B30" s="16">
        <v>5</v>
      </c>
      <c r="C30" s="16">
        <v>1</v>
      </c>
      <c r="D30" s="16">
        <v>10</v>
      </c>
      <c r="E30" s="16" t="s">
        <v>980</v>
      </c>
      <c r="F30" s="16" t="s">
        <v>993</v>
      </c>
      <c r="G30" s="16" t="s">
        <v>184</v>
      </c>
      <c r="H30" s="16" t="s">
        <v>138</v>
      </c>
      <c r="I30" s="22" t="s">
        <v>861</v>
      </c>
      <c r="J30" s="16">
        <f>IFERROR(INDEX(Aux_HH!$J$4:$J$31,MATCH($H30&amp;"|"&amp;$I30,Aux_HH!$A$4:$A$31,0)),"")</f>
        <v>6</v>
      </c>
      <c r="K30" s="16" t="s">
        <v>76</v>
      </c>
      <c r="L30" s="16" t="str">
        <f>IF(COUNTIFS(Pessoas!$C$5:$C$44,$K30,Pessoas!$G$5:$G$44,"Ativo")=0,"Equipe "&amp;$K30,INDEX(Pessoas!$A$5:$A$44,_xludf.aggregate(15,6,(ROW(Pessoas!$A$5:$A$44)-4)/((Pessoas!$C$5:$C$44=$K30)*(Pessoas!$G$5:$G$44="Ativo")),MOD(ROW()-6,MAX(1,COUNTIFS(Pessoas!$C$5:$C$44,$K30,Pessoas!$G$5:$G$44,"Ativo")))+1)))</f>
        <v>Equipe Oficina Mecânica Central-Taisa</v>
      </c>
    </row>
    <row r="31" spans="1:16" ht="15" customHeight="1" x14ac:dyDescent="0.4">
      <c r="A31" s="25">
        <v>46300</v>
      </c>
      <c r="B31" s="16">
        <v>5</v>
      </c>
      <c r="C31" s="16">
        <v>1</v>
      </c>
      <c r="D31" s="16">
        <v>10</v>
      </c>
      <c r="E31" s="16" t="s">
        <v>980</v>
      </c>
      <c r="F31" s="16" t="s">
        <v>1004</v>
      </c>
      <c r="G31" s="16" t="s">
        <v>688</v>
      </c>
      <c r="H31" s="16" t="s">
        <v>145</v>
      </c>
      <c r="I31" s="22" t="s">
        <v>856</v>
      </c>
      <c r="J31" s="16">
        <f>IFERROR(INDEX(Aux_HH!$J$4:$J$31,MATCH($H31&amp;"|"&amp;$I31,Aux_HH!$A$4:$A$31,0)),"")</f>
        <v>2</v>
      </c>
      <c r="K31" s="16" t="s">
        <v>76</v>
      </c>
      <c r="L31" s="16" t="str">
        <f>IF(COUNTIFS(Pessoas!$C$5:$C$44,$K31,Pessoas!$G$5:$G$44,"Ativo")=0,"Equipe "&amp;$K31,INDEX(Pessoas!$A$5:$A$44,_xludf.aggregate(15,6,(ROW(Pessoas!$A$5:$A$44)-4)/((Pessoas!$C$5:$C$44=$K31)*(Pessoas!$G$5:$G$44="Ativo")),MOD(ROW()-6,MAX(1,COUNTIFS(Pessoas!$C$5:$C$44,$K31,Pessoas!$G$5:$G$44,"Ativo")))+1)))</f>
        <v>Equipe Oficina Mecânica Central-Taisa</v>
      </c>
    </row>
    <row r="32" spans="1:16" ht="15" customHeight="1" x14ac:dyDescent="0.4">
      <c r="A32" s="25">
        <v>46300</v>
      </c>
      <c r="B32" s="16">
        <v>5</v>
      </c>
      <c r="C32" s="16">
        <v>1</v>
      </c>
      <c r="D32" s="16">
        <v>10</v>
      </c>
      <c r="E32" s="16" t="s">
        <v>980</v>
      </c>
      <c r="F32" s="16" t="s">
        <v>1005</v>
      </c>
      <c r="G32" s="16" t="s">
        <v>688</v>
      </c>
      <c r="H32" s="16" t="s">
        <v>145</v>
      </c>
      <c r="I32" s="22" t="s">
        <v>856</v>
      </c>
      <c r="J32" s="16">
        <f>IFERROR(INDEX(Aux_HH!$J$4:$J$31,MATCH($H32&amp;"|"&amp;$I32,Aux_HH!$A$4:$A$31,0)),"")</f>
        <v>2</v>
      </c>
      <c r="K32" s="16" t="s">
        <v>76</v>
      </c>
      <c r="L32" s="16" t="str">
        <f>IF(COUNTIFS(Pessoas!$C$5:$C$44,$K32,Pessoas!$G$5:$G$44,"Ativo")=0,"Equipe "&amp;$K32,INDEX(Pessoas!$A$5:$A$44,_xludf.aggregate(15,6,(ROW(Pessoas!$A$5:$A$44)-4)/((Pessoas!$C$5:$C$44=$K32)*(Pessoas!$G$5:$G$44="Ativo")),MOD(ROW()-6,MAX(1,COUNTIFS(Pessoas!$C$5:$C$44,$K32,Pessoas!$G$5:$G$44,"Ativo")))+1)))</f>
        <v>Equipe Oficina Mecânica Central-Taisa</v>
      </c>
    </row>
    <row r="33" spans="1:12" ht="15" customHeight="1" x14ac:dyDescent="0.4">
      <c r="A33" s="25">
        <v>46300</v>
      </c>
      <c r="B33" s="16">
        <v>5</v>
      </c>
      <c r="C33" s="16">
        <v>1</v>
      </c>
      <c r="D33" s="16">
        <v>10</v>
      </c>
      <c r="E33" s="16" t="s">
        <v>980</v>
      </c>
      <c r="F33" s="16" t="s">
        <v>1006</v>
      </c>
      <c r="G33" s="16" t="s">
        <v>688</v>
      </c>
      <c r="H33" s="16" t="s">
        <v>145</v>
      </c>
      <c r="I33" s="22" t="s">
        <v>856</v>
      </c>
      <c r="J33" s="16">
        <f>IFERROR(INDEX(Aux_HH!$J$4:$J$31,MATCH($H33&amp;"|"&amp;$I33,Aux_HH!$A$4:$A$31,0)),"")</f>
        <v>2</v>
      </c>
      <c r="K33" s="16" t="s">
        <v>76</v>
      </c>
      <c r="L33" s="16" t="str">
        <f>IF(COUNTIFS(Pessoas!$C$5:$C$44,$K33,Pessoas!$G$5:$G$44,"Ativo")=0,"Equipe "&amp;$K33,INDEX(Pessoas!$A$5:$A$44,_xludf.aggregate(15,6,(ROW(Pessoas!$A$5:$A$44)-4)/((Pessoas!$C$5:$C$44=$K33)*(Pessoas!$G$5:$G$44="Ativo")),MOD(ROW()-6,MAX(1,COUNTIFS(Pessoas!$C$5:$C$44,$K33,Pessoas!$G$5:$G$44,"Ativo")))+1)))</f>
        <v>Equipe Oficina Mecânica Central-Taisa</v>
      </c>
    </row>
    <row r="34" spans="1:12" ht="15" customHeight="1" x14ac:dyDescent="0.4">
      <c r="A34" s="25">
        <v>46301</v>
      </c>
      <c r="B34" s="16">
        <v>6</v>
      </c>
      <c r="C34" s="16">
        <v>1</v>
      </c>
      <c r="D34" s="16">
        <v>10</v>
      </c>
      <c r="E34" s="16" t="s">
        <v>980</v>
      </c>
      <c r="F34" s="16" t="s">
        <v>1007</v>
      </c>
      <c r="G34" s="16" t="s">
        <v>526</v>
      </c>
      <c r="H34" s="16" t="s">
        <v>143</v>
      </c>
      <c r="I34" s="22" t="s">
        <v>856</v>
      </c>
      <c r="J34" s="16">
        <f>IFERROR(INDEX(Aux_HH!$J$4:$J$31,MATCH($H34&amp;"|"&amp;$I34,Aux_HH!$A$4:$A$31,0)),"")</f>
        <v>2.5</v>
      </c>
      <c r="K34" s="16" t="s">
        <v>76</v>
      </c>
      <c r="L34" s="16" t="str">
        <f>IF(COUNTIFS(Pessoas!$C$5:$C$44,$K34,Pessoas!$G$5:$G$44,"Ativo")=0,"Equipe "&amp;$K34,INDEX(Pessoas!$A$5:$A$44,_xludf.aggregate(15,6,(ROW(Pessoas!$A$5:$A$44)-4)/((Pessoas!$C$5:$C$44=$K34)*(Pessoas!$G$5:$G$44="Ativo")),MOD(ROW()-6,MAX(1,COUNTIFS(Pessoas!$C$5:$C$44,$K34,Pessoas!$G$5:$G$44,"Ativo")))+1)))</f>
        <v>Equipe Oficina Mecânica Central-Taisa</v>
      </c>
    </row>
    <row r="35" spans="1:12" ht="15" customHeight="1" x14ac:dyDescent="0.4">
      <c r="A35" s="25">
        <v>46301</v>
      </c>
      <c r="B35" s="16">
        <v>6</v>
      </c>
      <c r="C35" s="16">
        <v>1</v>
      </c>
      <c r="D35" s="16">
        <v>10</v>
      </c>
      <c r="E35" s="16" t="s">
        <v>980</v>
      </c>
      <c r="F35" s="16" t="s">
        <v>1008</v>
      </c>
      <c r="G35" s="16" t="s">
        <v>184</v>
      </c>
      <c r="H35" s="16" t="s">
        <v>143</v>
      </c>
      <c r="I35" s="22" t="s">
        <v>856</v>
      </c>
      <c r="J35" s="16">
        <f>IFERROR(INDEX(Aux_HH!$J$4:$J$31,MATCH($H35&amp;"|"&amp;$I35,Aux_HH!$A$4:$A$31,0)),"")</f>
        <v>2.5</v>
      </c>
      <c r="K35" s="16" t="s">
        <v>76</v>
      </c>
      <c r="L35" s="16" t="str">
        <f>IF(COUNTIFS(Pessoas!$C$5:$C$44,$K35,Pessoas!$G$5:$G$44,"Ativo")=0,"Equipe "&amp;$K35,INDEX(Pessoas!$A$5:$A$44,_xludf.aggregate(15,6,(ROW(Pessoas!$A$5:$A$44)-4)/((Pessoas!$C$5:$C$44=$K35)*(Pessoas!$G$5:$G$44="Ativo")),MOD(ROW()-6,MAX(1,COUNTIFS(Pessoas!$C$5:$C$44,$K35,Pessoas!$G$5:$G$44,"Ativo")))+1)))</f>
        <v>Equipe Oficina Mecânica Central-Taisa</v>
      </c>
    </row>
    <row r="36" spans="1:12" ht="15" customHeight="1" x14ac:dyDescent="0.4">
      <c r="A36" s="25">
        <v>46301</v>
      </c>
      <c r="B36" s="16">
        <v>6</v>
      </c>
      <c r="C36" s="16">
        <v>1</v>
      </c>
      <c r="D36" s="16">
        <v>10</v>
      </c>
      <c r="E36" s="16" t="s">
        <v>980</v>
      </c>
      <c r="F36" s="16" t="s">
        <v>1009</v>
      </c>
      <c r="G36" s="16" t="s">
        <v>184</v>
      </c>
      <c r="H36" s="16" t="s">
        <v>143</v>
      </c>
      <c r="I36" s="22" t="s">
        <v>856</v>
      </c>
      <c r="J36" s="16">
        <f>IFERROR(INDEX(Aux_HH!$J$4:$J$31,MATCH($H36&amp;"|"&amp;$I36,Aux_HH!$A$4:$A$31,0)),"")</f>
        <v>2.5</v>
      </c>
      <c r="K36" s="16" t="s">
        <v>76</v>
      </c>
      <c r="L36" s="16" t="str">
        <f>IF(COUNTIFS(Pessoas!$C$5:$C$44,$K36,Pessoas!$G$5:$G$44,"Ativo")=0,"Equipe "&amp;$K36,INDEX(Pessoas!$A$5:$A$44,_xludf.aggregate(15,6,(ROW(Pessoas!$A$5:$A$44)-4)/((Pessoas!$C$5:$C$44=$K36)*(Pessoas!$G$5:$G$44="Ativo")),MOD(ROW()-6,MAX(1,COUNTIFS(Pessoas!$C$5:$C$44,$K36,Pessoas!$G$5:$G$44,"Ativo")))+1)))</f>
        <v>Equipe Oficina Mecânica Central-Taisa</v>
      </c>
    </row>
    <row r="37" spans="1:12" ht="15" customHeight="1" x14ac:dyDescent="0.4">
      <c r="A37" s="25">
        <v>46301</v>
      </c>
      <c r="B37" s="16">
        <v>6</v>
      </c>
      <c r="C37" s="16">
        <v>1</v>
      </c>
      <c r="D37" s="16">
        <v>10</v>
      </c>
      <c r="E37" s="16" t="s">
        <v>980</v>
      </c>
      <c r="F37" s="16" t="s">
        <v>1010</v>
      </c>
      <c r="G37" s="16" t="s">
        <v>184</v>
      </c>
      <c r="H37" s="16" t="s">
        <v>143</v>
      </c>
      <c r="I37" s="22" t="s">
        <v>856</v>
      </c>
      <c r="J37" s="16">
        <f>IFERROR(INDEX(Aux_HH!$J$4:$J$31,MATCH($H37&amp;"|"&amp;$I37,Aux_HH!$A$4:$A$31,0)),"")</f>
        <v>2.5</v>
      </c>
      <c r="K37" s="16" t="s">
        <v>76</v>
      </c>
      <c r="L37" s="16" t="str">
        <f>IF(COUNTIFS(Pessoas!$C$5:$C$44,$K37,Pessoas!$G$5:$G$44,"Ativo")=0,"Equipe "&amp;$K37,INDEX(Pessoas!$A$5:$A$44,_xludf.aggregate(15,6,(ROW(Pessoas!$A$5:$A$44)-4)/((Pessoas!$C$5:$C$44=$K37)*(Pessoas!$G$5:$G$44="Ativo")),MOD(ROW()-6,MAX(1,COUNTIFS(Pessoas!$C$5:$C$44,$K37,Pessoas!$G$5:$G$44,"Ativo")))+1)))</f>
        <v>Equipe Oficina Mecânica Central-Taisa</v>
      </c>
    </row>
    <row r="38" spans="1:12" ht="15" customHeight="1" x14ac:dyDescent="0.4">
      <c r="A38" s="25">
        <v>46301</v>
      </c>
      <c r="B38" s="16">
        <v>6</v>
      </c>
      <c r="C38" s="16">
        <v>1</v>
      </c>
      <c r="D38" s="16">
        <v>10</v>
      </c>
      <c r="E38" s="16" t="s">
        <v>980</v>
      </c>
      <c r="F38" s="16" t="s">
        <v>1011</v>
      </c>
      <c r="G38" s="16" t="s">
        <v>184</v>
      </c>
      <c r="H38" s="16" t="s">
        <v>143</v>
      </c>
      <c r="I38" s="22" t="s">
        <v>856</v>
      </c>
      <c r="J38" s="16">
        <f>IFERROR(INDEX(Aux_HH!$J$4:$J$31,MATCH($H38&amp;"|"&amp;$I38,Aux_HH!$A$4:$A$31,0)),"")</f>
        <v>2.5</v>
      </c>
      <c r="K38" s="16" t="s">
        <v>76</v>
      </c>
      <c r="L38" s="16" t="str">
        <f>IF(COUNTIFS(Pessoas!$C$5:$C$44,$K38,Pessoas!$G$5:$G$44,"Ativo")=0,"Equipe "&amp;$K38,INDEX(Pessoas!$A$5:$A$44,_xludf.aggregate(15,6,(ROW(Pessoas!$A$5:$A$44)-4)/((Pessoas!$C$5:$C$44=$K38)*(Pessoas!$G$5:$G$44="Ativo")),MOD(ROW()-6,MAX(1,COUNTIFS(Pessoas!$C$5:$C$44,$K38,Pessoas!$G$5:$G$44,"Ativo")))+1)))</f>
        <v>Equipe Oficina Mecânica Central-Taisa</v>
      </c>
    </row>
    <row r="39" spans="1:12" ht="15" customHeight="1" x14ac:dyDescent="0.4">
      <c r="A39" s="25">
        <v>46301</v>
      </c>
      <c r="B39" s="16">
        <v>6</v>
      </c>
      <c r="C39" s="16">
        <v>1</v>
      </c>
      <c r="D39" s="16">
        <v>10</v>
      </c>
      <c r="E39" s="16" t="s">
        <v>980</v>
      </c>
      <c r="F39" s="16" t="s">
        <v>1012</v>
      </c>
      <c r="G39" s="16" t="s">
        <v>184</v>
      </c>
      <c r="H39" s="16" t="s">
        <v>143</v>
      </c>
      <c r="I39" s="22" t="s">
        <v>856</v>
      </c>
      <c r="J39" s="16">
        <f>IFERROR(INDEX(Aux_HH!$J$4:$J$31,MATCH($H39&amp;"|"&amp;$I39,Aux_HH!$A$4:$A$31,0)),"")</f>
        <v>2.5</v>
      </c>
      <c r="K39" s="16" t="s">
        <v>76</v>
      </c>
      <c r="L39" s="16" t="str">
        <f>IF(COUNTIFS(Pessoas!$C$5:$C$44,$K39,Pessoas!$G$5:$G$44,"Ativo")=0,"Equipe "&amp;$K39,INDEX(Pessoas!$A$5:$A$44,_xludf.aggregate(15,6,(ROW(Pessoas!$A$5:$A$44)-4)/((Pessoas!$C$5:$C$44=$K39)*(Pessoas!$G$5:$G$44="Ativo")),MOD(ROW()-6,MAX(1,COUNTIFS(Pessoas!$C$5:$C$44,$K39,Pessoas!$G$5:$G$44,"Ativo")))+1)))</f>
        <v>Equipe Oficina Mecânica Central-Taisa</v>
      </c>
    </row>
    <row r="40" spans="1:12" ht="15" customHeight="1" x14ac:dyDescent="0.4">
      <c r="A40" s="25">
        <v>46301</v>
      </c>
      <c r="B40" s="16">
        <v>6</v>
      </c>
      <c r="C40" s="16">
        <v>1</v>
      </c>
      <c r="D40" s="16">
        <v>10</v>
      </c>
      <c r="E40" s="16" t="s">
        <v>980</v>
      </c>
      <c r="F40" s="16" t="s">
        <v>1013</v>
      </c>
      <c r="G40" s="16" t="s">
        <v>184</v>
      </c>
      <c r="H40" s="16" t="s">
        <v>143</v>
      </c>
      <c r="I40" s="22" t="s">
        <v>856</v>
      </c>
      <c r="J40" s="16">
        <f>IFERROR(INDEX(Aux_HH!$J$4:$J$31,MATCH($H40&amp;"|"&amp;$I40,Aux_HH!$A$4:$A$31,0)),"")</f>
        <v>2.5</v>
      </c>
      <c r="K40" s="16" t="s">
        <v>76</v>
      </c>
      <c r="L40" s="16" t="str">
        <f>IF(COUNTIFS(Pessoas!$C$5:$C$44,$K40,Pessoas!$G$5:$G$44,"Ativo")=0,"Equipe "&amp;$K40,INDEX(Pessoas!$A$5:$A$44,_xludf.aggregate(15,6,(ROW(Pessoas!$A$5:$A$44)-4)/((Pessoas!$C$5:$C$44=$K40)*(Pessoas!$G$5:$G$44="Ativo")),MOD(ROW()-6,MAX(1,COUNTIFS(Pessoas!$C$5:$C$44,$K40,Pessoas!$G$5:$G$44,"Ativo")))+1)))</f>
        <v>Equipe Oficina Mecânica Central-Taisa</v>
      </c>
    </row>
    <row r="41" spans="1:12" ht="15" customHeight="1" x14ac:dyDescent="0.4">
      <c r="A41" s="25">
        <v>46301</v>
      </c>
      <c r="B41" s="16">
        <v>6</v>
      </c>
      <c r="C41" s="16">
        <v>1</v>
      </c>
      <c r="D41" s="16">
        <v>10</v>
      </c>
      <c r="E41" s="16" t="s">
        <v>980</v>
      </c>
      <c r="F41" s="16" t="s">
        <v>1014</v>
      </c>
      <c r="G41" s="16" t="s">
        <v>184</v>
      </c>
      <c r="H41" s="16" t="s">
        <v>143</v>
      </c>
      <c r="I41" s="22" t="s">
        <v>856</v>
      </c>
      <c r="J41" s="16">
        <f>IFERROR(INDEX(Aux_HH!$J$4:$J$31,MATCH($H41&amp;"|"&amp;$I41,Aux_HH!$A$4:$A$31,0)),"")</f>
        <v>2.5</v>
      </c>
      <c r="K41" s="16" t="s">
        <v>76</v>
      </c>
      <c r="L41" s="16" t="str">
        <f>IF(COUNTIFS(Pessoas!$C$5:$C$44,$K41,Pessoas!$G$5:$G$44,"Ativo")=0,"Equipe "&amp;$K41,INDEX(Pessoas!$A$5:$A$44,_xludf.aggregate(15,6,(ROW(Pessoas!$A$5:$A$44)-4)/((Pessoas!$C$5:$C$44=$K41)*(Pessoas!$G$5:$G$44="Ativo")),MOD(ROW()-6,MAX(1,COUNTIFS(Pessoas!$C$5:$C$44,$K41,Pessoas!$G$5:$G$44,"Ativo")))+1)))</f>
        <v>Equipe Oficina Mecânica Central-Taisa</v>
      </c>
    </row>
    <row r="42" spans="1:12" ht="15" customHeight="1" x14ac:dyDescent="0.4">
      <c r="A42" s="25">
        <v>46301</v>
      </c>
      <c r="B42" s="16">
        <v>6</v>
      </c>
      <c r="C42" s="16">
        <v>1</v>
      </c>
      <c r="D42" s="16">
        <v>10</v>
      </c>
      <c r="E42" s="16" t="s">
        <v>980</v>
      </c>
      <c r="F42" s="16" t="s">
        <v>1015</v>
      </c>
      <c r="G42" s="16" t="s">
        <v>184</v>
      </c>
      <c r="H42" s="16" t="s">
        <v>143</v>
      </c>
      <c r="I42" s="22" t="s">
        <v>856</v>
      </c>
      <c r="J42" s="16">
        <f>IFERROR(INDEX(Aux_HH!$J$4:$J$31,MATCH($H42&amp;"|"&amp;$I42,Aux_HH!$A$4:$A$31,0)),"")</f>
        <v>2.5</v>
      </c>
      <c r="K42" s="16" t="s">
        <v>76</v>
      </c>
      <c r="L42" s="16" t="str">
        <f>IF(COUNTIFS(Pessoas!$C$5:$C$44,$K42,Pessoas!$G$5:$G$44,"Ativo")=0,"Equipe "&amp;$K42,INDEX(Pessoas!$A$5:$A$44,_xludf.aggregate(15,6,(ROW(Pessoas!$A$5:$A$44)-4)/((Pessoas!$C$5:$C$44=$K42)*(Pessoas!$G$5:$G$44="Ativo")),MOD(ROW()-6,MAX(1,COUNTIFS(Pessoas!$C$5:$C$44,$K42,Pessoas!$G$5:$G$44,"Ativo")))+1)))</f>
        <v>Equipe Oficina Mecânica Central-Taisa</v>
      </c>
    </row>
    <row r="43" spans="1:12" ht="15" customHeight="1" x14ac:dyDescent="0.4">
      <c r="A43" s="25">
        <v>46301</v>
      </c>
      <c r="B43" s="16">
        <v>6</v>
      </c>
      <c r="C43" s="16">
        <v>1</v>
      </c>
      <c r="D43" s="16">
        <v>10</v>
      </c>
      <c r="E43" s="16" t="s">
        <v>980</v>
      </c>
      <c r="F43" s="16" t="s">
        <v>1016</v>
      </c>
      <c r="G43" s="16" t="s">
        <v>526</v>
      </c>
      <c r="H43" s="16" t="s">
        <v>143</v>
      </c>
      <c r="I43" s="22" t="s">
        <v>856</v>
      </c>
      <c r="J43" s="16">
        <f>IFERROR(INDEX(Aux_HH!$J$4:$J$31,MATCH($H43&amp;"|"&amp;$I43,Aux_HH!$A$4:$A$31,0)),"")</f>
        <v>2.5</v>
      </c>
      <c r="K43" s="16" t="s">
        <v>76</v>
      </c>
      <c r="L43" s="16" t="str">
        <f>IF(COUNTIFS(Pessoas!$C$5:$C$44,$K43,Pessoas!$G$5:$G$44,"Ativo")=0,"Equipe "&amp;$K43,INDEX(Pessoas!$A$5:$A$44,_xludf.aggregate(15,6,(ROW(Pessoas!$A$5:$A$44)-4)/((Pessoas!$C$5:$C$44=$K43)*(Pessoas!$G$5:$G$44="Ativo")),MOD(ROW()-6,MAX(1,COUNTIFS(Pessoas!$C$5:$C$44,$K43,Pessoas!$G$5:$G$44,"Ativo")))+1)))</f>
        <v>Equipe Oficina Mecânica Central-Taisa</v>
      </c>
    </row>
    <row r="44" spans="1:12" ht="15" customHeight="1" x14ac:dyDescent="0.4">
      <c r="A44" s="25">
        <v>46301</v>
      </c>
      <c r="B44" s="16">
        <v>6</v>
      </c>
      <c r="C44" s="16">
        <v>1</v>
      </c>
      <c r="D44" s="16">
        <v>10</v>
      </c>
      <c r="E44" s="16" t="s">
        <v>980</v>
      </c>
      <c r="F44" s="16" t="s">
        <v>1017</v>
      </c>
      <c r="G44" s="16" t="s">
        <v>688</v>
      </c>
      <c r="H44" s="16" t="s">
        <v>143</v>
      </c>
      <c r="I44" s="22" t="s">
        <v>856</v>
      </c>
      <c r="J44" s="16">
        <f>IFERROR(INDEX(Aux_HH!$J$4:$J$31,MATCH($H44&amp;"|"&amp;$I44,Aux_HH!$A$4:$A$31,0)),"")</f>
        <v>2.5</v>
      </c>
      <c r="K44" s="16" t="s">
        <v>76</v>
      </c>
      <c r="L44" s="16" t="str">
        <f>IF(COUNTIFS(Pessoas!$C$5:$C$44,$K44,Pessoas!$G$5:$G$44,"Ativo")=0,"Equipe "&amp;$K44,INDEX(Pessoas!$A$5:$A$44,_xludf.aggregate(15,6,(ROW(Pessoas!$A$5:$A$44)-4)/((Pessoas!$C$5:$C$44=$K44)*(Pessoas!$G$5:$G$44="Ativo")),MOD(ROW()-6,MAX(1,COUNTIFS(Pessoas!$C$5:$C$44,$K44,Pessoas!$G$5:$G$44,"Ativo")))+1)))</f>
        <v>Equipe Oficina Mecânica Central-Taisa</v>
      </c>
    </row>
    <row r="45" spans="1:12" ht="15" customHeight="1" x14ac:dyDescent="0.4">
      <c r="A45" s="25">
        <v>46301</v>
      </c>
      <c r="B45" s="16">
        <v>6</v>
      </c>
      <c r="C45" s="16">
        <v>1</v>
      </c>
      <c r="D45" s="16">
        <v>10</v>
      </c>
      <c r="E45" s="16" t="s">
        <v>980</v>
      </c>
      <c r="F45" s="16" t="s">
        <v>1018</v>
      </c>
      <c r="G45" s="16" t="s">
        <v>526</v>
      </c>
      <c r="H45" s="16" t="s">
        <v>143</v>
      </c>
      <c r="I45" s="22" t="s">
        <v>856</v>
      </c>
      <c r="J45" s="16">
        <f>IFERROR(INDEX(Aux_HH!$J$4:$J$31,MATCH($H45&amp;"|"&amp;$I45,Aux_HH!$A$4:$A$31,0)),"")</f>
        <v>2.5</v>
      </c>
      <c r="K45" s="16" t="s">
        <v>76</v>
      </c>
      <c r="L45" s="16" t="str">
        <f>IF(COUNTIFS(Pessoas!$C$5:$C$44,$K45,Pessoas!$G$5:$G$44,"Ativo")=0,"Equipe "&amp;$K45,INDEX(Pessoas!$A$5:$A$44,_xludf.aggregate(15,6,(ROW(Pessoas!$A$5:$A$44)-4)/((Pessoas!$C$5:$C$44=$K45)*(Pessoas!$G$5:$G$44="Ativo")),MOD(ROW()-6,MAX(1,COUNTIFS(Pessoas!$C$5:$C$44,$K45,Pessoas!$G$5:$G$44,"Ativo")))+1)))</f>
        <v>Equipe Oficina Mecânica Central-Taisa</v>
      </c>
    </row>
    <row r="46" spans="1:12" ht="15" customHeight="1" x14ac:dyDescent="0.4">
      <c r="A46" s="25">
        <v>46301</v>
      </c>
      <c r="B46" s="16">
        <v>6</v>
      </c>
      <c r="C46" s="16">
        <v>1</v>
      </c>
      <c r="D46" s="16">
        <v>10</v>
      </c>
      <c r="E46" s="16" t="s">
        <v>980</v>
      </c>
      <c r="F46" s="16" t="s">
        <v>1019</v>
      </c>
      <c r="G46" s="16" t="s">
        <v>526</v>
      </c>
      <c r="H46" s="16" t="s">
        <v>143</v>
      </c>
      <c r="I46" s="22" t="s">
        <v>856</v>
      </c>
      <c r="J46" s="16">
        <f>IFERROR(INDEX(Aux_HH!$J$4:$J$31,MATCH($H46&amp;"|"&amp;$I46,Aux_HH!$A$4:$A$31,0)),"")</f>
        <v>2.5</v>
      </c>
      <c r="K46" s="16" t="s">
        <v>76</v>
      </c>
      <c r="L46" s="16" t="str">
        <f>IF(COUNTIFS(Pessoas!$C$5:$C$44,$K46,Pessoas!$G$5:$G$44,"Ativo")=0,"Equipe "&amp;$K46,INDEX(Pessoas!$A$5:$A$44,_xludf.aggregate(15,6,(ROW(Pessoas!$A$5:$A$44)-4)/((Pessoas!$C$5:$C$44=$K46)*(Pessoas!$G$5:$G$44="Ativo")),MOD(ROW()-6,MAX(1,COUNTIFS(Pessoas!$C$5:$C$44,$K46,Pessoas!$G$5:$G$44,"Ativo")))+1)))</f>
        <v>Equipe Oficina Mecânica Central-Taisa</v>
      </c>
    </row>
    <row r="47" spans="1:12" ht="15" customHeight="1" x14ac:dyDescent="0.4">
      <c r="A47" s="25">
        <v>46301</v>
      </c>
      <c r="B47" s="16">
        <v>6</v>
      </c>
      <c r="C47" s="16">
        <v>1</v>
      </c>
      <c r="D47" s="16">
        <v>10</v>
      </c>
      <c r="E47" s="16" t="s">
        <v>980</v>
      </c>
      <c r="F47" s="16" t="s">
        <v>1020</v>
      </c>
      <c r="G47" s="16" t="s">
        <v>526</v>
      </c>
      <c r="H47" s="16" t="s">
        <v>143</v>
      </c>
      <c r="I47" s="22" t="s">
        <v>856</v>
      </c>
      <c r="J47" s="16">
        <f>IFERROR(INDEX(Aux_HH!$J$4:$J$31,MATCH($H47&amp;"|"&amp;$I47,Aux_HH!$A$4:$A$31,0)),"")</f>
        <v>2.5</v>
      </c>
      <c r="K47" s="16" t="s">
        <v>76</v>
      </c>
      <c r="L47" s="16" t="str">
        <f>IF(COUNTIFS(Pessoas!$C$5:$C$44,$K47,Pessoas!$G$5:$G$44,"Ativo")=0,"Equipe "&amp;$K47,INDEX(Pessoas!$A$5:$A$44,_xludf.aggregate(15,6,(ROW(Pessoas!$A$5:$A$44)-4)/((Pessoas!$C$5:$C$44=$K47)*(Pessoas!$G$5:$G$44="Ativo")),MOD(ROW()-6,MAX(1,COUNTIFS(Pessoas!$C$5:$C$44,$K47,Pessoas!$G$5:$G$44,"Ativo")))+1)))</f>
        <v>Equipe Oficina Mecânica Central-Taisa</v>
      </c>
    </row>
    <row r="48" spans="1:12" ht="15" customHeight="1" x14ac:dyDescent="0.4">
      <c r="A48" s="25">
        <v>46301</v>
      </c>
      <c r="B48" s="16">
        <v>6</v>
      </c>
      <c r="C48" s="16">
        <v>1</v>
      </c>
      <c r="D48" s="16">
        <v>10</v>
      </c>
      <c r="E48" s="16" t="s">
        <v>980</v>
      </c>
      <c r="F48" s="16" t="s">
        <v>1021</v>
      </c>
      <c r="G48" s="16" t="s">
        <v>184</v>
      </c>
      <c r="H48" s="16" t="s">
        <v>143</v>
      </c>
      <c r="I48" s="22" t="s">
        <v>856</v>
      </c>
      <c r="J48" s="16">
        <f>IFERROR(INDEX(Aux_HH!$J$4:$J$31,MATCH($H48&amp;"|"&amp;$I48,Aux_HH!$A$4:$A$31,0)),"")</f>
        <v>2.5</v>
      </c>
      <c r="K48" s="16" t="s">
        <v>76</v>
      </c>
      <c r="L48" s="16" t="str">
        <f>IF(COUNTIFS(Pessoas!$C$5:$C$44,$K48,Pessoas!$G$5:$G$44,"Ativo")=0,"Equipe "&amp;$K48,INDEX(Pessoas!$A$5:$A$44,_xludf.aggregate(15,6,(ROW(Pessoas!$A$5:$A$44)-4)/((Pessoas!$C$5:$C$44=$K48)*(Pessoas!$G$5:$G$44="Ativo")),MOD(ROW()-6,MAX(1,COUNTIFS(Pessoas!$C$5:$C$44,$K48,Pessoas!$G$5:$G$44,"Ativo")))+1)))</f>
        <v>Equipe Oficina Mecânica Central-Taisa</v>
      </c>
    </row>
    <row r="49" spans="1:12" ht="15" customHeight="1" x14ac:dyDescent="0.4">
      <c r="A49" s="25">
        <v>46302</v>
      </c>
      <c r="B49" s="16">
        <v>6</v>
      </c>
      <c r="C49" s="16">
        <v>1</v>
      </c>
      <c r="D49" s="16">
        <v>10</v>
      </c>
      <c r="E49" s="16" t="s">
        <v>980</v>
      </c>
      <c r="F49" s="16" t="s">
        <v>1022</v>
      </c>
      <c r="G49" s="16" t="s">
        <v>184</v>
      </c>
      <c r="H49" s="16" t="s">
        <v>143</v>
      </c>
      <c r="I49" s="22" t="s">
        <v>856</v>
      </c>
      <c r="J49" s="16">
        <f>IFERROR(INDEX(Aux_HH!$J$4:$J$31,MATCH($H49&amp;"|"&amp;$I49,Aux_HH!$A$4:$A$31,0)),"")</f>
        <v>2.5</v>
      </c>
      <c r="K49" s="16" t="s">
        <v>76</v>
      </c>
      <c r="L49" s="16" t="str">
        <f>IF(COUNTIFS(Pessoas!$C$5:$C$44,$K49,Pessoas!$G$5:$G$44,"Ativo")=0,"Equipe "&amp;$K49,INDEX(Pessoas!$A$5:$A$44,_xludf.aggregate(15,6,(ROW(Pessoas!$A$5:$A$44)-4)/((Pessoas!$C$5:$C$44=$K49)*(Pessoas!$G$5:$G$44="Ativo")),MOD(ROW()-6,MAX(1,COUNTIFS(Pessoas!$C$5:$C$44,$K49,Pessoas!$G$5:$G$44,"Ativo")))+1)))</f>
        <v>Equipe Oficina Mecânica Central-Taisa</v>
      </c>
    </row>
    <row r="50" spans="1:12" ht="15" customHeight="1" x14ac:dyDescent="0.4">
      <c r="A50" s="25">
        <v>46302</v>
      </c>
      <c r="B50" s="16">
        <v>6</v>
      </c>
      <c r="C50" s="16">
        <v>1</v>
      </c>
      <c r="D50" s="16">
        <v>10</v>
      </c>
      <c r="E50" s="16" t="s">
        <v>980</v>
      </c>
      <c r="F50" s="16" t="s">
        <v>1023</v>
      </c>
      <c r="G50" s="16" t="s">
        <v>184</v>
      </c>
      <c r="H50" s="16" t="s">
        <v>143</v>
      </c>
      <c r="I50" s="22" t="s">
        <v>856</v>
      </c>
      <c r="J50" s="16">
        <f>IFERROR(INDEX(Aux_HH!$J$4:$J$31,MATCH($H50&amp;"|"&amp;$I50,Aux_HH!$A$4:$A$31,0)),"")</f>
        <v>2.5</v>
      </c>
      <c r="K50" s="16" t="s">
        <v>76</v>
      </c>
      <c r="L50" s="16" t="str">
        <f>IF(COUNTIFS(Pessoas!$C$5:$C$44,$K50,Pessoas!$G$5:$G$44,"Ativo")=0,"Equipe "&amp;$K50,INDEX(Pessoas!$A$5:$A$44,_xludf.aggregate(15,6,(ROW(Pessoas!$A$5:$A$44)-4)/((Pessoas!$C$5:$C$44=$K50)*(Pessoas!$G$5:$G$44="Ativo")),MOD(ROW()-6,MAX(1,COUNTIFS(Pessoas!$C$5:$C$44,$K50,Pessoas!$G$5:$G$44,"Ativo")))+1)))</f>
        <v>Equipe Oficina Mecânica Central-Taisa</v>
      </c>
    </row>
    <row r="51" spans="1:12" ht="15" customHeight="1" x14ac:dyDescent="0.4">
      <c r="A51" s="25">
        <v>46302</v>
      </c>
      <c r="B51" s="16">
        <v>6</v>
      </c>
      <c r="C51" s="16">
        <v>1</v>
      </c>
      <c r="D51" s="16">
        <v>10</v>
      </c>
      <c r="E51" s="16" t="s">
        <v>980</v>
      </c>
      <c r="F51" s="16" t="s">
        <v>1024</v>
      </c>
      <c r="G51" s="16" t="s">
        <v>184</v>
      </c>
      <c r="H51" s="16" t="s">
        <v>143</v>
      </c>
      <c r="I51" s="22" t="s">
        <v>856</v>
      </c>
      <c r="J51" s="16">
        <f>IFERROR(INDEX(Aux_HH!$J$4:$J$31,MATCH($H51&amp;"|"&amp;$I51,Aux_HH!$A$4:$A$31,0)),"")</f>
        <v>2.5</v>
      </c>
      <c r="K51" s="16" t="s">
        <v>76</v>
      </c>
      <c r="L51" s="16" t="str">
        <f>IF(COUNTIFS(Pessoas!$C$5:$C$44,$K51,Pessoas!$G$5:$G$44,"Ativo")=0,"Equipe "&amp;$K51,INDEX(Pessoas!$A$5:$A$44,_xludf.aggregate(15,6,(ROW(Pessoas!$A$5:$A$44)-4)/((Pessoas!$C$5:$C$44=$K51)*(Pessoas!$G$5:$G$44="Ativo")),MOD(ROW()-6,MAX(1,COUNTIFS(Pessoas!$C$5:$C$44,$K51,Pessoas!$G$5:$G$44,"Ativo")))+1)))</f>
        <v>Equipe Oficina Mecânica Central-Taisa</v>
      </c>
    </row>
    <row r="52" spans="1:12" ht="15" customHeight="1" x14ac:dyDescent="0.4">
      <c r="A52" s="25">
        <v>46302</v>
      </c>
      <c r="B52" s="16">
        <v>6</v>
      </c>
      <c r="C52" s="16">
        <v>1</v>
      </c>
      <c r="D52" s="16">
        <v>10</v>
      </c>
      <c r="E52" s="16" t="s">
        <v>980</v>
      </c>
      <c r="F52" s="16" t="s">
        <v>1025</v>
      </c>
      <c r="G52" s="16" t="s">
        <v>184</v>
      </c>
      <c r="H52" s="16" t="s">
        <v>143</v>
      </c>
      <c r="I52" s="22" t="s">
        <v>856</v>
      </c>
      <c r="J52" s="16">
        <f>IFERROR(INDEX(Aux_HH!$J$4:$J$31,MATCH($H52&amp;"|"&amp;$I52,Aux_HH!$A$4:$A$31,0)),"")</f>
        <v>2.5</v>
      </c>
      <c r="K52" s="16" t="s">
        <v>76</v>
      </c>
      <c r="L52" s="16" t="str">
        <f>IF(COUNTIFS(Pessoas!$C$5:$C$44,$K52,Pessoas!$G$5:$G$44,"Ativo")=0,"Equipe "&amp;$K52,INDEX(Pessoas!$A$5:$A$44,_xludf.aggregate(15,6,(ROW(Pessoas!$A$5:$A$44)-4)/((Pessoas!$C$5:$C$44=$K52)*(Pessoas!$G$5:$G$44="Ativo")),MOD(ROW()-6,MAX(1,COUNTIFS(Pessoas!$C$5:$C$44,$K52,Pessoas!$G$5:$G$44,"Ativo")))+1)))</f>
        <v>Equipe Oficina Mecânica Central-Taisa</v>
      </c>
    </row>
    <row r="53" spans="1:12" ht="15" customHeight="1" x14ac:dyDescent="0.4">
      <c r="A53" s="25">
        <v>46302</v>
      </c>
      <c r="B53" s="16">
        <v>6</v>
      </c>
      <c r="C53" s="16">
        <v>1</v>
      </c>
      <c r="D53" s="16">
        <v>10</v>
      </c>
      <c r="E53" s="16" t="s">
        <v>980</v>
      </c>
      <c r="F53" s="16" t="s">
        <v>1026</v>
      </c>
      <c r="G53" s="16" t="s">
        <v>184</v>
      </c>
      <c r="H53" s="16" t="s">
        <v>143</v>
      </c>
      <c r="I53" s="22" t="s">
        <v>856</v>
      </c>
      <c r="J53" s="16">
        <f>IFERROR(INDEX(Aux_HH!$J$4:$J$31,MATCH($H53&amp;"|"&amp;$I53,Aux_HH!$A$4:$A$31,0)),"")</f>
        <v>2.5</v>
      </c>
      <c r="K53" s="16" t="s">
        <v>76</v>
      </c>
      <c r="L53" s="16" t="str">
        <f>IF(COUNTIFS(Pessoas!$C$5:$C$44,$K53,Pessoas!$G$5:$G$44,"Ativo")=0,"Equipe "&amp;$K53,INDEX(Pessoas!$A$5:$A$44,_xludf.aggregate(15,6,(ROW(Pessoas!$A$5:$A$44)-4)/((Pessoas!$C$5:$C$44=$K53)*(Pessoas!$G$5:$G$44="Ativo")),MOD(ROW()-6,MAX(1,COUNTIFS(Pessoas!$C$5:$C$44,$K53,Pessoas!$G$5:$G$44,"Ativo")))+1)))</f>
        <v>Equipe Oficina Mecânica Central-Taisa</v>
      </c>
    </row>
    <row r="54" spans="1:12" ht="15" customHeight="1" x14ac:dyDescent="0.4">
      <c r="A54" s="25">
        <v>46302</v>
      </c>
      <c r="B54" s="16">
        <v>6</v>
      </c>
      <c r="C54" s="16">
        <v>1</v>
      </c>
      <c r="D54" s="16">
        <v>10</v>
      </c>
      <c r="E54" s="16" t="s">
        <v>980</v>
      </c>
      <c r="F54" s="16" t="s">
        <v>1027</v>
      </c>
      <c r="G54" s="16" t="s">
        <v>184</v>
      </c>
      <c r="H54" s="16" t="s">
        <v>143</v>
      </c>
      <c r="I54" s="22" t="s">
        <v>856</v>
      </c>
      <c r="J54" s="16">
        <f>IFERROR(INDEX(Aux_HH!$J$4:$J$31,MATCH($H54&amp;"|"&amp;$I54,Aux_HH!$A$4:$A$31,0)),"")</f>
        <v>2.5</v>
      </c>
      <c r="K54" s="16" t="s">
        <v>76</v>
      </c>
      <c r="L54" s="16" t="str">
        <f>IF(COUNTIFS(Pessoas!$C$5:$C$44,$K54,Pessoas!$G$5:$G$44,"Ativo")=0,"Equipe "&amp;$K54,INDEX(Pessoas!$A$5:$A$44,_xludf.aggregate(15,6,(ROW(Pessoas!$A$5:$A$44)-4)/((Pessoas!$C$5:$C$44=$K54)*(Pessoas!$G$5:$G$44="Ativo")),MOD(ROW()-6,MAX(1,COUNTIFS(Pessoas!$C$5:$C$44,$K54,Pessoas!$G$5:$G$44,"Ativo")))+1)))</f>
        <v>Equipe Oficina Mecânica Central-Taisa</v>
      </c>
    </row>
    <row r="55" spans="1:12" ht="15" customHeight="1" x14ac:dyDescent="0.4">
      <c r="A55" s="25">
        <v>46302</v>
      </c>
      <c r="B55" s="16">
        <v>6</v>
      </c>
      <c r="C55" s="16">
        <v>1</v>
      </c>
      <c r="D55" s="16">
        <v>10</v>
      </c>
      <c r="E55" s="16" t="s">
        <v>980</v>
      </c>
      <c r="F55" s="16" t="s">
        <v>1028</v>
      </c>
      <c r="G55" s="16" t="s">
        <v>184</v>
      </c>
      <c r="H55" s="16" t="s">
        <v>143</v>
      </c>
      <c r="I55" s="22" t="s">
        <v>856</v>
      </c>
      <c r="J55" s="16">
        <f>IFERROR(INDEX(Aux_HH!$J$4:$J$31,MATCH($H55&amp;"|"&amp;$I55,Aux_HH!$A$4:$A$31,0)),"")</f>
        <v>2.5</v>
      </c>
      <c r="K55" s="16" t="s">
        <v>76</v>
      </c>
      <c r="L55" s="16" t="str">
        <f>IF(COUNTIFS(Pessoas!$C$5:$C$44,$K55,Pessoas!$G$5:$G$44,"Ativo")=0,"Equipe "&amp;$K55,INDEX(Pessoas!$A$5:$A$44,_xludf.aggregate(15,6,(ROW(Pessoas!$A$5:$A$44)-4)/((Pessoas!$C$5:$C$44=$K55)*(Pessoas!$G$5:$G$44="Ativo")),MOD(ROW()-6,MAX(1,COUNTIFS(Pessoas!$C$5:$C$44,$K55,Pessoas!$G$5:$G$44,"Ativo")))+1)))</f>
        <v>Equipe Oficina Mecânica Central-Taisa</v>
      </c>
    </row>
    <row r="56" spans="1:12" ht="15" customHeight="1" x14ac:dyDescent="0.4">
      <c r="A56" s="25">
        <v>46302</v>
      </c>
      <c r="B56" s="16">
        <v>6</v>
      </c>
      <c r="C56" s="16">
        <v>1</v>
      </c>
      <c r="D56" s="16">
        <v>10</v>
      </c>
      <c r="E56" s="16" t="s">
        <v>980</v>
      </c>
      <c r="F56" s="16" t="s">
        <v>1029</v>
      </c>
      <c r="G56" s="16" t="s">
        <v>184</v>
      </c>
      <c r="H56" s="16" t="s">
        <v>143</v>
      </c>
      <c r="I56" s="22" t="s">
        <v>856</v>
      </c>
      <c r="J56" s="16">
        <f>IFERROR(INDEX(Aux_HH!$J$4:$J$31,MATCH($H56&amp;"|"&amp;$I56,Aux_HH!$A$4:$A$31,0)),"")</f>
        <v>2.5</v>
      </c>
      <c r="K56" s="16" t="s">
        <v>76</v>
      </c>
      <c r="L56" s="16" t="str">
        <f>IF(COUNTIFS(Pessoas!$C$5:$C$44,$K56,Pessoas!$G$5:$G$44,"Ativo")=0,"Equipe "&amp;$K56,INDEX(Pessoas!$A$5:$A$44,_xludf.aggregate(15,6,(ROW(Pessoas!$A$5:$A$44)-4)/((Pessoas!$C$5:$C$44=$K56)*(Pessoas!$G$5:$G$44="Ativo")),MOD(ROW()-6,MAX(1,COUNTIFS(Pessoas!$C$5:$C$44,$K56,Pessoas!$G$5:$G$44,"Ativo")))+1)))</f>
        <v>Equipe Oficina Mecânica Central-Taisa</v>
      </c>
    </row>
    <row r="57" spans="1:12" ht="15" customHeight="1" x14ac:dyDescent="0.4">
      <c r="A57" s="25">
        <v>46302</v>
      </c>
      <c r="B57" s="16">
        <v>6</v>
      </c>
      <c r="C57" s="16">
        <v>1</v>
      </c>
      <c r="D57" s="16">
        <v>10</v>
      </c>
      <c r="E57" s="16" t="s">
        <v>980</v>
      </c>
      <c r="F57" s="16" t="s">
        <v>1030</v>
      </c>
      <c r="G57" s="16" t="s">
        <v>526</v>
      </c>
      <c r="H57" s="16" t="s">
        <v>143</v>
      </c>
      <c r="I57" s="22" t="s">
        <v>856</v>
      </c>
      <c r="J57" s="16">
        <f>IFERROR(INDEX(Aux_HH!$J$4:$J$31,MATCH($H57&amp;"|"&amp;$I57,Aux_HH!$A$4:$A$31,0)),"")</f>
        <v>2.5</v>
      </c>
      <c r="K57" s="16" t="s">
        <v>76</v>
      </c>
      <c r="L57" s="16" t="str">
        <f>IF(COUNTIFS(Pessoas!$C$5:$C$44,$K57,Pessoas!$G$5:$G$44,"Ativo")=0,"Equipe "&amp;$K57,INDEX(Pessoas!$A$5:$A$44,_xludf.aggregate(15,6,(ROW(Pessoas!$A$5:$A$44)-4)/((Pessoas!$C$5:$C$44=$K57)*(Pessoas!$G$5:$G$44="Ativo")),MOD(ROW()-6,MAX(1,COUNTIFS(Pessoas!$C$5:$C$44,$K57,Pessoas!$G$5:$G$44,"Ativo")))+1)))</f>
        <v>Equipe Oficina Mecânica Central-Taisa</v>
      </c>
    </row>
    <row r="58" spans="1:12" ht="15" customHeight="1" x14ac:dyDescent="0.4">
      <c r="A58" s="25">
        <v>46302</v>
      </c>
      <c r="B58" s="16">
        <v>6</v>
      </c>
      <c r="C58" s="16">
        <v>1</v>
      </c>
      <c r="D58" s="16">
        <v>10</v>
      </c>
      <c r="E58" s="16" t="s">
        <v>980</v>
      </c>
      <c r="F58" s="16" t="s">
        <v>1031</v>
      </c>
      <c r="G58" s="16" t="s">
        <v>526</v>
      </c>
      <c r="H58" s="16" t="s">
        <v>143</v>
      </c>
      <c r="I58" s="22" t="s">
        <v>856</v>
      </c>
      <c r="J58" s="16">
        <f>IFERROR(INDEX(Aux_HH!$J$4:$J$31,MATCH($H58&amp;"|"&amp;$I58,Aux_HH!$A$4:$A$31,0)),"")</f>
        <v>2.5</v>
      </c>
      <c r="K58" s="16" t="s">
        <v>76</v>
      </c>
      <c r="L58" s="16" t="str">
        <f>IF(COUNTIFS(Pessoas!$C$5:$C$44,$K58,Pessoas!$G$5:$G$44,"Ativo")=0,"Equipe "&amp;$K58,INDEX(Pessoas!$A$5:$A$44,_xludf.aggregate(15,6,(ROW(Pessoas!$A$5:$A$44)-4)/((Pessoas!$C$5:$C$44=$K58)*(Pessoas!$G$5:$G$44="Ativo")),MOD(ROW()-6,MAX(1,COUNTIFS(Pessoas!$C$5:$C$44,$K58,Pessoas!$G$5:$G$44,"Ativo")))+1)))</f>
        <v>Equipe Oficina Mecânica Central-Taisa</v>
      </c>
    </row>
    <row r="59" spans="1:12" ht="15" customHeight="1" x14ac:dyDescent="0.4">
      <c r="A59" s="25">
        <v>46302</v>
      </c>
      <c r="B59" s="16">
        <v>6</v>
      </c>
      <c r="C59" s="16">
        <v>1</v>
      </c>
      <c r="D59" s="16">
        <v>10</v>
      </c>
      <c r="E59" s="16" t="s">
        <v>980</v>
      </c>
      <c r="F59" s="16" t="s">
        <v>1032</v>
      </c>
      <c r="G59" s="16" t="s">
        <v>526</v>
      </c>
      <c r="H59" s="16" t="s">
        <v>143</v>
      </c>
      <c r="I59" s="22" t="s">
        <v>856</v>
      </c>
      <c r="J59" s="16">
        <f>IFERROR(INDEX(Aux_HH!$J$4:$J$31,MATCH($H59&amp;"|"&amp;$I59,Aux_HH!$A$4:$A$31,0)),"")</f>
        <v>2.5</v>
      </c>
      <c r="K59" s="16" t="s">
        <v>76</v>
      </c>
      <c r="L59" s="16" t="str">
        <f>IF(COUNTIFS(Pessoas!$C$5:$C$44,$K59,Pessoas!$G$5:$G$44,"Ativo")=0,"Equipe "&amp;$K59,INDEX(Pessoas!$A$5:$A$44,_xludf.aggregate(15,6,(ROW(Pessoas!$A$5:$A$44)-4)/((Pessoas!$C$5:$C$44=$K59)*(Pessoas!$G$5:$G$44="Ativo")),MOD(ROW()-6,MAX(1,COUNTIFS(Pessoas!$C$5:$C$44,$K59,Pessoas!$G$5:$G$44,"Ativo")))+1)))</f>
        <v>Equipe Oficina Mecânica Central-Taisa</v>
      </c>
    </row>
    <row r="60" spans="1:12" ht="15" customHeight="1" x14ac:dyDescent="0.4">
      <c r="A60" s="25">
        <v>46302</v>
      </c>
      <c r="B60" s="16">
        <v>6</v>
      </c>
      <c r="C60" s="16">
        <v>1</v>
      </c>
      <c r="D60" s="16">
        <v>10</v>
      </c>
      <c r="E60" s="16" t="s">
        <v>980</v>
      </c>
      <c r="F60" s="16" t="s">
        <v>1033</v>
      </c>
      <c r="G60" s="16" t="s">
        <v>526</v>
      </c>
      <c r="H60" s="16" t="s">
        <v>143</v>
      </c>
      <c r="I60" s="22" t="s">
        <v>856</v>
      </c>
      <c r="J60" s="16">
        <f>IFERROR(INDEX(Aux_HH!$J$4:$J$31,MATCH($H60&amp;"|"&amp;$I60,Aux_HH!$A$4:$A$31,0)),"")</f>
        <v>2.5</v>
      </c>
      <c r="K60" s="16" t="s">
        <v>76</v>
      </c>
      <c r="L60" s="16" t="str">
        <f>IF(COUNTIFS(Pessoas!$C$5:$C$44,$K60,Pessoas!$G$5:$G$44,"Ativo")=0,"Equipe "&amp;$K60,INDEX(Pessoas!$A$5:$A$44,_xludf.aggregate(15,6,(ROW(Pessoas!$A$5:$A$44)-4)/((Pessoas!$C$5:$C$44=$K60)*(Pessoas!$G$5:$G$44="Ativo")),MOD(ROW()-6,MAX(1,COUNTIFS(Pessoas!$C$5:$C$44,$K60,Pessoas!$G$5:$G$44,"Ativo")))+1)))</f>
        <v>Equipe Oficina Mecânica Central-Taisa</v>
      </c>
    </row>
    <row r="61" spans="1:12" ht="15" customHeight="1" x14ac:dyDescent="0.4">
      <c r="A61" s="25">
        <v>46302</v>
      </c>
      <c r="B61" s="16">
        <v>6</v>
      </c>
      <c r="C61" s="16">
        <v>1</v>
      </c>
      <c r="D61" s="16">
        <v>10</v>
      </c>
      <c r="E61" s="16" t="s">
        <v>980</v>
      </c>
      <c r="F61" s="16" t="s">
        <v>1034</v>
      </c>
      <c r="G61" s="16" t="s">
        <v>526</v>
      </c>
      <c r="H61" s="16" t="s">
        <v>143</v>
      </c>
      <c r="I61" s="22" t="s">
        <v>856</v>
      </c>
      <c r="J61" s="16">
        <f>IFERROR(INDEX(Aux_HH!$J$4:$J$31,MATCH($H61&amp;"|"&amp;$I61,Aux_HH!$A$4:$A$31,0)),"")</f>
        <v>2.5</v>
      </c>
      <c r="K61" s="16" t="s">
        <v>76</v>
      </c>
      <c r="L61" s="16" t="str">
        <f>IF(COUNTIFS(Pessoas!$C$5:$C$44,$K61,Pessoas!$G$5:$G$44,"Ativo")=0,"Equipe "&amp;$K61,INDEX(Pessoas!$A$5:$A$44,_xludf.aggregate(15,6,(ROW(Pessoas!$A$5:$A$44)-4)/((Pessoas!$C$5:$C$44=$K61)*(Pessoas!$G$5:$G$44="Ativo")),MOD(ROW()-6,MAX(1,COUNTIFS(Pessoas!$C$5:$C$44,$K61,Pessoas!$G$5:$G$44,"Ativo")))+1)))</f>
        <v>Equipe Oficina Mecânica Central-Taisa</v>
      </c>
    </row>
    <row r="62" spans="1:12" ht="15" customHeight="1" x14ac:dyDescent="0.4">
      <c r="A62" s="25">
        <v>46302</v>
      </c>
      <c r="B62" s="16">
        <v>6</v>
      </c>
      <c r="C62" s="16">
        <v>1</v>
      </c>
      <c r="D62" s="16">
        <v>10</v>
      </c>
      <c r="E62" s="16" t="s">
        <v>980</v>
      </c>
      <c r="F62" s="16" t="s">
        <v>1035</v>
      </c>
      <c r="G62" s="16" t="s">
        <v>184</v>
      </c>
      <c r="H62" s="16" t="s">
        <v>143</v>
      </c>
      <c r="I62" s="22" t="s">
        <v>856</v>
      </c>
      <c r="J62" s="16">
        <f>IFERROR(INDEX(Aux_HH!$J$4:$J$31,MATCH($H62&amp;"|"&amp;$I62,Aux_HH!$A$4:$A$31,0)),"")</f>
        <v>2.5</v>
      </c>
      <c r="K62" s="16" t="s">
        <v>76</v>
      </c>
      <c r="L62" s="16" t="str">
        <f>IF(COUNTIFS(Pessoas!$C$5:$C$44,$K62,Pessoas!$G$5:$G$44,"Ativo")=0,"Equipe "&amp;$K62,INDEX(Pessoas!$A$5:$A$44,_xludf.aggregate(15,6,(ROW(Pessoas!$A$5:$A$44)-4)/((Pessoas!$C$5:$C$44=$K62)*(Pessoas!$G$5:$G$44="Ativo")),MOD(ROW()-6,MAX(1,COUNTIFS(Pessoas!$C$5:$C$44,$K62,Pessoas!$G$5:$G$44,"Ativo")))+1)))</f>
        <v>Equipe Oficina Mecânica Central-Taisa</v>
      </c>
    </row>
    <row r="63" spans="1:12" ht="15" customHeight="1" x14ac:dyDescent="0.4">
      <c r="A63" s="25">
        <v>46302</v>
      </c>
      <c r="B63" s="16">
        <v>6</v>
      </c>
      <c r="C63" s="16">
        <v>1</v>
      </c>
      <c r="D63" s="16">
        <v>10</v>
      </c>
      <c r="E63" s="16" t="s">
        <v>980</v>
      </c>
      <c r="F63" s="16" t="s">
        <v>1036</v>
      </c>
      <c r="G63" s="16" t="s">
        <v>184</v>
      </c>
      <c r="H63" s="16" t="s">
        <v>143</v>
      </c>
      <c r="I63" s="22" t="s">
        <v>856</v>
      </c>
      <c r="J63" s="16">
        <f>IFERROR(INDEX(Aux_HH!$J$4:$J$31,MATCH($H63&amp;"|"&amp;$I63,Aux_HH!$A$4:$A$31,0)),"")</f>
        <v>2.5</v>
      </c>
      <c r="K63" s="16" t="s">
        <v>76</v>
      </c>
      <c r="L63" s="16" t="str">
        <f>IF(COUNTIFS(Pessoas!$C$5:$C$44,$K63,Pessoas!$G$5:$G$44,"Ativo")=0,"Equipe "&amp;$K63,INDEX(Pessoas!$A$5:$A$44,_xludf.aggregate(15,6,(ROW(Pessoas!$A$5:$A$44)-4)/((Pessoas!$C$5:$C$44=$K63)*(Pessoas!$G$5:$G$44="Ativo")),MOD(ROW()-6,MAX(1,COUNTIFS(Pessoas!$C$5:$C$44,$K63,Pessoas!$G$5:$G$44,"Ativo")))+1)))</f>
        <v>Equipe Oficina Mecânica Central-Taisa</v>
      </c>
    </row>
    <row r="64" spans="1:12" ht="15" customHeight="1" x14ac:dyDescent="0.4">
      <c r="A64" s="25">
        <v>46303</v>
      </c>
      <c r="B64" s="16">
        <v>6</v>
      </c>
      <c r="C64" s="16">
        <v>1</v>
      </c>
      <c r="D64" s="16">
        <v>10</v>
      </c>
      <c r="E64" s="16" t="s">
        <v>980</v>
      </c>
      <c r="F64" s="16" t="s">
        <v>1037</v>
      </c>
      <c r="G64" s="16" t="s">
        <v>184</v>
      </c>
      <c r="H64" s="16" t="s">
        <v>143</v>
      </c>
      <c r="I64" s="22" t="s">
        <v>856</v>
      </c>
      <c r="J64" s="16">
        <f>IFERROR(INDEX(Aux_HH!$J$4:$J$31,MATCH($H64&amp;"|"&amp;$I64,Aux_HH!$A$4:$A$31,0)),"")</f>
        <v>2.5</v>
      </c>
      <c r="K64" s="16" t="s">
        <v>76</v>
      </c>
      <c r="L64" s="16" t="str">
        <f>IF(COUNTIFS(Pessoas!$C$5:$C$44,$K64,Pessoas!$G$5:$G$44,"Ativo")=0,"Equipe "&amp;$K64,INDEX(Pessoas!$A$5:$A$44,_xludf.aggregate(15,6,(ROW(Pessoas!$A$5:$A$44)-4)/((Pessoas!$C$5:$C$44=$K64)*(Pessoas!$G$5:$G$44="Ativo")),MOD(ROW()-6,MAX(1,COUNTIFS(Pessoas!$C$5:$C$44,$K64,Pessoas!$G$5:$G$44,"Ativo")))+1)))</f>
        <v>Equipe Oficina Mecânica Central-Taisa</v>
      </c>
    </row>
    <row r="65" spans="1:12" ht="15" customHeight="1" x14ac:dyDescent="0.4">
      <c r="A65" s="25">
        <v>46303</v>
      </c>
      <c r="B65" s="16">
        <v>6</v>
      </c>
      <c r="C65" s="16">
        <v>1</v>
      </c>
      <c r="D65" s="16">
        <v>10</v>
      </c>
      <c r="E65" s="16" t="s">
        <v>980</v>
      </c>
      <c r="F65" s="16" t="s">
        <v>1038</v>
      </c>
      <c r="G65" s="16" t="s">
        <v>184</v>
      </c>
      <c r="H65" s="16" t="s">
        <v>143</v>
      </c>
      <c r="I65" s="22" t="s">
        <v>856</v>
      </c>
      <c r="J65" s="16">
        <f>IFERROR(INDEX(Aux_HH!$J$4:$J$31,MATCH($H65&amp;"|"&amp;$I65,Aux_HH!$A$4:$A$31,0)),"")</f>
        <v>2.5</v>
      </c>
      <c r="K65" s="16" t="s">
        <v>76</v>
      </c>
      <c r="L65" s="16" t="str">
        <f>IF(COUNTIFS(Pessoas!$C$5:$C$44,$K65,Pessoas!$G$5:$G$44,"Ativo")=0,"Equipe "&amp;$K65,INDEX(Pessoas!$A$5:$A$44,_xludf.aggregate(15,6,(ROW(Pessoas!$A$5:$A$44)-4)/((Pessoas!$C$5:$C$44=$K65)*(Pessoas!$G$5:$G$44="Ativo")),MOD(ROW()-6,MAX(1,COUNTIFS(Pessoas!$C$5:$C$44,$K65,Pessoas!$G$5:$G$44,"Ativo")))+1)))</f>
        <v>Equipe Oficina Mecânica Central-Taisa</v>
      </c>
    </row>
    <row r="66" spans="1:12" ht="15" customHeight="1" x14ac:dyDescent="0.4">
      <c r="A66" s="25">
        <v>46303</v>
      </c>
      <c r="B66" s="16">
        <v>6</v>
      </c>
      <c r="C66" s="16">
        <v>1</v>
      </c>
      <c r="D66" s="16">
        <v>10</v>
      </c>
      <c r="E66" s="16" t="s">
        <v>980</v>
      </c>
      <c r="F66" s="16" t="s">
        <v>1039</v>
      </c>
      <c r="G66" s="16" t="s">
        <v>184</v>
      </c>
      <c r="H66" s="16" t="s">
        <v>143</v>
      </c>
      <c r="I66" s="22" t="s">
        <v>856</v>
      </c>
      <c r="J66" s="16">
        <f>IFERROR(INDEX(Aux_HH!$J$4:$J$31,MATCH($H66&amp;"|"&amp;$I66,Aux_HH!$A$4:$A$31,0)),"")</f>
        <v>2.5</v>
      </c>
      <c r="K66" s="16" t="s">
        <v>76</v>
      </c>
      <c r="L66" s="16" t="str">
        <f>IF(COUNTIFS(Pessoas!$C$5:$C$44,$K66,Pessoas!$G$5:$G$44,"Ativo")=0,"Equipe "&amp;$K66,INDEX(Pessoas!$A$5:$A$44,_xludf.aggregate(15,6,(ROW(Pessoas!$A$5:$A$44)-4)/((Pessoas!$C$5:$C$44=$K66)*(Pessoas!$G$5:$G$44="Ativo")),MOD(ROW()-6,MAX(1,COUNTIFS(Pessoas!$C$5:$C$44,$K66,Pessoas!$G$5:$G$44,"Ativo")))+1)))</f>
        <v>Equipe Oficina Mecânica Central-Taisa</v>
      </c>
    </row>
    <row r="67" spans="1:12" ht="15" customHeight="1" x14ac:dyDescent="0.4">
      <c r="A67" s="25">
        <v>46303</v>
      </c>
      <c r="B67" s="16">
        <v>6</v>
      </c>
      <c r="C67" s="16">
        <v>1</v>
      </c>
      <c r="D67" s="16">
        <v>10</v>
      </c>
      <c r="E67" s="16" t="s">
        <v>980</v>
      </c>
      <c r="F67" s="16" t="s">
        <v>1040</v>
      </c>
      <c r="G67" s="16" t="s">
        <v>184</v>
      </c>
      <c r="H67" s="16" t="s">
        <v>143</v>
      </c>
      <c r="I67" s="22" t="s">
        <v>856</v>
      </c>
      <c r="J67" s="16">
        <f>IFERROR(INDEX(Aux_HH!$J$4:$J$31,MATCH($H67&amp;"|"&amp;$I67,Aux_HH!$A$4:$A$31,0)),"")</f>
        <v>2.5</v>
      </c>
      <c r="K67" s="16" t="s">
        <v>76</v>
      </c>
      <c r="L67" s="16" t="str">
        <f>IF(COUNTIFS(Pessoas!$C$5:$C$44,$K67,Pessoas!$G$5:$G$44,"Ativo")=0,"Equipe "&amp;$K67,INDEX(Pessoas!$A$5:$A$44,_xludf.aggregate(15,6,(ROW(Pessoas!$A$5:$A$44)-4)/((Pessoas!$C$5:$C$44=$K67)*(Pessoas!$G$5:$G$44="Ativo")),MOD(ROW()-6,MAX(1,COUNTIFS(Pessoas!$C$5:$C$44,$K67,Pessoas!$G$5:$G$44,"Ativo")))+1)))</f>
        <v>Equipe Oficina Mecânica Central-Taisa</v>
      </c>
    </row>
    <row r="68" spans="1:12" ht="15" customHeight="1" x14ac:dyDescent="0.4">
      <c r="A68" s="25">
        <v>46303</v>
      </c>
      <c r="B68" s="16">
        <v>6</v>
      </c>
      <c r="C68" s="16">
        <v>1</v>
      </c>
      <c r="D68" s="16">
        <v>10</v>
      </c>
      <c r="E68" s="16" t="s">
        <v>980</v>
      </c>
      <c r="F68" s="16" t="s">
        <v>1041</v>
      </c>
      <c r="G68" s="16" t="s">
        <v>184</v>
      </c>
      <c r="H68" s="16" t="s">
        <v>143</v>
      </c>
      <c r="I68" s="22" t="s">
        <v>856</v>
      </c>
      <c r="J68" s="16">
        <f>IFERROR(INDEX(Aux_HH!$J$4:$J$31,MATCH($H68&amp;"|"&amp;$I68,Aux_HH!$A$4:$A$31,0)),"")</f>
        <v>2.5</v>
      </c>
      <c r="K68" s="16" t="s">
        <v>76</v>
      </c>
      <c r="L68" s="16" t="str">
        <f>IF(COUNTIFS(Pessoas!$C$5:$C$44,$K68,Pessoas!$G$5:$G$44,"Ativo")=0,"Equipe "&amp;$K68,INDEX(Pessoas!$A$5:$A$44,_xludf.aggregate(15,6,(ROW(Pessoas!$A$5:$A$44)-4)/((Pessoas!$C$5:$C$44=$K68)*(Pessoas!$G$5:$G$44="Ativo")),MOD(ROW()-6,MAX(1,COUNTIFS(Pessoas!$C$5:$C$44,$K68,Pessoas!$G$5:$G$44,"Ativo")))+1)))</f>
        <v>Equipe Oficina Mecânica Central-Taisa</v>
      </c>
    </row>
    <row r="69" spans="1:12" ht="15" customHeight="1" x14ac:dyDescent="0.4">
      <c r="A69" s="25">
        <v>46303</v>
      </c>
      <c r="B69" s="16">
        <v>6</v>
      </c>
      <c r="C69" s="16">
        <v>1</v>
      </c>
      <c r="D69" s="16">
        <v>10</v>
      </c>
      <c r="E69" s="16" t="s">
        <v>980</v>
      </c>
      <c r="F69" s="16" t="s">
        <v>1042</v>
      </c>
      <c r="G69" s="16" t="s">
        <v>184</v>
      </c>
      <c r="H69" s="16" t="s">
        <v>143</v>
      </c>
      <c r="I69" s="22" t="s">
        <v>856</v>
      </c>
      <c r="J69" s="16">
        <f>IFERROR(INDEX(Aux_HH!$J$4:$J$31,MATCH($H69&amp;"|"&amp;$I69,Aux_HH!$A$4:$A$31,0)),"")</f>
        <v>2.5</v>
      </c>
      <c r="K69" s="16" t="s">
        <v>76</v>
      </c>
      <c r="L69" s="16" t="str">
        <f>IF(COUNTIFS(Pessoas!$C$5:$C$44,$K69,Pessoas!$G$5:$G$44,"Ativo")=0,"Equipe "&amp;$K69,INDEX(Pessoas!$A$5:$A$44,_xludf.aggregate(15,6,(ROW(Pessoas!$A$5:$A$44)-4)/((Pessoas!$C$5:$C$44=$K69)*(Pessoas!$G$5:$G$44="Ativo")),MOD(ROW()-6,MAX(1,COUNTIFS(Pessoas!$C$5:$C$44,$K69,Pessoas!$G$5:$G$44,"Ativo")))+1)))</f>
        <v>Equipe Oficina Mecânica Central-Taisa</v>
      </c>
    </row>
    <row r="70" spans="1:12" ht="15" customHeight="1" x14ac:dyDescent="0.4">
      <c r="A70" s="25">
        <v>46303</v>
      </c>
      <c r="B70" s="16">
        <v>6</v>
      </c>
      <c r="C70" s="16">
        <v>1</v>
      </c>
      <c r="D70" s="16">
        <v>10</v>
      </c>
      <c r="E70" s="16" t="s">
        <v>980</v>
      </c>
      <c r="F70" s="16" t="s">
        <v>1043</v>
      </c>
      <c r="G70" s="16" t="s">
        <v>184</v>
      </c>
      <c r="H70" s="16" t="s">
        <v>143</v>
      </c>
      <c r="I70" s="22" t="s">
        <v>856</v>
      </c>
      <c r="J70" s="16">
        <f>IFERROR(INDEX(Aux_HH!$J$4:$J$31,MATCH($H70&amp;"|"&amp;$I70,Aux_HH!$A$4:$A$31,0)),"")</f>
        <v>2.5</v>
      </c>
      <c r="K70" s="16" t="s">
        <v>76</v>
      </c>
      <c r="L70" s="16" t="str">
        <f>IF(COUNTIFS(Pessoas!$C$5:$C$44,$K70,Pessoas!$G$5:$G$44,"Ativo")=0,"Equipe "&amp;$K70,INDEX(Pessoas!$A$5:$A$44,_xludf.aggregate(15,6,(ROW(Pessoas!$A$5:$A$44)-4)/((Pessoas!$C$5:$C$44=$K70)*(Pessoas!$G$5:$G$44="Ativo")),MOD(ROW()-6,MAX(1,COUNTIFS(Pessoas!$C$5:$C$44,$K70,Pessoas!$G$5:$G$44,"Ativo")))+1)))</f>
        <v>Equipe Oficina Mecânica Central-Taisa</v>
      </c>
    </row>
    <row r="71" spans="1:12" ht="15" customHeight="1" x14ac:dyDescent="0.4">
      <c r="A71" s="25">
        <v>46303</v>
      </c>
      <c r="B71" s="16">
        <v>6</v>
      </c>
      <c r="C71" s="16">
        <v>1</v>
      </c>
      <c r="D71" s="16">
        <v>10</v>
      </c>
      <c r="E71" s="16" t="s">
        <v>980</v>
      </c>
      <c r="F71" s="16" t="s">
        <v>1044</v>
      </c>
      <c r="G71" s="16" t="s">
        <v>184</v>
      </c>
      <c r="H71" s="16" t="s">
        <v>143</v>
      </c>
      <c r="I71" s="22" t="s">
        <v>856</v>
      </c>
      <c r="J71" s="16">
        <f>IFERROR(INDEX(Aux_HH!$J$4:$J$31,MATCH($H71&amp;"|"&amp;$I71,Aux_HH!$A$4:$A$31,0)),"")</f>
        <v>2.5</v>
      </c>
      <c r="K71" s="16" t="s">
        <v>76</v>
      </c>
      <c r="L71" s="16" t="str">
        <f>IF(COUNTIFS(Pessoas!$C$5:$C$44,$K71,Pessoas!$G$5:$G$44,"Ativo")=0,"Equipe "&amp;$K71,INDEX(Pessoas!$A$5:$A$44,_xludf.aggregate(15,6,(ROW(Pessoas!$A$5:$A$44)-4)/((Pessoas!$C$5:$C$44=$K71)*(Pessoas!$G$5:$G$44="Ativo")),MOD(ROW()-6,MAX(1,COUNTIFS(Pessoas!$C$5:$C$44,$K71,Pessoas!$G$5:$G$44,"Ativo")))+1)))</f>
        <v>Equipe Oficina Mecânica Central-Taisa</v>
      </c>
    </row>
    <row r="72" spans="1:12" ht="15" customHeight="1" x14ac:dyDescent="0.4">
      <c r="A72" s="25">
        <v>46303</v>
      </c>
      <c r="B72" s="16">
        <v>6</v>
      </c>
      <c r="C72" s="16">
        <v>1</v>
      </c>
      <c r="D72" s="16">
        <v>10</v>
      </c>
      <c r="E72" s="16" t="s">
        <v>980</v>
      </c>
      <c r="F72" s="16" t="s">
        <v>1045</v>
      </c>
      <c r="G72" s="16" t="s">
        <v>526</v>
      </c>
      <c r="H72" s="16" t="s">
        <v>143</v>
      </c>
      <c r="I72" s="22" t="s">
        <v>856</v>
      </c>
      <c r="J72" s="16">
        <f>IFERROR(INDEX(Aux_HH!$J$4:$J$31,MATCH($H72&amp;"|"&amp;$I72,Aux_HH!$A$4:$A$31,0)),"")</f>
        <v>2.5</v>
      </c>
      <c r="K72" s="16" t="s">
        <v>76</v>
      </c>
      <c r="L72" s="16" t="str">
        <f>IF(COUNTIFS(Pessoas!$C$5:$C$44,$K72,Pessoas!$G$5:$G$44,"Ativo")=0,"Equipe "&amp;$K72,INDEX(Pessoas!$A$5:$A$44,_xludf.aggregate(15,6,(ROW(Pessoas!$A$5:$A$44)-4)/((Pessoas!$C$5:$C$44=$K72)*(Pessoas!$G$5:$G$44="Ativo")),MOD(ROW()-6,MAX(1,COUNTIFS(Pessoas!$C$5:$C$44,$K72,Pessoas!$G$5:$G$44,"Ativo")))+1)))</f>
        <v>Equipe Oficina Mecânica Central-Taisa</v>
      </c>
    </row>
    <row r="73" spans="1:12" ht="15" customHeight="1" x14ac:dyDescent="0.4">
      <c r="A73" s="25">
        <v>46303</v>
      </c>
      <c r="B73" s="16">
        <v>6</v>
      </c>
      <c r="C73" s="16">
        <v>1</v>
      </c>
      <c r="D73" s="16">
        <v>10</v>
      </c>
      <c r="E73" s="16" t="s">
        <v>980</v>
      </c>
      <c r="F73" s="16" t="s">
        <v>1046</v>
      </c>
      <c r="G73" s="16" t="s">
        <v>526</v>
      </c>
      <c r="H73" s="16" t="s">
        <v>143</v>
      </c>
      <c r="I73" s="22" t="s">
        <v>856</v>
      </c>
      <c r="J73" s="16">
        <f>IFERROR(INDEX(Aux_HH!$J$4:$J$31,MATCH($H73&amp;"|"&amp;$I73,Aux_HH!$A$4:$A$31,0)),"")</f>
        <v>2.5</v>
      </c>
      <c r="K73" s="16" t="s">
        <v>76</v>
      </c>
      <c r="L73" s="16" t="str">
        <f>IF(COUNTIFS(Pessoas!$C$5:$C$44,$K73,Pessoas!$G$5:$G$44,"Ativo")=0,"Equipe "&amp;$K73,INDEX(Pessoas!$A$5:$A$44,_xludf.aggregate(15,6,(ROW(Pessoas!$A$5:$A$44)-4)/((Pessoas!$C$5:$C$44=$K73)*(Pessoas!$G$5:$G$44="Ativo")),MOD(ROW()-6,MAX(1,COUNTIFS(Pessoas!$C$5:$C$44,$K73,Pessoas!$G$5:$G$44,"Ativo")))+1)))</f>
        <v>Equipe Oficina Mecânica Central-Taisa</v>
      </c>
    </row>
    <row r="74" spans="1:12" ht="15" customHeight="1" x14ac:dyDescent="0.4">
      <c r="A74" s="25">
        <v>46303</v>
      </c>
      <c r="B74" s="16">
        <v>6</v>
      </c>
      <c r="C74" s="16">
        <v>1</v>
      </c>
      <c r="D74" s="16">
        <v>10</v>
      </c>
      <c r="E74" s="16" t="s">
        <v>980</v>
      </c>
      <c r="F74" s="16" t="s">
        <v>1047</v>
      </c>
      <c r="G74" s="16" t="s">
        <v>526</v>
      </c>
      <c r="H74" s="16" t="s">
        <v>143</v>
      </c>
      <c r="I74" s="22" t="s">
        <v>856</v>
      </c>
      <c r="J74" s="16">
        <f>IFERROR(INDEX(Aux_HH!$J$4:$J$31,MATCH($H74&amp;"|"&amp;$I74,Aux_HH!$A$4:$A$31,0)),"")</f>
        <v>2.5</v>
      </c>
      <c r="K74" s="16" t="s">
        <v>76</v>
      </c>
      <c r="L74" s="16" t="str">
        <f>IF(COUNTIFS(Pessoas!$C$5:$C$44,$K74,Pessoas!$G$5:$G$44,"Ativo")=0,"Equipe "&amp;$K74,INDEX(Pessoas!$A$5:$A$44,_xludf.aggregate(15,6,(ROW(Pessoas!$A$5:$A$44)-4)/((Pessoas!$C$5:$C$44=$K74)*(Pessoas!$G$5:$G$44="Ativo")),MOD(ROW()-6,MAX(1,COUNTIFS(Pessoas!$C$5:$C$44,$K74,Pessoas!$G$5:$G$44,"Ativo")))+1)))</f>
        <v>Equipe Oficina Mecânica Central-Taisa</v>
      </c>
    </row>
    <row r="75" spans="1:12" ht="15" customHeight="1" x14ac:dyDescent="0.4">
      <c r="A75" s="25">
        <v>46303</v>
      </c>
      <c r="B75" s="16">
        <v>6</v>
      </c>
      <c r="C75" s="16">
        <v>1</v>
      </c>
      <c r="D75" s="16">
        <v>10</v>
      </c>
      <c r="E75" s="16" t="s">
        <v>980</v>
      </c>
      <c r="F75" s="16" t="s">
        <v>1048</v>
      </c>
      <c r="G75" s="16" t="s">
        <v>526</v>
      </c>
      <c r="H75" s="16" t="s">
        <v>143</v>
      </c>
      <c r="I75" s="22" t="s">
        <v>856</v>
      </c>
      <c r="J75" s="16">
        <f>IFERROR(INDEX(Aux_HH!$J$4:$J$31,MATCH($H75&amp;"|"&amp;$I75,Aux_HH!$A$4:$A$31,0)),"")</f>
        <v>2.5</v>
      </c>
      <c r="K75" s="16" t="s">
        <v>76</v>
      </c>
      <c r="L75" s="16" t="str">
        <f>IF(COUNTIFS(Pessoas!$C$5:$C$44,$K75,Pessoas!$G$5:$G$44,"Ativo")=0,"Equipe "&amp;$K75,INDEX(Pessoas!$A$5:$A$44,_xludf.aggregate(15,6,(ROW(Pessoas!$A$5:$A$44)-4)/((Pessoas!$C$5:$C$44=$K75)*(Pessoas!$G$5:$G$44="Ativo")),MOD(ROW()-6,MAX(1,COUNTIFS(Pessoas!$C$5:$C$44,$K75,Pessoas!$G$5:$G$44,"Ativo")))+1)))</f>
        <v>Equipe Oficina Mecânica Central-Taisa</v>
      </c>
    </row>
    <row r="76" spans="1:12" ht="15" customHeight="1" x14ac:dyDescent="0.4">
      <c r="A76" s="25">
        <v>46303</v>
      </c>
      <c r="B76" s="16">
        <v>6</v>
      </c>
      <c r="C76" s="16">
        <v>1</v>
      </c>
      <c r="D76" s="16">
        <v>10</v>
      </c>
      <c r="E76" s="16" t="s">
        <v>980</v>
      </c>
      <c r="F76" s="16" t="s">
        <v>1049</v>
      </c>
      <c r="G76" s="16" t="s">
        <v>526</v>
      </c>
      <c r="H76" s="16" t="s">
        <v>143</v>
      </c>
      <c r="I76" s="22" t="s">
        <v>856</v>
      </c>
      <c r="J76" s="16">
        <f>IFERROR(INDEX(Aux_HH!$J$4:$J$31,MATCH($H76&amp;"|"&amp;$I76,Aux_HH!$A$4:$A$31,0)),"")</f>
        <v>2.5</v>
      </c>
      <c r="K76" s="16" t="s">
        <v>76</v>
      </c>
      <c r="L76" s="16" t="str">
        <f>IF(COUNTIFS(Pessoas!$C$5:$C$44,$K76,Pessoas!$G$5:$G$44,"Ativo")=0,"Equipe "&amp;$K76,INDEX(Pessoas!$A$5:$A$44,_xludf.aggregate(15,6,(ROW(Pessoas!$A$5:$A$44)-4)/((Pessoas!$C$5:$C$44=$K76)*(Pessoas!$G$5:$G$44="Ativo")),MOD(ROW()-6,MAX(1,COUNTIFS(Pessoas!$C$5:$C$44,$K76,Pessoas!$G$5:$G$44,"Ativo")))+1)))</f>
        <v>Equipe Oficina Mecânica Central-Taisa</v>
      </c>
    </row>
    <row r="77" spans="1:12" ht="15" customHeight="1" x14ac:dyDescent="0.4">
      <c r="A77" s="25">
        <v>46303</v>
      </c>
      <c r="B77" s="16">
        <v>6</v>
      </c>
      <c r="C77" s="16">
        <v>1</v>
      </c>
      <c r="D77" s="16">
        <v>10</v>
      </c>
      <c r="E77" s="16" t="s">
        <v>980</v>
      </c>
      <c r="F77" s="16" t="s">
        <v>1050</v>
      </c>
      <c r="G77" s="16" t="s">
        <v>526</v>
      </c>
      <c r="H77" s="16" t="s">
        <v>143</v>
      </c>
      <c r="I77" s="22" t="s">
        <v>856</v>
      </c>
      <c r="J77" s="16">
        <f>IFERROR(INDEX(Aux_HH!$J$4:$J$31,MATCH($H77&amp;"|"&amp;$I77,Aux_HH!$A$4:$A$31,0)),"")</f>
        <v>2.5</v>
      </c>
      <c r="K77" s="16" t="s">
        <v>76</v>
      </c>
      <c r="L77" s="16" t="str">
        <f>IF(COUNTIFS(Pessoas!$C$5:$C$44,$K77,Pessoas!$G$5:$G$44,"Ativo")=0,"Equipe "&amp;$K77,INDEX(Pessoas!$A$5:$A$44,_xludf.aggregate(15,6,(ROW(Pessoas!$A$5:$A$44)-4)/((Pessoas!$C$5:$C$44=$K77)*(Pessoas!$G$5:$G$44="Ativo")),MOD(ROW()-6,MAX(1,COUNTIFS(Pessoas!$C$5:$C$44,$K77,Pessoas!$G$5:$G$44,"Ativo")))+1)))</f>
        <v>Equipe Oficina Mecânica Central-Taisa</v>
      </c>
    </row>
    <row r="78" spans="1:12" ht="15" customHeight="1" x14ac:dyDescent="0.4">
      <c r="A78" s="25">
        <v>46303</v>
      </c>
      <c r="B78" s="16">
        <v>6</v>
      </c>
      <c r="C78" s="16">
        <v>1</v>
      </c>
      <c r="D78" s="16">
        <v>10</v>
      </c>
      <c r="E78" s="16" t="s">
        <v>980</v>
      </c>
      <c r="F78" s="16" t="s">
        <v>1051</v>
      </c>
      <c r="G78" s="16" t="s">
        <v>184</v>
      </c>
      <c r="H78" s="16" t="s">
        <v>143</v>
      </c>
      <c r="I78" s="22" t="s">
        <v>856</v>
      </c>
      <c r="J78" s="16">
        <f>IFERROR(INDEX(Aux_HH!$J$4:$J$31,MATCH($H78&amp;"|"&amp;$I78,Aux_HH!$A$4:$A$31,0)),"")</f>
        <v>2.5</v>
      </c>
      <c r="K78" s="16" t="s">
        <v>76</v>
      </c>
      <c r="L78" s="16" t="str">
        <f>IF(COUNTIFS(Pessoas!$C$5:$C$44,$K78,Pessoas!$G$5:$G$44,"Ativo")=0,"Equipe "&amp;$K78,INDEX(Pessoas!$A$5:$A$44,_xludf.aggregate(15,6,(ROW(Pessoas!$A$5:$A$44)-4)/((Pessoas!$C$5:$C$44=$K78)*(Pessoas!$G$5:$G$44="Ativo")),MOD(ROW()-6,MAX(1,COUNTIFS(Pessoas!$C$5:$C$44,$K78,Pessoas!$G$5:$G$44,"Ativo")))+1)))</f>
        <v>Equipe Oficina Mecânica Central-Taisa</v>
      </c>
    </row>
    <row r="79" spans="1:12" ht="15" customHeight="1" x14ac:dyDescent="0.4">
      <c r="A79" s="25">
        <v>46304</v>
      </c>
      <c r="B79" s="16">
        <v>6</v>
      </c>
      <c r="C79" s="16">
        <v>1</v>
      </c>
      <c r="D79" s="16">
        <v>10</v>
      </c>
      <c r="E79" s="16" t="s">
        <v>980</v>
      </c>
      <c r="F79" s="16" t="s">
        <v>1052</v>
      </c>
      <c r="G79" s="16" t="s">
        <v>184</v>
      </c>
      <c r="H79" s="16" t="s">
        <v>143</v>
      </c>
      <c r="I79" s="22" t="s">
        <v>856</v>
      </c>
      <c r="J79" s="16">
        <f>IFERROR(INDEX(Aux_HH!$J$4:$J$31,MATCH($H79&amp;"|"&amp;$I79,Aux_HH!$A$4:$A$31,0)),"")</f>
        <v>2.5</v>
      </c>
      <c r="K79" s="16" t="s">
        <v>76</v>
      </c>
      <c r="L79" s="16" t="str">
        <f>IF(COUNTIFS(Pessoas!$C$5:$C$44,$K79,Pessoas!$G$5:$G$44,"Ativo")=0,"Equipe "&amp;$K79,INDEX(Pessoas!$A$5:$A$44,_xludf.aggregate(15,6,(ROW(Pessoas!$A$5:$A$44)-4)/((Pessoas!$C$5:$C$44=$K79)*(Pessoas!$G$5:$G$44="Ativo")),MOD(ROW()-6,MAX(1,COUNTIFS(Pessoas!$C$5:$C$44,$K79,Pessoas!$G$5:$G$44,"Ativo")))+1)))</f>
        <v>Equipe Oficina Mecânica Central-Taisa</v>
      </c>
    </row>
    <row r="80" spans="1:12" ht="15" customHeight="1" x14ac:dyDescent="0.4">
      <c r="A80" s="25">
        <v>46304</v>
      </c>
      <c r="B80" s="16">
        <v>6</v>
      </c>
      <c r="C80" s="16">
        <v>1</v>
      </c>
      <c r="D80" s="16">
        <v>10</v>
      </c>
      <c r="E80" s="16" t="s">
        <v>980</v>
      </c>
      <c r="F80" s="16" t="s">
        <v>1053</v>
      </c>
      <c r="G80" s="16" t="s">
        <v>184</v>
      </c>
      <c r="H80" s="16" t="s">
        <v>143</v>
      </c>
      <c r="I80" s="22" t="s">
        <v>856</v>
      </c>
      <c r="J80" s="16">
        <f>IFERROR(INDEX(Aux_HH!$J$4:$J$31,MATCH($H80&amp;"|"&amp;$I80,Aux_HH!$A$4:$A$31,0)),"")</f>
        <v>2.5</v>
      </c>
      <c r="K80" s="16" t="s">
        <v>76</v>
      </c>
      <c r="L80" s="16" t="str">
        <f>IF(COUNTIFS(Pessoas!$C$5:$C$44,$K80,Pessoas!$G$5:$G$44,"Ativo")=0,"Equipe "&amp;$K80,INDEX(Pessoas!$A$5:$A$44,_xludf.aggregate(15,6,(ROW(Pessoas!$A$5:$A$44)-4)/((Pessoas!$C$5:$C$44=$K80)*(Pessoas!$G$5:$G$44="Ativo")),MOD(ROW()-6,MAX(1,COUNTIFS(Pessoas!$C$5:$C$44,$K80,Pessoas!$G$5:$G$44,"Ativo")))+1)))</f>
        <v>Equipe Oficina Mecânica Central-Taisa</v>
      </c>
    </row>
    <row r="81" spans="1:12" ht="15" customHeight="1" x14ac:dyDescent="0.4">
      <c r="A81" s="25">
        <v>46304</v>
      </c>
      <c r="B81" s="16">
        <v>6</v>
      </c>
      <c r="C81" s="16">
        <v>1</v>
      </c>
      <c r="D81" s="16">
        <v>10</v>
      </c>
      <c r="E81" s="16" t="s">
        <v>980</v>
      </c>
      <c r="F81" s="16" t="s">
        <v>1054</v>
      </c>
      <c r="G81" s="16" t="s">
        <v>184</v>
      </c>
      <c r="H81" s="16" t="s">
        <v>143</v>
      </c>
      <c r="I81" s="22" t="s">
        <v>856</v>
      </c>
      <c r="J81" s="16">
        <f>IFERROR(INDEX(Aux_HH!$J$4:$J$31,MATCH($H81&amp;"|"&amp;$I81,Aux_HH!$A$4:$A$31,0)),"")</f>
        <v>2.5</v>
      </c>
      <c r="K81" s="16" t="s">
        <v>76</v>
      </c>
      <c r="L81" s="16" t="str">
        <f>IF(COUNTIFS(Pessoas!$C$5:$C$44,$K81,Pessoas!$G$5:$G$44,"Ativo")=0,"Equipe "&amp;$K81,INDEX(Pessoas!$A$5:$A$44,_xludf.aggregate(15,6,(ROW(Pessoas!$A$5:$A$44)-4)/((Pessoas!$C$5:$C$44=$K81)*(Pessoas!$G$5:$G$44="Ativo")),MOD(ROW()-6,MAX(1,COUNTIFS(Pessoas!$C$5:$C$44,$K81,Pessoas!$G$5:$G$44,"Ativo")))+1)))</f>
        <v>Equipe Oficina Mecânica Central-Taisa</v>
      </c>
    </row>
    <row r="82" spans="1:12" ht="15" customHeight="1" x14ac:dyDescent="0.4">
      <c r="A82" s="25">
        <v>46304</v>
      </c>
      <c r="B82" s="16">
        <v>6</v>
      </c>
      <c r="C82" s="16">
        <v>1</v>
      </c>
      <c r="D82" s="16">
        <v>10</v>
      </c>
      <c r="E82" s="16" t="s">
        <v>980</v>
      </c>
      <c r="F82" s="16" t="s">
        <v>1055</v>
      </c>
      <c r="G82" s="16" t="s">
        <v>184</v>
      </c>
      <c r="H82" s="16" t="s">
        <v>143</v>
      </c>
      <c r="I82" s="22" t="s">
        <v>856</v>
      </c>
      <c r="J82" s="16">
        <f>IFERROR(INDEX(Aux_HH!$J$4:$J$31,MATCH($H82&amp;"|"&amp;$I82,Aux_HH!$A$4:$A$31,0)),"")</f>
        <v>2.5</v>
      </c>
      <c r="K82" s="16" t="s">
        <v>76</v>
      </c>
      <c r="L82" s="16" t="str">
        <f>IF(COUNTIFS(Pessoas!$C$5:$C$44,$K82,Pessoas!$G$5:$G$44,"Ativo")=0,"Equipe "&amp;$K82,INDEX(Pessoas!$A$5:$A$44,_xludf.aggregate(15,6,(ROW(Pessoas!$A$5:$A$44)-4)/((Pessoas!$C$5:$C$44=$K82)*(Pessoas!$G$5:$G$44="Ativo")),MOD(ROW()-6,MAX(1,COUNTIFS(Pessoas!$C$5:$C$44,$K82,Pessoas!$G$5:$G$44,"Ativo")))+1)))</f>
        <v>Equipe Oficina Mecânica Central-Taisa</v>
      </c>
    </row>
    <row r="83" spans="1:12" ht="15" customHeight="1" x14ac:dyDescent="0.4">
      <c r="A83" s="25">
        <v>46304</v>
      </c>
      <c r="B83" s="16">
        <v>6</v>
      </c>
      <c r="C83" s="16">
        <v>1</v>
      </c>
      <c r="D83" s="16">
        <v>10</v>
      </c>
      <c r="E83" s="16" t="s">
        <v>980</v>
      </c>
      <c r="F83" s="16" t="s">
        <v>1056</v>
      </c>
      <c r="G83" s="16" t="s">
        <v>184</v>
      </c>
      <c r="H83" s="16" t="s">
        <v>143</v>
      </c>
      <c r="I83" s="22" t="s">
        <v>856</v>
      </c>
      <c r="J83" s="16">
        <f>IFERROR(INDEX(Aux_HH!$J$4:$J$31,MATCH($H83&amp;"|"&amp;$I83,Aux_HH!$A$4:$A$31,0)),"")</f>
        <v>2.5</v>
      </c>
      <c r="K83" s="16" t="s">
        <v>76</v>
      </c>
      <c r="L83" s="16" t="str">
        <f>IF(COUNTIFS(Pessoas!$C$5:$C$44,$K83,Pessoas!$G$5:$G$44,"Ativo")=0,"Equipe "&amp;$K83,INDEX(Pessoas!$A$5:$A$44,_xludf.aggregate(15,6,(ROW(Pessoas!$A$5:$A$44)-4)/((Pessoas!$C$5:$C$44=$K83)*(Pessoas!$G$5:$G$44="Ativo")),MOD(ROW()-6,MAX(1,COUNTIFS(Pessoas!$C$5:$C$44,$K83,Pessoas!$G$5:$G$44,"Ativo")))+1)))</f>
        <v>Equipe Oficina Mecânica Central-Taisa</v>
      </c>
    </row>
    <row r="84" spans="1:12" ht="15" customHeight="1" x14ac:dyDescent="0.4">
      <c r="A84" s="25">
        <v>46304</v>
      </c>
      <c r="B84" s="16">
        <v>6</v>
      </c>
      <c r="C84" s="16">
        <v>1</v>
      </c>
      <c r="D84" s="16">
        <v>10</v>
      </c>
      <c r="E84" s="16" t="s">
        <v>980</v>
      </c>
      <c r="F84" s="16" t="s">
        <v>1057</v>
      </c>
      <c r="G84" s="16" t="s">
        <v>184</v>
      </c>
      <c r="H84" s="16" t="s">
        <v>143</v>
      </c>
      <c r="I84" s="22" t="s">
        <v>856</v>
      </c>
      <c r="J84" s="16">
        <f>IFERROR(INDEX(Aux_HH!$J$4:$J$31,MATCH($H84&amp;"|"&amp;$I84,Aux_HH!$A$4:$A$31,0)),"")</f>
        <v>2.5</v>
      </c>
      <c r="K84" s="16" t="s">
        <v>76</v>
      </c>
      <c r="L84" s="16" t="str">
        <f>IF(COUNTIFS(Pessoas!$C$5:$C$44,$K84,Pessoas!$G$5:$G$44,"Ativo")=0,"Equipe "&amp;$K84,INDEX(Pessoas!$A$5:$A$44,_xludf.aggregate(15,6,(ROW(Pessoas!$A$5:$A$44)-4)/((Pessoas!$C$5:$C$44=$K84)*(Pessoas!$G$5:$G$44="Ativo")),MOD(ROW()-6,MAX(1,COUNTIFS(Pessoas!$C$5:$C$44,$K84,Pessoas!$G$5:$G$44,"Ativo")))+1)))</f>
        <v>Equipe Oficina Mecânica Central-Taisa</v>
      </c>
    </row>
    <row r="85" spans="1:12" ht="15" customHeight="1" x14ac:dyDescent="0.4">
      <c r="A85" s="25">
        <v>46304</v>
      </c>
      <c r="B85" s="16">
        <v>6</v>
      </c>
      <c r="C85" s="16">
        <v>1</v>
      </c>
      <c r="D85" s="16">
        <v>10</v>
      </c>
      <c r="E85" s="16" t="s">
        <v>980</v>
      </c>
      <c r="F85" s="16" t="s">
        <v>1058</v>
      </c>
      <c r="G85" s="16" t="s">
        <v>184</v>
      </c>
      <c r="H85" s="16" t="s">
        <v>143</v>
      </c>
      <c r="I85" s="22" t="s">
        <v>856</v>
      </c>
      <c r="J85" s="16">
        <f>IFERROR(INDEX(Aux_HH!$J$4:$J$31,MATCH($H85&amp;"|"&amp;$I85,Aux_HH!$A$4:$A$31,0)),"")</f>
        <v>2.5</v>
      </c>
      <c r="K85" s="16" t="s">
        <v>76</v>
      </c>
      <c r="L85" s="16" t="str">
        <f>IF(COUNTIFS(Pessoas!$C$5:$C$44,$K85,Pessoas!$G$5:$G$44,"Ativo")=0,"Equipe "&amp;$K85,INDEX(Pessoas!$A$5:$A$44,_xludf.aggregate(15,6,(ROW(Pessoas!$A$5:$A$44)-4)/((Pessoas!$C$5:$C$44=$K85)*(Pessoas!$G$5:$G$44="Ativo")),MOD(ROW()-6,MAX(1,COUNTIFS(Pessoas!$C$5:$C$44,$K85,Pessoas!$G$5:$G$44,"Ativo")))+1)))</f>
        <v>Equipe Oficina Mecânica Central-Taisa</v>
      </c>
    </row>
    <row r="86" spans="1:12" ht="15" customHeight="1" x14ac:dyDescent="0.4">
      <c r="A86" s="25">
        <v>46304</v>
      </c>
      <c r="B86" s="16">
        <v>6</v>
      </c>
      <c r="C86" s="16">
        <v>1</v>
      </c>
      <c r="D86" s="16">
        <v>10</v>
      </c>
      <c r="E86" s="16" t="s">
        <v>980</v>
      </c>
      <c r="F86" s="16" t="s">
        <v>1059</v>
      </c>
      <c r="G86" s="16" t="s">
        <v>688</v>
      </c>
      <c r="H86" s="16" t="s">
        <v>143</v>
      </c>
      <c r="I86" s="22" t="s">
        <v>856</v>
      </c>
      <c r="J86" s="16">
        <f>IFERROR(INDEX(Aux_HH!$J$4:$J$31,MATCH($H86&amp;"|"&amp;$I86,Aux_HH!$A$4:$A$31,0)),"")</f>
        <v>2.5</v>
      </c>
      <c r="K86" s="16" t="s">
        <v>76</v>
      </c>
      <c r="L86" s="16" t="str">
        <f>IF(COUNTIFS(Pessoas!$C$5:$C$44,$K86,Pessoas!$G$5:$G$44,"Ativo")=0,"Equipe "&amp;$K86,INDEX(Pessoas!$A$5:$A$44,_xludf.aggregate(15,6,(ROW(Pessoas!$A$5:$A$44)-4)/((Pessoas!$C$5:$C$44=$K86)*(Pessoas!$G$5:$G$44="Ativo")),MOD(ROW()-6,MAX(1,COUNTIFS(Pessoas!$C$5:$C$44,$K86,Pessoas!$G$5:$G$44,"Ativo")))+1)))</f>
        <v>Equipe Oficina Mecânica Central-Taisa</v>
      </c>
    </row>
    <row r="87" spans="1:12" ht="15" customHeight="1" x14ac:dyDescent="0.4">
      <c r="A87" s="25">
        <v>46304</v>
      </c>
      <c r="B87" s="16">
        <v>6</v>
      </c>
      <c r="C87" s="16">
        <v>1</v>
      </c>
      <c r="D87" s="16">
        <v>10</v>
      </c>
      <c r="E87" s="16" t="s">
        <v>980</v>
      </c>
      <c r="F87" s="16" t="s">
        <v>1060</v>
      </c>
      <c r="G87" s="16" t="s">
        <v>526</v>
      </c>
      <c r="H87" s="16" t="s">
        <v>143</v>
      </c>
      <c r="I87" s="22" t="s">
        <v>856</v>
      </c>
      <c r="J87" s="16">
        <f>IFERROR(INDEX(Aux_HH!$J$4:$J$31,MATCH($H87&amp;"|"&amp;$I87,Aux_HH!$A$4:$A$31,0)),"")</f>
        <v>2.5</v>
      </c>
      <c r="K87" s="16" t="s">
        <v>76</v>
      </c>
      <c r="L87" s="16" t="str">
        <f>IF(COUNTIFS(Pessoas!$C$5:$C$44,$K87,Pessoas!$G$5:$G$44,"Ativo")=0,"Equipe "&amp;$K87,INDEX(Pessoas!$A$5:$A$44,_xludf.aggregate(15,6,(ROW(Pessoas!$A$5:$A$44)-4)/((Pessoas!$C$5:$C$44=$K87)*(Pessoas!$G$5:$G$44="Ativo")),MOD(ROW()-6,MAX(1,COUNTIFS(Pessoas!$C$5:$C$44,$K87,Pessoas!$G$5:$G$44,"Ativo")))+1)))</f>
        <v>Equipe Oficina Mecânica Central-Taisa</v>
      </c>
    </row>
    <row r="88" spans="1:12" ht="15" customHeight="1" x14ac:dyDescent="0.4">
      <c r="A88" s="25">
        <v>46304</v>
      </c>
      <c r="B88" s="16">
        <v>6</v>
      </c>
      <c r="C88" s="16">
        <v>1</v>
      </c>
      <c r="D88" s="16">
        <v>10</v>
      </c>
      <c r="E88" s="16" t="s">
        <v>980</v>
      </c>
      <c r="F88" s="16" t="s">
        <v>1061</v>
      </c>
      <c r="G88" s="16" t="s">
        <v>526</v>
      </c>
      <c r="H88" s="16" t="s">
        <v>143</v>
      </c>
      <c r="I88" s="22" t="s">
        <v>856</v>
      </c>
      <c r="J88" s="16">
        <f>IFERROR(INDEX(Aux_HH!$J$4:$J$31,MATCH($H88&amp;"|"&amp;$I88,Aux_HH!$A$4:$A$31,0)),"")</f>
        <v>2.5</v>
      </c>
      <c r="K88" s="16" t="s">
        <v>76</v>
      </c>
      <c r="L88" s="16" t="str">
        <f>IF(COUNTIFS(Pessoas!$C$5:$C$44,$K88,Pessoas!$G$5:$G$44,"Ativo")=0,"Equipe "&amp;$K88,INDEX(Pessoas!$A$5:$A$44,_xludf.aggregate(15,6,(ROW(Pessoas!$A$5:$A$44)-4)/((Pessoas!$C$5:$C$44=$K88)*(Pessoas!$G$5:$G$44="Ativo")),MOD(ROW()-6,MAX(1,COUNTIFS(Pessoas!$C$5:$C$44,$K88,Pessoas!$G$5:$G$44,"Ativo")))+1)))</f>
        <v>Equipe Oficina Mecânica Central-Taisa</v>
      </c>
    </row>
    <row r="89" spans="1:12" ht="15" customHeight="1" x14ac:dyDescent="0.4">
      <c r="A89" s="25">
        <v>46304</v>
      </c>
      <c r="B89" s="16">
        <v>6</v>
      </c>
      <c r="C89" s="16">
        <v>1</v>
      </c>
      <c r="D89" s="16">
        <v>10</v>
      </c>
      <c r="E89" s="16" t="s">
        <v>980</v>
      </c>
      <c r="F89" s="16" t="s">
        <v>1062</v>
      </c>
      <c r="G89" s="16" t="s">
        <v>688</v>
      </c>
      <c r="H89" s="16" t="s">
        <v>143</v>
      </c>
      <c r="I89" s="22" t="s">
        <v>856</v>
      </c>
      <c r="J89" s="16">
        <f>IFERROR(INDEX(Aux_HH!$J$4:$J$31,MATCH($H89&amp;"|"&amp;$I89,Aux_HH!$A$4:$A$31,0)),"")</f>
        <v>2.5</v>
      </c>
      <c r="K89" s="16" t="s">
        <v>76</v>
      </c>
      <c r="L89" s="16" t="str">
        <f>IF(COUNTIFS(Pessoas!$C$5:$C$44,$K89,Pessoas!$G$5:$G$44,"Ativo")=0,"Equipe "&amp;$K89,INDEX(Pessoas!$A$5:$A$44,_xludf.aggregate(15,6,(ROW(Pessoas!$A$5:$A$44)-4)/((Pessoas!$C$5:$C$44=$K89)*(Pessoas!$G$5:$G$44="Ativo")),MOD(ROW()-6,MAX(1,COUNTIFS(Pessoas!$C$5:$C$44,$K89,Pessoas!$G$5:$G$44,"Ativo")))+1)))</f>
        <v>Equipe Oficina Mecânica Central-Taisa</v>
      </c>
    </row>
    <row r="90" spans="1:12" ht="15" customHeight="1" x14ac:dyDescent="0.4">
      <c r="A90" s="25">
        <v>46304</v>
      </c>
      <c r="B90" s="16">
        <v>6</v>
      </c>
      <c r="C90" s="16">
        <v>1</v>
      </c>
      <c r="D90" s="16">
        <v>10</v>
      </c>
      <c r="E90" s="16" t="s">
        <v>980</v>
      </c>
      <c r="F90" s="16" t="s">
        <v>1063</v>
      </c>
      <c r="G90" s="16" t="s">
        <v>526</v>
      </c>
      <c r="H90" s="16" t="s">
        <v>143</v>
      </c>
      <c r="I90" s="22" t="s">
        <v>856</v>
      </c>
      <c r="J90" s="16">
        <f>IFERROR(INDEX(Aux_HH!$J$4:$J$31,MATCH($H90&amp;"|"&amp;$I90,Aux_HH!$A$4:$A$31,0)),"")</f>
        <v>2.5</v>
      </c>
      <c r="K90" s="16" t="s">
        <v>76</v>
      </c>
      <c r="L90" s="16" t="str">
        <f>IF(COUNTIFS(Pessoas!$C$5:$C$44,$K90,Pessoas!$G$5:$G$44,"Ativo")=0,"Equipe "&amp;$K90,INDEX(Pessoas!$A$5:$A$44,_xludf.aggregate(15,6,(ROW(Pessoas!$A$5:$A$44)-4)/((Pessoas!$C$5:$C$44=$K90)*(Pessoas!$G$5:$G$44="Ativo")),MOD(ROW()-6,MAX(1,COUNTIFS(Pessoas!$C$5:$C$44,$K90,Pessoas!$G$5:$G$44,"Ativo")))+1)))</f>
        <v>Equipe Oficina Mecânica Central-Taisa</v>
      </c>
    </row>
    <row r="91" spans="1:12" ht="15" customHeight="1" x14ac:dyDescent="0.4">
      <c r="A91" s="25">
        <v>46304</v>
      </c>
      <c r="B91" s="16">
        <v>6</v>
      </c>
      <c r="C91" s="16">
        <v>1</v>
      </c>
      <c r="D91" s="16">
        <v>10</v>
      </c>
      <c r="E91" s="16" t="s">
        <v>980</v>
      </c>
      <c r="F91" s="16" t="s">
        <v>1064</v>
      </c>
      <c r="G91" s="16" t="s">
        <v>526</v>
      </c>
      <c r="H91" s="16" t="s">
        <v>143</v>
      </c>
      <c r="I91" s="22" t="s">
        <v>856</v>
      </c>
      <c r="J91" s="16">
        <f>IFERROR(INDEX(Aux_HH!$J$4:$J$31,MATCH($H91&amp;"|"&amp;$I91,Aux_HH!$A$4:$A$31,0)),"")</f>
        <v>2.5</v>
      </c>
      <c r="K91" s="16" t="s">
        <v>76</v>
      </c>
      <c r="L91" s="16" t="str">
        <f>IF(COUNTIFS(Pessoas!$C$5:$C$44,$K91,Pessoas!$G$5:$G$44,"Ativo")=0,"Equipe "&amp;$K91,INDEX(Pessoas!$A$5:$A$44,_xludf.aggregate(15,6,(ROW(Pessoas!$A$5:$A$44)-4)/((Pessoas!$C$5:$C$44=$K91)*(Pessoas!$G$5:$G$44="Ativo")),MOD(ROW()-6,MAX(1,COUNTIFS(Pessoas!$C$5:$C$44,$K91,Pessoas!$G$5:$G$44,"Ativo")))+1)))</f>
        <v>Equipe Oficina Mecânica Central-Taisa</v>
      </c>
    </row>
    <row r="92" spans="1:12" ht="15" customHeight="1" x14ac:dyDescent="0.4">
      <c r="A92" s="25">
        <v>46304</v>
      </c>
      <c r="B92" s="16">
        <v>6</v>
      </c>
      <c r="C92" s="16">
        <v>1</v>
      </c>
      <c r="D92" s="16">
        <v>10</v>
      </c>
      <c r="E92" s="16" t="s">
        <v>980</v>
      </c>
      <c r="F92" s="16" t="s">
        <v>1065</v>
      </c>
      <c r="G92" s="16" t="s">
        <v>526</v>
      </c>
      <c r="H92" s="16" t="s">
        <v>143</v>
      </c>
      <c r="I92" s="22" t="s">
        <v>856</v>
      </c>
      <c r="J92" s="16">
        <f>IFERROR(INDEX(Aux_HH!$J$4:$J$31,MATCH($H92&amp;"|"&amp;$I92,Aux_HH!$A$4:$A$31,0)),"")</f>
        <v>2.5</v>
      </c>
      <c r="K92" s="16" t="s">
        <v>76</v>
      </c>
      <c r="L92" s="16" t="str">
        <f>IF(COUNTIFS(Pessoas!$C$5:$C$44,$K92,Pessoas!$G$5:$G$44,"Ativo")=0,"Equipe "&amp;$K92,INDEX(Pessoas!$A$5:$A$44,_xludf.aggregate(15,6,(ROW(Pessoas!$A$5:$A$44)-4)/((Pessoas!$C$5:$C$44=$K92)*(Pessoas!$G$5:$G$44="Ativo")),MOD(ROW()-6,MAX(1,COUNTIFS(Pessoas!$C$5:$C$44,$K92,Pessoas!$G$5:$G$44,"Ativo")))+1)))</f>
        <v>Equipe Oficina Mecânica Central-Taisa</v>
      </c>
    </row>
    <row r="93" spans="1:12" ht="15" customHeight="1" x14ac:dyDescent="0.4">
      <c r="A93" s="25">
        <v>46307</v>
      </c>
      <c r="B93" s="16">
        <v>6</v>
      </c>
      <c r="C93" s="16">
        <v>1</v>
      </c>
      <c r="D93" s="16">
        <v>10</v>
      </c>
      <c r="E93" s="16" t="s">
        <v>980</v>
      </c>
      <c r="F93" s="16" t="s">
        <v>1066</v>
      </c>
      <c r="G93" s="16" t="s">
        <v>184</v>
      </c>
      <c r="H93" s="16" t="s">
        <v>143</v>
      </c>
      <c r="I93" s="22" t="s">
        <v>856</v>
      </c>
      <c r="J93" s="16">
        <f>IFERROR(INDEX(Aux_HH!$J$4:$J$31,MATCH($H93&amp;"|"&amp;$I93,Aux_HH!$A$4:$A$31,0)),"")</f>
        <v>2.5</v>
      </c>
      <c r="K93" s="16" t="s">
        <v>76</v>
      </c>
      <c r="L93" s="16" t="str">
        <f>IF(COUNTIFS(Pessoas!$C$5:$C$44,$K93,Pessoas!$G$5:$G$44,"Ativo")=0,"Equipe "&amp;$K93,INDEX(Pessoas!$A$5:$A$44,_xludf.aggregate(15,6,(ROW(Pessoas!$A$5:$A$44)-4)/((Pessoas!$C$5:$C$44=$K93)*(Pessoas!$G$5:$G$44="Ativo")),MOD(ROW()-6,MAX(1,COUNTIFS(Pessoas!$C$5:$C$44,$K93,Pessoas!$G$5:$G$44,"Ativo")))+1)))</f>
        <v>Equipe Oficina Mecânica Central-Taisa</v>
      </c>
    </row>
    <row r="94" spans="1:12" ht="15" customHeight="1" x14ac:dyDescent="0.4">
      <c r="A94" s="25">
        <v>46307</v>
      </c>
      <c r="B94" s="16">
        <v>6</v>
      </c>
      <c r="C94" s="16">
        <v>1</v>
      </c>
      <c r="D94" s="16">
        <v>10</v>
      </c>
      <c r="E94" s="16" t="s">
        <v>980</v>
      </c>
      <c r="F94" s="16" t="s">
        <v>1067</v>
      </c>
      <c r="G94" s="16" t="s">
        <v>184</v>
      </c>
      <c r="H94" s="16" t="s">
        <v>143</v>
      </c>
      <c r="I94" s="22" t="s">
        <v>856</v>
      </c>
      <c r="J94" s="16">
        <f>IFERROR(INDEX(Aux_HH!$J$4:$J$31,MATCH($H94&amp;"|"&amp;$I94,Aux_HH!$A$4:$A$31,0)),"")</f>
        <v>2.5</v>
      </c>
      <c r="K94" s="16" t="s">
        <v>76</v>
      </c>
      <c r="L94" s="16" t="str">
        <f>IF(COUNTIFS(Pessoas!$C$5:$C$44,$K94,Pessoas!$G$5:$G$44,"Ativo")=0,"Equipe "&amp;$K94,INDEX(Pessoas!$A$5:$A$44,_xludf.aggregate(15,6,(ROW(Pessoas!$A$5:$A$44)-4)/((Pessoas!$C$5:$C$44=$K94)*(Pessoas!$G$5:$G$44="Ativo")),MOD(ROW()-6,MAX(1,COUNTIFS(Pessoas!$C$5:$C$44,$K94,Pessoas!$G$5:$G$44,"Ativo")))+1)))</f>
        <v>Equipe Oficina Mecânica Central-Taisa</v>
      </c>
    </row>
    <row r="95" spans="1:12" ht="15" customHeight="1" x14ac:dyDescent="0.4">
      <c r="A95" s="25">
        <v>46307</v>
      </c>
      <c r="B95" s="16">
        <v>6</v>
      </c>
      <c r="C95" s="16">
        <v>1</v>
      </c>
      <c r="D95" s="16">
        <v>10</v>
      </c>
      <c r="E95" s="16" t="s">
        <v>980</v>
      </c>
      <c r="F95" s="16" t="s">
        <v>1068</v>
      </c>
      <c r="G95" s="16" t="s">
        <v>184</v>
      </c>
      <c r="H95" s="16" t="s">
        <v>143</v>
      </c>
      <c r="I95" s="22" t="s">
        <v>856</v>
      </c>
      <c r="J95" s="16">
        <f>IFERROR(INDEX(Aux_HH!$J$4:$J$31,MATCH($H95&amp;"|"&amp;$I95,Aux_HH!$A$4:$A$31,0)),"")</f>
        <v>2.5</v>
      </c>
      <c r="K95" s="16" t="s">
        <v>76</v>
      </c>
      <c r="L95" s="16" t="str">
        <f>IF(COUNTIFS(Pessoas!$C$5:$C$44,$K95,Pessoas!$G$5:$G$44,"Ativo")=0,"Equipe "&amp;$K95,INDEX(Pessoas!$A$5:$A$44,_xludf.aggregate(15,6,(ROW(Pessoas!$A$5:$A$44)-4)/((Pessoas!$C$5:$C$44=$K95)*(Pessoas!$G$5:$G$44="Ativo")),MOD(ROW()-6,MAX(1,COUNTIFS(Pessoas!$C$5:$C$44,$K95,Pessoas!$G$5:$G$44,"Ativo")))+1)))</f>
        <v>Equipe Oficina Mecânica Central-Taisa</v>
      </c>
    </row>
    <row r="96" spans="1:12" ht="15" customHeight="1" x14ac:dyDescent="0.4">
      <c r="A96" s="25">
        <v>46307</v>
      </c>
      <c r="B96" s="16">
        <v>6</v>
      </c>
      <c r="C96" s="16">
        <v>1</v>
      </c>
      <c r="D96" s="16">
        <v>10</v>
      </c>
      <c r="E96" s="16" t="s">
        <v>980</v>
      </c>
      <c r="F96" s="16" t="s">
        <v>1069</v>
      </c>
      <c r="G96" s="16" t="s">
        <v>184</v>
      </c>
      <c r="H96" s="16" t="s">
        <v>143</v>
      </c>
      <c r="I96" s="22" t="s">
        <v>856</v>
      </c>
      <c r="J96" s="16">
        <f>IFERROR(INDEX(Aux_HH!$J$4:$J$31,MATCH($H96&amp;"|"&amp;$I96,Aux_HH!$A$4:$A$31,0)),"")</f>
        <v>2.5</v>
      </c>
      <c r="K96" s="16" t="s">
        <v>76</v>
      </c>
      <c r="L96" s="16" t="str">
        <f>IF(COUNTIFS(Pessoas!$C$5:$C$44,$K96,Pessoas!$G$5:$G$44,"Ativo")=0,"Equipe "&amp;$K96,INDEX(Pessoas!$A$5:$A$44,_xludf.aggregate(15,6,(ROW(Pessoas!$A$5:$A$44)-4)/((Pessoas!$C$5:$C$44=$K96)*(Pessoas!$G$5:$G$44="Ativo")),MOD(ROW()-6,MAX(1,COUNTIFS(Pessoas!$C$5:$C$44,$K96,Pessoas!$G$5:$G$44,"Ativo")))+1)))</f>
        <v>Equipe Oficina Mecânica Central-Taisa</v>
      </c>
    </row>
    <row r="97" spans="1:12" ht="15" customHeight="1" x14ac:dyDescent="0.4">
      <c r="A97" s="25">
        <v>46307</v>
      </c>
      <c r="B97" s="16">
        <v>6</v>
      </c>
      <c r="C97" s="16">
        <v>1</v>
      </c>
      <c r="D97" s="16">
        <v>10</v>
      </c>
      <c r="E97" s="16" t="s">
        <v>980</v>
      </c>
      <c r="F97" s="16" t="s">
        <v>1070</v>
      </c>
      <c r="G97" s="16" t="s">
        <v>184</v>
      </c>
      <c r="H97" s="16" t="s">
        <v>143</v>
      </c>
      <c r="I97" s="22" t="s">
        <v>856</v>
      </c>
      <c r="J97" s="16">
        <f>IFERROR(INDEX(Aux_HH!$J$4:$J$31,MATCH($H97&amp;"|"&amp;$I97,Aux_HH!$A$4:$A$31,0)),"")</f>
        <v>2.5</v>
      </c>
      <c r="K97" s="16" t="s">
        <v>76</v>
      </c>
      <c r="L97" s="16" t="str">
        <f>IF(COUNTIFS(Pessoas!$C$5:$C$44,$K97,Pessoas!$G$5:$G$44,"Ativo")=0,"Equipe "&amp;$K97,INDEX(Pessoas!$A$5:$A$44,_xludf.aggregate(15,6,(ROW(Pessoas!$A$5:$A$44)-4)/((Pessoas!$C$5:$C$44=$K97)*(Pessoas!$G$5:$G$44="Ativo")),MOD(ROW()-6,MAX(1,COUNTIFS(Pessoas!$C$5:$C$44,$K97,Pessoas!$G$5:$G$44,"Ativo")))+1)))</f>
        <v>Equipe Oficina Mecânica Central-Taisa</v>
      </c>
    </row>
    <row r="98" spans="1:12" ht="15" customHeight="1" x14ac:dyDescent="0.4">
      <c r="A98" s="25">
        <v>46307</v>
      </c>
      <c r="B98" s="16">
        <v>6</v>
      </c>
      <c r="C98" s="16">
        <v>1</v>
      </c>
      <c r="D98" s="16">
        <v>10</v>
      </c>
      <c r="E98" s="16" t="s">
        <v>980</v>
      </c>
      <c r="F98" s="16" t="s">
        <v>1071</v>
      </c>
      <c r="G98" s="16" t="s">
        <v>184</v>
      </c>
      <c r="H98" s="16" t="s">
        <v>143</v>
      </c>
      <c r="I98" s="22" t="s">
        <v>856</v>
      </c>
      <c r="J98" s="16">
        <f>IFERROR(INDEX(Aux_HH!$J$4:$J$31,MATCH($H98&amp;"|"&amp;$I98,Aux_HH!$A$4:$A$31,0)),"")</f>
        <v>2.5</v>
      </c>
      <c r="K98" s="16" t="s">
        <v>76</v>
      </c>
      <c r="L98" s="16" t="str">
        <f>IF(COUNTIFS(Pessoas!$C$5:$C$44,$K98,Pessoas!$G$5:$G$44,"Ativo")=0,"Equipe "&amp;$K98,INDEX(Pessoas!$A$5:$A$44,_xludf.aggregate(15,6,(ROW(Pessoas!$A$5:$A$44)-4)/((Pessoas!$C$5:$C$44=$K98)*(Pessoas!$G$5:$G$44="Ativo")),MOD(ROW()-6,MAX(1,COUNTIFS(Pessoas!$C$5:$C$44,$K98,Pessoas!$G$5:$G$44,"Ativo")))+1)))</f>
        <v>Equipe Oficina Mecânica Central-Taisa</v>
      </c>
    </row>
    <row r="99" spans="1:12" ht="15" customHeight="1" x14ac:dyDescent="0.4">
      <c r="A99" s="25">
        <v>46307</v>
      </c>
      <c r="B99" s="16">
        <v>6</v>
      </c>
      <c r="C99" s="16">
        <v>1</v>
      </c>
      <c r="D99" s="16">
        <v>10</v>
      </c>
      <c r="E99" s="16" t="s">
        <v>980</v>
      </c>
      <c r="F99" s="16" t="s">
        <v>1072</v>
      </c>
      <c r="G99" s="16" t="s">
        <v>184</v>
      </c>
      <c r="H99" s="16" t="s">
        <v>143</v>
      </c>
      <c r="I99" s="22" t="s">
        <v>856</v>
      </c>
      <c r="J99" s="16">
        <f>IFERROR(INDEX(Aux_HH!$J$4:$J$31,MATCH($H99&amp;"|"&amp;$I99,Aux_HH!$A$4:$A$31,0)),"")</f>
        <v>2.5</v>
      </c>
      <c r="K99" s="16" t="s">
        <v>76</v>
      </c>
      <c r="L99" s="16" t="str">
        <f>IF(COUNTIFS(Pessoas!$C$5:$C$44,$K99,Pessoas!$G$5:$G$44,"Ativo")=0,"Equipe "&amp;$K99,INDEX(Pessoas!$A$5:$A$44,_xludf.aggregate(15,6,(ROW(Pessoas!$A$5:$A$44)-4)/((Pessoas!$C$5:$C$44=$K99)*(Pessoas!$G$5:$G$44="Ativo")),MOD(ROW()-6,MAX(1,COUNTIFS(Pessoas!$C$5:$C$44,$K99,Pessoas!$G$5:$G$44,"Ativo")))+1)))</f>
        <v>Equipe Oficina Mecânica Central-Taisa</v>
      </c>
    </row>
    <row r="100" spans="1:12" ht="15" customHeight="1" x14ac:dyDescent="0.4">
      <c r="A100" s="25">
        <v>46307</v>
      </c>
      <c r="B100" s="16">
        <v>6</v>
      </c>
      <c r="C100" s="16">
        <v>1</v>
      </c>
      <c r="D100" s="16">
        <v>10</v>
      </c>
      <c r="E100" s="16" t="s">
        <v>980</v>
      </c>
      <c r="F100" s="16" t="s">
        <v>1073</v>
      </c>
      <c r="G100" s="16" t="s">
        <v>184</v>
      </c>
      <c r="H100" s="16" t="s">
        <v>143</v>
      </c>
      <c r="I100" s="22" t="s">
        <v>856</v>
      </c>
      <c r="J100" s="16">
        <f>IFERROR(INDEX(Aux_HH!$J$4:$J$31,MATCH($H100&amp;"|"&amp;$I100,Aux_HH!$A$4:$A$31,0)),"")</f>
        <v>2.5</v>
      </c>
      <c r="K100" s="16" t="s">
        <v>76</v>
      </c>
      <c r="L100" s="16" t="str">
        <f>IF(COUNTIFS(Pessoas!$C$5:$C$44,$K100,Pessoas!$G$5:$G$44,"Ativo")=0,"Equipe "&amp;$K100,INDEX(Pessoas!$A$5:$A$44,_xludf.aggregate(15,6,(ROW(Pessoas!$A$5:$A$44)-4)/((Pessoas!$C$5:$C$44=$K100)*(Pessoas!$G$5:$G$44="Ativo")),MOD(ROW()-6,MAX(1,COUNTIFS(Pessoas!$C$5:$C$44,$K100,Pessoas!$G$5:$G$44,"Ativo")))+1)))</f>
        <v>Equipe Oficina Mecânica Central-Taisa</v>
      </c>
    </row>
    <row r="101" spans="1:12" ht="15" customHeight="1" x14ac:dyDescent="0.4">
      <c r="A101" s="25">
        <v>46307</v>
      </c>
      <c r="B101" s="16">
        <v>6</v>
      </c>
      <c r="C101" s="16">
        <v>1</v>
      </c>
      <c r="D101" s="16">
        <v>10</v>
      </c>
      <c r="E101" s="16" t="s">
        <v>980</v>
      </c>
      <c r="F101" s="16" t="s">
        <v>1074</v>
      </c>
      <c r="G101" s="16" t="s">
        <v>526</v>
      </c>
      <c r="H101" s="16" t="s">
        <v>143</v>
      </c>
      <c r="I101" s="22" t="s">
        <v>856</v>
      </c>
      <c r="J101" s="16">
        <f>IFERROR(INDEX(Aux_HH!$J$4:$J$31,MATCH($H101&amp;"|"&amp;$I101,Aux_HH!$A$4:$A$31,0)),"")</f>
        <v>2.5</v>
      </c>
      <c r="K101" s="16" t="s">
        <v>76</v>
      </c>
      <c r="L101" s="16" t="str">
        <f>IF(COUNTIFS(Pessoas!$C$5:$C$44,$K101,Pessoas!$G$5:$G$44,"Ativo")=0,"Equipe "&amp;$K101,INDEX(Pessoas!$A$5:$A$44,_xludf.aggregate(15,6,(ROW(Pessoas!$A$5:$A$44)-4)/((Pessoas!$C$5:$C$44=$K101)*(Pessoas!$G$5:$G$44="Ativo")),MOD(ROW()-6,MAX(1,COUNTIFS(Pessoas!$C$5:$C$44,$K101,Pessoas!$G$5:$G$44,"Ativo")))+1)))</f>
        <v>Equipe Oficina Mecânica Central-Taisa</v>
      </c>
    </row>
    <row r="102" spans="1:12" ht="15" customHeight="1" x14ac:dyDescent="0.4">
      <c r="A102" s="25">
        <v>46307</v>
      </c>
      <c r="B102" s="16">
        <v>6</v>
      </c>
      <c r="C102" s="16">
        <v>1</v>
      </c>
      <c r="D102" s="16">
        <v>10</v>
      </c>
      <c r="E102" s="16" t="s">
        <v>980</v>
      </c>
      <c r="F102" s="16" t="s">
        <v>1075</v>
      </c>
      <c r="G102" s="16" t="s">
        <v>526</v>
      </c>
      <c r="H102" s="16" t="s">
        <v>143</v>
      </c>
      <c r="I102" s="22" t="s">
        <v>856</v>
      </c>
      <c r="J102" s="16">
        <f>IFERROR(INDEX(Aux_HH!$J$4:$J$31,MATCH($H102&amp;"|"&amp;$I102,Aux_HH!$A$4:$A$31,0)),"")</f>
        <v>2.5</v>
      </c>
      <c r="K102" s="16" t="s">
        <v>76</v>
      </c>
      <c r="L102" s="16" t="str">
        <f>IF(COUNTIFS(Pessoas!$C$5:$C$44,$K102,Pessoas!$G$5:$G$44,"Ativo")=0,"Equipe "&amp;$K102,INDEX(Pessoas!$A$5:$A$44,_xludf.aggregate(15,6,(ROW(Pessoas!$A$5:$A$44)-4)/((Pessoas!$C$5:$C$44=$K102)*(Pessoas!$G$5:$G$44="Ativo")),MOD(ROW()-6,MAX(1,COUNTIFS(Pessoas!$C$5:$C$44,$K102,Pessoas!$G$5:$G$44,"Ativo")))+1)))</f>
        <v>Equipe Oficina Mecânica Central-Taisa</v>
      </c>
    </row>
    <row r="103" spans="1:12" ht="15" customHeight="1" x14ac:dyDescent="0.4">
      <c r="A103" s="25">
        <v>46307</v>
      </c>
      <c r="B103" s="16">
        <v>6</v>
      </c>
      <c r="C103" s="16">
        <v>1</v>
      </c>
      <c r="D103" s="16">
        <v>10</v>
      </c>
      <c r="E103" s="16" t="s">
        <v>980</v>
      </c>
      <c r="F103" s="16" t="s">
        <v>1076</v>
      </c>
      <c r="G103" s="16" t="s">
        <v>688</v>
      </c>
      <c r="H103" s="16" t="s">
        <v>143</v>
      </c>
      <c r="I103" s="22" t="s">
        <v>856</v>
      </c>
      <c r="J103" s="16">
        <f>IFERROR(INDEX(Aux_HH!$J$4:$J$31,MATCH($H103&amp;"|"&amp;$I103,Aux_HH!$A$4:$A$31,0)),"")</f>
        <v>2.5</v>
      </c>
      <c r="K103" s="16" t="s">
        <v>76</v>
      </c>
      <c r="L103" s="16" t="str">
        <f>IF(COUNTIFS(Pessoas!$C$5:$C$44,$K103,Pessoas!$G$5:$G$44,"Ativo")=0,"Equipe "&amp;$K103,INDEX(Pessoas!$A$5:$A$44,_xludf.aggregate(15,6,(ROW(Pessoas!$A$5:$A$44)-4)/((Pessoas!$C$5:$C$44=$K103)*(Pessoas!$G$5:$G$44="Ativo")),MOD(ROW()-6,MAX(1,COUNTIFS(Pessoas!$C$5:$C$44,$K103,Pessoas!$G$5:$G$44,"Ativo")))+1)))</f>
        <v>Equipe Oficina Mecânica Central-Taisa</v>
      </c>
    </row>
    <row r="104" spans="1:12" ht="15" customHeight="1" x14ac:dyDescent="0.4">
      <c r="A104" s="25">
        <v>46307</v>
      </c>
      <c r="B104" s="16">
        <v>6</v>
      </c>
      <c r="C104" s="16">
        <v>1</v>
      </c>
      <c r="D104" s="16">
        <v>10</v>
      </c>
      <c r="E104" s="16" t="s">
        <v>980</v>
      </c>
      <c r="F104" s="16" t="s">
        <v>1077</v>
      </c>
      <c r="G104" s="16" t="s">
        <v>184</v>
      </c>
      <c r="H104" s="16" t="s">
        <v>143</v>
      </c>
      <c r="I104" s="22" t="s">
        <v>856</v>
      </c>
      <c r="J104" s="16">
        <f>IFERROR(INDEX(Aux_HH!$J$4:$J$31,MATCH($H104&amp;"|"&amp;$I104,Aux_HH!$A$4:$A$31,0)),"")</f>
        <v>2.5</v>
      </c>
      <c r="K104" s="16" t="s">
        <v>76</v>
      </c>
      <c r="L104" s="16" t="str">
        <f>IF(COUNTIFS(Pessoas!$C$5:$C$44,$K104,Pessoas!$G$5:$G$44,"Ativo")=0,"Equipe "&amp;$K104,INDEX(Pessoas!$A$5:$A$44,_xludf.aggregate(15,6,(ROW(Pessoas!$A$5:$A$44)-4)/((Pessoas!$C$5:$C$44=$K104)*(Pessoas!$G$5:$G$44="Ativo")),MOD(ROW()-6,MAX(1,COUNTIFS(Pessoas!$C$5:$C$44,$K104,Pessoas!$G$5:$G$44,"Ativo")))+1)))</f>
        <v>Equipe Oficina Mecânica Central-Taisa</v>
      </c>
    </row>
    <row r="105" spans="1:12" ht="15" customHeight="1" x14ac:dyDescent="0.4">
      <c r="A105" s="25">
        <v>46307</v>
      </c>
      <c r="B105" s="16">
        <v>6</v>
      </c>
      <c r="C105" s="16">
        <v>1</v>
      </c>
      <c r="D105" s="16">
        <v>10</v>
      </c>
      <c r="E105" s="16" t="s">
        <v>980</v>
      </c>
      <c r="F105" s="16" t="s">
        <v>1078</v>
      </c>
      <c r="G105" s="16" t="s">
        <v>526</v>
      </c>
      <c r="H105" s="16" t="s">
        <v>143</v>
      </c>
      <c r="I105" s="22" t="s">
        <v>856</v>
      </c>
      <c r="J105" s="16">
        <f>IFERROR(INDEX(Aux_HH!$J$4:$J$31,MATCH($H105&amp;"|"&amp;$I105,Aux_HH!$A$4:$A$31,0)),"")</f>
        <v>2.5</v>
      </c>
      <c r="K105" s="16" t="s">
        <v>76</v>
      </c>
      <c r="L105" s="16" t="str">
        <f>IF(COUNTIFS(Pessoas!$C$5:$C$44,$K105,Pessoas!$G$5:$G$44,"Ativo")=0,"Equipe "&amp;$K105,INDEX(Pessoas!$A$5:$A$44,_xludf.aggregate(15,6,(ROW(Pessoas!$A$5:$A$44)-4)/((Pessoas!$C$5:$C$44=$K105)*(Pessoas!$G$5:$G$44="Ativo")),MOD(ROW()-6,MAX(1,COUNTIFS(Pessoas!$C$5:$C$44,$K105,Pessoas!$G$5:$G$44,"Ativo")))+1)))</f>
        <v>Equipe Oficina Mecânica Central-Taisa</v>
      </c>
    </row>
    <row r="106" spans="1:12" ht="15" customHeight="1" x14ac:dyDescent="0.4">
      <c r="A106" s="25">
        <v>46307</v>
      </c>
      <c r="B106" s="16">
        <v>6</v>
      </c>
      <c r="C106" s="16">
        <v>1</v>
      </c>
      <c r="D106" s="16">
        <v>10</v>
      </c>
      <c r="E106" s="16" t="s">
        <v>980</v>
      </c>
      <c r="F106" s="16" t="s">
        <v>1079</v>
      </c>
      <c r="G106" s="16" t="s">
        <v>526</v>
      </c>
      <c r="H106" s="16" t="s">
        <v>143</v>
      </c>
      <c r="I106" s="22" t="s">
        <v>856</v>
      </c>
      <c r="J106" s="16">
        <f>IFERROR(INDEX(Aux_HH!$J$4:$J$31,MATCH($H106&amp;"|"&amp;$I106,Aux_HH!$A$4:$A$31,0)),"")</f>
        <v>2.5</v>
      </c>
      <c r="K106" s="16" t="s">
        <v>76</v>
      </c>
      <c r="L106" s="16" t="str">
        <f>IF(COUNTIFS(Pessoas!$C$5:$C$44,$K106,Pessoas!$G$5:$G$44,"Ativo")=0,"Equipe "&amp;$K106,INDEX(Pessoas!$A$5:$A$44,_xludf.aggregate(15,6,(ROW(Pessoas!$A$5:$A$44)-4)/((Pessoas!$C$5:$C$44=$K106)*(Pessoas!$G$5:$G$44="Ativo")),MOD(ROW()-6,MAX(1,COUNTIFS(Pessoas!$C$5:$C$44,$K106,Pessoas!$G$5:$G$44,"Ativo")))+1)))</f>
        <v>Equipe Oficina Mecânica Central-Taisa</v>
      </c>
    </row>
    <row r="107" spans="1:12" ht="15" customHeight="1" x14ac:dyDescent="0.4">
      <c r="A107" s="25">
        <v>46308</v>
      </c>
      <c r="B107" s="16">
        <v>7</v>
      </c>
      <c r="C107" s="16">
        <v>1</v>
      </c>
      <c r="D107" s="16">
        <v>10</v>
      </c>
      <c r="E107" s="16" t="s">
        <v>980</v>
      </c>
      <c r="F107" s="16" t="s">
        <v>1080</v>
      </c>
      <c r="G107" s="16" t="s">
        <v>158</v>
      </c>
      <c r="H107" s="16" t="s">
        <v>141</v>
      </c>
      <c r="I107" s="22" t="s">
        <v>856</v>
      </c>
      <c r="J107" s="16">
        <f>IFERROR(INDEX(Aux_HH!$J$4:$J$31,MATCH($H107&amp;"|"&amp;$I107,Aux_HH!$A$4:$A$31,0)),"")</f>
        <v>2</v>
      </c>
      <c r="K107" s="16" t="s">
        <v>76</v>
      </c>
      <c r="L107" s="16" t="str">
        <f>IF(COUNTIFS(Pessoas!$C$5:$C$44,$K107,Pessoas!$G$5:$G$44,"Ativo")=0,"Equipe "&amp;$K107,INDEX(Pessoas!$A$5:$A$44,_xludf.aggregate(15,6,(ROW(Pessoas!$A$5:$A$44)-4)/((Pessoas!$C$5:$C$44=$K107)*(Pessoas!$G$5:$G$44="Ativo")),MOD(ROW()-6,MAX(1,COUNTIFS(Pessoas!$C$5:$C$44,$K107,Pessoas!$G$5:$G$44,"Ativo")))+1)))</f>
        <v>Equipe Oficina Mecânica Central-Taisa</v>
      </c>
    </row>
    <row r="108" spans="1:12" ht="15" customHeight="1" x14ac:dyDescent="0.4">
      <c r="A108" s="25">
        <v>46308</v>
      </c>
      <c r="B108" s="16">
        <v>7</v>
      </c>
      <c r="C108" s="16">
        <v>1</v>
      </c>
      <c r="D108" s="16">
        <v>10</v>
      </c>
      <c r="E108" s="16" t="s">
        <v>980</v>
      </c>
      <c r="F108" s="16" t="s">
        <v>1081</v>
      </c>
      <c r="G108" s="16" t="s">
        <v>526</v>
      </c>
      <c r="H108" s="16" t="s">
        <v>140</v>
      </c>
      <c r="I108" s="22" t="s">
        <v>856</v>
      </c>
      <c r="J108" s="16">
        <f>IFERROR(INDEX(Aux_HH!$J$4:$J$31,MATCH($H108&amp;"|"&amp;$I108,Aux_HH!$A$4:$A$31,0)),"")</f>
        <v>2.5</v>
      </c>
      <c r="K108" s="16" t="s">
        <v>76</v>
      </c>
      <c r="L108" s="16" t="str">
        <f>IF(COUNTIFS(Pessoas!$C$5:$C$44,$K108,Pessoas!$G$5:$G$44,"Ativo")=0,"Equipe "&amp;$K108,INDEX(Pessoas!$A$5:$A$44,_xludf.aggregate(15,6,(ROW(Pessoas!$A$5:$A$44)-4)/((Pessoas!$C$5:$C$44=$K108)*(Pessoas!$G$5:$G$44="Ativo")),MOD(ROW()-6,MAX(1,COUNTIFS(Pessoas!$C$5:$C$44,$K108,Pessoas!$G$5:$G$44,"Ativo")))+1)))</f>
        <v>Equipe Oficina Mecânica Central-Taisa</v>
      </c>
    </row>
    <row r="109" spans="1:12" ht="15" customHeight="1" x14ac:dyDescent="0.4">
      <c r="A109" s="25">
        <v>46308</v>
      </c>
      <c r="B109" s="16">
        <v>7</v>
      </c>
      <c r="C109" s="16">
        <v>1</v>
      </c>
      <c r="D109" s="16">
        <v>10</v>
      </c>
      <c r="E109" s="16" t="s">
        <v>980</v>
      </c>
      <c r="F109" s="16" t="s">
        <v>1082</v>
      </c>
      <c r="G109" s="16" t="s">
        <v>184</v>
      </c>
      <c r="H109" s="16" t="s">
        <v>140</v>
      </c>
      <c r="I109" s="22" t="s">
        <v>856</v>
      </c>
      <c r="J109" s="16">
        <f>IFERROR(INDEX(Aux_HH!$J$4:$J$31,MATCH($H109&amp;"|"&amp;$I109,Aux_HH!$A$4:$A$31,0)),"")</f>
        <v>2.5</v>
      </c>
      <c r="K109" s="16" t="s">
        <v>76</v>
      </c>
      <c r="L109" s="16" t="str">
        <f>IF(COUNTIFS(Pessoas!$C$5:$C$44,$K109,Pessoas!$G$5:$G$44,"Ativo")=0,"Equipe "&amp;$K109,INDEX(Pessoas!$A$5:$A$44,_xludf.aggregate(15,6,(ROW(Pessoas!$A$5:$A$44)-4)/((Pessoas!$C$5:$C$44=$K109)*(Pessoas!$G$5:$G$44="Ativo")),MOD(ROW()-6,MAX(1,COUNTIFS(Pessoas!$C$5:$C$44,$K109,Pessoas!$G$5:$G$44,"Ativo")))+1)))</f>
        <v>Equipe Oficina Mecânica Central-Taisa</v>
      </c>
    </row>
    <row r="110" spans="1:12" ht="15" customHeight="1" x14ac:dyDescent="0.4">
      <c r="A110" s="25">
        <v>46308</v>
      </c>
      <c r="B110" s="16">
        <v>7</v>
      </c>
      <c r="C110" s="16">
        <v>1</v>
      </c>
      <c r="D110" s="16">
        <v>10</v>
      </c>
      <c r="E110" s="16" t="s">
        <v>980</v>
      </c>
      <c r="F110" s="16" t="s">
        <v>1083</v>
      </c>
      <c r="G110" s="16" t="s">
        <v>184</v>
      </c>
      <c r="H110" s="16" t="s">
        <v>140</v>
      </c>
      <c r="I110" s="22" t="s">
        <v>856</v>
      </c>
      <c r="J110" s="16">
        <f>IFERROR(INDEX(Aux_HH!$J$4:$J$31,MATCH($H110&amp;"|"&amp;$I110,Aux_HH!$A$4:$A$31,0)),"")</f>
        <v>2.5</v>
      </c>
      <c r="K110" s="16" t="s">
        <v>76</v>
      </c>
      <c r="L110" s="16" t="str">
        <f>IF(COUNTIFS(Pessoas!$C$5:$C$44,$K110,Pessoas!$G$5:$G$44,"Ativo")=0,"Equipe "&amp;$K110,INDEX(Pessoas!$A$5:$A$44,_xludf.aggregate(15,6,(ROW(Pessoas!$A$5:$A$44)-4)/((Pessoas!$C$5:$C$44=$K110)*(Pessoas!$G$5:$G$44="Ativo")),MOD(ROW()-6,MAX(1,COUNTIFS(Pessoas!$C$5:$C$44,$K110,Pessoas!$G$5:$G$44,"Ativo")))+1)))</f>
        <v>Equipe Oficina Mecânica Central-Taisa</v>
      </c>
    </row>
    <row r="111" spans="1:12" ht="15" customHeight="1" x14ac:dyDescent="0.4">
      <c r="A111" s="25">
        <v>46308</v>
      </c>
      <c r="B111" s="16">
        <v>7</v>
      </c>
      <c r="C111" s="16">
        <v>1</v>
      </c>
      <c r="D111" s="16">
        <v>10</v>
      </c>
      <c r="E111" s="16" t="s">
        <v>980</v>
      </c>
      <c r="F111" s="16" t="s">
        <v>1084</v>
      </c>
      <c r="G111" s="16" t="s">
        <v>184</v>
      </c>
      <c r="H111" s="16" t="s">
        <v>140</v>
      </c>
      <c r="I111" s="22" t="s">
        <v>856</v>
      </c>
      <c r="J111" s="16">
        <f>IFERROR(INDEX(Aux_HH!$J$4:$J$31,MATCH($H111&amp;"|"&amp;$I111,Aux_HH!$A$4:$A$31,0)),"")</f>
        <v>2.5</v>
      </c>
      <c r="K111" s="16" t="s">
        <v>76</v>
      </c>
      <c r="L111" s="16" t="str">
        <f>IF(COUNTIFS(Pessoas!$C$5:$C$44,$K111,Pessoas!$G$5:$G$44,"Ativo")=0,"Equipe "&amp;$K111,INDEX(Pessoas!$A$5:$A$44,_xludf.aggregate(15,6,(ROW(Pessoas!$A$5:$A$44)-4)/((Pessoas!$C$5:$C$44=$K111)*(Pessoas!$G$5:$G$44="Ativo")),MOD(ROW()-6,MAX(1,COUNTIFS(Pessoas!$C$5:$C$44,$K111,Pessoas!$G$5:$G$44,"Ativo")))+1)))</f>
        <v>Equipe Oficina Mecânica Central-Taisa</v>
      </c>
    </row>
    <row r="112" spans="1:12" ht="15" customHeight="1" x14ac:dyDescent="0.4">
      <c r="A112" s="25">
        <v>46308</v>
      </c>
      <c r="B112" s="16">
        <v>7</v>
      </c>
      <c r="C112" s="16">
        <v>1</v>
      </c>
      <c r="D112" s="16">
        <v>10</v>
      </c>
      <c r="E112" s="16" t="s">
        <v>980</v>
      </c>
      <c r="F112" s="16" t="s">
        <v>1085</v>
      </c>
      <c r="G112" s="16" t="s">
        <v>184</v>
      </c>
      <c r="H112" s="16" t="s">
        <v>140</v>
      </c>
      <c r="I112" s="22" t="s">
        <v>856</v>
      </c>
      <c r="J112" s="16">
        <f>IFERROR(INDEX(Aux_HH!$J$4:$J$31,MATCH($H112&amp;"|"&amp;$I112,Aux_HH!$A$4:$A$31,0)),"")</f>
        <v>2.5</v>
      </c>
      <c r="K112" s="16" t="s">
        <v>76</v>
      </c>
      <c r="L112" s="16" t="str">
        <f>IF(COUNTIFS(Pessoas!$C$5:$C$44,$K112,Pessoas!$G$5:$G$44,"Ativo")=0,"Equipe "&amp;$K112,INDEX(Pessoas!$A$5:$A$44,_xludf.aggregate(15,6,(ROW(Pessoas!$A$5:$A$44)-4)/((Pessoas!$C$5:$C$44=$K112)*(Pessoas!$G$5:$G$44="Ativo")),MOD(ROW()-6,MAX(1,COUNTIFS(Pessoas!$C$5:$C$44,$K112,Pessoas!$G$5:$G$44,"Ativo")))+1)))</f>
        <v>Equipe Oficina Mecânica Central-Taisa</v>
      </c>
    </row>
    <row r="113" spans="1:12" ht="15" customHeight="1" x14ac:dyDescent="0.4">
      <c r="A113" s="25">
        <v>46308</v>
      </c>
      <c r="B113" s="16">
        <v>7</v>
      </c>
      <c r="C113" s="16">
        <v>1</v>
      </c>
      <c r="D113" s="16">
        <v>10</v>
      </c>
      <c r="E113" s="16" t="s">
        <v>980</v>
      </c>
      <c r="F113" s="16" t="s">
        <v>1086</v>
      </c>
      <c r="G113" s="16" t="s">
        <v>184</v>
      </c>
      <c r="H113" s="16" t="s">
        <v>140</v>
      </c>
      <c r="I113" s="22" t="s">
        <v>856</v>
      </c>
      <c r="J113" s="16">
        <f>IFERROR(INDEX(Aux_HH!$J$4:$J$31,MATCH($H113&amp;"|"&amp;$I113,Aux_HH!$A$4:$A$31,0)),"")</f>
        <v>2.5</v>
      </c>
      <c r="K113" s="16" t="s">
        <v>76</v>
      </c>
      <c r="L113" s="16" t="str">
        <f>IF(COUNTIFS(Pessoas!$C$5:$C$44,$K113,Pessoas!$G$5:$G$44,"Ativo")=0,"Equipe "&amp;$K113,INDEX(Pessoas!$A$5:$A$44,_xludf.aggregate(15,6,(ROW(Pessoas!$A$5:$A$44)-4)/((Pessoas!$C$5:$C$44=$K113)*(Pessoas!$G$5:$G$44="Ativo")),MOD(ROW()-6,MAX(1,COUNTIFS(Pessoas!$C$5:$C$44,$K113,Pessoas!$G$5:$G$44,"Ativo")))+1)))</f>
        <v>Equipe Oficina Mecânica Central-Taisa</v>
      </c>
    </row>
    <row r="114" spans="1:12" ht="15" customHeight="1" x14ac:dyDescent="0.4">
      <c r="A114" s="25">
        <v>46308</v>
      </c>
      <c r="B114" s="16">
        <v>7</v>
      </c>
      <c r="C114" s="16">
        <v>1</v>
      </c>
      <c r="D114" s="16">
        <v>10</v>
      </c>
      <c r="E114" s="16" t="s">
        <v>980</v>
      </c>
      <c r="F114" s="16" t="s">
        <v>1087</v>
      </c>
      <c r="G114" s="16" t="s">
        <v>526</v>
      </c>
      <c r="H114" s="16" t="s">
        <v>140</v>
      </c>
      <c r="I114" s="22" t="s">
        <v>856</v>
      </c>
      <c r="J114" s="16">
        <f>IFERROR(INDEX(Aux_HH!$J$4:$J$31,MATCH($H114&amp;"|"&amp;$I114,Aux_HH!$A$4:$A$31,0)),"")</f>
        <v>2.5</v>
      </c>
      <c r="K114" s="16" t="s">
        <v>76</v>
      </c>
      <c r="L114" s="16" t="str">
        <f>IF(COUNTIFS(Pessoas!$C$5:$C$44,$K114,Pessoas!$G$5:$G$44,"Ativo")=0,"Equipe "&amp;$K114,INDEX(Pessoas!$A$5:$A$44,_xludf.aggregate(15,6,(ROW(Pessoas!$A$5:$A$44)-4)/((Pessoas!$C$5:$C$44=$K114)*(Pessoas!$G$5:$G$44="Ativo")),MOD(ROW()-6,MAX(1,COUNTIFS(Pessoas!$C$5:$C$44,$K114,Pessoas!$G$5:$G$44,"Ativo")))+1)))</f>
        <v>Equipe Oficina Mecânica Central-Taisa</v>
      </c>
    </row>
    <row r="115" spans="1:12" ht="15" customHeight="1" x14ac:dyDescent="0.4">
      <c r="A115" s="25">
        <v>46308</v>
      </c>
      <c r="B115" s="16">
        <v>7</v>
      </c>
      <c r="C115" s="16">
        <v>1</v>
      </c>
      <c r="D115" s="16">
        <v>10</v>
      </c>
      <c r="E115" s="16" t="s">
        <v>980</v>
      </c>
      <c r="F115" s="16" t="s">
        <v>1088</v>
      </c>
      <c r="G115" s="16" t="s">
        <v>526</v>
      </c>
      <c r="H115" s="16" t="s">
        <v>140</v>
      </c>
      <c r="I115" s="22" t="s">
        <v>856</v>
      </c>
      <c r="J115" s="16">
        <f>IFERROR(INDEX(Aux_HH!$J$4:$J$31,MATCH($H115&amp;"|"&amp;$I115,Aux_HH!$A$4:$A$31,0)),"")</f>
        <v>2.5</v>
      </c>
      <c r="K115" s="16" t="s">
        <v>76</v>
      </c>
      <c r="L115" s="16" t="str">
        <f>IF(COUNTIFS(Pessoas!$C$5:$C$44,$K115,Pessoas!$G$5:$G$44,"Ativo")=0,"Equipe "&amp;$K115,INDEX(Pessoas!$A$5:$A$44,_xludf.aggregate(15,6,(ROW(Pessoas!$A$5:$A$44)-4)/((Pessoas!$C$5:$C$44=$K115)*(Pessoas!$G$5:$G$44="Ativo")),MOD(ROW()-6,MAX(1,COUNTIFS(Pessoas!$C$5:$C$44,$K115,Pessoas!$G$5:$G$44,"Ativo")))+1)))</f>
        <v>Equipe Oficina Mecânica Central-Taisa</v>
      </c>
    </row>
    <row r="116" spans="1:12" ht="15" customHeight="1" x14ac:dyDescent="0.4">
      <c r="A116" s="25">
        <v>46308</v>
      </c>
      <c r="B116" s="16">
        <v>7</v>
      </c>
      <c r="C116" s="16">
        <v>1</v>
      </c>
      <c r="D116" s="16">
        <v>10</v>
      </c>
      <c r="E116" s="16" t="s">
        <v>980</v>
      </c>
      <c r="F116" s="16" t="s">
        <v>1089</v>
      </c>
      <c r="G116" s="16" t="s">
        <v>184</v>
      </c>
      <c r="H116" s="16" t="s">
        <v>140</v>
      </c>
      <c r="I116" s="22" t="s">
        <v>856</v>
      </c>
      <c r="J116" s="16">
        <f>IFERROR(INDEX(Aux_HH!$J$4:$J$31,MATCH($H116&amp;"|"&amp;$I116,Aux_HH!$A$4:$A$31,0)),"")</f>
        <v>2.5</v>
      </c>
      <c r="K116" s="16" t="s">
        <v>76</v>
      </c>
      <c r="L116" s="16" t="str">
        <f>IF(COUNTIFS(Pessoas!$C$5:$C$44,$K116,Pessoas!$G$5:$G$44,"Ativo")=0,"Equipe "&amp;$K116,INDEX(Pessoas!$A$5:$A$44,_xludf.aggregate(15,6,(ROW(Pessoas!$A$5:$A$44)-4)/((Pessoas!$C$5:$C$44=$K116)*(Pessoas!$G$5:$G$44="Ativo")),MOD(ROW()-6,MAX(1,COUNTIFS(Pessoas!$C$5:$C$44,$K116,Pessoas!$G$5:$G$44,"Ativo")))+1)))</f>
        <v>Equipe Oficina Mecânica Central-Taisa</v>
      </c>
    </row>
    <row r="117" spans="1:12" ht="15" customHeight="1" x14ac:dyDescent="0.4">
      <c r="A117" s="25">
        <v>46308</v>
      </c>
      <c r="B117" s="16">
        <v>7</v>
      </c>
      <c r="C117" s="16">
        <v>1</v>
      </c>
      <c r="D117" s="16">
        <v>10</v>
      </c>
      <c r="E117" s="16" t="s">
        <v>980</v>
      </c>
      <c r="F117" s="16" t="s">
        <v>1090</v>
      </c>
      <c r="G117" s="16" t="s">
        <v>526</v>
      </c>
      <c r="H117" s="16" t="s">
        <v>140</v>
      </c>
      <c r="I117" s="22" t="s">
        <v>856</v>
      </c>
      <c r="J117" s="16">
        <f>IFERROR(INDEX(Aux_HH!$J$4:$J$31,MATCH($H117&amp;"|"&amp;$I117,Aux_HH!$A$4:$A$31,0)),"")</f>
        <v>2.5</v>
      </c>
      <c r="K117" s="16" t="s">
        <v>76</v>
      </c>
      <c r="L117" s="16" t="str">
        <f>IF(COUNTIFS(Pessoas!$C$5:$C$44,$K117,Pessoas!$G$5:$G$44,"Ativo")=0,"Equipe "&amp;$K117,INDEX(Pessoas!$A$5:$A$44,_xludf.aggregate(15,6,(ROW(Pessoas!$A$5:$A$44)-4)/((Pessoas!$C$5:$C$44=$K117)*(Pessoas!$G$5:$G$44="Ativo")),MOD(ROW()-6,MAX(1,COUNTIFS(Pessoas!$C$5:$C$44,$K117,Pessoas!$G$5:$G$44,"Ativo")))+1)))</f>
        <v>Equipe Oficina Mecânica Central-Taisa</v>
      </c>
    </row>
    <row r="118" spans="1:12" ht="15" customHeight="1" x14ac:dyDescent="0.4">
      <c r="A118" s="25">
        <v>46308</v>
      </c>
      <c r="B118" s="16">
        <v>7</v>
      </c>
      <c r="C118" s="16">
        <v>1</v>
      </c>
      <c r="D118" s="16">
        <v>10</v>
      </c>
      <c r="E118" s="16" t="s">
        <v>980</v>
      </c>
      <c r="F118" s="16" t="s">
        <v>1091</v>
      </c>
      <c r="G118" s="16" t="s">
        <v>526</v>
      </c>
      <c r="H118" s="16" t="s">
        <v>140</v>
      </c>
      <c r="I118" s="22" t="s">
        <v>856</v>
      </c>
      <c r="J118" s="16">
        <f>IFERROR(INDEX(Aux_HH!$J$4:$J$31,MATCH($H118&amp;"|"&amp;$I118,Aux_HH!$A$4:$A$31,0)),"")</f>
        <v>2.5</v>
      </c>
      <c r="K118" s="16" t="s">
        <v>76</v>
      </c>
      <c r="L118" s="16" t="str">
        <f>IF(COUNTIFS(Pessoas!$C$5:$C$44,$K118,Pessoas!$G$5:$G$44,"Ativo")=0,"Equipe "&amp;$K118,INDEX(Pessoas!$A$5:$A$44,_xludf.aggregate(15,6,(ROW(Pessoas!$A$5:$A$44)-4)/((Pessoas!$C$5:$C$44=$K118)*(Pessoas!$G$5:$G$44="Ativo")),MOD(ROW()-6,MAX(1,COUNTIFS(Pessoas!$C$5:$C$44,$K118,Pessoas!$G$5:$G$44,"Ativo")))+1)))</f>
        <v>Equipe Oficina Mecânica Central-Taisa</v>
      </c>
    </row>
    <row r="119" spans="1:12" ht="15" customHeight="1" x14ac:dyDescent="0.4">
      <c r="A119" s="25">
        <v>46308</v>
      </c>
      <c r="B119" s="16">
        <v>7</v>
      </c>
      <c r="C119" s="16">
        <v>1</v>
      </c>
      <c r="D119" s="16">
        <v>10</v>
      </c>
      <c r="E119" s="16" t="s">
        <v>980</v>
      </c>
      <c r="F119" s="16" t="s">
        <v>1092</v>
      </c>
      <c r="G119" s="16" t="s">
        <v>526</v>
      </c>
      <c r="H119" s="16" t="s">
        <v>140</v>
      </c>
      <c r="I119" s="22" t="s">
        <v>856</v>
      </c>
      <c r="J119" s="16">
        <f>IFERROR(INDEX(Aux_HH!$J$4:$J$31,MATCH($H119&amp;"|"&amp;$I119,Aux_HH!$A$4:$A$31,0)),"")</f>
        <v>2.5</v>
      </c>
      <c r="K119" s="16" t="s">
        <v>76</v>
      </c>
      <c r="L119" s="16" t="str">
        <f>IF(COUNTIFS(Pessoas!$C$5:$C$44,$K119,Pessoas!$G$5:$G$44,"Ativo")=0,"Equipe "&amp;$K119,INDEX(Pessoas!$A$5:$A$44,_xludf.aggregate(15,6,(ROW(Pessoas!$A$5:$A$44)-4)/((Pessoas!$C$5:$C$44=$K119)*(Pessoas!$G$5:$G$44="Ativo")),MOD(ROW()-6,MAX(1,COUNTIFS(Pessoas!$C$5:$C$44,$K119,Pessoas!$G$5:$G$44,"Ativo")))+1)))</f>
        <v>Equipe Oficina Mecânica Central-Taisa</v>
      </c>
    </row>
    <row r="120" spans="1:12" ht="15" customHeight="1" x14ac:dyDescent="0.4">
      <c r="A120" s="25">
        <v>46308</v>
      </c>
      <c r="B120" s="16">
        <v>7</v>
      </c>
      <c r="C120" s="16">
        <v>1</v>
      </c>
      <c r="D120" s="16">
        <v>10</v>
      </c>
      <c r="E120" s="16" t="s">
        <v>980</v>
      </c>
      <c r="F120" s="16" t="s">
        <v>1093</v>
      </c>
      <c r="G120" s="16" t="s">
        <v>526</v>
      </c>
      <c r="H120" s="16" t="s">
        <v>140</v>
      </c>
      <c r="I120" s="22" t="s">
        <v>856</v>
      </c>
      <c r="J120" s="16">
        <f>IFERROR(INDEX(Aux_HH!$J$4:$J$31,MATCH($H120&amp;"|"&amp;$I120,Aux_HH!$A$4:$A$31,0)),"")</f>
        <v>2.5</v>
      </c>
      <c r="K120" s="16" t="s">
        <v>76</v>
      </c>
      <c r="L120" s="16" t="str">
        <f>IF(COUNTIFS(Pessoas!$C$5:$C$44,$K120,Pessoas!$G$5:$G$44,"Ativo")=0,"Equipe "&amp;$K120,INDEX(Pessoas!$A$5:$A$44,_xludf.aggregate(15,6,(ROW(Pessoas!$A$5:$A$44)-4)/((Pessoas!$C$5:$C$44=$K120)*(Pessoas!$G$5:$G$44="Ativo")),MOD(ROW()-6,MAX(1,COUNTIFS(Pessoas!$C$5:$C$44,$K120,Pessoas!$G$5:$G$44,"Ativo")))+1)))</f>
        <v>Equipe Oficina Mecânica Central-Taisa</v>
      </c>
    </row>
    <row r="121" spans="1:12" ht="15" customHeight="1" x14ac:dyDescent="0.4">
      <c r="A121" s="25">
        <v>46308</v>
      </c>
      <c r="B121" s="16">
        <v>7</v>
      </c>
      <c r="C121" s="16">
        <v>1</v>
      </c>
      <c r="D121" s="16">
        <v>10</v>
      </c>
      <c r="E121" s="16" t="s">
        <v>980</v>
      </c>
      <c r="F121" s="16" t="s">
        <v>1094</v>
      </c>
      <c r="G121" s="16" t="s">
        <v>158</v>
      </c>
      <c r="H121" s="16" t="s">
        <v>141</v>
      </c>
      <c r="I121" s="22" t="s">
        <v>856</v>
      </c>
      <c r="J121" s="16">
        <f>IFERROR(INDEX(Aux_HH!$J$4:$J$31,MATCH($H121&amp;"|"&amp;$I121,Aux_HH!$A$4:$A$31,0)),"")</f>
        <v>2</v>
      </c>
      <c r="K121" s="16" t="s">
        <v>76</v>
      </c>
      <c r="L121" s="16" t="str">
        <f>IF(COUNTIFS(Pessoas!$C$5:$C$44,$K121,Pessoas!$G$5:$G$44,"Ativo")=0,"Equipe "&amp;$K121,INDEX(Pessoas!$A$5:$A$44,_xludf.aggregate(15,6,(ROW(Pessoas!$A$5:$A$44)-4)/((Pessoas!$C$5:$C$44=$K121)*(Pessoas!$G$5:$G$44="Ativo")),MOD(ROW()-6,MAX(1,COUNTIFS(Pessoas!$C$5:$C$44,$K121,Pessoas!$G$5:$G$44,"Ativo")))+1)))</f>
        <v>Equipe Oficina Mecânica Central-Taisa</v>
      </c>
    </row>
    <row r="122" spans="1:12" ht="15" customHeight="1" x14ac:dyDescent="0.4">
      <c r="A122" s="25">
        <v>46308</v>
      </c>
      <c r="B122" s="16">
        <v>7</v>
      </c>
      <c r="C122" s="16">
        <v>1</v>
      </c>
      <c r="D122" s="16">
        <v>10</v>
      </c>
      <c r="E122" s="16" t="s">
        <v>980</v>
      </c>
      <c r="F122" s="16" t="s">
        <v>1095</v>
      </c>
      <c r="G122" s="16" t="s">
        <v>158</v>
      </c>
      <c r="H122" s="16" t="s">
        <v>141</v>
      </c>
      <c r="I122" s="22" t="s">
        <v>856</v>
      </c>
      <c r="J122" s="16">
        <f>IFERROR(INDEX(Aux_HH!$J$4:$J$31,MATCH($H122&amp;"|"&amp;$I122,Aux_HH!$A$4:$A$31,0)),"")</f>
        <v>2</v>
      </c>
      <c r="K122" s="16" t="s">
        <v>76</v>
      </c>
      <c r="L122" s="16" t="str">
        <f>IF(COUNTIFS(Pessoas!$C$5:$C$44,$K122,Pessoas!$G$5:$G$44,"Ativo")=0,"Equipe "&amp;$K122,INDEX(Pessoas!$A$5:$A$44,_xludf.aggregate(15,6,(ROW(Pessoas!$A$5:$A$44)-4)/((Pessoas!$C$5:$C$44=$K122)*(Pessoas!$G$5:$G$44="Ativo")),MOD(ROW()-6,MAX(1,COUNTIFS(Pessoas!$C$5:$C$44,$K122,Pessoas!$G$5:$G$44,"Ativo")))+1)))</f>
        <v>Equipe Oficina Mecânica Central-Taisa</v>
      </c>
    </row>
    <row r="123" spans="1:12" ht="15" customHeight="1" x14ac:dyDescent="0.4">
      <c r="A123" s="25">
        <v>46308</v>
      </c>
      <c r="B123" s="16">
        <v>7</v>
      </c>
      <c r="C123" s="16">
        <v>1</v>
      </c>
      <c r="D123" s="16">
        <v>10</v>
      </c>
      <c r="E123" s="16" t="s">
        <v>980</v>
      </c>
      <c r="F123" s="16" t="s">
        <v>1096</v>
      </c>
      <c r="G123" s="16" t="s">
        <v>158</v>
      </c>
      <c r="H123" s="16" t="s">
        <v>141</v>
      </c>
      <c r="I123" s="22" t="s">
        <v>856</v>
      </c>
      <c r="J123" s="16">
        <f>IFERROR(INDEX(Aux_HH!$J$4:$J$31,MATCH($H123&amp;"|"&amp;$I123,Aux_HH!$A$4:$A$31,0)),"")</f>
        <v>2</v>
      </c>
      <c r="K123" s="16" t="s">
        <v>76</v>
      </c>
      <c r="L123" s="16" t="str">
        <f>IF(COUNTIFS(Pessoas!$C$5:$C$44,$K123,Pessoas!$G$5:$G$44,"Ativo")=0,"Equipe "&amp;$K123,INDEX(Pessoas!$A$5:$A$44,_xludf.aggregate(15,6,(ROW(Pessoas!$A$5:$A$44)-4)/((Pessoas!$C$5:$C$44=$K123)*(Pessoas!$G$5:$G$44="Ativo")),MOD(ROW()-6,MAX(1,COUNTIFS(Pessoas!$C$5:$C$44,$K123,Pessoas!$G$5:$G$44,"Ativo")))+1)))</f>
        <v>Equipe Oficina Mecânica Central-Taisa</v>
      </c>
    </row>
    <row r="124" spans="1:12" ht="15" customHeight="1" x14ac:dyDescent="0.4">
      <c r="A124" s="25">
        <v>46308</v>
      </c>
      <c r="B124" s="16">
        <v>7</v>
      </c>
      <c r="C124" s="16">
        <v>1</v>
      </c>
      <c r="D124" s="16">
        <v>10</v>
      </c>
      <c r="E124" s="16" t="s">
        <v>980</v>
      </c>
      <c r="F124" s="16" t="s">
        <v>1097</v>
      </c>
      <c r="G124" s="16" t="s">
        <v>158</v>
      </c>
      <c r="H124" s="16" t="s">
        <v>141</v>
      </c>
      <c r="I124" s="22" t="s">
        <v>856</v>
      </c>
      <c r="J124" s="16">
        <f>IFERROR(INDEX(Aux_HH!$J$4:$J$31,MATCH($H124&amp;"|"&amp;$I124,Aux_HH!$A$4:$A$31,0)),"")</f>
        <v>2</v>
      </c>
      <c r="K124" s="16" t="s">
        <v>76</v>
      </c>
      <c r="L124" s="16" t="str">
        <f>IF(COUNTIFS(Pessoas!$C$5:$C$44,$K124,Pessoas!$G$5:$G$44,"Ativo")=0,"Equipe "&amp;$K124,INDEX(Pessoas!$A$5:$A$44,_xludf.aggregate(15,6,(ROW(Pessoas!$A$5:$A$44)-4)/((Pessoas!$C$5:$C$44=$K124)*(Pessoas!$G$5:$G$44="Ativo")),MOD(ROW()-6,MAX(1,COUNTIFS(Pessoas!$C$5:$C$44,$K124,Pessoas!$G$5:$G$44,"Ativo")))+1)))</f>
        <v>Equipe Oficina Mecânica Central-Taisa</v>
      </c>
    </row>
    <row r="125" spans="1:12" ht="15" customHeight="1" x14ac:dyDescent="0.4">
      <c r="A125" s="25">
        <v>46308</v>
      </c>
      <c r="B125" s="16">
        <v>7</v>
      </c>
      <c r="C125" s="16">
        <v>1</v>
      </c>
      <c r="D125" s="16">
        <v>10</v>
      </c>
      <c r="E125" s="16" t="s">
        <v>980</v>
      </c>
      <c r="F125" s="16" t="s">
        <v>1098</v>
      </c>
      <c r="G125" s="16" t="s">
        <v>158</v>
      </c>
      <c r="H125" s="16" t="s">
        <v>141</v>
      </c>
      <c r="I125" s="22" t="s">
        <v>856</v>
      </c>
      <c r="J125" s="16">
        <f>IFERROR(INDEX(Aux_HH!$J$4:$J$31,MATCH($H125&amp;"|"&amp;$I125,Aux_HH!$A$4:$A$31,0)),"")</f>
        <v>2</v>
      </c>
      <c r="K125" s="16" t="s">
        <v>76</v>
      </c>
      <c r="L125" s="16" t="str">
        <f>IF(COUNTIFS(Pessoas!$C$5:$C$44,$K125,Pessoas!$G$5:$G$44,"Ativo")=0,"Equipe "&amp;$K125,INDEX(Pessoas!$A$5:$A$44,_xludf.aggregate(15,6,(ROW(Pessoas!$A$5:$A$44)-4)/((Pessoas!$C$5:$C$44=$K125)*(Pessoas!$G$5:$G$44="Ativo")),MOD(ROW()-6,MAX(1,COUNTIFS(Pessoas!$C$5:$C$44,$K125,Pessoas!$G$5:$G$44,"Ativo")))+1)))</f>
        <v>Equipe Oficina Mecânica Central-Taisa</v>
      </c>
    </row>
    <row r="126" spans="1:12" ht="15" customHeight="1" x14ac:dyDescent="0.4">
      <c r="A126" s="25">
        <v>46308</v>
      </c>
      <c r="B126" s="16">
        <v>7</v>
      </c>
      <c r="C126" s="16">
        <v>1</v>
      </c>
      <c r="D126" s="16">
        <v>10</v>
      </c>
      <c r="E126" s="16" t="s">
        <v>980</v>
      </c>
      <c r="F126" s="16" t="s">
        <v>1099</v>
      </c>
      <c r="G126" s="16" t="s">
        <v>158</v>
      </c>
      <c r="H126" s="16" t="s">
        <v>141</v>
      </c>
      <c r="I126" s="22" t="s">
        <v>856</v>
      </c>
      <c r="J126" s="16">
        <f>IFERROR(INDEX(Aux_HH!$J$4:$J$31,MATCH($H126&amp;"|"&amp;$I126,Aux_HH!$A$4:$A$31,0)),"")</f>
        <v>2</v>
      </c>
      <c r="K126" s="16" t="s">
        <v>76</v>
      </c>
      <c r="L126" s="16" t="str">
        <f>IF(COUNTIFS(Pessoas!$C$5:$C$44,$K126,Pessoas!$G$5:$G$44,"Ativo")=0,"Equipe "&amp;$K126,INDEX(Pessoas!$A$5:$A$44,_xludf.aggregate(15,6,(ROW(Pessoas!$A$5:$A$44)-4)/((Pessoas!$C$5:$C$44=$K126)*(Pessoas!$G$5:$G$44="Ativo")),MOD(ROW()-6,MAX(1,COUNTIFS(Pessoas!$C$5:$C$44,$K126,Pessoas!$G$5:$G$44,"Ativo")))+1)))</f>
        <v>Equipe Oficina Mecânica Central-Taisa</v>
      </c>
    </row>
    <row r="127" spans="1:12" ht="15" customHeight="1" x14ac:dyDescent="0.4">
      <c r="A127" s="25">
        <v>46308</v>
      </c>
      <c r="B127" s="16">
        <v>7</v>
      </c>
      <c r="C127" s="16">
        <v>1</v>
      </c>
      <c r="D127" s="16">
        <v>10</v>
      </c>
      <c r="E127" s="16" t="s">
        <v>980</v>
      </c>
      <c r="F127" s="16" t="s">
        <v>1100</v>
      </c>
      <c r="G127" s="16" t="s">
        <v>158</v>
      </c>
      <c r="H127" s="16" t="s">
        <v>141</v>
      </c>
      <c r="I127" s="22" t="s">
        <v>856</v>
      </c>
      <c r="J127" s="16">
        <f>IFERROR(INDEX(Aux_HH!$J$4:$J$31,MATCH($H127&amp;"|"&amp;$I127,Aux_HH!$A$4:$A$31,0)),"")</f>
        <v>2</v>
      </c>
      <c r="K127" s="16" t="s">
        <v>76</v>
      </c>
      <c r="L127" s="16" t="str">
        <f>IF(COUNTIFS(Pessoas!$C$5:$C$44,$K127,Pessoas!$G$5:$G$44,"Ativo")=0,"Equipe "&amp;$K127,INDEX(Pessoas!$A$5:$A$44,_xludf.aggregate(15,6,(ROW(Pessoas!$A$5:$A$44)-4)/((Pessoas!$C$5:$C$44=$K127)*(Pessoas!$G$5:$G$44="Ativo")),MOD(ROW()-6,MAX(1,COUNTIFS(Pessoas!$C$5:$C$44,$K127,Pessoas!$G$5:$G$44,"Ativo")))+1)))</f>
        <v>Equipe Oficina Mecânica Central-Taisa</v>
      </c>
    </row>
    <row r="128" spans="1:12" ht="15" customHeight="1" x14ac:dyDescent="0.4">
      <c r="A128" s="25">
        <v>46308</v>
      </c>
      <c r="B128" s="16">
        <v>7</v>
      </c>
      <c r="C128" s="16">
        <v>1</v>
      </c>
      <c r="D128" s="16">
        <v>10</v>
      </c>
      <c r="E128" s="16" t="s">
        <v>980</v>
      </c>
      <c r="F128" s="16" t="s">
        <v>1101</v>
      </c>
      <c r="G128" s="16" t="s">
        <v>158</v>
      </c>
      <c r="H128" s="16" t="s">
        <v>141</v>
      </c>
      <c r="I128" s="22" t="s">
        <v>856</v>
      </c>
      <c r="J128" s="16">
        <f>IFERROR(INDEX(Aux_HH!$J$4:$J$31,MATCH($H128&amp;"|"&amp;$I128,Aux_HH!$A$4:$A$31,0)),"")</f>
        <v>2</v>
      </c>
      <c r="K128" s="16" t="s">
        <v>76</v>
      </c>
      <c r="L128" s="16" t="str">
        <f>IF(COUNTIFS(Pessoas!$C$5:$C$44,$K128,Pessoas!$G$5:$G$44,"Ativo")=0,"Equipe "&amp;$K128,INDEX(Pessoas!$A$5:$A$44,_xludf.aggregate(15,6,(ROW(Pessoas!$A$5:$A$44)-4)/((Pessoas!$C$5:$C$44=$K128)*(Pessoas!$G$5:$G$44="Ativo")),MOD(ROW()-6,MAX(1,COUNTIFS(Pessoas!$C$5:$C$44,$K128,Pessoas!$G$5:$G$44,"Ativo")))+1)))</f>
        <v>Equipe Oficina Mecânica Central-Taisa</v>
      </c>
    </row>
    <row r="129" spans="1:12" ht="15" customHeight="1" x14ac:dyDescent="0.4">
      <c r="A129" s="25">
        <v>46308</v>
      </c>
      <c r="B129" s="16">
        <v>7</v>
      </c>
      <c r="C129" s="16">
        <v>1</v>
      </c>
      <c r="D129" s="16">
        <v>10</v>
      </c>
      <c r="E129" s="16" t="s">
        <v>980</v>
      </c>
      <c r="F129" s="16" t="s">
        <v>1102</v>
      </c>
      <c r="G129" s="16" t="s">
        <v>158</v>
      </c>
      <c r="H129" s="16" t="s">
        <v>141</v>
      </c>
      <c r="I129" s="22" t="s">
        <v>856</v>
      </c>
      <c r="J129" s="16">
        <f>IFERROR(INDEX(Aux_HH!$J$4:$J$31,MATCH($H129&amp;"|"&amp;$I129,Aux_HH!$A$4:$A$31,0)),"")</f>
        <v>2</v>
      </c>
      <c r="K129" s="16" t="s">
        <v>76</v>
      </c>
      <c r="L129" s="16" t="str">
        <f>IF(COUNTIFS(Pessoas!$C$5:$C$44,$K129,Pessoas!$G$5:$G$44,"Ativo")=0,"Equipe "&amp;$K129,INDEX(Pessoas!$A$5:$A$44,_xludf.aggregate(15,6,(ROW(Pessoas!$A$5:$A$44)-4)/((Pessoas!$C$5:$C$44=$K129)*(Pessoas!$G$5:$G$44="Ativo")),MOD(ROW()-6,MAX(1,COUNTIFS(Pessoas!$C$5:$C$44,$K129,Pessoas!$G$5:$G$44,"Ativo")))+1)))</f>
        <v>Equipe Oficina Mecânica Central-Taisa</v>
      </c>
    </row>
    <row r="130" spans="1:12" ht="15" customHeight="1" x14ac:dyDescent="0.4">
      <c r="A130" s="25">
        <v>46308</v>
      </c>
      <c r="B130" s="16">
        <v>7</v>
      </c>
      <c r="C130" s="16">
        <v>1</v>
      </c>
      <c r="D130" s="16">
        <v>10</v>
      </c>
      <c r="E130" s="16" t="s">
        <v>980</v>
      </c>
      <c r="F130" s="16" t="s">
        <v>1103</v>
      </c>
      <c r="G130" s="16" t="s">
        <v>158</v>
      </c>
      <c r="H130" s="16" t="s">
        <v>141</v>
      </c>
      <c r="I130" s="22" t="s">
        <v>856</v>
      </c>
      <c r="J130" s="16">
        <f>IFERROR(INDEX(Aux_HH!$J$4:$J$31,MATCH($H130&amp;"|"&amp;$I130,Aux_HH!$A$4:$A$31,0)),"")</f>
        <v>2</v>
      </c>
      <c r="K130" s="16" t="s">
        <v>76</v>
      </c>
      <c r="L130" s="16" t="str">
        <f>IF(COUNTIFS(Pessoas!$C$5:$C$44,$K130,Pessoas!$G$5:$G$44,"Ativo")=0,"Equipe "&amp;$K130,INDEX(Pessoas!$A$5:$A$44,_xludf.aggregate(15,6,(ROW(Pessoas!$A$5:$A$44)-4)/((Pessoas!$C$5:$C$44=$K130)*(Pessoas!$G$5:$G$44="Ativo")),MOD(ROW()-6,MAX(1,COUNTIFS(Pessoas!$C$5:$C$44,$K130,Pessoas!$G$5:$G$44,"Ativo")))+1)))</f>
        <v>Equipe Oficina Mecânica Central-Taisa</v>
      </c>
    </row>
    <row r="131" spans="1:12" ht="15" customHeight="1" x14ac:dyDescent="0.4">
      <c r="A131" s="25">
        <v>46308</v>
      </c>
      <c r="B131" s="16">
        <v>7</v>
      </c>
      <c r="C131" s="16">
        <v>1</v>
      </c>
      <c r="D131" s="16">
        <v>10</v>
      </c>
      <c r="E131" s="16" t="s">
        <v>980</v>
      </c>
      <c r="F131" s="16" t="s">
        <v>1104</v>
      </c>
      <c r="G131" s="16" t="s">
        <v>158</v>
      </c>
      <c r="H131" s="16" t="s">
        <v>141</v>
      </c>
      <c r="I131" s="22" t="s">
        <v>856</v>
      </c>
      <c r="J131" s="16">
        <f>IFERROR(INDEX(Aux_HH!$J$4:$J$31,MATCH($H131&amp;"|"&amp;$I131,Aux_HH!$A$4:$A$31,0)),"")</f>
        <v>2</v>
      </c>
      <c r="K131" s="16" t="s">
        <v>76</v>
      </c>
      <c r="L131" s="16" t="str">
        <f>IF(COUNTIFS(Pessoas!$C$5:$C$44,$K131,Pessoas!$G$5:$G$44,"Ativo")=0,"Equipe "&amp;$K131,INDEX(Pessoas!$A$5:$A$44,_xludf.aggregate(15,6,(ROW(Pessoas!$A$5:$A$44)-4)/((Pessoas!$C$5:$C$44=$K131)*(Pessoas!$G$5:$G$44="Ativo")),MOD(ROW()-6,MAX(1,COUNTIFS(Pessoas!$C$5:$C$44,$K131,Pessoas!$G$5:$G$44,"Ativo")))+1)))</f>
        <v>Equipe Oficina Mecânica Central-Taisa</v>
      </c>
    </row>
    <row r="132" spans="1:12" ht="15" customHeight="1" x14ac:dyDescent="0.4">
      <c r="A132" s="25">
        <v>46308</v>
      </c>
      <c r="B132" s="16">
        <v>7</v>
      </c>
      <c r="C132" s="16">
        <v>1</v>
      </c>
      <c r="D132" s="16">
        <v>10</v>
      </c>
      <c r="E132" s="16" t="s">
        <v>980</v>
      </c>
      <c r="F132" s="16" t="s">
        <v>1105</v>
      </c>
      <c r="G132" s="16" t="s">
        <v>158</v>
      </c>
      <c r="H132" s="16" t="s">
        <v>141</v>
      </c>
      <c r="I132" s="22" t="s">
        <v>856</v>
      </c>
      <c r="J132" s="16">
        <f>IFERROR(INDEX(Aux_HH!$J$4:$J$31,MATCH($H132&amp;"|"&amp;$I132,Aux_HH!$A$4:$A$31,0)),"")</f>
        <v>2</v>
      </c>
      <c r="K132" s="16" t="s">
        <v>76</v>
      </c>
      <c r="L132" s="16" t="str">
        <f>IF(COUNTIFS(Pessoas!$C$5:$C$44,$K132,Pessoas!$G$5:$G$44,"Ativo")=0,"Equipe "&amp;$K132,INDEX(Pessoas!$A$5:$A$44,_xludf.aggregate(15,6,(ROW(Pessoas!$A$5:$A$44)-4)/((Pessoas!$C$5:$C$44=$K132)*(Pessoas!$G$5:$G$44="Ativo")),MOD(ROW()-6,MAX(1,COUNTIFS(Pessoas!$C$5:$C$44,$K132,Pessoas!$G$5:$G$44,"Ativo")))+1)))</f>
        <v>Equipe Oficina Mecânica Central-Taisa</v>
      </c>
    </row>
    <row r="133" spans="1:12" ht="15" customHeight="1" x14ac:dyDescent="0.4">
      <c r="A133" s="25">
        <v>46308</v>
      </c>
      <c r="B133" s="16">
        <v>7</v>
      </c>
      <c r="C133" s="16">
        <v>1</v>
      </c>
      <c r="D133" s="16">
        <v>10</v>
      </c>
      <c r="E133" s="16" t="s">
        <v>980</v>
      </c>
      <c r="F133" s="16" t="s">
        <v>1106</v>
      </c>
      <c r="G133" s="16" t="s">
        <v>158</v>
      </c>
      <c r="H133" s="16" t="s">
        <v>141</v>
      </c>
      <c r="I133" s="22" t="s">
        <v>856</v>
      </c>
      <c r="J133" s="16">
        <f>IFERROR(INDEX(Aux_HH!$J$4:$J$31,MATCH($H133&amp;"|"&amp;$I133,Aux_HH!$A$4:$A$31,0)),"")</f>
        <v>2</v>
      </c>
      <c r="K133" s="16" t="s">
        <v>76</v>
      </c>
      <c r="L133" s="16" t="str">
        <f>IF(COUNTIFS(Pessoas!$C$5:$C$44,$K133,Pessoas!$G$5:$G$44,"Ativo")=0,"Equipe "&amp;$K133,INDEX(Pessoas!$A$5:$A$44,_xludf.aggregate(15,6,(ROW(Pessoas!$A$5:$A$44)-4)/((Pessoas!$C$5:$C$44=$K133)*(Pessoas!$G$5:$G$44="Ativo")),MOD(ROW()-6,MAX(1,COUNTIFS(Pessoas!$C$5:$C$44,$K133,Pessoas!$G$5:$G$44,"Ativo")))+1)))</f>
        <v>Equipe Oficina Mecânica Central-Taisa</v>
      </c>
    </row>
    <row r="134" spans="1:12" ht="15" customHeight="1" x14ac:dyDescent="0.4">
      <c r="A134" s="25">
        <v>46308</v>
      </c>
      <c r="B134" s="16">
        <v>7</v>
      </c>
      <c r="C134" s="16">
        <v>1</v>
      </c>
      <c r="D134" s="16">
        <v>10</v>
      </c>
      <c r="E134" s="16" t="s">
        <v>980</v>
      </c>
      <c r="F134" s="16" t="s">
        <v>1107</v>
      </c>
      <c r="G134" s="16" t="s">
        <v>184</v>
      </c>
      <c r="H134" s="16" t="s">
        <v>141</v>
      </c>
      <c r="I134" s="22" t="s">
        <v>856</v>
      </c>
      <c r="J134" s="16">
        <f>IFERROR(INDEX(Aux_HH!$J$4:$J$31,MATCH($H134&amp;"|"&amp;$I134,Aux_HH!$A$4:$A$31,0)),"")</f>
        <v>2</v>
      </c>
      <c r="K134" s="16" t="s">
        <v>76</v>
      </c>
      <c r="L134" s="16" t="str">
        <f>IF(COUNTIFS(Pessoas!$C$5:$C$44,$K134,Pessoas!$G$5:$G$44,"Ativo")=0,"Equipe "&amp;$K134,INDEX(Pessoas!$A$5:$A$44,_xludf.aggregate(15,6,(ROW(Pessoas!$A$5:$A$44)-4)/((Pessoas!$C$5:$C$44=$K134)*(Pessoas!$G$5:$G$44="Ativo")),MOD(ROW()-6,MAX(1,COUNTIFS(Pessoas!$C$5:$C$44,$K134,Pessoas!$G$5:$G$44,"Ativo")))+1)))</f>
        <v>Equipe Oficina Mecânica Central-Taisa</v>
      </c>
    </row>
    <row r="135" spans="1:12" ht="15" customHeight="1" x14ac:dyDescent="0.4">
      <c r="A135" s="25">
        <v>46308</v>
      </c>
      <c r="B135" s="16">
        <v>7</v>
      </c>
      <c r="C135" s="16">
        <v>1</v>
      </c>
      <c r="D135" s="16">
        <v>10</v>
      </c>
      <c r="E135" s="16" t="s">
        <v>980</v>
      </c>
      <c r="F135" s="16" t="s">
        <v>1108</v>
      </c>
      <c r="G135" s="16" t="s">
        <v>184</v>
      </c>
      <c r="H135" s="16" t="s">
        <v>141</v>
      </c>
      <c r="I135" s="22" t="s">
        <v>856</v>
      </c>
      <c r="J135" s="16">
        <f>IFERROR(INDEX(Aux_HH!$J$4:$J$31,MATCH($H135&amp;"|"&amp;$I135,Aux_HH!$A$4:$A$31,0)),"")</f>
        <v>2</v>
      </c>
      <c r="K135" s="16" t="s">
        <v>76</v>
      </c>
      <c r="L135" s="16" t="str">
        <f>IF(COUNTIFS(Pessoas!$C$5:$C$44,$K135,Pessoas!$G$5:$G$44,"Ativo")=0,"Equipe "&amp;$K135,INDEX(Pessoas!$A$5:$A$44,_xludf.aggregate(15,6,(ROW(Pessoas!$A$5:$A$44)-4)/((Pessoas!$C$5:$C$44=$K135)*(Pessoas!$G$5:$G$44="Ativo")),MOD(ROW()-6,MAX(1,COUNTIFS(Pessoas!$C$5:$C$44,$K135,Pessoas!$G$5:$G$44,"Ativo")))+1)))</f>
        <v>Equipe Oficina Mecânica Central-Taisa</v>
      </c>
    </row>
    <row r="136" spans="1:12" ht="15" customHeight="1" x14ac:dyDescent="0.4">
      <c r="A136" s="25">
        <v>46308</v>
      </c>
      <c r="B136" s="16">
        <v>7</v>
      </c>
      <c r="C136" s="16">
        <v>1</v>
      </c>
      <c r="D136" s="16">
        <v>10</v>
      </c>
      <c r="E136" s="16" t="s">
        <v>980</v>
      </c>
      <c r="F136" s="16" t="s">
        <v>1109</v>
      </c>
      <c r="G136" s="16" t="s">
        <v>184</v>
      </c>
      <c r="H136" s="16" t="s">
        <v>141</v>
      </c>
      <c r="I136" s="22" t="s">
        <v>856</v>
      </c>
      <c r="J136" s="16">
        <f>IFERROR(INDEX(Aux_HH!$J$4:$J$31,MATCH($H136&amp;"|"&amp;$I136,Aux_HH!$A$4:$A$31,0)),"")</f>
        <v>2</v>
      </c>
      <c r="K136" s="16" t="s">
        <v>76</v>
      </c>
      <c r="L136" s="16" t="str">
        <f>IF(COUNTIFS(Pessoas!$C$5:$C$44,$K136,Pessoas!$G$5:$G$44,"Ativo")=0,"Equipe "&amp;$K136,INDEX(Pessoas!$A$5:$A$44,_xludf.aggregate(15,6,(ROW(Pessoas!$A$5:$A$44)-4)/((Pessoas!$C$5:$C$44=$K136)*(Pessoas!$G$5:$G$44="Ativo")),MOD(ROW()-6,MAX(1,COUNTIFS(Pessoas!$C$5:$C$44,$K136,Pessoas!$G$5:$G$44,"Ativo")))+1)))</f>
        <v>Equipe Oficina Mecânica Central-Taisa</v>
      </c>
    </row>
    <row r="137" spans="1:12" ht="15" customHeight="1" x14ac:dyDescent="0.4">
      <c r="A137" s="25">
        <v>46308</v>
      </c>
      <c r="B137" s="16">
        <v>7</v>
      </c>
      <c r="C137" s="16">
        <v>1</v>
      </c>
      <c r="D137" s="16">
        <v>10</v>
      </c>
      <c r="E137" s="16" t="s">
        <v>980</v>
      </c>
      <c r="F137" s="16" t="s">
        <v>1110</v>
      </c>
      <c r="G137" s="16" t="s">
        <v>184</v>
      </c>
      <c r="H137" s="16" t="s">
        <v>141</v>
      </c>
      <c r="I137" s="22" t="s">
        <v>856</v>
      </c>
      <c r="J137" s="16">
        <f>IFERROR(INDEX(Aux_HH!$J$4:$J$31,MATCH($H137&amp;"|"&amp;$I137,Aux_HH!$A$4:$A$31,0)),"")</f>
        <v>2</v>
      </c>
      <c r="K137" s="16" t="s">
        <v>76</v>
      </c>
      <c r="L137" s="16" t="str">
        <f>IF(COUNTIFS(Pessoas!$C$5:$C$44,$K137,Pessoas!$G$5:$G$44,"Ativo")=0,"Equipe "&amp;$K137,INDEX(Pessoas!$A$5:$A$44,_xludf.aggregate(15,6,(ROW(Pessoas!$A$5:$A$44)-4)/((Pessoas!$C$5:$C$44=$K137)*(Pessoas!$G$5:$G$44="Ativo")),MOD(ROW()-6,MAX(1,COUNTIFS(Pessoas!$C$5:$C$44,$K137,Pessoas!$G$5:$G$44,"Ativo")))+1)))</f>
        <v>Equipe Oficina Mecânica Central-Taisa</v>
      </c>
    </row>
    <row r="138" spans="1:12" ht="15" customHeight="1" x14ac:dyDescent="0.4">
      <c r="A138" s="25">
        <v>46308</v>
      </c>
      <c r="B138" s="16">
        <v>7</v>
      </c>
      <c r="C138" s="16">
        <v>1</v>
      </c>
      <c r="D138" s="16">
        <v>10</v>
      </c>
      <c r="E138" s="16" t="s">
        <v>980</v>
      </c>
      <c r="F138" s="16" t="s">
        <v>1111</v>
      </c>
      <c r="G138" s="16" t="s">
        <v>184</v>
      </c>
      <c r="H138" s="16" t="s">
        <v>141</v>
      </c>
      <c r="I138" s="22" t="s">
        <v>856</v>
      </c>
      <c r="J138" s="16">
        <f>IFERROR(INDEX(Aux_HH!$J$4:$J$31,MATCH($H138&amp;"|"&amp;$I138,Aux_HH!$A$4:$A$31,0)),"")</f>
        <v>2</v>
      </c>
      <c r="K138" s="16" t="s">
        <v>76</v>
      </c>
      <c r="L138" s="16" t="str">
        <f>IF(COUNTIFS(Pessoas!$C$5:$C$44,$K138,Pessoas!$G$5:$G$44,"Ativo")=0,"Equipe "&amp;$K138,INDEX(Pessoas!$A$5:$A$44,_xludf.aggregate(15,6,(ROW(Pessoas!$A$5:$A$44)-4)/((Pessoas!$C$5:$C$44=$K138)*(Pessoas!$G$5:$G$44="Ativo")),MOD(ROW()-6,MAX(1,COUNTIFS(Pessoas!$C$5:$C$44,$K138,Pessoas!$G$5:$G$44,"Ativo")))+1)))</f>
        <v>Equipe Oficina Mecânica Central-Taisa</v>
      </c>
    </row>
    <row r="139" spans="1:12" ht="15" customHeight="1" x14ac:dyDescent="0.4">
      <c r="A139" s="25">
        <v>46308</v>
      </c>
      <c r="B139" s="16">
        <v>7</v>
      </c>
      <c r="C139" s="16">
        <v>1</v>
      </c>
      <c r="D139" s="16">
        <v>10</v>
      </c>
      <c r="E139" s="16" t="s">
        <v>980</v>
      </c>
      <c r="F139" s="16" t="s">
        <v>1112</v>
      </c>
      <c r="G139" s="16" t="s">
        <v>184</v>
      </c>
      <c r="H139" s="16" t="s">
        <v>141</v>
      </c>
      <c r="I139" s="22" t="s">
        <v>856</v>
      </c>
      <c r="J139" s="16">
        <f>IFERROR(INDEX(Aux_HH!$J$4:$J$31,MATCH($H139&amp;"|"&amp;$I139,Aux_HH!$A$4:$A$31,0)),"")</f>
        <v>2</v>
      </c>
      <c r="K139" s="16" t="s">
        <v>76</v>
      </c>
      <c r="L139" s="16" t="str">
        <f>IF(COUNTIFS(Pessoas!$C$5:$C$44,$K139,Pessoas!$G$5:$G$44,"Ativo")=0,"Equipe "&amp;$K139,INDEX(Pessoas!$A$5:$A$44,_xludf.aggregate(15,6,(ROW(Pessoas!$A$5:$A$44)-4)/((Pessoas!$C$5:$C$44=$K139)*(Pessoas!$G$5:$G$44="Ativo")),MOD(ROW()-6,MAX(1,COUNTIFS(Pessoas!$C$5:$C$44,$K139,Pessoas!$G$5:$G$44,"Ativo")))+1)))</f>
        <v>Equipe Oficina Mecânica Central-Taisa</v>
      </c>
    </row>
    <row r="140" spans="1:12" ht="15" customHeight="1" x14ac:dyDescent="0.4">
      <c r="A140" s="25">
        <v>46308</v>
      </c>
      <c r="B140" s="16">
        <v>7</v>
      </c>
      <c r="C140" s="16">
        <v>1</v>
      </c>
      <c r="D140" s="16">
        <v>10</v>
      </c>
      <c r="E140" s="16" t="s">
        <v>980</v>
      </c>
      <c r="F140" s="16" t="s">
        <v>1113</v>
      </c>
      <c r="G140" s="16" t="s">
        <v>184</v>
      </c>
      <c r="H140" s="16" t="s">
        <v>141</v>
      </c>
      <c r="I140" s="22" t="s">
        <v>856</v>
      </c>
      <c r="J140" s="16">
        <f>IFERROR(INDEX(Aux_HH!$J$4:$J$31,MATCH($H140&amp;"|"&amp;$I140,Aux_HH!$A$4:$A$31,0)),"")</f>
        <v>2</v>
      </c>
      <c r="K140" s="16" t="s">
        <v>76</v>
      </c>
      <c r="L140" s="16" t="str">
        <f>IF(COUNTIFS(Pessoas!$C$5:$C$44,$K140,Pessoas!$G$5:$G$44,"Ativo")=0,"Equipe "&amp;$K140,INDEX(Pessoas!$A$5:$A$44,_xludf.aggregate(15,6,(ROW(Pessoas!$A$5:$A$44)-4)/((Pessoas!$C$5:$C$44=$K140)*(Pessoas!$G$5:$G$44="Ativo")),MOD(ROW()-6,MAX(1,COUNTIFS(Pessoas!$C$5:$C$44,$K140,Pessoas!$G$5:$G$44,"Ativo")))+1)))</f>
        <v>Equipe Oficina Mecânica Central-Taisa</v>
      </c>
    </row>
    <row r="141" spans="1:12" ht="15" customHeight="1" x14ac:dyDescent="0.4">
      <c r="A141" s="25">
        <v>46308</v>
      </c>
      <c r="B141" s="16">
        <v>7</v>
      </c>
      <c r="C141" s="16">
        <v>1</v>
      </c>
      <c r="D141" s="16">
        <v>10</v>
      </c>
      <c r="E141" s="16" t="s">
        <v>980</v>
      </c>
      <c r="F141" s="16" t="s">
        <v>1114</v>
      </c>
      <c r="G141" s="16" t="s">
        <v>184</v>
      </c>
      <c r="H141" s="16" t="s">
        <v>141</v>
      </c>
      <c r="I141" s="22" t="s">
        <v>856</v>
      </c>
      <c r="J141" s="16">
        <f>IFERROR(INDEX(Aux_HH!$J$4:$J$31,MATCH($H141&amp;"|"&amp;$I141,Aux_HH!$A$4:$A$31,0)),"")</f>
        <v>2</v>
      </c>
      <c r="K141" s="16" t="s">
        <v>76</v>
      </c>
      <c r="L141" s="16" t="str">
        <f>IF(COUNTIFS(Pessoas!$C$5:$C$44,$K141,Pessoas!$G$5:$G$44,"Ativo")=0,"Equipe "&amp;$K141,INDEX(Pessoas!$A$5:$A$44,_xludf.aggregate(15,6,(ROW(Pessoas!$A$5:$A$44)-4)/((Pessoas!$C$5:$C$44=$K141)*(Pessoas!$G$5:$G$44="Ativo")),MOD(ROW()-6,MAX(1,COUNTIFS(Pessoas!$C$5:$C$44,$K141,Pessoas!$G$5:$G$44,"Ativo")))+1)))</f>
        <v>Equipe Oficina Mecânica Central-Taisa</v>
      </c>
    </row>
    <row r="142" spans="1:12" ht="15" customHeight="1" x14ac:dyDescent="0.4">
      <c r="A142" s="25">
        <v>46308</v>
      </c>
      <c r="B142" s="16">
        <v>7</v>
      </c>
      <c r="C142" s="16">
        <v>1</v>
      </c>
      <c r="D142" s="16">
        <v>10</v>
      </c>
      <c r="E142" s="16" t="s">
        <v>980</v>
      </c>
      <c r="F142" s="16" t="s">
        <v>1115</v>
      </c>
      <c r="G142" s="16" t="s">
        <v>184</v>
      </c>
      <c r="H142" s="16" t="s">
        <v>141</v>
      </c>
      <c r="I142" s="22" t="s">
        <v>856</v>
      </c>
      <c r="J142" s="16">
        <f>IFERROR(INDEX(Aux_HH!$J$4:$J$31,MATCH($H142&amp;"|"&amp;$I142,Aux_HH!$A$4:$A$31,0)),"")</f>
        <v>2</v>
      </c>
      <c r="K142" s="16" t="s">
        <v>76</v>
      </c>
      <c r="L142" s="16" t="str">
        <f>IF(COUNTIFS(Pessoas!$C$5:$C$44,$K142,Pessoas!$G$5:$G$44,"Ativo")=0,"Equipe "&amp;$K142,INDEX(Pessoas!$A$5:$A$44,_xludf.aggregate(15,6,(ROW(Pessoas!$A$5:$A$44)-4)/((Pessoas!$C$5:$C$44=$K142)*(Pessoas!$G$5:$G$44="Ativo")),MOD(ROW()-6,MAX(1,COUNTIFS(Pessoas!$C$5:$C$44,$K142,Pessoas!$G$5:$G$44,"Ativo")))+1)))</f>
        <v>Equipe Oficina Mecânica Central-Taisa</v>
      </c>
    </row>
    <row r="143" spans="1:12" ht="15" customHeight="1" x14ac:dyDescent="0.4">
      <c r="A143" s="25">
        <v>46308</v>
      </c>
      <c r="B143" s="16">
        <v>7</v>
      </c>
      <c r="C143" s="16">
        <v>1</v>
      </c>
      <c r="D143" s="16">
        <v>10</v>
      </c>
      <c r="E143" s="16" t="s">
        <v>980</v>
      </c>
      <c r="F143" s="16" t="s">
        <v>1116</v>
      </c>
      <c r="G143" s="16" t="s">
        <v>184</v>
      </c>
      <c r="H143" s="16" t="s">
        <v>141</v>
      </c>
      <c r="I143" s="22" t="s">
        <v>856</v>
      </c>
      <c r="J143" s="16">
        <f>IFERROR(INDEX(Aux_HH!$J$4:$J$31,MATCH($H143&amp;"|"&amp;$I143,Aux_HH!$A$4:$A$31,0)),"")</f>
        <v>2</v>
      </c>
      <c r="K143" s="16" t="s">
        <v>76</v>
      </c>
      <c r="L143" s="16" t="str">
        <f>IF(COUNTIFS(Pessoas!$C$5:$C$44,$K143,Pessoas!$G$5:$G$44,"Ativo")=0,"Equipe "&amp;$K143,INDEX(Pessoas!$A$5:$A$44,_xludf.aggregate(15,6,(ROW(Pessoas!$A$5:$A$44)-4)/((Pessoas!$C$5:$C$44=$K143)*(Pessoas!$G$5:$G$44="Ativo")),MOD(ROW()-6,MAX(1,COUNTIFS(Pessoas!$C$5:$C$44,$K143,Pessoas!$G$5:$G$44,"Ativo")))+1)))</f>
        <v>Equipe Oficina Mecânica Central-Taisa</v>
      </c>
    </row>
    <row r="144" spans="1:12" ht="15" customHeight="1" x14ac:dyDescent="0.4">
      <c r="A144" s="25">
        <v>46308</v>
      </c>
      <c r="B144" s="16">
        <v>7</v>
      </c>
      <c r="C144" s="16">
        <v>1</v>
      </c>
      <c r="D144" s="16">
        <v>10</v>
      </c>
      <c r="E144" s="16" t="s">
        <v>980</v>
      </c>
      <c r="F144" s="16" t="s">
        <v>1117</v>
      </c>
      <c r="G144" s="16" t="s">
        <v>526</v>
      </c>
      <c r="H144" s="16" t="s">
        <v>140</v>
      </c>
      <c r="I144" s="22" t="s">
        <v>856</v>
      </c>
      <c r="J144" s="16">
        <f>IFERROR(INDEX(Aux_HH!$J$4:$J$31,MATCH($H144&amp;"|"&amp;$I144,Aux_HH!$A$4:$A$31,0)),"")</f>
        <v>2.5</v>
      </c>
      <c r="K144" s="16" t="s">
        <v>76</v>
      </c>
      <c r="L144" s="16" t="str">
        <f>IF(COUNTIFS(Pessoas!$C$5:$C$44,$K144,Pessoas!$G$5:$G$44,"Ativo")=0,"Equipe "&amp;$K144,INDEX(Pessoas!$A$5:$A$44,_xludf.aggregate(15,6,(ROW(Pessoas!$A$5:$A$44)-4)/((Pessoas!$C$5:$C$44=$K144)*(Pessoas!$G$5:$G$44="Ativo")),MOD(ROW()-6,MAX(1,COUNTIFS(Pessoas!$C$5:$C$44,$K144,Pessoas!$G$5:$G$44,"Ativo")))+1)))</f>
        <v>Equipe Oficina Mecânica Central-Taisa</v>
      </c>
    </row>
    <row r="145" spans="1:12" ht="15" customHeight="1" x14ac:dyDescent="0.4">
      <c r="A145" s="25">
        <v>46308</v>
      </c>
      <c r="B145" s="16">
        <v>7</v>
      </c>
      <c r="C145" s="16">
        <v>1</v>
      </c>
      <c r="D145" s="16">
        <v>10</v>
      </c>
      <c r="E145" s="16" t="s">
        <v>980</v>
      </c>
      <c r="F145" s="16" t="s">
        <v>1118</v>
      </c>
      <c r="G145" s="16" t="s">
        <v>526</v>
      </c>
      <c r="H145" s="16" t="s">
        <v>140</v>
      </c>
      <c r="I145" s="22" t="s">
        <v>856</v>
      </c>
      <c r="J145" s="16">
        <f>IFERROR(INDEX(Aux_HH!$J$4:$J$31,MATCH($H145&amp;"|"&amp;$I145,Aux_HH!$A$4:$A$31,0)),"")</f>
        <v>2.5</v>
      </c>
      <c r="K145" s="16" t="s">
        <v>76</v>
      </c>
      <c r="L145" s="16" t="str">
        <f>IF(COUNTIFS(Pessoas!$C$5:$C$44,$K145,Pessoas!$G$5:$G$44,"Ativo")=0,"Equipe "&amp;$K145,INDEX(Pessoas!$A$5:$A$44,_xludf.aggregate(15,6,(ROW(Pessoas!$A$5:$A$44)-4)/((Pessoas!$C$5:$C$44=$K145)*(Pessoas!$G$5:$G$44="Ativo")),MOD(ROW()-6,MAX(1,COUNTIFS(Pessoas!$C$5:$C$44,$K145,Pessoas!$G$5:$G$44,"Ativo")))+1)))</f>
        <v>Equipe Oficina Mecânica Central-Taisa</v>
      </c>
    </row>
    <row r="146" spans="1:12" ht="15" customHeight="1" x14ac:dyDescent="0.4">
      <c r="A146" s="25">
        <v>46308</v>
      </c>
      <c r="B146" s="16">
        <v>7</v>
      </c>
      <c r="C146" s="16">
        <v>1</v>
      </c>
      <c r="D146" s="16">
        <v>10</v>
      </c>
      <c r="E146" s="16" t="s">
        <v>980</v>
      </c>
      <c r="F146" s="16" t="s">
        <v>1119</v>
      </c>
      <c r="G146" s="16" t="s">
        <v>184</v>
      </c>
      <c r="H146" s="16" t="s">
        <v>140</v>
      </c>
      <c r="I146" s="22" t="s">
        <v>856</v>
      </c>
      <c r="J146" s="16">
        <f>IFERROR(INDEX(Aux_HH!$J$4:$J$31,MATCH($H146&amp;"|"&amp;$I146,Aux_HH!$A$4:$A$31,0)),"")</f>
        <v>2.5</v>
      </c>
      <c r="K146" s="16" t="s">
        <v>76</v>
      </c>
      <c r="L146" s="16" t="str">
        <f>IF(COUNTIFS(Pessoas!$C$5:$C$44,$K146,Pessoas!$G$5:$G$44,"Ativo")=0,"Equipe "&amp;$K146,INDEX(Pessoas!$A$5:$A$44,_xludf.aggregate(15,6,(ROW(Pessoas!$A$5:$A$44)-4)/((Pessoas!$C$5:$C$44=$K146)*(Pessoas!$G$5:$G$44="Ativo")),MOD(ROW()-6,MAX(1,COUNTIFS(Pessoas!$C$5:$C$44,$K146,Pessoas!$G$5:$G$44,"Ativo")))+1)))</f>
        <v>Equipe Oficina Mecânica Central-Taisa</v>
      </c>
    </row>
    <row r="147" spans="1:12" ht="15" customHeight="1" x14ac:dyDescent="0.4">
      <c r="A147" s="25">
        <v>46308</v>
      </c>
      <c r="B147" s="16">
        <v>7</v>
      </c>
      <c r="C147" s="16">
        <v>1</v>
      </c>
      <c r="D147" s="16">
        <v>10</v>
      </c>
      <c r="E147" s="16" t="s">
        <v>980</v>
      </c>
      <c r="F147" s="16" t="s">
        <v>1120</v>
      </c>
      <c r="G147" s="16" t="s">
        <v>184</v>
      </c>
      <c r="H147" s="16" t="s">
        <v>140</v>
      </c>
      <c r="I147" s="22" t="s">
        <v>856</v>
      </c>
      <c r="J147" s="16">
        <f>IFERROR(INDEX(Aux_HH!$J$4:$J$31,MATCH($H147&amp;"|"&amp;$I147,Aux_HH!$A$4:$A$31,0)),"")</f>
        <v>2.5</v>
      </c>
      <c r="K147" s="16" t="s">
        <v>76</v>
      </c>
      <c r="L147" s="16" t="str">
        <f>IF(COUNTIFS(Pessoas!$C$5:$C$44,$K147,Pessoas!$G$5:$G$44,"Ativo")=0,"Equipe "&amp;$K147,INDEX(Pessoas!$A$5:$A$44,_xludf.aggregate(15,6,(ROW(Pessoas!$A$5:$A$44)-4)/((Pessoas!$C$5:$C$44=$K147)*(Pessoas!$G$5:$G$44="Ativo")),MOD(ROW()-6,MAX(1,COUNTIFS(Pessoas!$C$5:$C$44,$K147,Pessoas!$G$5:$G$44,"Ativo")))+1)))</f>
        <v>Equipe Oficina Mecânica Central-Taisa</v>
      </c>
    </row>
    <row r="148" spans="1:12" ht="15" customHeight="1" x14ac:dyDescent="0.4">
      <c r="A148" s="25">
        <v>46308</v>
      </c>
      <c r="B148" s="16">
        <v>7</v>
      </c>
      <c r="C148" s="16">
        <v>1</v>
      </c>
      <c r="D148" s="16">
        <v>10</v>
      </c>
      <c r="E148" s="16" t="s">
        <v>980</v>
      </c>
      <c r="F148" s="16" t="s">
        <v>1121</v>
      </c>
      <c r="G148" s="16" t="s">
        <v>526</v>
      </c>
      <c r="H148" s="16" t="s">
        <v>140</v>
      </c>
      <c r="I148" s="22" t="s">
        <v>856</v>
      </c>
      <c r="J148" s="16">
        <f>IFERROR(INDEX(Aux_HH!$J$4:$J$31,MATCH($H148&amp;"|"&amp;$I148,Aux_HH!$A$4:$A$31,0)),"")</f>
        <v>2.5</v>
      </c>
      <c r="K148" s="16" t="s">
        <v>76</v>
      </c>
      <c r="L148" s="16" t="str">
        <f>IF(COUNTIFS(Pessoas!$C$5:$C$44,$K148,Pessoas!$G$5:$G$44,"Ativo")=0,"Equipe "&amp;$K148,INDEX(Pessoas!$A$5:$A$44,_xludf.aggregate(15,6,(ROW(Pessoas!$A$5:$A$44)-4)/((Pessoas!$C$5:$C$44=$K148)*(Pessoas!$G$5:$G$44="Ativo")),MOD(ROW()-6,MAX(1,COUNTIFS(Pessoas!$C$5:$C$44,$K148,Pessoas!$G$5:$G$44,"Ativo")))+1)))</f>
        <v>Equipe Oficina Mecânica Central-Taisa</v>
      </c>
    </row>
    <row r="149" spans="1:12" ht="15" customHeight="1" x14ac:dyDescent="0.4">
      <c r="A149" s="25">
        <v>46308</v>
      </c>
      <c r="B149" s="16">
        <v>7</v>
      </c>
      <c r="C149" s="16">
        <v>1</v>
      </c>
      <c r="D149" s="16">
        <v>10</v>
      </c>
      <c r="E149" s="16" t="s">
        <v>980</v>
      </c>
      <c r="F149" s="16" t="s">
        <v>1122</v>
      </c>
      <c r="G149" s="16" t="s">
        <v>526</v>
      </c>
      <c r="H149" s="16" t="s">
        <v>140</v>
      </c>
      <c r="I149" s="22" t="s">
        <v>856</v>
      </c>
      <c r="J149" s="16">
        <f>IFERROR(INDEX(Aux_HH!$J$4:$J$31,MATCH($H149&amp;"|"&amp;$I149,Aux_HH!$A$4:$A$31,0)),"")</f>
        <v>2.5</v>
      </c>
      <c r="K149" s="16" t="s">
        <v>76</v>
      </c>
      <c r="L149" s="16" t="str">
        <f>IF(COUNTIFS(Pessoas!$C$5:$C$44,$K149,Pessoas!$G$5:$G$44,"Ativo")=0,"Equipe "&amp;$K149,INDEX(Pessoas!$A$5:$A$44,_xludf.aggregate(15,6,(ROW(Pessoas!$A$5:$A$44)-4)/((Pessoas!$C$5:$C$44=$K149)*(Pessoas!$G$5:$G$44="Ativo")),MOD(ROW()-6,MAX(1,COUNTIFS(Pessoas!$C$5:$C$44,$K149,Pessoas!$G$5:$G$44,"Ativo")))+1)))</f>
        <v>Equipe Oficina Mecânica Central-Taisa</v>
      </c>
    </row>
    <row r="150" spans="1:12" ht="15" customHeight="1" x14ac:dyDescent="0.4">
      <c r="A150" s="25">
        <v>46308</v>
      </c>
      <c r="B150" s="16">
        <v>7</v>
      </c>
      <c r="C150" s="16">
        <v>1</v>
      </c>
      <c r="D150" s="16">
        <v>10</v>
      </c>
      <c r="E150" s="16" t="s">
        <v>980</v>
      </c>
      <c r="F150" s="16" t="s">
        <v>1123</v>
      </c>
      <c r="G150" s="16" t="s">
        <v>526</v>
      </c>
      <c r="H150" s="16" t="s">
        <v>140</v>
      </c>
      <c r="I150" s="22" t="s">
        <v>856</v>
      </c>
      <c r="J150" s="16">
        <f>IFERROR(INDEX(Aux_HH!$J$4:$J$31,MATCH($H150&amp;"|"&amp;$I150,Aux_HH!$A$4:$A$31,0)),"")</f>
        <v>2.5</v>
      </c>
      <c r="K150" s="16" t="s">
        <v>76</v>
      </c>
      <c r="L150" s="16" t="str">
        <f>IF(COUNTIFS(Pessoas!$C$5:$C$44,$K150,Pessoas!$G$5:$G$44,"Ativo")=0,"Equipe "&amp;$K150,INDEX(Pessoas!$A$5:$A$44,_xludf.aggregate(15,6,(ROW(Pessoas!$A$5:$A$44)-4)/((Pessoas!$C$5:$C$44=$K150)*(Pessoas!$G$5:$G$44="Ativo")),MOD(ROW()-6,MAX(1,COUNTIFS(Pessoas!$C$5:$C$44,$K150,Pessoas!$G$5:$G$44,"Ativo")))+1)))</f>
        <v>Equipe Oficina Mecânica Central-Taisa</v>
      </c>
    </row>
    <row r="151" spans="1:12" ht="15" customHeight="1" x14ac:dyDescent="0.4">
      <c r="A151" s="25">
        <v>46308</v>
      </c>
      <c r="B151" s="16">
        <v>7</v>
      </c>
      <c r="C151" s="16">
        <v>1</v>
      </c>
      <c r="D151" s="16">
        <v>10</v>
      </c>
      <c r="E151" s="16" t="s">
        <v>980</v>
      </c>
      <c r="F151" s="16" t="s">
        <v>1124</v>
      </c>
      <c r="G151" s="16" t="s">
        <v>184</v>
      </c>
      <c r="H151" s="16" t="s">
        <v>141</v>
      </c>
      <c r="I151" s="22" t="s">
        <v>856</v>
      </c>
      <c r="J151" s="16">
        <f>IFERROR(INDEX(Aux_HH!$J$4:$J$31,MATCH($H151&amp;"|"&amp;$I151,Aux_HH!$A$4:$A$31,0)),"")</f>
        <v>2</v>
      </c>
      <c r="K151" s="16" t="s">
        <v>76</v>
      </c>
      <c r="L151" s="16" t="str">
        <f>IF(COUNTIFS(Pessoas!$C$5:$C$44,$K151,Pessoas!$G$5:$G$44,"Ativo")=0,"Equipe "&amp;$K151,INDEX(Pessoas!$A$5:$A$44,_xludf.aggregate(15,6,(ROW(Pessoas!$A$5:$A$44)-4)/((Pessoas!$C$5:$C$44=$K151)*(Pessoas!$G$5:$G$44="Ativo")),MOD(ROW()-6,MAX(1,COUNTIFS(Pessoas!$C$5:$C$44,$K151,Pessoas!$G$5:$G$44,"Ativo")))+1)))</f>
        <v>Equipe Oficina Mecânica Central-Taisa</v>
      </c>
    </row>
    <row r="152" spans="1:12" ht="15" customHeight="1" x14ac:dyDescent="0.4">
      <c r="A152" s="25">
        <v>46309</v>
      </c>
      <c r="B152" s="16">
        <v>7</v>
      </c>
      <c r="C152" s="16">
        <v>1</v>
      </c>
      <c r="D152" s="16">
        <v>10</v>
      </c>
      <c r="E152" s="16" t="s">
        <v>980</v>
      </c>
      <c r="F152" s="16" t="s">
        <v>1125</v>
      </c>
      <c r="G152" s="16" t="s">
        <v>526</v>
      </c>
      <c r="H152" s="16" t="s">
        <v>140</v>
      </c>
      <c r="I152" s="22" t="s">
        <v>856</v>
      </c>
      <c r="J152" s="16">
        <f>IFERROR(INDEX(Aux_HH!$J$4:$J$31,MATCH($H152&amp;"|"&amp;$I152,Aux_HH!$A$4:$A$31,0)),"")</f>
        <v>2.5</v>
      </c>
      <c r="K152" s="16" t="s">
        <v>76</v>
      </c>
      <c r="L152" s="16" t="str">
        <f>IF(COUNTIFS(Pessoas!$C$5:$C$44,$K152,Pessoas!$G$5:$G$44,"Ativo")=0,"Equipe "&amp;$K152,INDEX(Pessoas!$A$5:$A$44,_xludf.aggregate(15,6,(ROW(Pessoas!$A$5:$A$44)-4)/((Pessoas!$C$5:$C$44=$K152)*(Pessoas!$G$5:$G$44="Ativo")),MOD(ROW()-6,MAX(1,COUNTIFS(Pessoas!$C$5:$C$44,$K152,Pessoas!$G$5:$G$44,"Ativo")))+1)))</f>
        <v>Equipe Oficina Mecânica Central-Taisa</v>
      </c>
    </row>
    <row r="153" spans="1:12" ht="15" customHeight="1" x14ac:dyDescent="0.4">
      <c r="A153" s="25">
        <v>46309</v>
      </c>
      <c r="B153" s="16">
        <v>7</v>
      </c>
      <c r="C153" s="16">
        <v>1</v>
      </c>
      <c r="D153" s="16">
        <v>10</v>
      </c>
      <c r="E153" s="16" t="s">
        <v>980</v>
      </c>
      <c r="F153" s="16" t="s">
        <v>1126</v>
      </c>
      <c r="G153" s="16" t="s">
        <v>526</v>
      </c>
      <c r="H153" s="16" t="s">
        <v>140</v>
      </c>
      <c r="I153" s="22" t="s">
        <v>856</v>
      </c>
      <c r="J153" s="16">
        <f>IFERROR(INDEX(Aux_HH!$J$4:$J$31,MATCH($H153&amp;"|"&amp;$I153,Aux_HH!$A$4:$A$31,0)),"")</f>
        <v>2.5</v>
      </c>
      <c r="K153" s="16" t="s">
        <v>76</v>
      </c>
      <c r="L153" s="16" t="str">
        <f>IF(COUNTIFS(Pessoas!$C$5:$C$44,$K153,Pessoas!$G$5:$G$44,"Ativo")=0,"Equipe "&amp;$K153,INDEX(Pessoas!$A$5:$A$44,_xludf.aggregate(15,6,(ROW(Pessoas!$A$5:$A$44)-4)/((Pessoas!$C$5:$C$44=$K153)*(Pessoas!$G$5:$G$44="Ativo")),MOD(ROW()-6,MAX(1,COUNTIFS(Pessoas!$C$5:$C$44,$K153,Pessoas!$G$5:$G$44,"Ativo")))+1)))</f>
        <v>Equipe Oficina Mecânica Central-Taisa</v>
      </c>
    </row>
    <row r="154" spans="1:12" ht="15" customHeight="1" x14ac:dyDescent="0.4">
      <c r="A154" s="25">
        <v>46309</v>
      </c>
      <c r="B154" s="16">
        <v>7</v>
      </c>
      <c r="C154" s="16">
        <v>1</v>
      </c>
      <c r="D154" s="16">
        <v>10</v>
      </c>
      <c r="E154" s="16" t="s">
        <v>980</v>
      </c>
      <c r="F154" s="16" t="s">
        <v>1127</v>
      </c>
      <c r="G154" s="16" t="s">
        <v>184</v>
      </c>
      <c r="H154" s="16" t="s">
        <v>140</v>
      </c>
      <c r="I154" s="22" t="s">
        <v>856</v>
      </c>
      <c r="J154" s="16">
        <f>IFERROR(INDEX(Aux_HH!$J$4:$J$31,MATCH($H154&amp;"|"&amp;$I154,Aux_HH!$A$4:$A$31,0)),"")</f>
        <v>2.5</v>
      </c>
      <c r="K154" s="16" t="s">
        <v>76</v>
      </c>
      <c r="L154" s="16" t="str">
        <f>IF(COUNTIFS(Pessoas!$C$5:$C$44,$K154,Pessoas!$G$5:$G$44,"Ativo")=0,"Equipe "&amp;$K154,INDEX(Pessoas!$A$5:$A$44,_xludf.aggregate(15,6,(ROW(Pessoas!$A$5:$A$44)-4)/((Pessoas!$C$5:$C$44=$K154)*(Pessoas!$G$5:$G$44="Ativo")),MOD(ROW()-6,MAX(1,COUNTIFS(Pessoas!$C$5:$C$44,$K154,Pessoas!$G$5:$G$44,"Ativo")))+1)))</f>
        <v>Equipe Oficina Mecânica Central-Taisa</v>
      </c>
    </row>
    <row r="155" spans="1:12" ht="15" customHeight="1" x14ac:dyDescent="0.4">
      <c r="A155" s="25">
        <v>46309</v>
      </c>
      <c r="B155" s="16">
        <v>7</v>
      </c>
      <c r="C155" s="16">
        <v>1</v>
      </c>
      <c r="D155" s="16">
        <v>10</v>
      </c>
      <c r="E155" s="16" t="s">
        <v>980</v>
      </c>
      <c r="F155" s="16" t="s">
        <v>1128</v>
      </c>
      <c r="G155" s="16" t="s">
        <v>184</v>
      </c>
      <c r="H155" s="16" t="s">
        <v>140</v>
      </c>
      <c r="I155" s="22" t="s">
        <v>856</v>
      </c>
      <c r="J155" s="16">
        <f>IFERROR(INDEX(Aux_HH!$J$4:$J$31,MATCH($H155&amp;"|"&amp;$I155,Aux_HH!$A$4:$A$31,0)),"")</f>
        <v>2.5</v>
      </c>
      <c r="K155" s="16" t="s">
        <v>76</v>
      </c>
      <c r="L155" s="16" t="str">
        <f>IF(COUNTIFS(Pessoas!$C$5:$C$44,$K155,Pessoas!$G$5:$G$44,"Ativo")=0,"Equipe "&amp;$K155,INDEX(Pessoas!$A$5:$A$44,_xludf.aggregate(15,6,(ROW(Pessoas!$A$5:$A$44)-4)/((Pessoas!$C$5:$C$44=$K155)*(Pessoas!$G$5:$G$44="Ativo")),MOD(ROW()-6,MAX(1,COUNTIFS(Pessoas!$C$5:$C$44,$K155,Pessoas!$G$5:$G$44,"Ativo")))+1)))</f>
        <v>Equipe Oficina Mecânica Central-Taisa</v>
      </c>
    </row>
    <row r="156" spans="1:12" ht="15" customHeight="1" x14ac:dyDescent="0.4">
      <c r="A156" s="25">
        <v>46309</v>
      </c>
      <c r="B156" s="16">
        <v>7</v>
      </c>
      <c r="C156" s="16">
        <v>1</v>
      </c>
      <c r="D156" s="16">
        <v>10</v>
      </c>
      <c r="E156" s="16" t="s">
        <v>980</v>
      </c>
      <c r="F156" s="16" t="s">
        <v>1129</v>
      </c>
      <c r="G156" s="16" t="s">
        <v>184</v>
      </c>
      <c r="H156" s="16" t="s">
        <v>140</v>
      </c>
      <c r="I156" s="22" t="s">
        <v>856</v>
      </c>
      <c r="J156" s="16">
        <f>IFERROR(INDEX(Aux_HH!$J$4:$J$31,MATCH($H156&amp;"|"&amp;$I156,Aux_HH!$A$4:$A$31,0)),"")</f>
        <v>2.5</v>
      </c>
      <c r="K156" s="16" t="s">
        <v>76</v>
      </c>
      <c r="L156" s="16" t="str">
        <f>IF(COUNTIFS(Pessoas!$C$5:$C$44,$K156,Pessoas!$G$5:$G$44,"Ativo")=0,"Equipe "&amp;$K156,INDEX(Pessoas!$A$5:$A$44,_xludf.aggregate(15,6,(ROW(Pessoas!$A$5:$A$44)-4)/((Pessoas!$C$5:$C$44=$K156)*(Pessoas!$G$5:$G$44="Ativo")),MOD(ROW()-6,MAX(1,COUNTIFS(Pessoas!$C$5:$C$44,$K156,Pessoas!$G$5:$G$44,"Ativo")))+1)))</f>
        <v>Equipe Oficina Mecânica Central-Taisa</v>
      </c>
    </row>
    <row r="157" spans="1:12" ht="15" customHeight="1" x14ac:dyDescent="0.4">
      <c r="A157" s="25">
        <v>46309</v>
      </c>
      <c r="B157" s="16">
        <v>7</v>
      </c>
      <c r="C157" s="16">
        <v>1</v>
      </c>
      <c r="D157" s="16">
        <v>10</v>
      </c>
      <c r="E157" s="16" t="s">
        <v>980</v>
      </c>
      <c r="F157" s="16" t="s">
        <v>1130</v>
      </c>
      <c r="G157" s="16" t="s">
        <v>184</v>
      </c>
      <c r="H157" s="16" t="s">
        <v>140</v>
      </c>
      <c r="I157" s="22" t="s">
        <v>856</v>
      </c>
      <c r="J157" s="16">
        <f>IFERROR(INDEX(Aux_HH!$J$4:$J$31,MATCH($H157&amp;"|"&amp;$I157,Aux_HH!$A$4:$A$31,0)),"")</f>
        <v>2.5</v>
      </c>
      <c r="K157" s="16" t="s">
        <v>76</v>
      </c>
      <c r="L157" s="16" t="str">
        <f>IF(COUNTIFS(Pessoas!$C$5:$C$44,$K157,Pessoas!$G$5:$G$44,"Ativo")=0,"Equipe "&amp;$K157,INDEX(Pessoas!$A$5:$A$44,_xludf.aggregate(15,6,(ROW(Pessoas!$A$5:$A$44)-4)/((Pessoas!$C$5:$C$44=$K157)*(Pessoas!$G$5:$G$44="Ativo")),MOD(ROW()-6,MAX(1,COUNTIFS(Pessoas!$C$5:$C$44,$K157,Pessoas!$G$5:$G$44,"Ativo")))+1)))</f>
        <v>Equipe Oficina Mecânica Central-Taisa</v>
      </c>
    </row>
    <row r="158" spans="1:12" ht="15" customHeight="1" x14ac:dyDescent="0.4">
      <c r="A158" s="25">
        <v>46309</v>
      </c>
      <c r="B158" s="16">
        <v>7</v>
      </c>
      <c r="C158" s="16">
        <v>1</v>
      </c>
      <c r="D158" s="16">
        <v>10</v>
      </c>
      <c r="E158" s="16" t="s">
        <v>980</v>
      </c>
      <c r="F158" s="16" t="s">
        <v>1131</v>
      </c>
      <c r="G158" s="16" t="s">
        <v>526</v>
      </c>
      <c r="H158" s="16" t="s">
        <v>140</v>
      </c>
      <c r="I158" s="22" t="s">
        <v>856</v>
      </c>
      <c r="J158" s="16">
        <f>IFERROR(INDEX(Aux_HH!$J$4:$J$31,MATCH($H158&amp;"|"&amp;$I158,Aux_HH!$A$4:$A$31,0)),"")</f>
        <v>2.5</v>
      </c>
      <c r="K158" s="16" t="s">
        <v>76</v>
      </c>
      <c r="L158" s="16" t="str">
        <f>IF(COUNTIFS(Pessoas!$C$5:$C$44,$K158,Pessoas!$G$5:$G$44,"Ativo")=0,"Equipe "&amp;$K158,INDEX(Pessoas!$A$5:$A$44,_xludf.aggregate(15,6,(ROW(Pessoas!$A$5:$A$44)-4)/((Pessoas!$C$5:$C$44=$K158)*(Pessoas!$G$5:$G$44="Ativo")),MOD(ROW()-6,MAX(1,COUNTIFS(Pessoas!$C$5:$C$44,$K158,Pessoas!$G$5:$G$44,"Ativo")))+1)))</f>
        <v>Equipe Oficina Mecânica Central-Taisa</v>
      </c>
    </row>
    <row r="159" spans="1:12" ht="15" customHeight="1" x14ac:dyDescent="0.4">
      <c r="A159" s="25">
        <v>46309</v>
      </c>
      <c r="B159" s="16">
        <v>7</v>
      </c>
      <c r="C159" s="16">
        <v>1</v>
      </c>
      <c r="D159" s="16">
        <v>10</v>
      </c>
      <c r="E159" s="16" t="s">
        <v>980</v>
      </c>
      <c r="F159" s="16" t="s">
        <v>1132</v>
      </c>
      <c r="G159" s="16" t="s">
        <v>184</v>
      </c>
      <c r="H159" s="16" t="s">
        <v>140</v>
      </c>
      <c r="I159" s="22" t="s">
        <v>856</v>
      </c>
      <c r="J159" s="16">
        <f>IFERROR(INDEX(Aux_HH!$J$4:$J$31,MATCH($H159&amp;"|"&amp;$I159,Aux_HH!$A$4:$A$31,0)),"")</f>
        <v>2.5</v>
      </c>
      <c r="K159" s="16" t="s">
        <v>76</v>
      </c>
      <c r="L159" s="16" t="str">
        <f>IF(COUNTIFS(Pessoas!$C$5:$C$44,$K159,Pessoas!$G$5:$G$44,"Ativo")=0,"Equipe "&amp;$K159,INDEX(Pessoas!$A$5:$A$44,_xludf.aggregate(15,6,(ROW(Pessoas!$A$5:$A$44)-4)/((Pessoas!$C$5:$C$44=$K159)*(Pessoas!$G$5:$G$44="Ativo")),MOD(ROW()-6,MAX(1,COUNTIFS(Pessoas!$C$5:$C$44,$K159,Pessoas!$G$5:$G$44,"Ativo")))+1)))</f>
        <v>Equipe Oficina Mecânica Central-Taisa</v>
      </c>
    </row>
    <row r="160" spans="1:12" ht="15" customHeight="1" x14ac:dyDescent="0.4">
      <c r="A160" s="25">
        <v>46309</v>
      </c>
      <c r="B160" s="16">
        <v>7</v>
      </c>
      <c r="C160" s="16">
        <v>1</v>
      </c>
      <c r="D160" s="16">
        <v>10</v>
      </c>
      <c r="E160" s="16" t="s">
        <v>980</v>
      </c>
      <c r="F160" s="16" t="s">
        <v>1133</v>
      </c>
      <c r="G160" s="16" t="s">
        <v>526</v>
      </c>
      <c r="H160" s="16" t="s">
        <v>140</v>
      </c>
      <c r="I160" s="22" t="s">
        <v>856</v>
      </c>
      <c r="J160" s="16">
        <f>IFERROR(INDEX(Aux_HH!$J$4:$J$31,MATCH($H160&amp;"|"&amp;$I160,Aux_HH!$A$4:$A$31,0)),"")</f>
        <v>2.5</v>
      </c>
      <c r="K160" s="16" t="s">
        <v>76</v>
      </c>
      <c r="L160" s="16" t="str">
        <f>IF(COUNTIFS(Pessoas!$C$5:$C$44,$K160,Pessoas!$G$5:$G$44,"Ativo")=0,"Equipe "&amp;$K160,INDEX(Pessoas!$A$5:$A$44,_xludf.aggregate(15,6,(ROW(Pessoas!$A$5:$A$44)-4)/((Pessoas!$C$5:$C$44=$K160)*(Pessoas!$G$5:$G$44="Ativo")),MOD(ROW()-6,MAX(1,COUNTIFS(Pessoas!$C$5:$C$44,$K160,Pessoas!$G$5:$G$44,"Ativo")))+1)))</f>
        <v>Equipe Oficina Mecânica Central-Taisa</v>
      </c>
    </row>
    <row r="161" spans="1:12" ht="15" customHeight="1" x14ac:dyDescent="0.4">
      <c r="A161" s="25">
        <v>46309</v>
      </c>
      <c r="B161" s="16">
        <v>7</v>
      </c>
      <c r="C161" s="16">
        <v>1</v>
      </c>
      <c r="D161" s="16">
        <v>10</v>
      </c>
      <c r="E161" s="16" t="s">
        <v>980</v>
      </c>
      <c r="F161" s="16" t="s">
        <v>1134</v>
      </c>
      <c r="G161" s="16" t="s">
        <v>526</v>
      </c>
      <c r="H161" s="16" t="s">
        <v>140</v>
      </c>
      <c r="I161" s="22" t="s">
        <v>856</v>
      </c>
      <c r="J161" s="16">
        <f>IFERROR(INDEX(Aux_HH!$J$4:$J$31,MATCH($H161&amp;"|"&amp;$I161,Aux_HH!$A$4:$A$31,0)),"")</f>
        <v>2.5</v>
      </c>
      <c r="K161" s="16" t="s">
        <v>76</v>
      </c>
      <c r="L161" s="16" t="str">
        <f>IF(COUNTIFS(Pessoas!$C$5:$C$44,$K161,Pessoas!$G$5:$G$44,"Ativo")=0,"Equipe "&amp;$K161,INDEX(Pessoas!$A$5:$A$44,_xludf.aggregate(15,6,(ROW(Pessoas!$A$5:$A$44)-4)/((Pessoas!$C$5:$C$44=$K161)*(Pessoas!$G$5:$G$44="Ativo")),MOD(ROW()-6,MAX(1,COUNTIFS(Pessoas!$C$5:$C$44,$K161,Pessoas!$G$5:$G$44,"Ativo")))+1)))</f>
        <v>Equipe Oficina Mecânica Central-Taisa</v>
      </c>
    </row>
    <row r="162" spans="1:12" ht="15" customHeight="1" x14ac:dyDescent="0.4">
      <c r="A162" s="25">
        <v>46309</v>
      </c>
      <c r="B162" s="16">
        <v>7</v>
      </c>
      <c r="C162" s="16">
        <v>1</v>
      </c>
      <c r="D162" s="16">
        <v>10</v>
      </c>
      <c r="E162" s="16" t="s">
        <v>980</v>
      </c>
      <c r="F162" s="16" t="s">
        <v>1135</v>
      </c>
      <c r="G162" s="16" t="s">
        <v>526</v>
      </c>
      <c r="H162" s="16" t="s">
        <v>140</v>
      </c>
      <c r="I162" s="22" t="s">
        <v>856</v>
      </c>
      <c r="J162" s="16">
        <f>IFERROR(INDEX(Aux_HH!$J$4:$J$31,MATCH($H162&amp;"|"&amp;$I162,Aux_HH!$A$4:$A$31,0)),"")</f>
        <v>2.5</v>
      </c>
      <c r="K162" s="16" t="s">
        <v>76</v>
      </c>
      <c r="L162" s="16" t="str">
        <f>IF(COUNTIFS(Pessoas!$C$5:$C$44,$K162,Pessoas!$G$5:$G$44,"Ativo")=0,"Equipe "&amp;$K162,INDEX(Pessoas!$A$5:$A$44,_xludf.aggregate(15,6,(ROW(Pessoas!$A$5:$A$44)-4)/((Pessoas!$C$5:$C$44=$K162)*(Pessoas!$G$5:$G$44="Ativo")),MOD(ROW()-6,MAX(1,COUNTIFS(Pessoas!$C$5:$C$44,$K162,Pessoas!$G$5:$G$44,"Ativo")))+1)))</f>
        <v>Equipe Oficina Mecânica Central-Taisa</v>
      </c>
    </row>
    <row r="163" spans="1:12" ht="15" customHeight="1" x14ac:dyDescent="0.4">
      <c r="A163" s="25">
        <v>46309</v>
      </c>
      <c r="B163" s="16">
        <v>7</v>
      </c>
      <c r="C163" s="16">
        <v>1</v>
      </c>
      <c r="D163" s="16">
        <v>10</v>
      </c>
      <c r="E163" s="16" t="s">
        <v>980</v>
      </c>
      <c r="F163" s="16" t="s">
        <v>1136</v>
      </c>
      <c r="G163" s="16" t="s">
        <v>526</v>
      </c>
      <c r="H163" s="16" t="s">
        <v>140</v>
      </c>
      <c r="I163" s="22" t="s">
        <v>856</v>
      </c>
      <c r="J163" s="16">
        <f>IFERROR(INDEX(Aux_HH!$J$4:$J$31,MATCH($H163&amp;"|"&amp;$I163,Aux_HH!$A$4:$A$31,0)),"")</f>
        <v>2.5</v>
      </c>
      <c r="K163" s="16" t="s">
        <v>76</v>
      </c>
      <c r="L163" s="16" t="str">
        <f>IF(COUNTIFS(Pessoas!$C$5:$C$44,$K163,Pessoas!$G$5:$G$44,"Ativo")=0,"Equipe "&amp;$K163,INDEX(Pessoas!$A$5:$A$44,_xludf.aggregate(15,6,(ROW(Pessoas!$A$5:$A$44)-4)/((Pessoas!$C$5:$C$44=$K163)*(Pessoas!$G$5:$G$44="Ativo")),MOD(ROW()-6,MAX(1,COUNTIFS(Pessoas!$C$5:$C$44,$K163,Pessoas!$G$5:$G$44,"Ativo")))+1)))</f>
        <v>Equipe Oficina Mecânica Central-Taisa</v>
      </c>
    </row>
    <row r="164" spans="1:12" ht="15" customHeight="1" x14ac:dyDescent="0.4">
      <c r="A164" s="25">
        <v>46309</v>
      </c>
      <c r="B164" s="16">
        <v>7</v>
      </c>
      <c r="C164" s="16">
        <v>1</v>
      </c>
      <c r="D164" s="16">
        <v>10</v>
      </c>
      <c r="E164" s="16" t="s">
        <v>980</v>
      </c>
      <c r="F164" s="16" t="s">
        <v>1137</v>
      </c>
      <c r="G164" s="16" t="s">
        <v>158</v>
      </c>
      <c r="H164" s="16" t="s">
        <v>141</v>
      </c>
      <c r="I164" s="22" t="s">
        <v>856</v>
      </c>
      <c r="J164" s="16">
        <f>IFERROR(INDEX(Aux_HH!$J$4:$J$31,MATCH($H164&amp;"|"&amp;$I164,Aux_HH!$A$4:$A$31,0)),"")</f>
        <v>2</v>
      </c>
      <c r="K164" s="16" t="s">
        <v>76</v>
      </c>
      <c r="L164" s="16" t="str">
        <f>IF(COUNTIFS(Pessoas!$C$5:$C$44,$K164,Pessoas!$G$5:$G$44,"Ativo")=0,"Equipe "&amp;$K164,INDEX(Pessoas!$A$5:$A$44,_xludf.aggregate(15,6,(ROW(Pessoas!$A$5:$A$44)-4)/((Pessoas!$C$5:$C$44=$K164)*(Pessoas!$G$5:$G$44="Ativo")),MOD(ROW()-6,MAX(1,COUNTIFS(Pessoas!$C$5:$C$44,$K164,Pessoas!$G$5:$G$44,"Ativo")))+1)))</f>
        <v>Equipe Oficina Mecânica Central-Taisa</v>
      </c>
    </row>
    <row r="165" spans="1:12" ht="15" customHeight="1" x14ac:dyDescent="0.4">
      <c r="A165" s="25">
        <v>46309</v>
      </c>
      <c r="B165" s="16">
        <v>7</v>
      </c>
      <c r="C165" s="16">
        <v>1</v>
      </c>
      <c r="D165" s="16">
        <v>10</v>
      </c>
      <c r="E165" s="16" t="s">
        <v>980</v>
      </c>
      <c r="F165" s="16" t="s">
        <v>1138</v>
      </c>
      <c r="G165" s="16" t="s">
        <v>158</v>
      </c>
      <c r="H165" s="16" t="s">
        <v>141</v>
      </c>
      <c r="I165" s="22" t="s">
        <v>856</v>
      </c>
      <c r="J165" s="16">
        <f>IFERROR(INDEX(Aux_HH!$J$4:$J$31,MATCH($H165&amp;"|"&amp;$I165,Aux_HH!$A$4:$A$31,0)),"")</f>
        <v>2</v>
      </c>
      <c r="K165" s="16" t="s">
        <v>76</v>
      </c>
      <c r="L165" s="16" t="str">
        <f>IF(COUNTIFS(Pessoas!$C$5:$C$44,$K165,Pessoas!$G$5:$G$44,"Ativo")=0,"Equipe "&amp;$K165,INDEX(Pessoas!$A$5:$A$44,_xludf.aggregate(15,6,(ROW(Pessoas!$A$5:$A$44)-4)/((Pessoas!$C$5:$C$44=$K165)*(Pessoas!$G$5:$G$44="Ativo")),MOD(ROW()-6,MAX(1,COUNTIFS(Pessoas!$C$5:$C$44,$K165,Pessoas!$G$5:$G$44,"Ativo")))+1)))</f>
        <v>Equipe Oficina Mecânica Central-Taisa</v>
      </c>
    </row>
    <row r="166" spans="1:12" ht="15" customHeight="1" x14ac:dyDescent="0.4">
      <c r="A166" s="25">
        <v>46309</v>
      </c>
      <c r="B166" s="16">
        <v>7</v>
      </c>
      <c r="C166" s="16">
        <v>1</v>
      </c>
      <c r="D166" s="16">
        <v>10</v>
      </c>
      <c r="E166" s="16" t="s">
        <v>980</v>
      </c>
      <c r="F166" s="16" t="s">
        <v>1139</v>
      </c>
      <c r="G166" s="16" t="s">
        <v>158</v>
      </c>
      <c r="H166" s="16" t="s">
        <v>141</v>
      </c>
      <c r="I166" s="22" t="s">
        <v>856</v>
      </c>
      <c r="J166" s="16">
        <f>IFERROR(INDEX(Aux_HH!$J$4:$J$31,MATCH($H166&amp;"|"&amp;$I166,Aux_HH!$A$4:$A$31,0)),"")</f>
        <v>2</v>
      </c>
      <c r="K166" s="16" t="s">
        <v>76</v>
      </c>
      <c r="L166" s="16" t="str">
        <f>IF(COUNTIFS(Pessoas!$C$5:$C$44,$K166,Pessoas!$G$5:$G$44,"Ativo")=0,"Equipe "&amp;$K166,INDEX(Pessoas!$A$5:$A$44,_xludf.aggregate(15,6,(ROW(Pessoas!$A$5:$A$44)-4)/((Pessoas!$C$5:$C$44=$K166)*(Pessoas!$G$5:$G$44="Ativo")),MOD(ROW()-6,MAX(1,COUNTIFS(Pessoas!$C$5:$C$44,$K166,Pessoas!$G$5:$G$44,"Ativo")))+1)))</f>
        <v>Equipe Oficina Mecânica Central-Taisa</v>
      </c>
    </row>
    <row r="167" spans="1:12" ht="15" customHeight="1" x14ac:dyDescent="0.4">
      <c r="A167" s="25">
        <v>46309</v>
      </c>
      <c r="B167" s="16">
        <v>7</v>
      </c>
      <c r="C167" s="16">
        <v>1</v>
      </c>
      <c r="D167" s="16">
        <v>10</v>
      </c>
      <c r="E167" s="16" t="s">
        <v>980</v>
      </c>
      <c r="F167" s="16" t="s">
        <v>1140</v>
      </c>
      <c r="G167" s="16" t="s">
        <v>158</v>
      </c>
      <c r="H167" s="16" t="s">
        <v>141</v>
      </c>
      <c r="I167" s="22" t="s">
        <v>856</v>
      </c>
      <c r="J167" s="16">
        <f>IFERROR(INDEX(Aux_HH!$J$4:$J$31,MATCH($H167&amp;"|"&amp;$I167,Aux_HH!$A$4:$A$31,0)),"")</f>
        <v>2</v>
      </c>
      <c r="K167" s="16" t="s">
        <v>76</v>
      </c>
      <c r="L167" s="16" t="str">
        <f>IF(COUNTIFS(Pessoas!$C$5:$C$44,$K167,Pessoas!$G$5:$G$44,"Ativo")=0,"Equipe "&amp;$K167,INDEX(Pessoas!$A$5:$A$44,_xludf.aggregate(15,6,(ROW(Pessoas!$A$5:$A$44)-4)/((Pessoas!$C$5:$C$44=$K167)*(Pessoas!$G$5:$G$44="Ativo")),MOD(ROW()-6,MAX(1,COUNTIFS(Pessoas!$C$5:$C$44,$K167,Pessoas!$G$5:$G$44,"Ativo")))+1)))</f>
        <v>Equipe Oficina Mecânica Central-Taisa</v>
      </c>
    </row>
    <row r="168" spans="1:12" ht="15" customHeight="1" x14ac:dyDescent="0.4">
      <c r="A168" s="25">
        <v>46309</v>
      </c>
      <c r="B168" s="16">
        <v>7</v>
      </c>
      <c r="C168" s="16">
        <v>1</v>
      </c>
      <c r="D168" s="16">
        <v>10</v>
      </c>
      <c r="E168" s="16" t="s">
        <v>980</v>
      </c>
      <c r="F168" s="16" t="s">
        <v>1141</v>
      </c>
      <c r="G168" s="16" t="s">
        <v>158</v>
      </c>
      <c r="H168" s="16" t="s">
        <v>141</v>
      </c>
      <c r="I168" s="22" t="s">
        <v>856</v>
      </c>
      <c r="J168" s="16">
        <f>IFERROR(INDEX(Aux_HH!$J$4:$J$31,MATCH($H168&amp;"|"&amp;$I168,Aux_HH!$A$4:$A$31,0)),"")</f>
        <v>2</v>
      </c>
      <c r="K168" s="16" t="s">
        <v>76</v>
      </c>
      <c r="L168" s="16" t="str">
        <f>IF(COUNTIFS(Pessoas!$C$5:$C$44,$K168,Pessoas!$G$5:$G$44,"Ativo")=0,"Equipe "&amp;$K168,INDEX(Pessoas!$A$5:$A$44,_xludf.aggregate(15,6,(ROW(Pessoas!$A$5:$A$44)-4)/((Pessoas!$C$5:$C$44=$K168)*(Pessoas!$G$5:$G$44="Ativo")),MOD(ROW()-6,MAX(1,COUNTIFS(Pessoas!$C$5:$C$44,$K168,Pessoas!$G$5:$G$44,"Ativo")))+1)))</f>
        <v>Equipe Oficina Mecânica Central-Taisa</v>
      </c>
    </row>
    <row r="169" spans="1:12" ht="15" customHeight="1" x14ac:dyDescent="0.4">
      <c r="A169" s="25">
        <v>46309</v>
      </c>
      <c r="B169" s="16">
        <v>7</v>
      </c>
      <c r="C169" s="16">
        <v>1</v>
      </c>
      <c r="D169" s="16">
        <v>10</v>
      </c>
      <c r="E169" s="16" t="s">
        <v>980</v>
      </c>
      <c r="F169" s="16" t="s">
        <v>1142</v>
      </c>
      <c r="G169" s="16" t="s">
        <v>158</v>
      </c>
      <c r="H169" s="16" t="s">
        <v>141</v>
      </c>
      <c r="I169" s="22" t="s">
        <v>856</v>
      </c>
      <c r="J169" s="16">
        <f>IFERROR(INDEX(Aux_HH!$J$4:$J$31,MATCH($H169&amp;"|"&amp;$I169,Aux_HH!$A$4:$A$31,0)),"")</f>
        <v>2</v>
      </c>
      <c r="K169" s="16" t="s">
        <v>76</v>
      </c>
      <c r="L169" s="16" t="str">
        <f>IF(COUNTIFS(Pessoas!$C$5:$C$44,$K169,Pessoas!$G$5:$G$44,"Ativo")=0,"Equipe "&amp;$K169,INDEX(Pessoas!$A$5:$A$44,_xludf.aggregate(15,6,(ROW(Pessoas!$A$5:$A$44)-4)/((Pessoas!$C$5:$C$44=$K169)*(Pessoas!$G$5:$G$44="Ativo")),MOD(ROW()-6,MAX(1,COUNTIFS(Pessoas!$C$5:$C$44,$K169,Pessoas!$G$5:$G$44,"Ativo")))+1)))</f>
        <v>Equipe Oficina Mecânica Central-Taisa</v>
      </c>
    </row>
    <row r="170" spans="1:12" ht="15" customHeight="1" x14ac:dyDescent="0.4">
      <c r="A170" s="25">
        <v>46309</v>
      </c>
      <c r="B170" s="16">
        <v>7</v>
      </c>
      <c r="C170" s="16">
        <v>1</v>
      </c>
      <c r="D170" s="16">
        <v>10</v>
      </c>
      <c r="E170" s="16" t="s">
        <v>980</v>
      </c>
      <c r="F170" s="16" t="s">
        <v>1143</v>
      </c>
      <c r="G170" s="16" t="s">
        <v>158</v>
      </c>
      <c r="H170" s="16" t="s">
        <v>141</v>
      </c>
      <c r="I170" s="22" t="s">
        <v>856</v>
      </c>
      <c r="J170" s="16">
        <f>IFERROR(INDEX(Aux_HH!$J$4:$J$31,MATCH($H170&amp;"|"&amp;$I170,Aux_HH!$A$4:$A$31,0)),"")</f>
        <v>2</v>
      </c>
      <c r="K170" s="16" t="s">
        <v>76</v>
      </c>
      <c r="L170" s="16" t="str">
        <f>IF(COUNTIFS(Pessoas!$C$5:$C$44,$K170,Pessoas!$G$5:$G$44,"Ativo")=0,"Equipe "&amp;$K170,INDEX(Pessoas!$A$5:$A$44,_xludf.aggregate(15,6,(ROW(Pessoas!$A$5:$A$44)-4)/((Pessoas!$C$5:$C$44=$K170)*(Pessoas!$G$5:$G$44="Ativo")),MOD(ROW()-6,MAX(1,COUNTIFS(Pessoas!$C$5:$C$44,$K170,Pessoas!$G$5:$G$44,"Ativo")))+1)))</f>
        <v>Equipe Oficina Mecânica Central-Taisa</v>
      </c>
    </row>
    <row r="171" spans="1:12" ht="15" customHeight="1" x14ac:dyDescent="0.4">
      <c r="A171" s="25">
        <v>46309</v>
      </c>
      <c r="B171" s="16">
        <v>7</v>
      </c>
      <c r="C171" s="16">
        <v>1</v>
      </c>
      <c r="D171" s="16">
        <v>10</v>
      </c>
      <c r="E171" s="16" t="s">
        <v>980</v>
      </c>
      <c r="F171" s="16" t="s">
        <v>1144</v>
      </c>
      <c r="G171" s="16" t="s">
        <v>158</v>
      </c>
      <c r="H171" s="16" t="s">
        <v>141</v>
      </c>
      <c r="I171" s="22" t="s">
        <v>856</v>
      </c>
      <c r="J171" s="16">
        <f>IFERROR(INDEX(Aux_HH!$J$4:$J$31,MATCH($H171&amp;"|"&amp;$I171,Aux_HH!$A$4:$A$31,0)),"")</f>
        <v>2</v>
      </c>
      <c r="K171" s="16" t="s">
        <v>76</v>
      </c>
      <c r="L171" s="16" t="str">
        <f>IF(COUNTIFS(Pessoas!$C$5:$C$44,$K171,Pessoas!$G$5:$G$44,"Ativo")=0,"Equipe "&amp;$K171,INDEX(Pessoas!$A$5:$A$44,_xludf.aggregate(15,6,(ROW(Pessoas!$A$5:$A$44)-4)/((Pessoas!$C$5:$C$44=$K171)*(Pessoas!$G$5:$G$44="Ativo")),MOD(ROW()-6,MAX(1,COUNTIFS(Pessoas!$C$5:$C$44,$K171,Pessoas!$G$5:$G$44,"Ativo")))+1)))</f>
        <v>Equipe Oficina Mecânica Central-Taisa</v>
      </c>
    </row>
    <row r="172" spans="1:12" ht="15" customHeight="1" x14ac:dyDescent="0.4">
      <c r="A172" s="25">
        <v>46309</v>
      </c>
      <c r="B172" s="16">
        <v>7</v>
      </c>
      <c r="C172" s="16">
        <v>1</v>
      </c>
      <c r="D172" s="16">
        <v>10</v>
      </c>
      <c r="E172" s="16" t="s">
        <v>980</v>
      </c>
      <c r="F172" s="16" t="s">
        <v>1145</v>
      </c>
      <c r="G172" s="16" t="s">
        <v>158</v>
      </c>
      <c r="H172" s="16" t="s">
        <v>141</v>
      </c>
      <c r="I172" s="22" t="s">
        <v>856</v>
      </c>
      <c r="J172" s="16">
        <f>IFERROR(INDEX(Aux_HH!$J$4:$J$31,MATCH($H172&amp;"|"&amp;$I172,Aux_HH!$A$4:$A$31,0)),"")</f>
        <v>2</v>
      </c>
      <c r="K172" s="16" t="s">
        <v>76</v>
      </c>
      <c r="L172" s="16" t="str">
        <f>IF(COUNTIFS(Pessoas!$C$5:$C$44,$K172,Pessoas!$G$5:$G$44,"Ativo")=0,"Equipe "&amp;$K172,INDEX(Pessoas!$A$5:$A$44,_xludf.aggregate(15,6,(ROW(Pessoas!$A$5:$A$44)-4)/((Pessoas!$C$5:$C$44=$K172)*(Pessoas!$G$5:$G$44="Ativo")),MOD(ROW()-6,MAX(1,COUNTIFS(Pessoas!$C$5:$C$44,$K172,Pessoas!$G$5:$G$44,"Ativo")))+1)))</f>
        <v>Equipe Oficina Mecânica Central-Taisa</v>
      </c>
    </row>
    <row r="173" spans="1:12" ht="15" customHeight="1" x14ac:dyDescent="0.4">
      <c r="A173" s="25">
        <v>46309</v>
      </c>
      <c r="B173" s="16">
        <v>7</v>
      </c>
      <c r="C173" s="16">
        <v>1</v>
      </c>
      <c r="D173" s="16">
        <v>10</v>
      </c>
      <c r="E173" s="16" t="s">
        <v>980</v>
      </c>
      <c r="F173" s="16" t="s">
        <v>1146</v>
      </c>
      <c r="G173" s="16" t="s">
        <v>158</v>
      </c>
      <c r="H173" s="16" t="s">
        <v>141</v>
      </c>
      <c r="I173" s="22" t="s">
        <v>856</v>
      </c>
      <c r="J173" s="16">
        <f>IFERROR(INDEX(Aux_HH!$J$4:$J$31,MATCH($H173&amp;"|"&amp;$I173,Aux_HH!$A$4:$A$31,0)),"")</f>
        <v>2</v>
      </c>
      <c r="K173" s="16" t="s">
        <v>76</v>
      </c>
      <c r="L173" s="16" t="str">
        <f>IF(COUNTIFS(Pessoas!$C$5:$C$44,$K173,Pessoas!$G$5:$G$44,"Ativo")=0,"Equipe "&amp;$K173,INDEX(Pessoas!$A$5:$A$44,_xludf.aggregate(15,6,(ROW(Pessoas!$A$5:$A$44)-4)/((Pessoas!$C$5:$C$44=$K173)*(Pessoas!$G$5:$G$44="Ativo")),MOD(ROW()-6,MAX(1,COUNTIFS(Pessoas!$C$5:$C$44,$K173,Pessoas!$G$5:$G$44,"Ativo")))+1)))</f>
        <v>Equipe Oficina Mecânica Central-Taisa</v>
      </c>
    </row>
    <row r="174" spans="1:12" ht="15" customHeight="1" x14ac:dyDescent="0.4">
      <c r="A174" s="25">
        <v>46309</v>
      </c>
      <c r="B174" s="16">
        <v>7</v>
      </c>
      <c r="C174" s="16">
        <v>1</v>
      </c>
      <c r="D174" s="16">
        <v>10</v>
      </c>
      <c r="E174" s="16" t="s">
        <v>980</v>
      </c>
      <c r="F174" s="16" t="s">
        <v>1147</v>
      </c>
      <c r="G174" s="16" t="s">
        <v>184</v>
      </c>
      <c r="H174" s="16" t="s">
        <v>141</v>
      </c>
      <c r="I174" s="22" t="s">
        <v>856</v>
      </c>
      <c r="J174" s="16">
        <f>IFERROR(INDEX(Aux_HH!$J$4:$J$31,MATCH($H174&amp;"|"&amp;$I174,Aux_HH!$A$4:$A$31,0)),"")</f>
        <v>2</v>
      </c>
      <c r="K174" s="16" t="s">
        <v>76</v>
      </c>
      <c r="L174" s="16" t="str">
        <f>IF(COUNTIFS(Pessoas!$C$5:$C$44,$K174,Pessoas!$G$5:$G$44,"Ativo")=0,"Equipe "&amp;$K174,INDEX(Pessoas!$A$5:$A$44,_xludf.aggregate(15,6,(ROW(Pessoas!$A$5:$A$44)-4)/((Pessoas!$C$5:$C$44=$K174)*(Pessoas!$G$5:$G$44="Ativo")),MOD(ROW()-6,MAX(1,COUNTIFS(Pessoas!$C$5:$C$44,$K174,Pessoas!$G$5:$G$44,"Ativo")))+1)))</f>
        <v>Equipe Oficina Mecânica Central-Taisa</v>
      </c>
    </row>
    <row r="175" spans="1:12" ht="15" customHeight="1" x14ac:dyDescent="0.4">
      <c r="A175" s="25">
        <v>46309</v>
      </c>
      <c r="B175" s="16">
        <v>7</v>
      </c>
      <c r="C175" s="16">
        <v>1</v>
      </c>
      <c r="D175" s="16">
        <v>10</v>
      </c>
      <c r="E175" s="16" t="s">
        <v>980</v>
      </c>
      <c r="F175" s="16" t="s">
        <v>1148</v>
      </c>
      <c r="G175" s="16" t="s">
        <v>184</v>
      </c>
      <c r="H175" s="16" t="s">
        <v>141</v>
      </c>
      <c r="I175" s="22" t="s">
        <v>856</v>
      </c>
      <c r="J175" s="16">
        <f>IFERROR(INDEX(Aux_HH!$J$4:$J$31,MATCH($H175&amp;"|"&amp;$I175,Aux_HH!$A$4:$A$31,0)),"")</f>
        <v>2</v>
      </c>
      <c r="K175" s="16" t="s">
        <v>76</v>
      </c>
      <c r="L175" s="16" t="str">
        <f>IF(COUNTIFS(Pessoas!$C$5:$C$44,$K175,Pessoas!$G$5:$G$44,"Ativo")=0,"Equipe "&amp;$K175,INDEX(Pessoas!$A$5:$A$44,_xludf.aggregate(15,6,(ROW(Pessoas!$A$5:$A$44)-4)/((Pessoas!$C$5:$C$44=$K175)*(Pessoas!$G$5:$G$44="Ativo")),MOD(ROW()-6,MAX(1,COUNTIFS(Pessoas!$C$5:$C$44,$K175,Pessoas!$G$5:$G$44,"Ativo")))+1)))</f>
        <v>Equipe Oficina Mecânica Central-Taisa</v>
      </c>
    </row>
    <row r="176" spans="1:12" ht="15" customHeight="1" x14ac:dyDescent="0.4">
      <c r="A176" s="25">
        <v>46309</v>
      </c>
      <c r="B176" s="16">
        <v>7</v>
      </c>
      <c r="C176" s="16">
        <v>1</v>
      </c>
      <c r="D176" s="16">
        <v>10</v>
      </c>
      <c r="E176" s="16" t="s">
        <v>980</v>
      </c>
      <c r="F176" s="16" t="s">
        <v>1149</v>
      </c>
      <c r="G176" s="16" t="s">
        <v>184</v>
      </c>
      <c r="H176" s="16" t="s">
        <v>141</v>
      </c>
      <c r="I176" s="22" t="s">
        <v>856</v>
      </c>
      <c r="J176" s="16">
        <f>IFERROR(INDEX(Aux_HH!$J$4:$J$31,MATCH($H176&amp;"|"&amp;$I176,Aux_HH!$A$4:$A$31,0)),"")</f>
        <v>2</v>
      </c>
      <c r="K176" s="16" t="s">
        <v>76</v>
      </c>
      <c r="L176" s="16" t="str">
        <f>IF(COUNTIFS(Pessoas!$C$5:$C$44,$K176,Pessoas!$G$5:$G$44,"Ativo")=0,"Equipe "&amp;$K176,INDEX(Pessoas!$A$5:$A$44,_xludf.aggregate(15,6,(ROW(Pessoas!$A$5:$A$44)-4)/((Pessoas!$C$5:$C$44=$K176)*(Pessoas!$G$5:$G$44="Ativo")),MOD(ROW()-6,MAX(1,COUNTIFS(Pessoas!$C$5:$C$44,$K176,Pessoas!$G$5:$G$44,"Ativo")))+1)))</f>
        <v>Equipe Oficina Mecânica Central-Taisa</v>
      </c>
    </row>
    <row r="177" spans="1:12" ht="15" customHeight="1" x14ac:dyDescent="0.4">
      <c r="A177" s="25">
        <v>46309</v>
      </c>
      <c r="B177" s="16">
        <v>7</v>
      </c>
      <c r="C177" s="16">
        <v>1</v>
      </c>
      <c r="D177" s="16">
        <v>10</v>
      </c>
      <c r="E177" s="16" t="s">
        <v>980</v>
      </c>
      <c r="F177" s="16" t="s">
        <v>1150</v>
      </c>
      <c r="G177" s="16" t="s">
        <v>184</v>
      </c>
      <c r="H177" s="16" t="s">
        <v>141</v>
      </c>
      <c r="I177" s="22" t="s">
        <v>856</v>
      </c>
      <c r="J177" s="16">
        <f>IFERROR(INDEX(Aux_HH!$J$4:$J$31,MATCH($H177&amp;"|"&amp;$I177,Aux_HH!$A$4:$A$31,0)),"")</f>
        <v>2</v>
      </c>
      <c r="K177" s="16" t="s">
        <v>76</v>
      </c>
      <c r="L177" s="16" t="str">
        <f>IF(COUNTIFS(Pessoas!$C$5:$C$44,$K177,Pessoas!$G$5:$G$44,"Ativo")=0,"Equipe "&amp;$K177,INDEX(Pessoas!$A$5:$A$44,_xludf.aggregate(15,6,(ROW(Pessoas!$A$5:$A$44)-4)/((Pessoas!$C$5:$C$44=$K177)*(Pessoas!$G$5:$G$44="Ativo")),MOD(ROW()-6,MAX(1,COUNTIFS(Pessoas!$C$5:$C$44,$K177,Pessoas!$G$5:$G$44,"Ativo")))+1)))</f>
        <v>Equipe Oficina Mecânica Central-Taisa</v>
      </c>
    </row>
    <row r="178" spans="1:12" ht="15" customHeight="1" x14ac:dyDescent="0.4">
      <c r="A178" s="25">
        <v>46309</v>
      </c>
      <c r="B178" s="16">
        <v>7</v>
      </c>
      <c r="C178" s="16">
        <v>1</v>
      </c>
      <c r="D178" s="16">
        <v>10</v>
      </c>
      <c r="E178" s="16" t="s">
        <v>980</v>
      </c>
      <c r="F178" s="16" t="s">
        <v>1151</v>
      </c>
      <c r="G178" s="16" t="s">
        <v>184</v>
      </c>
      <c r="H178" s="16" t="s">
        <v>141</v>
      </c>
      <c r="I178" s="22" t="s">
        <v>856</v>
      </c>
      <c r="J178" s="16">
        <f>IFERROR(INDEX(Aux_HH!$J$4:$J$31,MATCH($H178&amp;"|"&amp;$I178,Aux_HH!$A$4:$A$31,0)),"")</f>
        <v>2</v>
      </c>
      <c r="K178" s="16" t="s">
        <v>76</v>
      </c>
      <c r="L178" s="16" t="str">
        <f>IF(COUNTIFS(Pessoas!$C$5:$C$44,$K178,Pessoas!$G$5:$G$44,"Ativo")=0,"Equipe "&amp;$K178,INDEX(Pessoas!$A$5:$A$44,_xludf.aggregate(15,6,(ROW(Pessoas!$A$5:$A$44)-4)/((Pessoas!$C$5:$C$44=$K178)*(Pessoas!$G$5:$G$44="Ativo")),MOD(ROW()-6,MAX(1,COUNTIFS(Pessoas!$C$5:$C$44,$K178,Pessoas!$G$5:$G$44,"Ativo")))+1)))</f>
        <v>Equipe Oficina Mecânica Central-Taisa</v>
      </c>
    </row>
    <row r="179" spans="1:12" ht="15" customHeight="1" x14ac:dyDescent="0.4">
      <c r="A179" s="25">
        <v>46309</v>
      </c>
      <c r="B179" s="16">
        <v>7</v>
      </c>
      <c r="C179" s="16">
        <v>1</v>
      </c>
      <c r="D179" s="16">
        <v>10</v>
      </c>
      <c r="E179" s="16" t="s">
        <v>980</v>
      </c>
      <c r="F179" s="16" t="s">
        <v>1152</v>
      </c>
      <c r="G179" s="16" t="s">
        <v>184</v>
      </c>
      <c r="H179" s="16" t="s">
        <v>141</v>
      </c>
      <c r="I179" s="22" t="s">
        <v>856</v>
      </c>
      <c r="J179" s="16">
        <f>IFERROR(INDEX(Aux_HH!$J$4:$J$31,MATCH($H179&amp;"|"&amp;$I179,Aux_HH!$A$4:$A$31,0)),"")</f>
        <v>2</v>
      </c>
      <c r="K179" s="16" t="s">
        <v>76</v>
      </c>
      <c r="L179" s="16" t="str">
        <f>IF(COUNTIFS(Pessoas!$C$5:$C$44,$K179,Pessoas!$G$5:$G$44,"Ativo")=0,"Equipe "&amp;$K179,INDEX(Pessoas!$A$5:$A$44,_xludf.aggregate(15,6,(ROW(Pessoas!$A$5:$A$44)-4)/((Pessoas!$C$5:$C$44=$K179)*(Pessoas!$G$5:$G$44="Ativo")),MOD(ROW()-6,MAX(1,COUNTIFS(Pessoas!$C$5:$C$44,$K179,Pessoas!$G$5:$G$44,"Ativo")))+1)))</f>
        <v>Equipe Oficina Mecânica Central-Taisa</v>
      </c>
    </row>
    <row r="180" spans="1:12" ht="15" customHeight="1" x14ac:dyDescent="0.4">
      <c r="A180" s="25">
        <v>46309</v>
      </c>
      <c r="B180" s="16">
        <v>7</v>
      </c>
      <c r="C180" s="16">
        <v>1</v>
      </c>
      <c r="D180" s="16">
        <v>10</v>
      </c>
      <c r="E180" s="16" t="s">
        <v>980</v>
      </c>
      <c r="F180" s="16" t="s">
        <v>1153</v>
      </c>
      <c r="G180" s="16" t="s">
        <v>184</v>
      </c>
      <c r="H180" s="16" t="s">
        <v>141</v>
      </c>
      <c r="I180" s="22" t="s">
        <v>856</v>
      </c>
      <c r="J180" s="16">
        <f>IFERROR(INDEX(Aux_HH!$J$4:$J$31,MATCH($H180&amp;"|"&amp;$I180,Aux_HH!$A$4:$A$31,0)),"")</f>
        <v>2</v>
      </c>
      <c r="K180" s="16" t="s">
        <v>76</v>
      </c>
      <c r="L180" s="16" t="str">
        <f>IF(COUNTIFS(Pessoas!$C$5:$C$44,$K180,Pessoas!$G$5:$G$44,"Ativo")=0,"Equipe "&amp;$K180,INDEX(Pessoas!$A$5:$A$44,_xludf.aggregate(15,6,(ROW(Pessoas!$A$5:$A$44)-4)/((Pessoas!$C$5:$C$44=$K180)*(Pessoas!$G$5:$G$44="Ativo")),MOD(ROW()-6,MAX(1,COUNTIFS(Pessoas!$C$5:$C$44,$K180,Pessoas!$G$5:$G$44,"Ativo")))+1)))</f>
        <v>Equipe Oficina Mecânica Central-Taisa</v>
      </c>
    </row>
    <row r="181" spans="1:12" ht="15" customHeight="1" x14ac:dyDescent="0.4">
      <c r="A181" s="25">
        <v>46309</v>
      </c>
      <c r="B181" s="16">
        <v>7</v>
      </c>
      <c r="C181" s="16">
        <v>1</v>
      </c>
      <c r="D181" s="16">
        <v>10</v>
      </c>
      <c r="E181" s="16" t="s">
        <v>980</v>
      </c>
      <c r="F181" s="16" t="s">
        <v>1154</v>
      </c>
      <c r="G181" s="16" t="s">
        <v>184</v>
      </c>
      <c r="H181" s="16" t="s">
        <v>141</v>
      </c>
      <c r="I181" s="22" t="s">
        <v>856</v>
      </c>
      <c r="J181" s="16">
        <f>IFERROR(INDEX(Aux_HH!$J$4:$J$31,MATCH($H181&amp;"|"&amp;$I181,Aux_HH!$A$4:$A$31,0)),"")</f>
        <v>2</v>
      </c>
      <c r="K181" s="16" t="s">
        <v>76</v>
      </c>
      <c r="L181" s="16" t="str">
        <f>IF(COUNTIFS(Pessoas!$C$5:$C$44,$K181,Pessoas!$G$5:$G$44,"Ativo")=0,"Equipe "&amp;$K181,INDEX(Pessoas!$A$5:$A$44,_xludf.aggregate(15,6,(ROW(Pessoas!$A$5:$A$44)-4)/((Pessoas!$C$5:$C$44=$K181)*(Pessoas!$G$5:$G$44="Ativo")),MOD(ROW()-6,MAX(1,COUNTIFS(Pessoas!$C$5:$C$44,$K181,Pessoas!$G$5:$G$44,"Ativo")))+1)))</f>
        <v>Equipe Oficina Mecânica Central-Taisa</v>
      </c>
    </row>
    <row r="182" spans="1:12" ht="15" customHeight="1" x14ac:dyDescent="0.4">
      <c r="A182" s="25">
        <v>46309</v>
      </c>
      <c r="B182" s="16">
        <v>7</v>
      </c>
      <c r="C182" s="16">
        <v>1</v>
      </c>
      <c r="D182" s="16">
        <v>10</v>
      </c>
      <c r="E182" s="16" t="s">
        <v>980</v>
      </c>
      <c r="F182" s="16" t="s">
        <v>1155</v>
      </c>
      <c r="G182" s="16" t="s">
        <v>184</v>
      </c>
      <c r="H182" s="16" t="s">
        <v>141</v>
      </c>
      <c r="I182" s="22" t="s">
        <v>856</v>
      </c>
      <c r="J182" s="16">
        <f>IFERROR(INDEX(Aux_HH!$J$4:$J$31,MATCH($H182&amp;"|"&amp;$I182,Aux_HH!$A$4:$A$31,0)),"")</f>
        <v>2</v>
      </c>
      <c r="K182" s="16" t="s">
        <v>76</v>
      </c>
      <c r="L182" s="16" t="str">
        <f>IF(COUNTIFS(Pessoas!$C$5:$C$44,$K182,Pessoas!$G$5:$G$44,"Ativo")=0,"Equipe "&amp;$K182,INDEX(Pessoas!$A$5:$A$44,_xludf.aggregate(15,6,(ROW(Pessoas!$A$5:$A$44)-4)/((Pessoas!$C$5:$C$44=$K182)*(Pessoas!$G$5:$G$44="Ativo")),MOD(ROW()-6,MAX(1,COUNTIFS(Pessoas!$C$5:$C$44,$K182,Pessoas!$G$5:$G$44,"Ativo")))+1)))</f>
        <v>Equipe Oficina Mecânica Central-Taisa</v>
      </c>
    </row>
    <row r="183" spans="1:12" ht="15" customHeight="1" x14ac:dyDescent="0.4">
      <c r="A183" s="25">
        <v>46309</v>
      </c>
      <c r="B183" s="16">
        <v>7</v>
      </c>
      <c r="C183" s="16">
        <v>1</v>
      </c>
      <c r="D183" s="16">
        <v>10</v>
      </c>
      <c r="E183" s="16" t="s">
        <v>980</v>
      </c>
      <c r="F183" s="16" t="s">
        <v>1156</v>
      </c>
      <c r="G183" s="16" t="s">
        <v>184</v>
      </c>
      <c r="H183" s="16" t="s">
        <v>141</v>
      </c>
      <c r="I183" s="22" t="s">
        <v>856</v>
      </c>
      <c r="J183" s="16">
        <f>IFERROR(INDEX(Aux_HH!$J$4:$J$31,MATCH($H183&amp;"|"&amp;$I183,Aux_HH!$A$4:$A$31,0)),"")</f>
        <v>2</v>
      </c>
      <c r="K183" s="16" t="s">
        <v>76</v>
      </c>
      <c r="L183" s="16" t="str">
        <f>IF(COUNTIFS(Pessoas!$C$5:$C$44,$K183,Pessoas!$G$5:$G$44,"Ativo")=0,"Equipe "&amp;$K183,INDEX(Pessoas!$A$5:$A$44,_xludf.aggregate(15,6,(ROW(Pessoas!$A$5:$A$44)-4)/((Pessoas!$C$5:$C$44=$K183)*(Pessoas!$G$5:$G$44="Ativo")),MOD(ROW()-6,MAX(1,COUNTIFS(Pessoas!$C$5:$C$44,$K183,Pessoas!$G$5:$G$44,"Ativo")))+1)))</f>
        <v>Equipe Oficina Mecânica Central-Taisa</v>
      </c>
    </row>
    <row r="184" spans="1:12" ht="15" customHeight="1" x14ac:dyDescent="0.4">
      <c r="A184" s="25">
        <v>46309</v>
      </c>
      <c r="B184" s="16">
        <v>7</v>
      </c>
      <c r="C184" s="16">
        <v>1</v>
      </c>
      <c r="D184" s="16">
        <v>10</v>
      </c>
      <c r="E184" s="16" t="s">
        <v>980</v>
      </c>
      <c r="F184" s="16" t="s">
        <v>1157</v>
      </c>
      <c r="G184" s="16" t="s">
        <v>158</v>
      </c>
      <c r="H184" s="16" t="s">
        <v>141</v>
      </c>
      <c r="I184" s="22" t="s">
        <v>856</v>
      </c>
      <c r="J184" s="16">
        <f>IFERROR(INDEX(Aux_HH!$J$4:$J$31,MATCH($H184&amp;"|"&amp;$I184,Aux_HH!$A$4:$A$31,0)),"")</f>
        <v>2</v>
      </c>
      <c r="K184" s="16" t="s">
        <v>76</v>
      </c>
      <c r="L184" s="16" t="str">
        <f>IF(COUNTIFS(Pessoas!$C$5:$C$44,$K184,Pessoas!$G$5:$G$44,"Ativo")=0,"Equipe "&amp;$K184,INDEX(Pessoas!$A$5:$A$44,_xludf.aggregate(15,6,(ROW(Pessoas!$A$5:$A$44)-4)/((Pessoas!$C$5:$C$44=$K184)*(Pessoas!$G$5:$G$44="Ativo")),MOD(ROW()-6,MAX(1,COUNTIFS(Pessoas!$C$5:$C$44,$K184,Pessoas!$G$5:$G$44,"Ativo")))+1)))</f>
        <v>Equipe Oficina Mecânica Central-Taisa</v>
      </c>
    </row>
    <row r="185" spans="1:12" ht="15" customHeight="1" x14ac:dyDescent="0.4">
      <c r="A185" s="25">
        <v>46309</v>
      </c>
      <c r="B185" s="16">
        <v>7</v>
      </c>
      <c r="C185" s="16">
        <v>1</v>
      </c>
      <c r="D185" s="16">
        <v>10</v>
      </c>
      <c r="E185" s="16" t="s">
        <v>980</v>
      </c>
      <c r="F185" s="16" t="s">
        <v>1158</v>
      </c>
      <c r="G185" s="16" t="s">
        <v>526</v>
      </c>
      <c r="H185" s="16" t="s">
        <v>140</v>
      </c>
      <c r="I185" s="22" t="s">
        <v>856</v>
      </c>
      <c r="J185" s="16">
        <f>IFERROR(INDEX(Aux_HH!$J$4:$J$31,MATCH($H185&amp;"|"&amp;$I185,Aux_HH!$A$4:$A$31,0)),"")</f>
        <v>2.5</v>
      </c>
      <c r="K185" s="16" t="s">
        <v>76</v>
      </c>
      <c r="L185" s="16" t="str">
        <f>IF(COUNTIFS(Pessoas!$C$5:$C$44,$K185,Pessoas!$G$5:$G$44,"Ativo")=0,"Equipe "&amp;$K185,INDEX(Pessoas!$A$5:$A$44,_xludf.aggregate(15,6,(ROW(Pessoas!$A$5:$A$44)-4)/((Pessoas!$C$5:$C$44=$K185)*(Pessoas!$G$5:$G$44="Ativo")),MOD(ROW()-6,MAX(1,COUNTIFS(Pessoas!$C$5:$C$44,$K185,Pessoas!$G$5:$G$44,"Ativo")))+1)))</f>
        <v>Equipe Oficina Mecânica Central-Taisa</v>
      </c>
    </row>
    <row r="186" spans="1:12" ht="15" customHeight="1" x14ac:dyDescent="0.4">
      <c r="A186" s="25">
        <v>46309</v>
      </c>
      <c r="B186" s="16">
        <v>7</v>
      </c>
      <c r="C186" s="16">
        <v>1</v>
      </c>
      <c r="D186" s="16">
        <v>10</v>
      </c>
      <c r="E186" s="16" t="s">
        <v>980</v>
      </c>
      <c r="F186" s="16" t="s">
        <v>1159</v>
      </c>
      <c r="G186" s="16" t="s">
        <v>526</v>
      </c>
      <c r="H186" s="16" t="s">
        <v>140</v>
      </c>
      <c r="I186" s="22" t="s">
        <v>856</v>
      </c>
      <c r="J186" s="16">
        <f>IFERROR(INDEX(Aux_HH!$J$4:$J$31,MATCH($H186&amp;"|"&amp;$I186,Aux_HH!$A$4:$A$31,0)),"")</f>
        <v>2.5</v>
      </c>
      <c r="K186" s="16" t="s">
        <v>76</v>
      </c>
      <c r="L186" s="16" t="str">
        <f>IF(COUNTIFS(Pessoas!$C$5:$C$44,$K186,Pessoas!$G$5:$G$44,"Ativo")=0,"Equipe "&amp;$K186,INDEX(Pessoas!$A$5:$A$44,_xludf.aggregate(15,6,(ROW(Pessoas!$A$5:$A$44)-4)/((Pessoas!$C$5:$C$44=$K186)*(Pessoas!$G$5:$G$44="Ativo")),MOD(ROW()-6,MAX(1,COUNTIFS(Pessoas!$C$5:$C$44,$K186,Pessoas!$G$5:$G$44,"Ativo")))+1)))</f>
        <v>Equipe Oficina Mecânica Central-Taisa</v>
      </c>
    </row>
    <row r="187" spans="1:12" ht="15" customHeight="1" x14ac:dyDescent="0.4">
      <c r="A187" s="25">
        <v>46309</v>
      </c>
      <c r="B187" s="16">
        <v>7</v>
      </c>
      <c r="C187" s="16">
        <v>1</v>
      </c>
      <c r="D187" s="16">
        <v>10</v>
      </c>
      <c r="E187" s="16" t="s">
        <v>980</v>
      </c>
      <c r="F187" s="16" t="s">
        <v>1160</v>
      </c>
      <c r="G187" s="16" t="s">
        <v>526</v>
      </c>
      <c r="H187" s="16" t="s">
        <v>140</v>
      </c>
      <c r="I187" s="22" t="s">
        <v>856</v>
      </c>
      <c r="J187" s="16">
        <f>IFERROR(INDEX(Aux_HH!$J$4:$J$31,MATCH($H187&amp;"|"&amp;$I187,Aux_HH!$A$4:$A$31,0)),"")</f>
        <v>2.5</v>
      </c>
      <c r="K187" s="16" t="s">
        <v>76</v>
      </c>
      <c r="L187" s="16" t="str">
        <f>IF(COUNTIFS(Pessoas!$C$5:$C$44,$K187,Pessoas!$G$5:$G$44,"Ativo")=0,"Equipe "&amp;$K187,INDEX(Pessoas!$A$5:$A$44,_xludf.aggregate(15,6,(ROW(Pessoas!$A$5:$A$44)-4)/((Pessoas!$C$5:$C$44=$K187)*(Pessoas!$G$5:$G$44="Ativo")),MOD(ROW()-6,MAX(1,COUNTIFS(Pessoas!$C$5:$C$44,$K187,Pessoas!$G$5:$G$44,"Ativo")))+1)))</f>
        <v>Equipe Oficina Mecânica Central-Taisa</v>
      </c>
    </row>
    <row r="188" spans="1:12" ht="15" customHeight="1" x14ac:dyDescent="0.4">
      <c r="A188" s="25">
        <v>46309</v>
      </c>
      <c r="B188" s="16">
        <v>7</v>
      </c>
      <c r="C188" s="16">
        <v>1</v>
      </c>
      <c r="D188" s="16">
        <v>10</v>
      </c>
      <c r="E188" s="16" t="s">
        <v>980</v>
      </c>
      <c r="F188" s="16" t="s">
        <v>1161</v>
      </c>
      <c r="G188" s="16" t="s">
        <v>526</v>
      </c>
      <c r="H188" s="16" t="s">
        <v>140</v>
      </c>
      <c r="I188" s="22" t="s">
        <v>856</v>
      </c>
      <c r="J188" s="16">
        <f>IFERROR(INDEX(Aux_HH!$J$4:$J$31,MATCH($H188&amp;"|"&amp;$I188,Aux_HH!$A$4:$A$31,0)),"")</f>
        <v>2.5</v>
      </c>
      <c r="K188" s="16" t="s">
        <v>76</v>
      </c>
      <c r="L188" s="16" t="str">
        <f>IF(COUNTIFS(Pessoas!$C$5:$C$44,$K188,Pessoas!$G$5:$G$44,"Ativo")=0,"Equipe "&amp;$K188,INDEX(Pessoas!$A$5:$A$44,_xludf.aggregate(15,6,(ROW(Pessoas!$A$5:$A$44)-4)/((Pessoas!$C$5:$C$44=$K188)*(Pessoas!$G$5:$G$44="Ativo")),MOD(ROW()-6,MAX(1,COUNTIFS(Pessoas!$C$5:$C$44,$K188,Pessoas!$G$5:$G$44,"Ativo")))+1)))</f>
        <v>Equipe Oficina Mecânica Central-Taisa</v>
      </c>
    </row>
    <row r="189" spans="1:12" ht="15" customHeight="1" x14ac:dyDescent="0.4">
      <c r="A189" s="25">
        <v>46309</v>
      </c>
      <c r="B189" s="16">
        <v>7</v>
      </c>
      <c r="C189" s="16">
        <v>1</v>
      </c>
      <c r="D189" s="16">
        <v>10</v>
      </c>
      <c r="E189" s="16" t="s">
        <v>980</v>
      </c>
      <c r="F189" s="16" t="s">
        <v>1162</v>
      </c>
      <c r="G189" s="16" t="s">
        <v>158</v>
      </c>
      <c r="H189" s="16" t="s">
        <v>141</v>
      </c>
      <c r="I189" s="22" t="s">
        <v>856</v>
      </c>
      <c r="J189" s="16">
        <f>IFERROR(INDEX(Aux_HH!$J$4:$J$31,MATCH($H189&amp;"|"&amp;$I189,Aux_HH!$A$4:$A$31,0)),"")</f>
        <v>2</v>
      </c>
      <c r="K189" s="16" t="s">
        <v>76</v>
      </c>
      <c r="L189" s="16" t="str">
        <f>IF(COUNTIFS(Pessoas!$C$5:$C$44,$K189,Pessoas!$G$5:$G$44,"Ativo")=0,"Equipe "&amp;$K189,INDEX(Pessoas!$A$5:$A$44,_xludf.aggregate(15,6,(ROW(Pessoas!$A$5:$A$44)-4)/((Pessoas!$C$5:$C$44=$K189)*(Pessoas!$G$5:$G$44="Ativo")),MOD(ROW()-6,MAX(1,COUNTIFS(Pessoas!$C$5:$C$44,$K189,Pessoas!$G$5:$G$44,"Ativo")))+1)))</f>
        <v>Equipe Oficina Mecânica Central-Taisa</v>
      </c>
    </row>
    <row r="190" spans="1:12" ht="15" customHeight="1" x14ac:dyDescent="0.4">
      <c r="A190" s="25">
        <v>46309</v>
      </c>
      <c r="B190" s="16">
        <v>7</v>
      </c>
      <c r="C190" s="16">
        <v>1</v>
      </c>
      <c r="D190" s="16">
        <v>10</v>
      </c>
      <c r="E190" s="16" t="s">
        <v>980</v>
      </c>
      <c r="F190" s="16" t="s">
        <v>1163</v>
      </c>
      <c r="G190" s="16" t="s">
        <v>158</v>
      </c>
      <c r="H190" s="16" t="s">
        <v>141</v>
      </c>
      <c r="I190" s="22" t="s">
        <v>856</v>
      </c>
      <c r="J190" s="16">
        <f>IFERROR(INDEX(Aux_HH!$J$4:$J$31,MATCH($H190&amp;"|"&amp;$I190,Aux_HH!$A$4:$A$31,0)),"")</f>
        <v>2</v>
      </c>
      <c r="K190" s="16" t="s">
        <v>76</v>
      </c>
      <c r="L190" s="16" t="str">
        <f>IF(COUNTIFS(Pessoas!$C$5:$C$44,$K190,Pessoas!$G$5:$G$44,"Ativo")=0,"Equipe "&amp;$K190,INDEX(Pessoas!$A$5:$A$44,_xludf.aggregate(15,6,(ROW(Pessoas!$A$5:$A$44)-4)/((Pessoas!$C$5:$C$44=$K190)*(Pessoas!$G$5:$G$44="Ativo")),MOD(ROW()-6,MAX(1,COUNTIFS(Pessoas!$C$5:$C$44,$K190,Pessoas!$G$5:$G$44,"Ativo")))+1)))</f>
        <v>Equipe Oficina Mecânica Central-Taisa</v>
      </c>
    </row>
    <row r="191" spans="1:12" ht="15" customHeight="1" x14ac:dyDescent="0.4">
      <c r="A191" s="25">
        <v>46309</v>
      </c>
      <c r="B191" s="16">
        <v>7</v>
      </c>
      <c r="C191" s="16">
        <v>1</v>
      </c>
      <c r="D191" s="16">
        <v>10</v>
      </c>
      <c r="E191" s="16" t="s">
        <v>980</v>
      </c>
      <c r="F191" s="16" t="s">
        <v>1164</v>
      </c>
      <c r="G191" s="16" t="s">
        <v>184</v>
      </c>
      <c r="H191" s="16" t="s">
        <v>140</v>
      </c>
      <c r="I191" s="22" t="s">
        <v>856</v>
      </c>
      <c r="J191" s="16">
        <f>IFERROR(INDEX(Aux_HH!$J$4:$J$31,MATCH($H191&amp;"|"&amp;$I191,Aux_HH!$A$4:$A$31,0)),"")</f>
        <v>2.5</v>
      </c>
      <c r="K191" s="16" t="s">
        <v>76</v>
      </c>
      <c r="L191" s="16" t="str">
        <f>IF(COUNTIFS(Pessoas!$C$5:$C$44,$K191,Pessoas!$G$5:$G$44,"Ativo")=0,"Equipe "&amp;$K191,INDEX(Pessoas!$A$5:$A$44,_xludf.aggregate(15,6,(ROW(Pessoas!$A$5:$A$44)-4)/((Pessoas!$C$5:$C$44=$K191)*(Pessoas!$G$5:$G$44="Ativo")),MOD(ROW()-6,MAX(1,COUNTIFS(Pessoas!$C$5:$C$44,$K191,Pessoas!$G$5:$G$44,"Ativo")))+1)))</f>
        <v>Equipe Oficina Mecânica Central-Taisa</v>
      </c>
    </row>
    <row r="192" spans="1:12" ht="15" customHeight="1" x14ac:dyDescent="0.4">
      <c r="A192" s="25">
        <v>46309</v>
      </c>
      <c r="B192" s="16">
        <v>7</v>
      </c>
      <c r="C192" s="16">
        <v>1</v>
      </c>
      <c r="D192" s="16">
        <v>10</v>
      </c>
      <c r="E192" s="16" t="s">
        <v>980</v>
      </c>
      <c r="F192" s="16" t="s">
        <v>1165</v>
      </c>
      <c r="G192" s="16" t="s">
        <v>184</v>
      </c>
      <c r="H192" s="16" t="s">
        <v>140</v>
      </c>
      <c r="I192" s="22" t="s">
        <v>856</v>
      </c>
      <c r="J192" s="16">
        <f>IFERROR(INDEX(Aux_HH!$J$4:$J$31,MATCH($H192&amp;"|"&amp;$I192,Aux_HH!$A$4:$A$31,0)),"")</f>
        <v>2.5</v>
      </c>
      <c r="K192" s="16" t="s">
        <v>76</v>
      </c>
      <c r="L192" s="16" t="str">
        <f>IF(COUNTIFS(Pessoas!$C$5:$C$44,$K192,Pessoas!$G$5:$G$44,"Ativo")=0,"Equipe "&amp;$K192,INDEX(Pessoas!$A$5:$A$44,_xludf.aggregate(15,6,(ROW(Pessoas!$A$5:$A$44)-4)/((Pessoas!$C$5:$C$44=$K192)*(Pessoas!$G$5:$G$44="Ativo")),MOD(ROW()-6,MAX(1,COUNTIFS(Pessoas!$C$5:$C$44,$K192,Pessoas!$G$5:$G$44,"Ativo")))+1)))</f>
        <v>Equipe Oficina Mecânica Central-Taisa</v>
      </c>
    </row>
    <row r="193" spans="1:12" ht="15" customHeight="1" x14ac:dyDescent="0.4">
      <c r="A193" s="25">
        <v>46309</v>
      </c>
      <c r="B193" s="16">
        <v>7</v>
      </c>
      <c r="C193" s="16">
        <v>1</v>
      </c>
      <c r="D193" s="16">
        <v>10</v>
      </c>
      <c r="E193" s="16" t="s">
        <v>980</v>
      </c>
      <c r="F193" s="16" t="s">
        <v>1166</v>
      </c>
      <c r="G193" s="16" t="s">
        <v>526</v>
      </c>
      <c r="H193" s="16" t="s">
        <v>140</v>
      </c>
      <c r="I193" s="22" t="s">
        <v>856</v>
      </c>
      <c r="J193" s="16">
        <f>IFERROR(INDEX(Aux_HH!$J$4:$J$31,MATCH($H193&amp;"|"&amp;$I193,Aux_HH!$A$4:$A$31,0)),"")</f>
        <v>2.5</v>
      </c>
      <c r="K193" s="16" t="s">
        <v>76</v>
      </c>
      <c r="L193" s="16" t="str">
        <f>IF(COUNTIFS(Pessoas!$C$5:$C$44,$K193,Pessoas!$G$5:$G$44,"Ativo")=0,"Equipe "&amp;$K193,INDEX(Pessoas!$A$5:$A$44,_xludf.aggregate(15,6,(ROW(Pessoas!$A$5:$A$44)-4)/((Pessoas!$C$5:$C$44=$K193)*(Pessoas!$G$5:$G$44="Ativo")),MOD(ROW()-6,MAX(1,COUNTIFS(Pessoas!$C$5:$C$44,$K193,Pessoas!$G$5:$G$44,"Ativo")))+1)))</f>
        <v>Equipe Oficina Mecânica Central-Taisa</v>
      </c>
    </row>
    <row r="194" spans="1:12" ht="15" customHeight="1" x14ac:dyDescent="0.4">
      <c r="A194" s="25">
        <v>46309</v>
      </c>
      <c r="B194" s="16">
        <v>7</v>
      </c>
      <c r="C194" s="16">
        <v>1</v>
      </c>
      <c r="D194" s="16">
        <v>10</v>
      </c>
      <c r="E194" s="16" t="s">
        <v>980</v>
      </c>
      <c r="F194" s="16" t="s">
        <v>1167</v>
      </c>
      <c r="G194" s="16" t="s">
        <v>526</v>
      </c>
      <c r="H194" s="16" t="s">
        <v>140</v>
      </c>
      <c r="I194" s="22" t="s">
        <v>856</v>
      </c>
      <c r="J194" s="16">
        <f>IFERROR(INDEX(Aux_HH!$J$4:$J$31,MATCH($H194&amp;"|"&amp;$I194,Aux_HH!$A$4:$A$31,0)),"")</f>
        <v>2.5</v>
      </c>
      <c r="K194" s="16" t="s">
        <v>76</v>
      </c>
      <c r="L194" s="16" t="str">
        <f>IF(COUNTIFS(Pessoas!$C$5:$C$44,$K194,Pessoas!$G$5:$G$44,"Ativo")=0,"Equipe "&amp;$K194,INDEX(Pessoas!$A$5:$A$44,_xludf.aggregate(15,6,(ROW(Pessoas!$A$5:$A$44)-4)/((Pessoas!$C$5:$C$44=$K194)*(Pessoas!$G$5:$G$44="Ativo")),MOD(ROW()-6,MAX(1,COUNTIFS(Pessoas!$C$5:$C$44,$K194,Pessoas!$G$5:$G$44,"Ativo")))+1)))</f>
        <v>Equipe Oficina Mecânica Central-Taisa</v>
      </c>
    </row>
    <row r="195" spans="1:12" ht="15" customHeight="1" x14ac:dyDescent="0.4">
      <c r="A195" s="25">
        <v>46309</v>
      </c>
      <c r="B195" s="16">
        <v>7</v>
      </c>
      <c r="C195" s="16">
        <v>1</v>
      </c>
      <c r="D195" s="16">
        <v>10</v>
      </c>
      <c r="E195" s="16" t="s">
        <v>980</v>
      </c>
      <c r="F195" s="16" t="s">
        <v>1168</v>
      </c>
      <c r="G195" s="16" t="s">
        <v>526</v>
      </c>
      <c r="H195" s="16" t="s">
        <v>140</v>
      </c>
      <c r="I195" s="22" t="s">
        <v>856</v>
      </c>
      <c r="J195" s="16">
        <f>IFERROR(INDEX(Aux_HH!$J$4:$J$31,MATCH($H195&amp;"|"&amp;$I195,Aux_HH!$A$4:$A$31,0)),"")</f>
        <v>2.5</v>
      </c>
      <c r="K195" s="16" t="s">
        <v>76</v>
      </c>
      <c r="L195" s="16" t="str">
        <f>IF(COUNTIFS(Pessoas!$C$5:$C$44,$K195,Pessoas!$G$5:$G$44,"Ativo")=0,"Equipe "&amp;$K195,INDEX(Pessoas!$A$5:$A$44,_xludf.aggregate(15,6,(ROW(Pessoas!$A$5:$A$44)-4)/((Pessoas!$C$5:$C$44=$K195)*(Pessoas!$G$5:$G$44="Ativo")),MOD(ROW()-6,MAX(1,COUNTIFS(Pessoas!$C$5:$C$44,$K195,Pessoas!$G$5:$G$44,"Ativo")))+1)))</f>
        <v>Equipe Oficina Mecânica Central-Taisa</v>
      </c>
    </row>
    <row r="196" spans="1:12" ht="15" customHeight="1" x14ac:dyDescent="0.4">
      <c r="A196" s="25">
        <v>46309</v>
      </c>
      <c r="B196" s="16">
        <v>7</v>
      </c>
      <c r="C196" s="16">
        <v>1</v>
      </c>
      <c r="D196" s="16">
        <v>10</v>
      </c>
      <c r="E196" s="16" t="s">
        <v>980</v>
      </c>
      <c r="F196" s="16" t="s">
        <v>1169</v>
      </c>
      <c r="G196" s="16" t="s">
        <v>184</v>
      </c>
      <c r="H196" s="16" t="s">
        <v>141</v>
      </c>
      <c r="I196" s="22" t="s">
        <v>856</v>
      </c>
      <c r="J196" s="16">
        <f>IFERROR(INDEX(Aux_HH!$J$4:$J$31,MATCH($H196&amp;"|"&amp;$I196,Aux_HH!$A$4:$A$31,0)),"")</f>
        <v>2</v>
      </c>
      <c r="K196" s="16" t="s">
        <v>76</v>
      </c>
      <c r="L196" s="16" t="str">
        <f>IF(COUNTIFS(Pessoas!$C$5:$C$44,$K196,Pessoas!$G$5:$G$44,"Ativo")=0,"Equipe "&amp;$K196,INDEX(Pessoas!$A$5:$A$44,_xludf.aggregate(15,6,(ROW(Pessoas!$A$5:$A$44)-4)/((Pessoas!$C$5:$C$44=$K196)*(Pessoas!$G$5:$G$44="Ativo")),MOD(ROW()-6,MAX(1,COUNTIFS(Pessoas!$C$5:$C$44,$K196,Pessoas!$G$5:$G$44,"Ativo")))+1)))</f>
        <v>Equipe Oficina Mecânica Central-Taisa</v>
      </c>
    </row>
    <row r="197" spans="1:12" ht="15" customHeight="1" x14ac:dyDescent="0.4">
      <c r="A197" s="25">
        <v>46310</v>
      </c>
      <c r="B197" s="16">
        <v>7</v>
      </c>
      <c r="C197" s="16">
        <v>1</v>
      </c>
      <c r="D197" s="16">
        <v>10</v>
      </c>
      <c r="E197" s="16" t="s">
        <v>980</v>
      </c>
      <c r="F197" s="16" t="s">
        <v>1170</v>
      </c>
      <c r="G197" s="16" t="s">
        <v>526</v>
      </c>
      <c r="H197" s="16" t="s">
        <v>140</v>
      </c>
      <c r="I197" s="22" t="s">
        <v>856</v>
      </c>
      <c r="J197" s="16">
        <f>IFERROR(INDEX(Aux_HH!$J$4:$J$31,MATCH($H197&amp;"|"&amp;$I197,Aux_HH!$A$4:$A$31,0)),"")</f>
        <v>2.5</v>
      </c>
      <c r="K197" s="16" t="s">
        <v>76</v>
      </c>
      <c r="L197" s="16" t="str">
        <f>IF(COUNTIFS(Pessoas!$C$5:$C$44,$K197,Pessoas!$G$5:$G$44,"Ativo")=0,"Equipe "&amp;$K197,INDEX(Pessoas!$A$5:$A$44,_xludf.aggregate(15,6,(ROW(Pessoas!$A$5:$A$44)-4)/((Pessoas!$C$5:$C$44=$K197)*(Pessoas!$G$5:$G$44="Ativo")),MOD(ROW()-6,MAX(1,COUNTIFS(Pessoas!$C$5:$C$44,$K197,Pessoas!$G$5:$G$44,"Ativo")))+1)))</f>
        <v>Equipe Oficina Mecânica Central-Taisa</v>
      </c>
    </row>
    <row r="198" spans="1:12" ht="15" customHeight="1" x14ac:dyDescent="0.4">
      <c r="A198" s="25">
        <v>46310</v>
      </c>
      <c r="B198" s="16">
        <v>7</v>
      </c>
      <c r="C198" s="16">
        <v>1</v>
      </c>
      <c r="D198" s="16">
        <v>10</v>
      </c>
      <c r="E198" s="16" t="s">
        <v>980</v>
      </c>
      <c r="F198" s="16" t="s">
        <v>1171</v>
      </c>
      <c r="G198" s="16" t="s">
        <v>526</v>
      </c>
      <c r="H198" s="16" t="s">
        <v>140</v>
      </c>
      <c r="I198" s="22" t="s">
        <v>856</v>
      </c>
      <c r="J198" s="16">
        <f>IFERROR(INDEX(Aux_HH!$J$4:$J$31,MATCH($H198&amp;"|"&amp;$I198,Aux_HH!$A$4:$A$31,0)),"")</f>
        <v>2.5</v>
      </c>
      <c r="K198" s="16" t="s">
        <v>76</v>
      </c>
      <c r="L198" s="16" t="str">
        <f>IF(COUNTIFS(Pessoas!$C$5:$C$44,$K198,Pessoas!$G$5:$G$44,"Ativo")=0,"Equipe "&amp;$K198,INDEX(Pessoas!$A$5:$A$44,_xludf.aggregate(15,6,(ROW(Pessoas!$A$5:$A$44)-4)/((Pessoas!$C$5:$C$44=$K198)*(Pessoas!$G$5:$G$44="Ativo")),MOD(ROW()-6,MAX(1,COUNTIFS(Pessoas!$C$5:$C$44,$K198,Pessoas!$G$5:$G$44,"Ativo")))+1)))</f>
        <v>Equipe Oficina Mecânica Central-Taisa</v>
      </c>
    </row>
    <row r="199" spans="1:12" ht="15" customHeight="1" x14ac:dyDescent="0.4">
      <c r="A199" s="25">
        <v>46310</v>
      </c>
      <c r="B199" s="16">
        <v>7</v>
      </c>
      <c r="C199" s="16">
        <v>1</v>
      </c>
      <c r="D199" s="16">
        <v>10</v>
      </c>
      <c r="E199" s="16" t="s">
        <v>980</v>
      </c>
      <c r="F199" s="16" t="s">
        <v>1172</v>
      </c>
      <c r="G199" s="16" t="s">
        <v>526</v>
      </c>
      <c r="H199" s="16" t="s">
        <v>140</v>
      </c>
      <c r="I199" s="22" t="s">
        <v>856</v>
      </c>
      <c r="J199" s="16">
        <f>IFERROR(INDEX(Aux_HH!$J$4:$J$31,MATCH($H199&amp;"|"&amp;$I199,Aux_HH!$A$4:$A$31,0)),"")</f>
        <v>2.5</v>
      </c>
      <c r="K199" s="16" t="s">
        <v>76</v>
      </c>
      <c r="L199" s="16" t="str">
        <f>IF(COUNTIFS(Pessoas!$C$5:$C$44,$K199,Pessoas!$G$5:$G$44,"Ativo")=0,"Equipe "&amp;$K199,INDEX(Pessoas!$A$5:$A$44,_xludf.aggregate(15,6,(ROW(Pessoas!$A$5:$A$44)-4)/((Pessoas!$C$5:$C$44=$K199)*(Pessoas!$G$5:$G$44="Ativo")),MOD(ROW()-6,MAX(1,COUNTIFS(Pessoas!$C$5:$C$44,$K199,Pessoas!$G$5:$G$44,"Ativo")))+1)))</f>
        <v>Equipe Oficina Mecânica Central-Taisa</v>
      </c>
    </row>
    <row r="200" spans="1:12" ht="15" customHeight="1" x14ac:dyDescent="0.4">
      <c r="A200" s="25">
        <v>46310</v>
      </c>
      <c r="B200" s="16">
        <v>7</v>
      </c>
      <c r="C200" s="16">
        <v>1</v>
      </c>
      <c r="D200" s="16">
        <v>10</v>
      </c>
      <c r="E200" s="16" t="s">
        <v>980</v>
      </c>
      <c r="F200" s="16" t="s">
        <v>1173</v>
      </c>
      <c r="G200" s="16" t="s">
        <v>184</v>
      </c>
      <c r="H200" s="16" t="s">
        <v>140</v>
      </c>
      <c r="I200" s="22" t="s">
        <v>856</v>
      </c>
      <c r="J200" s="16">
        <f>IFERROR(INDEX(Aux_HH!$J$4:$J$31,MATCH($H200&amp;"|"&amp;$I200,Aux_HH!$A$4:$A$31,0)),"")</f>
        <v>2.5</v>
      </c>
      <c r="K200" s="16" t="s">
        <v>76</v>
      </c>
      <c r="L200" s="16" t="str">
        <f>IF(COUNTIFS(Pessoas!$C$5:$C$44,$K200,Pessoas!$G$5:$G$44,"Ativo")=0,"Equipe "&amp;$K200,INDEX(Pessoas!$A$5:$A$44,_xludf.aggregate(15,6,(ROW(Pessoas!$A$5:$A$44)-4)/((Pessoas!$C$5:$C$44=$K200)*(Pessoas!$G$5:$G$44="Ativo")),MOD(ROW()-6,MAX(1,COUNTIFS(Pessoas!$C$5:$C$44,$K200,Pessoas!$G$5:$G$44,"Ativo")))+1)))</f>
        <v>Equipe Oficina Mecânica Central-Taisa</v>
      </c>
    </row>
    <row r="201" spans="1:12" ht="15" customHeight="1" x14ac:dyDescent="0.4">
      <c r="A201" s="25">
        <v>46310</v>
      </c>
      <c r="B201" s="16">
        <v>7</v>
      </c>
      <c r="C201" s="16">
        <v>1</v>
      </c>
      <c r="D201" s="16">
        <v>10</v>
      </c>
      <c r="E201" s="16" t="s">
        <v>980</v>
      </c>
      <c r="F201" s="16" t="s">
        <v>1174</v>
      </c>
      <c r="G201" s="16" t="s">
        <v>526</v>
      </c>
      <c r="H201" s="16" t="s">
        <v>140</v>
      </c>
      <c r="I201" s="22" t="s">
        <v>856</v>
      </c>
      <c r="J201" s="16">
        <f>IFERROR(INDEX(Aux_HH!$J$4:$J$31,MATCH($H201&amp;"|"&amp;$I201,Aux_HH!$A$4:$A$31,0)),"")</f>
        <v>2.5</v>
      </c>
      <c r="K201" s="16" t="s">
        <v>76</v>
      </c>
      <c r="L201" s="16" t="str">
        <f>IF(COUNTIFS(Pessoas!$C$5:$C$44,$K201,Pessoas!$G$5:$G$44,"Ativo")=0,"Equipe "&amp;$K201,INDEX(Pessoas!$A$5:$A$44,_xludf.aggregate(15,6,(ROW(Pessoas!$A$5:$A$44)-4)/((Pessoas!$C$5:$C$44=$K201)*(Pessoas!$G$5:$G$44="Ativo")),MOD(ROW()-6,MAX(1,COUNTIFS(Pessoas!$C$5:$C$44,$K201,Pessoas!$G$5:$G$44,"Ativo")))+1)))</f>
        <v>Equipe Oficina Mecânica Central-Taisa</v>
      </c>
    </row>
    <row r="202" spans="1:12" ht="15" customHeight="1" x14ac:dyDescent="0.4">
      <c r="A202" s="25">
        <v>46310</v>
      </c>
      <c r="B202" s="16">
        <v>7</v>
      </c>
      <c r="C202" s="16">
        <v>1</v>
      </c>
      <c r="D202" s="16">
        <v>10</v>
      </c>
      <c r="E202" s="16" t="s">
        <v>980</v>
      </c>
      <c r="F202" s="16" t="s">
        <v>1175</v>
      </c>
      <c r="G202" s="16" t="s">
        <v>184</v>
      </c>
      <c r="H202" s="16" t="s">
        <v>140</v>
      </c>
      <c r="I202" s="22" t="s">
        <v>856</v>
      </c>
      <c r="J202" s="16">
        <f>IFERROR(INDEX(Aux_HH!$J$4:$J$31,MATCH($H202&amp;"|"&amp;$I202,Aux_HH!$A$4:$A$31,0)),"")</f>
        <v>2.5</v>
      </c>
      <c r="K202" s="16" t="s">
        <v>76</v>
      </c>
      <c r="L202" s="16" t="str">
        <f>IF(COUNTIFS(Pessoas!$C$5:$C$44,$K202,Pessoas!$G$5:$G$44,"Ativo")=0,"Equipe "&amp;$K202,INDEX(Pessoas!$A$5:$A$44,_xludf.aggregate(15,6,(ROW(Pessoas!$A$5:$A$44)-4)/((Pessoas!$C$5:$C$44=$K202)*(Pessoas!$G$5:$G$44="Ativo")),MOD(ROW()-6,MAX(1,COUNTIFS(Pessoas!$C$5:$C$44,$K202,Pessoas!$G$5:$G$44,"Ativo")))+1)))</f>
        <v>Equipe Oficina Mecânica Central-Taisa</v>
      </c>
    </row>
    <row r="203" spans="1:12" ht="15" customHeight="1" x14ac:dyDescent="0.4">
      <c r="A203" s="25">
        <v>46310</v>
      </c>
      <c r="B203" s="16">
        <v>7</v>
      </c>
      <c r="C203" s="16">
        <v>1</v>
      </c>
      <c r="D203" s="16">
        <v>10</v>
      </c>
      <c r="E203" s="16" t="s">
        <v>980</v>
      </c>
      <c r="F203" s="16" t="s">
        <v>1176</v>
      </c>
      <c r="G203" s="16" t="s">
        <v>526</v>
      </c>
      <c r="H203" s="16" t="s">
        <v>140</v>
      </c>
      <c r="I203" s="22" t="s">
        <v>856</v>
      </c>
      <c r="J203" s="16">
        <f>IFERROR(INDEX(Aux_HH!$J$4:$J$31,MATCH($H203&amp;"|"&amp;$I203,Aux_HH!$A$4:$A$31,0)),"")</f>
        <v>2.5</v>
      </c>
      <c r="K203" s="16" t="s">
        <v>76</v>
      </c>
      <c r="L203" s="16" t="str">
        <f>IF(COUNTIFS(Pessoas!$C$5:$C$44,$K203,Pessoas!$G$5:$G$44,"Ativo")=0,"Equipe "&amp;$K203,INDEX(Pessoas!$A$5:$A$44,_xludf.aggregate(15,6,(ROW(Pessoas!$A$5:$A$44)-4)/((Pessoas!$C$5:$C$44=$K203)*(Pessoas!$G$5:$G$44="Ativo")),MOD(ROW()-6,MAX(1,COUNTIFS(Pessoas!$C$5:$C$44,$K203,Pessoas!$G$5:$G$44,"Ativo")))+1)))</f>
        <v>Equipe Oficina Mecânica Central-Taisa</v>
      </c>
    </row>
    <row r="204" spans="1:12" ht="15" customHeight="1" x14ac:dyDescent="0.4">
      <c r="A204" s="25">
        <v>46310</v>
      </c>
      <c r="B204" s="16">
        <v>7</v>
      </c>
      <c r="C204" s="16">
        <v>1</v>
      </c>
      <c r="D204" s="16">
        <v>10</v>
      </c>
      <c r="E204" s="16" t="s">
        <v>980</v>
      </c>
      <c r="F204" s="16" t="s">
        <v>1177</v>
      </c>
      <c r="G204" s="16" t="s">
        <v>526</v>
      </c>
      <c r="H204" s="16" t="s">
        <v>140</v>
      </c>
      <c r="I204" s="22" t="s">
        <v>856</v>
      </c>
      <c r="J204" s="16">
        <f>IFERROR(INDEX(Aux_HH!$J$4:$J$31,MATCH($H204&amp;"|"&amp;$I204,Aux_HH!$A$4:$A$31,0)),"")</f>
        <v>2.5</v>
      </c>
      <c r="K204" s="16" t="s">
        <v>76</v>
      </c>
      <c r="L204" s="16" t="str">
        <f>IF(COUNTIFS(Pessoas!$C$5:$C$44,$K204,Pessoas!$G$5:$G$44,"Ativo")=0,"Equipe "&amp;$K204,INDEX(Pessoas!$A$5:$A$44,_xludf.aggregate(15,6,(ROW(Pessoas!$A$5:$A$44)-4)/((Pessoas!$C$5:$C$44=$K204)*(Pessoas!$G$5:$G$44="Ativo")),MOD(ROW()-6,MAX(1,COUNTIFS(Pessoas!$C$5:$C$44,$K204,Pessoas!$G$5:$G$44,"Ativo")))+1)))</f>
        <v>Equipe Oficina Mecânica Central-Taisa</v>
      </c>
    </row>
    <row r="205" spans="1:12" ht="15" customHeight="1" x14ac:dyDescent="0.4">
      <c r="A205" s="25">
        <v>46310</v>
      </c>
      <c r="B205" s="16">
        <v>7</v>
      </c>
      <c r="C205" s="16">
        <v>1</v>
      </c>
      <c r="D205" s="16">
        <v>10</v>
      </c>
      <c r="E205" s="16" t="s">
        <v>980</v>
      </c>
      <c r="F205" s="16" t="s">
        <v>1178</v>
      </c>
      <c r="G205" s="16" t="s">
        <v>526</v>
      </c>
      <c r="H205" s="16" t="s">
        <v>140</v>
      </c>
      <c r="I205" s="22" t="s">
        <v>856</v>
      </c>
      <c r="J205" s="16">
        <f>IFERROR(INDEX(Aux_HH!$J$4:$J$31,MATCH($H205&amp;"|"&amp;$I205,Aux_HH!$A$4:$A$31,0)),"")</f>
        <v>2.5</v>
      </c>
      <c r="K205" s="16" t="s">
        <v>76</v>
      </c>
      <c r="L205" s="16" t="str">
        <f>IF(COUNTIFS(Pessoas!$C$5:$C$44,$K205,Pessoas!$G$5:$G$44,"Ativo")=0,"Equipe "&amp;$K205,INDEX(Pessoas!$A$5:$A$44,_xludf.aggregate(15,6,(ROW(Pessoas!$A$5:$A$44)-4)/((Pessoas!$C$5:$C$44=$K205)*(Pessoas!$G$5:$G$44="Ativo")),MOD(ROW()-6,MAX(1,COUNTIFS(Pessoas!$C$5:$C$44,$K205,Pessoas!$G$5:$G$44,"Ativo")))+1)))</f>
        <v>Equipe Oficina Mecânica Central-Taisa</v>
      </c>
    </row>
    <row r="206" spans="1:12" ht="15" customHeight="1" x14ac:dyDescent="0.4">
      <c r="A206" s="25">
        <v>46310</v>
      </c>
      <c r="B206" s="16">
        <v>7</v>
      </c>
      <c r="C206" s="16">
        <v>1</v>
      </c>
      <c r="D206" s="16">
        <v>10</v>
      </c>
      <c r="E206" s="16" t="s">
        <v>980</v>
      </c>
      <c r="F206" s="16" t="s">
        <v>1179</v>
      </c>
      <c r="G206" s="16" t="s">
        <v>526</v>
      </c>
      <c r="H206" s="16" t="s">
        <v>140</v>
      </c>
      <c r="I206" s="22" t="s">
        <v>856</v>
      </c>
      <c r="J206" s="16">
        <f>IFERROR(INDEX(Aux_HH!$J$4:$J$31,MATCH($H206&amp;"|"&amp;$I206,Aux_HH!$A$4:$A$31,0)),"")</f>
        <v>2.5</v>
      </c>
      <c r="K206" s="16" t="s">
        <v>76</v>
      </c>
      <c r="L206" s="16" t="str">
        <f>IF(COUNTIFS(Pessoas!$C$5:$C$44,$K206,Pessoas!$G$5:$G$44,"Ativo")=0,"Equipe "&amp;$K206,INDEX(Pessoas!$A$5:$A$44,_xludf.aggregate(15,6,(ROW(Pessoas!$A$5:$A$44)-4)/((Pessoas!$C$5:$C$44=$K206)*(Pessoas!$G$5:$G$44="Ativo")),MOD(ROW()-6,MAX(1,COUNTIFS(Pessoas!$C$5:$C$44,$K206,Pessoas!$G$5:$G$44,"Ativo")))+1)))</f>
        <v>Equipe Oficina Mecânica Central-Taisa</v>
      </c>
    </row>
    <row r="207" spans="1:12" ht="15" customHeight="1" x14ac:dyDescent="0.4">
      <c r="A207" s="25">
        <v>46310</v>
      </c>
      <c r="B207" s="16">
        <v>7</v>
      </c>
      <c r="C207" s="16">
        <v>1</v>
      </c>
      <c r="D207" s="16">
        <v>10</v>
      </c>
      <c r="E207" s="16" t="s">
        <v>980</v>
      </c>
      <c r="F207" s="16" t="s">
        <v>1180</v>
      </c>
      <c r="G207" s="16" t="s">
        <v>526</v>
      </c>
      <c r="H207" s="16" t="s">
        <v>140</v>
      </c>
      <c r="I207" s="22" t="s">
        <v>856</v>
      </c>
      <c r="J207" s="16">
        <f>IFERROR(INDEX(Aux_HH!$J$4:$J$31,MATCH($H207&amp;"|"&amp;$I207,Aux_HH!$A$4:$A$31,0)),"")</f>
        <v>2.5</v>
      </c>
      <c r="K207" s="16" t="s">
        <v>76</v>
      </c>
      <c r="L207" s="16" t="str">
        <f>IF(COUNTIFS(Pessoas!$C$5:$C$44,$K207,Pessoas!$G$5:$G$44,"Ativo")=0,"Equipe "&amp;$K207,INDEX(Pessoas!$A$5:$A$44,_xludf.aggregate(15,6,(ROW(Pessoas!$A$5:$A$44)-4)/((Pessoas!$C$5:$C$44=$K207)*(Pessoas!$G$5:$G$44="Ativo")),MOD(ROW()-6,MAX(1,COUNTIFS(Pessoas!$C$5:$C$44,$K207,Pessoas!$G$5:$G$44,"Ativo")))+1)))</f>
        <v>Equipe Oficina Mecânica Central-Taisa</v>
      </c>
    </row>
    <row r="208" spans="1:12" ht="15" customHeight="1" x14ac:dyDescent="0.4">
      <c r="A208" s="25">
        <v>46310</v>
      </c>
      <c r="B208" s="16">
        <v>7</v>
      </c>
      <c r="C208" s="16">
        <v>1</v>
      </c>
      <c r="D208" s="16">
        <v>10</v>
      </c>
      <c r="E208" s="16" t="s">
        <v>980</v>
      </c>
      <c r="F208" s="16" t="s">
        <v>1181</v>
      </c>
      <c r="G208" s="16" t="s">
        <v>526</v>
      </c>
      <c r="H208" s="16" t="s">
        <v>140</v>
      </c>
      <c r="I208" s="22" t="s">
        <v>856</v>
      </c>
      <c r="J208" s="16">
        <f>IFERROR(INDEX(Aux_HH!$J$4:$J$31,MATCH($H208&amp;"|"&amp;$I208,Aux_HH!$A$4:$A$31,0)),"")</f>
        <v>2.5</v>
      </c>
      <c r="K208" s="16" t="s">
        <v>76</v>
      </c>
      <c r="L208" s="16" t="str">
        <f>IF(COUNTIFS(Pessoas!$C$5:$C$44,$K208,Pessoas!$G$5:$G$44,"Ativo")=0,"Equipe "&amp;$K208,INDEX(Pessoas!$A$5:$A$44,_xludf.aggregate(15,6,(ROW(Pessoas!$A$5:$A$44)-4)/((Pessoas!$C$5:$C$44=$K208)*(Pessoas!$G$5:$G$44="Ativo")),MOD(ROW()-6,MAX(1,COUNTIFS(Pessoas!$C$5:$C$44,$K208,Pessoas!$G$5:$G$44,"Ativo")))+1)))</f>
        <v>Equipe Oficina Mecânica Central-Taisa</v>
      </c>
    </row>
    <row r="209" spans="1:12" ht="15" customHeight="1" x14ac:dyDescent="0.4">
      <c r="A209" s="25">
        <v>46310</v>
      </c>
      <c r="B209" s="16">
        <v>7</v>
      </c>
      <c r="C209" s="16">
        <v>1</v>
      </c>
      <c r="D209" s="16">
        <v>10</v>
      </c>
      <c r="E209" s="16" t="s">
        <v>980</v>
      </c>
      <c r="F209" s="16" t="s">
        <v>1182</v>
      </c>
      <c r="G209" s="16" t="s">
        <v>158</v>
      </c>
      <c r="H209" s="16" t="s">
        <v>141</v>
      </c>
      <c r="I209" s="22" t="s">
        <v>856</v>
      </c>
      <c r="J209" s="16">
        <f>IFERROR(INDEX(Aux_HH!$J$4:$J$31,MATCH($H209&amp;"|"&amp;$I209,Aux_HH!$A$4:$A$31,0)),"")</f>
        <v>2</v>
      </c>
      <c r="K209" s="16" t="s">
        <v>76</v>
      </c>
      <c r="L209" s="16" t="str">
        <f>IF(COUNTIFS(Pessoas!$C$5:$C$44,$K209,Pessoas!$G$5:$G$44,"Ativo")=0,"Equipe "&amp;$K209,INDEX(Pessoas!$A$5:$A$44,_xludf.aggregate(15,6,(ROW(Pessoas!$A$5:$A$44)-4)/((Pessoas!$C$5:$C$44=$K209)*(Pessoas!$G$5:$G$44="Ativo")),MOD(ROW()-6,MAX(1,COUNTIFS(Pessoas!$C$5:$C$44,$K209,Pessoas!$G$5:$G$44,"Ativo")))+1)))</f>
        <v>Equipe Oficina Mecânica Central-Taisa</v>
      </c>
    </row>
    <row r="210" spans="1:12" ht="15" customHeight="1" x14ac:dyDescent="0.4">
      <c r="A210" s="25">
        <v>46310</v>
      </c>
      <c r="B210" s="16">
        <v>7</v>
      </c>
      <c r="C210" s="16">
        <v>1</v>
      </c>
      <c r="D210" s="16">
        <v>10</v>
      </c>
      <c r="E210" s="16" t="s">
        <v>980</v>
      </c>
      <c r="F210" s="16" t="s">
        <v>1183</v>
      </c>
      <c r="G210" s="16" t="s">
        <v>158</v>
      </c>
      <c r="H210" s="16" t="s">
        <v>141</v>
      </c>
      <c r="I210" s="22" t="s">
        <v>856</v>
      </c>
      <c r="J210" s="16">
        <f>IFERROR(INDEX(Aux_HH!$J$4:$J$31,MATCH($H210&amp;"|"&amp;$I210,Aux_HH!$A$4:$A$31,0)),"")</f>
        <v>2</v>
      </c>
      <c r="K210" s="16" t="s">
        <v>76</v>
      </c>
      <c r="L210" s="16" t="str">
        <f>IF(COUNTIFS(Pessoas!$C$5:$C$44,$K210,Pessoas!$G$5:$G$44,"Ativo")=0,"Equipe "&amp;$K210,INDEX(Pessoas!$A$5:$A$44,_xludf.aggregate(15,6,(ROW(Pessoas!$A$5:$A$44)-4)/((Pessoas!$C$5:$C$44=$K210)*(Pessoas!$G$5:$G$44="Ativo")),MOD(ROW()-6,MAX(1,COUNTIFS(Pessoas!$C$5:$C$44,$K210,Pessoas!$G$5:$G$44,"Ativo")))+1)))</f>
        <v>Equipe Oficina Mecânica Central-Taisa</v>
      </c>
    </row>
    <row r="211" spans="1:12" ht="15" customHeight="1" x14ac:dyDescent="0.4">
      <c r="A211" s="25">
        <v>46310</v>
      </c>
      <c r="B211" s="16">
        <v>7</v>
      </c>
      <c r="C211" s="16">
        <v>1</v>
      </c>
      <c r="D211" s="16">
        <v>10</v>
      </c>
      <c r="E211" s="16" t="s">
        <v>980</v>
      </c>
      <c r="F211" s="16" t="s">
        <v>1184</v>
      </c>
      <c r="G211" s="16" t="s">
        <v>158</v>
      </c>
      <c r="H211" s="16" t="s">
        <v>141</v>
      </c>
      <c r="I211" s="22" t="s">
        <v>856</v>
      </c>
      <c r="J211" s="16">
        <f>IFERROR(INDEX(Aux_HH!$J$4:$J$31,MATCH($H211&amp;"|"&amp;$I211,Aux_HH!$A$4:$A$31,0)),"")</f>
        <v>2</v>
      </c>
      <c r="K211" s="16" t="s">
        <v>76</v>
      </c>
      <c r="L211" s="16" t="str">
        <f>IF(COUNTIFS(Pessoas!$C$5:$C$44,$K211,Pessoas!$G$5:$G$44,"Ativo")=0,"Equipe "&amp;$K211,INDEX(Pessoas!$A$5:$A$44,_xludf.aggregate(15,6,(ROW(Pessoas!$A$5:$A$44)-4)/((Pessoas!$C$5:$C$44=$K211)*(Pessoas!$G$5:$G$44="Ativo")),MOD(ROW()-6,MAX(1,COUNTIFS(Pessoas!$C$5:$C$44,$K211,Pessoas!$G$5:$G$44,"Ativo")))+1)))</f>
        <v>Equipe Oficina Mecânica Central-Taisa</v>
      </c>
    </row>
    <row r="212" spans="1:12" ht="15" customHeight="1" x14ac:dyDescent="0.4">
      <c r="A212" s="25">
        <v>46310</v>
      </c>
      <c r="B212" s="16">
        <v>7</v>
      </c>
      <c r="C212" s="16">
        <v>1</v>
      </c>
      <c r="D212" s="16">
        <v>10</v>
      </c>
      <c r="E212" s="16" t="s">
        <v>980</v>
      </c>
      <c r="F212" s="16" t="s">
        <v>1185</v>
      </c>
      <c r="G212" s="16" t="s">
        <v>158</v>
      </c>
      <c r="H212" s="16" t="s">
        <v>141</v>
      </c>
      <c r="I212" s="22" t="s">
        <v>856</v>
      </c>
      <c r="J212" s="16">
        <f>IFERROR(INDEX(Aux_HH!$J$4:$J$31,MATCH($H212&amp;"|"&amp;$I212,Aux_HH!$A$4:$A$31,0)),"")</f>
        <v>2</v>
      </c>
      <c r="K212" s="16" t="s">
        <v>76</v>
      </c>
      <c r="L212" s="16" t="str">
        <f>IF(COUNTIFS(Pessoas!$C$5:$C$44,$K212,Pessoas!$G$5:$G$44,"Ativo")=0,"Equipe "&amp;$K212,INDEX(Pessoas!$A$5:$A$44,_xludf.aggregate(15,6,(ROW(Pessoas!$A$5:$A$44)-4)/((Pessoas!$C$5:$C$44=$K212)*(Pessoas!$G$5:$G$44="Ativo")),MOD(ROW()-6,MAX(1,COUNTIFS(Pessoas!$C$5:$C$44,$K212,Pessoas!$G$5:$G$44,"Ativo")))+1)))</f>
        <v>Equipe Oficina Mecânica Central-Taisa</v>
      </c>
    </row>
    <row r="213" spans="1:12" ht="15" customHeight="1" x14ac:dyDescent="0.4">
      <c r="A213" s="25">
        <v>46310</v>
      </c>
      <c r="B213" s="16">
        <v>7</v>
      </c>
      <c r="C213" s="16">
        <v>1</v>
      </c>
      <c r="D213" s="16">
        <v>10</v>
      </c>
      <c r="E213" s="16" t="s">
        <v>980</v>
      </c>
      <c r="F213" s="16" t="s">
        <v>1186</v>
      </c>
      <c r="G213" s="16" t="s">
        <v>158</v>
      </c>
      <c r="H213" s="16" t="s">
        <v>141</v>
      </c>
      <c r="I213" s="22" t="s">
        <v>856</v>
      </c>
      <c r="J213" s="16">
        <f>IFERROR(INDEX(Aux_HH!$J$4:$J$31,MATCH($H213&amp;"|"&amp;$I213,Aux_HH!$A$4:$A$31,0)),"")</f>
        <v>2</v>
      </c>
      <c r="K213" s="16" t="s">
        <v>76</v>
      </c>
      <c r="L213" s="16" t="str">
        <f>IF(COUNTIFS(Pessoas!$C$5:$C$44,$K213,Pessoas!$G$5:$G$44,"Ativo")=0,"Equipe "&amp;$K213,INDEX(Pessoas!$A$5:$A$44,_xludf.aggregate(15,6,(ROW(Pessoas!$A$5:$A$44)-4)/((Pessoas!$C$5:$C$44=$K213)*(Pessoas!$G$5:$G$44="Ativo")),MOD(ROW()-6,MAX(1,COUNTIFS(Pessoas!$C$5:$C$44,$K213,Pessoas!$G$5:$G$44,"Ativo")))+1)))</f>
        <v>Equipe Oficina Mecânica Central-Taisa</v>
      </c>
    </row>
    <row r="214" spans="1:12" ht="15" customHeight="1" x14ac:dyDescent="0.4">
      <c r="A214" s="25">
        <v>46310</v>
      </c>
      <c r="B214" s="16">
        <v>7</v>
      </c>
      <c r="C214" s="16">
        <v>1</v>
      </c>
      <c r="D214" s="16">
        <v>10</v>
      </c>
      <c r="E214" s="16" t="s">
        <v>980</v>
      </c>
      <c r="F214" s="16" t="s">
        <v>1187</v>
      </c>
      <c r="G214" s="16" t="s">
        <v>158</v>
      </c>
      <c r="H214" s="16" t="s">
        <v>141</v>
      </c>
      <c r="I214" s="22" t="s">
        <v>856</v>
      </c>
      <c r="J214" s="16">
        <f>IFERROR(INDEX(Aux_HH!$J$4:$J$31,MATCH($H214&amp;"|"&amp;$I214,Aux_HH!$A$4:$A$31,0)),"")</f>
        <v>2</v>
      </c>
      <c r="K214" s="16" t="s">
        <v>76</v>
      </c>
      <c r="L214" s="16" t="str">
        <f>IF(COUNTIFS(Pessoas!$C$5:$C$44,$K214,Pessoas!$G$5:$G$44,"Ativo")=0,"Equipe "&amp;$K214,INDEX(Pessoas!$A$5:$A$44,_xludf.aggregate(15,6,(ROW(Pessoas!$A$5:$A$44)-4)/((Pessoas!$C$5:$C$44=$K214)*(Pessoas!$G$5:$G$44="Ativo")),MOD(ROW()-6,MAX(1,COUNTIFS(Pessoas!$C$5:$C$44,$K214,Pessoas!$G$5:$G$44,"Ativo")))+1)))</f>
        <v>Equipe Oficina Mecânica Central-Taisa</v>
      </c>
    </row>
    <row r="215" spans="1:12" ht="15" customHeight="1" x14ac:dyDescent="0.4">
      <c r="A215" s="25">
        <v>46310</v>
      </c>
      <c r="B215" s="16">
        <v>7</v>
      </c>
      <c r="C215" s="16">
        <v>1</v>
      </c>
      <c r="D215" s="16">
        <v>10</v>
      </c>
      <c r="E215" s="16" t="s">
        <v>980</v>
      </c>
      <c r="F215" s="16" t="s">
        <v>1188</v>
      </c>
      <c r="G215" s="16" t="s">
        <v>158</v>
      </c>
      <c r="H215" s="16" t="s">
        <v>141</v>
      </c>
      <c r="I215" s="22" t="s">
        <v>856</v>
      </c>
      <c r="J215" s="16">
        <f>IFERROR(INDEX(Aux_HH!$J$4:$J$31,MATCH($H215&amp;"|"&amp;$I215,Aux_HH!$A$4:$A$31,0)),"")</f>
        <v>2</v>
      </c>
      <c r="K215" s="16" t="s">
        <v>76</v>
      </c>
      <c r="L215" s="16" t="str">
        <f>IF(COUNTIFS(Pessoas!$C$5:$C$44,$K215,Pessoas!$G$5:$G$44,"Ativo")=0,"Equipe "&amp;$K215,INDEX(Pessoas!$A$5:$A$44,_xludf.aggregate(15,6,(ROW(Pessoas!$A$5:$A$44)-4)/((Pessoas!$C$5:$C$44=$K215)*(Pessoas!$G$5:$G$44="Ativo")),MOD(ROW()-6,MAX(1,COUNTIFS(Pessoas!$C$5:$C$44,$K215,Pessoas!$G$5:$G$44,"Ativo")))+1)))</f>
        <v>Equipe Oficina Mecânica Central-Taisa</v>
      </c>
    </row>
    <row r="216" spans="1:12" ht="15" customHeight="1" x14ac:dyDescent="0.4">
      <c r="A216" s="25">
        <v>46310</v>
      </c>
      <c r="B216" s="16">
        <v>7</v>
      </c>
      <c r="C216" s="16">
        <v>1</v>
      </c>
      <c r="D216" s="16">
        <v>10</v>
      </c>
      <c r="E216" s="16" t="s">
        <v>980</v>
      </c>
      <c r="F216" s="16" t="s">
        <v>1189</v>
      </c>
      <c r="G216" s="16" t="s">
        <v>158</v>
      </c>
      <c r="H216" s="16" t="s">
        <v>141</v>
      </c>
      <c r="I216" s="22" t="s">
        <v>856</v>
      </c>
      <c r="J216" s="16">
        <f>IFERROR(INDEX(Aux_HH!$J$4:$J$31,MATCH($H216&amp;"|"&amp;$I216,Aux_HH!$A$4:$A$31,0)),"")</f>
        <v>2</v>
      </c>
      <c r="K216" s="16" t="s">
        <v>76</v>
      </c>
      <c r="L216" s="16" t="str">
        <f>IF(COUNTIFS(Pessoas!$C$5:$C$44,$K216,Pessoas!$G$5:$G$44,"Ativo")=0,"Equipe "&amp;$K216,INDEX(Pessoas!$A$5:$A$44,_xludf.aggregate(15,6,(ROW(Pessoas!$A$5:$A$44)-4)/((Pessoas!$C$5:$C$44=$K216)*(Pessoas!$G$5:$G$44="Ativo")),MOD(ROW()-6,MAX(1,COUNTIFS(Pessoas!$C$5:$C$44,$K216,Pessoas!$G$5:$G$44,"Ativo")))+1)))</f>
        <v>Equipe Oficina Mecânica Central-Taisa</v>
      </c>
    </row>
    <row r="217" spans="1:12" ht="15" customHeight="1" x14ac:dyDescent="0.4">
      <c r="A217" s="25">
        <v>46310</v>
      </c>
      <c r="B217" s="16">
        <v>7</v>
      </c>
      <c r="C217" s="16">
        <v>1</v>
      </c>
      <c r="D217" s="16">
        <v>10</v>
      </c>
      <c r="E217" s="16" t="s">
        <v>980</v>
      </c>
      <c r="F217" s="16" t="s">
        <v>1190</v>
      </c>
      <c r="G217" s="16" t="s">
        <v>158</v>
      </c>
      <c r="H217" s="16" t="s">
        <v>141</v>
      </c>
      <c r="I217" s="22" t="s">
        <v>856</v>
      </c>
      <c r="J217" s="16">
        <f>IFERROR(INDEX(Aux_HH!$J$4:$J$31,MATCH($H217&amp;"|"&amp;$I217,Aux_HH!$A$4:$A$31,0)),"")</f>
        <v>2</v>
      </c>
      <c r="K217" s="16" t="s">
        <v>76</v>
      </c>
      <c r="L217" s="16" t="str">
        <f>IF(COUNTIFS(Pessoas!$C$5:$C$44,$K217,Pessoas!$G$5:$G$44,"Ativo")=0,"Equipe "&amp;$K217,INDEX(Pessoas!$A$5:$A$44,_xludf.aggregate(15,6,(ROW(Pessoas!$A$5:$A$44)-4)/((Pessoas!$C$5:$C$44=$K217)*(Pessoas!$G$5:$G$44="Ativo")),MOD(ROW()-6,MAX(1,COUNTIFS(Pessoas!$C$5:$C$44,$K217,Pessoas!$G$5:$G$44,"Ativo")))+1)))</f>
        <v>Equipe Oficina Mecânica Central-Taisa</v>
      </c>
    </row>
    <row r="218" spans="1:12" ht="15" customHeight="1" x14ac:dyDescent="0.4">
      <c r="A218" s="25">
        <v>46310</v>
      </c>
      <c r="B218" s="16">
        <v>7</v>
      </c>
      <c r="C218" s="16">
        <v>1</v>
      </c>
      <c r="D218" s="16">
        <v>10</v>
      </c>
      <c r="E218" s="16" t="s">
        <v>980</v>
      </c>
      <c r="F218" s="16" t="s">
        <v>1191</v>
      </c>
      <c r="G218" s="16" t="s">
        <v>158</v>
      </c>
      <c r="H218" s="16" t="s">
        <v>141</v>
      </c>
      <c r="I218" s="22" t="s">
        <v>856</v>
      </c>
      <c r="J218" s="16">
        <f>IFERROR(INDEX(Aux_HH!$J$4:$J$31,MATCH($H218&amp;"|"&amp;$I218,Aux_HH!$A$4:$A$31,0)),"")</f>
        <v>2</v>
      </c>
      <c r="K218" s="16" t="s">
        <v>76</v>
      </c>
      <c r="L218" s="16" t="str">
        <f>IF(COUNTIFS(Pessoas!$C$5:$C$44,$K218,Pessoas!$G$5:$G$44,"Ativo")=0,"Equipe "&amp;$K218,INDEX(Pessoas!$A$5:$A$44,_xludf.aggregate(15,6,(ROW(Pessoas!$A$5:$A$44)-4)/((Pessoas!$C$5:$C$44=$K218)*(Pessoas!$G$5:$G$44="Ativo")),MOD(ROW()-6,MAX(1,COUNTIFS(Pessoas!$C$5:$C$44,$K218,Pessoas!$G$5:$G$44,"Ativo")))+1)))</f>
        <v>Equipe Oficina Mecânica Central-Taisa</v>
      </c>
    </row>
    <row r="219" spans="1:12" ht="15" customHeight="1" x14ac:dyDescent="0.4">
      <c r="A219" s="25">
        <v>46310</v>
      </c>
      <c r="B219" s="16">
        <v>7</v>
      </c>
      <c r="C219" s="16">
        <v>1</v>
      </c>
      <c r="D219" s="16">
        <v>10</v>
      </c>
      <c r="E219" s="16" t="s">
        <v>980</v>
      </c>
      <c r="F219" s="16" t="s">
        <v>1192</v>
      </c>
      <c r="G219" s="16" t="s">
        <v>158</v>
      </c>
      <c r="H219" s="16" t="s">
        <v>141</v>
      </c>
      <c r="I219" s="22" t="s">
        <v>856</v>
      </c>
      <c r="J219" s="16">
        <f>IFERROR(INDEX(Aux_HH!$J$4:$J$31,MATCH($H219&amp;"|"&amp;$I219,Aux_HH!$A$4:$A$31,0)),"")</f>
        <v>2</v>
      </c>
      <c r="K219" s="16" t="s">
        <v>76</v>
      </c>
      <c r="L219" s="16" t="str">
        <f>IF(COUNTIFS(Pessoas!$C$5:$C$44,$K219,Pessoas!$G$5:$G$44,"Ativo")=0,"Equipe "&amp;$K219,INDEX(Pessoas!$A$5:$A$44,_xludf.aggregate(15,6,(ROW(Pessoas!$A$5:$A$44)-4)/((Pessoas!$C$5:$C$44=$K219)*(Pessoas!$G$5:$G$44="Ativo")),MOD(ROW()-6,MAX(1,COUNTIFS(Pessoas!$C$5:$C$44,$K219,Pessoas!$G$5:$G$44,"Ativo")))+1)))</f>
        <v>Equipe Oficina Mecânica Central-Taisa</v>
      </c>
    </row>
    <row r="220" spans="1:12" ht="15" customHeight="1" x14ac:dyDescent="0.4">
      <c r="A220" s="25">
        <v>46310</v>
      </c>
      <c r="B220" s="16">
        <v>7</v>
      </c>
      <c r="C220" s="16">
        <v>1</v>
      </c>
      <c r="D220" s="16">
        <v>10</v>
      </c>
      <c r="E220" s="16" t="s">
        <v>980</v>
      </c>
      <c r="F220" s="16" t="s">
        <v>1193</v>
      </c>
      <c r="G220" s="16" t="s">
        <v>158</v>
      </c>
      <c r="H220" s="16" t="s">
        <v>141</v>
      </c>
      <c r="I220" s="22" t="s">
        <v>856</v>
      </c>
      <c r="J220" s="16">
        <f>IFERROR(INDEX(Aux_HH!$J$4:$J$31,MATCH($H220&amp;"|"&amp;$I220,Aux_HH!$A$4:$A$31,0)),"")</f>
        <v>2</v>
      </c>
      <c r="K220" s="16" t="s">
        <v>76</v>
      </c>
      <c r="L220" s="16" t="str">
        <f>IF(COUNTIFS(Pessoas!$C$5:$C$44,$K220,Pessoas!$G$5:$G$44,"Ativo")=0,"Equipe "&amp;$K220,INDEX(Pessoas!$A$5:$A$44,_xludf.aggregate(15,6,(ROW(Pessoas!$A$5:$A$44)-4)/((Pessoas!$C$5:$C$44=$K220)*(Pessoas!$G$5:$G$44="Ativo")),MOD(ROW()-6,MAX(1,COUNTIFS(Pessoas!$C$5:$C$44,$K220,Pessoas!$G$5:$G$44,"Ativo")))+1)))</f>
        <v>Equipe Oficina Mecânica Central-Taisa</v>
      </c>
    </row>
    <row r="221" spans="1:12" ht="15" customHeight="1" x14ac:dyDescent="0.4">
      <c r="A221" s="25">
        <v>46310</v>
      </c>
      <c r="B221" s="16">
        <v>7</v>
      </c>
      <c r="C221" s="16">
        <v>1</v>
      </c>
      <c r="D221" s="16">
        <v>10</v>
      </c>
      <c r="E221" s="16" t="s">
        <v>980</v>
      </c>
      <c r="F221" s="16" t="s">
        <v>1194</v>
      </c>
      <c r="G221" s="16" t="s">
        <v>184</v>
      </c>
      <c r="H221" s="16" t="s">
        <v>141</v>
      </c>
      <c r="I221" s="22" t="s">
        <v>856</v>
      </c>
      <c r="J221" s="16">
        <f>IFERROR(INDEX(Aux_HH!$J$4:$J$31,MATCH($H221&amp;"|"&amp;$I221,Aux_HH!$A$4:$A$31,0)),"")</f>
        <v>2</v>
      </c>
      <c r="K221" s="16" t="s">
        <v>76</v>
      </c>
      <c r="L221" s="16" t="str">
        <f>IF(COUNTIFS(Pessoas!$C$5:$C$44,$K221,Pessoas!$G$5:$G$44,"Ativo")=0,"Equipe "&amp;$K221,INDEX(Pessoas!$A$5:$A$44,_xludf.aggregate(15,6,(ROW(Pessoas!$A$5:$A$44)-4)/((Pessoas!$C$5:$C$44=$K221)*(Pessoas!$G$5:$G$44="Ativo")),MOD(ROW()-6,MAX(1,COUNTIFS(Pessoas!$C$5:$C$44,$K221,Pessoas!$G$5:$G$44,"Ativo")))+1)))</f>
        <v>Equipe Oficina Mecânica Central-Taisa</v>
      </c>
    </row>
    <row r="222" spans="1:12" ht="15" customHeight="1" x14ac:dyDescent="0.4">
      <c r="A222" s="25">
        <v>46310</v>
      </c>
      <c r="B222" s="16">
        <v>7</v>
      </c>
      <c r="C222" s="16">
        <v>1</v>
      </c>
      <c r="D222" s="16">
        <v>10</v>
      </c>
      <c r="E222" s="16" t="s">
        <v>980</v>
      </c>
      <c r="F222" s="16" t="s">
        <v>1195</v>
      </c>
      <c r="G222" s="16" t="s">
        <v>184</v>
      </c>
      <c r="H222" s="16" t="s">
        <v>141</v>
      </c>
      <c r="I222" s="22" t="s">
        <v>856</v>
      </c>
      <c r="J222" s="16">
        <f>IFERROR(INDEX(Aux_HH!$J$4:$J$31,MATCH($H222&amp;"|"&amp;$I222,Aux_HH!$A$4:$A$31,0)),"")</f>
        <v>2</v>
      </c>
      <c r="K222" s="16" t="s">
        <v>76</v>
      </c>
      <c r="L222" s="16" t="str">
        <f>IF(COUNTIFS(Pessoas!$C$5:$C$44,$K222,Pessoas!$G$5:$G$44,"Ativo")=0,"Equipe "&amp;$K222,INDEX(Pessoas!$A$5:$A$44,_xludf.aggregate(15,6,(ROW(Pessoas!$A$5:$A$44)-4)/((Pessoas!$C$5:$C$44=$K222)*(Pessoas!$G$5:$G$44="Ativo")),MOD(ROW()-6,MAX(1,COUNTIFS(Pessoas!$C$5:$C$44,$K222,Pessoas!$G$5:$G$44,"Ativo")))+1)))</f>
        <v>Equipe Oficina Mecânica Central-Taisa</v>
      </c>
    </row>
    <row r="223" spans="1:12" ht="15" customHeight="1" x14ac:dyDescent="0.4">
      <c r="A223" s="25">
        <v>46310</v>
      </c>
      <c r="B223" s="16">
        <v>7</v>
      </c>
      <c r="C223" s="16">
        <v>1</v>
      </c>
      <c r="D223" s="16">
        <v>10</v>
      </c>
      <c r="E223" s="16" t="s">
        <v>980</v>
      </c>
      <c r="F223" s="16" t="s">
        <v>1196</v>
      </c>
      <c r="G223" s="16" t="s">
        <v>184</v>
      </c>
      <c r="H223" s="16" t="s">
        <v>141</v>
      </c>
      <c r="I223" s="22" t="s">
        <v>856</v>
      </c>
      <c r="J223" s="16">
        <f>IFERROR(INDEX(Aux_HH!$J$4:$J$31,MATCH($H223&amp;"|"&amp;$I223,Aux_HH!$A$4:$A$31,0)),"")</f>
        <v>2</v>
      </c>
      <c r="K223" s="16" t="s">
        <v>76</v>
      </c>
      <c r="L223" s="16" t="str">
        <f>IF(COUNTIFS(Pessoas!$C$5:$C$44,$K223,Pessoas!$G$5:$G$44,"Ativo")=0,"Equipe "&amp;$K223,INDEX(Pessoas!$A$5:$A$44,_xludf.aggregate(15,6,(ROW(Pessoas!$A$5:$A$44)-4)/((Pessoas!$C$5:$C$44=$K223)*(Pessoas!$G$5:$G$44="Ativo")),MOD(ROW()-6,MAX(1,COUNTIFS(Pessoas!$C$5:$C$44,$K223,Pessoas!$G$5:$G$44,"Ativo")))+1)))</f>
        <v>Equipe Oficina Mecânica Central-Taisa</v>
      </c>
    </row>
    <row r="224" spans="1:12" ht="15" customHeight="1" x14ac:dyDescent="0.4">
      <c r="A224" s="25">
        <v>46310</v>
      </c>
      <c r="B224" s="16">
        <v>7</v>
      </c>
      <c r="C224" s="16">
        <v>1</v>
      </c>
      <c r="D224" s="16">
        <v>10</v>
      </c>
      <c r="E224" s="16" t="s">
        <v>980</v>
      </c>
      <c r="F224" s="16" t="s">
        <v>1197</v>
      </c>
      <c r="G224" s="16" t="s">
        <v>184</v>
      </c>
      <c r="H224" s="16" t="s">
        <v>141</v>
      </c>
      <c r="I224" s="22" t="s">
        <v>856</v>
      </c>
      <c r="J224" s="16">
        <f>IFERROR(INDEX(Aux_HH!$J$4:$J$31,MATCH($H224&amp;"|"&amp;$I224,Aux_HH!$A$4:$A$31,0)),"")</f>
        <v>2</v>
      </c>
      <c r="K224" s="16" t="s">
        <v>76</v>
      </c>
      <c r="L224" s="16" t="str">
        <f>IF(COUNTIFS(Pessoas!$C$5:$C$44,$K224,Pessoas!$G$5:$G$44,"Ativo")=0,"Equipe "&amp;$K224,INDEX(Pessoas!$A$5:$A$44,_xludf.aggregate(15,6,(ROW(Pessoas!$A$5:$A$44)-4)/((Pessoas!$C$5:$C$44=$K224)*(Pessoas!$G$5:$G$44="Ativo")),MOD(ROW()-6,MAX(1,COUNTIFS(Pessoas!$C$5:$C$44,$K224,Pessoas!$G$5:$G$44,"Ativo")))+1)))</f>
        <v>Equipe Oficina Mecânica Central-Taisa</v>
      </c>
    </row>
    <row r="225" spans="1:12" ht="15" customHeight="1" x14ac:dyDescent="0.4">
      <c r="A225" s="25">
        <v>46310</v>
      </c>
      <c r="B225" s="16">
        <v>7</v>
      </c>
      <c r="C225" s="16">
        <v>1</v>
      </c>
      <c r="D225" s="16">
        <v>10</v>
      </c>
      <c r="E225" s="16" t="s">
        <v>980</v>
      </c>
      <c r="F225" s="16" t="s">
        <v>1198</v>
      </c>
      <c r="G225" s="16" t="s">
        <v>184</v>
      </c>
      <c r="H225" s="16" t="s">
        <v>141</v>
      </c>
      <c r="I225" s="22" t="s">
        <v>856</v>
      </c>
      <c r="J225" s="16">
        <f>IFERROR(INDEX(Aux_HH!$J$4:$J$31,MATCH($H225&amp;"|"&amp;$I225,Aux_HH!$A$4:$A$31,0)),"")</f>
        <v>2</v>
      </c>
      <c r="K225" s="16" t="s">
        <v>76</v>
      </c>
      <c r="L225" s="16" t="str">
        <f>IF(COUNTIFS(Pessoas!$C$5:$C$44,$K225,Pessoas!$G$5:$G$44,"Ativo")=0,"Equipe "&amp;$K225,INDEX(Pessoas!$A$5:$A$44,_xludf.aggregate(15,6,(ROW(Pessoas!$A$5:$A$44)-4)/((Pessoas!$C$5:$C$44=$K225)*(Pessoas!$G$5:$G$44="Ativo")),MOD(ROW()-6,MAX(1,COUNTIFS(Pessoas!$C$5:$C$44,$K225,Pessoas!$G$5:$G$44,"Ativo")))+1)))</f>
        <v>Equipe Oficina Mecânica Central-Taisa</v>
      </c>
    </row>
    <row r="226" spans="1:12" ht="15" customHeight="1" x14ac:dyDescent="0.4">
      <c r="A226" s="25">
        <v>46310</v>
      </c>
      <c r="B226" s="16">
        <v>7</v>
      </c>
      <c r="C226" s="16">
        <v>1</v>
      </c>
      <c r="D226" s="16">
        <v>10</v>
      </c>
      <c r="E226" s="16" t="s">
        <v>980</v>
      </c>
      <c r="F226" s="16" t="s">
        <v>1199</v>
      </c>
      <c r="G226" s="16" t="s">
        <v>184</v>
      </c>
      <c r="H226" s="16" t="s">
        <v>141</v>
      </c>
      <c r="I226" s="22" t="s">
        <v>856</v>
      </c>
      <c r="J226" s="16">
        <f>IFERROR(INDEX(Aux_HH!$J$4:$J$31,MATCH($H226&amp;"|"&amp;$I226,Aux_HH!$A$4:$A$31,0)),"")</f>
        <v>2</v>
      </c>
      <c r="K226" s="16" t="s">
        <v>76</v>
      </c>
      <c r="L226" s="16" t="str">
        <f>IF(COUNTIFS(Pessoas!$C$5:$C$44,$K226,Pessoas!$G$5:$G$44,"Ativo")=0,"Equipe "&amp;$K226,INDEX(Pessoas!$A$5:$A$44,_xludf.aggregate(15,6,(ROW(Pessoas!$A$5:$A$44)-4)/((Pessoas!$C$5:$C$44=$K226)*(Pessoas!$G$5:$G$44="Ativo")),MOD(ROW()-6,MAX(1,COUNTIFS(Pessoas!$C$5:$C$44,$K226,Pessoas!$G$5:$G$44,"Ativo")))+1)))</f>
        <v>Equipe Oficina Mecânica Central-Taisa</v>
      </c>
    </row>
    <row r="227" spans="1:12" ht="15" customHeight="1" x14ac:dyDescent="0.4">
      <c r="A227" s="25">
        <v>46310</v>
      </c>
      <c r="B227" s="16">
        <v>7</v>
      </c>
      <c r="C227" s="16">
        <v>1</v>
      </c>
      <c r="D227" s="16">
        <v>10</v>
      </c>
      <c r="E227" s="16" t="s">
        <v>980</v>
      </c>
      <c r="F227" s="16" t="s">
        <v>1200</v>
      </c>
      <c r="G227" s="16" t="s">
        <v>184</v>
      </c>
      <c r="H227" s="16" t="s">
        <v>141</v>
      </c>
      <c r="I227" s="22" t="s">
        <v>856</v>
      </c>
      <c r="J227" s="16">
        <f>IFERROR(INDEX(Aux_HH!$J$4:$J$31,MATCH($H227&amp;"|"&amp;$I227,Aux_HH!$A$4:$A$31,0)),"")</f>
        <v>2</v>
      </c>
      <c r="K227" s="16" t="s">
        <v>76</v>
      </c>
      <c r="L227" s="16" t="str">
        <f>IF(COUNTIFS(Pessoas!$C$5:$C$44,$K227,Pessoas!$G$5:$G$44,"Ativo")=0,"Equipe "&amp;$K227,INDEX(Pessoas!$A$5:$A$44,_xludf.aggregate(15,6,(ROW(Pessoas!$A$5:$A$44)-4)/((Pessoas!$C$5:$C$44=$K227)*(Pessoas!$G$5:$G$44="Ativo")),MOD(ROW()-6,MAX(1,COUNTIFS(Pessoas!$C$5:$C$44,$K227,Pessoas!$G$5:$G$44,"Ativo")))+1)))</f>
        <v>Equipe Oficina Mecânica Central-Taisa</v>
      </c>
    </row>
    <row r="228" spans="1:12" ht="15" customHeight="1" x14ac:dyDescent="0.4">
      <c r="A228" s="25">
        <v>46310</v>
      </c>
      <c r="B228" s="16">
        <v>7</v>
      </c>
      <c r="C228" s="16">
        <v>1</v>
      </c>
      <c r="D228" s="16">
        <v>10</v>
      </c>
      <c r="E228" s="16" t="s">
        <v>980</v>
      </c>
      <c r="F228" s="16" t="s">
        <v>1201</v>
      </c>
      <c r="G228" s="16" t="s">
        <v>184</v>
      </c>
      <c r="H228" s="16" t="s">
        <v>141</v>
      </c>
      <c r="I228" s="22" t="s">
        <v>856</v>
      </c>
      <c r="J228" s="16">
        <f>IFERROR(INDEX(Aux_HH!$J$4:$J$31,MATCH($H228&amp;"|"&amp;$I228,Aux_HH!$A$4:$A$31,0)),"")</f>
        <v>2</v>
      </c>
      <c r="K228" s="16" t="s">
        <v>76</v>
      </c>
      <c r="L228" s="16" t="str">
        <f>IF(COUNTIFS(Pessoas!$C$5:$C$44,$K228,Pessoas!$G$5:$G$44,"Ativo")=0,"Equipe "&amp;$K228,INDEX(Pessoas!$A$5:$A$44,_xludf.aggregate(15,6,(ROW(Pessoas!$A$5:$A$44)-4)/((Pessoas!$C$5:$C$44=$K228)*(Pessoas!$G$5:$G$44="Ativo")),MOD(ROW()-6,MAX(1,COUNTIFS(Pessoas!$C$5:$C$44,$K228,Pessoas!$G$5:$G$44,"Ativo")))+1)))</f>
        <v>Equipe Oficina Mecânica Central-Taisa</v>
      </c>
    </row>
    <row r="229" spans="1:12" ht="15" customHeight="1" x14ac:dyDescent="0.4">
      <c r="A229" s="25">
        <v>46310</v>
      </c>
      <c r="B229" s="16">
        <v>7</v>
      </c>
      <c r="C229" s="16">
        <v>1</v>
      </c>
      <c r="D229" s="16">
        <v>10</v>
      </c>
      <c r="E229" s="16" t="s">
        <v>980</v>
      </c>
      <c r="F229" s="16" t="s">
        <v>1202</v>
      </c>
      <c r="G229" s="16" t="s">
        <v>184</v>
      </c>
      <c r="H229" s="16" t="s">
        <v>141</v>
      </c>
      <c r="I229" s="22" t="s">
        <v>856</v>
      </c>
      <c r="J229" s="16">
        <f>IFERROR(INDEX(Aux_HH!$J$4:$J$31,MATCH($H229&amp;"|"&amp;$I229,Aux_HH!$A$4:$A$31,0)),"")</f>
        <v>2</v>
      </c>
      <c r="K229" s="16" t="s">
        <v>76</v>
      </c>
      <c r="L229" s="16" t="str">
        <f>IF(COUNTIFS(Pessoas!$C$5:$C$44,$K229,Pessoas!$G$5:$G$44,"Ativo")=0,"Equipe "&amp;$K229,INDEX(Pessoas!$A$5:$A$44,_xludf.aggregate(15,6,(ROW(Pessoas!$A$5:$A$44)-4)/((Pessoas!$C$5:$C$44=$K229)*(Pessoas!$G$5:$G$44="Ativo")),MOD(ROW()-6,MAX(1,COUNTIFS(Pessoas!$C$5:$C$44,$K229,Pessoas!$G$5:$G$44,"Ativo")))+1)))</f>
        <v>Equipe Oficina Mecânica Central-Taisa</v>
      </c>
    </row>
    <row r="230" spans="1:12" ht="15" customHeight="1" x14ac:dyDescent="0.4">
      <c r="A230" s="25">
        <v>46310</v>
      </c>
      <c r="B230" s="16">
        <v>7</v>
      </c>
      <c r="C230" s="16">
        <v>1</v>
      </c>
      <c r="D230" s="16">
        <v>10</v>
      </c>
      <c r="E230" s="16" t="s">
        <v>980</v>
      </c>
      <c r="F230" s="16" t="s">
        <v>1203</v>
      </c>
      <c r="G230" s="16" t="s">
        <v>184</v>
      </c>
      <c r="H230" s="16" t="s">
        <v>141</v>
      </c>
      <c r="I230" s="22" t="s">
        <v>856</v>
      </c>
      <c r="J230" s="16">
        <f>IFERROR(INDEX(Aux_HH!$J$4:$J$31,MATCH($H230&amp;"|"&amp;$I230,Aux_HH!$A$4:$A$31,0)),"")</f>
        <v>2</v>
      </c>
      <c r="K230" s="16" t="s">
        <v>76</v>
      </c>
      <c r="L230" s="16" t="str">
        <f>IF(COUNTIFS(Pessoas!$C$5:$C$44,$K230,Pessoas!$G$5:$G$44,"Ativo")=0,"Equipe "&amp;$K230,INDEX(Pessoas!$A$5:$A$44,_xludf.aggregate(15,6,(ROW(Pessoas!$A$5:$A$44)-4)/((Pessoas!$C$5:$C$44=$K230)*(Pessoas!$G$5:$G$44="Ativo")),MOD(ROW()-6,MAX(1,COUNTIFS(Pessoas!$C$5:$C$44,$K230,Pessoas!$G$5:$G$44,"Ativo")))+1)))</f>
        <v>Equipe Oficina Mecânica Central-Taisa</v>
      </c>
    </row>
    <row r="231" spans="1:12" ht="15" customHeight="1" x14ac:dyDescent="0.4">
      <c r="A231" s="25">
        <v>46310</v>
      </c>
      <c r="B231" s="16">
        <v>7</v>
      </c>
      <c r="C231" s="16">
        <v>1</v>
      </c>
      <c r="D231" s="16">
        <v>10</v>
      </c>
      <c r="E231" s="16" t="s">
        <v>980</v>
      </c>
      <c r="F231" s="16" t="s">
        <v>1204</v>
      </c>
      <c r="G231" s="16" t="s">
        <v>184</v>
      </c>
      <c r="H231" s="16" t="s">
        <v>141</v>
      </c>
      <c r="I231" s="22" t="s">
        <v>856</v>
      </c>
      <c r="J231" s="16">
        <f>IFERROR(INDEX(Aux_HH!$J$4:$J$31,MATCH($H231&amp;"|"&amp;$I231,Aux_HH!$A$4:$A$31,0)),"")</f>
        <v>2</v>
      </c>
      <c r="K231" s="16" t="s">
        <v>76</v>
      </c>
      <c r="L231" s="16" t="str">
        <f>IF(COUNTIFS(Pessoas!$C$5:$C$44,$K231,Pessoas!$G$5:$G$44,"Ativo")=0,"Equipe "&amp;$K231,INDEX(Pessoas!$A$5:$A$44,_xludf.aggregate(15,6,(ROW(Pessoas!$A$5:$A$44)-4)/((Pessoas!$C$5:$C$44=$K231)*(Pessoas!$G$5:$G$44="Ativo")),MOD(ROW()-6,MAX(1,COUNTIFS(Pessoas!$C$5:$C$44,$K231,Pessoas!$G$5:$G$44,"Ativo")))+1)))</f>
        <v>Equipe Oficina Mecânica Central-Taisa</v>
      </c>
    </row>
    <row r="232" spans="1:12" ht="15" customHeight="1" x14ac:dyDescent="0.4">
      <c r="A232" s="25">
        <v>46310</v>
      </c>
      <c r="B232" s="16">
        <v>7</v>
      </c>
      <c r="C232" s="16">
        <v>1</v>
      </c>
      <c r="D232" s="16">
        <v>10</v>
      </c>
      <c r="E232" s="16" t="s">
        <v>980</v>
      </c>
      <c r="F232" s="16" t="s">
        <v>1205</v>
      </c>
      <c r="G232" s="16" t="s">
        <v>526</v>
      </c>
      <c r="H232" s="16" t="s">
        <v>140</v>
      </c>
      <c r="I232" s="22" t="s">
        <v>856</v>
      </c>
      <c r="J232" s="16">
        <f>IFERROR(INDEX(Aux_HH!$J$4:$J$31,MATCH($H232&amp;"|"&amp;$I232,Aux_HH!$A$4:$A$31,0)),"")</f>
        <v>2.5</v>
      </c>
      <c r="K232" s="16" t="s">
        <v>76</v>
      </c>
      <c r="L232" s="16" t="str">
        <f>IF(COUNTIFS(Pessoas!$C$5:$C$44,$K232,Pessoas!$G$5:$G$44,"Ativo")=0,"Equipe "&amp;$K232,INDEX(Pessoas!$A$5:$A$44,_xludf.aggregate(15,6,(ROW(Pessoas!$A$5:$A$44)-4)/((Pessoas!$C$5:$C$44=$K232)*(Pessoas!$G$5:$G$44="Ativo")),MOD(ROW()-6,MAX(1,COUNTIFS(Pessoas!$C$5:$C$44,$K232,Pessoas!$G$5:$G$44,"Ativo")))+1)))</f>
        <v>Equipe Oficina Mecânica Central-Taisa</v>
      </c>
    </row>
    <row r="233" spans="1:12" ht="15" customHeight="1" x14ac:dyDescent="0.4">
      <c r="A233" s="25">
        <v>46310</v>
      </c>
      <c r="B233" s="16">
        <v>7</v>
      </c>
      <c r="C233" s="16">
        <v>1</v>
      </c>
      <c r="D233" s="16">
        <v>10</v>
      </c>
      <c r="E233" s="16" t="s">
        <v>980</v>
      </c>
      <c r="F233" s="16" t="s">
        <v>1206</v>
      </c>
      <c r="G233" s="16" t="s">
        <v>526</v>
      </c>
      <c r="H233" s="16" t="s">
        <v>140</v>
      </c>
      <c r="I233" s="22" t="s">
        <v>856</v>
      </c>
      <c r="J233" s="16">
        <f>IFERROR(INDEX(Aux_HH!$J$4:$J$31,MATCH($H233&amp;"|"&amp;$I233,Aux_HH!$A$4:$A$31,0)),"")</f>
        <v>2.5</v>
      </c>
      <c r="K233" s="16" t="s">
        <v>76</v>
      </c>
      <c r="L233" s="16" t="str">
        <f>IF(COUNTIFS(Pessoas!$C$5:$C$44,$K233,Pessoas!$G$5:$G$44,"Ativo")=0,"Equipe "&amp;$K233,INDEX(Pessoas!$A$5:$A$44,_xludf.aggregate(15,6,(ROW(Pessoas!$A$5:$A$44)-4)/((Pessoas!$C$5:$C$44=$K233)*(Pessoas!$G$5:$G$44="Ativo")),MOD(ROW()-6,MAX(1,COUNTIFS(Pessoas!$C$5:$C$44,$K233,Pessoas!$G$5:$G$44,"Ativo")))+1)))</f>
        <v>Equipe Oficina Mecânica Central-Taisa</v>
      </c>
    </row>
    <row r="234" spans="1:12" ht="15" customHeight="1" x14ac:dyDescent="0.4">
      <c r="A234" s="25">
        <v>46310</v>
      </c>
      <c r="B234" s="16">
        <v>7</v>
      </c>
      <c r="C234" s="16">
        <v>1</v>
      </c>
      <c r="D234" s="16">
        <v>10</v>
      </c>
      <c r="E234" s="16" t="s">
        <v>980</v>
      </c>
      <c r="F234" s="16" t="s">
        <v>1207</v>
      </c>
      <c r="G234" s="16" t="s">
        <v>526</v>
      </c>
      <c r="H234" s="16" t="s">
        <v>140</v>
      </c>
      <c r="I234" s="22" t="s">
        <v>856</v>
      </c>
      <c r="J234" s="16">
        <f>IFERROR(INDEX(Aux_HH!$J$4:$J$31,MATCH($H234&amp;"|"&amp;$I234,Aux_HH!$A$4:$A$31,0)),"")</f>
        <v>2.5</v>
      </c>
      <c r="K234" s="16" t="s">
        <v>76</v>
      </c>
      <c r="L234" s="16" t="str">
        <f>IF(COUNTIFS(Pessoas!$C$5:$C$44,$K234,Pessoas!$G$5:$G$44,"Ativo")=0,"Equipe "&amp;$K234,INDEX(Pessoas!$A$5:$A$44,_xludf.aggregate(15,6,(ROW(Pessoas!$A$5:$A$44)-4)/((Pessoas!$C$5:$C$44=$K234)*(Pessoas!$G$5:$G$44="Ativo")),MOD(ROW()-6,MAX(1,COUNTIFS(Pessoas!$C$5:$C$44,$K234,Pessoas!$G$5:$G$44,"Ativo")))+1)))</f>
        <v>Equipe Oficina Mecânica Central-Taisa</v>
      </c>
    </row>
    <row r="235" spans="1:12" ht="15" customHeight="1" x14ac:dyDescent="0.4">
      <c r="A235" s="25">
        <v>46310</v>
      </c>
      <c r="B235" s="16">
        <v>7</v>
      </c>
      <c r="C235" s="16">
        <v>1</v>
      </c>
      <c r="D235" s="16">
        <v>10</v>
      </c>
      <c r="E235" s="16" t="s">
        <v>980</v>
      </c>
      <c r="F235" s="16" t="s">
        <v>1208</v>
      </c>
      <c r="G235" s="16" t="s">
        <v>526</v>
      </c>
      <c r="H235" s="16" t="s">
        <v>140</v>
      </c>
      <c r="I235" s="22" t="s">
        <v>856</v>
      </c>
      <c r="J235" s="16">
        <f>IFERROR(INDEX(Aux_HH!$J$4:$J$31,MATCH($H235&amp;"|"&amp;$I235,Aux_HH!$A$4:$A$31,0)),"")</f>
        <v>2.5</v>
      </c>
      <c r="K235" s="16" t="s">
        <v>76</v>
      </c>
      <c r="L235" s="16" t="str">
        <f>IF(COUNTIFS(Pessoas!$C$5:$C$44,$K235,Pessoas!$G$5:$G$44,"Ativo")=0,"Equipe "&amp;$K235,INDEX(Pessoas!$A$5:$A$44,_xludf.aggregate(15,6,(ROW(Pessoas!$A$5:$A$44)-4)/((Pessoas!$C$5:$C$44=$K235)*(Pessoas!$G$5:$G$44="Ativo")),MOD(ROW()-6,MAX(1,COUNTIFS(Pessoas!$C$5:$C$44,$K235,Pessoas!$G$5:$G$44,"Ativo")))+1)))</f>
        <v>Equipe Oficina Mecânica Central-Taisa</v>
      </c>
    </row>
    <row r="236" spans="1:12" ht="15" customHeight="1" x14ac:dyDescent="0.4">
      <c r="A236" s="25">
        <v>46310</v>
      </c>
      <c r="B236" s="16">
        <v>7</v>
      </c>
      <c r="C236" s="16">
        <v>1</v>
      </c>
      <c r="D236" s="16">
        <v>10</v>
      </c>
      <c r="E236" s="16" t="s">
        <v>980</v>
      </c>
      <c r="F236" s="16" t="s">
        <v>1209</v>
      </c>
      <c r="G236" s="16" t="s">
        <v>158</v>
      </c>
      <c r="H236" s="16" t="s">
        <v>141</v>
      </c>
      <c r="I236" s="22" t="s">
        <v>856</v>
      </c>
      <c r="J236" s="16">
        <f>IFERROR(INDEX(Aux_HH!$J$4:$J$31,MATCH($H236&amp;"|"&amp;$I236,Aux_HH!$A$4:$A$31,0)),"")</f>
        <v>2</v>
      </c>
      <c r="K236" s="16" t="s">
        <v>76</v>
      </c>
      <c r="L236" s="16" t="str">
        <f>IF(COUNTIFS(Pessoas!$C$5:$C$44,$K236,Pessoas!$G$5:$G$44,"Ativo")=0,"Equipe "&amp;$K236,INDEX(Pessoas!$A$5:$A$44,_xludf.aggregate(15,6,(ROW(Pessoas!$A$5:$A$44)-4)/((Pessoas!$C$5:$C$44=$K236)*(Pessoas!$G$5:$G$44="Ativo")),MOD(ROW()-6,MAX(1,COUNTIFS(Pessoas!$C$5:$C$44,$K236,Pessoas!$G$5:$G$44,"Ativo")))+1)))</f>
        <v>Equipe Oficina Mecânica Central-Taisa</v>
      </c>
    </row>
    <row r="237" spans="1:12" ht="15" customHeight="1" x14ac:dyDescent="0.4">
      <c r="A237" s="25">
        <v>46310</v>
      </c>
      <c r="B237" s="16">
        <v>7</v>
      </c>
      <c r="C237" s="16">
        <v>1</v>
      </c>
      <c r="D237" s="16">
        <v>10</v>
      </c>
      <c r="E237" s="16" t="s">
        <v>980</v>
      </c>
      <c r="F237" s="16" t="s">
        <v>1210</v>
      </c>
      <c r="G237" s="16" t="s">
        <v>184</v>
      </c>
      <c r="H237" s="16" t="s">
        <v>140</v>
      </c>
      <c r="I237" s="22" t="s">
        <v>856</v>
      </c>
      <c r="J237" s="16">
        <f>IFERROR(INDEX(Aux_HH!$J$4:$J$31,MATCH($H237&amp;"|"&amp;$I237,Aux_HH!$A$4:$A$31,0)),"")</f>
        <v>2.5</v>
      </c>
      <c r="K237" s="16" t="s">
        <v>76</v>
      </c>
      <c r="L237" s="16" t="str">
        <f>IF(COUNTIFS(Pessoas!$C$5:$C$44,$K237,Pessoas!$G$5:$G$44,"Ativo")=0,"Equipe "&amp;$K237,INDEX(Pessoas!$A$5:$A$44,_xludf.aggregate(15,6,(ROW(Pessoas!$A$5:$A$44)-4)/((Pessoas!$C$5:$C$44=$K237)*(Pessoas!$G$5:$G$44="Ativo")),MOD(ROW()-6,MAX(1,COUNTIFS(Pessoas!$C$5:$C$44,$K237,Pessoas!$G$5:$G$44,"Ativo")))+1)))</f>
        <v>Equipe Oficina Mecânica Central-Taisa</v>
      </c>
    </row>
    <row r="238" spans="1:12" ht="15" customHeight="1" x14ac:dyDescent="0.4">
      <c r="A238" s="25">
        <v>46310</v>
      </c>
      <c r="B238" s="16">
        <v>7</v>
      </c>
      <c r="C238" s="16">
        <v>1</v>
      </c>
      <c r="D238" s="16">
        <v>10</v>
      </c>
      <c r="E238" s="16" t="s">
        <v>980</v>
      </c>
      <c r="F238" s="16" t="s">
        <v>1211</v>
      </c>
      <c r="G238" s="16" t="s">
        <v>184</v>
      </c>
      <c r="H238" s="16" t="s">
        <v>140</v>
      </c>
      <c r="I238" s="22" t="s">
        <v>856</v>
      </c>
      <c r="J238" s="16">
        <f>IFERROR(INDEX(Aux_HH!$J$4:$J$31,MATCH($H238&amp;"|"&amp;$I238,Aux_HH!$A$4:$A$31,0)),"")</f>
        <v>2.5</v>
      </c>
      <c r="K238" s="16" t="s">
        <v>76</v>
      </c>
      <c r="L238" s="16" t="str">
        <f>IF(COUNTIFS(Pessoas!$C$5:$C$44,$K238,Pessoas!$G$5:$G$44,"Ativo")=0,"Equipe "&amp;$K238,INDEX(Pessoas!$A$5:$A$44,_xludf.aggregate(15,6,(ROW(Pessoas!$A$5:$A$44)-4)/((Pessoas!$C$5:$C$44=$K238)*(Pessoas!$G$5:$G$44="Ativo")),MOD(ROW()-6,MAX(1,COUNTIFS(Pessoas!$C$5:$C$44,$K238,Pessoas!$G$5:$G$44,"Ativo")))+1)))</f>
        <v>Equipe Oficina Mecânica Central-Taisa</v>
      </c>
    </row>
    <row r="239" spans="1:12" ht="15" customHeight="1" x14ac:dyDescent="0.4">
      <c r="A239" s="25">
        <v>46310</v>
      </c>
      <c r="B239" s="16">
        <v>7</v>
      </c>
      <c r="C239" s="16">
        <v>1</v>
      </c>
      <c r="D239" s="16">
        <v>10</v>
      </c>
      <c r="E239" s="16" t="s">
        <v>980</v>
      </c>
      <c r="F239" s="16" t="s">
        <v>1212</v>
      </c>
      <c r="G239" s="16" t="s">
        <v>526</v>
      </c>
      <c r="H239" s="16" t="s">
        <v>140</v>
      </c>
      <c r="I239" s="22" t="s">
        <v>856</v>
      </c>
      <c r="J239" s="16">
        <f>IFERROR(INDEX(Aux_HH!$J$4:$J$31,MATCH($H239&amp;"|"&amp;$I239,Aux_HH!$A$4:$A$31,0)),"")</f>
        <v>2.5</v>
      </c>
      <c r="K239" s="16" t="s">
        <v>76</v>
      </c>
      <c r="L239" s="16" t="str">
        <f>IF(COUNTIFS(Pessoas!$C$5:$C$44,$K239,Pessoas!$G$5:$G$44,"Ativo")=0,"Equipe "&amp;$K239,INDEX(Pessoas!$A$5:$A$44,_xludf.aggregate(15,6,(ROW(Pessoas!$A$5:$A$44)-4)/((Pessoas!$C$5:$C$44=$K239)*(Pessoas!$G$5:$G$44="Ativo")),MOD(ROW()-6,MAX(1,COUNTIFS(Pessoas!$C$5:$C$44,$K239,Pessoas!$G$5:$G$44,"Ativo")))+1)))</f>
        <v>Equipe Oficina Mecânica Central-Taisa</v>
      </c>
    </row>
    <row r="240" spans="1:12" ht="15" customHeight="1" x14ac:dyDescent="0.4">
      <c r="A240" s="25">
        <v>46310</v>
      </c>
      <c r="B240" s="16">
        <v>7</v>
      </c>
      <c r="C240" s="16">
        <v>1</v>
      </c>
      <c r="D240" s="16">
        <v>10</v>
      </c>
      <c r="E240" s="16" t="s">
        <v>980</v>
      </c>
      <c r="F240" s="16" t="s">
        <v>1213</v>
      </c>
      <c r="G240" s="16" t="s">
        <v>526</v>
      </c>
      <c r="H240" s="16" t="s">
        <v>140</v>
      </c>
      <c r="I240" s="22" t="s">
        <v>856</v>
      </c>
      <c r="J240" s="16">
        <f>IFERROR(INDEX(Aux_HH!$J$4:$J$31,MATCH($H240&amp;"|"&amp;$I240,Aux_HH!$A$4:$A$31,0)),"")</f>
        <v>2.5</v>
      </c>
      <c r="K240" s="16" t="s">
        <v>76</v>
      </c>
      <c r="L240" s="16" t="str">
        <f>IF(COUNTIFS(Pessoas!$C$5:$C$44,$K240,Pessoas!$G$5:$G$44,"Ativo")=0,"Equipe "&amp;$K240,INDEX(Pessoas!$A$5:$A$44,_xludf.aggregate(15,6,(ROW(Pessoas!$A$5:$A$44)-4)/((Pessoas!$C$5:$C$44=$K240)*(Pessoas!$G$5:$G$44="Ativo")),MOD(ROW()-6,MAX(1,COUNTIFS(Pessoas!$C$5:$C$44,$K240,Pessoas!$G$5:$G$44,"Ativo")))+1)))</f>
        <v>Equipe Oficina Mecânica Central-Taisa</v>
      </c>
    </row>
    <row r="241" spans="1:12" ht="15" customHeight="1" x14ac:dyDescent="0.4">
      <c r="A241" s="25">
        <v>46310</v>
      </c>
      <c r="B241" s="16">
        <v>7</v>
      </c>
      <c r="C241" s="16">
        <v>1</v>
      </c>
      <c r="D241" s="16">
        <v>10</v>
      </c>
      <c r="E241" s="16" t="s">
        <v>980</v>
      </c>
      <c r="F241" s="16" t="s">
        <v>1214</v>
      </c>
      <c r="G241" s="16" t="s">
        <v>526</v>
      </c>
      <c r="H241" s="16" t="s">
        <v>140</v>
      </c>
      <c r="I241" s="22" t="s">
        <v>856</v>
      </c>
      <c r="J241" s="16">
        <f>IFERROR(INDEX(Aux_HH!$J$4:$J$31,MATCH($H241&amp;"|"&amp;$I241,Aux_HH!$A$4:$A$31,0)),"")</f>
        <v>2.5</v>
      </c>
      <c r="K241" s="16" t="s">
        <v>76</v>
      </c>
      <c r="L241" s="16" t="str">
        <f>IF(COUNTIFS(Pessoas!$C$5:$C$44,$K241,Pessoas!$G$5:$G$44,"Ativo")=0,"Equipe "&amp;$K241,INDEX(Pessoas!$A$5:$A$44,_xludf.aggregate(15,6,(ROW(Pessoas!$A$5:$A$44)-4)/((Pessoas!$C$5:$C$44=$K241)*(Pessoas!$G$5:$G$44="Ativo")),MOD(ROW()-6,MAX(1,COUNTIFS(Pessoas!$C$5:$C$44,$K241,Pessoas!$G$5:$G$44,"Ativo")))+1)))</f>
        <v>Equipe Oficina Mecânica Central-Taisa</v>
      </c>
    </row>
    <row r="242" spans="1:12" ht="15" customHeight="1" x14ac:dyDescent="0.4">
      <c r="A242" s="25">
        <v>46311</v>
      </c>
      <c r="B242" s="16">
        <v>7</v>
      </c>
      <c r="C242" s="16">
        <v>1</v>
      </c>
      <c r="D242" s="16">
        <v>10</v>
      </c>
      <c r="E242" s="16" t="s">
        <v>980</v>
      </c>
      <c r="F242" s="16" t="s">
        <v>1215</v>
      </c>
      <c r="G242" s="16" t="s">
        <v>526</v>
      </c>
      <c r="H242" s="16" t="s">
        <v>140</v>
      </c>
      <c r="I242" s="22" t="s">
        <v>856</v>
      </c>
      <c r="J242" s="16">
        <f>IFERROR(INDEX(Aux_HH!$J$4:$J$31,MATCH($H242&amp;"|"&amp;$I242,Aux_HH!$A$4:$A$31,0)),"")</f>
        <v>2.5</v>
      </c>
      <c r="K242" s="16" t="s">
        <v>76</v>
      </c>
      <c r="L242" s="16" t="str">
        <f>IF(COUNTIFS(Pessoas!$C$5:$C$44,$K242,Pessoas!$G$5:$G$44,"Ativo")=0,"Equipe "&amp;$K242,INDEX(Pessoas!$A$5:$A$44,_xludf.aggregate(15,6,(ROW(Pessoas!$A$5:$A$44)-4)/((Pessoas!$C$5:$C$44=$K242)*(Pessoas!$G$5:$G$44="Ativo")),MOD(ROW()-6,MAX(1,COUNTIFS(Pessoas!$C$5:$C$44,$K242,Pessoas!$G$5:$G$44,"Ativo")))+1)))</f>
        <v>Equipe Oficina Mecânica Central-Taisa</v>
      </c>
    </row>
    <row r="243" spans="1:12" ht="15" customHeight="1" x14ac:dyDescent="0.4">
      <c r="A243" s="25">
        <v>46311</v>
      </c>
      <c r="B243" s="16">
        <v>7</v>
      </c>
      <c r="C243" s="16">
        <v>1</v>
      </c>
      <c r="D243" s="16">
        <v>10</v>
      </c>
      <c r="E243" s="16" t="s">
        <v>980</v>
      </c>
      <c r="F243" s="16" t="s">
        <v>1216</v>
      </c>
      <c r="G243" s="16" t="s">
        <v>526</v>
      </c>
      <c r="H243" s="16" t="s">
        <v>140</v>
      </c>
      <c r="I243" s="22" t="s">
        <v>856</v>
      </c>
      <c r="J243" s="16">
        <f>IFERROR(INDEX(Aux_HH!$J$4:$J$31,MATCH($H243&amp;"|"&amp;$I243,Aux_HH!$A$4:$A$31,0)),"")</f>
        <v>2.5</v>
      </c>
      <c r="K243" s="16" t="s">
        <v>76</v>
      </c>
      <c r="L243" s="16" t="str">
        <f>IF(COUNTIFS(Pessoas!$C$5:$C$44,$K243,Pessoas!$G$5:$G$44,"Ativo")=0,"Equipe "&amp;$K243,INDEX(Pessoas!$A$5:$A$44,_xludf.aggregate(15,6,(ROW(Pessoas!$A$5:$A$44)-4)/((Pessoas!$C$5:$C$44=$K243)*(Pessoas!$G$5:$G$44="Ativo")),MOD(ROW()-6,MAX(1,COUNTIFS(Pessoas!$C$5:$C$44,$K243,Pessoas!$G$5:$G$44,"Ativo")))+1)))</f>
        <v>Equipe Oficina Mecânica Central-Taisa</v>
      </c>
    </row>
    <row r="244" spans="1:12" ht="15" customHeight="1" x14ac:dyDescent="0.4">
      <c r="A244" s="25">
        <v>46311</v>
      </c>
      <c r="B244" s="16">
        <v>7</v>
      </c>
      <c r="C244" s="16">
        <v>1</v>
      </c>
      <c r="D244" s="16">
        <v>10</v>
      </c>
      <c r="E244" s="16" t="s">
        <v>980</v>
      </c>
      <c r="F244" s="16" t="s">
        <v>1217</v>
      </c>
      <c r="G244" s="16" t="s">
        <v>526</v>
      </c>
      <c r="H244" s="16" t="s">
        <v>140</v>
      </c>
      <c r="I244" s="22" t="s">
        <v>856</v>
      </c>
      <c r="J244" s="16">
        <f>IFERROR(INDEX(Aux_HH!$J$4:$J$31,MATCH($H244&amp;"|"&amp;$I244,Aux_HH!$A$4:$A$31,0)),"")</f>
        <v>2.5</v>
      </c>
      <c r="K244" s="16" t="s">
        <v>76</v>
      </c>
      <c r="L244" s="16" t="str">
        <f>IF(COUNTIFS(Pessoas!$C$5:$C$44,$K244,Pessoas!$G$5:$G$44,"Ativo")=0,"Equipe "&amp;$K244,INDEX(Pessoas!$A$5:$A$44,_xludf.aggregate(15,6,(ROW(Pessoas!$A$5:$A$44)-4)/((Pessoas!$C$5:$C$44=$K244)*(Pessoas!$G$5:$G$44="Ativo")),MOD(ROW()-6,MAX(1,COUNTIFS(Pessoas!$C$5:$C$44,$K244,Pessoas!$G$5:$G$44,"Ativo")))+1)))</f>
        <v>Equipe Oficina Mecânica Central-Taisa</v>
      </c>
    </row>
    <row r="245" spans="1:12" ht="15" customHeight="1" x14ac:dyDescent="0.4">
      <c r="A245" s="25">
        <v>46311</v>
      </c>
      <c r="B245" s="16">
        <v>7</v>
      </c>
      <c r="C245" s="16">
        <v>1</v>
      </c>
      <c r="D245" s="16">
        <v>10</v>
      </c>
      <c r="E245" s="16" t="s">
        <v>980</v>
      </c>
      <c r="F245" s="16" t="s">
        <v>1218</v>
      </c>
      <c r="G245" s="16" t="s">
        <v>184</v>
      </c>
      <c r="H245" s="16" t="s">
        <v>140</v>
      </c>
      <c r="I245" s="22" t="s">
        <v>856</v>
      </c>
      <c r="J245" s="16">
        <f>IFERROR(INDEX(Aux_HH!$J$4:$J$31,MATCH($H245&amp;"|"&amp;$I245,Aux_HH!$A$4:$A$31,0)),"")</f>
        <v>2.5</v>
      </c>
      <c r="K245" s="16" t="s">
        <v>76</v>
      </c>
      <c r="L245" s="16" t="str">
        <f>IF(COUNTIFS(Pessoas!$C$5:$C$44,$K245,Pessoas!$G$5:$G$44,"Ativo")=0,"Equipe "&amp;$K245,INDEX(Pessoas!$A$5:$A$44,_xludf.aggregate(15,6,(ROW(Pessoas!$A$5:$A$44)-4)/((Pessoas!$C$5:$C$44=$K245)*(Pessoas!$G$5:$G$44="Ativo")),MOD(ROW()-6,MAX(1,COUNTIFS(Pessoas!$C$5:$C$44,$K245,Pessoas!$G$5:$G$44,"Ativo")))+1)))</f>
        <v>Equipe Oficina Mecânica Central-Taisa</v>
      </c>
    </row>
    <row r="246" spans="1:12" ht="15" customHeight="1" x14ac:dyDescent="0.4">
      <c r="A246" s="25">
        <v>46311</v>
      </c>
      <c r="B246" s="16">
        <v>7</v>
      </c>
      <c r="C246" s="16">
        <v>1</v>
      </c>
      <c r="D246" s="16">
        <v>10</v>
      </c>
      <c r="E246" s="16" t="s">
        <v>980</v>
      </c>
      <c r="F246" s="16" t="s">
        <v>1219</v>
      </c>
      <c r="G246" s="16" t="s">
        <v>184</v>
      </c>
      <c r="H246" s="16" t="s">
        <v>140</v>
      </c>
      <c r="I246" s="22" t="s">
        <v>856</v>
      </c>
      <c r="J246" s="16">
        <f>IFERROR(INDEX(Aux_HH!$J$4:$J$31,MATCH($H246&amp;"|"&amp;$I246,Aux_HH!$A$4:$A$31,0)),"")</f>
        <v>2.5</v>
      </c>
      <c r="K246" s="16" t="s">
        <v>76</v>
      </c>
      <c r="L246" s="16" t="str">
        <f>IF(COUNTIFS(Pessoas!$C$5:$C$44,$K246,Pessoas!$G$5:$G$44,"Ativo")=0,"Equipe "&amp;$K246,INDEX(Pessoas!$A$5:$A$44,_xludf.aggregate(15,6,(ROW(Pessoas!$A$5:$A$44)-4)/((Pessoas!$C$5:$C$44=$K246)*(Pessoas!$G$5:$G$44="Ativo")),MOD(ROW()-6,MAX(1,COUNTIFS(Pessoas!$C$5:$C$44,$K246,Pessoas!$G$5:$G$44,"Ativo")))+1)))</f>
        <v>Equipe Oficina Mecânica Central-Taisa</v>
      </c>
    </row>
    <row r="247" spans="1:12" ht="15" customHeight="1" x14ac:dyDescent="0.4">
      <c r="A247" s="25">
        <v>46311</v>
      </c>
      <c r="B247" s="16">
        <v>7</v>
      </c>
      <c r="C247" s="16">
        <v>1</v>
      </c>
      <c r="D247" s="16">
        <v>10</v>
      </c>
      <c r="E247" s="16" t="s">
        <v>980</v>
      </c>
      <c r="F247" s="16" t="s">
        <v>1220</v>
      </c>
      <c r="G247" s="16" t="s">
        <v>184</v>
      </c>
      <c r="H247" s="16" t="s">
        <v>140</v>
      </c>
      <c r="I247" s="22" t="s">
        <v>856</v>
      </c>
      <c r="J247" s="16">
        <f>IFERROR(INDEX(Aux_HH!$J$4:$J$31,MATCH($H247&amp;"|"&amp;$I247,Aux_HH!$A$4:$A$31,0)),"")</f>
        <v>2.5</v>
      </c>
      <c r="K247" s="16" t="s">
        <v>76</v>
      </c>
      <c r="L247" s="16" t="str">
        <f>IF(COUNTIFS(Pessoas!$C$5:$C$44,$K247,Pessoas!$G$5:$G$44,"Ativo")=0,"Equipe "&amp;$K247,INDEX(Pessoas!$A$5:$A$44,_xludf.aggregate(15,6,(ROW(Pessoas!$A$5:$A$44)-4)/((Pessoas!$C$5:$C$44=$K247)*(Pessoas!$G$5:$G$44="Ativo")),MOD(ROW()-6,MAX(1,COUNTIFS(Pessoas!$C$5:$C$44,$K247,Pessoas!$G$5:$G$44,"Ativo")))+1)))</f>
        <v>Equipe Oficina Mecânica Central-Taisa</v>
      </c>
    </row>
    <row r="248" spans="1:12" ht="15" customHeight="1" x14ac:dyDescent="0.4">
      <c r="A248" s="25">
        <v>46311</v>
      </c>
      <c r="B248" s="16">
        <v>7</v>
      </c>
      <c r="C248" s="16">
        <v>1</v>
      </c>
      <c r="D248" s="16">
        <v>10</v>
      </c>
      <c r="E248" s="16" t="s">
        <v>980</v>
      </c>
      <c r="F248" s="16" t="s">
        <v>1221</v>
      </c>
      <c r="G248" s="16" t="s">
        <v>184</v>
      </c>
      <c r="H248" s="16" t="s">
        <v>140</v>
      </c>
      <c r="I248" s="22" t="s">
        <v>856</v>
      </c>
      <c r="J248" s="16">
        <f>IFERROR(INDEX(Aux_HH!$J$4:$J$31,MATCH($H248&amp;"|"&amp;$I248,Aux_HH!$A$4:$A$31,0)),"")</f>
        <v>2.5</v>
      </c>
      <c r="K248" s="16" t="s">
        <v>76</v>
      </c>
      <c r="L248" s="16" t="str">
        <f>IF(COUNTIFS(Pessoas!$C$5:$C$44,$K248,Pessoas!$G$5:$G$44,"Ativo")=0,"Equipe "&amp;$K248,INDEX(Pessoas!$A$5:$A$44,_xludf.aggregate(15,6,(ROW(Pessoas!$A$5:$A$44)-4)/((Pessoas!$C$5:$C$44=$K248)*(Pessoas!$G$5:$G$44="Ativo")),MOD(ROW()-6,MAX(1,COUNTIFS(Pessoas!$C$5:$C$44,$K248,Pessoas!$G$5:$G$44,"Ativo")))+1)))</f>
        <v>Equipe Oficina Mecânica Central-Taisa</v>
      </c>
    </row>
    <row r="249" spans="1:12" ht="15" customHeight="1" x14ac:dyDescent="0.4">
      <c r="A249" s="25">
        <v>46311</v>
      </c>
      <c r="B249" s="16">
        <v>7</v>
      </c>
      <c r="C249" s="16">
        <v>1</v>
      </c>
      <c r="D249" s="16">
        <v>10</v>
      </c>
      <c r="E249" s="16" t="s">
        <v>980</v>
      </c>
      <c r="F249" s="16" t="s">
        <v>1222</v>
      </c>
      <c r="G249" s="16" t="s">
        <v>526</v>
      </c>
      <c r="H249" s="16" t="s">
        <v>140</v>
      </c>
      <c r="I249" s="22" t="s">
        <v>856</v>
      </c>
      <c r="J249" s="16">
        <f>IFERROR(INDEX(Aux_HH!$J$4:$J$31,MATCH($H249&amp;"|"&amp;$I249,Aux_HH!$A$4:$A$31,0)),"")</f>
        <v>2.5</v>
      </c>
      <c r="K249" s="16" t="s">
        <v>76</v>
      </c>
      <c r="L249" s="16" t="str">
        <f>IF(COUNTIFS(Pessoas!$C$5:$C$44,$K249,Pessoas!$G$5:$G$44,"Ativo")=0,"Equipe "&amp;$K249,INDEX(Pessoas!$A$5:$A$44,_xludf.aggregate(15,6,(ROW(Pessoas!$A$5:$A$44)-4)/((Pessoas!$C$5:$C$44=$K249)*(Pessoas!$G$5:$G$44="Ativo")),MOD(ROW()-6,MAX(1,COUNTIFS(Pessoas!$C$5:$C$44,$K249,Pessoas!$G$5:$G$44,"Ativo")))+1)))</f>
        <v>Equipe Oficina Mecânica Central-Taisa</v>
      </c>
    </row>
    <row r="250" spans="1:12" ht="15" customHeight="1" x14ac:dyDescent="0.4">
      <c r="A250" s="25">
        <v>46311</v>
      </c>
      <c r="B250" s="16">
        <v>7</v>
      </c>
      <c r="C250" s="16">
        <v>1</v>
      </c>
      <c r="D250" s="16">
        <v>10</v>
      </c>
      <c r="E250" s="16" t="s">
        <v>980</v>
      </c>
      <c r="F250" s="16" t="s">
        <v>1223</v>
      </c>
      <c r="G250" s="16" t="s">
        <v>526</v>
      </c>
      <c r="H250" s="16" t="s">
        <v>140</v>
      </c>
      <c r="I250" s="22" t="s">
        <v>856</v>
      </c>
      <c r="J250" s="16">
        <f>IFERROR(INDEX(Aux_HH!$J$4:$J$31,MATCH($H250&amp;"|"&amp;$I250,Aux_HH!$A$4:$A$31,0)),"")</f>
        <v>2.5</v>
      </c>
      <c r="K250" s="16" t="s">
        <v>76</v>
      </c>
      <c r="L250" s="16" t="str">
        <f>IF(COUNTIFS(Pessoas!$C$5:$C$44,$K250,Pessoas!$G$5:$G$44,"Ativo")=0,"Equipe "&amp;$K250,INDEX(Pessoas!$A$5:$A$44,_xludf.aggregate(15,6,(ROW(Pessoas!$A$5:$A$44)-4)/((Pessoas!$C$5:$C$44=$K250)*(Pessoas!$G$5:$G$44="Ativo")),MOD(ROW()-6,MAX(1,COUNTIFS(Pessoas!$C$5:$C$44,$K250,Pessoas!$G$5:$G$44,"Ativo")))+1)))</f>
        <v>Equipe Oficina Mecânica Central-Taisa</v>
      </c>
    </row>
    <row r="251" spans="1:12" ht="15" customHeight="1" x14ac:dyDescent="0.4">
      <c r="A251" s="25">
        <v>46311</v>
      </c>
      <c r="B251" s="16">
        <v>7</v>
      </c>
      <c r="C251" s="16">
        <v>1</v>
      </c>
      <c r="D251" s="16">
        <v>10</v>
      </c>
      <c r="E251" s="16" t="s">
        <v>980</v>
      </c>
      <c r="F251" s="16" t="s">
        <v>1224</v>
      </c>
      <c r="G251" s="16" t="s">
        <v>526</v>
      </c>
      <c r="H251" s="16" t="s">
        <v>140</v>
      </c>
      <c r="I251" s="22" t="s">
        <v>856</v>
      </c>
      <c r="J251" s="16">
        <f>IFERROR(INDEX(Aux_HH!$J$4:$J$31,MATCH($H251&amp;"|"&amp;$I251,Aux_HH!$A$4:$A$31,0)),"")</f>
        <v>2.5</v>
      </c>
      <c r="K251" s="16" t="s">
        <v>76</v>
      </c>
      <c r="L251" s="16" t="str">
        <f>IF(COUNTIFS(Pessoas!$C$5:$C$44,$K251,Pessoas!$G$5:$G$44,"Ativo")=0,"Equipe "&amp;$K251,INDEX(Pessoas!$A$5:$A$44,_xludf.aggregate(15,6,(ROW(Pessoas!$A$5:$A$44)-4)/((Pessoas!$C$5:$C$44=$K251)*(Pessoas!$G$5:$G$44="Ativo")),MOD(ROW()-6,MAX(1,COUNTIFS(Pessoas!$C$5:$C$44,$K251,Pessoas!$G$5:$G$44,"Ativo")))+1)))</f>
        <v>Equipe Oficina Mecânica Central-Taisa</v>
      </c>
    </row>
    <row r="252" spans="1:12" ht="15" customHeight="1" x14ac:dyDescent="0.4">
      <c r="A252" s="25">
        <v>46311</v>
      </c>
      <c r="B252" s="16">
        <v>7</v>
      </c>
      <c r="C252" s="16">
        <v>1</v>
      </c>
      <c r="D252" s="16">
        <v>10</v>
      </c>
      <c r="E252" s="16" t="s">
        <v>980</v>
      </c>
      <c r="F252" s="16" t="s">
        <v>1225</v>
      </c>
      <c r="G252" s="16" t="s">
        <v>526</v>
      </c>
      <c r="H252" s="16" t="s">
        <v>140</v>
      </c>
      <c r="I252" s="22" t="s">
        <v>856</v>
      </c>
      <c r="J252" s="16">
        <f>IFERROR(INDEX(Aux_HH!$J$4:$J$31,MATCH($H252&amp;"|"&amp;$I252,Aux_HH!$A$4:$A$31,0)),"")</f>
        <v>2.5</v>
      </c>
      <c r="K252" s="16" t="s">
        <v>76</v>
      </c>
      <c r="L252" s="16" t="str">
        <f>IF(COUNTIFS(Pessoas!$C$5:$C$44,$K252,Pessoas!$G$5:$G$44,"Ativo")=0,"Equipe "&amp;$K252,INDEX(Pessoas!$A$5:$A$44,_xludf.aggregate(15,6,(ROW(Pessoas!$A$5:$A$44)-4)/((Pessoas!$C$5:$C$44=$K252)*(Pessoas!$G$5:$G$44="Ativo")),MOD(ROW()-6,MAX(1,COUNTIFS(Pessoas!$C$5:$C$44,$K252,Pessoas!$G$5:$G$44,"Ativo")))+1)))</f>
        <v>Equipe Oficina Mecânica Central-Taisa</v>
      </c>
    </row>
    <row r="253" spans="1:12" ht="15" customHeight="1" x14ac:dyDescent="0.4">
      <c r="A253" s="25">
        <v>46311</v>
      </c>
      <c r="B253" s="16">
        <v>7</v>
      </c>
      <c r="C253" s="16">
        <v>1</v>
      </c>
      <c r="D253" s="16">
        <v>10</v>
      </c>
      <c r="E253" s="16" t="s">
        <v>980</v>
      </c>
      <c r="F253" s="16" t="s">
        <v>1226</v>
      </c>
      <c r="G253" s="16" t="s">
        <v>526</v>
      </c>
      <c r="H253" s="16" t="s">
        <v>140</v>
      </c>
      <c r="I253" s="22" t="s">
        <v>856</v>
      </c>
      <c r="J253" s="16">
        <f>IFERROR(INDEX(Aux_HH!$J$4:$J$31,MATCH($H253&amp;"|"&amp;$I253,Aux_HH!$A$4:$A$31,0)),"")</f>
        <v>2.5</v>
      </c>
      <c r="K253" s="16" t="s">
        <v>76</v>
      </c>
      <c r="L253" s="16" t="str">
        <f>IF(COUNTIFS(Pessoas!$C$5:$C$44,$K253,Pessoas!$G$5:$G$44,"Ativo")=0,"Equipe "&amp;$K253,INDEX(Pessoas!$A$5:$A$44,_xludf.aggregate(15,6,(ROW(Pessoas!$A$5:$A$44)-4)/((Pessoas!$C$5:$C$44=$K253)*(Pessoas!$G$5:$G$44="Ativo")),MOD(ROW()-6,MAX(1,COUNTIFS(Pessoas!$C$5:$C$44,$K253,Pessoas!$G$5:$G$44,"Ativo")))+1)))</f>
        <v>Equipe Oficina Mecânica Central-Taisa</v>
      </c>
    </row>
    <row r="254" spans="1:12" ht="15" customHeight="1" x14ac:dyDescent="0.4">
      <c r="A254" s="25">
        <v>46311</v>
      </c>
      <c r="B254" s="16">
        <v>7</v>
      </c>
      <c r="C254" s="16">
        <v>1</v>
      </c>
      <c r="D254" s="16">
        <v>10</v>
      </c>
      <c r="E254" s="16" t="s">
        <v>980</v>
      </c>
      <c r="F254" s="16" t="s">
        <v>1227</v>
      </c>
      <c r="G254" s="16" t="s">
        <v>526</v>
      </c>
      <c r="H254" s="16" t="s">
        <v>140</v>
      </c>
      <c r="I254" s="22" t="s">
        <v>856</v>
      </c>
      <c r="J254" s="16">
        <f>IFERROR(INDEX(Aux_HH!$J$4:$J$31,MATCH($H254&amp;"|"&amp;$I254,Aux_HH!$A$4:$A$31,0)),"")</f>
        <v>2.5</v>
      </c>
      <c r="K254" s="16" t="s">
        <v>76</v>
      </c>
      <c r="L254" s="16" t="str">
        <f>IF(COUNTIFS(Pessoas!$C$5:$C$44,$K254,Pessoas!$G$5:$G$44,"Ativo")=0,"Equipe "&amp;$K254,INDEX(Pessoas!$A$5:$A$44,_xludf.aggregate(15,6,(ROW(Pessoas!$A$5:$A$44)-4)/((Pessoas!$C$5:$C$44=$K254)*(Pessoas!$G$5:$G$44="Ativo")),MOD(ROW()-6,MAX(1,COUNTIFS(Pessoas!$C$5:$C$44,$K254,Pessoas!$G$5:$G$44,"Ativo")))+1)))</f>
        <v>Equipe Oficina Mecânica Central-Taisa</v>
      </c>
    </row>
    <row r="255" spans="1:12" ht="15" customHeight="1" x14ac:dyDescent="0.4">
      <c r="A255" s="25">
        <v>46311</v>
      </c>
      <c r="B255" s="16">
        <v>7</v>
      </c>
      <c r="C255" s="16">
        <v>1</v>
      </c>
      <c r="D255" s="16">
        <v>10</v>
      </c>
      <c r="E255" s="16" t="s">
        <v>980</v>
      </c>
      <c r="F255" s="16" t="s">
        <v>1228</v>
      </c>
      <c r="G255" s="16" t="s">
        <v>158</v>
      </c>
      <c r="H255" s="16" t="s">
        <v>141</v>
      </c>
      <c r="I255" s="22" t="s">
        <v>856</v>
      </c>
      <c r="J255" s="16">
        <f>IFERROR(INDEX(Aux_HH!$J$4:$J$31,MATCH($H255&amp;"|"&amp;$I255,Aux_HH!$A$4:$A$31,0)),"")</f>
        <v>2</v>
      </c>
      <c r="K255" s="16" t="s">
        <v>76</v>
      </c>
      <c r="L255" s="16" t="str">
        <f>IF(COUNTIFS(Pessoas!$C$5:$C$44,$K255,Pessoas!$G$5:$G$44,"Ativo")=0,"Equipe "&amp;$K255,INDEX(Pessoas!$A$5:$A$44,_xludf.aggregate(15,6,(ROW(Pessoas!$A$5:$A$44)-4)/((Pessoas!$C$5:$C$44=$K255)*(Pessoas!$G$5:$G$44="Ativo")),MOD(ROW()-6,MAX(1,COUNTIFS(Pessoas!$C$5:$C$44,$K255,Pessoas!$G$5:$G$44,"Ativo")))+1)))</f>
        <v>Equipe Oficina Mecânica Central-Taisa</v>
      </c>
    </row>
    <row r="256" spans="1:12" ht="15" customHeight="1" x14ac:dyDescent="0.4">
      <c r="A256" s="25">
        <v>46311</v>
      </c>
      <c r="B256" s="16">
        <v>7</v>
      </c>
      <c r="C256" s="16">
        <v>1</v>
      </c>
      <c r="D256" s="16">
        <v>10</v>
      </c>
      <c r="E256" s="16" t="s">
        <v>980</v>
      </c>
      <c r="F256" s="16" t="s">
        <v>1229</v>
      </c>
      <c r="G256" s="16" t="s">
        <v>158</v>
      </c>
      <c r="H256" s="16" t="s">
        <v>141</v>
      </c>
      <c r="I256" s="22" t="s">
        <v>856</v>
      </c>
      <c r="J256" s="16">
        <f>IFERROR(INDEX(Aux_HH!$J$4:$J$31,MATCH($H256&amp;"|"&amp;$I256,Aux_HH!$A$4:$A$31,0)),"")</f>
        <v>2</v>
      </c>
      <c r="K256" s="16" t="s">
        <v>76</v>
      </c>
      <c r="L256" s="16" t="str">
        <f>IF(COUNTIFS(Pessoas!$C$5:$C$44,$K256,Pessoas!$G$5:$G$44,"Ativo")=0,"Equipe "&amp;$K256,INDEX(Pessoas!$A$5:$A$44,_xludf.aggregate(15,6,(ROW(Pessoas!$A$5:$A$44)-4)/((Pessoas!$C$5:$C$44=$K256)*(Pessoas!$G$5:$G$44="Ativo")),MOD(ROW()-6,MAX(1,COUNTIFS(Pessoas!$C$5:$C$44,$K256,Pessoas!$G$5:$G$44,"Ativo")))+1)))</f>
        <v>Equipe Oficina Mecânica Central-Taisa</v>
      </c>
    </row>
    <row r="257" spans="1:12" ht="15" customHeight="1" x14ac:dyDescent="0.4">
      <c r="A257" s="25">
        <v>46311</v>
      </c>
      <c r="B257" s="16">
        <v>7</v>
      </c>
      <c r="C257" s="16">
        <v>1</v>
      </c>
      <c r="D257" s="16">
        <v>10</v>
      </c>
      <c r="E257" s="16" t="s">
        <v>980</v>
      </c>
      <c r="F257" s="16" t="s">
        <v>1230</v>
      </c>
      <c r="G257" s="16" t="s">
        <v>158</v>
      </c>
      <c r="H257" s="16" t="s">
        <v>141</v>
      </c>
      <c r="I257" s="22" t="s">
        <v>856</v>
      </c>
      <c r="J257" s="16">
        <f>IFERROR(INDEX(Aux_HH!$J$4:$J$31,MATCH($H257&amp;"|"&amp;$I257,Aux_HH!$A$4:$A$31,0)),"")</f>
        <v>2</v>
      </c>
      <c r="K257" s="16" t="s">
        <v>76</v>
      </c>
      <c r="L257" s="16" t="str">
        <f>IF(COUNTIFS(Pessoas!$C$5:$C$44,$K257,Pessoas!$G$5:$G$44,"Ativo")=0,"Equipe "&amp;$K257,INDEX(Pessoas!$A$5:$A$44,_xludf.aggregate(15,6,(ROW(Pessoas!$A$5:$A$44)-4)/((Pessoas!$C$5:$C$44=$K257)*(Pessoas!$G$5:$G$44="Ativo")),MOD(ROW()-6,MAX(1,COUNTIFS(Pessoas!$C$5:$C$44,$K257,Pessoas!$G$5:$G$44,"Ativo")))+1)))</f>
        <v>Equipe Oficina Mecânica Central-Taisa</v>
      </c>
    </row>
    <row r="258" spans="1:12" ht="15" customHeight="1" x14ac:dyDescent="0.4">
      <c r="A258" s="25">
        <v>46311</v>
      </c>
      <c r="B258" s="16">
        <v>7</v>
      </c>
      <c r="C258" s="16">
        <v>1</v>
      </c>
      <c r="D258" s="16">
        <v>10</v>
      </c>
      <c r="E258" s="16" t="s">
        <v>980</v>
      </c>
      <c r="F258" s="16" t="s">
        <v>1231</v>
      </c>
      <c r="G258" s="16" t="s">
        <v>158</v>
      </c>
      <c r="H258" s="16" t="s">
        <v>141</v>
      </c>
      <c r="I258" s="22" t="s">
        <v>856</v>
      </c>
      <c r="J258" s="16">
        <f>IFERROR(INDEX(Aux_HH!$J$4:$J$31,MATCH($H258&amp;"|"&amp;$I258,Aux_HH!$A$4:$A$31,0)),"")</f>
        <v>2</v>
      </c>
      <c r="K258" s="16" t="s">
        <v>76</v>
      </c>
      <c r="L258" s="16" t="str">
        <f>IF(COUNTIFS(Pessoas!$C$5:$C$44,$K258,Pessoas!$G$5:$G$44,"Ativo")=0,"Equipe "&amp;$K258,INDEX(Pessoas!$A$5:$A$44,_xludf.aggregate(15,6,(ROW(Pessoas!$A$5:$A$44)-4)/((Pessoas!$C$5:$C$44=$K258)*(Pessoas!$G$5:$G$44="Ativo")),MOD(ROW()-6,MAX(1,COUNTIFS(Pessoas!$C$5:$C$44,$K258,Pessoas!$G$5:$G$44,"Ativo")))+1)))</f>
        <v>Equipe Oficina Mecânica Central-Taisa</v>
      </c>
    </row>
    <row r="259" spans="1:12" ht="15" customHeight="1" x14ac:dyDescent="0.4">
      <c r="A259" s="25">
        <v>46311</v>
      </c>
      <c r="B259" s="16">
        <v>7</v>
      </c>
      <c r="C259" s="16">
        <v>1</v>
      </c>
      <c r="D259" s="16">
        <v>10</v>
      </c>
      <c r="E259" s="16" t="s">
        <v>980</v>
      </c>
      <c r="F259" s="16" t="s">
        <v>1232</v>
      </c>
      <c r="G259" s="16" t="s">
        <v>158</v>
      </c>
      <c r="H259" s="16" t="s">
        <v>141</v>
      </c>
      <c r="I259" s="22" t="s">
        <v>856</v>
      </c>
      <c r="J259" s="16">
        <f>IFERROR(INDEX(Aux_HH!$J$4:$J$31,MATCH($H259&amp;"|"&amp;$I259,Aux_HH!$A$4:$A$31,0)),"")</f>
        <v>2</v>
      </c>
      <c r="K259" s="16" t="s">
        <v>76</v>
      </c>
      <c r="L259" s="16" t="str">
        <f>IF(COUNTIFS(Pessoas!$C$5:$C$44,$K259,Pessoas!$G$5:$G$44,"Ativo")=0,"Equipe "&amp;$K259,INDEX(Pessoas!$A$5:$A$44,_xludf.aggregate(15,6,(ROW(Pessoas!$A$5:$A$44)-4)/((Pessoas!$C$5:$C$44=$K259)*(Pessoas!$G$5:$G$44="Ativo")),MOD(ROW()-6,MAX(1,COUNTIFS(Pessoas!$C$5:$C$44,$K259,Pessoas!$G$5:$G$44,"Ativo")))+1)))</f>
        <v>Equipe Oficina Mecânica Central-Taisa</v>
      </c>
    </row>
    <row r="260" spans="1:12" ht="15" customHeight="1" x14ac:dyDescent="0.4">
      <c r="A260" s="25">
        <v>46311</v>
      </c>
      <c r="B260" s="16">
        <v>7</v>
      </c>
      <c r="C260" s="16">
        <v>1</v>
      </c>
      <c r="D260" s="16">
        <v>10</v>
      </c>
      <c r="E260" s="16" t="s">
        <v>980</v>
      </c>
      <c r="F260" s="16" t="s">
        <v>1233</v>
      </c>
      <c r="G260" s="16" t="s">
        <v>158</v>
      </c>
      <c r="H260" s="16" t="s">
        <v>141</v>
      </c>
      <c r="I260" s="22" t="s">
        <v>856</v>
      </c>
      <c r="J260" s="16">
        <f>IFERROR(INDEX(Aux_HH!$J$4:$J$31,MATCH($H260&amp;"|"&amp;$I260,Aux_HH!$A$4:$A$31,0)),"")</f>
        <v>2</v>
      </c>
      <c r="K260" s="16" t="s">
        <v>76</v>
      </c>
      <c r="L260" s="16" t="str">
        <f>IF(COUNTIFS(Pessoas!$C$5:$C$44,$K260,Pessoas!$G$5:$G$44,"Ativo")=0,"Equipe "&amp;$K260,INDEX(Pessoas!$A$5:$A$44,_xludf.aggregate(15,6,(ROW(Pessoas!$A$5:$A$44)-4)/((Pessoas!$C$5:$C$44=$K260)*(Pessoas!$G$5:$G$44="Ativo")),MOD(ROW()-6,MAX(1,COUNTIFS(Pessoas!$C$5:$C$44,$K260,Pessoas!$G$5:$G$44,"Ativo")))+1)))</f>
        <v>Equipe Oficina Mecânica Central-Taisa</v>
      </c>
    </row>
    <row r="261" spans="1:12" ht="15" customHeight="1" x14ac:dyDescent="0.4">
      <c r="A261" s="25">
        <v>46311</v>
      </c>
      <c r="B261" s="16">
        <v>7</v>
      </c>
      <c r="C261" s="16">
        <v>1</v>
      </c>
      <c r="D261" s="16">
        <v>10</v>
      </c>
      <c r="E261" s="16" t="s">
        <v>980</v>
      </c>
      <c r="F261" s="16" t="s">
        <v>1234</v>
      </c>
      <c r="G261" s="16" t="s">
        <v>158</v>
      </c>
      <c r="H261" s="16" t="s">
        <v>141</v>
      </c>
      <c r="I261" s="22" t="s">
        <v>856</v>
      </c>
      <c r="J261" s="16">
        <f>IFERROR(INDEX(Aux_HH!$J$4:$J$31,MATCH($H261&amp;"|"&amp;$I261,Aux_HH!$A$4:$A$31,0)),"")</f>
        <v>2</v>
      </c>
      <c r="K261" s="16" t="s">
        <v>76</v>
      </c>
      <c r="L261" s="16" t="str">
        <f>IF(COUNTIFS(Pessoas!$C$5:$C$44,$K261,Pessoas!$G$5:$G$44,"Ativo")=0,"Equipe "&amp;$K261,INDEX(Pessoas!$A$5:$A$44,_xludf.aggregate(15,6,(ROW(Pessoas!$A$5:$A$44)-4)/((Pessoas!$C$5:$C$44=$K261)*(Pessoas!$G$5:$G$44="Ativo")),MOD(ROW()-6,MAX(1,COUNTIFS(Pessoas!$C$5:$C$44,$K261,Pessoas!$G$5:$G$44,"Ativo")))+1)))</f>
        <v>Equipe Oficina Mecânica Central-Taisa</v>
      </c>
    </row>
    <row r="262" spans="1:12" ht="15" customHeight="1" x14ac:dyDescent="0.4">
      <c r="A262" s="25">
        <v>46311</v>
      </c>
      <c r="B262" s="16">
        <v>7</v>
      </c>
      <c r="C262" s="16">
        <v>1</v>
      </c>
      <c r="D262" s="16">
        <v>10</v>
      </c>
      <c r="E262" s="16" t="s">
        <v>980</v>
      </c>
      <c r="F262" s="16" t="s">
        <v>1235</v>
      </c>
      <c r="G262" s="16" t="s">
        <v>158</v>
      </c>
      <c r="H262" s="16" t="s">
        <v>141</v>
      </c>
      <c r="I262" s="22" t="s">
        <v>856</v>
      </c>
      <c r="J262" s="16">
        <f>IFERROR(INDEX(Aux_HH!$J$4:$J$31,MATCH($H262&amp;"|"&amp;$I262,Aux_HH!$A$4:$A$31,0)),"")</f>
        <v>2</v>
      </c>
      <c r="K262" s="16" t="s">
        <v>76</v>
      </c>
      <c r="L262" s="16" t="str">
        <f>IF(COUNTIFS(Pessoas!$C$5:$C$44,$K262,Pessoas!$G$5:$G$44,"Ativo")=0,"Equipe "&amp;$K262,INDEX(Pessoas!$A$5:$A$44,_xludf.aggregate(15,6,(ROW(Pessoas!$A$5:$A$44)-4)/((Pessoas!$C$5:$C$44=$K262)*(Pessoas!$G$5:$G$44="Ativo")),MOD(ROW()-6,MAX(1,COUNTIFS(Pessoas!$C$5:$C$44,$K262,Pessoas!$G$5:$G$44,"Ativo")))+1)))</f>
        <v>Equipe Oficina Mecânica Central-Taisa</v>
      </c>
    </row>
    <row r="263" spans="1:12" ht="15" customHeight="1" x14ac:dyDescent="0.4">
      <c r="A263" s="25">
        <v>46311</v>
      </c>
      <c r="B263" s="16">
        <v>7</v>
      </c>
      <c r="C263" s="16">
        <v>1</v>
      </c>
      <c r="D263" s="16">
        <v>10</v>
      </c>
      <c r="E263" s="16" t="s">
        <v>980</v>
      </c>
      <c r="F263" s="16" t="s">
        <v>1236</v>
      </c>
      <c r="G263" s="16" t="s">
        <v>158</v>
      </c>
      <c r="H263" s="16" t="s">
        <v>141</v>
      </c>
      <c r="I263" s="22" t="s">
        <v>856</v>
      </c>
      <c r="J263" s="16">
        <f>IFERROR(INDEX(Aux_HH!$J$4:$J$31,MATCH($H263&amp;"|"&amp;$I263,Aux_HH!$A$4:$A$31,0)),"")</f>
        <v>2</v>
      </c>
      <c r="K263" s="16" t="s">
        <v>76</v>
      </c>
      <c r="L263" s="16" t="str">
        <f>IF(COUNTIFS(Pessoas!$C$5:$C$44,$K263,Pessoas!$G$5:$G$44,"Ativo")=0,"Equipe "&amp;$K263,INDEX(Pessoas!$A$5:$A$44,_xludf.aggregate(15,6,(ROW(Pessoas!$A$5:$A$44)-4)/((Pessoas!$C$5:$C$44=$K263)*(Pessoas!$G$5:$G$44="Ativo")),MOD(ROW()-6,MAX(1,COUNTIFS(Pessoas!$C$5:$C$44,$K263,Pessoas!$G$5:$G$44,"Ativo")))+1)))</f>
        <v>Equipe Oficina Mecânica Central-Taisa</v>
      </c>
    </row>
    <row r="264" spans="1:12" ht="15" customHeight="1" x14ac:dyDescent="0.4">
      <c r="A264" s="25">
        <v>46311</v>
      </c>
      <c r="B264" s="16">
        <v>7</v>
      </c>
      <c r="C264" s="16">
        <v>1</v>
      </c>
      <c r="D264" s="16">
        <v>10</v>
      </c>
      <c r="E264" s="16" t="s">
        <v>980</v>
      </c>
      <c r="F264" s="16" t="s">
        <v>1237</v>
      </c>
      <c r="G264" s="16" t="s">
        <v>158</v>
      </c>
      <c r="H264" s="16" t="s">
        <v>141</v>
      </c>
      <c r="I264" s="22" t="s">
        <v>856</v>
      </c>
      <c r="J264" s="16">
        <f>IFERROR(INDEX(Aux_HH!$J$4:$J$31,MATCH($H264&amp;"|"&amp;$I264,Aux_HH!$A$4:$A$31,0)),"")</f>
        <v>2</v>
      </c>
      <c r="K264" s="16" t="s">
        <v>76</v>
      </c>
      <c r="L264" s="16" t="str">
        <f>IF(COUNTIFS(Pessoas!$C$5:$C$44,$K264,Pessoas!$G$5:$G$44,"Ativo")=0,"Equipe "&amp;$K264,INDEX(Pessoas!$A$5:$A$44,_xludf.aggregate(15,6,(ROW(Pessoas!$A$5:$A$44)-4)/((Pessoas!$C$5:$C$44=$K264)*(Pessoas!$G$5:$G$44="Ativo")),MOD(ROW()-6,MAX(1,COUNTIFS(Pessoas!$C$5:$C$44,$K264,Pessoas!$G$5:$G$44,"Ativo")))+1)))</f>
        <v>Equipe Oficina Mecânica Central-Taisa</v>
      </c>
    </row>
    <row r="265" spans="1:12" ht="15" customHeight="1" x14ac:dyDescent="0.4">
      <c r="A265" s="25">
        <v>46311</v>
      </c>
      <c r="B265" s="16">
        <v>7</v>
      </c>
      <c r="C265" s="16">
        <v>1</v>
      </c>
      <c r="D265" s="16">
        <v>10</v>
      </c>
      <c r="E265" s="16" t="s">
        <v>980</v>
      </c>
      <c r="F265" s="16" t="s">
        <v>1238</v>
      </c>
      <c r="G265" s="16" t="s">
        <v>158</v>
      </c>
      <c r="H265" s="16" t="s">
        <v>141</v>
      </c>
      <c r="I265" s="22" t="s">
        <v>856</v>
      </c>
      <c r="J265" s="16">
        <f>IFERROR(INDEX(Aux_HH!$J$4:$J$31,MATCH($H265&amp;"|"&amp;$I265,Aux_HH!$A$4:$A$31,0)),"")</f>
        <v>2</v>
      </c>
      <c r="K265" s="16" t="s">
        <v>76</v>
      </c>
      <c r="L265" s="16" t="str">
        <f>IF(COUNTIFS(Pessoas!$C$5:$C$44,$K265,Pessoas!$G$5:$G$44,"Ativo")=0,"Equipe "&amp;$K265,INDEX(Pessoas!$A$5:$A$44,_xludf.aggregate(15,6,(ROW(Pessoas!$A$5:$A$44)-4)/((Pessoas!$C$5:$C$44=$K265)*(Pessoas!$G$5:$G$44="Ativo")),MOD(ROW()-6,MAX(1,COUNTIFS(Pessoas!$C$5:$C$44,$K265,Pessoas!$G$5:$G$44,"Ativo")))+1)))</f>
        <v>Equipe Oficina Mecânica Central-Taisa</v>
      </c>
    </row>
    <row r="266" spans="1:12" ht="15" customHeight="1" x14ac:dyDescent="0.4">
      <c r="A266" s="25">
        <v>46311</v>
      </c>
      <c r="B266" s="16">
        <v>7</v>
      </c>
      <c r="C266" s="16">
        <v>1</v>
      </c>
      <c r="D266" s="16">
        <v>10</v>
      </c>
      <c r="E266" s="16" t="s">
        <v>980</v>
      </c>
      <c r="F266" s="16" t="s">
        <v>1239</v>
      </c>
      <c r="G266" s="16" t="s">
        <v>158</v>
      </c>
      <c r="H266" s="16" t="s">
        <v>141</v>
      </c>
      <c r="I266" s="22" t="s">
        <v>856</v>
      </c>
      <c r="J266" s="16">
        <f>IFERROR(INDEX(Aux_HH!$J$4:$J$31,MATCH($H266&amp;"|"&amp;$I266,Aux_HH!$A$4:$A$31,0)),"")</f>
        <v>2</v>
      </c>
      <c r="K266" s="16" t="s">
        <v>76</v>
      </c>
      <c r="L266" s="16" t="str">
        <f>IF(COUNTIFS(Pessoas!$C$5:$C$44,$K266,Pessoas!$G$5:$G$44,"Ativo")=0,"Equipe "&amp;$K266,INDEX(Pessoas!$A$5:$A$44,_xludf.aggregate(15,6,(ROW(Pessoas!$A$5:$A$44)-4)/((Pessoas!$C$5:$C$44=$K266)*(Pessoas!$G$5:$G$44="Ativo")),MOD(ROW()-6,MAX(1,COUNTIFS(Pessoas!$C$5:$C$44,$K266,Pessoas!$G$5:$G$44,"Ativo")))+1)))</f>
        <v>Equipe Oficina Mecânica Central-Taisa</v>
      </c>
    </row>
    <row r="267" spans="1:12" ht="15" customHeight="1" x14ac:dyDescent="0.4">
      <c r="A267" s="25">
        <v>46311</v>
      </c>
      <c r="B267" s="16">
        <v>7</v>
      </c>
      <c r="C267" s="16">
        <v>1</v>
      </c>
      <c r="D267" s="16">
        <v>10</v>
      </c>
      <c r="E267" s="16" t="s">
        <v>980</v>
      </c>
      <c r="F267" s="16" t="s">
        <v>1240</v>
      </c>
      <c r="G267" s="16" t="s">
        <v>184</v>
      </c>
      <c r="H267" s="16" t="s">
        <v>141</v>
      </c>
      <c r="I267" s="22" t="s">
        <v>856</v>
      </c>
      <c r="J267" s="16">
        <f>IFERROR(INDEX(Aux_HH!$J$4:$J$31,MATCH($H267&amp;"|"&amp;$I267,Aux_HH!$A$4:$A$31,0)),"")</f>
        <v>2</v>
      </c>
      <c r="K267" s="16" t="s">
        <v>76</v>
      </c>
      <c r="L267" s="16" t="str">
        <f>IF(COUNTIFS(Pessoas!$C$5:$C$44,$K267,Pessoas!$G$5:$G$44,"Ativo")=0,"Equipe "&amp;$K267,INDEX(Pessoas!$A$5:$A$44,_xludf.aggregate(15,6,(ROW(Pessoas!$A$5:$A$44)-4)/((Pessoas!$C$5:$C$44=$K267)*(Pessoas!$G$5:$G$44="Ativo")),MOD(ROW()-6,MAX(1,COUNTIFS(Pessoas!$C$5:$C$44,$K267,Pessoas!$G$5:$G$44,"Ativo")))+1)))</f>
        <v>Equipe Oficina Mecânica Central-Taisa</v>
      </c>
    </row>
    <row r="268" spans="1:12" ht="15" customHeight="1" x14ac:dyDescent="0.4">
      <c r="A268" s="25">
        <v>46311</v>
      </c>
      <c r="B268" s="16">
        <v>7</v>
      </c>
      <c r="C268" s="16">
        <v>1</v>
      </c>
      <c r="D268" s="16">
        <v>10</v>
      </c>
      <c r="E268" s="16" t="s">
        <v>980</v>
      </c>
      <c r="F268" s="16" t="s">
        <v>1241</v>
      </c>
      <c r="G268" s="16" t="s">
        <v>184</v>
      </c>
      <c r="H268" s="16" t="s">
        <v>141</v>
      </c>
      <c r="I268" s="22" t="s">
        <v>856</v>
      </c>
      <c r="J268" s="16">
        <f>IFERROR(INDEX(Aux_HH!$J$4:$J$31,MATCH($H268&amp;"|"&amp;$I268,Aux_HH!$A$4:$A$31,0)),"")</f>
        <v>2</v>
      </c>
      <c r="K268" s="16" t="s">
        <v>76</v>
      </c>
      <c r="L268" s="16" t="str">
        <f>IF(COUNTIFS(Pessoas!$C$5:$C$44,$K268,Pessoas!$G$5:$G$44,"Ativo")=0,"Equipe "&amp;$K268,INDEX(Pessoas!$A$5:$A$44,_xludf.aggregate(15,6,(ROW(Pessoas!$A$5:$A$44)-4)/((Pessoas!$C$5:$C$44=$K268)*(Pessoas!$G$5:$G$44="Ativo")),MOD(ROW()-6,MAX(1,COUNTIFS(Pessoas!$C$5:$C$44,$K268,Pessoas!$G$5:$G$44,"Ativo")))+1)))</f>
        <v>Equipe Oficina Mecânica Central-Taisa</v>
      </c>
    </row>
    <row r="269" spans="1:12" ht="15" customHeight="1" x14ac:dyDescent="0.4">
      <c r="A269" s="25">
        <v>46311</v>
      </c>
      <c r="B269" s="16">
        <v>7</v>
      </c>
      <c r="C269" s="16">
        <v>1</v>
      </c>
      <c r="D269" s="16">
        <v>10</v>
      </c>
      <c r="E269" s="16" t="s">
        <v>980</v>
      </c>
      <c r="F269" s="16" t="s">
        <v>1242</v>
      </c>
      <c r="G269" s="16" t="s">
        <v>184</v>
      </c>
      <c r="H269" s="16" t="s">
        <v>141</v>
      </c>
      <c r="I269" s="22" t="s">
        <v>856</v>
      </c>
      <c r="J269" s="16">
        <f>IFERROR(INDEX(Aux_HH!$J$4:$J$31,MATCH($H269&amp;"|"&amp;$I269,Aux_HH!$A$4:$A$31,0)),"")</f>
        <v>2</v>
      </c>
      <c r="K269" s="16" t="s">
        <v>76</v>
      </c>
      <c r="L269" s="16" t="str">
        <f>IF(COUNTIFS(Pessoas!$C$5:$C$44,$K269,Pessoas!$G$5:$G$44,"Ativo")=0,"Equipe "&amp;$K269,INDEX(Pessoas!$A$5:$A$44,_xludf.aggregate(15,6,(ROW(Pessoas!$A$5:$A$44)-4)/((Pessoas!$C$5:$C$44=$K269)*(Pessoas!$G$5:$G$44="Ativo")),MOD(ROW()-6,MAX(1,COUNTIFS(Pessoas!$C$5:$C$44,$K269,Pessoas!$G$5:$G$44,"Ativo")))+1)))</f>
        <v>Equipe Oficina Mecânica Central-Taisa</v>
      </c>
    </row>
    <row r="270" spans="1:12" ht="15" customHeight="1" x14ac:dyDescent="0.4">
      <c r="A270" s="25">
        <v>46311</v>
      </c>
      <c r="B270" s="16">
        <v>7</v>
      </c>
      <c r="C270" s="16">
        <v>1</v>
      </c>
      <c r="D270" s="16">
        <v>10</v>
      </c>
      <c r="E270" s="16" t="s">
        <v>980</v>
      </c>
      <c r="F270" s="16" t="s">
        <v>1243</v>
      </c>
      <c r="G270" s="16" t="s">
        <v>184</v>
      </c>
      <c r="H270" s="16" t="s">
        <v>141</v>
      </c>
      <c r="I270" s="22" t="s">
        <v>856</v>
      </c>
      <c r="J270" s="16">
        <f>IFERROR(INDEX(Aux_HH!$J$4:$J$31,MATCH($H270&amp;"|"&amp;$I270,Aux_HH!$A$4:$A$31,0)),"")</f>
        <v>2</v>
      </c>
      <c r="K270" s="16" t="s">
        <v>76</v>
      </c>
      <c r="L270" s="16" t="str">
        <f>IF(COUNTIFS(Pessoas!$C$5:$C$44,$K270,Pessoas!$G$5:$G$44,"Ativo")=0,"Equipe "&amp;$K270,INDEX(Pessoas!$A$5:$A$44,_xludf.aggregate(15,6,(ROW(Pessoas!$A$5:$A$44)-4)/((Pessoas!$C$5:$C$44=$K270)*(Pessoas!$G$5:$G$44="Ativo")),MOD(ROW()-6,MAX(1,COUNTIFS(Pessoas!$C$5:$C$44,$K270,Pessoas!$G$5:$G$44,"Ativo")))+1)))</f>
        <v>Equipe Oficina Mecânica Central-Taisa</v>
      </c>
    </row>
    <row r="271" spans="1:12" ht="15" customHeight="1" x14ac:dyDescent="0.4">
      <c r="A271" s="25">
        <v>46311</v>
      </c>
      <c r="B271" s="16">
        <v>7</v>
      </c>
      <c r="C271" s="16">
        <v>1</v>
      </c>
      <c r="D271" s="16">
        <v>10</v>
      </c>
      <c r="E271" s="16" t="s">
        <v>980</v>
      </c>
      <c r="F271" s="16" t="s">
        <v>1244</v>
      </c>
      <c r="G271" s="16" t="s">
        <v>184</v>
      </c>
      <c r="H271" s="16" t="s">
        <v>141</v>
      </c>
      <c r="I271" s="22" t="s">
        <v>856</v>
      </c>
      <c r="J271" s="16">
        <f>IFERROR(INDEX(Aux_HH!$J$4:$J$31,MATCH($H271&amp;"|"&amp;$I271,Aux_HH!$A$4:$A$31,0)),"")</f>
        <v>2</v>
      </c>
      <c r="K271" s="16" t="s">
        <v>76</v>
      </c>
      <c r="L271" s="16" t="str">
        <f>IF(COUNTIFS(Pessoas!$C$5:$C$44,$K271,Pessoas!$G$5:$G$44,"Ativo")=0,"Equipe "&amp;$K271,INDEX(Pessoas!$A$5:$A$44,_xludf.aggregate(15,6,(ROW(Pessoas!$A$5:$A$44)-4)/((Pessoas!$C$5:$C$44=$K271)*(Pessoas!$G$5:$G$44="Ativo")),MOD(ROW()-6,MAX(1,COUNTIFS(Pessoas!$C$5:$C$44,$K271,Pessoas!$G$5:$G$44,"Ativo")))+1)))</f>
        <v>Equipe Oficina Mecânica Central-Taisa</v>
      </c>
    </row>
    <row r="272" spans="1:12" ht="15" customHeight="1" x14ac:dyDescent="0.4">
      <c r="A272" s="25">
        <v>46311</v>
      </c>
      <c r="B272" s="16">
        <v>7</v>
      </c>
      <c r="C272" s="16">
        <v>1</v>
      </c>
      <c r="D272" s="16">
        <v>10</v>
      </c>
      <c r="E272" s="16" t="s">
        <v>980</v>
      </c>
      <c r="F272" s="16" t="s">
        <v>1245</v>
      </c>
      <c r="G272" s="16" t="s">
        <v>184</v>
      </c>
      <c r="H272" s="16" t="s">
        <v>141</v>
      </c>
      <c r="I272" s="22" t="s">
        <v>856</v>
      </c>
      <c r="J272" s="16">
        <f>IFERROR(INDEX(Aux_HH!$J$4:$J$31,MATCH($H272&amp;"|"&amp;$I272,Aux_HH!$A$4:$A$31,0)),"")</f>
        <v>2</v>
      </c>
      <c r="K272" s="16" t="s">
        <v>76</v>
      </c>
      <c r="L272" s="16" t="str">
        <f>IF(COUNTIFS(Pessoas!$C$5:$C$44,$K272,Pessoas!$G$5:$G$44,"Ativo")=0,"Equipe "&amp;$K272,INDEX(Pessoas!$A$5:$A$44,_xludf.aggregate(15,6,(ROW(Pessoas!$A$5:$A$44)-4)/((Pessoas!$C$5:$C$44=$K272)*(Pessoas!$G$5:$G$44="Ativo")),MOD(ROW()-6,MAX(1,COUNTIFS(Pessoas!$C$5:$C$44,$K272,Pessoas!$G$5:$G$44,"Ativo")))+1)))</f>
        <v>Equipe Oficina Mecânica Central-Taisa</v>
      </c>
    </row>
    <row r="273" spans="1:12" ht="15" customHeight="1" x14ac:dyDescent="0.4">
      <c r="A273" s="25">
        <v>46311</v>
      </c>
      <c r="B273" s="16">
        <v>7</v>
      </c>
      <c r="C273" s="16">
        <v>1</v>
      </c>
      <c r="D273" s="16">
        <v>10</v>
      </c>
      <c r="E273" s="16" t="s">
        <v>980</v>
      </c>
      <c r="F273" s="16" t="s">
        <v>1246</v>
      </c>
      <c r="G273" s="16" t="s">
        <v>184</v>
      </c>
      <c r="H273" s="16" t="s">
        <v>141</v>
      </c>
      <c r="I273" s="22" t="s">
        <v>856</v>
      </c>
      <c r="J273" s="16">
        <f>IFERROR(INDEX(Aux_HH!$J$4:$J$31,MATCH($H273&amp;"|"&amp;$I273,Aux_HH!$A$4:$A$31,0)),"")</f>
        <v>2</v>
      </c>
      <c r="K273" s="16" t="s">
        <v>76</v>
      </c>
      <c r="L273" s="16" t="str">
        <f>IF(COUNTIFS(Pessoas!$C$5:$C$44,$K273,Pessoas!$G$5:$G$44,"Ativo")=0,"Equipe "&amp;$K273,INDEX(Pessoas!$A$5:$A$44,_xludf.aggregate(15,6,(ROW(Pessoas!$A$5:$A$44)-4)/((Pessoas!$C$5:$C$44=$K273)*(Pessoas!$G$5:$G$44="Ativo")),MOD(ROW()-6,MAX(1,COUNTIFS(Pessoas!$C$5:$C$44,$K273,Pessoas!$G$5:$G$44,"Ativo")))+1)))</f>
        <v>Equipe Oficina Mecânica Central-Taisa</v>
      </c>
    </row>
    <row r="274" spans="1:12" ht="15" customHeight="1" x14ac:dyDescent="0.4">
      <c r="A274" s="25">
        <v>46311</v>
      </c>
      <c r="B274" s="16">
        <v>7</v>
      </c>
      <c r="C274" s="16">
        <v>1</v>
      </c>
      <c r="D274" s="16">
        <v>10</v>
      </c>
      <c r="E274" s="16" t="s">
        <v>980</v>
      </c>
      <c r="F274" s="16" t="s">
        <v>1247</v>
      </c>
      <c r="G274" s="16" t="s">
        <v>184</v>
      </c>
      <c r="H274" s="16" t="s">
        <v>141</v>
      </c>
      <c r="I274" s="22" t="s">
        <v>856</v>
      </c>
      <c r="J274" s="16">
        <f>IFERROR(INDEX(Aux_HH!$J$4:$J$31,MATCH($H274&amp;"|"&amp;$I274,Aux_HH!$A$4:$A$31,0)),"")</f>
        <v>2</v>
      </c>
      <c r="K274" s="16" t="s">
        <v>76</v>
      </c>
      <c r="L274" s="16" t="str">
        <f>IF(COUNTIFS(Pessoas!$C$5:$C$44,$K274,Pessoas!$G$5:$G$44,"Ativo")=0,"Equipe "&amp;$K274,INDEX(Pessoas!$A$5:$A$44,_xludf.aggregate(15,6,(ROW(Pessoas!$A$5:$A$44)-4)/((Pessoas!$C$5:$C$44=$K274)*(Pessoas!$G$5:$G$44="Ativo")),MOD(ROW()-6,MAX(1,COUNTIFS(Pessoas!$C$5:$C$44,$K274,Pessoas!$G$5:$G$44,"Ativo")))+1)))</f>
        <v>Equipe Oficina Mecânica Central-Taisa</v>
      </c>
    </row>
    <row r="275" spans="1:12" ht="15" customHeight="1" x14ac:dyDescent="0.4">
      <c r="A275" s="25">
        <v>46311</v>
      </c>
      <c r="B275" s="16">
        <v>7</v>
      </c>
      <c r="C275" s="16">
        <v>1</v>
      </c>
      <c r="D275" s="16">
        <v>10</v>
      </c>
      <c r="E275" s="16" t="s">
        <v>980</v>
      </c>
      <c r="F275" s="16" t="s">
        <v>1248</v>
      </c>
      <c r="G275" s="16" t="s">
        <v>184</v>
      </c>
      <c r="H275" s="16" t="s">
        <v>141</v>
      </c>
      <c r="I275" s="22" t="s">
        <v>856</v>
      </c>
      <c r="J275" s="16">
        <f>IFERROR(INDEX(Aux_HH!$J$4:$J$31,MATCH($H275&amp;"|"&amp;$I275,Aux_HH!$A$4:$A$31,0)),"")</f>
        <v>2</v>
      </c>
      <c r="K275" s="16" t="s">
        <v>76</v>
      </c>
      <c r="L275" s="16" t="str">
        <f>IF(COUNTIFS(Pessoas!$C$5:$C$44,$K275,Pessoas!$G$5:$G$44,"Ativo")=0,"Equipe "&amp;$K275,INDEX(Pessoas!$A$5:$A$44,_xludf.aggregate(15,6,(ROW(Pessoas!$A$5:$A$44)-4)/((Pessoas!$C$5:$C$44=$K275)*(Pessoas!$G$5:$G$44="Ativo")),MOD(ROW()-6,MAX(1,COUNTIFS(Pessoas!$C$5:$C$44,$K275,Pessoas!$G$5:$G$44,"Ativo")))+1)))</f>
        <v>Equipe Oficina Mecânica Central-Taisa</v>
      </c>
    </row>
    <row r="276" spans="1:12" ht="15" customHeight="1" x14ac:dyDescent="0.4">
      <c r="A276" s="25">
        <v>46311</v>
      </c>
      <c r="B276" s="16">
        <v>7</v>
      </c>
      <c r="C276" s="16">
        <v>1</v>
      </c>
      <c r="D276" s="16">
        <v>10</v>
      </c>
      <c r="E276" s="16" t="s">
        <v>980</v>
      </c>
      <c r="F276" s="16" t="s">
        <v>1249</v>
      </c>
      <c r="G276" s="16" t="s">
        <v>184</v>
      </c>
      <c r="H276" s="16" t="s">
        <v>141</v>
      </c>
      <c r="I276" s="22" t="s">
        <v>856</v>
      </c>
      <c r="J276" s="16">
        <f>IFERROR(INDEX(Aux_HH!$J$4:$J$31,MATCH($H276&amp;"|"&amp;$I276,Aux_HH!$A$4:$A$31,0)),"")</f>
        <v>2</v>
      </c>
      <c r="K276" s="16" t="s">
        <v>76</v>
      </c>
      <c r="L276" s="16" t="str">
        <f>IF(COUNTIFS(Pessoas!$C$5:$C$44,$K276,Pessoas!$G$5:$G$44,"Ativo")=0,"Equipe "&amp;$K276,INDEX(Pessoas!$A$5:$A$44,_xludf.aggregate(15,6,(ROW(Pessoas!$A$5:$A$44)-4)/((Pessoas!$C$5:$C$44=$K276)*(Pessoas!$G$5:$G$44="Ativo")),MOD(ROW()-6,MAX(1,COUNTIFS(Pessoas!$C$5:$C$44,$K276,Pessoas!$G$5:$G$44,"Ativo")))+1)))</f>
        <v>Equipe Oficina Mecânica Central-Taisa</v>
      </c>
    </row>
    <row r="277" spans="1:12" ht="15" customHeight="1" x14ac:dyDescent="0.4">
      <c r="A277" s="25">
        <v>46311</v>
      </c>
      <c r="B277" s="16">
        <v>7</v>
      </c>
      <c r="C277" s="16">
        <v>1</v>
      </c>
      <c r="D277" s="16">
        <v>10</v>
      </c>
      <c r="E277" s="16" t="s">
        <v>980</v>
      </c>
      <c r="F277" s="16" t="s">
        <v>1250</v>
      </c>
      <c r="G277" s="16" t="s">
        <v>184</v>
      </c>
      <c r="H277" s="16" t="s">
        <v>141</v>
      </c>
      <c r="I277" s="22" t="s">
        <v>856</v>
      </c>
      <c r="J277" s="16">
        <f>IFERROR(INDEX(Aux_HH!$J$4:$J$31,MATCH($H277&amp;"|"&amp;$I277,Aux_HH!$A$4:$A$31,0)),"")</f>
        <v>2</v>
      </c>
      <c r="K277" s="16" t="s">
        <v>76</v>
      </c>
      <c r="L277" s="16" t="str">
        <f>IF(COUNTIFS(Pessoas!$C$5:$C$44,$K277,Pessoas!$G$5:$G$44,"Ativo")=0,"Equipe "&amp;$K277,INDEX(Pessoas!$A$5:$A$44,_xludf.aggregate(15,6,(ROW(Pessoas!$A$5:$A$44)-4)/((Pessoas!$C$5:$C$44=$K277)*(Pessoas!$G$5:$G$44="Ativo")),MOD(ROW()-6,MAX(1,COUNTIFS(Pessoas!$C$5:$C$44,$K277,Pessoas!$G$5:$G$44,"Ativo")))+1)))</f>
        <v>Equipe Oficina Mecânica Central-Taisa</v>
      </c>
    </row>
    <row r="278" spans="1:12" ht="15" customHeight="1" x14ac:dyDescent="0.4">
      <c r="A278" s="25">
        <v>46311</v>
      </c>
      <c r="B278" s="16">
        <v>7</v>
      </c>
      <c r="C278" s="16">
        <v>1</v>
      </c>
      <c r="D278" s="16">
        <v>10</v>
      </c>
      <c r="E278" s="16" t="s">
        <v>980</v>
      </c>
      <c r="F278" s="16" t="s">
        <v>1251</v>
      </c>
      <c r="G278" s="16" t="s">
        <v>526</v>
      </c>
      <c r="H278" s="16" t="s">
        <v>140</v>
      </c>
      <c r="I278" s="22" t="s">
        <v>856</v>
      </c>
      <c r="J278" s="16">
        <f>IFERROR(INDEX(Aux_HH!$J$4:$J$31,MATCH($H278&amp;"|"&amp;$I278,Aux_HH!$A$4:$A$31,0)),"")</f>
        <v>2.5</v>
      </c>
      <c r="K278" s="16" t="s">
        <v>76</v>
      </c>
      <c r="L278" s="16" t="str">
        <f>IF(COUNTIFS(Pessoas!$C$5:$C$44,$K278,Pessoas!$G$5:$G$44,"Ativo")=0,"Equipe "&amp;$K278,INDEX(Pessoas!$A$5:$A$44,_xludf.aggregate(15,6,(ROW(Pessoas!$A$5:$A$44)-4)/((Pessoas!$C$5:$C$44=$K278)*(Pessoas!$G$5:$G$44="Ativo")),MOD(ROW()-6,MAX(1,COUNTIFS(Pessoas!$C$5:$C$44,$K278,Pessoas!$G$5:$G$44,"Ativo")))+1)))</f>
        <v>Equipe Oficina Mecânica Central-Taisa</v>
      </c>
    </row>
    <row r="279" spans="1:12" ht="15" customHeight="1" x14ac:dyDescent="0.4">
      <c r="A279" s="25">
        <v>46311</v>
      </c>
      <c r="B279" s="16">
        <v>7</v>
      </c>
      <c r="C279" s="16">
        <v>1</v>
      </c>
      <c r="D279" s="16">
        <v>10</v>
      </c>
      <c r="E279" s="16" t="s">
        <v>980</v>
      </c>
      <c r="F279" s="16" t="s">
        <v>1252</v>
      </c>
      <c r="G279" s="16" t="s">
        <v>526</v>
      </c>
      <c r="H279" s="16" t="s">
        <v>140</v>
      </c>
      <c r="I279" s="22" t="s">
        <v>856</v>
      </c>
      <c r="J279" s="16">
        <f>IFERROR(INDEX(Aux_HH!$J$4:$J$31,MATCH($H279&amp;"|"&amp;$I279,Aux_HH!$A$4:$A$31,0)),"")</f>
        <v>2.5</v>
      </c>
      <c r="K279" s="16" t="s">
        <v>76</v>
      </c>
      <c r="L279" s="16" t="str">
        <f>IF(COUNTIFS(Pessoas!$C$5:$C$44,$K279,Pessoas!$G$5:$G$44,"Ativo")=0,"Equipe "&amp;$K279,INDEX(Pessoas!$A$5:$A$44,_xludf.aggregate(15,6,(ROW(Pessoas!$A$5:$A$44)-4)/((Pessoas!$C$5:$C$44=$K279)*(Pessoas!$G$5:$G$44="Ativo")),MOD(ROW()-6,MAX(1,COUNTIFS(Pessoas!$C$5:$C$44,$K279,Pessoas!$G$5:$G$44,"Ativo")))+1)))</f>
        <v>Equipe Oficina Mecânica Central-Taisa</v>
      </c>
    </row>
    <row r="280" spans="1:12" ht="15" customHeight="1" x14ac:dyDescent="0.4">
      <c r="A280" s="25">
        <v>46311</v>
      </c>
      <c r="B280" s="16">
        <v>7</v>
      </c>
      <c r="C280" s="16">
        <v>1</v>
      </c>
      <c r="D280" s="16">
        <v>10</v>
      </c>
      <c r="E280" s="16" t="s">
        <v>980</v>
      </c>
      <c r="F280" s="16" t="s">
        <v>1253</v>
      </c>
      <c r="G280" s="16" t="s">
        <v>158</v>
      </c>
      <c r="H280" s="16" t="s">
        <v>141</v>
      </c>
      <c r="I280" s="22" t="s">
        <v>856</v>
      </c>
      <c r="J280" s="16">
        <f>IFERROR(INDEX(Aux_HH!$J$4:$J$31,MATCH($H280&amp;"|"&amp;$I280,Aux_HH!$A$4:$A$31,0)),"")</f>
        <v>2</v>
      </c>
      <c r="K280" s="16" t="s">
        <v>76</v>
      </c>
      <c r="L280" s="16" t="str">
        <f>IF(COUNTIFS(Pessoas!$C$5:$C$44,$K280,Pessoas!$G$5:$G$44,"Ativo")=0,"Equipe "&amp;$K280,INDEX(Pessoas!$A$5:$A$44,_xludf.aggregate(15,6,(ROW(Pessoas!$A$5:$A$44)-4)/((Pessoas!$C$5:$C$44=$K280)*(Pessoas!$G$5:$G$44="Ativo")),MOD(ROW()-6,MAX(1,COUNTIFS(Pessoas!$C$5:$C$44,$K280,Pessoas!$G$5:$G$44,"Ativo")))+1)))</f>
        <v>Equipe Oficina Mecânica Central-Taisa</v>
      </c>
    </row>
    <row r="281" spans="1:12" ht="15" customHeight="1" x14ac:dyDescent="0.4">
      <c r="A281" s="25">
        <v>46311</v>
      </c>
      <c r="B281" s="16">
        <v>7</v>
      </c>
      <c r="C281" s="16">
        <v>1</v>
      </c>
      <c r="D281" s="16">
        <v>10</v>
      </c>
      <c r="E281" s="16" t="s">
        <v>980</v>
      </c>
      <c r="F281" s="16" t="s">
        <v>1254</v>
      </c>
      <c r="G281" s="16" t="s">
        <v>184</v>
      </c>
      <c r="H281" s="16" t="s">
        <v>140</v>
      </c>
      <c r="I281" s="22" t="s">
        <v>856</v>
      </c>
      <c r="J281" s="16">
        <f>IFERROR(INDEX(Aux_HH!$J$4:$J$31,MATCH($H281&amp;"|"&amp;$I281,Aux_HH!$A$4:$A$31,0)),"")</f>
        <v>2.5</v>
      </c>
      <c r="K281" s="16" t="s">
        <v>76</v>
      </c>
      <c r="L281" s="16" t="str">
        <f>IF(COUNTIFS(Pessoas!$C$5:$C$44,$K281,Pessoas!$G$5:$G$44,"Ativo")=0,"Equipe "&amp;$K281,INDEX(Pessoas!$A$5:$A$44,_xludf.aggregate(15,6,(ROW(Pessoas!$A$5:$A$44)-4)/((Pessoas!$C$5:$C$44=$K281)*(Pessoas!$G$5:$G$44="Ativo")),MOD(ROW()-6,MAX(1,COUNTIFS(Pessoas!$C$5:$C$44,$K281,Pessoas!$G$5:$G$44,"Ativo")))+1)))</f>
        <v>Equipe Oficina Mecânica Central-Taisa</v>
      </c>
    </row>
    <row r="282" spans="1:12" ht="15" customHeight="1" x14ac:dyDescent="0.4">
      <c r="A282" s="25">
        <v>46311</v>
      </c>
      <c r="B282" s="16">
        <v>7</v>
      </c>
      <c r="C282" s="16">
        <v>1</v>
      </c>
      <c r="D282" s="16">
        <v>10</v>
      </c>
      <c r="E282" s="16" t="s">
        <v>980</v>
      </c>
      <c r="F282" s="16" t="s">
        <v>1255</v>
      </c>
      <c r="G282" s="16" t="s">
        <v>184</v>
      </c>
      <c r="H282" s="16" t="s">
        <v>140</v>
      </c>
      <c r="I282" s="22" t="s">
        <v>856</v>
      </c>
      <c r="J282" s="16">
        <f>IFERROR(INDEX(Aux_HH!$J$4:$J$31,MATCH($H282&amp;"|"&amp;$I282,Aux_HH!$A$4:$A$31,0)),"")</f>
        <v>2.5</v>
      </c>
      <c r="K282" s="16" t="s">
        <v>76</v>
      </c>
      <c r="L282" s="16" t="str">
        <f>IF(COUNTIFS(Pessoas!$C$5:$C$44,$K282,Pessoas!$G$5:$G$44,"Ativo")=0,"Equipe "&amp;$K282,INDEX(Pessoas!$A$5:$A$44,_xludf.aggregate(15,6,(ROW(Pessoas!$A$5:$A$44)-4)/((Pessoas!$C$5:$C$44=$K282)*(Pessoas!$G$5:$G$44="Ativo")),MOD(ROW()-6,MAX(1,COUNTIFS(Pessoas!$C$5:$C$44,$K282,Pessoas!$G$5:$G$44,"Ativo")))+1)))</f>
        <v>Equipe Oficina Mecânica Central-Taisa</v>
      </c>
    </row>
    <row r="283" spans="1:12" ht="15" customHeight="1" x14ac:dyDescent="0.4">
      <c r="A283" s="25">
        <v>46311</v>
      </c>
      <c r="B283" s="16">
        <v>7</v>
      </c>
      <c r="C283" s="16">
        <v>1</v>
      </c>
      <c r="D283" s="16">
        <v>10</v>
      </c>
      <c r="E283" s="16" t="s">
        <v>980</v>
      </c>
      <c r="F283" s="16" t="s">
        <v>1256</v>
      </c>
      <c r="G283" s="16" t="s">
        <v>184</v>
      </c>
      <c r="H283" s="16" t="s">
        <v>140</v>
      </c>
      <c r="I283" s="22" t="s">
        <v>856</v>
      </c>
      <c r="J283" s="16">
        <f>IFERROR(INDEX(Aux_HH!$J$4:$J$31,MATCH($H283&amp;"|"&amp;$I283,Aux_HH!$A$4:$A$31,0)),"")</f>
        <v>2.5</v>
      </c>
      <c r="K283" s="16" t="s">
        <v>76</v>
      </c>
      <c r="L283" s="16" t="str">
        <f>IF(COUNTIFS(Pessoas!$C$5:$C$44,$K283,Pessoas!$G$5:$G$44,"Ativo")=0,"Equipe "&amp;$K283,INDEX(Pessoas!$A$5:$A$44,_xludf.aggregate(15,6,(ROW(Pessoas!$A$5:$A$44)-4)/((Pessoas!$C$5:$C$44=$K283)*(Pessoas!$G$5:$G$44="Ativo")),MOD(ROW()-6,MAX(1,COUNTIFS(Pessoas!$C$5:$C$44,$K283,Pessoas!$G$5:$G$44,"Ativo")))+1)))</f>
        <v>Equipe Oficina Mecânica Central-Taisa</v>
      </c>
    </row>
    <row r="284" spans="1:12" ht="15" customHeight="1" x14ac:dyDescent="0.4">
      <c r="A284" s="25">
        <v>46311</v>
      </c>
      <c r="B284" s="16">
        <v>7</v>
      </c>
      <c r="C284" s="16">
        <v>1</v>
      </c>
      <c r="D284" s="16">
        <v>10</v>
      </c>
      <c r="E284" s="16" t="s">
        <v>980</v>
      </c>
      <c r="F284" s="16" t="s">
        <v>1257</v>
      </c>
      <c r="G284" s="16" t="s">
        <v>526</v>
      </c>
      <c r="H284" s="16" t="s">
        <v>140</v>
      </c>
      <c r="I284" s="22" t="s">
        <v>856</v>
      </c>
      <c r="J284" s="16">
        <f>IFERROR(INDEX(Aux_HH!$J$4:$J$31,MATCH($H284&amp;"|"&amp;$I284,Aux_HH!$A$4:$A$31,0)),"")</f>
        <v>2.5</v>
      </c>
      <c r="K284" s="16" t="s">
        <v>76</v>
      </c>
      <c r="L284" s="16" t="str">
        <f>IF(COUNTIFS(Pessoas!$C$5:$C$44,$K284,Pessoas!$G$5:$G$44,"Ativo")=0,"Equipe "&amp;$K284,INDEX(Pessoas!$A$5:$A$44,_xludf.aggregate(15,6,(ROW(Pessoas!$A$5:$A$44)-4)/((Pessoas!$C$5:$C$44=$K284)*(Pessoas!$G$5:$G$44="Ativo")),MOD(ROW()-6,MAX(1,COUNTIFS(Pessoas!$C$5:$C$44,$K284,Pessoas!$G$5:$G$44,"Ativo")))+1)))</f>
        <v>Equipe Oficina Mecânica Central-Taisa</v>
      </c>
    </row>
    <row r="285" spans="1:12" ht="15" customHeight="1" x14ac:dyDescent="0.4">
      <c r="A285" s="25">
        <v>46311</v>
      </c>
      <c r="B285" s="16">
        <v>7</v>
      </c>
      <c r="C285" s="16">
        <v>1</v>
      </c>
      <c r="D285" s="16">
        <v>10</v>
      </c>
      <c r="E285" s="16" t="s">
        <v>980</v>
      </c>
      <c r="F285" s="16" t="s">
        <v>1258</v>
      </c>
      <c r="G285" s="16" t="s">
        <v>526</v>
      </c>
      <c r="H285" s="16" t="s">
        <v>140</v>
      </c>
      <c r="I285" s="22" t="s">
        <v>856</v>
      </c>
      <c r="J285" s="16">
        <f>IFERROR(INDEX(Aux_HH!$J$4:$J$31,MATCH($H285&amp;"|"&amp;$I285,Aux_HH!$A$4:$A$31,0)),"")</f>
        <v>2.5</v>
      </c>
      <c r="K285" s="16" t="s">
        <v>76</v>
      </c>
      <c r="L285" s="16" t="str">
        <f>IF(COUNTIFS(Pessoas!$C$5:$C$44,$K285,Pessoas!$G$5:$G$44,"Ativo")=0,"Equipe "&amp;$K285,INDEX(Pessoas!$A$5:$A$44,_xludf.aggregate(15,6,(ROW(Pessoas!$A$5:$A$44)-4)/((Pessoas!$C$5:$C$44=$K285)*(Pessoas!$G$5:$G$44="Ativo")),MOD(ROW()-6,MAX(1,COUNTIFS(Pessoas!$C$5:$C$44,$K285,Pessoas!$G$5:$G$44,"Ativo")))+1)))</f>
        <v>Equipe Oficina Mecânica Central-Taisa</v>
      </c>
    </row>
    <row r="286" spans="1:12" ht="15" customHeight="1" x14ac:dyDescent="0.4">
      <c r="A286" s="25">
        <v>46314</v>
      </c>
      <c r="B286" s="16">
        <v>7</v>
      </c>
      <c r="C286" s="16">
        <v>1</v>
      </c>
      <c r="D286" s="16">
        <v>10</v>
      </c>
      <c r="E286" s="16" t="s">
        <v>980</v>
      </c>
      <c r="F286" s="16" t="s">
        <v>1259</v>
      </c>
      <c r="G286" s="16" t="s">
        <v>526</v>
      </c>
      <c r="H286" s="16" t="s">
        <v>140</v>
      </c>
      <c r="I286" s="22" t="s">
        <v>856</v>
      </c>
      <c r="J286" s="16">
        <f>IFERROR(INDEX(Aux_HH!$J$4:$J$31,MATCH($H286&amp;"|"&amp;$I286,Aux_HH!$A$4:$A$31,0)),"")</f>
        <v>2.5</v>
      </c>
      <c r="K286" s="16" t="s">
        <v>76</v>
      </c>
      <c r="L286" s="16" t="str">
        <f>IF(COUNTIFS(Pessoas!$C$5:$C$44,$K286,Pessoas!$G$5:$G$44,"Ativo")=0,"Equipe "&amp;$K286,INDEX(Pessoas!$A$5:$A$44,_xludf.aggregate(15,6,(ROW(Pessoas!$A$5:$A$44)-4)/((Pessoas!$C$5:$C$44=$K286)*(Pessoas!$G$5:$G$44="Ativo")),MOD(ROW()-6,MAX(1,COUNTIFS(Pessoas!$C$5:$C$44,$K286,Pessoas!$G$5:$G$44,"Ativo")))+1)))</f>
        <v>Equipe Oficina Mecânica Central-Taisa</v>
      </c>
    </row>
    <row r="287" spans="1:12" ht="15" customHeight="1" x14ac:dyDescent="0.4">
      <c r="A287" s="25">
        <v>46314</v>
      </c>
      <c r="B287" s="16">
        <v>7</v>
      </c>
      <c r="C287" s="16">
        <v>1</v>
      </c>
      <c r="D287" s="16">
        <v>10</v>
      </c>
      <c r="E287" s="16" t="s">
        <v>980</v>
      </c>
      <c r="F287" s="16" t="s">
        <v>1260</v>
      </c>
      <c r="G287" s="16" t="s">
        <v>526</v>
      </c>
      <c r="H287" s="16" t="s">
        <v>140</v>
      </c>
      <c r="I287" s="22" t="s">
        <v>856</v>
      </c>
      <c r="J287" s="16">
        <f>IFERROR(INDEX(Aux_HH!$J$4:$J$31,MATCH($H287&amp;"|"&amp;$I287,Aux_HH!$A$4:$A$31,0)),"")</f>
        <v>2.5</v>
      </c>
      <c r="K287" s="16" t="s">
        <v>76</v>
      </c>
      <c r="L287" s="16" t="str">
        <f>IF(COUNTIFS(Pessoas!$C$5:$C$44,$K287,Pessoas!$G$5:$G$44,"Ativo")=0,"Equipe "&amp;$K287,INDEX(Pessoas!$A$5:$A$44,_xludf.aggregate(15,6,(ROW(Pessoas!$A$5:$A$44)-4)/((Pessoas!$C$5:$C$44=$K287)*(Pessoas!$G$5:$G$44="Ativo")),MOD(ROW()-6,MAX(1,COUNTIFS(Pessoas!$C$5:$C$44,$K287,Pessoas!$G$5:$G$44,"Ativo")))+1)))</f>
        <v>Equipe Oficina Mecânica Central-Taisa</v>
      </c>
    </row>
    <row r="288" spans="1:12" ht="15" customHeight="1" x14ac:dyDescent="0.4">
      <c r="A288" s="25">
        <v>46314</v>
      </c>
      <c r="B288" s="16">
        <v>7</v>
      </c>
      <c r="C288" s="16">
        <v>1</v>
      </c>
      <c r="D288" s="16">
        <v>10</v>
      </c>
      <c r="E288" s="16" t="s">
        <v>980</v>
      </c>
      <c r="F288" s="16" t="s">
        <v>1261</v>
      </c>
      <c r="G288" s="16" t="s">
        <v>526</v>
      </c>
      <c r="H288" s="16" t="s">
        <v>140</v>
      </c>
      <c r="I288" s="22" t="s">
        <v>856</v>
      </c>
      <c r="J288" s="16">
        <f>IFERROR(INDEX(Aux_HH!$J$4:$J$31,MATCH($H288&amp;"|"&amp;$I288,Aux_HH!$A$4:$A$31,0)),"")</f>
        <v>2.5</v>
      </c>
      <c r="K288" s="16" t="s">
        <v>76</v>
      </c>
      <c r="L288" s="16" t="str">
        <f>IF(COUNTIFS(Pessoas!$C$5:$C$44,$K288,Pessoas!$G$5:$G$44,"Ativo")=0,"Equipe "&amp;$K288,INDEX(Pessoas!$A$5:$A$44,_xludf.aggregate(15,6,(ROW(Pessoas!$A$5:$A$44)-4)/((Pessoas!$C$5:$C$44=$K288)*(Pessoas!$G$5:$G$44="Ativo")),MOD(ROW()-6,MAX(1,COUNTIFS(Pessoas!$C$5:$C$44,$K288,Pessoas!$G$5:$G$44,"Ativo")))+1)))</f>
        <v>Equipe Oficina Mecânica Central-Taisa</v>
      </c>
    </row>
    <row r="289" spans="1:12" ht="15" customHeight="1" x14ac:dyDescent="0.4">
      <c r="A289" s="25">
        <v>46314</v>
      </c>
      <c r="B289" s="16">
        <v>7</v>
      </c>
      <c r="C289" s="16">
        <v>1</v>
      </c>
      <c r="D289" s="16">
        <v>10</v>
      </c>
      <c r="E289" s="16" t="s">
        <v>980</v>
      </c>
      <c r="F289" s="16" t="s">
        <v>1262</v>
      </c>
      <c r="G289" s="16" t="s">
        <v>184</v>
      </c>
      <c r="H289" s="16" t="s">
        <v>140</v>
      </c>
      <c r="I289" s="22" t="s">
        <v>856</v>
      </c>
      <c r="J289" s="16">
        <f>IFERROR(INDEX(Aux_HH!$J$4:$J$31,MATCH($H289&amp;"|"&amp;$I289,Aux_HH!$A$4:$A$31,0)),"")</f>
        <v>2.5</v>
      </c>
      <c r="K289" s="16" t="s">
        <v>76</v>
      </c>
      <c r="L289" s="16" t="str">
        <f>IF(COUNTIFS(Pessoas!$C$5:$C$44,$K289,Pessoas!$G$5:$G$44,"Ativo")=0,"Equipe "&amp;$K289,INDEX(Pessoas!$A$5:$A$44,_xludf.aggregate(15,6,(ROW(Pessoas!$A$5:$A$44)-4)/((Pessoas!$C$5:$C$44=$K289)*(Pessoas!$G$5:$G$44="Ativo")),MOD(ROW()-6,MAX(1,COUNTIFS(Pessoas!$C$5:$C$44,$K289,Pessoas!$G$5:$G$44,"Ativo")))+1)))</f>
        <v>Equipe Oficina Mecânica Central-Taisa</v>
      </c>
    </row>
    <row r="290" spans="1:12" ht="15" customHeight="1" x14ac:dyDescent="0.4">
      <c r="A290" s="25">
        <v>46314</v>
      </c>
      <c r="B290" s="16">
        <v>7</v>
      </c>
      <c r="C290" s="16">
        <v>1</v>
      </c>
      <c r="D290" s="16">
        <v>10</v>
      </c>
      <c r="E290" s="16" t="s">
        <v>980</v>
      </c>
      <c r="F290" s="16" t="s">
        <v>1263</v>
      </c>
      <c r="G290" s="16" t="s">
        <v>184</v>
      </c>
      <c r="H290" s="16" t="s">
        <v>140</v>
      </c>
      <c r="I290" s="22" t="s">
        <v>856</v>
      </c>
      <c r="J290" s="16">
        <f>IFERROR(INDEX(Aux_HH!$J$4:$J$31,MATCH($H290&amp;"|"&amp;$I290,Aux_HH!$A$4:$A$31,0)),"")</f>
        <v>2.5</v>
      </c>
      <c r="K290" s="16" t="s">
        <v>76</v>
      </c>
      <c r="L290" s="16" t="str">
        <f>IF(COUNTIFS(Pessoas!$C$5:$C$44,$K290,Pessoas!$G$5:$G$44,"Ativo")=0,"Equipe "&amp;$K290,INDEX(Pessoas!$A$5:$A$44,_xludf.aggregate(15,6,(ROW(Pessoas!$A$5:$A$44)-4)/((Pessoas!$C$5:$C$44=$K290)*(Pessoas!$G$5:$G$44="Ativo")),MOD(ROW()-6,MAX(1,COUNTIFS(Pessoas!$C$5:$C$44,$K290,Pessoas!$G$5:$G$44,"Ativo")))+1)))</f>
        <v>Equipe Oficina Mecânica Central-Taisa</v>
      </c>
    </row>
    <row r="291" spans="1:12" ht="15" customHeight="1" x14ac:dyDescent="0.4">
      <c r="A291" s="25">
        <v>46314</v>
      </c>
      <c r="B291" s="16">
        <v>7</v>
      </c>
      <c r="C291" s="16">
        <v>1</v>
      </c>
      <c r="D291" s="16">
        <v>10</v>
      </c>
      <c r="E291" s="16" t="s">
        <v>980</v>
      </c>
      <c r="F291" s="16" t="s">
        <v>1264</v>
      </c>
      <c r="G291" s="16" t="s">
        <v>184</v>
      </c>
      <c r="H291" s="16" t="s">
        <v>140</v>
      </c>
      <c r="I291" s="22" t="s">
        <v>856</v>
      </c>
      <c r="J291" s="16">
        <f>IFERROR(INDEX(Aux_HH!$J$4:$J$31,MATCH($H291&amp;"|"&amp;$I291,Aux_HH!$A$4:$A$31,0)),"")</f>
        <v>2.5</v>
      </c>
      <c r="K291" s="16" t="s">
        <v>76</v>
      </c>
      <c r="L291" s="16" t="str">
        <f>IF(COUNTIFS(Pessoas!$C$5:$C$44,$K291,Pessoas!$G$5:$G$44,"Ativo")=0,"Equipe "&amp;$K291,INDEX(Pessoas!$A$5:$A$44,_xludf.aggregate(15,6,(ROW(Pessoas!$A$5:$A$44)-4)/((Pessoas!$C$5:$C$44=$K291)*(Pessoas!$G$5:$G$44="Ativo")),MOD(ROW()-6,MAX(1,COUNTIFS(Pessoas!$C$5:$C$44,$K291,Pessoas!$G$5:$G$44,"Ativo")))+1)))</f>
        <v>Equipe Oficina Mecânica Central-Taisa</v>
      </c>
    </row>
    <row r="292" spans="1:12" ht="15" customHeight="1" x14ac:dyDescent="0.4">
      <c r="A292" s="25">
        <v>46314</v>
      </c>
      <c r="B292" s="16">
        <v>7</v>
      </c>
      <c r="C292" s="16">
        <v>1</v>
      </c>
      <c r="D292" s="16">
        <v>10</v>
      </c>
      <c r="E292" s="16" t="s">
        <v>980</v>
      </c>
      <c r="F292" s="16" t="s">
        <v>1265</v>
      </c>
      <c r="G292" s="16" t="s">
        <v>184</v>
      </c>
      <c r="H292" s="16" t="s">
        <v>140</v>
      </c>
      <c r="I292" s="22" t="s">
        <v>856</v>
      </c>
      <c r="J292" s="16">
        <f>IFERROR(INDEX(Aux_HH!$J$4:$J$31,MATCH($H292&amp;"|"&amp;$I292,Aux_HH!$A$4:$A$31,0)),"")</f>
        <v>2.5</v>
      </c>
      <c r="K292" s="16" t="s">
        <v>76</v>
      </c>
      <c r="L292" s="16" t="str">
        <f>IF(COUNTIFS(Pessoas!$C$5:$C$44,$K292,Pessoas!$G$5:$G$44,"Ativo")=0,"Equipe "&amp;$K292,INDEX(Pessoas!$A$5:$A$44,_xludf.aggregate(15,6,(ROW(Pessoas!$A$5:$A$44)-4)/((Pessoas!$C$5:$C$44=$K292)*(Pessoas!$G$5:$G$44="Ativo")),MOD(ROW()-6,MAX(1,COUNTIFS(Pessoas!$C$5:$C$44,$K292,Pessoas!$G$5:$G$44,"Ativo")))+1)))</f>
        <v>Equipe Oficina Mecânica Central-Taisa</v>
      </c>
    </row>
    <row r="293" spans="1:12" ht="15" customHeight="1" x14ac:dyDescent="0.4">
      <c r="A293" s="25">
        <v>46314</v>
      </c>
      <c r="B293" s="16">
        <v>7</v>
      </c>
      <c r="C293" s="16">
        <v>1</v>
      </c>
      <c r="D293" s="16">
        <v>10</v>
      </c>
      <c r="E293" s="16" t="s">
        <v>980</v>
      </c>
      <c r="F293" s="16" t="s">
        <v>1266</v>
      </c>
      <c r="G293" s="16" t="s">
        <v>526</v>
      </c>
      <c r="H293" s="16" t="s">
        <v>140</v>
      </c>
      <c r="I293" s="22" t="s">
        <v>856</v>
      </c>
      <c r="J293" s="16">
        <f>IFERROR(INDEX(Aux_HH!$J$4:$J$31,MATCH($H293&amp;"|"&amp;$I293,Aux_HH!$A$4:$A$31,0)),"")</f>
        <v>2.5</v>
      </c>
      <c r="K293" s="16" t="s">
        <v>76</v>
      </c>
      <c r="L293" s="16" t="str">
        <f>IF(COUNTIFS(Pessoas!$C$5:$C$44,$K293,Pessoas!$G$5:$G$44,"Ativo")=0,"Equipe "&amp;$K293,INDEX(Pessoas!$A$5:$A$44,_xludf.aggregate(15,6,(ROW(Pessoas!$A$5:$A$44)-4)/((Pessoas!$C$5:$C$44=$K293)*(Pessoas!$G$5:$G$44="Ativo")),MOD(ROW()-6,MAX(1,COUNTIFS(Pessoas!$C$5:$C$44,$K293,Pessoas!$G$5:$G$44,"Ativo")))+1)))</f>
        <v>Equipe Oficina Mecânica Central-Taisa</v>
      </c>
    </row>
    <row r="294" spans="1:12" ht="15" customHeight="1" x14ac:dyDescent="0.4">
      <c r="A294" s="25">
        <v>46314</v>
      </c>
      <c r="B294" s="16">
        <v>7</v>
      </c>
      <c r="C294" s="16">
        <v>1</v>
      </c>
      <c r="D294" s="16">
        <v>10</v>
      </c>
      <c r="E294" s="16" t="s">
        <v>980</v>
      </c>
      <c r="F294" s="16" t="s">
        <v>1267</v>
      </c>
      <c r="G294" s="16" t="s">
        <v>526</v>
      </c>
      <c r="H294" s="16" t="s">
        <v>140</v>
      </c>
      <c r="I294" s="22" t="s">
        <v>856</v>
      </c>
      <c r="J294" s="16">
        <f>IFERROR(INDEX(Aux_HH!$J$4:$J$31,MATCH($H294&amp;"|"&amp;$I294,Aux_HH!$A$4:$A$31,0)),"")</f>
        <v>2.5</v>
      </c>
      <c r="K294" s="16" t="s">
        <v>76</v>
      </c>
      <c r="L294" s="16" t="str">
        <f>IF(COUNTIFS(Pessoas!$C$5:$C$44,$K294,Pessoas!$G$5:$G$44,"Ativo")=0,"Equipe "&amp;$K294,INDEX(Pessoas!$A$5:$A$44,_xludf.aggregate(15,6,(ROW(Pessoas!$A$5:$A$44)-4)/((Pessoas!$C$5:$C$44=$K294)*(Pessoas!$G$5:$G$44="Ativo")),MOD(ROW()-6,MAX(1,COUNTIFS(Pessoas!$C$5:$C$44,$K294,Pessoas!$G$5:$G$44,"Ativo")))+1)))</f>
        <v>Equipe Oficina Mecânica Central-Taisa</v>
      </c>
    </row>
    <row r="295" spans="1:12" ht="15" customHeight="1" x14ac:dyDescent="0.4">
      <c r="A295" s="25">
        <v>46314</v>
      </c>
      <c r="B295" s="16">
        <v>7</v>
      </c>
      <c r="C295" s="16">
        <v>1</v>
      </c>
      <c r="D295" s="16">
        <v>10</v>
      </c>
      <c r="E295" s="16" t="s">
        <v>980</v>
      </c>
      <c r="F295" s="16" t="s">
        <v>1268</v>
      </c>
      <c r="G295" s="16" t="s">
        <v>526</v>
      </c>
      <c r="H295" s="16" t="s">
        <v>140</v>
      </c>
      <c r="I295" s="22" t="s">
        <v>856</v>
      </c>
      <c r="J295" s="16">
        <f>IFERROR(INDEX(Aux_HH!$J$4:$J$31,MATCH($H295&amp;"|"&amp;$I295,Aux_HH!$A$4:$A$31,0)),"")</f>
        <v>2.5</v>
      </c>
      <c r="K295" s="16" t="s">
        <v>76</v>
      </c>
      <c r="L295" s="16" t="str">
        <f>IF(COUNTIFS(Pessoas!$C$5:$C$44,$K295,Pessoas!$G$5:$G$44,"Ativo")=0,"Equipe "&amp;$K295,INDEX(Pessoas!$A$5:$A$44,_xludf.aggregate(15,6,(ROW(Pessoas!$A$5:$A$44)-4)/((Pessoas!$C$5:$C$44=$K295)*(Pessoas!$G$5:$G$44="Ativo")),MOD(ROW()-6,MAX(1,COUNTIFS(Pessoas!$C$5:$C$44,$K295,Pessoas!$G$5:$G$44,"Ativo")))+1)))</f>
        <v>Equipe Oficina Mecânica Central-Taisa</v>
      </c>
    </row>
    <row r="296" spans="1:12" ht="15" customHeight="1" x14ac:dyDescent="0.4">
      <c r="A296" s="25">
        <v>46314</v>
      </c>
      <c r="B296" s="16">
        <v>7</v>
      </c>
      <c r="C296" s="16">
        <v>1</v>
      </c>
      <c r="D296" s="16">
        <v>10</v>
      </c>
      <c r="E296" s="16" t="s">
        <v>980</v>
      </c>
      <c r="F296" s="16" t="s">
        <v>1269</v>
      </c>
      <c r="G296" s="16" t="s">
        <v>526</v>
      </c>
      <c r="H296" s="16" t="s">
        <v>140</v>
      </c>
      <c r="I296" s="22" t="s">
        <v>856</v>
      </c>
      <c r="J296" s="16">
        <f>IFERROR(INDEX(Aux_HH!$J$4:$J$31,MATCH($H296&amp;"|"&amp;$I296,Aux_HH!$A$4:$A$31,0)),"")</f>
        <v>2.5</v>
      </c>
      <c r="K296" s="16" t="s">
        <v>76</v>
      </c>
      <c r="L296" s="16" t="str">
        <f>IF(COUNTIFS(Pessoas!$C$5:$C$44,$K296,Pessoas!$G$5:$G$44,"Ativo")=0,"Equipe "&amp;$K296,INDEX(Pessoas!$A$5:$A$44,_xludf.aggregate(15,6,(ROW(Pessoas!$A$5:$A$44)-4)/((Pessoas!$C$5:$C$44=$K296)*(Pessoas!$G$5:$G$44="Ativo")),MOD(ROW()-6,MAX(1,COUNTIFS(Pessoas!$C$5:$C$44,$K296,Pessoas!$G$5:$G$44,"Ativo")))+1)))</f>
        <v>Equipe Oficina Mecânica Central-Taisa</v>
      </c>
    </row>
    <row r="297" spans="1:12" ht="15" customHeight="1" x14ac:dyDescent="0.4">
      <c r="A297" s="25">
        <v>46314</v>
      </c>
      <c r="B297" s="16">
        <v>7</v>
      </c>
      <c r="C297" s="16">
        <v>1</v>
      </c>
      <c r="D297" s="16">
        <v>10</v>
      </c>
      <c r="E297" s="16" t="s">
        <v>980</v>
      </c>
      <c r="F297" s="16" t="s">
        <v>1270</v>
      </c>
      <c r="G297" s="16" t="s">
        <v>526</v>
      </c>
      <c r="H297" s="16" t="s">
        <v>140</v>
      </c>
      <c r="I297" s="22" t="s">
        <v>856</v>
      </c>
      <c r="J297" s="16">
        <f>IFERROR(INDEX(Aux_HH!$J$4:$J$31,MATCH($H297&amp;"|"&amp;$I297,Aux_HH!$A$4:$A$31,0)),"")</f>
        <v>2.5</v>
      </c>
      <c r="K297" s="16" t="s">
        <v>76</v>
      </c>
      <c r="L297" s="16" t="str">
        <f>IF(COUNTIFS(Pessoas!$C$5:$C$44,$K297,Pessoas!$G$5:$G$44,"Ativo")=0,"Equipe "&amp;$K297,INDEX(Pessoas!$A$5:$A$44,_xludf.aggregate(15,6,(ROW(Pessoas!$A$5:$A$44)-4)/((Pessoas!$C$5:$C$44=$K297)*(Pessoas!$G$5:$G$44="Ativo")),MOD(ROW()-6,MAX(1,COUNTIFS(Pessoas!$C$5:$C$44,$K297,Pessoas!$G$5:$G$44,"Ativo")))+1)))</f>
        <v>Equipe Oficina Mecânica Central-Taisa</v>
      </c>
    </row>
    <row r="298" spans="1:12" ht="15" customHeight="1" x14ac:dyDescent="0.4">
      <c r="A298" s="25">
        <v>46314</v>
      </c>
      <c r="B298" s="16">
        <v>7</v>
      </c>
      <c r="C298" s="16">
        <v>1</v>
      </c>
      <c r="D298" s="16">
        <v>10</v>
      </c>
      <c r="E298" s="16" t="s">
        <v>980</v>
      </c>
      <c r="F298" s="16" t="s">
        <v>1271</v>
      </c>
      <c r="G298" s="16" t="s">
        <v>526</v>
      </c>
      <c r="H298" s="16" t="s">
        <v>140</v>
      </c>
      <c r="I298" s="22" t="s">
        <v>856</v>
      </c>
      <c r="J298" s="16">
        <f>IFERROR(INDEX(Aux_HH!$J$4:$J$31,MATCH($H298&amp;"|"&amp;$I298,Aux_HH!$A$4:$A$31,0)),"")</f>
        <v>2.5</v>
      </c>
      <c r="K298" s="16" t="s">
        <v>76</v>
      </c>
      <c r="L298" s="16" t="str">
        <f>IF(COUNTIFS(Pessoas!$C$5:$C$44,$K298,Pessoas!$G$5:$G$44,"Ativo")=0,"Equipe "&amp;$K298,INDEX(Pessoas!$A$5:$A$44,_xludf.aggregate(15,6,(ROW(Pessoas!$A$5:$A$44)-4)/((Pessoas!$C$5:$C$44=$K298)*(Pessoas!$G$5:$G$44="Ativo")),MOD(ROW()-6,MAX(1,COUNTIFS(Pessoas!$C$5:$C$44,$K298,Pessoas!$G$5:$G$44,"Ativo")))+1)))</f>
        <v>Equipe Oficina Mecânica Central-Taisa</v>
      </c>
    </row>
    <row r="299" spans="1:12" ht="15" customHeight="1" x14ac:dyDescent="0.4">
      <c r="A299" s="25">
        <v>46314</v>
      </c>
      <c r="B299" s="16">
        <v>7</v>
      </c>
      <c r="C299" s="16">
        <v>1</v>
      </c>
      <c r="D299" s="16">
        <v>10</v>
      </c>
      <c r="E299" s="16" t="s">
        <v>980</v>
      </c>
      <c r="F299" s="16" t="s">
        <v>1272</v>
      </c>
      <c r="G299" s="16" t="s">
        <v>158</v>
      </c>
      <c r="H299" s="16" t="s">
        <v>141</v>
      </c>
      <c r="I299" s="22" t="s">
        <v>856</v>
      </c>
      <c r="J299" s="16">
        <f>IFERROR(INDEX(Aux_HH!$J$4:$J$31,MATCH($H299&amp;"|"&amp;$I299,Aux_HH!$A$4:$A$31,0)),"")</f>
        <v>2</v>
      </c>
      <c r="K299" s="16" t="s">
        <v>76</v>
      </c>
      <c r="L299" s="16" t="str">
        <f>IF(COUNTIFS(Pessoas!$C$5:$C$44,$K299,Pessoas!$G$5:$G$44,"Ativo")=0,"Equipe "&amp;$K299,INDEX(Pessoas!$A$5:$A$44,_xludf.aggregate(15,6,(ROW(Pessoas!$A$5:$A$44)-4)/((Pessoas!$C$5:$C$44=$K299)*(Pessoas!$G$5:$G$44="Ativo")),MOD(ROW()-6,MAX(1,COUNTIFS(Pessoas!$C$5:$C$44,$K299,Pessoas!$G$5:$G$44,"Ativo")))+1)))</f>
        <v>Equipe Oficina Mecânica Central-Taisa</v>
      </c>
    </row>
    <row r="300" spans="1:12" ht="15" customHeight="1" x14ac:dyDescent="0.4">
      <c r="A300" s="25">
        <v>46314</v>
      </c>
      <c r="B300" s="16">
        <v>7</v>
      </c>
      <c r="C300" s="16">
        <v>1</v>
      </c>
      <c r="D300" s="16">
        <v>10</v>
      </c>
      <c r="E300" s="16" t="s">
        <v>980</v>
      </c>
      <c r="F300" s="16" t="s">
        <v>1273</v>
      </c>
      <c r="G300" s="16" t="s">
        <v>158</v>
      </c>
      <c r="H300" s="16" t="s">
        <v>141</v>
      </c>
      <c r="I300" s="22" t="s">
        <v>856</v>
      </c>
      <c r="J300" s="16">
        <f>IFERROR(INDEX(Aux_HH!$J$4:$J$31,MATCH($H300&amp;"|"&amp;$I300,Aux_HH!$A$4:$A$31,0)),"")</f>
        <v>2</v>
      </c>
      <c r="K300" s="16" t="s">
        <v>76</v>
      </c>
      <c r="L300" s="16" t="str">
        <f>IF(COUNTIFS(Pessoas!$C$5:$C$44,$K300,Pessoas!$G$5:$G$44,"Ativo")=0,"Equipe "&amp;$K300,INDEX(Pessoas!$A$5:$A$44,_xludf.aggregate(15,6,(ROW(Pessoas!$A$5:$A$44)-4)/((Pessoas!$C$5:$C$44=$K300)*(Pessoas!$G$5:$G$44="Ativo")),MOD(ROW()-6,MAX(1,COUNTIFS(Pessoas!$C$5:$C$44,$K300,Pessoas!$G$5:$G$44,"Ativo")))+1)))</f>
        <v>Equipe Oficina Mecânica Central-Taisa</v>
      </c>
    </row>
    <row r="301" spans="1:12" ht="15" customHeight="1" x14ac:dyDescent="0.4">
      <c r="A301" s="25">
        <v>46314</v>
      </c>
      <c r="B301" s="16">
        <v>7</v>
      </c>
      <c r="C301" s="16">
        <v>1</v>
      </c>
      <c r="D301" s="16">
        <v>10</v>
      </c>
      <c r="E301" s="16" t="s">
        <v>980</v>
      </c>
      <c r="F301" s="16" t="s">
        <v>1274</v>
      </c>
      <c r="G301" s="16" t="s">
        <v>158</v>
      </c>
      <c r="H301" s="16" t="s">
        <v>141</v>
      </c>
      <c r="I301" s="22" t="s">
        <v>856</v>
      </c>
      <c r="J301" s="16">
        <f>IFERROR(INDEX(Aux_HH!$J$4:$J$31,MATCH($H301&amp;"|"&amp;$I301,Aux_HH!$A$4:$A$31,0)),"")</f>
        <v>2</v>
      </c>
      <c r="K301" s="16" t="s">
        <v>76</v>
      </c>
      <c r="L301" s="16" t="str">
        <f>IF(COUNTIFS(Pessoas!$C$5:$C$44,$K301,Pessoas!$G$5:$G$44,"Ativo")=0,"Equipe "&amp;$K301,INDEX(Pessoas!$A$5:$A$44,_xludf.aggregate(15,6,(ROW(Pessoas!$A$5:$A$44)-4)/((Pessoas!$C$5:$C$44=$K301)*(Pessoas!$G$5:$G$44="Ativo")),MOD(ROW()-6,MAX(1,COUNTIFS(Pessoas!$C$5:$C$44,$K301,Pessoas!$G$5:$G$44,"Ativo")))+1)))</f>
        <v>Equipe Oficina Mecânica Central-Taisa</v>
      </c>
    </row>
    <row r="302" spans="1:12" ht="15" customHeight="1" x14ac:dyDescent="0.4">
      <c r="A302" s="25">
        <v>46314</v>
      </c>
      <c r="B302" s="16">
        <v>7</v>
      </c>
      <c r="C302" s="16">
        <v>1</v>
      </c>
      <c r="D302" s="16">
        <v>10</v>
      </c>
      <c r="E302" s="16" t="s">
        <v>980</v>
      </c>
      <c r="F302" s="16" t="s">
        <v>1275</v>
      </c>
      <c r="G302" s="16" t="s">
        <v>158</v>
      </c>
      <c r="H302" s="16" t="s">
        <v>141</v>
      </c>
      <c r="I302" s="22" t="s">
        <v>856</v>
      </c>
      <c r="J302" s="16">
        <f>IFERROR(INDEX(Aux_HH!$J$4:$J$31,MATCH($H302&amp;"|"&amp;$I302,Aux_HH!$A$4:$A$31,0)),"")</f>
        <v>2</v>
      </c>
      <c r="K302" s="16" t="s">
        <v>76</v>
      </c>
      <c r="L302" s="16" t="str">
        <f>IF(COUNTIFS(Pessoas!$C$5:$C$44,$K302,Pessoas!$G$5:$G$44,"Ativo")=0,"Equipe "&amp;$K302,INDEX(Pessoas!$A$5:$A$44,_xludf.aggregate(15,6,(ROW(Pessoas!$A$5:$A$44)-4)/((Pessoas!$C$5:$C$44=$K302)*(Pessoas!$G$5:$G$44="Ativo")),MOD(ROW()-6,MAX(1,COUNTIFS(Pessoas!$C$5:$C$44,$K302,Pessoas!$G$5:$G$44,"Ativo")))+1)))</f>
        <v>Equipe Oficina Mecânica Central-Taisa</v>
      </c>
    </row>
    <row r="303" spans="1:12" ht="15" customHeight="1" x14ac:dyDescent="0.4">
      <c r="A303" s="25">
        <v>46314</v>
      </c>
      <c r="B303" s="16">
        <v>7</v>
      </c>
      <c r="C303" s="16">
        <v>1</v>
      </c>
      <c r="D303" s="16">
        <v>10</v>
      </c>
      <c r="E303" s="16" t="s">
        <v>980</v>
      </c>
      <c r="F303" s="16" t="s">
        <v>1276</v>
      </c>
      <c r="G303" s="16" t="s">
        <v>158</v>
      </c>
      <c r="H303" s="16" t="s">
        <v>141</v>
      </c>
      <c r="I303" s="22" t="s">
        <v>856</v>
      </c>
      <c r="J303" s="16">
        <f>IFERROR(INDEX(Aux_HH!$J$4:$J$31,MATCH($H303&amp;"|"&amp;$I303,Aux_HH!$A$4:$A$31,0)),"")</f>
        <v>2</v>
      </c>
      <c r="K303" s="16" t="s">
        <v>76</v>
      </c>
      <c r="L303" s="16" t="str">
        <f>IF(COUNTIFS(Pessoas!$C$5:$C$44,$K303,Pessoas!$G$5:$G$44,"Ativo")=0,"Equipe "&amp;$K303,INDEX(Pessoas!$A$5:$A$44,_xludf.aggregate(15,6,(ROW(Pessoas!$A$5:$A$44)-4)/((Pessoas!$C$5:$C$44=$K303)*(Pessoas!$G$5:$G$44="Ativo")),MOD(ROW()-6,MAX(1,COUNTIFS(Pessoas!$C$5:$C$44,$K303,Pessoas!$G$5:$G$44,"Ativo")))+1)))</f>
        <v>Equipe Oficina Mecânica Central-Taisa</v>
      </c>
    </row>
    <row r="304" spans="1:12" ht="15" customHeight="1" x14ac:dyDescent="0.4">
      <c r="A304" s="25">
        <v>46314</v>
      </c>
      <c r="B304" s="16">
        <v>7</v>
      </c>
      <c r="C304" s="16">
        <v>1</v>
      </c>
      <c r="D304" s="16">
        <v>10</v>
      </c>
      <c r="E304" s="16" t="s">
        <v>980</v>
      </c>
      <c r="F304" s="16" t="s">
        <v>1277</v>
      </c>
      <c r="G304" s="16" t="s">
        <v>158</v>
      </c>
      <c r="H304" s="16" t="s">
        <v>141</v>
      </c>
      <c r="I304" s="22" t="s">
        <v>856</v>
      </c>
      <c r="J304" s="16">
        <f>IFERROR(INDEX(Aux_HH!$J$4:$J$31,MATCH($H304&amp;"|"&amp;$I304,Aux_HH!$A$4:$A$31,0)),"")</f>
        <v>2</v>
      </c>
      <c r="K304" s="16" t="s">
        <v>76</v>
      </c>
      <c r="L304" s="16" t="str">
        <f>IF(COUNTIFS(Pessoas!$C$5:$C$44,$K304,Pessoas!$G$5:$G$44,"Ativo")=0,"Equipe "&amp;$K304,INDEX(Pessoas!$A$5:$A$44,_xludf.aggregate(15,6,(ROW(Pessoas!$A$5:$A$44)-4)/((Pessoas!$C$5:$C$44=$K304)*(Pessoas!$G$5:$G$44="Ativo")),MOD(ROW()-6,MAX(1,COUNTIFS(Pessoas!$C$5:$C$44,$K304,Pessoas!$G$5:$G$44,"Ativo")))+1)))</f>
        <v>Equipe Oficina Mecânica Central-Taisa</v>
      </c>
    </row>
    <row r="305" spans="1:12" ht="15" customHeight="1" x14ac:dyDescent="0.4">
      <c r="A305" s="25">
        <v>46314</v>
      </c>
      <c r="B305" s="16">
        <v>7</v>
      </c>
      <c r="C305" s="16">
        <v>1</v>
      </c>
      <c r="D305" s="16">
        <v>10</v>
      </c>
      <c r="E305" s="16" t="s">
        <v>980</v>
      </c>
      <c r="F305" s="16" t="s">
        <v>1278</v>
      </c>
      <c r="G305" s="16" t="s">
        <v>158</v>
      </c>
      <c r="H305" s="16" t="s">
        <v>141</v>
      </c>
      <c r="I305" s="22" t="s">
        <v>856</v>
      </c>
      <c r="J305" s="16">
        <f>IFERROR(INDEX(Aux_HH!$J$4:$J$31,MATCH($H305&amp;"|"&amp;$I305,Aux_HH!$A$4:$A$31,0)),"")</f>
        <v>2</v>
      </c>
      <c r="K305" s="16" t="s">
        <v>76</v>
      </c>
      <c r="L305" s="16" t="str">
        <f>IF(COUNTIFS(Pessoas!$C$5:$C$44,$K305,Pessoas!$G$5:$G$44,"Ativo")=0,"Equipe "&amp;$K305,INDEX(Pessoas!$A$5:$A$44,_xludf.aggregate(15,6,(ROW(Pessoas!$A$5:$A$44)-4)/((Pessoas!$C$5:$C$44=$K305)*(Pessoas!$G$5:$G$44="Ativo")),MOD(ROW()-6,MAX(1,COUNTIFS(Pessoas!$C$5:$C$44,$K305,Pessoas!$G$5:$G$44,"Ativo")))+1)))</f>
        <v>Equipe Oficina Mecânica Central-Taisa</v>
      </c>
    </row>
    <row r="306" spans="1:12" ht="15" customHeight="1" x14ac:dyDescent="0.4">
      <c r="A306" s="25">
        <v>46314</v>
      </c>
      <c r="B306" s="16">
        <v>7</v>
      </c>
      <c r="C306" s="16">
        <v>1</v>
      </c>
      <c r="D306" s="16">
        <v>10</v>
      </c>
      <c r="E306" s="16" t="s">
        <v>980</v>
      </c>
      <c r="F306" s="16" t="s">
        <v>1279</v>
      </c>
      <c r="G306" s="16" t="s">
        <v>158</v>
      </c>
      <c r="H306" s="16" t="s">
        <v>141</v>
      </c>
      <c r="I306" s="22" t="s">
        <v>856</v>
      </c>
      <c r="J306" s="16">
        <f>IFERROR(INDEX(Aux_HH!$J$4:$J$31,MATCH($H306&amp;"|"&amp;$I306,Aux_HH!$A$4:$A$31,0)),"")</f>
        <v>2</v>
      </c>
      <c r="K306" s="16" t="s">
        <v>76</v>
      </c>
      <c r="L306" s="16" t="str">
        <f>IF(COUNTIFS(Pessoas!$C$5:$C$44,$K306,Pessoas!$G$5:$G$44,"Ativo")=0,"Equipe "&amp;$K306,INDEX(Pessoas!$A$5:$A$44,_xludf.aggregate(15,6,(ROW(Pessoas!$A$5:$A$44)-4)/((Pessoas!$C$5:$C$44=$K306)*(Pessoas!$G$5:$G$44="Ativo")),MOD(ROW()-6,MAX(1,COUNTIFS(Pessoas!$C$5:$C$44,$K306,Pessoas!$G$5:$G$44,"Ativo")))+1)))</f>
        <v>Equipe Oficina Mecânica Central-Taisa</v>
      </c>
    </row>
    <row r="307" spans="1:12" ht="15" customHeight="1" x14ac:dyDescent="0.4">
      <c r="A307" s="25">
        <v>46314</v>
      </c>
      <c r="B307" s="16">
        <v>7</v>
      </c>
      <c r="C307" s="16">
        <v>1</v>
      </c>
      <c r="D307" s="16">
        <v>10</v>
      </c>
      <c r="E307" s="16" t="s">
        <v>980</v>
      </c>
      <c r="F307" s="16" t="s">
        <v>1280</v>
      </c>
      <c r="G307" s="16" t="s">
        <v>158</v>
      </c>
      <c r="H307" s="16" t="s">
        <v>141</v>
      </c>
      <c r="I307" s="22" t="s">
        <v>856</v>
      </c>
      <c r="J307" s="16">
        <f>IFERROR(INDEX(Aux_HH!$J$4:$J$31,MATCH($H307&amp;"|"&amp;$I307,Aux_HH!$A$4:$A$31,0)),"")</f>
        <v>2</v>
      </c>
      <c r="K307" s="16" t="s">
        <v>76</v>
      </c>
      <c r="L307" s="16" t="str">
        <f>IF(COUNTIFS(Pessoas!$C$5:$C$44,$K307,Pessoas!$G$5:$G$44,"Ativo")=0,"Equipe "&amp;$K307,INDEX(Pessoas!$A$5:$A$44,_xludf.aggregate(15,6,(ROW(Pessoas!$A$5:$A$44)-4)/((Pessoas!$C$5:$C$44=$K307)*(Pessoas!$G$5:$G$44="Ativo")),MOD(ROW()-6,MAX(1,COUNTIFS(Pessoas!$C$5:$C$44,$K307,Pessoas!$G$5:$G$44,"Ativo")))+1)))</f>
        <v>Equipe Oficina Mecânica Central-Taisa</v>
      </c>
    </row>
    <row r="308" spans="1:12" ht="15" customHeight="1" x14ac:dyDescent="0.4">
      <c r="A308" s="25">
        <v>46314</v>
      </c>
      <c r="B308" s="16">
        <v>7</v>
      </c>
      <c r="C308" s="16">
        <v>1</v>
      </c>
      <c r="D308" s="16">
        <v>10</v>
      </c>
      <c r="E308" s="16" t="s">
        <v>980</v>
      </c>
      <c r="F308" s="16" t="s">
        <v>1281</v>
      </c>
      <c r="G308" s="16" t="s">
        <v>158</v>
      </c>
      <c r="H308" s="16" t="s">
        <v>141</v>
      </c>
      <c r="I308" s="22" t="s">
        <v>856</v>
      </c>
      <c r="J308" s="16">
        <f>IFERROR(INDEX(Aux_HH!$J$4:$J$31,MATCH($H308&amp;"|"&amp;$I308,Aux_HH!$A$4:$A$31,0)),"")</f>
        <v>2</v>
      </c>
      <c r="K308" s="16" t="s">
        <v>76</v>
      </c>
      <c r="L308" s="16" t="str">
        <f>IF(COUNTIFS(Pessoas!$C$5:$C$44,$K308,Pessoas!$G$5:$G$44,"Ativo")=0,"Equipe "&amp;$K308,INDEX(Pessoas!$A$5:$A$44,_xludf.aggregate(15,6,(ROW(Pessoas!$A$5:$A$44)-4)/((Pessoas!$C$5:$C$44=$K308)*(Pessoas!$G$5:$G$44="Ativo")),MOD(ROW()-6,MAX(1,COUNTIFS(Pessoas!$C$5:$C$44,$K308,Pessoas!$G$5:$G$44,"Ativo")))+1)))</f>
        <v>Equipe Oficina Mecânica Central-Taisa</v>
      </c>
    </row>
    <row r="309" spans="1:12" ht="15" customHeight="1" x14ac:dyDescent="0.4">
      <c r="A309" s="25">
        <v>46314</v>
      </c>
      <c r="B309" s="16">
        <v>7</v>
      </c>
      <c r="C309" s="16">
        <v>1</v>
      </c>
      <c r="D309" s="16">
        <v>10</v>
      </c>
      <c r="E309" s="16" t="s">
        <v>980</v>
      </c>
      <c r="F309" s="16" t="s">
        <v>1282</v>
      </c>
      <c r="G309" s="16" t="s">
        <v>158</v>
      </c>
      <c r="H309" s="16" t="s">
        <v>141</v>
      </c>
      <c r="I309" s="22" t="s">
        <v>856</v>
      </c>
      <c r="J309" s="16">
        <f>IFERROR(INDEX(Aux_HH!$J$4:$J$31,MATCH($H309&amp;"|"&amp;$I309,Aux_HH!$A$4:$A$31,0)),"")</f>
        <v>2</v>
      </c>
      <c r="K309" s="16" t="s">
        <v>76</v>
      </c>
      <c r="L309" s="16" t="str">
        <f>IF(COUNTIFS(Pessoas!$C$5:$C$44,$K309,Pessoas!$G$5:$G$44,"Ativo")=0,"Equipe "&amp;$K309,INDEX(Pessoas!$A$5:$A$44,_xludf.aggregate(15,6,(ROW(Pessoas!$A$5:$A$44)-4)/((Pessoas!$C$5:$C$44=$K309)*(Pessoas!$G$5:$G$44="Ativo")),MOD(ROW()-6,MAX(1,COUNTIFS(Pessoas!$C$5:$C$44,$K309,Pessoas!$G$5:$G$44,"Ativo")))+1)))</f>
        <v>Equipe Oficina Mecânica Central-Taisa</v>
      </c>
    </row>
    <row r="310" spans="1:12" ht="15" customHeight="1" x14ac:dyDescent="0.4">
      <c r="A310" s="25">
        <v>46314</v>
      </c>
      <c r="B310" s="16">
        <v>7</v>
      </c>
      <c r="C310" s="16">
        <v>1</v>
      </c>
      <c r="D310" s="16">
        <v>10</v>
      </c>
      <c r="E310" s="16" t="s">
        <v>980</v>
      </c>
      <c r="F310" s="16" t="s">
        <v>1283</v>
      </c>
      <c r="G310" s="16" t="s">
        <v>158</v>
      </c>
      <c r="H310" s="16" t="s">
        <v>141</v>
      </c>
      <c r="I310" s="22" t="s">
        <v>856</v>
      </c>
      <c r="J310" s="16">
        <f>IFERROR(INDEX(Aux_HH!$J$4:$J$31,MATCH($H310&amp;"|"&amp;$I310,Aux_HH!$A$4:$A$31,0)),"")</f>
        <v>2</v>
      </c>
      <c r="K310" s="16" t="s">
        <v>76</v>
      </c>
      <c r="L310" s="16" t="str">
        <f>IF(COUNTIFS(Pessoas!$C$5:$C$44,$K310,Pessoas!$G$5:$G$44,"Ativo")=0,"Equipe "&amp;$K310,INDEX(Pessoas!$A$5:$A$44,_xludf.aggregate(15,6,(ROW(Pessoas!$A$5:$A$44)-4)/((Pessoas!$C$5:$C$44=$K310)*(Pessoas!$G$5:$G$44="Ativo")),MOD(ROW()-6,MAX(1,COUNTIFS(Pessoas!$C$5:$C$44,$K310,Pessoas!$G$5:$G$44,"Ativo")))+1)))</f>
        <v>Equipe Oficina Mecânica Central-Taisa</v>
      </c>
    </row>
    <row r="311" spans="1:12" ht="15" customHeight="1" x14ac:dyDescent="0.4">
      <c r="A311" s="25">
        <v>46314</v>
      </c>
      <c r="B311" s="16">
        <v>7</v>
      </c>
      <c r="C311" s="16">
        <v>1</v>
      </c>
      <c r="D311" s="16">
        <v>10</v>
      </c>
      <c r="E311" s="16" t="s">
        <v>980</v>
      </c>
      <c r="F311" s="16" t="s">
        <v>1284</v>
      </c>
      <c r="G311" s="16" t="s">
        <v>184</v>
      </c>
      <c r="H311" s="16" t="s">
        <v>141</v>
      </c>
      <c r="I311" s="22" t="s">
        <v>856</v>
      </c>
      <c r="J311" s="16">
        <f>IFERROR(INDEX(Aux_HH!$J$4:$J$31,MATCH($H311&amp;"|"&amp;$I311,Aux_HH!$A$4:$A$31,0)),"")</f>
        <v>2</v>
      </c>
      <c r="K311" s="16" t="s">
        <v>76</v>
      </c>
      <c r="L311" s="16" t="str">
        <f>IF(COUNTIFS(Pessoas!$C$5:$C$44,$K311,Pessoas!$G$5:$G$44,"Ativo")=0,"Equipe "&amp;$K311,INDEX(Pessoas!$A$5:$A$44,_xludf.aggregate(15,6,(ROW(Pessoas!$A$5:$A$44)-4)/((Pessoas!$C$5:$C$44=$K311)*(Pessoas!$G$5:$G$44="Ativo")),MOD(ROW()-6,MAX(1,COUNTIFS(Pessoas!$C$5:$C$44,$K311,Pessoas!$G$5:$G$44,"Ativo")))+1)))</f>
        <v>Equipe Oficina Mecânica Central-Taisa</v>
      </c>
    </row>
    <row r="312" spans="1:12" ht="15" customHeight="1" x14ac:dyDescent="0.4">
      <c r="A312" s="25">
        <v>46314</v>
      </c>
      <c r="B312" s="16">
        <v>7</v>
      </c>
      <c r="C312" s="16">
        <v>1</v>
      </c>
      <c r="D312" s="16">
        <v>10</v>
      </c>
      <c r="E312" s="16" t="s">
        <v>980</v>
      </c>
      <c r="F312" s="16" t="s">
        <v>1285</v>
      </c>
      <c r="G312" s="16" t="s">
        <v>184</v>
      </c>
      <c r="H312" s="16" t="s">
        <v>141</v>
      </c>
      <c r="I312" s="22" t="s">
        <v>856</v>
      </c>
      <c r="J312" s="16">
        <f>IFERROR(INDEX(Aux_HH!$J$4:$J$31,MATCH($H312&amp;"|"&amp;$I312,Aux_HH!$A$4:$A$31,0)),"")</f>
        <v>2</v>
      </c>
      <c r="K312" s="16" t="s">
        <v>76</v>
      </c>
      <c r="L312" s="16" t="str">
        <f>IF(COUNTIFS(Pessoas!$C$5:$C$44,$K312,Pessoas!$G$5:$G$44,"Ativo")=0,"Equipe "&amp;$K312,INDEX(Pessoas!$A$5:$A$44,_xludf.aggregate(15,6,(ROW(Pessoas!$A$5:$A$44)-4)/((Pessoas!$C$5:$C$44=$K312)*(Pessoas!$G$5:$G$44="Ativo")),MOD(ROW()-6,MAX(1,COUNTIFS(Pessoas!$C$5:$C$44,$K312,Pessoas!$G$5:$G$44,"Ativo")))+1)))</f>
        <v>Equipe Oficina Mecânica Central-Taisa</v>
      </c>
    </row>
    <row r="313" spans="1:12" ht="15" customHeight="1" x14ac:dyDescent="0.4">
      <c r="A313" s="25">
        <v>46314</v>
      </c>
      <c r="B313" s="16">
        <v>7</v>
      </c>
      <c r="C313" s="16">
        <v>1</v>
      </c>
      <c r="D313" s="16">
        <v>10</v>
      </c>
      <c r="E313" s="16" t="s">
        <v>980</v>
      </c>
      <c r="F313" s="16" t="s">
        <v>1286</v>
      </c>
      <c r="G313" s="16" t="s">
        <v>184</v>
      </c>
      <c r="H313" s="16" t="s">
        <v>141</v>
      </c>
      <c r="I313" s="22" t="s">
        <v>856</v>
      </c>
      <c r="J313" s="16">
        <f>IFERROR(INDEX(Aux_HH!$J$4:$J$31,MATCH($H313&amp;"|"&amp;$I313,Aux_HH!$A$4:$A$31,0)),"")</f>
        <v>2</v>
      </c>
      <c r="K313" s="16" t="s">
        <v>76</v>
      </c>
      <c r="L313" s="16" t="str">
        <f>IF(COUNTIFS(Pessoas!$C$5:$C$44,$K313,Pessoas!$G$5:$G$44,"Ativo")=0,"Equipe "&amp;$K313,INDEX(Pessoas!$A$5:$A$44,_xludf.aggregate(15,6,(ROW(Pessoas!$A$5:$A$44)-4)/((Pessoas!$C$5:$C$44=$K313)*(Pessoas!$G$5:$G$44="Ativo")),MOD(ROW()-6,MAX(1,COUNTIFS(Pessoas!$C$5:$C$44,$K313,Pessoas!$G$5:$G$44,"Ativo")))+1)))</f>
        <v>Equipe Oficina Mecânica Central-Taisa</v>
      </c>
    </row>
    <row r="314" spans="1:12" ht="15" customHeight="1" x14ac:dyDescent="0.4">
      <c r="A314" s="25">
        <v>46314</v>
      </c>
      <c r="B314" s="16">
        <v>7</v>
      </c>
      <c r="C314" s="16">
        <v>1</v>
      </c>
      <c r="D314" s="16">
        <v>10</v>
      </c>
      <c r="E314" s="16" t="s">
        <v>980</v>
      </c>
      <c r="F314" s="16" t="s">
        <v>1287</v>
      </c>
      <c r="G314" s="16" t="s">
        <v>184</v>
      </c>
      <c r="H314" s="16" t="s">
        <v>141</v>
      </c>
      <c r="I314" s="22" t="s">
        <v>856</v>
      </c>
      <c r="J314" s="16">
        <f>IFERROR(INDEX(Aux_HH!$J$4:$J$31,MATCH($H314&amp;"|"&amp;$I314,Aux_HH!$A$4:$A$31,0)),"")</f>
        <v>2</v>
      </c>
      <c r="K314" s="16" t="s">
        <v>76</v>
      </c>
      <c r="L314" s="16" t="str">
        <f>IF(COUNTIFS(Pessoas!$C$5:$C$44,$K314,Pessoas!$G$5:$G$44,"Ativo")=0,"Equipe "&amp;$K314,INDEX(Pessoas!$A$5:$A$44,_xludf.aggregate(15,6,(ROW(Pessoas!$A$5:$A$44)-4)/((Pessoas!$C$5:$C$44=$K314)*(Pessoas!$G$5:$G$44="Ativo")),MOD(ROW()-6,MAX(1,COUNTIFS(Pessoas!$C$5:$C$44,$K314,Pessoas!$G$5:$G$44,"Ativo")))+1)))</f>
        <v>Equipe Oficina Mecânica Central-Taisa</v>
      </c>
    </row>
    <row r="315" spans="1:12" ht="15" customHeight="1" x14ac:dyDescent="0.4">
      <c r="A315" s="25">
        <v>46314</v>
      </c>
      <c r="B315" s="16">
        <v>7</v>
      </c>
      <c r="C315" s="16">
        <v>1</v>
      </c>
      <c r="D315" s="16">
        <v>10</v>
      </c>
      <c r="E315" s="16" t="s">
        <v>980</v>
      </c>
      <c r="F315" s="16" t="s">
        <v>1288</v>
      </c>
      <c r="G315" s="16" t="s">
        <v>184</v>
      </c>
      <c r="H315" s="16" t="s">
        <v>141</v>
      </c>
      <c r="I315" s="22" t="s">
        <v>856</v>
      </c>
      <c r="J315" s="16">
        <f>IFERROR(INDEX(Aux_HH!$J$4:$J$31,MATCH($H315&amp;"|"&amp;$I315,Aux_HH!$A$4:$A$31,0)),"")</f>
        <v>2</v>
      </c>
      <c r="K315" s="16" t="s">
        <v>76</v>
      </c>
      <c r="L315" s="16" t="str">
        <f>IF(COUNTIFS(Pessoas!$C$5:$C$44,$K315,Pessoas!$G$5:$G$44,"Ativo")=0,"Equipe "&amp;$K315,INDEX(Pessoas!$A$5:$A$44,_xludf.aggregate(15,6,(ROW(Pessoas!$A$5:$A$44)-4)/((Pessoas!$C$5:$C$44=$K315)*(Pessoas!$G$5:$G$44="Ativo")),MOD(ROW()-6,MAX(1,COUNTIFS(Pessoas!$C$5:$C$44,$K315,Pessoas!$G$5:$G$44,"Ativo")))+1)))</f>
        <v>Equipe Oficina Mecânica Central-Taisa</v>
      </c>
    </row>
    <row r="316" spans="1:12" ht="15" customHeight="1" x14ac:dyDescent="0.4">
      <c r="A316" s="25">
        <v>46314</v>
      </c>
      <c r="B316" s="16">
        <v>7</v>
      </c>
      <c r="C316" s="16">
        <v>1</v>
      </c>
      <c r="D316" s="16">
        <v>10</v>
      </c>
      <c r="E316" s="16" t="s">
        <v>980</v>
      </c>
      <c r="F316" s="16" t="s">
        <v>1289</v>
      </c>
      <c r="G316" s="16" t="s">
        <v>184</v>
      </c>
      <c r="H316" s="16" t="s">
        <v>141</v>
      </c>
      <c r="I316" s="22" t="s">
        <v>856</v>
      </c>
      <c r="J316" s="16">
        <f>IFERROR(INDEX(Aux_HH!$J$4:$J$31,MATCH($H316&amp;"|"&amp;$I316,Aux_HH!$A$4:$A$31,0)),"")</f>
        <v>2</v>
      </c>
      <c r="K316" s="16" t="s">
        <v>76</v>
      </c>
      <c r="L316" s="16" t="str">
        <f>IF(COUNTIFS(Pessoas!$C$5:$C$44,$K316,Pessoas!$G$5:$G$44,"Ativo")=0,"Equipe "&amp;$K316,INDEX(Pessoas!$A$5:$A$44,_xludf.aggregate(15,6,(ROW(Pessoas!$A$5:$A$44)-4)/((Pessoas!$C$5:$C$44=$K316)*(Pessoas!$G$5:$G$44="Ativo")),MOD(ROW()-6,MAX(1,COUNTIFS(Pessoas!$C$5:$C$44,$K316,Pessoas!$G$5:$G$44,"Ativo")))+1)))</f>
        <v>Equipe Oficina Mecânica Central-Taisa</v>
      </c>
    </row>
    <row r="317" spans="1:12" ht="15" customHeight="1" x14ac:dyDescent="0.4">
      <c r="A317" s="25">
        <v>46314</v>
      </c>
      <c r="B317" s="16">
        <v>7</v>
      </c>
      <c r="C317" s="16">
        <v>1</v>
      </c>
      <c r="D317" s="16">
        <v>10</v>
      </c>
      <c r="E317" s="16" t="s">
        <v>980</v>
      </c>
      <c r="F317" s="16" t="s">
        <v>1290</v>
      </c>
      <c r="G317" s="16" t="s">
        <v>184</v>
      </c>
      <c r="H317" s="16" t="s">
        <v>141</v>
      </c>
      <c r="I317" s="22" t="s">
        <v>856</v>
      </c>
      <c r="J317" s="16">
        <f>IFERROR(INDEX(Aux_HH!$J$4:$J$31,MATCH($H317&amp;"|"&amp;$I317,Aux_HH!$A$4:$A$31,0)),"")</f>
        <v>2</v>
      </c>
      <c r="K317" s="16" t="s">
        <v>76</v>
      </c>
      <c r="L317" s="16" t="str">
        <f>IF(COUNTIFS(Pessoas!$C$5:$C$44,$K317,Pessoas!$G$5:$G$44,"Ativo")=0,"Equipe "&amp;$K317,INDEX(Pessoas!$A$5:$A$44,_xludf.aggregate(15,6,(ROW(Pessoas!$A$5:$A$44)-4)/((Pessoas!$C$5:$C$44=$K317)*(Pessoas!$G$5:$G$44="Ativo")),MOD(ROW()-6,MAX(1,COUNTIFS(Pessoas!$C$5:$C$44,$K317,Pessoas!$G$5:$G$44,"Ativo")))+1)))</f>
        <v>Equipe Oficina Mecânica Central-Taisa</v>
      </c>
    </row>
    <row r="318" spans="1:12" ht="15" customHeight="1" x14ac:dyDescent="0.4">
      <c r="A318" s="25">
        <v>46314</v>
      </c>
      <c r="B318" s="16">
        <v>7</v>
      </c>
      <c r="C318" s="16">
        <v>1</v>
      </c>
      <c r="D318" s="16">
        <v>10</v>
      </c>
      <c r="E318" s="16" t="s">
        <v>980</v>
      </c>
      <c r="F318" s="16" t="s">
        <v>1291</v>
      </c>
      <c r="G318" s="16" t="s">
        <v>184</v>
      </c>
      <c r="H318" s="16" t="s">
        <v>141</v>
      </c>
      <c r="I318" s="22" t="s">
        <v>856</v>
      </c>
      <c r="J318" s="16">
        <f>IFERROR(INDEX(Aux_HH!$J$4:$J$31,MATCH($H318&amp;"|"&amp;$I318,Aux_HH!$A$4:$A$31,0)),"")</f>
        <v>2</v>
      </c>
      <c r="K318" s="16" t="s">
        <v>76</v>
      </c>
      <c r="L318" s="16" t="str">
        <f>IF(COUNTIFS(Pessoas!$C$5:$C$44,$K318,Pessoas!$G$5:$G$44,"Ativo")=0,"Equipe "&amp;$K318,INDEX(Pessoas!$A$5:$A$44,_xludf.aggregate(15,6,(ROW(Pessoas!$A$5:$A$44)-4)/((Pessoas!$C$5:$C$44=$K318)*(Pessoas!$G$5:$G$44="Ativo")),MOD(ROW()-6,MAX(1,COUNTIFS(Pessoas!$C$5:$C$44,$K318,Pessoas!$G$5:$G$44,"Ativo")))+1)))</f>
        <v>Equipe Oficina Mecânica Central-Taisa</v>
      </c>
    </row>
    <row r="319" spans="1:12" ht="15" customHeight="1" x14ac:dyDescent="0.4">
      <c r="A319" s="25">
        <v>46314</v>
      </c>
      <c r="B319" s="16">
        <v>7</v>
      </c>
      <c r="C319" s="16">
        <v>1</v>
      </c>
      <c r="D319" s="16">
        <v>10</v>
      </c>
      <c r="E319" s="16" t="s">
        <v>980</v>
      </c>
      <c r="F319" s="16" t="s">
        <v>1292</v>
      </c>
      <c r="G319" s="16" t="s">
        <v>184</v>
      </c>
      <c r="H319" s="16" t="s">
        <v>141</v>
      </c>
      <c r="I319" s="22" t="s">
        <v>856</v>
      </c>
      <c r="J319" s="16">
        <f>IFERROR(INDEX(Aux_HH!$J$4:$J$31,MATCH($H319&amp;"|"&amp;$I319,Aux_HH!$A$4:$A$31,0)),"")</f>
        <v>2</v>
      </c>
      <c r="K319" s="16" t="s">
        <v>76</v>
      </c>
      <c r="L319" s="16" t="str">
        <f>IF(COUNTIFS(Pessoas!$C$5:$C$44,$K319,Pessoas!$G$5:$G$44,"Ativo")=0,"Equipe "&amp;$K319,INDEX(Pessoas!$A$5:$A$44,_xludf.aggregate(15,6,(ROW(Pessoas!$A$5:$A$44)-4)/((Pessoas!$C$5:$C$44=$K319)*(Pessoas!$G$5:$G$44="Ativo")),MOD(ROW()-6,MAX(1,COUNTIFS(Pessoas!$C$5:$C$44,$K319,Pessoas!$G$5:$G$44,"Ativo")))+1)))</f>
        <v>Equipe Oficina Mecânica Central-Taisa</v>
      </c>
    </row>
    <row r="320" spans="1:12" ht="15" customHeight="1" x14ac:dyDescent="0.4">
      <c r="A320" s="25">
        <v>46314</v>
      </c>
      <c r="B320" s="16">
        <v>7</v>
      </c>
      <c r="C320" s="16">
        <v>1</v>
      </c>
      <c r="D320" s="16">
        <v>10</v>
      </c>
      <c r="E320" s="16" t="s">
        <v>980</v>
      </c>
      <c r="F320" s="16" t="s">
        <v>1293</v>
      </c>
      <c r="G320" s="16" t="s">
        <v>184</v>
      </c>
      <c r="H320" s="16" t="s">
        <v>141</v>
      </c>
      <c r="I320" s="22" t="s">
        <v>856</v>
      </c>
      <c r="J320" s="16">
        <f>IFERROR(INDEX(Aux_HH!$J$4:$J$31,MATCH($H320&amp;"|"&amp;$I320,Aux_HH!$A$4:$A$31,0)),"")</f>
        <v>2</v>
      </c>
      <c r="K320" s="16" t="s">
        <v>76</v>
      </c>
      <c r="L320" s="16" t="str">
        <f>IF(COUNTIFS(Pessoas!$C$5:$C$44,$K320,Pessoas!$G$5:$G$44,"Ativo")=0,"Equipe "&amp;$K320,INDEX(Pessoas!$A$5:$A$44,_xludf.aggregate(15,6,(ROW(Pessoas!$A$5:$A$44)-4)/((Pessoas!$C$5:$C$44=$K320)*(Pessoas!$G$5:$G$44="Ativo")),MOD(ROW()-6,MAX(1,COUNTIFS(Pessoas!$C$5:$C$44,$K320,Pessoas!$G$5:$G$44,"Ativo")))+1)))</f>
        <v>Equipe Oficina Mecânica Central-Taisa</v>
      </c>
    </row>
    <row r="321" spans="1:12" ht="15" customHeight="1" x14ac:dyDescent="0.4">
      <c r="A321" s="25">
        <v>46314</v>
      </c>
      <c r="B321" s="16">
        <v>7</v>
      </c>
      <c r="C321" s="16">
        <v>1</v>
      </c>
      <c r="D321" s="16">
        <v>10</v>
      </c>
      <c r="E321" s="16" t="s">
        <v>980</v>
      </c>
      <c r="F321" s="16" t="s">
        <v>1294</v>
      </c>
      <c r="G321" s="16" t="s">
        <v>184</v>
      </c>
      <c r="H321" s="16" t="s">
        <v>141</v>
      </c>
      <c r="I321" s="22" t="s">
        <v>856</v>
      </c>
      <c r="J321" s="16">
        <f>IFERROR(INDEX(Aux_HH!$J$4:$J$31,MATCH($H321&amp;"|"&amp;$I321,Aux_HH!$A$4:$A$31,0)),"")</f>
        <v>2</v>
      </c>
      <c r="K321" s="16" t="s">
        <v>76</v>
      </c>
      <c r="L321" s="16" t="str">
        <f>IF(COUNTIFS(Pessoas!$C$5:$C$44,$K321,Pessoas!$G$5:$G$44,"Ativo")=0,"Equipe "&amp;$K321,INDEX(Pessoas!$A$5:$A$44,_xludf.aggregate(15,6,(ROW(Pessoas!$A$5:$A$44)-4)/((Pessoas!$C$5:$C$44=$K321)*(Pessoas!$G$5:$G$44="Ativo")),MOD(ROW()-6,MAX(1,COUNTIFS(Pessoas!$C$5:$C$44,$K321,Pessoas!$G$5:$G$44,"Ativo")))+1)))</f>
        <v>Equipe Oficina Mecânica Central-Taisa</v>
      </c>
    </row>
    <row r="322" spans="1:12" ht="15" customHeight="1" x14ac:dyDescent="0.4">
      <c r="A322" s="25">
        <v>46314</v>
      </c>
      <c r="B322" s="16">
        <v>7</v>
      </c>
      <c r="C322" s="16">
        <v>1</v>
      </c>
      <c r="D322" s="16">
        <v>10</v>
      </c>
      <c r="E322" s="16" t="s">
        <v>980</v>
      </c>
      <c r="F322" s="16" t="s">
        <v>1295</v>
      </c>
      <c r="G322" s="16" t="s">
        <v>184</v>
      </c>
      <c r="H322" s="16" t="s">
        <v>141</v>
      </c>
      <c r="I322" s="22" t="s">
        <v>856</v>
      </c>
      <c r="J322" s="16">
        <f>IFERROR(INDEX(Aux_HH!$J$4:$J$31,MATCH($H322&amp;"|"&amp;$I322,Aux_HH!$A$4:$A$31,0)),"")</f>
        <v>2</v>
      </c>
      <c r="K322" s="16" t="s">
        <v>76</v>
      </c>
      <c r="L322" s="16" t="str">
        <f>IF(COUNTIFS(Pessoas!$C$5:$C$44,$K322,Pessoas!$G$5:$G$44,"Ativo")=0,"Equipe "&amp;$K322,INDEX(Pessoas!$A$5:$A$44,_xludf.aggregate(15,6,(ROW(Pessoas!$A$5:$A$44)-4)/((Pessoas!$C$5:$C$44=$K322)*(Pessoas!$G$5:$G$44="Ativo")),MOD(ROW()-6,MAX(1,COUNTIFS(Pessoas!$C$5:$C$44,$K322,Pessoas!$G$5:$G$44,"Ativo")))+1)))</f>
        <v>Equipe Oficina Mecânica Central-Taisa</v>
      </c>
    </row>
    <row r="323" spans="1:12" ht="15" customHeight="1" x14ac:dyDescent="0.4">
      <c r="A323" s="25">
        <v>46314</v>
      </c>
      <c r="B323" s="16">
        <v>7</v>
      </c>
      <c r="C323" s="16">
        <v>1</v>
      </c>
      <c r="D323" s="16">
        <v>10</v>
      </c>
      <c r="E323" s="16" t="s">
        <v>980</v>
      </c>
      <c r="F323" s="16" t="s">
        <v>1296</v>
      </c>
      <c r="G323" s="16" t="s">
        <v>526</v>
      </c>
      <c r="H323" s="16" t="s">
        <v>140</v>
      </c>
      <c r="I323" s="22" t="s">
        <v>856</v>
      </c>
      <c r="J323" s="16">
        <f>IFERROR(INDEX(Aux_HH!$J$4:$J$31,MATCH($H323&amp;"|"&amp;$I323,Aux_HH!$A$4:$A$31,0)),"")</f>
        <v>2.5</v>
      </c>
      <c r="K323" s="16" t="s">
        <v>76</v>
      </c>
      <c r="L323" s="16" t="str">
        <f>IF(COUNTIFS(Pessoas!$C$5:$C$44,$K323,Pessoas!$G$5:$G$44,"Ativo")=0,"Equipe "&amp;$K323,INDEX(Pessoas!$A$5:$A$44,_xludf.aggregate(15,6,(ROW(Pessoas!$A$5:$A$44)-4)/((Pessoas!$C$5:$C$44=$K323)*(Pessoas!$G$5:$G$44="Ativo")),MOD(ROW()-6,MAX(1,COUNTIFS(Pessoas!$C$5:$C$44,$K323,Pessoas!$G$5:$G$44,"Ativo")))+1)))</f>
        <v>Equipe Oficina Mecânica Central-Taisa</v>
      </c>
    </row>
    <row r="324" spans="1:12" ht="15" customHeight="1" x14ac:dyDescent="0.4">
      <c r="A324" s="25">
        <v>46314</v>
      </c>
      <c r="B324" s="16">
        <v>7</v>
      </c>
      <c r="C324" s="16">
        <v>1</v>
      </c>
      <c r="D324" s="16">
        <v>10</v>
      </c>
      <c r="E324" s="16" t="s">
        <v>980</v>
      </c>
      <c r="F324" s="16" t="s">
        <v>1297</v>
      </c>
      <c r="G324" s="16" t="s">
        <v>526</v>
      </c>
      <c r="H324" s="16" t="s">
        <v>140</v>
      </c>
      <c r="I324" s="22" t="s">
        <v>856</v>
      </c>
      <c r="J324" s="16">
        <f>IFERROR(INDEX(Aux_HH!$J$4:$J$31,MATCH($H324&amp;"|"&amp;$I324,Aux_HH!$A$4:$A$31,0)),"")</f>
        <v>2.5</v>
      </c>
      <c r="K324" s="16" t="s">
        <v>76</v>
      </c>
      <c r="L324" s="16" t="str">
        <f>IF(COUNTIFS(Pessoas!$C$5:$C$44,$K324,Pessoas!$G$5:$G$44,"Ativo")=0,"Equipe "&amp;$K324,INDEX(Pessoas!$A$5:$A$44,_xludf.aggregate(15,6,(ROW(Pessoas!$A$5:$A$44)-4)/((Pessoas!$C$5:$C$44=$K324)*(Pessoas!$G$5:$G$44="Ativo")),MOD(ROW()-6,MAX(1,COUNTIFS(Pessoas!$C$5:$C$44,$K324,Pessoas!$G$5:$G$44,"Ativo")))+1)))</f>
        <v>Equipe Oficina Mecânica Central-Taisa</v>
      </c>
    </row>
    <row r="325" spans="1:12" ht="15" customHeight="1" x14ac:dyDescent="0.4">
      <c r="A325" s="25">
        <v>46314</v>
      </c>
      <c r="B325" s="16">
        <v>7</v>
      </c>
      <c r="C325" s="16">
        <v>1</v>
      </c>
      <c r="D325" s="16">
        <v>10</v>
      </c>
      <c r="E325" s="16" t="s">
        <v>980</v>
      </c>
      <c r="F325" s="16" t="s">
        <v>1298</v>
      </c>
      <c r="G325" s="16" t="s">
        <v>184</v>
      </c>
      <c r="H325" s="16" t="s">
        <v>140</v>
      </c>
      <c r="I325" s="22" t="s">
        <v>856</v>
      </c>
      <c r="J325" s="16">
        <f>IFERROR(INDEX(Aux_HH!$J$4:$J$31,MATCH($H325&amp;"|"&amp;$I325,Aux_HH!$A$4:$A$31,0)),"")</f>
        <v>2.5</v>
      </c>
      <c r="K325" s="16" t="s">
        <v>76</v>
      </c>
      <c r="L325" s="16" t="str">
        <f>IF(COUNTIFS(Pessoas!$C$5:$C$44,$K325,Pessoas!$G$5:$G$44,"Ativo")=0,"Equipe "&amp;$K325,INDEX(Pessoas!$A$5:$A$44,_xludf.aggregate(15,6,(ROW(Pessoas!$A$5:$A$44)-4)/((Pessoas!$C$5:$C$44=$K325)*(Pessoas!$G$5:$G$44="Ativo")),MOD(ROW()-6,MAX(1,COUNTIFS(Pessoas!$C$5:$C$44,$K325,Pessoas!$G$5:$G$44,"Ativo")))+1)))</f>
        <v>Equipe Oficina Mecânica Central-Taisa</v>
      </c>
    </row>
    <row r="326" spans="1:12" ht="15" customHeight="1" x14ac:dyDescent="0.4">
      <c r="A326" s="25">
        <v>46314</v>
      </c>
      <c r="B326" s="16">
        <v>7</v>
      </c>
      <c r="C326" s="16">
        <v>1</v>
      </c>
      <c r="D326" s="16">
        <v>10</v>
      </c>
      <c r="E326" s="16" t="s">
        <v>980</v>
      </c>
      <c r="F326" s="16" t="s">
        <v>1299</v>
      </c>
      <c r="G326" s="16" t="s">
        <v>184</v>
      </c>
      <c r="H326" s="16" t="s">
        <v>140</v>
      </c>
      <c r="I326" s="22" t="s">
        <v>856</v>
      </c>
      <c r="J326" s="16">
        <f>IFERROR(INDEX(Aux_HH!$J$4:$J$31,MATCH($H326&amp;"|"&amp;$I326,Aux_HH!$A$4:$A$31,0)),"")</f>
        <v>2.5</v>
      </c>
      <c r="K326" s="16" t="s">
        <v>76</v>
      </c>
      <c r="L326" s="16" t="str">
        <f>IF(COUNTIFS(Pessoas!$C$5:$C$44,$K326,Pessoas!$G$5:$G$44,"Ativo")=0,"Equipe "&amp;$K326,INDEX(Pessoas!$A$5:$A$44,_xludf.aggregate(15,6,(ROW(Pessoas!$A$5:$A$44)-4)/((Pessoas!$C$5:$C$44=$K326)*(Pessoas!$G$5:$G$44="Ativo")),MOD(ROW()-6,MAX(1,COUNTIFS(Pessoas!$C$5:$C$44,$K326,Pessoas!$G$5:$G$44,"Ativo")))+1)))</f>
        <v>Equipe Oficina Mecânica Central-Taisa</v>
      </c>
    </row>
    <row r="327" spans="1:12" ht="15" customHeight="1" x14ac:dyDescent="0.4">
      <c r="A327" s="25">
        <v>46314</v>
      </c>
      <c r="B327" s="16">
        <v>7</v>
      </c>
      <c r="C327" s="16">
        <v>1</v>
      </c>
      <c r="D327" s="16">
        <v>10</v>
      </c>
      <c r="E327" s="16" t="s">
        <v>980</v>
      </c>
      <c r="F327" s="16" t="s">
        <v>1300</v>
      </c>
      <c r="G327" s="16" t="s">
        <v>526</v>
      </c>
      <c r="H327" s="16" t="s">
        <v>140</v>
      </c>
      <c r="I327" s="22" t="s">
        <v>856</v>
      </c>
      <c r="J327" s="16">
        <f>IFERROR(INDEX(Aux_HH!$J$4:$J$31,MATCH($H327&amp;"|"&amp;$I327,Aux_HH!$A$4:$A$31,0)),"")</f>
        <v>2.5</v>
      </c>
      <c r="K327" s="16" t="s">
        <v>76</v>
      </c>
      <c r="L327" s="16" t="str">
        <f>IF(COUNTIFS(Pessoas!$C$5:$C$44,$K327,Pessoas!$G$5:$G$44,"Ativo")=0,"Equipe "&amp;$K327,INDEX(Pessoas!$A$5:$A$44,_xludf.aggregate(15,6,(ROW(Pessoas!$A$5:$A$44)-4)/((Pessoas!$C$5:$C$44=$K327)*(Pessoas!$G$5:$G$44="Ativo")),MOD(ROW()-6,MAX(1,COUNTIFS(Pessoas!$C$5:$C$44,$K327,Pessoas!$G$5:$G$44,"Ativo")))+1)))</f>
        <v>Equipe Oficina Mecânica Central-Taisa</v>
      </c>
    </row>
    <row r="328" spans="1:12" ht="15" customHeight="1" x14ac:dyDescent="0.4">
      <c r="A328" s="25">
        <v>46314</v>
      </c>
      <c r="B328" s="16">
        <v>7</v>
      </c>
      <c r="C328" s="16">
        <v>1</v>
      </c>
      <c r="D328" s="16">
        <v>10</v>
      </c>
      <c r="E328" s="16" t="s">
        <v>980</v>
      </c>
      <c r="F328" s="16" t="s">
        <v>1301</v>
      </c>
      <c r="G328" s="16" t="s">
        <v>526</v>
      </c>
      <c r="H328" s="16" t="s">
        <v>140</v>
      </c>
      <c r="I328" s="22" t="s">
        <v>856</v>
      </c>
      <c r="J328" s="16">
        <f>IFERROR(INDEX(Aux_HH!$J$4:$J$31,MATCH($H328&amp;"|"&amp;$I328,Aux_HH!$A$4:$A$31,0)),"")</f>
        <v>2.5</v>
      </c>
      <c r="K328" s="16" t="s">
        <v>76</v>
      </c>
      <c r="L328" s="16" t="str">
        <f>IF(COUNTIFS(Pessoas!$C$5:$C$44,$K328,Pessoas!$G$5:$G$44,"Ativo")=0,"Equipe "&amp;$K328,INDEX(Pessoas!$A$5:$A$44,_xludf.aggregate(15,6,(ROW(Pessoas!$A$5:$A$44)-4)/((Pessoas!$C$5:$C$44=$K328)*(Pessoas!$G$5:$G$44="Ativo")),MOD(ROW()-6,MAX(1,COUNTIFS(Pessoas!$C$5:$C$44,$K328,Pessoas!$G$5:$G$44,"Ativo")))+1)))</f>
        <v>Equipe Oficina Mecânica Central-Taisa</v>
      </c>
    </row>
    <row r="329" spans="1:12" ht="15" customHeight="1" x14ac:dyDescent="0.4">
      <c r="A329" s="25">
        <v>46314</v>
      </c>
      <c r="B329" s="16">
        <v>7</v>
      </c>
      <c r="C329" s="16">
        <v>1</v>
      </c>
      <c r="D329" s="16">
        <v>10</v>
      </c>
      <c r="E329" s="16" t="s">
        <v>980</v>
      </c>
      <c r="F329" s="16" t="s">
        <v>1302</v>
      </c>
      <c r="G329" s="16" t="s">
        <v>526</v>
      </c>
      <c r="H329" s="16" t="s">
        <v>140</v>
      </c>
      <c r="I329" s="22" t="s">
        <v>856</v>
      </c>
      <c r="J329" s="16">
        <f>IFERROR(INDEX(Aux_HH!$J$4:$J$31,MATCH($H329&amp;"|"&amp;$I329,Aux_HH!$A$4:$A$31,0)),"")</f>
        <v>2.5</v>
      </c>
      <c r="K329" s="16" t="s">
        <v>76</v>
      </c>
      <c r="L329" s="16" t="str">
        <f>IF(COUNTIFS(Pessoas!$C$5:$C$44,$K329,Pessoas!$G$5:$G$44,"Ativo")=0,"Equipe "&amp;$K329,INDEX(Pessoas!$A$5:$A$44,_xludf.aggregate(15,6,(ROW(Pessoas!$A$5:$A$44)-4)/((Pessoas!$C$5:$C$44=$K329)*(Pessoas!$G$5:$G$44="Ativo")),MOD(ROW()-6,MAX(1,COUNTIFS(Pessoas!$C$5:$C$44,$K329,Pessoas!$G$5:$G$44,"Ativo")))+1)))</f>
        <v>Equipe Oficina Mecânica Central-Taisa</v>
      </c>
    </row>
    <row r="330" spans="1:12" ht="15" customHeight="1" x14ac:dyDescent="0.4">
      <c r="A330" s="25">
        <v>46315</v>
      </c>
      <c r="B330" s="16">
        <v>8</v>
      </c>
      <c r="C330" s="16">
        <v>1</v>
      </c>
      <c r="D330" s="16">
        <v>10</v>
      </c>
      <c r="E330" s="16" t="s">
        <v>980</v>
      </c>
      <c r="F330" s="16" t="s">
        <v>1303</v>
      </c>
      <c r="G330" s="16" t="s">
        <v>688</v>
      </c>
      <c r="H330" s="16" t="s">
        <v>146</v>
      </c>
      <c r="I330" s="22" t="s">
        <v>856</v>
      </c>
      <c r="J330" s="16">
        <f>IFERROR(INDEX(Aux_HH!$J$4:$J$31,MATCH($H330&amp;"|"&amp;$I330,Aux_HH!$A$4:$A$31,0)),"")</f>
        <v>1.5</v>
      </c>
      <c r="K330" s="16" t="s">
        <v>76</v>
      </c>
      <c r="L330" s="16" t="str">
        <f>IF(COUNTIFS(Pessoas!$C$5:$C$44,$K330,Pessoas!$G$5:$G$44,"Ativo")=0,"Equipe "&amp;$K330,INDEX(Pessoas!$A$5:$A$44,_xludf.aggregate(15,6,(ROW(Pessoas!$A$5:$A$44)-4)/((Pessoas!$C$5:$C$44=$K330)*(Pessoas!$G$5:$G$44="Ativo")),MOD(ROW()-6,MAX(1,COUNTIFS(Pessoas!$C$5:$C$44,$K330,Pessoas!$G$5:$G$44,"Ativo")))+1)))</f>
        <v>Equipe Oficina Mecânica Central-Taisa</v>
      </c>
    </row>
    <row r="331" spans="1:12" ht="15" customHeight="1" x14ac:dyDescent="0.4">
      <c r="A331" s="25">
        <v>46315</v>
      </c>
      <c r="B331" s="16">
        <v>8</v>
      </c>
      <c r="C331" s="16">
        <v>1</v>
      </c>
      <c r="D331" s="16">
        <v>10</v>
      </c>
      <c r="E331" s="16" t="s">
        <v>980</v>
      </c>
      <c r="F331" s="16" t="s">
        <v>981</v>
      </c>
      <c r="G331" s="16" t="s">
        <v>184</v>
      </c>
      <c r="H331" s="16" t="s">
        <v>138</v>
      </c>
      <c r="I331" s="22" t="s">
        <v>856</v>
      </c>
      <c r="J331" s="16">
        <f>IFERROR(INDEX(Aux_HH!$J$4:$J$31,MATCH($H331&amp;"|"&amp;$I331,Aux_HH!$A$4:$A$31,0)),"")</f>
        <v>3</v>
      </c>
      <c r="K331" s="16" t="s">
        <v>76</v>
      </c>
      <c r="L331" s="16" t="str">
        <f>IF(COUNTIFS(Pessoas!$C$5:$C$44,$K331,Pessoas!$G$5:$G$44,"Ativo")=0,"Equipe "&amp;$K331,INDEX(Pessoas!$A$5:$A$44,_xludf.aggregate(15,6,(ROW(Pessoas!$A$5:$A$44)-4)/((Pessoas!$C$5:$C$44=$K331)*(Pessoas!$G$5:$G$44="Ativo")),MOD(ROW()-6,MAX(1,COUNTIFS(Pessoas!$C$5:$C$44,$K331,Pessoas!$G$5:$G$44,"Ativo")))+1)))</f>
        <v>Equipe Oficina Mecânica Central-Taisa</v>
      </c>
    </row>
    <row r="332" spans="1:12" ht="15" customHeight="1" x14ac:dyDescent="0.4">
      <c r="A332" s="25">
        <v>46315</v>
      </c>
      <c r="B332" s="16">
        <v>8</v>
      </c>
      <c r="C332" s="16">
        <v>1</v>
      </c>
      <c r="D332" s="16">
        <v>10</v>
      </c>
      <c r="E332" s="16" t="s">
        <v>980</v>
      </c>
      <c r="F332" s="16" t="s">
        <v>983</v>
      </c>
      <c r="G332" s="16" t="s">
        <v>184</v>
      </c>
      <c r="H332" s="16" t="s">
        <v>138</v>
      </c>
      <c r="I332" s="22" t="s">
        <v>856</v>
      </c>
      <c r="J332" s="16">
        <f>IFERROR(INDEX(Aux_HH!$J$4:$J$31,MATCH($H332&amp;"|"&amp;$I332,Aux_HH!$A$4:$A$31,0)),"")</f>
        <v>3</v>
      </c>
      <c r="K332" s="16" t="s">
        <v>76</v>
      </c>
      <c r="L332" s="16" t="str">
        <f>IF(COUNTIFS(Pessoas!$C$5:$C$44,$K332,Pessoas!$G$5:$G$44,"Ativo")=0,"Equipe "&amp;$K332,INDEX(Pessoas!$A$5:$A$44,_xludf.aggregate(15,6,(ROW(Pessoas!$A$5:$A$44)-4)/((Pessoas!$C$5:$C$44=$K332)*(Pessoas!$G$5:$G$44="Ativo")),MOD(ROW()-6,MAX(1,COUNTIFS(Pessoas!$C$5:$C$44,$K332,Pessoas!$G$5:$G$44,"Ativo")))+1)))</f>
        <v>Equipe Oficina Mecânica Central-Taisa</v>
      </c>
    </row>
    <row r="333" spans="1:12" ht="15" customHeight="1" x14ac:dyDescent="0.4">
      <c r="A333" s="25">
        <v>46315</v>
      </c>
      <c r="B333" s="16">
        <v>8</v>
      </c>
      <c r="C333" s="16">
        <v>1</v>
      </c>
      <c r="D333" s="16">
        <v>10</v>
      </c>
      <c r="E333" s="16" t="s">
        <v>980</v>
      </c>
      <c r="F333" s="16" t="s">
        <v>1304</v>
      </c>
      <c r="G333" s="16" t="s">
        <v>688</v>
      </c>
      <c r="H333" s="16" t="s">
        <v>146</v>
      </c>
      <c r="I333" s="22" t="s">
        <v>856</v>
      </c>
      <c r="J333" s="16">
        <f>IFERROR(INDEX(Aux_HH!$J$4:$J$31,MATCH($H333&amp;"|"&amp;$I333,Aux_HH!$A$4:$A$31,0)),"")</f>
        <v>1.5</v>
      </c>
      <c r="K333" s="16" t="s">
        <v>76</v>
      </c>
      <c r="L333" s="16" t="str">
        <f>IF(COUNTIFS(Pessoas!$C$5:$C$44,$K333,Pessoas!$G$5:$G$44,"Ativo")=0,"Equipe "&amp;$K333,INDEX(Pessoas!$A$5:$A$44,_xludf.aggregate(15,6,(ROW(Pessoas!$A$5:$A$44)-4)/((Pessoas!$C$5:$C$44=$K333)*(Pessoas!$G$5:$G$44="Ativo")),MOD(ROW()-6,MAX(1,COUNTIFS(Pessoas!$C$5:$C$44,$K333,Pessoas!$G$5:$G$44,"Ativo")))+1)))</f>
        <v>Equipe Oficina Mecânica Central-Taisa</v>
      </c>
    </row>
    <row r="334" spans="1:12" ht="15" customHeight="1" x14ac:dyDescent="0.4">
      <c r="A334" s="25">
        <v>46315</v>
      </c>
      <c r="B334" s="16">
        <v>8</v>
      </c>
      <c r="C334" s="16">
        <v>1</v>
      </c>
      <c r="D334" s="16">
        <v>10</v>
      </c>
      <c r="E334" s="16" t="s">
        <v>980</v>
      </c>
      <c r="F334" s="16" t="s">
        <v>1305</v>
      </c>
      <c r="G334" s="16" t="s">
        <v>688</v>
      </c>
      <c r="H334" s="16" t="s">
        <v>146</v>
      </c>
      <c r="I334" s="22" t="s">
        <v>856</v>
      </c>
      <c r="J334" s="16">
        <f>IFERROR(INDEX(Aux_HH!$J$4:$J$31,MATCH($H334&amp;"|"&amp;$I334,Aux_HH!$A$4:$A$31,0)),"")</f>
        <v>1.5</v>
      </c>
      <c r="K334" s="16" t="s">
        <v>76</v>
      </c>
      <c r="L334" s="16" t="str">
        <f>IF(COUNTIFS(Pessoas!$C$5:$C$44,$K334,Pessoas!$G$5:$G$44,"Ativo")=0,"Equipe "&amp;$K334,INDEX(Pessoas!$A$5:$A$44,_xludf.aggregate(15,6,(ROW(Pessoas!$A$5:$A$44)-4)/((Pessoas!$C$5:$C$44=$K334)*(Pessoas!$G$5:$G$44="Ativo")),MOD(ROW()-6,MAX(1,COUNTIFS(Pessoas!$C$5:$C$44,$K334,Pessoas!$G$5:$G$44,"Ativo")))+1)))</f>
        <v>Equipe Oficina Mecânica Central-Taisa</v>
      </c>
    </row>
    <row r="335" spans="1:12" ht="15" customHeight="1" x14ac:dyDescent="0.4">
      <c r="A335" s="25">
        <v>46315</v>
      </c>
      <c r="B335" s="16">
        <v>8</v>
      </c>
      <c r="C335" s="16">
        <v>1</v>
      </c>
      <c r="D335" s="16">
        <v>10</v>
      </c>
      <c r="E335" s="16" t="s">
        <v>980</v>
      </c>
      <c r="F335" s="16" t="s">
        <v>1306</v>
      </c>
      <c r="G335" s="16" t="s">
        <v>688</v>
      </c>
      <c r="H335" s="16" t="s">
        <v>146</v>
      </c>
      <c r="I335" s="22" t="s">
        <v>856</v>
      </c>
      <c r="J335" s="16">
        <f>IFERROR(INDEX(Aux_HH!$J$4:$J$31,MATCH($H335&amp;"|"&amp;$I335,Aux_HH!$A$4:$A$31,0)),"")</f>
        <v>1.5</v>
      </c>
      <c r="K335" s="16" t="s">
        <v>76</v>
      </c>
      <c r="L335" s="16" t="str">
        <f>IF(COUNTIFS(Pessoas!$C$5:$C$44,$K335,Pessoas!$G$5:$G$44,"Ativo")=0,"Equipe "&amp;$K335,INDEX(Pessoas!$A$5:$A$44,_xludf.aggregate(15,6,(ROW(Pessoas!$A$5:$A$44)-4)/((Pessoas!$C$5:$C$44=$K335)*(Pessoas!$G$5:$G$44="Ativo")),MOD(ROW()-6,MAX(1,COUNTIFS(Pessoas!$C$5:$C$44,$K335,Pessoas!$G$5:$G$44,"Ativo")))+1)))</f>
        <v>Equipe Oficina Mecânica Central-Taisa</v>
      </c>
    </row>
    <row r="336" spans="1:12" ht="15" customHeight="1" x14ac:dyDescent="0.4">
      <c r="A336" s="25">
        <v>46316</v>
      </c>
      <c r="B336" s="16">
        <v>8</v>
      </c>
      <c r="C336" s="16">
        <v>1</v>
      </c>
      <c r="D336" s="16">
        <v>10</v>
      </c>
      <c r="E336" s="16" t="s">
        <v>980</v>
      </c>
      <c r="F336" s="16" t="s">
        <v>985</v>
      </c>
      <c r="G336" s="16" t="s">
        <v>184</v>
      </c>
      <c r="H336" s="16" t="s">
        <v>138</v>
      </c>
      <c r="I336" s="22" t="s">
        <v>856</v>
      </c>
      <c r="J336" s="16">
        <f>IFERROR(INDEX(Aux_HH!$J$4:$J$31,MATCH($H336&amp;"|"&amp;$I336,Aux_HH!$A$4:$A$31,0)),"")</f>
        <v>3</v>
      </c>
      <c r="K336" s="16" t="s">
        <v>76</v>
      </c>
      <c r="L336" s="16" t="str">
        <f>IF(COUNTIFS(Pessoas!$C$5:$C$44,$K336,Pessoas!$G$5:$G$44,"Ativo")=0,"Equipe "&amp;$K336,INDEX(Pessoas!$A$5:$A$44,_xludf.aggregate(15,6,(ROW(Pessoas!$A$5:$A$44)-4)/((Pessoas!$C$5:$C$44=$K336)*(Pessoas!$G$5:$G$44="Ativo")),MOD(ROW()-6,MAX(1,COUNTIFS(Pessoas!$C$5:$C$44,$K336,Pessoas!$G$5:$G$44,"Ativo")))+1)))</f>
        <v>Equipe Oficina Mecânica Central-Taisa</v>
      </c>
    </row>
    <row r="337" spans="1:12" ht="15" customHeight="1" x14ac:dyDescent="0.4">
      <c r="A337" s="25">
        <v>46316</v>
      </c>
      <c r="B337" s="16">
        <v>8</v>
      </c>
      <c r="C337" s="16">
        <v>1</v>
      </c>
      <c r="D337" s="16">
        <v>10</v>
      </c>
      <c r="E337" s="16" t="s">
        <v>980</v>
      </c>
      <c r="F337" s="16" t="s">
        <v>987</v>
      </c>
      <c r="G337" s="16" t="s">
        <v>526</v>
      </c>
      <c r="H337" s="16" t="s">
        <v>138</v>
      </c>
      <c r="I337" s="22" t="s">
        <v>856</v>
      </c>
      <c r="J337" s="16">
        <f>IFERROR(INDEX(Aux_HH!$J$4:$J$31,MATCH($H337&amp;"|"&amp;$I337,Aux_HH!$A$4:$A$31,0)),"")</f>
        <v>3</v>
      </c>
      <c r="K337" s="16" t="s">
        <v>76</v>
      </c>
      <c r="L337" s="16" t="str">
        <f>IF(COUNTIFS(Pessoas!$C$5:$C$44,$K337,Pessoas!$G$5:$G$44,"Ativo")=0,"Equipe "&amp;$K337,INDEX(Pessoas!$A$5:$A$44,_xludf.aggregate(15,6,(ROW(Pessoas!$A$5:$A$44)-4)/((Pessoas!$C$5:$C$44=$K337)*(Pessoas!$G$5:$G$44="Ativo")),MOD(ROW()-6,MAX(1,COUNTIFS(Pessoas!$C$5:$C$44,$K337,Pessoas!$G$5:$G$44,"Ativo")))+1)))</f>
        <v>Equipe Oficina Mecânica Central-Taisa</v>
      </c>
    </row>
    <row r="338" spans="1:12" ht="15" customHeight="1" x14ac:dyDescent="0.4">
      <c r="A338" s="25">
        <v>46316</v>
      </c>
      <c r="B338" s="16">
        <v>8</v>
      </c>
      <c r="C338" s="16">
        <v>1</v>
      </c>
      <c r="D338" s="16">
        <v>10</v>
      </c>
      <c r="E338" s="16" t="s">
        <v>980</v>
      </c>
      <c r="F338" s="16" t="s">
        <v>1307</v>
      </c>
      <c r="G338" s="16" t="s">
        <v>688</v>
      </c>
      <c r="H338" s="16" t="s">
        <v>146</v>
      </c>
      <c r="I338" s="22" t="s">
        <v>856</v>
      </c>
      <c r="J338" s="16">
        <f>IFERROR(INDEX(Aux_HH!$J$4:$J$31,MATCH($H338&amp;"|"&amp;$I338,Aux_HH!$A$4:$A$31,0)),"")</f>
        <v>1.5</v>
      </c>
      <c r="K338" s="16" t="s">
        <v>76</v>
      </c>
      <c r="L338" s="16" t="str">
        <f>IF(COUNTIFS(Pessoas!$C$5:$C$44,$K338,Pessoas!$G$5:$G$44,"Ativo")=0,"Equipe "&amp;$K338,INDEX(Pessoas!$A$5:$A$44,_xludf.aggregate(15,6,(ROW(Pessoas!$A$5:$A$44)-4)/((Pessoas!$C$5:$C$44=$K338)*(Pessoas!$G$5:$G$44="Ativo")),MOD(ROW()-6,MAX(1,COUNTIFS(Pessoas!$C$5:$C$44,$K338,Pessoas!$G$5:$G$44,"Ativo")))+1)))</f>
        <v>Equipe Oficina Mecânica Central-Taisa</v>
      </c>
    </row>
    <row r="339" spans="1:12" ht="15" customHeight="1" x14ac:dyDescent="0.4">
      <c r="A339" s="25">
        <v>46316</v>
      </c>
      <c r="B339" s="16">
        <v>8</v>
      </c>
      <c r="C339" s="16">
        <v>1</v>
      </c>
      <c r="D339" s="16">
        <v>10</v>
      </c>
      <c r="E339" s="16" t="s">
        <v>980</v>
      </c>
      <c r="F339" s="16" t="s">
        <v>1308</v>
      </c>
      <c r="G339" s="16" t="s">
        <v>688</v>
      </c>
      <c r="H339" s="16" t="s">
        <v>146</v>
      </c>
      <c r="I339" s="22" t="s">
        <v>856</v>
      </c>
      <c r="J339" s="16">
        <f>IFERROR(INDEX(Aux_HH!$J$4:$J$31,MATCH($H339&amp;"|"&amp;$I339,Aux_HH!$A$4:$A$31,0)),"")</f>
        <v>1.5</v>
      </c>
      <c r="K339" s="16" t="s">
        <v>76</v>
      </c>
      <c r="L339" s="16" t="str">
        <f>IF(COUNTIFS(Pessoas!$C$5:$C$44,$K339,Pessoas!$G$5:$G$44,"Ativo")=0,"Equipe "&amp;$K339,INDEX(Pessoas!$A$5:$A$44,_xludf.aggregate(15,6,(ROW(Pessoas!$A$5:$A$44)-4)/((Pessoas!$C$5:$C$44=$K339)*(Pessoas!$G$5:$G$44="Ativo")),MOD(ROW()-6,MAX(1,COUNTIFS(Pessoas!$C$5:$C$44,$K339,Pessoas!$G$5:$G$44,"Ativo")))+1)))</f>
        <v>Equipe Oficina Mecânica Central-Taisa</v>
      </c>
    </row>
    <row r="340" spans="1:12" ht="15" customHeight="1" x14ac:dyDescent="0.4">
      <c r="A340" s="25">
        <v>46316</v>
      </c>
      <c r="B340" s="16">
        <v>8</v>
      </c>
      <c r="C340" s="16">
        <v>1</v>
      </c>
      <c r="D340" s="16">
        <v>10</v>
      </c>
      <c r="E340" s="16" t="s">
        <v>980</v>
      </c>
      <c r="F340" s="16" t="s">
        <v>1309</v>
      </c>
      <c r="G340" s="16" t="s">
        <v>688</v>
      </c>
      <c r="H340" s="16" t="s">
        <v>146</v>
      </c>
      <c r="I340" s="22" t="s">
        <v>856</v>
      </c>
      <c r="J340" s="16">
        <f>IFERROR(INDEX(Aux_HH!$J$4:$J$31,MATCH($H340&amp;"|"&amp;$I340,Aux_HH!$A$4:$A$31,0)),"")</f>
        <v>1.5</v>
      </c>
      <c r="K340" s="16" t="s">
        <v>76</v>
      </c>
      <c r="L340" s="16" t="str">
        <f>IF(COUNTIFS(Pessoas!$C$5:$C$44,$K340,Pessoas!$G$5:$G$44,"Ativo")=0,"Equipe "&amp;$K340,INDEX(Pessoas!$A$5:$A$44,_xludf.aggregate(15,6,(ROW(Pessoas!$A$5:$A$44)-4)/((Pessoas!$C$5:$C$44=$K340)*(Pessoas!$G$5:$G$44="Ativo")),MOD(ROW()-6,MAX(1,COUNTIFS(Pessoas!$C$5:$C$44,$K340,Pessoas!$G$5:$G$44,"Ativo")))+1)))</f>
        <v>Equipe Oficina Mecânica Central-Taisa</v>
      </c>
    </row>
    <row r="341" spans="1:12" ht="15" customHeight="1" x14ac:dyDescent="0.4">
      <c r="A341" s="25">
        <v>46317</v>
      </c>
      <c r="B341" s="16">
        <v>8</v>
      </c>
      <c r="C341" s="16">
        <v>1</v>
      </c>
      <c r="D341" s="16">
        <v>10</v>
      </c>
      <c r="E341" s="16" t="s">
        <v>980</v>
      </c>
      <c r="F341" s="16" t="s">
        <v>988</v>
      </c>
      <c r="G341" s="16" t="s">
        <v>184</v>
      </c>
      <c r="H341" s="16" t="s">
        <v>138</v>
      </c>
      <c r="I341" s="22" t="s">
        <v>856</v>
      </c>
      <c r="J341" s="16">
        <f>IFERROR(INDEX(Aux_HH!$J$4:$J$31,MATCH($H341&amp;"|"&amp;$I341,Aux_HH!$A$4:$A$31,0)),"")</f>
        <v>3</v>
      </c>
      <c r="K341" s="16" t="s">
        <v>76</v>
      </c>
      <c r="L341" s="16" t="str">
        <f>IF(COUNTIFS(Pessoas!$C$5:$C$44,$K341,Pessoas!$G$5:$G$44,"Ativo")=0,"Equipe "&amp;$K341,INDEX(Pessoas!$A$5:$A$44,_xludf.aggregate(15,6,(ROW(Pessoas!$A$5:$A$44)-4)/((Pessoas!$C$5:$C$44=$K341)*(Pessoas!$G$5:$G$44="Ativo")),MOD(ROW()-6,MAX(1,COUNTIFS(Pessoas!$C$5:$C$44,$K341,Pessoas!$G$5:$G$44,"Ativo")))+1)))</f>
        <v>Equipe Oficina Mecânica Central-Taisa</v>
      </c>
    </row>
    <row r="342" spans="1:12" ht="15" customHeight="1" x14ac:dyDescent="0.4">
      <c r="A342" s="25">
        <v>46317</v>
      </c>
      <c r="B342" s="16">
        <v>8</v>
      </c>
      <c r="C342" s="16">
        <v>1</v>
      </c>
      <c r="D342" s="16">
        <v>10</v>
      </c>
      <c r="E342" s="16" t="s">
        <v>980</v>
      </c>
      <c r="F342" s="16" t="s">
        <v>990</v>
      </c>
      <c r="G342" s="16" t="s">
        <v>526</v>
      </c>
      <c r="H342" s="16" t="s">
        <v>138</v>
      </c>
      <c r="I342" s="22" t="s">
        <v>856</v>
      </c>
      <c r="J342" s="16">
        <f>IFERROR(INDEX(Aux_HH!$J$4:$J$31,MATCH($H342&amp;"|"&amp;$I342,Aux_HH!$A$4:$A$31,0)),"")</f>
        <v>3</v>
      </c>
      <c r="K342" s="16" t="s">
        <v>76</v>
      </c>
      <c r="L342" s="16" t="str">
        <f>IF(COUNTIFS(Pessoas!$C$5:$C$44,$K342,Pessoas!$G$5:$G$44,"Ativo")=0,"Equipe "&amp;$K342,INDEX(Pessoas!$A$5:$A$44,_xludf.aggregate(15,6,(ROW(Pessoas!$A$5:$A$44)-4)/((Pessoas!$C$5:$C$44=$K342)*(Pessoas!$G$5:$G$44="Ativo")),MOD(ROW()-6,MAX(1,COUNTIFS(Pessoas!$C$5:$C$44,$K342,Pessoas!$G$5:$G$44,"Ativo")))+1)))</f>
        <v>Equipe Oficina Mecânica Central-Taisa</v>
      </c>
    </row>
    <row r="343" spans="1:12" ht="15" customHeight="1" x14ac:dyDescent="0.4">
      <c r="A343" s="25">
        <v>46317</v>
      </c>
      <c r="B343" s="16">
        <v>8</v>
      </c>
      <c r="C343" s="16">
        <v>1</v>
      </c>
      <c r="D343" s="16">
        <v>10</v>
      </c>
      <c r="E343" s="16" t="s">
        <v>980</v>
      </c>
      <c r="F343" s="16" t="s">
        <v>1310</v>
      </c>
      <c r="G343" s="16" t="s">
        <v>688</v>
      </c>
      <c r="H343" s="16" t="s">
        <v>146</v>
      </c>
      <c r="I343" s="22" t="s">
        <v>856</v>
      </c>
      <c r="J343" s="16">
        <f>IFERROR(INDEX(Aux_HH!$J$4:$J$31,MATCH($H343&amp;"|"&amp;$I343,Aux_HH!$A$4:$A$31,0)),"")</f>
        <v>1.5</v>
      </c>
      <c r="K343" s="16" t="s">
        <v>76</v>
      </c>
      <c r="L343" s="16" t="str">
        <f>IF(COUNTIFS(Pessoas!$C$5:$C$44,$K343,Pessoas!$G$5:$G$44,"Ativo")=0,"Equipe "&amp;$K343,INDEX(Pessoas!$A$5:$A$44,_xludf.aggregate(15,6,(ROW(Pessoas!$A$5:$A$44)-4)/((Pessoas!$C$5:$C$44=$K343)*(Pessoas!$G$5:$G$44="Ativo")),MOD(ROW()-6,MAX(1,COUNTIFS(Pessoas!$C$5:$C$44,$K343,Pessoas!$G$5:$G$44,"Ativo")))+1)))</f>
        <v>Equipe Oficina Mecânica Central-Taisa</v>
      </c>
    </row>
    <row r="344" spans="1:12" ht="15" customHeight="1" x14ac:dyDescent="0.4">
      <c r="A344" s="25">
        <v>46317</v>
      </c>
      <c r="B344" s="16">
        <v>8</v>
      </c>
      <c r="C344" s="16">
        <v>1</v>
      </c>
      <c r="D344" s="16">
        <v>10</v>
      </c>
      <c r="E344" s="16" t="s">
        <v>980</v>
      </c>
      <c r="F344" s="16" t="s">
        <v>1311</v>
      </c>
      <c r="G344" s="16" t="s">
        <v>688</v>
      </c>
      <c r="H344" s="16" t="s">
        <v>146</v>
      </c>
      <c r="I344" s="22" t="s">
        <v>856</v>
      </c>
      <c r="J344" s="16">
        <f>IFERROR(INDEX(Aux_HH!$J$4:$J$31,MATCH($H344&amp;"|"&amp;$I344,Aux_HH!$A$4:$A$31,0)),"")</f>
        <v>1.5</v>
      </c>
      <c r="K344" s="16" t="s">
        <v>76</v>
      </c>
      <c r="L344" s="16" t="str">
        <f>IF(COUNTIFS(Pessoas!$C$5:$C$44,$K344,Pessoas!$G$5:$G$44,"Ativo")=0,"Equipe "&amp;$K344,INDEX(Pessoas!$A$5:$A$44,_xludf.aggregate(15,6,(ROW(Pessoas!$A$5:$A$44)-4)/((Pessoas!$C$5:$C$44=$K344)*(Pessoas!$G$5:$G$44="Ativo")),MOD(ROW()-6,MAX(1,COUNTIFS(Pessoas!$C$5:$C$44,$K344,Pessoas!$G$5:$G$44,"Ativo")))+1)))</f>
        <v>Equipe Oficina Mecânica Central-Taisa</v>
      </c>
    </row>
    <row r="345" spans="1:12" ht="15" customHeight="1" x14ac:dyDescent="0.4">
      <c r="A345" s="25">
        <v>46317</v>
      </c>
      <c r="B345" s="16">
        <v>8</v>
      </c>
      <c r="C345" s="16">
        <v>1</v>
      </c>
      <c r="D345" s="16">
        <v>10</v>
      </c>
      <c r="E345" s="16" t="s">
        <v>980</v>
      </c>
      <c r="F345" s="16" t="s">
        <v>1312</v>
      </c>
      <c r="G345" s="16" t="s">
        <v>688</v>
      </c>
      <c r="H345" s="16" t="s">
        <v>146</v>
      </c>
      <c r="I345" s="22" t="s">
        <v>856</v>
      </c>
      <c r="J345" s="16">
        <f>IFERROR(INDEX(Aux_HH!$J$4:$J$31,MATCH($H345&amp;"|"&amp;$I345,Aux_HH!$A$4:$A$31,0)),"")</f>
        <v>1.5</v>
      </c>
      <c r="K345" s="16" t="s">
        <v>76</v>
      </c>
      <c r="L345" s="16" t="str">
        <f>IF(COUNTIFS(Pessoas!$C$5:$C$44,$K345,Pessoas!$G$5:$G$44,"Ativo")=0,"Equipe "&amp;$K345,INDEX(Pessoas!$A$5:$A$44,_xludf.aggregate(15,6,(ROW(Pessoas!$A$5:$A$44)-4)/((Pessoas!$C$5:$C$44=$K345)*(Pessoas!$G$5:$G$44="Ativo")),MOD(ROW()-6,MAX(1,COUNTIFS(Pessoas!$C$5:$C$44,$K345,Pessoas!$G$5:$G$44,"Ativo")))+1)))</f>
        <v>Equipe Oficina Mecânica Central-Taisa</v>
      </c>
    </row>
    <row r="346" spans="1:12" ht="15" customHeight="1" x14ac:dyDescent="0.4">
      <c r="A346" s="25">
        <v>46318</v>
      </c>
      <c r="B346" s="16">
        <v>8</v>
      </c>
      <c r="C346" s="16">
        <v>1</v>
      </c>
      <c r="D346" s="16">
        <v>10</v>
      </c>
      <c r="E346" s="16" t="s">
        <v>980</v>
      </c>
      <c r="F346" s="16" t="s">
        <v>1313</v>
      </c>
      <c r="G346" s="16" t="s">
        <v>688</v>
      </c>
      <c r="H346" s="16" t="s">
        <v>146</v>
      </c>
      <c r="I346" s="22" t="s">
        <v>856</v>
      </c>
      <c r="J346" s="16">
        <f>IFERROR(INDEX(Aux_HH!$J$4:$J$31,MATCH($H346&amp;"|"&amp;$I346,Aux_HH!$A$4:$A$31,0)),"")</f>
        <v>1.5</v>
      </c>
      <c r="K346" s="16" t="s">
        <v>76</v>
      </c>
      <c r="L346" s="16" t="str">
        <f>IF(COUNTIFS(Pessoas!$C$5:$C$44,$K346,Pessoas!$G$5:$G$44,"Ativo")=0,"Equipe "&amp;$K346,INDEX(Pessoas!$A$5:$A$44,_xludf.aggregate(15,6,(ROW(Pessoas!$A$5:$A$44)-4)/((Pessoas!$C$5:$C$44=$K346)*(Pessoas!$G$5:$G$44="Ativo")),MOD(ROW()-6,MAX(1,COUNTIFS(Pessoas!$C$5:$C$44,$K346,Pessoas!$G$5:$G$44,"Ativo")))+1)))</f>
        <v>Equipe Oficina Mecânica Central-Taisa</v>
      </c>
    </row>
    <row r="347" spans="1:12" ht="15" customHeight="1" x14ac:dyDescent="0.4">
      <c r="A347" s="25">
        <v>46318</v>
      </c>
      <c r="B347" s="16">
        <v>8</v>
      </c>
      <c r="C347" s="16">
        <v>1</v>
      </c>
      <c r="D347" s="16">
        <v>10</v>
      </c>
      <c r="E347" s="16" t="s">
        <v>980</v>
      </c>
      <c r="F347" s="16" t="s">
        <v>992</v>
      </c>
      <c r="G347" s="16" t="s">
        <v>184</v>
      </c>
      <c r="H347" s="16" t="s">
        <v>138</v>
      </c>
      <c r="I347" s="22" t="s">
        <v>856</v>
      </c>
      <c r="J347" s="16">
        <f>IFERROR(INDEX(Aux_HH!$J$4:$J$31,MATCH($H347&amp;"|"&amp;$I347,Aux_HH!$A$4:$A$31,0)),"")</f>
        <v>3</v>
      </c>
      <c r="K347" s="16" t="s">
        <v>76</v>
      </c>
      <c r="L347" s="16" t="str">
        <f>IF(COUNTIFS(Pessoas!$C$5:$C$44,$K347,Pessoas!$G$5:$G$44,"Ativo")=0,"Equipe "&amp;$K347,INDEX(Pessoas!$A$5:$A$44,_xludf.aggregate(15,6,(ROW(Pessoas!$A$5:$A$44)-4)/((Pessoas!$C$5:$C$44=$K347)*(Pessoas!$G$5:$G$44="Ativo")),MOD(ROW()-6,MAX(1,COUNTIFS(Pessoas!$C$5:$C$44,$K347,Pessoas!$G$5:$G$44,"Ativo")))+1)))</f>
        <v>Equipe Oficina Mecânica Central-Taisa</v>
      </c>
    </row>
    <row r="348" spans="1:12" ht="15" customHeight="1" x14ac:dyDescent="0.4">
      <c r="A348" s="25">
        <v>46318</v>
      </c>
      <c r="B348" s="16">
        <v>8</v>
      </c>
      <c r="C348" s="16">
        <v>1</v>
      </c>
      <c r="D348" s="16">
        <v>10</v>
      </c>
      <c r="E348" s="16" t="s">
        <v>980</v>
      </c>
      <c r="F348" s="16" t="s">
        <v>1314</v>
      </c>
      <c r="G348" s="16" t="s">
        <v>688</v>
      </c>
      <c r="H348" s="16" t="s">
        <v>146</v>
      </c>
      <c r="I348" s="22" t="s">
        <v>856</v>
      </c>
      <c r="J348" s="16">
        <f>IFERROR(INDEX(Aux_HH!$J$4:$J$31,MATCH($H348&amp;"|"&amp;$I348,Aux_HH!$A$4:$A$31,0)),"")</f>
        <v>1.5</v>
      </c>
      <c r="K348" s="16" t="s">
        <v>76</v>
      </c>
      <c r="L348" s="16" t="str">
        <f>IF(COUNTIFS(Pessoas!$C$5:$C$44,$K348,Pessoas!$G$5:$G$44,"Ativo")=0,"Equipe "&amp;$K348,INDEX(Pessoas!$A$5:$A$44,_xludf.aggregate(15,6,(ROW(Pessoas!$A$5:$A$44)-4)/((Pessoas!$C$5:$C$44=$K348)*(Pessoas!$G$5:$G$44="Ativo")),MOD(ROW()-6,MAX(1,COUNTIFS(Pessoas!$C$5:$C$44,$K348,Pessoas!$G$5:$G$44,"Ativo")))+1)))</f>
        <v>Equipe Oficina Mecânica Central-Taisa</v>
      </c>
    </row>
    <row r="349" spans="1:12" ht="15" customHeight="1" x14ac:dyDescent="0.4">
      <c r="A349" s="25">
        <v>46318</v>
      </c>
      <c r="B349" s="16">
        <v>8</v>
      </c>
      <c r="C349" s="16">
        <v>1</v>
      </c>
      <c r="D349" s="16">
        <v>10</v>
      </c>
      <c r="E349" s="16" t="s">
        <v>980</v>
      </c>
      <c r="F349" s="16" t="s">
        <v>1315</v>
      </c>
      <c r="G349" s="16" t="s">
        <v>688</v>
      </c>
      <c r="H349" s="16" t="s">
        <v>146</v>
      </c>
      <c r="I349" s="22" t="s">
        <v>856</v>
      </c>
      <c r="J349" s="16">
        <f>IFERROR(INDEX(Aux_HH!$J$4:$J$31,MATCH($H349&amp;"|"&amp;$I349,Aux_HH!$A$4:$A$31,0)),"")</f>
        <v>1.5</v>
      </c>
      <c r="K349" s="16" t="s">
        <v>76</v>
      </c>
      <c r="L349" s="16" t="str">
        <f>IF(COUNTIFS(Pessoas!$C$5:$C$44,$K349,Pessoas!$G$5:$G$44,"Ativo")=0,"Equipe "&amp;$K349,INDEX(Pessoas!$A$5:$A$44,_xludf.aggregate(15,6,(ROW(Pessoas!$A$5:$A$44)-4)/((Pessoas!$C$5:$C$44=$K349)*(Pessoas!$G$5:$G$44="Ativo")),MOD(ROW()-6,MAX(1,COUNTIFS(Pessoas!$C$5:$C$44,$K349,Pessoas!$G$5:$G$44,"Ativo")))+1)))</f>
        <v>Equipe Oficina Mecânica Central-Taisa</v>
      </c>
    </row>
    <row r="350" spans="1:12" ht="15" customHeight="1" x14ac:dyDescent="0.4">
      <c r="A350" s="25">
        <v>46318</v>
      </c>
      <c r="B350" s="16">
        <v>8</v>
      </c>
      <c r="C350" s="16">
        <v>1</v>
      </c>
      <c r="D350" s="16">
        <v>10</v>
      </c>
      <c r="E350" s="16" t="s">
        <v>980</v>
      </c>
      <c r="F350" s="16" t="s">
        <v>1316</v>
      </c>
      <c r="G350" s="16" t="s">
        <v>688</v>
      </c>
      <c r="H350" s="16" t="s">
        <v>146</v>
      </c>
      <c r="I350" s="22" t="s">
        <v>856</v>
      </c>
      <c r="J350" s="16">
        <f>IFERROR(INDEX(Aux_HH!$J$4:$J$31,MATCH($H350&amp;"|"&amp;$I350,Aux_HH!$A$4:$A$31,0)),"")</f>
        <v>1.5</v>
      </c>
      <c r="K350" s="16" t="s">
        <v>76</v>
      </c>
      <c r="L350" s="16" t="str">
        <f>IF(COUNTIFS(Pessoas!$C$5:$C$44,$K350,Pessoas!$G$5:$G$44,"Ativo")=0,"Equipe "&amp;$K350,INDEX(Pessoas!$A$5:$A$44,_xludf.aggregate(15,6,(ROW(Pessoas!$A$5:$A$44)-4)/((Pessoas!$C$5:$C$44=$K350)*(Pessoas!$G$5:$G$44="Ativo")),MOD(ROW()-6,MAX(1,COUNTIFS(Pessoas!$C$5:$C$44,$K350,Pessoas!$G$5:$G$44,"Ativo")))+1)))</f>
        <v>Equipe Oficina Mecânica Central-Taisa</v>
      </c>
    </row>
    <row r="351" spans="1:12" ht="15" customHeight="1" x14ac:dyDescent="0.4">
      <c r="A351" s="25">
        <v>46321</v>
      </c>
      <c r="B351" s="16">
        <v>8</v>
      </c>
      <c r="C351" s="16">
        <v>1</v>
      </c>
      <c r="D351" s="16">
        <v>10</v>
      </c>
      <c r="E351" s="16" t="s">
        <v>980</v>
      </c>
      <c r="F351" s="16" t="s">
        <v>1317</v>
      </c>
      <c r="G351" s="16" t="s">
        <v>688</v>
      </c>
      <c r="H351" s="16" t="s">
        <v>146</v>
      </c>
      <c r="I351" s="22" t="s">
        <v>856</v>
      </c>
      <c r="J351" s="16">
        <f>IFERROR(INDEX(Aux_HH!$J$4:$J$31,MATCH($H351&amp;"|"&amp;$I351,Aux_HH!$A$4:$A$31,0)),"")</f>
        <v>1.5</v>
      </c>
      <c r="K351" s="16" t="s">
        <v>76</v>
      </c>
      <c r="L351" s="16" t="str">
        <f>IF(COUNTIFS(Pessoas!$C$5:$C$44,$K351,Pessoas!$G$5:$G$44,"Ativo")=0,"Equipe "&amp;$K351,INDEX(Pessoas!$A$5:$A$44,_xludf.aggregate(15,6,(ROW(Pessoas!$A$5:$A$44)-4)/((Pessoas!$C$5:$C$44=$K351)*(Pessoas!$G$5:$G$44="Ativo")),MOD(ROW()-6,MAX(1,COUNTIFS(Pessoas!$C$5:$C$44,$K351,Pessoas!$G$5:$G$44,"Ativo")))+1)))</f>
        <v>Equipe Oficina Mecânica Central-Taisa</v>
      </c>
    </row>
    <row r="352" spans="1:12" ht="15" customHeight="1" x14ac:dyDescent="0.4">
      <c r="A352" s="25">
        <v>46321</v>
      </c>
      <c r="B352" s="16">
        <v>8</v>
      </c>
      <c r="C352" s="16">
        <v>1</v>
      </c>
      <c r="D352" s="16">
        <v>10</v>
      </c>
      <c r="E352" s="16" t="s">
        <v>980</v>
      </c>
      <c r="F352" s="16" t="s">
        <v>1318</v>
      </c>
      <c r="G352" s="16" t="s">
        <v>688</v>
      </c>
      <c r="H352" s="16" t="s">
        <v>146</v>
      </c>
      <c r="I352" s="22" t="s">
        <v>856</v>
      </c>
      <c r="J352" s="16">
        <f>IFERROR(INDEX(Aux_HH!$J$4:$J$31,MATCH($H352&amp;"|"&amp;$I352,Aux_HH!$A$4:$A$31,0)),"")</f>
        <v>1.5</v>
      </c>
      <c r="K352" s="16" t="s">
        <v>76</v>
      </c>
      <c r="L352" s="16" t="str">
        <f>IF(COUNTIFS(Pessoas!$C$5:$C$44,$K352,Pessoas!$G$5:$G$44,"Ativo")=0,"Equipe "&amp;$K352,INDEX(Pessoas!$A$5:$A$44,_xludf.aggregate(15,6,(ROW(Pessoas!$A$5:$A$44)-4)/((Pessoas!$C$5:$C$44=$K352)*(Pessoas!$G$5:$G$44="Ativo")),MOD(ROW()-6,MAX(1,COUNTIFS(Pessoas!$C$5:$C$44,$K352,Pessoas!$G$5:$G$44,"Ativo")))+1)))</f>
        <v>Equipe Oficina Mecânica Central-Taisa</v>
      </c>
    </row>
    <row r="353" spans="1:12" ht="15" customHeight="1" x14ac:dyDescent="0.4">
      <c r="A353" s="25">
        <v>46321</v>
      </c>
      <c r="B353" s="16">
        <v>8</v>
      </c>
      <c r="C353" s="16">
        <v>1</v>
      </c>
      <c r="D353" s="16">
        <v>10</v>
      </c>
      <c r="E353" s="16" t="s">
        <v>980</v>
      </c>
      <c r="F353" s="16" t="s">
        <v>993</v>
      </c>
      <c r="G353" s="16" t="s">
        <v>184</v>
      </c>
      <c r="H353" s="16" t="s">
        <v>138</v>
      </c>
      <c r="I353" s="22" t="s">
        <v>856</v>
      </c>
      <c r="J353" s="16">
        <f>IFERROR(INDEX(Aux_HH!$J$4:$J$31,MATCH($H353&amp;"|"&amp;$I353,Aux_HH!$A$4:$A$31,0)),"")</f>
        <v>3</v>
      </c>
      <c r="K353" s="16" t="s">
        <v>76</v>
      </c>
      <c r="L353" s="16" t="str">
        <f>IF(COUNTIFS(Pessoas!$C$5:$C$44,$K353,Pessoas!$G$5:$G$44,"Ativo")=0,"Equipe "&amp;$K353,INDEX(Pessoas!$A$5:$A$44,_xludf.aggregate(15,6,(ROW(Pessoas!$A$5:$A$44)-4)/((Pessoas!$C$5:$C$44=$K353)*(Pessoas!$G$5:$G$44="Ativo")),MOD(ROW()-6,MAX(1,COUNTIFS(Pessoas!$C$5:$C$44,$K353,Pessoas!$G$5:$G$44,"Ativo")))+1)))</f>
        <v>Equipe Oficina Mecânica Central-Taisa</v>
      </c>
    </row>
    <row r="354" spans="1:12" ht="15" customHeight="1" x14ac:dyDescent="0.4">
      <c r="A354" s="25">
        <v>46321</v>
      </c>
      <c r="B354" s="16">
        <v>8</v>
      </c>
      <c r="C354" s="16">
        <v>1</v>
      </c>
      <c r="D354" s="16">
        <v>10</v>
      </c>
      <c r="E354" s="16" t="s">
        <v>980</v>
      </c>
      <c r="F354" s="16" t="s">
        <v>1319</v>
      </c>
      <c r="G354" s="16" t="s">
        <v>688</v>
      </c>
      <c r="H354" s="16" t="s">
        <v>146</v>
      </c>
      <c r="I354" s="22" t="s">
        <v>856</v>
      </c>
      <c r="J354" s="16">
        <f>IFERROR(INDEX(Aux_HH!$J$4:$J$31,MATCH($H354&amp;"|"&amp;$I354,Aux_HH!$A$4:$A$31,0)),"")</f>
        <v>1.5</v>
      </c>
      <c r="K354" s="16" t="s">
        <v>76</v>
      </c>
      <c r="L354" s="16" t="str">
        <f>IF(COUNTIFS(Pessoas!$C$5:$C$44,$K354,Pessoas!$G$5:$G$44,"Ativo")=0,"Equipe "&amp;$K354,INDEX(Pessoas!$A$5:$A$44,_xludf.aggregate(15,6,(ROW(Pessoas!$A$5:$A$44)-4)/((Pessoas!$C$5:$C$44=$K354)*(Pessoas!$G$5:$G$44="Ativo")),MOD(ROW()-6,MAX(1,COUNTIFS(Pessoas!$C$5:$C$44,$K354,Pessoas!$G$5:$G$44,"Ativo")))+1)))</f>
        <v>Equipe Oficina Mecânica Central-Taisa</v>
      </c>
    </row>
    <row r="355" spans="1:12" ht="15" customHeight="1" x14ac:dyDescent="0.4">
      <c r="A355" s="25">
        <v>46321</v>
      </c>
      <c r="B355" s="16">
        <v>8</v>
      </c>
      <c r="C355" s="16">
        <v>1</v>
      </c>
      <c r="D355" s="16">
        <v>10</v>
      </c>
      <c r="E355" s="16" t="s">
        <v>980</v>
      </c>
      <c r="F355" s="16" t="s">
        <v>1320</v>
      </c>
      <c r="G355" s="16" t="s">
        <v>688</v>
      </c>
      <c r="H355" s="16" t="s">
        <v>146</v>
      </c>
      <c r="I355" s="22" t="s">
        <v>856</v>
      </c>
      <c r="J355" s="16">
        <f>IFERROR(INDEX(Aux_HH!$J$4:$J$31,MATCH($H355&amp;"|"&amp;$I355,Aux_HH!$A$4:$A$31,0)),"")</f>
        <v>1.5</v>
      </c>
      <c r="K355" s="16" t="s">
        <v>76</v>
      </c>
      <c r="L355" s="16" t="str">
        <f>IF(COUNTIFS(Pessoas!$C$5:$C$44,$K355,Pessoas!$G$5:$G$44,"Ativo")=0,"Equipe "&amp;$K355,INDEX(Pessoas!$A$5:$A$44,_xludf.aggregate(15,6,(ROW(Pessoas!$A$5:$A$44)-4)/((Pessoas!$C$5:$C$44=$K355)*(Pessoas!$G$5:$G$44="Ativo")),MOD(ROW()-6,MAX(1,COUNTIFS(Pessoas!$C$5:$C$44,$K355,Pessoas!$G$5:$G$44,"Ativo")))+1)))</f>
        <v>Equipe Oficina Mecânica Central-Taisa</v>
      </c>
    </row>
    <row r="356" spans="1:12" ht="15" customHeight="1" x14ac:dyDescent="0.4">
      <c r="A356" s="25">
        <v>46329</v>
      </c>
      <c r="B356" s="16">
        <v>10</v>
      </c>
      <c r="C356" s="16">
        <v>1</v>
      </c>
      <c r="D356" s="16">
        <v>11</v>
      </c>
      <c r="E356" s="16" t="s">
        <v>980</v>
      </c>
      <c r="F356" s="16" t="s">
        <v>981</v>
      </c>
      <c r="G356" s="16" t="s">
        <v>184</v>
      </c>
      <c r="H356" s="16" t="s">
        <v>138</v>
      </c>
      <c r="I356" s="22" t="s">
        <v>864</v>
      </c>
      <c r="J356" s="16">
        <f>IFERROR(INDEX(Aux_HH!$J$4:$J$31,MATCH($H356&amp;"|"&amp;$I356,Aux_HH!$A$4:$A$31,0)),"")</f>
        <v>12</v>
      </c>
      <c r="K356" s="16" t="s">
        <v>76</v>
      </c>
      <c r="L356" s="16" t="str">
        <f>IF(COUNTIFS(Pessoas!$C$5:$C$44,$K356,Pessoas!$G$5:$G$44,"Ativo")=0,"Equipe "&amp;$K356,INDEX(Pessoas!$A$5:$A$44,_xludf.aggregate(15,6,(ROW(Pessoas!$A$5:$A$44)-4)/((Pessoas!$C$5:$C$44=$K356)*(Pessoas!$G$5:$G$44="Ativo")),MOD(ROW()-6,MAX(1,COUNTIFS(Pessoas!$C$5:$C$44,$K356,Pessoas!$G$5:$G$44,"Ativo")))+1)))</f>
        <v>Equipe Oficina Mecânica Central-Taisa</v>
      </c>
    </row>
    <row r="357" spans="1:12" ht="15" customHeight="1" x14ac:dyDescent="0.4">
      <c r="A357" s="25">
        <v>46329</v>
      </c>
      <c r="B357" s="16">
        <v>10</v>
      </c>
      <c r="C357" s="16">
        <v>1</v>
      </c>
      <c r="D357" s="16">
        <v>11</v>
      </c>
      <c r="E357" s="16" t="s">
        <v>980</v>
      </c>
      <c r="F357" s="16" t="s">
        <v>983</v>
      </c>
      <c r="G357" s="16" t="s">
        <v>184</v>
      </c>
      <c r="H357" s="16" t="s">
        <v>138</v>
      </c>
      <c r="I357" s="22" t="s">
        <v>864</v>
      </c>
      <c r="J357" s="16">
        <f>IFERROR(INDEX(Aux_HH!$J$4:$J$31,MATCH($H357&amp;"|"&amp;$I357,Aux_HH!$A$4:$A$31,0)),"")</f>
        <v>12</v>
      </c>
      <c r="K357" s="16" t="s">
        <v>76</v>
      </c>
      <c r="L357" s="16" t="str">
        <f>IF(COUNTIFS(Pessoas!$C$5:$C$44,$K357,Pessoas!$G$5:$G$44,"Ativo")=0,"Equipe "&amp;$K357,INDEX(Pessoas!$A$5:$A$44,_xludf.aggregate(15,6,(ROW(Pessoas!$A$5:$A$44)-4)/((Pessoas!$C$5:$C$44=$K357)*(Pessoas!$G$5:$G$44="Ativo")),MOD(ROW()-6,MAX(1,COUNTIFS(Pessoas!$C$5:$C$44,$K357,Pessoas!$G$5:$G$44,"Ativo")))+1)))</f>
        <v>Equipe Oficina Mecânica Central-Taisa</v>
      </c>
    </row>
    <row r="358" spans="1:12" ht="15" customHeight="1" x14ac:dyDescent="0.4">
      <c r="A358" s="25">
        <v>46329</v>
      </c>
      <c r="B358" s="16">
        <v>10</v>
      </c>
      <c r="C358" s="16">
        <v>1</v>
      </c>
      <c r="D358" s="16">
        <v>11</v>
      </c>
      <c r="E358" s="16" t="s">
        <v>980</v>
      </c>
      <c r="F358" s="16" t="s">
        <v>994</v>
      </c>
      <c r="G358" s="16" t="s">
        <v>688</v>
      </c>
      <c r="H358" s="16" t="s">
        <v>145</v>
      </c>
      <c r="I358" s="22" t="s">
        <v>861</v>
      </c>
      <c r="J358" s="16">
        <f>IFERROR(INDEX(Aux_HH!$J$4:$J$31,MATCH($H358&amp;"|"&amp;$I358,Aux_HH!$A$4:$A$31,0)),"")</f>
        <v>4</v>
      </c>
      <c r="K358" s="16" t="s">
        <v>76</v>
      </c>
      <c r="L358" s="16" t="str">
        <f>IF(COUNTIFS(Pessoas!$C$5:$C$44,$K358,Pessoas!$G$5:$G$44,"Ativo")=0,"Equipe "&amp;$K358,INDEX(Pessoas!$A$5:$A$44,_xludf.aggregate(15,6,(ROW(Pessoas!$A$5:$A$44)-4)/((Pessoas!$C$5:$C$44=$K358)*(Pessoas!$G$5:$G$44="Ativo")),MOD(ROW()-6,MAX(1,COUNTIFS(Pessoas!$C$5:$C$44,$K358,Pessoas!$G$5:$G$44,"Ativo")))+1)))</f>
        <v>Equipe Oficina Mecânica Central-Taisa</v>
      </c>
    </row>
    <row r="359" spans="1:12" ht="15" customHeight="1" x14ac:dyDescent="0.4">
      <c r="A359" s="25">
        <v>46329</v>
      </c>
      <c r="B359" s="16">
        <v>10</v>
      </c>
      <c r="C359" s="16">
        <v>1</v>
      </c>
      <c r="D359" s="16">
        <v>11</v>
      </c>
      <c r="E359" s="16" t="s">
        <v>980</v>
      </c>
      <c r="F359" s="16" t="s">
        <v>995</v>
      </c>
      <c r="G359" s="16" t="s">
        <v>688</v>
      </c>
      <c r="H359" s="16" t="s">
        <v>145</v>
      </c>
      <c r="I359" s="22" t="s">
        <v>861</v>
      </c>
      <c r="J359" s="16">
        <f>IFERROR(INDEX(Aux_HH!$J$4:$J$31,MATCH($H359&amp;"|"&amp;$I359,Aux_HH!$A$4:$A$31,0)),"")</f>
        <v>4</v>
      </c>
      <c r="K359" s="16" t="s">
        <v>76</v>
      </c>
      <c r="L359" s="16" t="str">
        <f>IF(COUNTIFS(Pessoas!$C$5:$C$44,$K359,Pessoas!$G$5:$G$44,"Ativo")=0,"Equipe "&amp;$K359,INDEX(Pessoas!$A$5:$A$44,_xludf.aggregate(15,6,(ROW(Pessoas!$A$5:$A$44)-4)/((Pessoas!$C$5:$C$44=$K359)*(Pessoas!$G$5:$G$44="Ativo")),MOD(ROW()-6,MAX(1,COUNTIFS(Pessoas!$C$5:$C$44,$K359,Pessoas!$G$5:$G$44,"Ativo")))+1)))</f>
        <v>Equipe Oficina Mecânica Central-Taisa</v>
      </c>
    </row>
    <row r="360" spans="1:12" ht="15" customHeight="1" x14ac:dyDescent="0.4">
      <c r="A360" s="25">
        <v>46330</v>
      </c>
      <c r="B360" s="16">
        <v>10</v>
      </c>
      <c r="C360" s="16">
        <v>1</v>
      </c>
      <c r="D360" s="16">
        <v>11</v>
      </c>
      <c r="E360" s="16" t="s">
        <v>980</v>
      </c>
      <c r="F360" s="16" t="s">
        <v>985</v>
      </c>
      <c r="G360" s="16" t="s">
        <v>184</v>
      </c>
      <c r="H360" s="16" t="s">
        <v>138</v>
      </c>
      <c r="I360" s="22" t="s">
        <v>864</v>
      </c>
      <c r="J360" s="16">
        <f>IFERROR(INDEX(Aux_HH!$J$4:$J$31,MATCH($H360&amp;"|"&amp;$I360,Aux_HH!$A$4:$A$31,0)),"")</f>
        <v>12</v>
      </c>
      <c r="K360" s="16" t="s">
        <v>76</v>
      </c>
      <c r="L360" s="16" t="str">
        <f>IF(COUNTIFS(Pessoas!$C$5:$C$44,$K360,Pessoas!$G$5:$G$44,"Ativo")=0,"Equipe "&amp;$K360,INDEX(Pessoas!$A$5:$A$44,_xludf.aggregate(15,6,(ROW(Pessoas!$A$5:$A$44)-4)/((Pessoas!$C$5:$C$44=$K360)*(Pessoas!$G$5:$G$44="Ativo")),MOD(ROW()-6,MAX(1,COUNTIFS(Pessoas!$C$5:$C$44,$K360,Pessoas!$G$5:$G$44,"Ativo")))+1)))</f>
        <v>Equipe Oficina Mecânica Central-Taisa</v>
      </c>
    </row>
    <row r="361" spans="1:12" ht="15" customHeight="1" x14ac:dyDescent="0.4">
      <c r="A361" s="25">
        <v>46330</v>
      </c>
      <c r="B361" s="16">
        <v>10</v>
      </c>
      <c r="C361" s="16">
        <v>1</v>
      </c>
      <c r="D361" s="16">
        <v>11</v>
      </c>
      <c r="E361" s="16" t="s">
        <v>980</v>
      </c>
      <c r="F361" s="16" t="s">
        <v>987</v>
      </c>
      <c r="G361" s="16" t="s">
        <v>526</v>
      </c>
      <c r="H361" s="16" t="s">
        <v>138</v>
      </c>
      <c r="I361" s="22" t="s">
        <v>864</v>
      </c>
      <c r="J361" s="16">
        <f>IFERROR(INDEX(Aux_HH!$J$4:$J$31,MATCH($H361&amp;"|"&amp;$I361,Aux_HH!$A$4:$A$31,0)),"")</f>
        <v>12</v>
      </c>
      <c r="K361" s="16" t="s">
        <v>76</v>
      </c>
      <c r="L361" s="16" t="str">
        <f>IF(COUNTIFS(Pessoas!$C$5:$C$44,$K361,Pessoas!$G$5:$G$44,"Ativo")=0,"Equipe "&amp;$K361,INDEX(Pessoas!$A$5:$A$44,_xludf.aggregate(15,6,(ROW(Pessoas!$A$5:$A$44)-4)/((Pessoas!$C$5:$C$44=$K361)*(Pessoas!$G$5:$G$44="Ativo")),MOD(ROW()-6,MAX(1,COUNTIFS(Pessoas!$C$5:$C$44,$K361,Pessoas!$G$5:$G$44,"Ativo")))+1)))</f>
        <v>Equipe Oficina Mecânica Central-Taisa</v>
      </c>
    </row>
    <row r="362" spans="1:12" ht="15" customHeight="1" x14ac:dyDescent="0.4">
      <c r="A362" s="25">
        <v>46330</v>
      </c>
      <c r="B362" s="16">
        <v>10</v>
      </c>
      <c r="C362" s="16">
        <v>1</v>
      </c>
      <c r="D362" s="16">
        <v>11</v>
      </c>
      <c r="E362" s="16" t="s">
        <v>980</v>
      </c>
      <c r="F362" s="16" t="s">
        <v>996</v>
      </c>
      <c r="G362" s="16" t="s">
        <v>688</v>
      </c>
      <c r="H362" s="16" t="s">
        <v>145</v>
      </c>
      <c r="I362" s="22" t="s">
        <v>861</v>
      </c>
      <c r="J362" s="16">
        <f>IFERROR(INDEX(Aux_HH!$J$4:$J$31,MATCH($H362&amp;"|"&amp;$I362,Aux_HH!$A$4:$A$31,0)),"")</f>
        <v>4</v>
      </c>
      <c r="K362" s="16" t="s">
        <v>76</v>
      </c>
      <c r="L362" s="16" t="str">
        <f>IF(COUNTIFS(Pessoas!$C$5:$C$44,$K362,Pessoas!$G$5:$G$44,"Ativo")=0,"Equipe "&amp;$K362,INDEX(Pessoas!$A$5:$A$44,_xludf.aggregate(15,6,(ROW(Pessoas!$A$5:$A$44)-4)/((Pessoas!$C$5:$C$44=$K362)*(Pessoas!$G$5:$G$44="Ativo")),MOD(ROW()-6,MAX(1,COUNTIFS(Pessoas!$C$5:$C$44,$K362,Pessoas!$G$5:$G$44,"Ativo")))+1)))</f>
        <v>Equipe Oficina Mecânica Central-Taisa</v>
      </c>
    </row>
    <row r="363" spans="1:12" ht="15" customHeight="1" x14ac:dyDescent="0.4">
      <c r="A363" s="25">
        <v>46330</v>
      </c>
      <c r="B363" s="16">
        <v>10</v>
      </c>
      <c r="C363" s="16">
        <v>1</v>
      </c>
      <c r="D363" s="16">
        <v>11</v>
      </c>
      <c r="E363" s="16" t="s">
        <v>980</v>
      </c>
      <c r="F363" s="16" t="s">
        <v>997</v>
      </c>
      <c r="G363" s="16" t="s">
        <v>688</v>
      </c>
      <c r="H363" s="16" t="s">
        <v>145</v>
      </c>
      <c r="I363" s="22" t="s">
        <v>861</v>
      </c>
      <c r="J363" s="16">
        <f>IFERROR(INDEX(Aux_HH!$J$4:$J$31,MATCH($H363&amp;"|"&amp;$I363,Aux_HH!$A$4:$A$31,0)),"")</f>
        <v>4</v>
      </c>
      <c r="K363" s="16" t="s">
        <v>76</v>
      </c>
      <c r="L363" s="16" t="str">
        <f>IF(COUNTIFS(Pessoas!$C$5:$C$44,$K363,Pessoas!$G$5:$G$44,"Ativo")=0,"Equipe "&amp;$K363,INDEX(Pessoas!$A$5:$A$44,_xludf.aggregate(15,6,(ROW(Pessoas!$A$5:$A$44)-4)/((Pessoas!$C$5:$C$44=$K363)*(Pessoas!$G$5:$G$44="Ativo")),MOD(ROW()-6,MAX(1,COUNTIFS(Pessoas!$C$5:$C$44,$K363,Pessoas!$G$5:$G$44,"Ativo")))+1)))</f>
        <v>Equipe Oficina Mecânica Central-Taisa</v>
      </c>
    </row>
    <row r="364" spans="1:12" ht="15" customHeight="1" x14ac:dyDescent="0.4">
      <c r="A364" s="25">
        <v>46331</v>
      </c>
      <c r="B364" s="16">
        <v>10</v>
      </c>
      <c r="C364" s="16">
        <v>1</v>
      </c>
      <c r="D364" s="16">
        <v>11</v>
      </c>
      <c r="E364" s="16" t="s">
        <v>980</v>
      </c>
      <c r="F364" s="16" t="s">
        <v>988</v>
      </c>
      <c r="G364" s="16" t="s">
        <v>184</v>
      </c>
      <c r="H364" s="16" t="s">
        <v>138</v>
      </c>
      <c r="I364" s="22" t="s">
        <v>864</v>
      </c>
      <c r="J364" s="16">
        <f>IFERROR(INDEX(Aux_HH!$J$4:$J$31,MATCH($H364&amp;"|"&amp;$I364,Aux_HH!$A$4:$A$31,0)),"")</f>
        <v>12</v>
      </c>
      <c r="K364" s="16" t="s">
        <v>76</v>
      </c>
      <c r="L364" s="16" t="str">
        <f>IF(COUNTIFS(Pessoas!$C$5:$C$44,$K364,Pessoas!$G$5:$G$44,"Ativo")=0,"Equipe "&amp;$K364,INDEX(Pessoas!$A$5:$A$44,_xludf.aggregate(15,6,(ROW(Pessoas!$A$5:$A$44)-4)/((Pessoas!$C$5:$C$44=$K364)*(Pessoas!$G$5:$G$44="Ativo")),MOD(ROW()-6,MAX(1,COUNTIFS(Pessoas!$C$5:$C$44,$K364,Pessoas!$G$5:$G$44,"Ativo")))+1)))</f>
        <v>Equipe Oficina Mecânica Central-Taisa</v>
      </c>
    </row>
    <row r="365" spans="1:12" ht="15" customHeight="1" x14ac:dyDescent="0.4">
      <c r="A365" s="25">
        <v>46331</v>
      </c>
      <c r="B365" s="16">
        <v>10</v>
      </c>
      <c r="C365" s="16">
        <v>1</v>
      </c>
      <c r="D365" s="16">
        <v>11</v>
      </c>
      <c r="E365" s="16" t="s">
        <v>980</v>
      </c>
      <c r="F365" s="16" t="s">
        <v>990</v>
      </c>
      <c r="G365" s="16" t="s">
        <v>526</v>
      </c>
      <c r="H365" s="16" t="s">
        <v>138</v>
      </c>
      <c r="I365" s="22" t="s">
        <v>864</v>
      </c>
      <c r="J365" s="16">
        <f>IFERROR(INDEX(Aux_HH!$J$4:$J$31,MATCH($H365&amp;"|"&amp;$I365,Aux_HH!$A$4:$A$31,0)),"")</f>
        <v>12</v>
      </c>
      <c r="K365" s="16" t="s">
        <v>76</v>
      </c>
      <c r="L365" s="16" t="str">
        <f>IF(COUNTIFS(Pessoas!$C$5:$C$44,$K365,Pessoas!$G$5:$G$44,"Ativo")=0,"Equipe "&amp;$K365,INDEX(Pessoas!$A$5:$A$44,_xludf.aggregate(15,6,(ROW(Pessoas!$A$5:$A$44)-4)/((Pessoas!$C$5:$C$44=$K365)*(Pessoas!$G$5:$G$44="Ativo")),MOD(ROW()-6,MAX(1,COUNTIFS(Pessoas!$C$5:$C$44,$K365,Pessoas!$G$5:$G$44,"Ativo")))+1)))</f>
        <v>Equipe Oficina Mecânica Central-Taisa</v>
      </c>
    </row>
    <row r="366" spans="1:12" ht="15" customHeight="1" x14ac:dyDescent="0.4">
      <c r="A366" s="25">
        <v>46331</v>
      </c>
      <c r="B366" s="16">
        <v>10</v>
      </c>
      <c r="C366" s="16">
        <v>1</v>
      </c>
      <c r="D366" s="16">
        <v>11</v>
      </c>
      <c r="E366" s="16" t="s">
        <v>980</v>
      </c>
      <c r="F366" s="16" t="s">
        <v>998</v>
      </c>
      <c r="G366" s="16" t="s">
        <v>688</v>
      </c>
      <c r="H366" s="16" t="s">
        <v>145</v>
      </c>
      <c r="I366" s="22" t="s">
        <v>861</v>
      </c>
      <c r="J366" s="16">
        <f>IFERROR(INDEX(Aux_HH!$J$4:$J$31,MATCH($H366&amp;"|"&amp;$I366,Aux_HH!$A$4:$A$31,0)),"")</f>
        <v>4</v>
      </c>
      <c r="K366" s="16" t="s">
        <v>76</v>
      </c>
      <c r="L366" s="16" t="str">
        <f>IF(COUNTIFS(Pessoas!$C$5:$C$44,$K366,Pessoas!$G$5:$G$44,"Ativo")=0,"Equipe "&amp;$K366,INDEX(Pessoas!$A$5:$A$44,_xludf.aggregate(15,6,(ROW(Pessoas!$A$5:$A$44)-4)/((Pessoas!$C$5:$C$44=$K366)*(Pessoas!$G$5:$G$44="Ativo")),MOD(ROW()-6,MAX(1,COUNTIFS(Pessoas!$C$5:$C$44,$K366,Pessoas!$G$5:$G$44,"Ativo")))+1)))</f>
        <v>Equipe Oficina Mecânica Central-Taisa</v>
      </c>
    </row>
    <row r="367" spans="1:12" ht="15" customHeight="1" x14ac:dyDescent="0.4">
      <c r="A367" s="25">
        <v>46331</v>
      </c>
      <c r="B367" s="16">
        <v>10</v>
      </c>
      <c r="C367" s="16">
        <v>1</v>
      </c>
      <c r="D367" s="16">
        <v>11</v>
      </c>
      <c r="E367" s="16" t="s">
        <v>980</v>
      </c>
      <c r="F367" s="16" t="s">
        <v>1000</v>
      </c>
      <c r="G367" s="16" t="s">
        <v>688</v>
      </c>
      <c r="H367" s="16" t="s">
        <v>145</v>
      </c>
      <c r="I367" s="22" t="s">
        <v>861</v>
      </c>
      <c r="J367" s="16">
        <f>IFERROR(INDEX(Aux_HH!$J$4:$J$31,MATCH($H367&amp;"|"&amp;$I367,Aux_HH!$A$4:$A$31,0)),"")</f>
        <v>4</v>
      </c>
      <c r="K367" s="16" t="s">
        <v>76</v>
      </c>
      <c r="L367" s="16" t="str">
        <f>IF(COUNTIFS(Pessoas!$C$5:$C$44,$K367,Pessoas!$G$5:$G$44,"Ativo")=0,"Equipe "&amp;$K367,INDEX(Pessoas!$A$5:$A$44,_xludf.aggregate(15,6,(ROW(Pessoas!$A$5:$A$44)-4)/((Pessoas!$C$5:$C$44=$K367)*(Pessoas!$G$5:$G$44="Ativo")),MOD(ROW()-6,MAX(1,COUNTIFS(Pessoas!$C$5:$C$44,$K367,Pessoas!$G$5:$G$44,"Ativo")))+1)))</f>
        <v>Equipe Oficina Mecânica Central-Taisa</v>
      </c>
    </row>
    <row r="368" spans="1:12" ht="15" customHeight="1" x14ac:dyDescent="0.4">
      <c r="A368" s="25">
        <v>46332</v>
      </c>
      <c r="B368" s="16">
        <v>10</v>
      </c>
      <c r="C368" s="16">
        <v>1</v>
      </c>
      <c r="D368" s="16">
        <v>11</v>
      </c>
      <c r="E368" s="16" t="s">
        <v>980</v>
      </c>
      <c r="F368" s="16" t="s">
        <v>992</v>
      </c>
      <c r="G368" s="16" t="s">
        <v>184</v>
      </c>
      <c r="H368" s="16" t="s">
        <v>138</v>
      </c>
      <c r="I368" s="22" t="s">
        <v>864</v>
      </c>
      <c r="J368" s="16">
        <f>IFERROR(INDEX(Aux_HH!$J$4:$J$31,MATCH($H368&amp;"|"&amp;$I368,Aux_HH!$A$4:$A$31,0)),"")</f>
        <v>12</v>
      </c>
      <c r="K368" s="16" t="s">
        <v>76</v>
      </c>
      <c r="L368" s="16" t="str">
        <f>IF(COUNTIFS(Pessoas!$C$5:$C$44,$K368,Pessoas!$G$5:$G$44,"Ativo")=0,"Equipe "&amp;$K368,INDEX(Pessoas!$A$5:$A$44,_xludf.aggregate(15,6,(ROW(Pessoas!$A$5:$A$44)-4)/((Pessoas!$C$5:$C$44=$K368)*(Pessoas!$G$5:$G$44="Ativo")),MOD(ROW()-6,MAX(1,COUNTIFS(Pessoas!$C$5:$C$44,$K368,Pessoas!$G$5:$G$44,"Ativo")))+1)))</f>
        <v>Equipe Oficina Mecânica Central-Taisa</v>
      </c>
    </row>
    <row r="369" spans="1:12" ht="15" customHeight="1" x14ac:dyDescent="0.4">
      <c r="A369" s="25">
        <v>46332</v>
      </c>
      <c r="B369" s="16">
        <v>10</v>
      </c>
      <c r="C369" s="16">
        <v>1</v>
      </c>
      <c r="D369" s="16">
        <v>11</v>
      </c>
      <c r="E369" s="16" t="s">
        <v>980</v>
      </c>
      <c r="F369" s="16" t="s">
        <v>1001</v>
      </c>
      <c r="G369" s="16" t="s">
        <v>688</v>
      </c>
      <c r="H369" s="16" t="s">
        <v>145</v>
      </c>
      <c r="I369" s="22" t="s">
        <v>861</v>
      </c>
      <c r="J369" s="16">
        <f>IFERROR(INDEX(Aux_HH!$J$4:$J$31,MATCH($H369&amp;"|"&amp;$I369,Aux_HH!$A$4:$A$31,0)),"")</f>
        <v>4</v>
      </c>
      <c r="K369" s="16" t="s">
        <v>76</v>
      </c>
      <c r="L369" s="16" t="str">
        <f>IF(COUNTIFS(Pessoas!$C$5:$C$44,$K369,Pessoas!$G$5:$G$44,"Ativo")=0,"Equipe "&amp;$K369,INDEX(Pessoas!$A$5:$A$44,_xludf.aggregate(15,6,(ROW(Pessoas!$A$5:$A$44)-4)/((Pessoas!$C$5:$C$44=$K369)*(Pessoas!$G$5:$G$44="Ativo")),MOD(ROW()-6,MAX(1,COUNTIFS(Pessoas!$C$5:$C$44,$K369,Pessoas!$G$5:$G$44,"Ativo")))+1)))</f>
        <v>Equipe Oficina Mecânica Central-Taisa</v>
      </c>
    </row>
    <row r="370" spans="1:12" ht="15" customHeight="1" x14ac:dyDescent="0.4">
      <c r="A370" s="25">
        <v>46332</v>
      </c>
      <c r="B370" s="16">
        <v>10</v>
      </c>
      <c r="C370" s="16">
        <v>1</v>
      </c>
      <c r="D370" s="16">
        <v>11</v>
      </c>
      <c r="E370" s="16" t="s">
        <v>980</v>
      </c>
      <c r="F370" s="16" t="s">
        <v>1002</v>
      </c>
      <c r="G370" s="16" t="s">
        <v>688</v>
      </c>
      <c r="H370" s="16" t="s">
        <v>145</v>
      </c>
      <c r="I370" s="22" t="s">
        <v>861</v>
      </c>
      <c r="J370" s="16">
        <f>IFERROR(INDEX(Aux_HH!$J$4:$J$31,MATCH($H370&amp;"|"&amp;$I370,Aux_HH!$A$4:$A$31,0)),"")</f>
        <v>4</v>
      </c>
      <c r="K370" s="16" t="s">
        <v>76</v>
      </c>
      <c r="L370" s="16" t="str">
        <f>IF(COUNTIFS(Pessoas!$C$5:$C$44,$K370,Pessoas!$G$5:$G$44,"Ativo")=0,"Equipe "&amp;$K370,INDEX(Pessoas!$A$5:$A$44,_xludf.aggregate(15,6,(ROW(Pessoas!$A$5:$A$44)-4)/((Pessoas!$C$5:$C$44=$K370)*(Pessoas!$G$5:$G$44="Ativo")),MOD(ROW()-6,MAX(1,COUNTIFS(Pessoas!$C$5:$C$44,$K370,Pessoas!$G$5:$G$44,"Ativo")))+1)))</f>
        <v>Equipe Oficina Mecânica Central-Taisa</v>
      </c>
    </row>
    <row r="371" spans="1:12" ht="15" customHeight="1" x14ac:dyDescent="0.4">
      <c r="A371" s="25">
        <v>46332</v>
      </c>
      <c r="B371" s="16">
        <v>10</v>
      </c>
      <c r="C371" s="16">
        <v>1</v>
      </c>
      <c r="D371" s="16">
        <v>11</v>
      </c>
      <c r="E371" s="16" t="s">
        <v>980</v>
      </c>
      <c r="F371" s="16" t="s">
        <v>1003</v>
      </c>
      <c r="G371" s="16" t="s">
        <v>688</v>
      </c>
      <c r="H371" s="16" t="s">
        <v>145</v>
      </c>
      <c r="I371" s="22" t="s">
        <v>861</v>
      </c>
      <c r="J371" s="16">
        <f>IFERROR(INDEX(Aux_HH!$J$4:$J$31,MATCH($H371&amp;"|"&amp;$I371,Aux_HH!$A$4:$A$31,0)),"")</f>
        <v>4</v>
      </c>
      <c r="K371" s="16" t="s">
        <v>76</v>
      </c>
      <c r="L371" s="16" t="str">
        <f>IF(COUNTIFS(Pessoas!$C$5:$C$44,$K371,Pessoas!$G$5:$G$44,"Ativo")=0,"Equipe "&amp;$K371,INDEX(Pessoas!$A$5:$A$44,_xludf.aggregate(15,6,(ROW(Pessoas!$A$5:$A$44)-4)/((Pessoas!$C$5:$C$44=$K371)*(Pessoas!$G$5:$G$44="Ativo")),MOD(ROW()-6,MAX(1,COUNTIFS(Pessoas!$C$5:$C$44,$K371,Pessoas!$G$5:$G$44,"Ativo")))+1)))</f>
        <v>Equipe Oficina Mecânica Central-Taisa</v>
      </c>
    </row>
    <row r="372" spans="1:12" ht="15" customHeight="1" x14ac:dyDescent="0.4">
      <c r="A372" s="25">
        <v>46335</v>
      </c>
      <c r="B372" s="16">
        <v>10</v>
      </c>
      <c r="C372" s="16">
        <v>1</v>
      </c>
      <c r="D372" s="16">
        <v>11</v>
      </c>
      <c r="E372" s="16" t="s">
        <v>980</v>
      </c>
      <c r="F372" s="16" t="s">
        <v>993</v>
      </c>
      <c r="G372" s="16" t="s">
        <v>184</v>
      </c>
      <c r="H372" s="16" t="s">
        <v>138</v>
      </c>
      <c r="I372" s="22" t="s">
        <v>864</v>
      </c>
      <c r="J372" s="16">
        <f>IFERROR(INDEX(Aux_HH!$J$4:$J$31,MATCH($H372&amp;"|"&amp;$I372,Aux_HH!$A$4:$A$31,0)),"")</f>
        <v>12</v>
      </c>
      <c r="K372" s="16" t="s">
        <v>76</v>
      </c>
      <c r="L372" s="16" t="str">
        <f>IF(COUNTIFS(Pessoas!$C$5:$C$44,$K372,Pessoas!$G$5:$G$44,"Ativo")=0,"Equipe "&amp;$K372,INDEX(Pessoas!$A$5:$A$44,_xludf.aggregate(15,6,(ROW(Pessoas!$A$5:$A$44)-4)/((Pessoas!$C$5:$C$44=$K372)*(Pessoas!$G$5:$G$44="Ativo")),MOD(ROW()-6,MAX(1,COUNTIFS(Pessoas!$C$5:$C$44,$K372,Pessoas!$G$5:$G$44,"Ativo")))+1)))</f>
        <v>Equipe Oficina Mecânica Central-Taisa</v>
      </c>
    </row>
    <row r="373" spans="1:12" ht="15" customHeight="1" x14ac:dyDescent="0.4">
      <c r="A373" s="25">
        <v>46335</v>
      </c>
      <c r="B373" s="16">
        <v>10</v>
      </c>
      <c r="C373" s="16">
        <v>1</v>
      </c>
      <c r="D373" s="16">
        <v>11</v>
      </c>
      <c r="E373" s="16" t="s">
        <v>980</v>
      </c>
      <c r="F373" s="16" t="s">
        <v>1004</v>
      </c>
      <c r="G373" s="16" t="s">
        <v>688</v>
      </c>
      <c r="H373" s="16" t="s">
        <v>145</v>
      </c>
      <c r="I373" s="22" t="s">
        <v>861</v>
      </c>
      <c r="J373" s="16">
        <f>IFERROR(INDEX(Aux_HH!$J$4:$J$31,MATCH($H373&amp;"|"&amp;$I373,Aux_HH!$A$4:$A$31,0)),"")</f>
        <v>4</v>
      </c>
      <c r="K373" s="16" t="s">
        <v>76</v>
      </c>
      <c r="L373" s="16" t="str">
        <f>IF(COUNTIFS(Pessoas!$C$5:$C$44,$K373,Pessoas!$G$5:$G$44,"Ativo")=0,"Equipe "&amp;$K373,INDEX(Pessoas!$A$5:$A$44,_xludf.aggregate(15,6,(ROW(Pessoas!$A$5:$A$44)-4)/((Pessoas!$C$5:$C$44=$K373)*(Pessoas!$G$5:$G$44="Ativo")),MOD(ROW()-6,MAX(1,COUNTIFS(Pessoas!$C$5:$C$44,$K373,Pessoas!$G$5:$G$44,"Ativo")))+1)))</f>
        <v>Equipe Oficina Mecânica Central-Taisa</v>
      </c>
    </row>
    <row r="374" spans="1:12" ht="15" customHeight="1" x14ac:dyDescent="0.4">
      <c r="A374" s="25">
        <v>46335</v>
      </c>
      <c r="B374" s="16">
        <v>10</v>
      </c>
      <c r="C374" s="16">
        <v>1</v>
      </c>
      <c r="D374" s="16">
        <v>11</v>
      </c>
      <c r="E374" s="16" t="s">
        <v>980</v>
      </c>
      <c r="F374" s="16" t="s">
        <v>1005</v>
      </c>
      <c r="G374" s="16" t="s">
        <v>688</v>
      </c>
      <c r="H374" s="16" t="s">
        <v>145</v>
      </c>
      <c r="I374" s="22" t="s">
        <v>861</v>
      </c>
      <c r="J374" s="16">
        <f>IFERROR(INDEX(Aux_HH!$J$4:$J$31,MATCH($H374&amp;"|"&amp;$I374,Aux_HH!$A$4:$A$31,0)),"")</f>
        <v>4</v>
      </c>
      <c r="K374" s="16" t="s">
        <v>76</v>
      </c>
      <c r="L374" s="16" t="str">
        <f>IF(COUNTIFS(Pessoas!$C$5:$C$44,$K374,Pessoas!$G$5:$G$44,"Ativo")=0,"Equipe "&amp;$K374,INDEX(Pessoas!$A$5:$A$44,_xludf.aggregate(15,6,(ROW(Pessoas!$A$5:$A$44)-4)/((Pessoas!$C$5:$C$44=$K374)*(Pessoas!$G$5:$G$44="Ativo")),MOD(ROW()-6,MAX(1,COUNTIFS(Pessoas!$C$5:$C$44,$K374,Pessoas!$G$5:$G$44,"Ativo")))+1)))</f>
        <v>Equipe Oficina Mecânica Central-Taisa</v>
      </c>
    </row>
    <row r="375" spans="1:12" ht="15" customHeight="1" x14ac:dyDescent="0.4">
      <c r="A375" s="25">
        <v>46335</v>
      </c>
      <c r="B375" s="16">
        <v>10</v>
      </c>
      <c r="C375" s="16">
        <v>1</v>
      </c>
      <c r="D375" s="16">
        <v>11</v>
      </c>
      <c r="E375" s="16" t="s">
        <v>980</v>
      </c>
      <c r="F375" s="16" t="s">
        <v>1006</v>
      </c>
      <c r="G375" s="16" t="s">
        <v>688</v>
      </c>
      <c r="H375" s="16" t="s">
        <v>145</v>
      </c>
      <c r="I375" s="22" t="s">
        <v>861</v>
      </c>
      <c r="J375" s="16">
        <f>IFERROR(INDEX(Aux_HH!$J$4:$J$31,MATCH($H375&amp;"|"&amp;$I375,Aux_HH!$A$4:$A$31,0)),"")</f>
        <v>4</v>
      </c>
      <c r="K375" s="16" t="s">
        <v>76</v>
      </c>
      <c r="L375" s="16" t="str">
        <f>IF(COUNTIFS(Pessoas!$C$5:$C$44,$K375,Pessoas!$G$5:$G$44,"Ativo")=0,"Equipe "&amp;$K375,INDEX(Pessoas!$A$5:$A$44,_xludf.aggregate(15,6,(ROW(Pessoas!$A$5:$A$44)-4)/((Pessoas!$C$5:$C$44=$K375)*(Pessoas!$G$5:$G$44="Ativo")),MOD(ROW()-6,MAX(1,COUNTIFS(Pessoas!$C$5:$C$44,$K375,Pessoas!$G$5:$G$44,"Ativo")))+1)))</f>
        <v>Equipe Oficina Mecânica Central-Taisa</v>
      </c>
    </row>
    <row r="376" spans="1:12" ht="15" customHeight="1" x14ac:dyDescent="0.4">
      <c r="A376" s="25">
        <v>46343</v>
      </c>
      <c r="B376" s="16">
        <v>12</v>
      </c>
      <c r="C376" s="16">
        <v>1</v>
      </c>
      <c r="D376" s="16">
        <v>11</v>
      </c>
      <c r="E376" s="16" t="s">
        <v>980</v>
      </c>
      <c r="F376" s="16" t="s">
        <v>1007</v>
      </c>
      <c r="G376" s="16" t="s">
        <v>526</v>
      </c>
      <c r="H376" s="16" t="s">
        <v>143</v>
      </c>
      <c r="I376" s="22" t="s">
        <v>861</v>
      </c>
      <c r="J376" s="16">
        <f>IFERROR(INDEX(Aux_HH!$J$4:$J$31,MATCH($H376&amp;"|"&amp;$I376,Aux_HH!$A$4:$A$31,0)),"")</f>
        <v>4.5</v>
      </c>
      <c r="K376" s="16" t="s">
        <v>76</v>
      </c>
      <c r="L376" s="16" t="str">
        <f>IF(COUNTIFS(Pessoas!$C$5:$C$44,$K376,Pessoas!$G$5:$G$44,"Ativo")=0,"Equipe "&amp;$K376,INDEX(Pessoas!$A$5:$A$44,_xludf.aggregate(15,6,(ROW(Pessoas!$A$5:$A$44)-4)/((Pessoas!$C$5:$C$44=$K376)*(Pessoas!$G$5:$G$44="Ativo")),MOD(ROW()-6,MAX(1,COUNTIFS(Pessoas!$C$5:$C$44,$K376,Pessoas!$G$5:$G$44,"Ativo")))+1)))</f>
        <v>Equipe Oficina Mecânica Central-Taisa</v>
      </c>
    </row>
    <row r="377" spans="1:12" ht="15" customHeight="1" x14ac:dyDescent="0.4">
      <c r="A377" s="25">
        <v>46343</v>
      </c>
      <c r="B377" s="16">
        <v>12</v>
      </c>
      <c r="C377" s="16">
        <v>1</v>
      </c>
      <c r="D377" s="16">
        <v>11</v>
      </c>
      <c r="E377" s="16" t="s">
        <v>980</v>
      </c>
      <c r="F377" s="16" t="s">
        <v>1008</v>
      </c>
      <c r="G377" s="16" t="s">
        <v>184</v>
      </c>
      <c r="H377" s="16" t="s">
        <v>143</v>
      </c>
      <c r="I377" s="22" t="s">
        <v>861</v>
      </c>
      <c r="J377" s="16">
        <f>IFERROR(INDEX(Aux_HH!$J$4:$J$31,MATCH($H377&amp;"|"&amp;$I377,Aux_HH!$A$4:$A$31,0)),"")</f>
        <v>4.5</v>
      </c>
      <c r="K377" s="16" t="s">
        <v>76</v>
      </c>
      <c r="L377" s="16" t="str">
        <f>IF(COUNTIFS(Pessoas!$C$5:$C$44,$K377,Pessoas!$G$5:$G$44,"Ativo")=0,"Equipe "&amp;$K377,INDEX(Pessoas!$A$5:$A$44,_xludf.aggregate(15,6,(ROW(Pessoas!$A$5:$A$44)-4)/((Pessoas!$C$5:$C$44=$K377)*(Pessoas!$G$5:$G$44="Ativo")),MOD(ROW()-6,MAX(1,COUNTIFS(Pessoas!$C$5:$C$44,$K377,Pessoas!$G$5:$G$44,"Ativo")))+1)))</f>
        <v>Equipe Oficina Mecânica Central-Taisa</v>
      </c>
    </row>
    <row r="378" spans="1:12" ht="15" customHeight="1" x14ac:dyDescent="0.4">
      <c r="A378" s="25">
        <v>46343</v>
      </c>
      <c r="B378" s="16">
        <v>12</v>
      </c>
      <c r="C378" s="16">
        <v>1</v>
      </c>
      <c r="D378" s="16">
        <v>11</v>
      </c>
      <c r="E378" s="16" t="s">
        <v>980</v>
      </c>
      <c r="F378" s="16" t="s">
        <v>1009</v>
      </c>
      <c r="G378" s="16" t="s">
        <v>184</v>
      </c>
      <c r="H378" s="16" t="s">
        <v>143</v>
      </c>
      <c r="I378" s="22" t="s">
        <v>861</v>
      </c>
      <c r="J378" s="16">
        <f>IFERROR(INDEX(Aux_HH!$J$4:$J$31,MATCH($H378&amp;"|"&amp;$I378,Aux_HH!$A$4:$A$31,0)),"")</f>
        <v>4.5</v>
      </c>
      <c r="K378" s="16" t="s">
        <v>76</v>
      </c>
      <c r="L378" s="16" t="str">
        <f>IF(COUNTIFS(Pessoas!$C$5:$C$44,$K378,Pessoas!$G$5:$G$44,"Ativo")=0,"Equipe "&amp;$K378,INDEX(Pessoas!$A$5:$A$44,_xludf.aggregate(15,6,(ROW(Pessoas!$A$5:$A$44)-4)/((Pessoas!$C$5:$C$44=$K378)*(Pessoas!$G$5:$G$44="Ativo")),MOD(ROW()-6,MAX(1,COUNTIFS(Pessoas!$C$5:$C$44,$K378,Pessoas!$G$5:$G$44,"Ativo")))+1)))</f>
        <v>Equipe Oficina Mecânica Central-Taisa</v>
      </c>
    </row>
    <row r="379" spans="1:12" ht="15" customHeight="1" x14ac:dyDescent="0.4">
      <c r="A379" s="25">
        <v>46343</v>
      </c>
      <c r="B379" s="16">
        <v>12</v>
      </c>
      <c r="C379" s="16">
        <v>1</v>
      </c>
      <c r="D379" s="16">
        <v>11</v>
      </c>
      <c r="E379" s="16" t="s">
        <v>980</v>
      </c>
      <c r="F379" s="16" t="s">
        <v>1010</v>
      </c>
      <c r="G379" s="16" t="s">
        <v>184</v>
      </c>
      <c r="H379" s="16" t="s">
        <v>143</v>
      </c>
      <c r="I379" s="22" t="s">
        <v>861</v>
      </c>
      <c r="J379" s="16">
        <f>IFERROR(INDEX(Aux_HH!$J$4:$J$31,MATCH($H379&amp;"|"&amp;$I379,Aux_HH!$A$4:$A$31,0)),"")</f>
        <v>4.5</v>
      </c>
      <c r="K379" s="16" t="s">
        <v>76</v>
      </c>
      <c r="L379" s="16" t="str">
        <f>IF(COUNTIFS(Pessoas!$C$5:$C$44,$K379,Pessoas!$G$5:$G$44,"Ativo")=0,"Equipe "&amp;$K379,INDEX(Pessoas!$A$5:$A$44,_xludf.aggregate(15,6,(ROW(Pessoas!$A$5:$A$44)-4)/((Pessoas!$C$5:$C$44=$K379)*(Pessoas!$G$5:$G$44="Ativo")),MOD(ROW()-6,MAX(1,COUNTIFS(Pessoas!$C$5:$C$44,$K379,Pessoas!$G$5:$G$44,"Ativo")))+1)))</f>
        <v>Equipe Oficina Mecânica Central-Taisa</v>
      </c>
    </row>
    <row r="380" spans="1:12" ht="15" customHeight="1" x14ac:dyDescent="0.4">
      <c r="A380" s="25">
        <v>46343</v>
      </c>
      <c r="B380" s="16">
        <v>12</v>
      </c>
      <c r="C380" s="16">
        <v>1</v>
      </c>
      <c r="D380" s="16">
        <v>11</v>
      </c>
      <c r="E380" s="16" t="s">
        <v>980</v>
      </c>
      <c r="F380" s="16" t="s">
        <v>1011</v>
      </c>
      <c r="G380" s="16" t="s">
        <v>184</v>
      </c>
      <c r="H380" s="16" t="s">
        <v>143</v>
      </c>
      <c r="I380" s="22" t="s">
        <v>861</v>
      </c>
      <c r="J380" s="16">
        <f>IFERROR(INDEX(Aux_HH!$J$4:$J$31,MATCH($H380&amp;"|"&amp;$I380,Aux_HH!$A$4:$A$31,0)),"")</f>
        <v>4.5</v>
      </c>
      <c r="K380" s="16" t="s">
        <v>76</v>
      </c>
      <c r="L380" s="16" t="str">
        <f>IF(COUNTIFS(Pessoas!$C$5:$C$44,$K380,Pessoas!$G$5:$G$44,"Ativo")=0,"Equipe "&amp;$K380,INDEX(Pessoas!$A$5:$A$44,_xludf.aggregate(15,6,(ROW(Pessoas!$A$5:$A$44)-4)/((Pessoas!$C$5:$C$44=$K380)*(Pessoas!$G$5:$G$44="Ativo")),MOD(ROW()-6,MAX(1,COUNTIFS(Pessoas!$C$5:$C$44,$K380,Pessoas!$G$5:$G$44,"Ativo")))+1)))</f>
        <v>Equipe Oficina Mecânica Central-Taisa</v>
      </c>
    </row>
    <row r="381" spans="1:12" ht="15" customHeight="1" x14ac:dyDescent="0.4">
      <c r="A381" s="25">
        <v>46343</v>
      </c>
      <c r="B381" s="16">
        <v>12</v>
      </c>
      <c r="C381" s="16">
        <v>1</v>
      </c>
      <c r="D381" s="16">
        <v>11</v>
      </c>
      <c r="E381" s="16" t="s">
        <v>980</v>
      </c>
      <c r="F381" s="16" t="s">
        <v>1012</v>
      </c>
      <c r="G381" s="16" t="s">
        <v>184</v>
      </c>
      <c r="H381" s="16" t="s">
        <v>143</v>
      </c>
      <c r="I381" s="22" t="s">
        <v>861</v>
      </c>
      <c r="J381" s="16">
        <f>IFERROR(INDEX(Aux_HH!$J$4:$J$31,MATCH($H381&amp;"|"&amp;$I381,Aux_HH!$A$4:$A$31,0)),"")</f>
        <v>4.5</v>
      </c>
      <c r="K381" s="16" t="s">
        <v>76</v>
      </c>
      <c r="L381" s="16" t="str">
        <f>IF(COUNTIFS(Pessoas!$C$5:$C$44,$K381,Pessoas!$G$5:$G$44,"Ativo")=0,"Equipe "&amp;$K381,INDEX(Pessoas!$A$5:$A$44,_xludf.aggregate(15,6,(ROW(Pessoas!$A$5:$A$44)-4)/((Pessoas!$C$5:$C$44=$K381)*(Pessoas!$G$5:$G$44="Ativo")),MOD(ROW()-6,MAX(1,COUNTIFS(Pessoas!$C$5:$C$44,$K381,Pessoas!$G$5:$G$44,"Ativo")))+1)))</f>
        <v>Equipe Oficina Mecânica Central-Taisa</v>
      </c>
    </row>
    <row r="382" spans="1:12" ht="15" customHeight="1" x14ac:dyDescent="0.4">
      <c r="A382" s="25">
        <v>46343</v>
      </c>
      <c r="B382" s="16">
        <v>12</v>
      </c>
      <c r="C382" s="16">
        <v>1</v>
      </c>
      <c r="D382" s="16">
        <v>11</v>
      </c>
      <c r="E382" s="16" t="s">
        <v>980</v>
      </c>
      <c r="F382" s="16" t="s">
        <v>1013</v>
      </c>
      <c r="G382" s="16" t="s">
        <v>184</v>
      </c>
      <c r="H382" s="16" t="s">
        <v>143</v>
      </c>
      <c r="I382" s="22" t="s">
        <v>861</v>
      </c>
      <c r="J382" s="16">
        <f>IFERROR(INDEX(Aux_HH!$J$4:$J$31,MATCH($H382&amp;"|"&amp;$I382,Aux_HH!$A$4:$A$31,0)),"")</f>
        <v>4.5</v>
      </c>
      <c r="K382" s="16" t="s">
        <v>76</v>
      </c>
      <c r="L382" s="16" t="str">
        <f>IF(COUNTIFS(Pessoas!$C$5:$C$44,$K382,Pessoas!$G$5:$G$44,"Ativo")=0,"Equipe "&amp;$K382,INDEX(Pessoas!$A$5:$A$44,_xludf.aggregate(15,6,(ROW(Pessoas!$A$5:$A$44)-4)/((Pessoas!$C$5:$C$44=$K382)*(Pessoas!$G$5:$G$44="Ativo")),MOD(ROW()-6,MAX(1,COUNTIFS(Pessoas!$C$5:$C$44,$K382,Pessoas!$G$5:$G$44,"Ativo")))+1)))</f>
        <v>Equipe Oficina Mecânica Central-Taisa</v>
      </c>
    </row>
    <row r="383" spans="1:12" ht="15" customHeight="1" x14ac:dyDescent="0.4">
      <c r="A383" s="25">
        <v>46343</v>
      </c>
      <c r="B383" s="16">
        <v>12</v>
      </c>
      <c r="C383" s="16">
        <v>1</v>
      </c>
      <c r="D383" s="16">
        <v>11</v>
      </c>
      <c r="E383" s="16" t="s">
        <v>980</v>
      </c>
      <c r="F383" s="16" t="s">
        <v>1014</v>
      </c>
      <c r="G383" s="16" t="s">
        <v>184</v>
      </c>
      <c r="H383" s="16" t="s">
        <v>143</v>
      </c>
      <c r="I383" s="22" t="s">
        <v>861</v>
      </c>
      <c r="J383" s="16">
        <f>IFERROR(INDEX(Aux_HH!$J$4:$J$31,MATCH($H383&amp;"|"&amp;$I383,Aux_HH!$A$4:$A$31,0)),"")</f>
        <v>4.5</v>
      </c>
      <c r="K383" s="16" t="s">
        <v>76</v>
      </c>
      <c r="L383" s="16" t="str">
        <f>IF(COUNTIFS(Pessoas!$C$5:$C$44,$K383,Pessoas!$G$5:$G$44,"Ativo")=0,"Equipe "&amp;$K383,INDEX(Pessoas!$A$5:$A$44,_xludf.aggregate(15,6,(ROW(Pessoas!$A$5:$A$44)-4)/((Pessoas!$C$5:$C$44=$K383)*(Pessoas!$G$5:$G$44="Ativo")),MOD(ROW()-6,MAX(1,COUNTIFS(Pessoas!$C$5:$C$44,$K383,Pessoas!$G$5:$G$44,"Ativo")))+1)))</f>
        <v>Equipe Oficina Mecânica Central-Taisa</v>
      </c>
    </row>
    <row r="384" spans="1:12" ht="15" customHeight="1" x14ac:dyDescent="0.4">
      <c r="A384" s="25">
        <v>46343</v>
      </c>
      <c r="B384" s="16">
        <v>12</v>
      </c>
      <c r="C384" s="16">
        <v>1</v>
      </c>
      <c r="D384" s="16">
        <v>11</v>
      </c>
      <c r="E384" s="16" t="s">
        <v>980</v>
      </c>
      <c r="F384" s="16" t="s">
        <v>1015</v>
      </c>
      <c r="G384" s="16" t="s">
        <v>184</v>
      </c>
      <c r="H384" s="16" t="s">
        <v>143</v>
      </c>
      <c r="I384" s="22" t="s">
        <v>861</v>
      </c>
      <c r="J384" s="16">
        <f>IFERROR(INDEX(Aux_HH!$J$4:$J$31,MATCH($H384&amp;"|"&amp;$I384,Aux_HH!$A$4:$A$31,0)),"")</f>
        <v>4.5</v>
      </c>
      <c r="K384" s="16" t="s">
        <v>76</v>
      </c>
      <c r="L384" s="16" t="str">
        <f>IF(COUNTIFS(Pessoas!$C$5:$C$44,$K384,Pessoas!$G$5:$G$44,"Ativo")=0,"Equipe "&amp;$K384,INDEX(Pessoas!$A$5:$A$44,_xludf.aggregate(15,6,(ROW(Pessoas!$A$5:$A$44)-4)/((Pessoas!$C$5:$C$44=$K384)*(Pessoas!$G$5:$G$44="Ativo")),MOD(ROW()-6,MAX(1,COUNTIFS(Pessoas!$C$5:$C$44,$K384,Pessoas!$G$5:$G$44,"Ativo")))+1)))</f>
        <v>Equipe Oficina Mecânica Central-Taisa</v>
      </c>
    </row>
    <row r="385" spans="1:12" ht="15" customHeight="1" x14ac:dyDescent="0.4">
      <c r="A385" s="25">
        <v>46343</v>
      </c>
      <c r="B385" s="16">
        <v>12</v>
      </c>
      <c r="C385" s="16">
        <v>1</v>
      </c>
      <c r="D385" s="16">
        <v>11</v>
      </c>
      <c r="E385" s="16" t="s">
        <v>980</v>
      </c>
      <c r="F385" s="16" t="s">
        <v>1016</v>
      </c>
      <c r="G385" s="16" t="s">
        <v>526</v>
      </c>
      <c r="H385" s="16" t="s">
        <v>143</v>
      </c>
      <c r="I385" s="22" t="s">
        <v>861</v>
      </c>
      <c r="J385" s="16">
        <f>IFERROR(INDEX(Aux_HH!$J$4:$J$31,MATCH($H385&amp;"|"&amp;$I385,Aux_HH!$A$4:$A$31,0)),"")</f>
        <v>4.5</v>
      </c>
      <c r="K385" s="16" t="s">
        <v>76</v>
      </c>
      <c r="L385" s="16" t="str">
        <f>IF(COUNTIFS(Pessoas!$C$5:$C$44,$K385,Pessoas!$G$5:$G$44,"Ativo")=0,"Equipe "&amp;$K385,INDEX(Pessoas!$A$5:$A$44,_xludf.aggregate(15,6,(ROW(Pessoas!$A$5:$A$44)-4)/((Pessoas!$C$5:$C$44=$K385)*(Pessoas!$G$5:$G$44="Ativo")),MOD(ROW()-6,MAX(1,COUNTIFS(Pessoas!$C$5:$C$44,$K385,Pessoas!$G$5:$G$44,"Ativo")))+1)))</f>
        <v>Equipe Oficina Mecânica Central-Taisa</v>
      </c>
    </row>
    <row r="386" spans="1:12" ht="15" customHeight="1" x14ac:dyDescent="0.4">
      <c r="A386" s="25">
        <v>46343</v>
      </c>
      <c r="B386" s="16">
        <v>12</v>
      </c>
      <c r="C386" s="16">
        <v>1</v>
      </c>
      <c r="D386" s="16">
        <v>11</v>
      </c>
      <c r="E386" s="16" t="s">
        <v>980</v>
      </c>
      <c r="F386" s="16" t="s">
        <v>1017</v>
      </c>
      <c r="G386" s="16" t="s">
        <v>688</v>
      </c>
      <c r="H386" s="16" t="s">
        <v>143</v>
      </c>
      <c r="I386" s="22" t="s">
        <v>861</v>
      </c>
      <c r="J386" s="16">
        <f>IFERROR(INDEX(Aux_HH!$J$4:$J$31,MATCH($H386&amp;"|"&amp;$I386,Aux_HH!$A$4:$A$31,0)),"")</f>
        <v>4.5</v>
      </c>
      <c r="K386" s="16" t="s">
        <v>76</v>
      </c>
      <c r="L386" s="16" t="str">
        <f>IF(COUNTIFS(Pessoas!$C$5:$C$44,$K386,Pessoas!$G$5:$G$44,"Ativo")=0,"Equipe "&amp;$K386,INDEX(Pessoas!$A$5:$A$44,_xludf.aggregate(15,6,(ROW(Pessoas!$A$5:$A$44)-4)/((Pessoas!$C$5:$C$44=$K386)*(Pessoas!$G$5:$G$44="Ativo")),MOD(ROW()-6,MAX(1,COUNTIFS(Pessoas!$C$5:$C$44,$K386,Pessoas!$G$5:$G$44,"Ativo")))+1)))</f>
        <v>Equipe Oficina Mecânica Central-Taisa</v>
      </c>
    </row>
    <row r="387" spans="1:12" ht="15" customHeight="1" x14ac:dyDescent="0.4">
      <c r="A387" s="25">
        <v>46343</v>
      </c>
      <c r="B387" s="16">
        <v>12</v>
      </c>
      <c r="C387" s="16">
        <v>1</v>
      </c>
      <c r="D387" s="16">
        <v>11</v>
      </c>
      <c r="E387" s="16" t="s">
        <v>980</v>
      </c>
      <c r="F387" s="16" t="s">
        <v>1018</v>
      </c>
      <c r="G387" s="16" t="s">
        <v>526</v>
      </c>
      <c r="H387" s="16" t="s">
        <v>143</v>
      </c>
      <c r="I387" s="22" t="s">
        <v>861</v>
      </c>
      <c r="J387" s="16">
        <f>IFERROR(INDEX(Aux_HH!$J$4:$J$31,MATCH($H387&amp;"|"&amp;$I387,Aux_HH!$A$4:$A$31,0)),"")</f>
        <v>4.5</v>
      </c>
      <c r="K387" s="16" t="s">
        <v>76</v>
      </c>
      <c r="L387" s="16" t="str">
        <f>IF(COUNTIFS(Pessoas!$C$5:$C$44,$K387,Pessoas!$G$5:$G$44,"Ativo")=0,"Equipe "&amp;$K387,INDEX(Pessoas!$A$5:$A$44,_xludf.aggregate(15,6,(ROW(Pessoas!$A$5:$A$44)-4)/((Pessoas!$C$5:$C$44=$K387)*(Pessoas!$G$5:$G$44="Ativo")),MOD(ROW()-6,MAX(1,COUNTIFS(Pessoas!$C$5:$C$44,$K387,Pessoas!$G$5:$G$44,"Ativo")))+1)))</f>
        <v>Equipe Oficina Mecânica Central-Taisa</v>
      </c>
    </row>
    <row r="388" spans="1:12" ht="15" customHeight="1" x14ac:dyDescent="0.4">
      <c r="A388" s="25">
        <v>46343</v>
      </c>
      <c r="B388" s="16">
        <v>12</v>
      </c>
      <c r="C388" s="16">
        <v>1</v>
      </c>
      <c r="D388" s="16">
        <v>11</v>
      </c>
      <c r="E388" s="16" t="s">
        <v>980</v>
      </c>
      <c r="F388" s="16" t="s">
        <v>1019</v>
      </c>
      <c r="G388" s="16" t="s">
        <v>526</v>
      </c>
      <c r="H388" s="16" t="s">
        <v>143</v>
      </c>
      <c r="I388" s="22" t="s">
        <v>861</v>
      </c>
      <c r="J388" s="16">
        <f>IFERROR(INDEX(Aux_HH!$J$4:$J$31,MATCH($H388&amp;"|"&amp;$I388,Aux_HH!$A$4:$A$31,0)),"")</f>
        <v>4.5</v>
      </c>
      <c r="K388" s="16" t="s">
        <v>76</v>
      </c>
      <c r="L388" s="16" t="str">
        <f>IF(COUNTIFS(Pessoas!$C$5:$C$44,$K388,Pessoas!$G$5:$G$44,"Ativo")=0,"Equipe "&amp;$K388,INDEX(Pessoas!$A$5:$A$44,_xludf.aggregate(15,6,(ROW(Pessoas!$A$5:$A$44)-4)/((Pessoas!$C$5:$C$44=$K388)*(Pessoas!$G$5:$G$44="Ativo")),MOD(ROW()-6,MAX(1,COUNTIFS(Pessoas!$C$5:$C$44,$K388,Pessoas!$G$5:$G$44,"Ativo")))+1)))</f>
        <v>Equipe Oficina Mecânica Central-Taisa</v>
      </c>
    </row>
    <row r="389" spans="1:12" ht="15" customHeight="1" x14ac:dyDescent="0.4">
      <c r="A389" s="25">
        <v>46343</v>
      </c>
      <c r="B389" s="16">
        <v>12</v>
      </c>
      <c r="C389" s="16">
        <v>1</v>
      </c>
      <c r="D389" s="16">
        <v>11</v>
      </c>
      <c r="E389" s="16" t="s">
        <v>980</v>
      </c>
      <c r="F389" s="16" t="s">
        <v>1020</v>
      </c>
      <c r="G389" s="16" t="s">
        <v>526</v>
      </c>
      <c r="H389" s="16" t="s">
        <v>143</v>
      </c>
      <c r="I389" s="22" t="s">
        <v>861</v>
      </c>
      <c r="J389" s="16">
        <f>IFERROR(INDEX(Aux_HH!$J$4:$J$31,MATCH($H389&amp;"|"&amp;$I389,Aux_HH!$A$4:$A$31,0)),"")</f>
        <v>4.5</v>
      </c>
      <c r="K389" s="16" t="s">
        <v>76</v>
      </c>
      <c r="L389" s="16" t="str">
        <f>IF(COUNTIFS(Pessoas!$C$5:$C$44,$K389,Pessoas!$G$5:$G$44,"Ativo")=0,"Equipe "&amp;$K389,INDEX(Pessoas!$A$5:$A$44,_xludf.aggregate(15,6,(ROW(Pessoas!$A$5:$A$44)-4)/((Pessoas!$C$5:$C$44=$K389)*(Pessoas!$G$5:$G$44="Ativo")),MOD(ROW()-6,MAX(1,COUNTIFS(Pessoas!$C$5:$C$44,$K389,Pessoas!$G$5:$G$44,"Ativo")))+1)))</f>
        <v>Equipe Oficina Mecânica Central-Taisa</v>
      </c>
    </row>
    <row r="390" spans="1:12" ht="15" customHeight="1" x14ac:dyDescent="0.4">
      <c r="A390" s="25">
        <v>46343</v>
      </c>
      <c r="B390" s="16">
        <v>12</v>
      </c>
      <c r="C390" s="16">
        <v>1</v>
      </c>
      <c r="D390" s="16">
        <v>11</v>
      </c>
      <c r="E390" s="16" t="s">
        <v>980</v>
      </c>
      <c r="F390" s="16" t="s">
        <v>1021</v>
      </c>
      <c r="G390" s="16" t="s">
        <v>184</v>
      </c>
      <c r="H390" s="16" t="s">
        <v>143</v>
      </c>
      <c r="I390" s="22" t="s">
        <v>861</v>
      </c>
      <c r="J390" s="16">
        <f>IFERROR(INDEX(Aux_HH!$J$4:$J$31,MATCH($H390&amp;"|"&amp;$I390,Aux_HH!$A$4:$A$31,0)),"")</f>
        <v>4.5</v>
      </c>
      <c r="K390" s="16" t="s">
        <v>76</v>
      </c>
      <c r="L390" s="16" t="str">
        <f>IF(COUNTIFS(Pessoas!$C$5:$C$44,$K390,Pessoas!$G$5:$G$44,"Ativo")=0,"Equipe "&amp;$K390,INDEX(Pessoas!$A$5:$A$44,_xludf.aggregate(15,6,(ROW(Pessoas!$A$5:$A$44)-4)/((Pessoas!$C$5:$C$44=$K390)*(Pessoas!$G$5:$G$44="Ativo")),MOD(ROW()-6,MAX(1,COUNTIFS(Pessoas!$C$5:$C$44,$K390,Pessoas!$G$5:$G$44,"Ativo")))+1)))</f>
        <v>Equipe Oficina Mecânica Central-Taisa</v>
      </c>
    </row>
    <row r="391" spans="1:12" ht="15" customHeight="1" x14ac:dyDescent="0.4">
      <c r="A391" s="25">
        <v>46344</v>
      </c>
      <c r="B391" s="16">
        <v>12</v>
      </c>
      <c r="C391" s="16">
        <v>1</v>
      </c>
      <c r="D391" s="16">
        <v>11</v>
      </c>
      <c r="E391" s="16" t="s">
        <v>980</v>
      </c>
      <c r="F391" s="16" t="s">
        <v>1022</v>
      </c>
      <c r="G391" s="16" t="s">
        <v>184</v>
      </c>
      <c r="H391" s="16" t="s">
        <v>143</v>
      </c>
      <c r="I391" s="22" t="s">
        <v>861</v>
      </c>
      <c r="J391" s="16">
        <f>IFERROR(INDEX(Aux_HH!$J$4:$J$31,MATCH($H391&amp;"|"&amp;$I391,Aux_HH!$A$4:$A$31,0)),"")</f>
        <v>4.5</v>
      </c>
      <c r="K391" s="16" t="s">
        <v>76</v>
      </c>
      <c r="L391" s="16" t="str">
        <f>IF(COUNTIFS(Pessoas!$C$5:$C$44,$K391,Pessoas!$G$5:$G$44,"Ativo")=0,"Equipe "&amp;$K391,INDEX(Pessoas!$A$5:$A$44,_xludf.aggregate(15,6,(ROW(Pessoas!$A$5:$A$44)-4)/((Pessoas!$C$5:$C$44=$K391)*(Pessoas!$G$5:$G$44="Ativo")),MOD(ROW()-6,MAX(1,COUNTIFS(Pessoas!$C$5:$C$44,$K391,Pessoas!$G$5:$G$44,"Ativo")))+1)))</f>
        <v>Equipe Oficina Mecânica Central-Taisa</v>
      </c>
    </row>
    <row r="392" spans="1:12" ht="15" customHeight="1" x14ac:dyDescent="0.4">
      <c r="A392" s="25">
        <v>46344</v>
      </c>
      <c r="B392" s="16">
        <v>12</v>
      </c>
      <c r="C392" s="16">
        <v>1</v>
      </c>
      <c r="D392" s="16">
        <v>11</v>
      </c>
      <c r="E392" s="16" t="s">
        <v>980</v>
      </c>
      <c r="F392" s="16" t="s">
        <v>1023</v>
      </c>
      <c r="G392" s="16" t="s">
        <v>184</v>
      </c>
      <c r="H392" s="16" t="s">
        <v>143</v>
      </c>
      <c r="I392" s="22" t="s">
        <v>861</v>
      </c>
      <c r="J392" s="16">
        <f>IFERROR(INDEX(Aux_HH!$J$4:$J$31,MATCH($H392&amp;"|"&amp;$I392,Aux_HH!$A$4:$A$31,0)),"")</f>
        <v>4.5</v>
      </c>
      <c r="K392" s="16" t="s">
        <v>76</v>
      </c>
      <c r="L392" s="16" t="str">
        <f>IF(COUNTIFS(Pessoas!$C$5:$C$44,$K392,Pessoas!$G$5:$G$44,"Ativo")=0,"Equipe "&amp;$K392,INDEX(Pessoas!$A$5:$A$44,_xludf.aggregate(15,6,(ROW(Pessoas!$A$5:$A$44)-4)/((Pessoas!$C$5:$C$44=$K392)*(Pessoas!$G$5:$G$44="Ativo")),MOD(ROW()-6,MAX(1,COUNTIFS(Pessoas!$C$5:$C$44,$K392,Pessoas!$G$5:$G$44,"Ativo")))+1)))</f>
        <v>Equipe Oficina Mecânica Central-Taisa</v>
      </c>
    </row>
    <row r="393" spans="1:12" ht="15" customHeight="1" x14ac:dyDescent="0.4">
      <c r="A393" s="25">
        <v>46344</v>
      </c>
      <c r="B393" s="16">
        <v>12</v>
      </c>
      <c r="C393" s="16">
        <v>1</v>
      </c>
      <c r="D393" s="16">
        <v>11</v>
      </c>
      <c r="E393" s="16" t="s">
        <v>980</v>
      </c>
      <c r="F393" s="16" t="s">
        <v>1024</v>
      </c>
      <c r="G393" s="16" t="s">
        <v>184</v>
      </c>
      <c r="H393" s="16" t="s">
        <v>143</v>
      </c>
      <c r="I393" s="22" t="s">
        <v>861</v>
      </c>
      <c r="J393" s="16">
        <f>IFERROR(INDEX(Aux_HH!$J$4:$J$31,MATCH($H393&amp;"|"&amp;$I393,Aux_HH!$A$4:$A$31,0)),"")</f>
        <v>4.5</v>
      </c>
      <c r="K393" s="16" t="s">
        <v>76</v>
      </c>
      <c r="L393" s="16" t="str">
        <f>IF(COUNTIFS(Pessoas!$C$5:$C$44,$K393,Pessoas!$G$5:$G$44,"Ativo")=0,"Equipe "&amp;$K393,INDEX(Pessoas!$A$5:$A$44,_xludf.aggregate(15,6,(ROW(Pessoas!$A$5:$A$44)-4)/((Pessoas!$C$5:$C$44=$K393)*(Pessoas!$G$5:$G$44="Ativo")),MOD(ROW()-6,MAX(1,COUNTIFS(Pessoas!$C$5:$C$44,$K393,Pessoas!$G$5:$G$44,"Ativo")))+1)))</f>
        <v>Equipe Oficina Mecânica Central-Taisa</v>
      </c>
    </row>
    <row r="394" spans="1:12" ht="15" customHeight="1" x14ac:dyDescent="0.4">
      <c r="A394" s="25">
        <v>46344</v>
      </c>
      <c r="B394" s="16">
        <v>12</v>
      </c>
      <c r="C394" s="16">
        <v>1</v>
      </c>
      <c r="D394" s="16">
        <v>11</v>
      </c>
      <c r="E394" s="16" t="s">
        <v>980</v>
      </c>
      <c r="F394" s="16" t="s">
        <v>1025</v>
      </c>
      <c r="G394" s="16" t="s">
        <v>184</v>
      </c>
      <c r="H394" s="16" t="s">
        <v>143</v>
      </c>
      <c r="I394" s="22" t="s">
        <v>861</v>
      </c>
      <c r="J394" s="16">
        <f>IFERROR(INDEX(Aux_HH!$J$4:$J$31,MATCH($H394&amp;"|"&amp;$I394,Aux_HH!$A$4:$A$31,0)),"")</f>
        <v>4.5</v>
      </c>
      <c r="K394" s="16" t="s">
        <v>76</v>
      </c>
      <c r="L394" s="16" t="str">
        <f>IF(COUNTIFS(Pessoas!$C$5:$C$44,$K394,Pessoas!$G$5:$G$44,"Ativo")=0,"Equipe "&amp;$K394,INDEX(Pessoas!$A$5:$A$44,_xludf.aggregate(15,6,(ROW(Pessoas!$A$5:$A$44)-4)/((Pessoas!$C$5:$C$44=$K394)*(Pessoas!$G$5:$G$44="Ativo")),MOD(ROW()-6,MAX(1,COUNTIFS(Pessoas!$C$5:$C$44,$K394,Pessoas!$G$5:$G$44,"Ativo")))+1)))</f>
        <v>Equipe Oficina Mecânica Central-Taisa</v>
      </c>
    </row>
    <row r="395" spans="1:12" ht="15" customHeight="1" x14ac:dyDescent="0.4">
      <c r="A395" s="25">
        <v>46344</v>
      </c>
      <c r="B395" s="16">
        <v>12</v>
      </c>
      <c r="C395" s="16">
        <v>1</v>
      </c>
      <c r="D395" s="16">
        <v>11</v>
      </c>
      <c r="E395" s="16" t="s">
        <v>980</v>
      </c>
      <c r="F395" s="16" t="s">
        <v>1026</v>
      </c>
      <c r="G395" s="16" t="s">
        <v>184</v>
      </c>
      <c r="H395" s="16" t="s">
        <v>143</v>
      </c>
      <c r="I395" s="22" t="s">
        <v>861</v>
      </c>
      <c r="J395" s="16">
        <f>IFERROR(INDEX(Aux_HH!$J$4:$J$31,MATCH($H395&amp;"|"&amp;$I395,Aux_HH!$A$4:$A$31,0)),"")</f>
        <v>4.5</v>
      </c>
      <c r="K395" s="16" t="s">
        <v>76</v>
      </c>
      <c r="L395" s="16" t="str">
        <f>IF(COUNTIFS(Pessoas!$C$5:$C$44,$K395,Pessoas!$G$5:$G$44,"Ativo")=0,"Equipe "&amp;$K395,INDEX(Pessoas!$A$5:$A$44,_xludf.aggregate(15,6,(ROW(Pessoas!$A$5:$A$44)-4)/((Pessoas!$C$5:$C$44=$K395)*(Pessoas!$G$5:$G$44="Ativo")),MOD(ROW()-6,MAX(1,COUNTIFS(Pessoas!$C$5:$C$44,$K395,Pessoas!$G$5:$G$44,"Ativo")))+1)))</f>
        <v>Equipe Oficina Mecânica Central-Taisa</v>
      </c>
    </row>
    <row r="396" spans="1:12" ht="15" customHeight="1" x14ac:dyDescent="0.4">
      <c r="A396" s="25">
        <v>46344</v>
      </c>
      <c r="B396" s="16">
        <v>12</v>
      </c>
      <c r="C396" s="16">
        <v>1</v>
      </c>
      <c r="D396" s="16">
        <v>11</v>
      </c>
      <c r="E396" s="16" t="s">
        <v>980</v>
      </c>
      <c r="F396" s="16" t="s">
        <v>1027</v>
      </c>
      <c r="G396" s="16" t="s">
        <v>184</v>
      </c>
      <c r="H396" s="16" t="s">
        <v>143</v>
      </c>
      <c r="I396" s="22" t="s">
        <v>861</v>
      </c>
      <c r="J396" s="16">
        <f>IFERROR(INDEX(Aux_HH!$J$4:$J$31,MATCH($H396&amp;"|"&amp;$I396,Aux_HH!$A$4:$A$31,0)),"")</f>
        <v>4.5</v>
      </c>
      <c r="K396" s="16" t="s">
        <v>76</v>
      </c>
      <c r="L396" s="16" t="str">
        <f>IF(COUNTIFS(Pessoas!$C$5:$C$44,$K396,Pessoas!$G$5:$G$44,"Ativo")=0,"Equipe "&amp;$K396,INDEX(Pessoas!$A$5:$A$44,_xludf.aggregate(15,6,(ROW(Pessoas!$A$5:$A$44)-4)/((Pessoas!$C$5:$C$44=$K396)*(Pessoas!$G$5:$G$44="Ativo")),MOD(ROW()-6,MAX(1,COUNTIFS(Pessoas!$C$5:$C$44,$K396,Pessoas!$G$5:$G$44,"Ativo")))+1)))</f>
        <v>Equipe Oficina Mecânica Central-Taisa</v>
      </c>
    </row>
    <row r="397" spans="1:12" ht="15" customHeight="1" x14ac:dyDescent="0.4">
      <c r="A397" s="25">
        <v>46344</v>
      </c>
      <c r="B397" s="16">
        <v>12</v>
      </c>
      <c r="C397" s="16">
        <v>1</v>
      </c>
      <c r="D397" s="16">
        <v>11</v>
      </c>
      <c r="E397" s="16" t="s">
        <v>980</v>
      </c>
      <c r="F397" s="16" t="s">
        <v>1028</v>
      </c>
      <c r="G397" s="16" t="s">
        <v>184</v>
      </c>
      <c r="H397" s="16" t="s">
        <v>143</v>
      </c>
      <c r="I397" s="22" t="s">
        <v>861</v>
      </c>
      <c r="J397" s="16">
        <f>IFERROR(INDEX(Aux_HH!$J$4:$J$31,MATCH($H397&amp;"|"&amp;$I397,Aux_HH!$A$4:$A$31,0)),"")</f>
        <v>4.5</v>
      </c>
      <c r="K397" s="16" t="s">
        <v>76</v>
      </c>
      <c r="L397" s="16" t="str">
        <f>IF(COUNTIFS(Pessoas!$C$5:$C$44,$K397,Pessoas!$G$5:$G$44,"Ativo")=0,"Equipe "&amp;$K397,INDEX(Pessoas!$A$5:$A$44,_xludf.aggregate(15,6,(ROW(Pessoas!$A$5:$A$44)-4)/((Pessoas!$C$5:$C$44=$K397)*(Pessoas!$G$5:$G$44="Ativo")),MOD(ROW()-6,MAX(1,COUNTIFS(Pessoas!$C$5:$C$44,$K397,Pessoas!$G$5:$G$44,"Ativo")))+1)))</f>
        <v>Equipe Oficina Mecânica Central-Taisa</v>
      </c>
    </row>
    <row r="398" spans="1:12" ht="15" customHeight="1" x14ac:dyDescent="0.4">
      <c r="A398" s="25">
        <v>46344</v>
      </c>
      <c r="B398" s="16">
        <v>12</v>
      </c>
      <c r="C398" s="16">
        <v>1</v>
      </c>
      <c r="D398" s="16">
        <v>11</v>
      </c>
      <c r="E398" s="16" t="s">
        <v>980</v>
      </c>
      <c r="F398" s="16" t="s">
        <v>1029</v>
      </c>
      <c r="G398" s="16" t="s">
        <v>184</v>
      </c>
      <c r="H398" s="16" t="s">
        <v>143</v>
      </c>
      <c r="I398" s="22" t="s">
        <v>861</v>
      </c>
      <c r="J398" s="16">
        <f>IFERROR(INDEX(Aux_HH!$J$4:$J$31,MATCH($H398&amp;"|"&amp;$I398,Aux_HH!$A$4:$A$31,0)),"")</f>
        <v>4.5</v>
      </c>
      <c r="K398" s="16" t="s">
        <v>76</v>
      </c>
      <c r="L398" s="16" t="str">
        <f>IF(COUNTIFS(Pessoas!$C$5:$C$44,$K398,Pessoas!$G$5:$G$44,"Ativo")=0,"Equipe "&amp;$K398,INDEX(Pessoas!$A$5:$A$44,_xludf.aggregate(15,6,(ROW(Pessoas!$A$5:$A$44)-4)/((Pessoas!$C$5:$C$44=$K398)*(Pessoas!$G$5:$G$44="Ativo")),MOD(ROW()-6,MAX(1,COUNTIFS(Pessoas!$C$5:$C$44,$K398,Pessoas!$G$5:$G$44,"Ativo")))+1)))</f>
        <v>Equipe Oficina Mecânica Central-Taisa</v>
      </c>
    </row>
    <row r="399" spans="1:12" ht="15" customHeight="1" x14ac:dyDescent="0.4">
      <c r="A399" s="25">
        <v>46344</v>
      </c>
      <c r="B399" s="16">
        <v>12</v>
      </c>
      <c r="C399" s="16">
        <v>1</v>
      </c>
      <c r="D399" s="16">
        <v>11</v>
      </c>
      <c r="E399" s="16" t="s">
        <v>980</v>
      </c>
      <c r="F399" s="16" t="s">
        <v>1030</v>
      </c>
      <c r="G399" s="16" t="s">
        <v>526</v>
      </c>
      <c r="H399" s="16" t="s">
        <v>143</v>
      </c>
      <c r="I399" s="22" t="s">
        <v>861</v>
      </c>
      <c r="J399" s="16">
        <f>IFERROR(INDEX(Aux_HH!$J$4:$J$31,MATCH($H399&amp;"|"&amp;$I399,Aux_HH!$A$4:$A$31,0)),"")</f>
        <v>4.5</v>
      </c>
      <c r="K399" s="16" t="s">
        <v>76</v>
      </c>
      <c r="L399" s="16" t="str">
        <f>IF(COUNTIFS(Pessoas!$C$5:$C$44,$K399,Pessoas!$G$5:$G$44,"Ativo")=0,"Equipe "&amp;$K399,INDEX(Pessoas!$A$5:$A$44,_xludf.aggregate(15,6,(ROW(Pessoas!$A$5:$A$44)-4)/((Pessoas!$C$5:$C$44=$K399)*(Pessoas!$G$5:$G$44="Ativo")),MOD(ROW()-6,MAX(1,COUNTIFS(Pessoas!$C$5:$C$44,$K399,Pessoas!$G$5:$G$44,"Ativo")))+1)))</f>
        <v>Equipe Oficina Mecânica Central-Taisa</v>
      </c>
    </row>
    <row r="400" spans="1:12" ht="15" customHeight="1" x14ac:dyDescent="0.4">
      <c r="A400" s="25">
        <v>46344</v>
      </c>
      <c r="B400" s="16">
        <v>12</v>
      </c>
      <c r="C400" s="16">
        <v>1</v>
      </c>
      <c r="D400" s="16">
        <v>11</v>
      </c>
      <c r="E400" s="16" t="s">
        <v>980</v>
      </c>
      <c r="F400" s="16" t="s">
        <v>1031</v>
      </c>
      <c r="G400" s="16" t="s">
        <v>526</v>
      </c>
      <c r="H400" s="16" t="s">
        <v>143</v>
      </c>
      <c r="I400" s="22" t="s">
        <v>861</v>
      </c>
      <c r="J400" s="16">
        <f>IFERROR(INDEX(Aux_HH!$J$4:$J$31,MATCH($H400&amp;"|"&amp;$I400,Aux_HH!$A$4:$A$31,0)),"")</f>
        <v>4.5</v>
      </c>
      <c r="K400" s="16" t="s">
        <v>76</v>
      </c>
      <c r="L400" s="16" t="str">
        <f>IF(COUNTIFS(Pessoas!$C$5:$C$44,$K400,Pessoas!$G$5:$G$44,"Ativo")=0,"Equipe "&amp;$K400,INDEX(Pessoas!$A$5:$A$44,_xludf.aggregate(15,6,(ROW(Pessoas!$A$5:$A$44)-4)/((Pessoas!$C$5:$C$44=$K400)*(Pessoas!$G$5:$G$44="Ativo")),MOD(ROW()-6,MAX(1,COUNTIFS(Pessoas!$C$5:$C$44,$K400,Pessoas!$G$5:$G$44,"Ativo")))+1)))</f>
        <v>Equipe Oficina Mecânica Central-Taisa</v>
      </c>
    </row>
    <row r="401" spans="1:12" ht="15" customHeight="1" x14ac:dyDescent="0.4">
      <c r="A401" s="25">
        <v>46344</v>
      </c>
      <c r="B401" s="16">
        <v>12</v>
      </c>
      <c r="C401" s="16">
        <v>1</v>
      </c>
      <c r="D401" s="16">
        <v>11</v>
      </c>
      <c r="E401" s="16" t="s">
        <v>980</v>
      </c>
      <c r="F401" s="16" t="s">
        <v>1032</v>
      </c>
      <c r="G401" s="16" t="s">
        <v>526</v>
      </c>
      <c r="H401" s="16" t="s">
        <v>143</v>
      </c>
      <c r="I401" s="22" t="s">
        <v>861</v>
      </c>
      <c r="J401" s="16">
        <f>IFERROR(INDEX(Aux_HH!$J$4:$J$31,MATCH($H401&amp;"|"&amp;$I401,Aux_HH!$A$4:$A$31,0)),"")</f>
        <v>4.5</v>
      </c>
      <c r="K401" s="16" t="s">
        <v>76</v>
      </c>
      <c r="L401" s="16" t="str">
        <f>IF(COUNTIFS(Pessoas!$C$5:$C$44,$K401,Pessoas!$G$5:$G$44,"Ativo")=0,"Equipe "&amp;$K401,INDEX(Pessoas!$A$5:$A$44,_xludf.aggregate(15,6,(ROW(Pessoas!$A$5:$A$44)-4)/((Pessoas!$C$5:$C$44=$K401)*(Pessoas!$G$5:$G$44="Ativo")),MOD(ROW()-6,MAX(1,COUNTIFS(Pessoas!$C$5:$C$44,$K401,Pessoas!$G$5:$G$44,"Ativo")))+1)))</f>
        <v>Equipe Oficina Mecânica Central-Taisa</v>
      </c>
    </row>
    <row r="402" spans="1:12" ht="15" customHeight="1" x14ac:dyDescent="0.4">
      <c r="A402" s="25">
        <v>46344</v>
      </c>
      <c r="B402" s="16">
        <v>12</v>
      </c>
      <c r="C402" s="16">
        <v>1</v>
      </c>
      <c r="D402" s="16">
        <v>11</v>
      </c>
      <c r="E402" s="16" t="s">
        <v>980</v>
      </c>
      <c r="F402" s="16" t="s">
        <v>1033</v>
      </c>
      <c r="G402" s="16" t="s">
        <v>526</v>
      </c>
      <c r="H402" s="16" t="s">
        <v>143</v>
      </c>
      <c r="I402" s="22" t="s">
        <v>861</v>
      </c>
      <c r="J402" s="16">
        <f>IFERROR(INDEX(Aux_HH!$J$4:$J$31,MATCH($H402&amp;"|"&amp;$I402,Aux_HH!$A$4:$A$31,0)),"")</f>
        <v>4.5</v>
      </c>
      <c r="K402" s="16" t="s">
        <v>76</v>
      </c>
      <c r="L402" s="16" t="str">
        <f>IF(COUNTIFS(Pessoas!$C$5:$C$44,$K402,Pessoas!$G$5:$G$44,"Ativo")=0,"Equipe "&amp;$K402,INDEX(Pessoas!$A$5:$A$44,_xludf.aggregate(15,6,(ROW(Pessoas!$A$5:$A$44)-4)/((Pessoas!$C$5:$C$44=$K402)*(Pessoas!$G$5:$G$44="Ativo")),MOD(ROW()-6,MAX(1,COUNTIFS(Pessoas!$C$5:$C$44,$K402,Pessoas!$G$5:$G$44,"Ativo")))+1)))</f>
        <v>Equipe Oficina Mecânica Central-Taisa</v>
      </c>
    </row>
    <row r="403" spans="1:12" ht="15" customHeight="1" x14ac:dyDescent="0.4">
      <c r="A403" s="25">
        <v>46344</v>
      </c>
      <c r="B403" s="16">
        <v>12</v>
      </c>
      <c r="C403" s="16">
        <v>1</v>
      </c>
      <c r="D403" s="16">
        <v>11</v>
      </c>
      <c r="E403" s="16" t="s">
        <v>980</v>
      </c>
      <c r="F403" s="16" t="s">
        <v>1034</v>
      </c>
      <c r="G403" s="16" t="s">
        <v>526</v>
      </c>
      <c r="H403" s="16" t="s">
        <v>143</v>
      </c>
      <c r="I403" s="22" t="s">
        <v>861</v>
      </c>
      <c r="J403" s="16">
        <f>IFERROR(INDEX(Aux_HH!$J$4:$J$31,MATCH($H403&amp;"|"&amp;$I403,Aux_HH!$A$4:$A$31,0)),"")</f>
        <v>4.5</v>
      </c>
      <c r="K403" s="16" t="s">
        <v>76</v>
      </c>
      <c r="L403" s="16" t="str">
        <f>IF(COUNTIFS(Pessoas!$C$5:$C$44,$K403,Pessoas!$G$5:$G$44,"Ativo")=0,"Equipe "&amp;$K403,INDEX(Pessoas!$A$5:$A$44,_xludf.aggregate(15,6,(ROW(Pessoas!$A$5:$A$44)-4)/((Pessoas!$C$5:$C$44=$K403)*(Pessoas!$G$5:$G$44="Ativo")),MOD(ROW()-6,MAX(1,COUNTIFS(Pessoas!$C$5:$C$44,$K403,Pessoas!$G$5:$G$44,"Ativo")))+1)))</f>
        <v>Equipe Oficina Mecânica Central-Taisa</v>
      </c>
    </row>
    <row r="404" spans="1:12" ht="15" customHeight="1" x14ac:dyDescent="0.4">
      <c r="A404" s="25">
        <v>46344</v>
      </c>
      <c r="B404" s="16">
        <v>12</v>
      </c>
      <c r="C404" s="16">
        <v>1</v>
      </c>
      <c r="D404" s="16">
        <v>11</v>
      </c>
      <c r="E404" s="16" t="s">
        <v>980</v>
      </c>
      <c r="F404" s="16" t="s">
        <v>1035</v>
      </c>
      <c r="G404" s="16" t="s">
        <v>184</v>
      </c>
      <c r="H404" s="16" t="s">
        <v>143</v>
      </c>
      <c r="I404" s="22" t="s">
        <v>861</v>
      </c>
      <c r="J404" s="16">
        <f>IFERROR(INDEX(Aux_HH!$J$4:$J$31,MATCH($H404&amp;"|"&amp;$I404,Aux_HH!$A$4:$A$31,0)),"")</f>
        <v>4.5</v>
      </c>
      <c r="K404" s="16" t="s">
        <v>76</v>
      </c>
      <c r="L404" s="16" t="str">
        <f>IF(COUNTIFS(Pessoas!$C$5:$C$44,$K404,Pessoas!$G$5:$G$44,"Ativo")=0,"Equipe "&amp;$K404,INDEX(Pessoas!$A$5:$A$44,_xludf.aggregate(15,6,(ROW(Pessoas!$A$5:$A$44)-4)/((Pessoas!$C$5:$C$44=$K404)*(Pessoas!$G$5:$G$44="Ativo")),MOD(ROW()-6,MAX(1,COUNTIFS(Pessoas!$C$5:$C$44,$K404,Pessoas!$G$5:$G$44,"Ativo")))+1)))</f>
        <v>Equipe Oficina Mecânica Central-Taisa</v>
      </c>
    </row>
    <row r="405" spans="1:12" ht="15" customHeight="1" x14ac:dyDescent="0.4">
      <c r="A405" s="25">
        <v>46344</v>
      </c>
      <c r="B405" s="16">
        <v>12</v>
      </c>
      <c r="C405" s="16">
        <v>1</v>
      </c>
      <c r="D405" s="16">
        <v>11</v>
      </c>
      <c r="E405" s="16" t="s">
        <v>980</v>
      </c>
      <c r="F405" s="16" t="s">
        <v>1036</v>
      </c>
      <c r="G405" s="16" t="s">
        <v>184</v>
      </c>
      <c r="H405" s="16" t="s">
        <v>143</v>
      </c>
      <c r="I405" s="22" t="s">
        <v>861</v>
      </c>
      <c r="J405" s="16">
        <f>IFERROR(INDEX(Aux_HH!$J$4:$J$31,MATCH($H405&amp;"|"&amp;$I405,Aux_HH!$A$4:$A$31,0)),"")</f>
        <v>4.5</v>
      </c>
      <c r="K405" s="16" t="s">
        <v>76</v>
      </c>
      <c r="L405" s="16" t="str">
        <f>IF(COUNTIFS(Pessoas!$C$5:$C$44,$K405,Pessoas!$G$5:$G$44,"Ativo")=0,"Equipe "&amp;$K405,INDEX(Pessoas!$A$5:$A$44,_xludf.aggregate(15,6,(ROW(Pessoas!$A$5:$A$44)-4)/((Pessoas!$C$5:$C$44=$K405)*(Pessoas!$G$5:$G$44="Ativo")),MOD(ROW()-6,MAX(1,COUNTIFS(Pessoas!$C$5:$C$44,$K405,Pessoas!$G$5:$G$44,"Ativo")))+1)))</f>
        <v>Equipe Oficina Mecânica Central-Taisa</v>
      </c>
    </row>
    <row r="406" spans="1:12" ht="15" customHeight="1" x14ac:dyDescent="0.4">
      <c r="A406" s="25">
        <v>46345</v>
      </c>
      <c r="B406" s="16">
        <v>12</v>
      </c>
      <c r="C406" s="16">
        <v>1</v>
      </c>
      <c r="D406" s="16">
        <v>11</v>
      </c>
      <c r="E406" s="16" t="s">
        <v>980</v>
      </c>
      <c r="F406" s="16" t="s">
        <v>1037</v>
      </c>
      <c r="G406" s="16" t="s">
        <v>184</v>
      </c>
      <c r="H406" s="16" t="s">
        <v>143</v>
      </c>
      <c r="I406" s="22" t="s">
        <v>861</v>
      </c>
      <c r="J406" s="16">
        <f>IFERROR(INDEX(Aux_HH!$J$4:$J$31,MATCH($H406&amp;"|"&amp;$I406,Aux_HH!$A$4:$A$31,0)),"")</f>
        <v>4.5</v>
      </c>
      <c r="K406" s="16" t="s">
        <v>76</v>
      </c>
      <c r="L406" s="16" t="str">
        <f>IF(COUNTIFS(Pessoas!$C$5:$C$44,$K406,Pessoas!$G$5:$G$44,"Ativo")=0,"Equipe "&amp;$K406,INDEX(Pessoas!$A$5:$A$44,_xludf.aggregate(15,6,(ROW(Pessoas!$A$5:$A$44)-4)/((Pessoas!$C$5:$C$44=$K406)*(Pessoas!$G$5:$G$44="Ativo")),MOD(ROW()-6,MAX(1,COUNTIFS(Pessoas!$C$5:$C$44,$K406,Pessoas!$G$5:$G$44,"Ativo")))+1)))</f>
        <v>Equipe Oficina Mecânica Central-Taisa</v>
      </c>
    </row>
    <row r="407" spans="1:12" ht="15" customHeight="1" x14ac:dyDescent="0.4">
      <c r="A407" s="25">
        <v>46345</v>
      </c>
      <c r="B407" s="16">
        <v>12</v>
      </c>
      <c r="C407" s="16">
        <v>1</v>
      </c>
      <c r="D407" s="16">
        <v>11</v>
      </c>
      <c r="E407" s="16" t="s">
        <v>980</v>
      </c>
      <c r="F407" s="16" t="s">
        <v>1038</v>
      </c>
      <c r="G407" s="16" t="s">
        <v>184</v>
      </c>
      <c r="H407" s="16" t="s">
        <v>143</v>
      </c>
      <c r="I407" s="22" t="s">
        <v>861</v>
      </c>
      <c r="J407" s="16">
        <f>IFERROR(INDEX(Aux_HH!$J$4:$J$31,MATCH($H407&amp;"|"&amp;$I407,Aux_HH!$A$4:$A$31,0)),"")</f>
        <v>4.5</v>
      </c>
      <c r="K407" s="16" t="s">
        <v>76</v>
      </c>
      <c r="L407" s="16" t="str">
        <f>IF(COUNTIFS(Pessoas!$C$5:$C$44,$K407,Pessoas!$G$5:$G$44,"Ativo")=0,"Equipe "&amp;$K407,INDEX(Pessoas!$A$5:$A$44,_xludf.aggregate(15,6,(ROW(Pessoas!$A$5:$A$44)-4)/((Pessoas!$C$5:$C$44=$K407)*(Pessoas!$G$5:$G$44="Ativo")),MOD(ROW()-6,MAX(1,COUNTIFS(Pessoas!$C$5:$C$44,$K407,Pessoas!$G$5:$G$44,"Ativo")))+1)))</f>
        <v>Equipe Oficina Mecânica Central-Taisa</v>
      </c>
    </row>
    <row r="408" spans="1:12" ht="15" customHeight="1" x14ac:dyDescent="0.4">
      <c r="A408" s="25">
        <v>46345</v>
      </c>
      <c r="B408" s="16">
        <v>12</v>
      </c>
      <c r="C408" s="16">
        <v>1</v>
      </c>
      <c r="D408" s="16">
        <v>11</v>
      </c>
      <c r="E408" s="16" t="s">
        <v>980</v>
      </c>
      <c r="F408" s="16" t="s">
        <v>1039</v>
      </c>
      <c r="G408" s="16" t="s">
        <v>184</v>
      </c>
      <c r="H408" s="16" t="s">
        <v>143</v>
      </c>
      <c r="I408" s="22" t="s">
        <v>861</v>
      </c>
      <c r="J408" s="16">
        <f>IFERROR(INDEX(Aux_HH!$J$4:$J$31,MATCH($H408&amp;"|"&amp;$I408,Aux_HH!$A$4:$A$31,0)),"")</f>
        <v>4.5</v>
      </c>
      <c r="K408" s="16" t="s">
        <v>76</v>
      </c>
      <c r="L408" s="16" t="str">
        <f>IF(COUNTIFS(Pessoas!$C$5:$C$44,$K408,Pessoas!$G$5:$G$44,"Ativo")=0,"Equipe "&amp;$K408,INDEX(Pessoas!$A$5:$A$44,_xludf.aggregate(15,6,(ROW(Pessoas!$A$5:$A$44)-4)/((Pessoas!$C$5:$C$44=$K408)*(Pessoas!$G$5:$G$44="Ativo")),MOD(ROW()-6,MAX(1,COUNTIFS(Pessoas!$C$5:$C$44,$K408,Pessoas!$G$5:$G$44,"Ativo")))+1)))</f>
        <v>Equipe Oficina Mecânica Central-Taisa</v>
      </c>
    </row>
    <row r="409" spans="1:12" ht="15" customHeight="1" x14ac:dyDescent="0.4">
      <c r="A409" s="25">
        <v>46345</v>
      </c>
      <c r="B409" s="16">
        <v>12</v>
      </c>
      <c r="C409" s="16">
        <v>1</v>
      </c>
      <c r="D409" s="16">
        <v>11</v>
      </c>
      <c r="E409" s="16" t="s">
        <v>980</v>
      </c>
      <c r="F409" s="16" t="s">
        <v>1040</v>
      </c>
      <c r="G409" s="16" t="s">
        <v>184</v>
      </c>
      <c r="H409" s="16" t="s">
        <v>143</v>
      </c>
      <c r="I409" s="22" t="s">
        <v>861</v>
      </c>
      <c r="J409" s="16">
        <f>IFERROR(INDEX(Aux_HH!$J$4:$J$31,MATCH($H409&amp;"|"&amp;$I409,Aux_HH!$A$4:$A$31,0)),"")</f>
        <v>4.5</v>
      </c>
      <c r="K409" s="16" t="s">
        <v>76</v>
      </c>
      <c r="L409" s="16" t="str">
        <f>IF(COUNTIFS(Pessoas!$C$5:$C$44,$K409,Pessoas!$G$5:$G$44,"Ativo")=0,"Equipe "&amp;$K409,INDEX(Pessoas!$A$5:$A$44,_xludf.aggregate(15,6,(ROW(Pessoas!$A$5:$A$44)-4)/((Pessoas!$C$5:$C$44=$K409)*(Pessoas!$G$5:$G$44="Ativo")),MOD(ROW()-6,MAX(1,COUNTIFS(Pessoas!$C$5:$C$44,$K409,Pessoas!$G$5:$G$44,"Ativo")))+1)))</f>
        <v>Equipe Oficina Mecânica Central-Taisa</v>
      </c>
    </row>
    <row r="410" spans="1:12" ht="15" customHeight="1" x14ac:dyDescent="0.4">
      <c r="A410" s="25">
        <v>46345</v>
      </c>
      <c r="B410" s="16">
        <v>12</v>
      </c>
      <c r="C410" s="16">
        <v>1</v>
      </c>
      <c r="D410" s="16">
        <v>11</v>
      </c>
      <c r="E410" s="16" t="s">
        <v>980</v>
      </c>
      <c r="F410" s="16" t="s">
        <v>1041</v>
      </c>
      <c r="G410" s="16" t="s">
        <v>184</v>
      </c>
      <c r="H410" s="16" t="s">
        <v>143</v>
      </c>
      <c r="I410" s="22" t="s">
        <v>861</v>
      </c>
      <c r="J410" s="16">
        <f>IFERROR(INDEX(Aux_HH!$J$4:$J$31,MATCH($H410&amp;"|"&amp;$I410,Aux_HH!$A$4:$A$31,0)),"")</f>
        <v>4.5</v>
      </c>
      <c r="K410" s="16" t="s">
        <v>76</v>
      </c>
      <c r="L410" s="16" t="str">
        <f>IF(COUNTIFS(Pessoas!$C$5:$C$44,$K410,Pessoas!$G$5:$G$44,"Ativo")=0,"Equipe "&amp;$K410,INDEX(Pessoas!$A$5:$A$44,_xludf.aggregate(15,6,(ROW(Pessoas!$A$5:$A$44)-4)/((Pessoas!$C$5:$C$44=$K410)*(Pessoas!$G$5:$G$44="Ativo")),MOD(ROW()-6,MAX(1,COUNTIFS(Pessoas!$C$5:$C$44,$K410,Pessoas!$G$5:$G$44,"Ativo")))+1)))</f>
        <v>Equipe Oficina Mecânica Central-Taisa</v>
      </c>
    </row>
    <row r="411" spans="1:12" ht="15" customHeight="1" x14ac:dyDescent="0.4">
      <c r="A411" s="25">
        <v>46345</v>
      </c>
      <c r="B411" s="16">
        <v>12</v>
      </c>
      <c r="C411" s="16">
        <v>1</v>
      </c>
      <c r="D411" s="16">
        <v>11</v>
      </c>
      <c r="E411" s="16" t="s">
        <v>980</v>
      </c>
      <c r="F411" s="16" t="s">
        <v>1042</v>
      </c>
      <c r="G411" s="16" t="s">
        <v>184</v>
      </c>
      <c r="H411" s="16" t="s">
        <v>143</v>
      </c>
      <c r="I411" s="22" t="s">
        <v>861</v>
      </c>
      <c r="J411" s="16">
        <f>IFERROR(INDEX(Aux_HH!$J$4:$J$31,MATCH($H411&amp;"|"&amp;$I411,Aux_HH!$A$4:$A$31,0)),"")</f>
        <v>4.5</v>
      </c>
      <c r="K411" s="16" t="s">
        <v>76</v>
      </c>
      <c r="L411" s="16" t="str">
        <f>IF(COUNTIFS(Pessoas!$C$5:$C$44,$K411,Pessoas!$G$5:$G$44,"Ativo")=0,"Equipe "&amp;$K411,INDEX(Pessoas!$A$5:$A$44,_xludf.aggregate(15,6,(ROW(Pessoas!$A$5:$A$44)-4)/((Pessoas!$C$5:$C$44=$K411)*(Pessoas!$G$5:$G$44="Ativo")),MOD(ROW()-6,MAX(1,COUNTIFS(Pessoas!$C$5:$C$44,$K411,Pessoas!$G$5:$G$44,"Ativo")))+1)))</f>
        <v>Equipe Oficina Mecânica Central-Taisa</v>
      </c>
    </row>
    <row r="412" spans="1:12" ht="15" customHeight="1" x14ac:dyDescent="0.4">
      <c r="A412" s="25">
        <v>46345</v>
      </c>
      <c r="B412" s="16">
        <v>12</v>
      </c>
      <c r="C412" s="16">
        <v>1</v>
      </c>
      <c r="D412" s="16">
        <v>11</v>
      </c>
      <c r="E412" s="16" t="s">
        <v>980</v>
      </c>
      <c r="F412" s="16" t="s">
        <v>1043</v>
      </c>
      <c r="G412" s="16" t="s">
        <v>184</v>
      </c>
      <c r="H412" s="16" t="s">
        <v>143</v>
      </c>
      <c r="I412" s="22" t="s">
        <v>861</v>
      </c>
      <c r="J412" s="16">
        <f>IFERROR(INDEX(Aux_HH!$J$4:$J$31,MATCH($H412&amp;"|"&amp;$I412,Aux_HH!$A$4:$A$31,0)),"")</f>
        <v>4.5</v>
      </c>
      <c r="K412" s="16" t="s">
        <v>76</v>
      </c>
      <c r="L412" s="16" t="str">
        <f>IF(COUNTIFS(Pessoas!$C$5:$C$44,$K412,Pessoas!$G$5:$G$44,"Ativo")=0,"Equipe "&amp;$K412,INDEX(Pessoas!$A$5:$A$44,_xludf.aggregate(15,6,(ROW(Pessoas!$A$5:$A$44)-4)/((Pessoas!$C$5:$C$44=$K412)*(Pessoas!$G$5:$G$44="Ativo")),MOD(ROW()-6,MAX(1,COUNTIFS(Pessoas!$C$5:$C$44,$K412,Pessoas!$G$5:$G$44,"Ativo")))+1)))</f>
        <v>Equipe Oficina Mecânica Central-Taisa</v>
      </c>
    </row>
    <row r="413" spans="1:12" ht="15" customHeight="1" x14ac:dyDescent="0.4">
      <c r="A413" s="25">
        <v>46345</v>
      </c>
      <c r="B413" s="16">
        <v>12</v>
      </c>
      <c r="C413" s="16">
        <v>1</v>
      </c>
      <c r="D413" s="16">
        <v>11</v>
      </c>
      <c r="E413" s="16" t="s">
        <v>980</v>
      </c>
      <c r="F413" s="16" t="s">
        <v>1044</v>
      </c>
      <c r="G413" s="16" t="s">
        <v>184</v>
      </c>
      <c r="H413" s="16" t="s">
        <v>143</v>
      </c>
      <c r="I413" s="22" t="s">
        <v>861</v>
      </c>
      <c r="J413" s="16">
        <f>IFERROR(INDEX(Aux_HH!$J$4:$J$31,MATCH($H413&amp;"|"&amp;$I413,Aux_HH!$A$4:$A$31,0)),"")</f>
        <v>4.5</v>
      </c>
      <c r="K413" s="16" t="s">
        <v>76</v>
      </c>
      <c r="L413" s="16" t="str">
        <f>IF(COUNTIFS(Pessoas!$C$5:$C$44,$K413,Pessoas!$G$5:$G$44,"Ativo")=0,"Equipe "&amp;$K413,INDEX(Pessoas!$A$5:$A$44,_xludf.aggregate(15,6,(ROW(Pessoas!$A$5:$A$44)-4)/((Pessoas!$C$5:$C$44=$K413)*(Pessoas!$G$5:$G$44="Ativo")),MOD(ROW()-6,MAX(1,COUNTIFS(Pessoas!$C$5:$C$44,$K413,Pessoas!$G$5:$G$44,"Ativo")))+1)))</f>
        <v>Equipe Oficina Mecânica Central-Taisa</v>
      </c>
    </row>
    <row r="414" spans="1:12" ht="15" customHeight="1" x14ac:dyDescent="0.4">
      <c r="A414" s="25">
        <v>46345</v>
      </c>
      <c r="B414" s="16">
        <v>12</v>
      </c>
      <c r="C414" s="16">
        <v>1</v>
      </c>
      <c r="D414" s="16">
        <v>11</v>
      </c>
      <c r="E414" s="16" t="s">
        <v>980</v>
      </c>
      <c r="F414" s="16" t="s">
        <v>1045</v>
      </c>
      <c r="G414" s="16" t="s">
        <v>526</v>
      </c>
      <c r="H414" s="16" t="s">
        <v>143</v>
      </c>
      <c r="I414" s="22" t="s">
        <v>861</v>
      </c>
      <c r="J414" s="16">
        <f>IFERROR(INDEX(Aux_HH!$J$4:$J$31,MATCH($H414&amp;"|"&amp;$I414,Aux_HH!$A$4:$A$31,0)),"")</f>
        <v>4.5</v>
      </c>
      <c r="K414" s="16" t="s">
        <v>76</v>
      </c>
      <c r="L414" s="16" t="str">
        <f>IF(COUNTIFS(Pessoas!$C$5:$C$44,$K414,Pessoas!$G$5:$G$44,"Ativo")=0,"Equipe "&amp;$K414,INDEX(Pessoas!$A$5:$A$44,_xludf.aggregate(15,6,(ROW(Pessoas!$A$5:$A$44)-4)/((Pessoas!$C$5:$C$44=$K414)*(Pessoas!$G$5:$G$44="Ativo")),MOD(ROW()-6,MAX(1,COUNTIFS(Pessoas!$C$5:$C$44,$K414,Pessoas!$G$5:$G$44,"Ativo")))+1)))</f>
        <v>Equipe Oficina Mecânica Central-Taisa</v>
      </c>
    </row>
    <row r="415" spans="1:12" ht="15" customHeight="1" x14ac:dyDescent="0.4">
      <c r="A415" s="25">
        <v>46345</v>
      </c>
      <c r="B415" s="16">
        <v>12</v>
      </c>
      <c r="C415" s="16">
        <v>1</v>
      </c>
      <c r="D415" s="16">
        <v>11</v>
      </c>
      <c r="E415" s="16" t="s">
        <v>980</v>
      </c>
      <c r="F415" s="16" t="s">
        <v>1046</v>
      </c>
      <c r="G415" s="16" t="s">
        <v>526</v>
      </c>
      <c r="H415" s="16" t="s">
        <v>143</v>
      </c>
      <c r="I415" s="22" t="s">
        <v>861</v>
      </c>
      <c r="J415" s="16">
        <f>IFERROR(INDEX(Aux_HH!$J$4:$J$31,MATCH($H415&amp;"|"&amp;$I415,Aux_HH!$A$4:$A$31,0)),"")</f>
        <v>4.5</v>
      </c>
      <c r="K415" s="16" t="s">
        <v>76</v>
      </c>
      <c r="L415" s="16" t="str">
        <f>IF(COUNTIFS(Pessoas!$C$5:$C$44,$K415,Pessoas!$G$5:$G$44,"Ativo")=0,"Equipe "&amp;$K415,INDEX(Pessoas!$A$5:$A$44,_xludf.aggregate(15,6,(ROW(Pessoas!$A$5:$A$44)-4)/((Pessoas!$C$5:$C$44=$K415)*(Pessoas!$G$5:$G$44="Ativo")),MOD(ROW()-6,MAX(1,COUNTIFS(Pessoas!$C$5:$C$44,$K415,Pessoas!$G$5:$G$44,"Ativo")))+1)))</f>
        <v>Equipe Oficina Mecânica Central-Taisa</v>
      </c>
    </row>
    <row r="416" spans="1:12" ht="15" customHeight="1" x14ac:dyDescent="0.4">
      <c r="A416" s="25">
        <v>46345</v>
      </c>
      <c r="B416" s="16">
        <v>12</v>
      </c>
      <c r="C416" s="16">
        <v>1</v>
      </c>
      <c r="D416" s="16">
        <v>11</v>
      </c>
      <c r="E416" s="16" t="s">
        <v>980</v>
      </c>
      <c r="F416" s="16" t="s">
        <v>1047</v>
      </c>
      <c r="G416" s="16" t="s">
        <v>526</v>
      </c>
      <c r="H416" s="16" t="s">
        <v>143</v>
      </c>
      <c r="I416" s="22" t="s">
        <v>861</v>
      </c>
      <c r="J416" s="16">
        <f>IFERROR(INDEX(Aux_HH!$J$4:$J$31,MATCH($H416&amp;"|"&amp;$I416,Aux_HH!$A$4:$A$31,0)),"")</f>
        <v>4.5</v>
      </c>
      <c r="K416" s="16" t="s">
        <v>76</v>
      </c>
      <c r="L416" s="16" t="str">
        <f>IF(COUNTIFS(Pessoas!$C$5:$C$44,$K416,Pessoas!$G$5:$G$44,"Ativo")=0,"Equipe "&amp;$K416,INDEX(Pessoas!$A$5:$A$44,_xludf.aggregate(15,6,(ROW(Pessoas!$A$5:$A$44)-4)/((Pessoas!$C$5:$C$44=$K416)*(Pessoas!$G$5:$G$44="Ativo")),MOD(ROW()-6,MAX(1,COUNTIFS(Pessoas!$C$5:$C$44,$K416,Pessoas!$G$5:$G$44,"Ativo")))+1)))</f>
        <v>Equipe Oficina Mecânica Central-Taisa</v>
      </c>
    </row>
    <row r="417" spans="1:12" ht="15" customHeight="1" x14ac:dyDescent="0.4">
      <c r="A417" s="25">
        <v>46345</v>
      </c>
      <c r="B417" s="16">
        <v>12</v>
      </c>
      <c r="C417" s="16">
        <v>1</v>
      </c>
      <c r="D417" s="16">
        <v>11</v>
      </c>
      <c r="E417" s="16" t="s">
        <v>980</v>
      </c>
      <c r="F417" s="16" t="s">
        <v>1048</v>
      </c>
      <c r="G417" s="16" t="s">
        <v>526</v>
      </c>
      <c r="H417" s="16" t="s">
        <v>143</v>
      </c>
      <c r="I417" s="22" t="s">
        <v>861</v>
      </c>
      <c r="J417" s="16">
        <f>IFERROR(INDEX(Aux_HH!$J$4:$J$31,MATCH($H417&amp;"|"&amp;$I417,Aux_HH!$A$4:$A$31,0)),"")</f>
        <v>4.5</v>
      </c>
      <c r="K417" s="16" t="s">
        <v>76</v>
      </c>
      <c r="L417" s="16" t="str">
        <f>IF(COUNTIFS(Pessoas!$C$5:$C$44,$K417,Pessoas!$G$5:$G$44,"Ativo")=0,"Equipe "&amp;$K417,INDEX(Pessoas!$A$5:$A$44,_xludf.aggregate(15,6,(ROW(Pessoas!$A$5:$A$44)-4)/((Pessoas!$C$5:$C$44=$K417)*(Pessoas!$G$5:$G$44="Ativo")),MOD(ROW()-6,MAX(1,COUNTIFS(Pessoas!$C$5:$C$44,$K417,Pessoas!$G$5:$G$44,"Ativo")))+1)))</f>
        <v>Equipe Oficina Mecânica Central-Taisa</v>
      </c>
    </row>
    <row r="418" spans="1:12" ht="15" customHeight="1" x14ac:dyDescent="0.4">
      <c r="A418" s="25">
        <v>46345</v>
      </c>
      <c r="B418" s="16">
        <v>12</v>
      </c>
      <c r="C418" s="16">
        <v>1</v>
      </c>
      <c r="D418" s="16">
        <v>11</v>
      </c>
      <c r="E418" s="16" t="s">
        <v>980</v>
      </c>
      <c r="F418" s="16" t="s">
        <v>1049</v>
      </c>
      <c r="G418" s="16" t="s">
        <v>526</v>
      </c>
      <c r="H418" s="16" t="s">
        <v>143</v>
      </c>
      <c r="I418" s="22" t="s">
        <v>861</v>
      </c>
      <c r="J418" s="16">
        <f>IFERROR(INDEX(Aux_HH!$J$4:$J$31,MATCH($H418&amp;"|"&amp;$I418,Aux_HH!$A$4:$A$31,0)),"")</f>
        <v>4.5</v>
      </c>
      <c r="K418" s="16" t="s">
        <v>76</v>
      </c>
      <c r="L418" s="16" t="str">
        <f>IF(COUNTIFS(Pessoas!$C$5:$C$44,$K418,Pessoas!$G$5:$G$44,"Ativo")=0,"Equipe "&amp;$K418,INDEX(Pessoas!$A$5:$A$44,_xludf.aggregate(15,6,(ROW(Pessoas!$A$5:$A$44)-4)/((Pessoas!$C$5:$C$44=$K418)*(Pessoas!$G$5:$G$44="Ativo")),MOD(ROW()-6,MAX(1,COUNTIFS(Pessoas!$C$5:$C$44,$K418,Pessoas!$G$5:$G$44,"Ativo")))+1)))</f>
        <v>Equipe Oficina Mecânica Central-Taisa</v>
      </c>
    </row>
    <row r="419" spans="1:12" ht="15" customHeight="1" x14ac:dyDescent="0.4">
      <c r="A419" s="25">
        <v>46345</v>
      </c>
      <c r="B419" s="16">
        <v>12</v>
      </c>
      <c r="C419" s="16">
        <v>1</v>
      </c>
      <c r="D419" s="16">
        <v>11</v>
      </c>
      <c r="E419" s="16" t="s">
        <v>980</v>
      </c>
      <c r="F419" s="16" t="s">
        <v>1050</v>
      </c>
      <c r="G419" s="16" t="s">
        <v>526</v>
      </c>
      <c r="H419" s="16" t="s">
        <v>143</v>
      </c>
      <c r="I419" s="22" t="s">
        <v>861</v>
      </c>
      <c r="J419" s="16">
        <f>IFERROR(INDEX(Aux_HH!$J$4:$J$31,MATCH($H419&amp;"|"&amp;$I419,Aux_HH!$A$4:$A$31,0)),"")</f>
        <v>4.5</v>
      </c>
      <c r="K419" s="16" t="s">
        <v>76</v>
      </c>
      <c r="L419" s="16" t="str">
        <f>IF(COUNTIFS(Pessoas!$C$5:$C$44,$K419,Pessoas!$G$5:$G$44,"Ativo")=0,"Equipe "&amp;$K419,INDEX(Pessoas!$A$5:$A$44,_xludf.aggregate(15,6,(ROW(Pessoas!$A$5:$A$44)-4)/((Pessoas!$C$5:$C$44=$K419)*(Pessoas!$G$5:$G$44="Ativo")),MOD(ROW()-6,MAX(1,COUNTIFS(Pessoas!$C$5:$C$44,$K419,Pessoas!$G$5:$G$44,"Ativo")))+1)))</f>
        <v>Equipe Oficina Mecânica Central-Taisa</v>
      </c>
    </row>
    <row r="420" spans="1:12" ht="15" customHeight="1" x14ac:dyDescent="0.4">
      <c r="A420" s="25">
        <v>46345</v>
      </c>
      <c r="B420" s="16">
        <v>12</v>
      </c>
      <c r="C420" s="16">
        <v>1</v>
      </c>
      <c r="D420" s="16">
        <v>11</v>
      </c>
      <c r="E420" s="16" t="s">
        <v>980</v>
      </c>
      <c r="F420" s="16" t="s">
        <v>1051</v>
      </c>
      <c r="G420" s="16" t="s">
        <v>184</v>
      </c>
      <c r="H420" s="16" t="s">
        <v>143</v>
      </c>
      <c r="I420" s="22" t="s">
        <v>861</v>
      </c>
      <c r="J420" s="16">
        <f>IFERROR(INDEX(Aux_HH!$J$4:$J$31,MATCH($H420&amp;"|"&amp;$I420,Aux_HH!$A$4:$A$31,0)),"")</f>
        <v>4.5</v>
      </c>
      <c r="K420" s="16" t="s">
        <v>76</v>
      </c>
      <c r="L420" s="16" t="str">
        <f>IF(COUNTIFS(Pessoas!$C$5:$C$44,$K420,Pessoas!$G$5:$G$44,"Ativo")=0,"Equipe "&amp;$K420,INDEX(Pessoas!$A$5:$A$44,_xludf.aggregate(15,6,(ROW(Pessoas!$A$5:$A$44)-4)/((Pessoas!$C$5:$C$44=$K420)*(Pessoas!$G$5:$G$44="Ativo")),MOD(ROW()-6,MAX(1,COUNTIFS(Pessoas!$C$5:$C$44,$K420,Pessoas!$G$5:$G$44,"Ativo")))+1)))</f>
        <v>Equipe Oficina Mecânica Central-Taisa</v>
      </c>
    </row>
    <row r="421" spans="1:12" ht="15" customHeight="1" x14ac:dyDescent="0.4">
      <c r="A421" s="25">
        <v>46346</v>
      </c>
      <c r="B421" s="16">
        <v>12</v>
      </c>
      <c r="C421" s="16">
        <v>1</v>
      </c>
      <c r="D421" s="16">
        <v>11</v>
      </c>
      <c r="E421" s="16" t="s">
        <v>980</v>
      </c>
      <c r="F421" s="16" t="s">
        <v>1052</v>
      </c>
      <c r="G421" s="16" t="s">
        <v>184</v>
      </c>
      <c r="H421" s="16" t="s">
        <v>143</v>
      </c>
      <c r="I421" s="22" t="s">
        <v>861</v>
      </c>
      <c r="J421" s="16">
        <f>IFERROR(INDEX(Aux_HH!$J$4:$J$31,MATCH($H421&amp;"|"&amp;$I421,Aux_HH!$A$4:$A$31,0)),"")</f>
        <v>4.5</v>
      </c>
      <c r="K421" s="16" t="s">
        <v>76</v>
      </c>
      <c r="L421" s="16" t="str">
        <f>IF(COUNTIFS(Pessoas!$C$5:$C$44,$K421,Pessoas!$G$5:$G$44,"Ativo")=0,"Equipe "&amp;$K421,INDEX(Pessoas!$A$5:$A$44,_xludf.aggregate(15,6,(ROW(Pessoas!$A$5:$A$44)-4)/((Pessoas!$C$5:$C$44=$K421)*(Pessoas!$G$5:$G$44="Ativo")),MOD(ROW()-6,MAX(1,COUNTIFS(Pessoas!$C$5:$C$44,$K421,Pessoas!$G$5:$G$44,"Ativo")))+1)))</f>
        <v>Equipe Oficina Mecânica Central-Taisa</v>
      </c>
    </row>
    <row r="422" spans="1:12" ht="15" customHeight="1" x14ac:dyDescent="0.4">
      <c r="A422" s="25">
        <v>46346</v>
      </c>
      <c r="B422" s="16">
        <v>12</v>
      </c>
      <c r="C422" s="16">
        <v>1</v>
      </c>
      <c r="D422" s="16">
        <v>11</v>
      </c>
      <c r="E422" s="16" t="s">
        <v>980</v>
      </c>
      <c r="F422" s="16" t="s">
        <v>1053</v>
      </c>
      <c r="G422" s="16" t="s">
        <v>184</v>
      </c>
      <c r="H422" s="16" t="s">
        <v>143</v>
      </c>
      <c r="I422" s="22" t="s">
        <v>861</v>
      </c>
      <c r="J422" s="16">
        <f>IFERROR(INDEX(Aux_HH!$J$4:$J$31,MATCH($H422&amp;"|"&amp;$I422,Aux_HH!$A$4:$A$31,0)),"")</f>
        <v>4.5</v>
      </c>
      <c r="K422" s="16" t="s">
        <v>76</v>
      </c>
      <c r="L422" s="16" t="str">
        <f>IF(COUNTIFS(Pessoas!$C$5:$C$44,$K422,Pessoas!$G$5:$G$44,"Ativo")=0,"Equipe "&amp;$K422,INDEX(Pessoas!$A$5:$A$44,_xludf.aggregate(15,6,(ROW(Pessoas!$A$5:$A$44)-4)/((Pessoas!$C$5:$C$44=$K422)*(Pessoas!$G$5:$G$44="Ativo")),MOD(ROW()-6,MAX(1,COUNTIFS(Pessoas!$C$5:$C$44,$K422,Pessoas!$G$5:$G$44,"Ativo")))+1)))</f>
        <v>Equipe Oficina Mecânica Central-Taisa</v>
      </c>
    </row>
    <row r="423" spans="1:12" ht="15" customHeight="1" x14ac:dyDescent="0.4">
      <c r="A423" s="25">
        <v>46346</v>
      </c>
      <c r="B423" s="16">
        <v>12</v>
      </c>
      <c r="C423" s="16">
        <v>1</v>
      </c>
      <c r="D423" s="16">
        <v>11</v>
      </c>
      <c r="E423" s="16" t="s">
        <v>980</v>
      </c>
      <c r="F423" s="16" t="s">
        <v>1054</v>
      </c>
      <c r="G423" s="16" t="s">
        <v>184</v>
      </c>
      <c r="H423" s="16" t="s">
        <v>143</v>
      </c>
      <c r="I423" s="22" t="s">
        <v>861</v>
      </c>
      <c r="J423" s="16">
        <f>IFERROR(INDEX(Aux_HH!$J$4:$J$31,MATCH($H423&amp;"|"&amp;$I423,Aux_HH!$A$4:$A$31,0)),"")</f>
        <v>4.5</v>
      </c>
      <c r="K423" s="16" t="s">
        <v>76</v>
      </c>
      <c r="L423" s="16" t="str">
        <f>IF(COUNTIFS(Pessoas!$C$5:$C$44,$K423,Pessoas!$G$5:$G$44,"Ativo")=0,"Equipe "&amp;$K423,INDEX(Pessoas!$A$5:$A$44,_xludf.aggregate(15,6,(ROW(Pessoas!$A$5:$A$44)-4)/((Pessoas!$C$5:$C$44=$K423)*(Pessoas!$G$5:$G$44="Ativo")),MOD(ROW()-6,MAX(1,COUNTIFS(Pessoas!$C$5:$C$44,$K423,Pessoas!$G$5:$G$44,"Ativo")))+1)))</f>
        <v>Equipe Oficina Mecânica Central-Taisa</v>
      </c>
    </row>
    <row r="424" spans="1:12" ht="15" customHeight="1" x14ac:dyDescent="0.4">
      <c r="A424" s="25">
        <v>46346</v>
      </c>
      <c r="B424" s="16">
        <v>12</v>
      </c>
      <c r="C424" s="16">
        <v>1</v>
      </c>
      <c r="D424" s="16">
        <v>11</v>
      </c>
      <c r="E424" s="16" t="s">
        <v>980</v>
      </c>
      <c r="F424" s="16" t="s">
        <v>1055</v>
      </c>
      <c r="G424" s="16" t="s">
        <v>184</v>
      </c>
      <c r="H424" s="16" t="s">
        <v>143</v>
      </c>
      <c r="I424" s="22" t="s">
        <v>861</v>
      </c>
      <c r="J424" s="16">
        <f>IFERROR(INDEX(Aux_HH!$J$4:$J$31,MATCH($H424&amp;"|"&amp;$I424,Aux_HH!$A$4:$A$31,0)),"")</f>
        <v>4.5</v>
      </c>
      <c r="K424" s="16" t="s">
        <v>76</v>
      </c>
      <c r="L424" s="16" t="str">
        <f>IF(COUNTIFS(Pessoas!$C$5:$C$44,$K424,Pessoas!$G$5:$G$44,"Ativo")=0,"Equipe "&amp;$K424,INDEX(Pessoas!$A$5:$A$44,_xludf.aggregate(15,6,(ROW(Pessoas!$A$5:$A$44)-4)/((Pessoas!$C$5:$C$44=$K424)*(Pessoas!$G$5:$G$44="Ativo")),MOD(ROW()-6,MAX(1,COUNTIFS(Pessoas!$C$5:$C$44,$K424,Pessoas!$G$5:$G$44,"Ativo")))+1)))</f>
        <v>Equipe Oficina Mecânica Central-Taisa</v>
      </c>
    </row>
    <row r="425" spans="1:12" ht="15" customHeight="1" x14ac:dyDescent="0.4">
      <c r="A425" s="25">
        <v>46346</v>
      </c>
      <c r="B425" s="16">
        <v>12</v>
      </c>
      <c r="C425" s="16">
        <v>1</v>
      </c>
      <c r="D425" s="16">
        <v>11</v>
      </c>
      <c r="E425" s="16" t="s">
        <v>980</v>
      </c>
      <c r="F425" s="16" t="s">
        <v>1056</v>
      </c>
      <c r="G425" s="16" t="s">
        <v>184</v>
      </c>
      <c r="H425" s="16" t="s">
        <v>143</v>
      </c>
      <c r="I425" s="22" t="s">
        <v>861</v>
      </c>
      <c r="J425" s="16">
        <f>IFERROR(INDEX(Aux_HH!$J$4:$J$31,MATCH($H425&amp;"|"&amp;$I425,Aux_HH!$A$4:$A$31,0)),"")</f>
        <v>4.5</v>
      </c>
      <c r="K425" s="16" t="s">
        <v>76</v>
      </c>
      <c r="L425" s="16" t="str">
        <f>IF(COUNTIFS(Pessoas!$C$5:$C$44,$K425,Pessoas!$G$5:$G$44,"Ativo")=0,"Equipe "&amp;$K425,INDEX(Pessoas!$A$5:$A$44,_xludf.aggregate(15,6,(ROW(Pessoas!$A$5:$A$44)-4)/((Pessoas!$C$5:$C$44=$K425)*(Pessoas!$G$5:$G$44="Ativo")),MOD(ROW()-6,MAX(1,COUNTIFS(Pessoas!$C$5:$C$44,$K425,Pessoas!$G$5:$G$44,"Ativo")))+1)))</f>
        <v>Equipe Oficina Mecânica Central-Taisa</v>
      </c>
    </row>
    <row r="426" spans="1:12" ht="15" customHeight="1" x14ac:dyDescent="0.4">
      <c r="A426" s="25">
        <v>46346</v>
      </c>
      <c r="B426" s="16">
        <v>12</v>
      </c>
      <c r="C426" s="16">
        <v>1</v>
      </c>
      <c r="D426" s="16">
        <v>11</v>
      </c>
      <c r="E426" s="16" t="s">
        <v>980</v>
      </c>
      <c r="F426" s="16" t="s">
        <v>1057</v>
      </c>
      <c r="G426" s="16" t="s">
        <v>184</v>
      </c>
      <c r="H426" s="16" t="s">
        <v>143</v>
      </c>
      <c r="I426" s="22" t="s">
        <v>861</v>
      </c>
      <c r="J426" s="16">
        <f>IFERROR(INDEX(Aux_HH!$J$4:$J$31,MATCH($H426&amp;"|"&amp;$I426,Aux_HH!$A$4:$A$31,0)),"")</f>
        <v>4.5</v>
      </c>
      <c r="K426" s="16" t="s">
        <v>76</v>
      </c>
      <c r="L426" s="16" t="str">
        <f>IF(COUNTIFS(Pessoas!$C$5:$C$44,$K426,Pessoas!$G$5:$G$44,"Ativo")=0,"Equipe "&amp;$K426,INDEX(Pessoas!$A$5:$A$44,_xludf.aggregate(15,6,(ROW(Pessoas!$A$5:$A$44)-4)/((Pessoas!$C$5:$C$44=$K426)*(Pessoas!$G$5:$G$44="Ativo")),MOD(ROW()-6,MAX(1,COUNTIFS(Pessoas!$C$5:$C$44,$K426,Pessoas!$G$5:$G$44,"Ativo")))+1)))</f>
        <v>Equipe Oficina Mecânica Central-Taisa</v>
      </c>
    </row>
    <row r="427" spans="1:12" ht="15" customHeight="1" x14ac:dyDescent="0.4">
      <c r="A427" s="25">
        <v>46346</v>
      </c>
      <c r="B427" s="16">
        <v>12</v>
      </c>
      <c r="C427" s="16">
        <v>1</v>
      </c>
      <c r="D427" s="16">
        <v>11</v>
      </c>
      <c r="E427" s="16" t="s">
        <v>980</v>
      </c>
      <c r="F427" s="16" t="s">
        <v>1058</v>
      </c>
      <c r="G427" s="16" t="s">
        <v>184</v>
      </c>
      <c r="H427" s="16" t="s">
        <v>143</v>
      </c>
      <c r="I427" s="22" t="s">
        <v>861</v>
      </c>
      <c r="J427" s="16">
        <f>IFERROR(INDEX(Aux_HH!$J$4:$J$31,MATCH($H427&amp;"|"&amp;$I427,Aux_HH!$A$4:$A$31,0)),"")</f>
        <v>4.5</v>
      </c>
      <c r="K427" s="16" t="s">
        <v>76</v>
      </c>
      <c r="L427" s="16" t="str">
        <f>IF(COUNTIFS(Pessoas!$C$5:$C$44,$K427,Pessoas!$G$5:$G$44,"Ativo")=0,"Equipe "&amp;$K427,INDEX(Pessoas!$A$5:$A$44,_xludf.aggregate(15,6,(ROW(Pessoas!$A$5:$A$44)-4)/((Pessoas!$C$5:$C$44=$K427)*(Pessoas!$G$5:$G$44="Ativo")),MOD(ROW()-6,MAX(1,COUNTIFS(Pessoas!$C$5:$C$44,$K427,Pessoas!$G$5:$G$44,"Ativo")))+1)))</f>
        <v>Equipe Oficina Mecânica Central-Taisa</v>
      </c>
    </row>
    <row r="428" spans="1:12" ht="15" customHeight="1" x14ac:dyDescent="0.4">
      <c r="A428" s="25">
        <v>46346</v>
      </c>
      <c r="B428" s="16">
        <v>12</v>
      </c>
      <c r="C428" s="16">
        <v>1</v>
      </c>
      <c r="D428" s="16">
        <v>11</v>
      </c>
      <c r="E428" s="16" t="s">
        <v>980</v>
      </c>
      <c r="F428" s="16" t="s">
        <v>1059</v>
      </c>
      <c r="G428" s="16" t="s">
        <v>688</v>
      </c>
      <c r="H428" s="16" t="s">
        <v>143</v>
      </c>
      <c r="I428" s="22" t="s">
        <v>861</v>
      </c>
      <c r="J428" s="16">
        <f>IFERROR(INDEX(Aux_HH!$J$4:$J$31,MATCH($H428&amp;"|"&amp;$I428,Aux_HH!$A$4:$A$31,0)),"")</f>
        <v>4.5</v>
      </c>
      <c r="K428" s="16" t="s">
        <v>76</v>
      </c>
      <c r="L428" s="16" t="str">
        <f>IF(COUNTIFS(Pessoas!$C$5:$C$44,$K428,Pessoas!$G$5:$G$44,"Ativo")=0,"Equipe "&amp;$K428,INDEX(Pessoas!$A$5:$A$44,_xludf.aggregate(15,6,(ROW(Pessoas!$A$5:$A$44)-4)/((Pessoas!$C$5:$C$44=$K428)*(Pessoas!$G$5:$G$44="Ativo")),MOD(ROW()-6,MAX(1,COUNTIFS(Pessoas!$C$5:$C$44,$K428,Pessoas!$G$5:$G$44,"Ativo")))+1)))</f>
        <v>Equipe Oficina Mecânica Central-Taisa</v>
      </c>
    </row>
    <row r="429" spans="1:12" ht="15" customHeight="1" x14ac:dyDescent="0.4">
      <c r="A429" s="25">
        <v>46346</v>
      </c>
      <c r="B429" s="16">
        <v>12</v>
      </c>
      <c r="C429" s="16">
        <v>1</v>
      </c>
      <c r="D429" s="16">
        <v>11</v>
      </c>
      <c r="E429" s="16" t="s">
        <v>980</v>
      </c>
      <c r="F429" s="16" t="s">
        <v>1060</v>
      </c>
      <c r="G429" s="16" t="s">
        <v>526</v>
      </c>
      <c r="H429" s="16" t="s">
        <v>143</v>
      </c>
      <c r="I429" s="22" t="s">
        <v>861</v>
      </c>
      <c r="J429" s="16">
        <f>IFERROR(INDEX(Aux_HH!$J$4:$J$31,MATCH($H429&amp;"|"&amp;$I429,Aux_HH!$A$4:$A$31,0)),"")</f>
        <v>4.5</v>
      </c>
      <c r="K429" s="16" t="s">
        <v>76</v>
      </c>
      <c r="L429" s="16" t="str">
        <f>IF(COUNTIFS(Pessoas!$C$5:$C$44,$K429,Pessoas!$G$5:$G$44,"Ativo")=0,"Equipe "&amp;$K429,INDEX(Pessoas!$A$5:$A$44,_xludf.aggregate(15,6,(ROW(Pessoas!$A$5:$A$44)-4)/((Pessoas!$C$5:$C$44=$K429)*(Pessoas!$G$5:$G$44="Ativo")),MOD(ROW()-6,MAX(1,COUNTIFS(Pessoas!$C$5:$C$44,$K429,Pessoas!$G$5:$G$44,"Ativo")))+1)))</f>
        <v>Equipe Oficina Mecânica Central-Taisa</v>
      </c>
    </row>
    <row r="430" spans="1:12" ht="15" customHeight="1" x14ac:dyDescent="0.4">
      <c r="A430" s="25">
        <v>46346</v>
      </c>
      <c r="B430" s="16">
        <v>12</v>
      </c>
      <c r="C430" s="16">
        <v>1</v>
      </c>
      <c r="D430" s="16">
        <v>11</v>
      </c>
      <c r="E430" s="16" t="s">
        <v>980</v>
      </c>
      <c r="F430" s="16" t="s">
        <v>1061</v>
      </c>
      <c r="G430" s="16" t="s">
        <v>526</v>
      </c>
      <c r="H430" s="16" t="s">
        <v>143</v>
      </c>
      <c r="I430" s="22" t="s">
        <v>861</v>
      </c>
      <c r="J430" s="16">
        <f>IFERROR(INDEX(Aux_HH!$J$4:$J$31,MATCH($H430&amp;"|"&amp;$I430,Aux_HH!$A$4:$A$31,0)),"")</f>
        <v>4.5</v>
      </c>
      <c r="K430" s="16" t="s">
        <v>76</v>
      </c>
      <c r="L430" s="16" t="str">
        <f>IF(COUNTIFS(Pessoas!$C$5:$C$44,$K430,Pessoas!$G$5:$G$44,"Ativo")=0,"Equipe "&amp;$K430,INDEX(Pessoas!$A$5:$A$44,_xludf.aggregate(15,6,(ROW(Pessoas!$A$5:$A$44)-4)/((Pessoas!$C$5:$C$44=$K430)*(Pessoas!$G$5:$G$44="Ativo")),MOD(ROW()-6,MAX(1,COUNTIFS(Pessoas!$C$5:$C$44,$K430,Pessoas!$G$5:$G$44,"Ativo")))+1)))</f>
        <v>Equipe Oficina Mecânica Central-Taisa</v>
      </c>
    </row>
    <row r="431" spans="1:12" ht="15" customHeight="1" x14ac:dyDescent="0.4">
      <c r="A431" s="25">
        <v>46346</v>
      </c>
      <c r="B431" s="16">
        <v>12</v>
      </c>
      <c r="C431" s="16">
        <v>1</v>
      </c>
      <c r="D431" s="16">
        <v>11</v>
      </c>
      <c r="E431" s="16" t="s">
        <v>980</v>
      </c>
      <c r="F431" s="16" t="s">
        <v>1062</v>
      </c>
      <c r="G431" s="16" t="s">
        <v>688</v>
      </c>
      <c r="H431" s="16" t="s">
        <v>143</v>
      </c>
      <c r="I431" s="22" t="s">
        <v>861</v>
      </c>
      <c r="J431" s="16">
        <f>IFERROR(INDEX(Aux_HH!$J$4:$J$31,MATCH($H431&amp;"|"&amp;$I431,Aux_HH!$A$4:$A$31,0)),"")</f>
        <v>4.5</v>
      </c>
      <c r="K431" s="16" t="s">
        <v>76</v>
      </c>
      <c r="L431" s="16" t="str">
        <f>IF(COUNTIFS(Pessoas!$C$5:$C$44,$K431,Pessoas!$G$5:$G$44,"Ativo")=0,"Equipe "&amp;$K431,INDEX(Pessoas!$A$5:$A$44,_xludf.aggregate(15,6,(ROW(Pessoas!$A$5:$A$44)-4)/((Pessoas!$C$5:$C$44=$K431)*(Pessoas!$G$5:$G$44="Ativo")),MOD(ROW()-6,MAX(1,COUNTIFS(Pessoas!$C$5:$C$44,$K431,Pessoas!$G$5:$G$44,"Ativo")))+1)))</f>
        <v>Equipe Oficina Mecânica Central-Taisa</v>
      </c>
    </row>
    <row r="432" spans="1:12" ht="15" customHeight="1" x14ac:dyDescent="0.4">
      <c r="A432" s="25">
        <v>46346</v>
      </c>
      <c r="B432" s="16">
        <v>12</v>
      </c>
      <c r="C432" s="16">
        <v>1</v>
      </c>
      <c r="D432" s="16">
        <v>11</v>
      </c>
      <c r="E432" s="16" t="s">
        <v>980</v>
      </c>
      <c r="F432" s="16" t="s">
        <v>1063</v>
      </c>
      <c r="G432" s="16" t="s">
        <v>526</v>
      </c>
      <c r="H432" s="16" t="s">
        <v>143</v>
      </c>
      <c r="I432" s="22" t="s">
        <v>861</v>
      </c>
      <c r="J432" s="16">
        <f>IFERROR(INDEX(Aux_HH!$J$4:$J$31,MATCH($H432&amp;"|"&amp;$I432,Aux_HH!$A$4:$A$31,0)),"")</f>
        <v>4.5</v>
      </c>
      <c r="K432" s="16" t="s">
        <v>76</v>
      </c>
      <c r="L432" s="16" t="str">
        <f>IF(COUNTIFS(Pessoas!$C$5:$C$44,$K432,Pessoas!$G$5:$G$44,"Ativo")=0,"Equipe "&amp;$K432,INDEX(Pessoas!$A$5:$A$44,_xludf.aggregate(15,6,(ROW(Pessoas!$A$5:$A$44)-4)/((Pessoas!$C$5:$C$44=$K432)*(Pessoas!$G$5:$G$44="Ativo")),MOD(ROW()-6,MAX(1,COUNTIFS(Pessoas!$C$5:$C$44,$K432,Pessoas!$G$5:$G$44,"Ativo")))+1)))</f>
        <v>Equipe Oficina Mecânica Central-Taisa</v>
      </c>
    </row>
    <row r="433" spans="1:12" ht="15" customHeight="1" x14ac:dyDescent="0.4">
      <c r="A433" s="25">
        <v>46346</v>
      </c>
      <c r="B433" s="16">
        <v>12</v>
      </c>
      <c r="C433" s="16">
        <v>1</v>
      </c>
      <c r="D433" s="16">
        <v>11</v>
      </c>
      <c r="E433" s="16" t="s">
        <v>980</v>
      </c>
      <c r="F433" s="16" t="s">
        <v>1064</v>
      </c>
      <c r="G433" s="16" t="s">
        <v>526</v>
      </c>
      <c r="H433" s="16" t="s">
        <v>143</v>
      </c>
      <c r="I433" s="22" t="s">
        <v>861</v>
      </c>
      <c r="J433" s="16">
        <f>IFERROR(INDEX(Aux_HH!$J$4:$J$31,MATCH($H433&amp;"|"&amp;$I433,Aux_HH!$A$4:$A$31,0)),"")</f>
        <v>4.5</v>
      </c>
      <c r="K433" s="16" t="s">
        <v>76</v>
      </c>
      <c r="L433" s="16" t="str">
        <f>IF(COUNTIFS(Pessoas!$C$5:$C$44,$K433,Pessoas!$G$5:$G$44,"Ativo")=0,"Equipe "&amp;$K433,INDEX(Pessoas!$A$5:$A$44,_xludf.aggregate(15,6,(ROW(Pessoas!$A$5:$A$44)-4)/((Pessoas!$C$5:$C$44=$K433)*(Pessoas!$G$5:$G$44="Ativo")),MOD(ROW()-6,MAX(1,COUNTIFS(Pessoas!$C$5:$C$44,$K433,Pessoas!$G$5:$G$44,"Ativo")))+1)))</f>
        <v>Equipe Oficina Mecânica Central-Taisa</v>
      </c>
    </row>
    <row r="434" spans="1:12" ht="15" customHeight="1" x14ac:dyDescent="0.4">
      <c r="A434" s="25">
        <v>46346</v>
      </c>
      <c r="B434" s="16">
        <v>12</v>
      </c>
      <c r="C434" s="16">
        <v>1</v>
      </c>
      <c r="D434" s="16">
        <v>11</v>
      </c>
      <c r="E434" s="16" t="s">
        <v>980</v>
      </c>
      <c r="F434" s="16" t="s">
        <v>1065</v>
      </c>
      <c r="G434" s="16" t="s">
        <v>526</v>
      </c>
      <c r="H434" s="16" t="s">
        <v>143</v>
      </c>
      <c r="I434" s="22" t="s">
        <v>861</v>
      </c>
      <c r="J434" s="16">
        <f>IFERROR(INDEX(Aux_HH!$J$4:$J$31,MATCH($H434&amp;"|"&amp;$I434,Aux_HH!$A$4:$A$31,0)),"")</f>
        <v>4.5</v>
      </c>
      <c r="K434" s="16" t="s">
        <v>76</v>
      </c>
      <c r="L434" s="16" t="str">
        <f>IF(COUNTIFS(Pessoas!$C$5:$C$44,$K434,Pessoas!$G$5:$G$44,"Ativo")=0,"Equipe "&amp;$K434,INDEX(Pessoas!$A$5:$A$44,_xludf.aggregate(15,6,(ROW(Pessoas!$A$5:$A$44)-4)/((Pessoas!$C$5:$C$44=$K434)*(Pessoas!$G$5:$G$44="Ativo")),MOD(ROW()-6,MAX(1,COUNTIFS(Pessoas!$C$5:$C$44,$K434,Pessoas!$G$5:$G$44,"Ativo")))+1)))</f>
        <v>Equipe Oficina Mecânica Central-Taisa</v>
      </c>
    </row>
    <row r="435" spans="1:12" ht="15" customHeight="1" x14ac:dyDescent="0.4">
      <c r="A435" s="25">
        <v>46349</v>
      </c>
      <c r="B435" s="16">
        <v>12</v>
      </c>
      <c r="C435" s="16">
        <v>1</v>
      </c>
      <c r="D435" s="16">
        <v>11</v>
      </c>
      <c r="E435" s="16" t="s">
        <v>980</v>
      </c>
      <c r="F435" s="16" t="s">
        <v>1066</v>
      </c>
      <c r="G435" s="16" t="s">
        <v>184</v>
      </c>
      <c r="H435" s="16" t="s">
        <v>143</v>
      </c>
      <c r="I435" s="22" t="s">
        <v>861</v>
      </c>
      <c r="J435" s="16">
        <f>IFERROR(INDEX(Aux_HH!$J$4:$J$31,MATCH($H435&amp;"|"&amp;$I435,Aux_HH!$A$4:$A$31,0)),"")</f>
        <v>4.5</v>
      </c>
      <c r="K435" s="16" t="s">
        <v>76</v>
      </c>
      <c r="L435" s="16" t="str">
        <f>IF(COUNTIFS(Pessoas!$C$5:$C$44,$K435,Pessoas!$G$5:$G$44,"Ativo")=0,"Equipe "&amp;$K435,INDEX(Pessoas!$A$5:$A$44,_xludf.aggregate(15,6,(ROW(Pessoas!$A$5:$A$44)-4)/((Pessoas!$C$5:$C$44=$K435)*(Pessoas!$G$5:$G$44="Ativo")),MOD(ROW()-6,MAX(1,COUNTIFS(Pessoas!$C$5:$C$44,$K435,Pessoas!$G$5:$G$44,"Ativo")))+1)))</f>
        <v>Equipe Oficina Mecânica Central-Taisa</v>
      </c>
    </row>
    <row r="436" spans="1:12" ht="15" customHeight="1" x14ac:dyDescent="0.4">
      <c r="A436" s="25">
        <v>46349</v>
      </c>
      <c r="B436" s="16">
        <v>12</v>
      </c>
      <c r="C436" s="16">
        <v>1</v>
      </c>
      <c r="D436" s="16">
        <v>11</v>
      </c>
      <c r="E436" s="16" t="s">
        <v>980</v>
      </c>
      <c r="F436" s="16" t="s">
        <v>1067</v>
      </c>
      <c r="G436" s="16" t="s">
        <v>184</v>
      </c>
      <c r="H436" s="16" t="s">
        <v>143</v>
      </c>
      <c r="I436" s="22" t="s">
        <v>861</v>
      </c>
      <c r="J436" s="16">
        <f>IFERROR(INDEX(Aux_HH!$J$4:$J$31,MATCH($H436&amp;"|"&amp;$I436,Aux_HH!$A$4:$A$31,0)),"")</f>
        <v>4.5</v>
      </c>
      <c r="K436" s="16" t="s">
        <v>76</v>
      </c>
      <c r="L436" s="16" t="str">
        <f>IF(COUNTIFS(Pessoas!$C$5:$C$44,$K436,Pessoas!$G$5:$G$44,"Ativo")=0,"Equipe "&amp;$K436,INDEX(Pessoas!$A$5:$A$44,_xludf.aggregate(15,6,(ROW(Pessoas!$A$5:$A$44)-4)/((Pessoas!$C$5:$C$44=$K436)*(Pessoas!$G$5:$G$44="Ativo")),MOD(ROW()-6,MAX(1,COUNTIFS(Pessoas!$C$5:$C$44,$K436,Pessoas!$G$5:$G$44,"Ativo")))+1)))</f>
        <v>Equipe Oficina Mecânica Central-Taisa</v>
      </c>
    </row>
    <row r="437" spans="1:12" ht="15" customHeight="1" x14ac:dyDescent="0.4">
      <c r="A437" s="25">
        <v>46349</v>
      </c>
      <c r="B437" s="16">
        <v>12</v>
      </c>
      <c r="C437" s="16">
        <v>1</v>
      </c>
      <c r="D437" s="16">
        <v>11</v>
      </c>
      <c r="E437" s="16" t="s">
        <v>980</v>
      </c>
      <c r="F437" s="16" t="s">
        <v>1068</v>
      </c>
      <c r="G437" s="16" t="s">
        <v>184</v>
      </c>
      <c r="H437" s="16" t="s">
        <v>143</v>
      </c>
      <c r="I437" s="22" t="s">
        <v>861</v>
      </c>
      <c r="J437" s="16">
        <f>IFERROR(INDEX(Aux_HH!$J$4:$J$31,MATCH($H437&amp;"|"&amp;$I437,Aux_HH!$A$4:$A$31,0)),"")</f>
        <v>4.5</v>
      </c>
      <c r="K437" s="16" t="s">
        <v>76</v>
      </c>
      <c r="L437" s="16" t="str">
        <f>IF(COUNTIFS(Pessoas!$C$5:$C$44,$K437,Pessoas!$G$5:$G$44,"Ativo")=0,"Equipe "&amp;$K437,INDEX(Pessoas!$A$5:$A$44,_xludf.aggregate(15,6,(ROW(Pessoas!$A$5:$A$44)-4)/((Pessoas!$C$5:$C$44=$K437)*(Pessoas!$G$5:$G$44="Ativo")),MOD(ROW()-6,MAX(1,COUNTIFS(Pessoas!$C$5:$C$44,$K437,Pessoas!$G$5:$G$44,"Ativo")))+1)))</f>
        <v>Equipe Oficina Mecânica Central-Taisa</v>
      </c>
    </row>
    <row r="438" spans="1:12" ht="15" customHeight="1" x14ac:dyDescent="0.4">
      <c r="A438" s="25">
        <v>46349</v>
      </c>
      <c r="B438" s="16">
        <v>12</v>
      </c>
      <c r="C438" s="16">
        <v>1</v>
      </c>
      <c r="D438" s="16">
        <v>11</v>
      </c>
      <c r="E438" s="16" t="s">
        <v>980</v>
      </c>
      <c r="F438" s="16" t="s">
        <v>1069</v>
      </c>
      <c r="G438" s="16" t="s">
        <v>184</v>
      </c>
      <c r="H438" s="16" t="s">
        <v>143</v>
      </c>
      <c r="I438" s="22" t="s">
        <v>861</v>
      </c>
      <c r="J438" s="16">
        <f>IFERROR(INDEX(Aux_HH!$J$4:$J$31,MATCH($H438&amp;"|"&amp;$I438,Aux_HH!$A$4:$A$31,0)),"")</f>
        <v>4.5</v>
      </c>
      <c r="K438" s="16" t="s">
        <v>76</v>
      </c>
      <c r="L438" s="16" t="str">
        <f>IF(COUNTIFS(Pessoas!$C$5:$C$44,$K438,Pessoas!$G$5:$G$44,"Ativo")=0,"Equipe "&amp;$K438,INDEX(Pessoas!$A$5:$A$44,_xludf.aggregate(15,6,(ROW(Pessoas!$A$5:$A$44)-4)/((Pessoas!$C$5:$C$44=$K438)*(Pessoas!$G$5:$G$44="Ativo")),MOD(ROW()-6,MAX(1,COUNTIFS(Pessoas!$C$5:$C$44,$K438,Pessoas!$G$5:$G$44,"Ativo")))+1)))</f>
        <v>Equipe Oficina Mecânica Central-Taisa</v>
      </c>
    </row>
    <row r="439" spans="1:12" ht="15" customHeight="1" x14ac:dyDescent="0.4">
      <c r="A439" s="25">
        <v>46349</v>
      </c>
      <c r="B439" s="16">
        <v>12</v>
      </c>
      <c r="C439" s="16">
        <v>1</v>
      </c>
      <c r="D439" s="16">
        <v>11</v>
      </c>
      <c r="E439" s="16" t="s">
        <v>980</v>
      </c>
      <c r="F439" s="16" t="s">
        <v>1070</v>
      </c>
      <c r="G439" s="16" t="s">
        <v>184</v>
      </c>
      <c r="H439" s="16" t="s">
        <v>143</v>
      </c>
      <c r="I439" s="22" t="s">
        <v>861</v>
      </c>
      <c r="J439" s="16">
        <f>IFERROR(INDEX(Aux_HH!$J$4:$J$31,MATCH($H439&amp;"|"&amp;$I439,Aux_HH!$A$4:$A$31,0)),"")</f>
        <v>4.5</v>
      </c>
      <c r="K439" s="16" t="s">
        <v>76</v>
      </c>
      <c r="L439" s="16" t="str">
        <f>IF(COUNTIFS(Pessoas!$C$5:$C$44,$K439,Pessoas!$G$5:$G$44,"Ativo")=0,"Equipe "&amp;$K439,INDEX(Pessoas!$A$5:$A$44,_xludf.aggregate(15,6,(ROW(Pessoas!$A$5:$A$44)-4)/((Pessoas!$C$5:$C$44=$K439)*(Pessoas!$G$5:$G$44="Ativo")),MOD(ROW()-6,MAX(1,COUNTIFS(Pessoas!$C$5:$C$44,$K439,Pessoas!$G$5:$G$44,"Ativo")))+1)))</f>
        <v>Equipe Oficina Mecânica Central-Taisa</v>
      </c>
    </row>
    <row r="440" spans="1:12" ht="15" customHeight="1" x14ac:dyDescent="0.4">
      <c r="A440" s="25">
        <v>46349</v>
      </c>
      <c r="B440" s="16">
        <v>12</v>
      </c>
      <c r="C440" s="16">
        <v>1</v>
      </c>
      <c r="D440" s="16">
        <v>11</v>
      </c>
      <c r="E440" s="16" t="s">
        <v>980</v>
      </c>
      <c r="F440" s="16" t="s">
        <v>1071</v>
      </c>
      <c r="G440" s="16" t="s">
        <v>184</v>
      </c>
      <c r="H440" s="16" t="s">
        <v>143</v>
      </c>
      <c r="I440" s="22" t="s">
        <v>861</v>
      </c>
      <c r="J440" s="16">
        <f>IFERROR(INDEX(Aux_HH!$J$4:$J$31,MATCH($H440&amp;"|"&amp;$I440,Aux_HH!$A$4:$A$31,0)),"")</f>
        <v>4.5</v>
      </c>
      <c r="K440" s="16" t="s">
        <v>76</v>
      </c>
      <c r="L440" s="16" t="str">
        <f>IF(COUNTIFS(Pessoas!$C$5:$C$44,$K440,Pessoas!$G$5:$G$44,"Ativo")=0,"Equipe "&amp;$K440,INDEX(Pessoas!$A$5:$A$44,_xludf.aggregate(15,6,(ROW(Pessoas!$A$5:$A$44)-4)/((Pessoas!$C$5:$C$44=$K440)*(Pessoas!$G$5:$G$44="Ativo")),MOD(ROW()-6,MAX(1,COUNTIFS(Pessoas!$C$5:$C$44,$K440,Pessoas!$G$5:$G$44,"Ativo")))+1)))</f>
        <v>Equipe Oficina Mecânica Central-Taisa</v>
      </c>
    </row>
    <row r="441" spans="1:12" ht="15" customHeight="1" x14ac:dyDescent="0.4">
      <c r="A441" s="25">
        <v>46349</v>
      </c>
      <c r="B441" s="16">
        <v>12</v>
      </c>
      <c r="C441" s="16">
        <v>1</v>
      </c>
      <c r="D441" s="16">
        <v>11</v>
      </c>
      <c r="E441" s="16" t="s">
        <v>980</v>
      </c>
      <c r="F441" s="16" t="s">
        <v>1072</v>
      </c>
      <c r="G441" s="16" t="s">
        <v>184</v>
      </c>
      <c r="H441" s="16" t="s">
        <v>143</v>
      </c>
      <c r="I441" s="22" t="s">
        <v>861</v>
      </c>
      <c r="J441" s="16">
        <f>IFERROR(INDEX(Aux_HH!$J$4:$J$31,MATCH($H441&amp;"|"&amp;$I441,Aux_HH!$A$4:$A$31,0)),"")</f>
        <v>4.5</v>
      </c>
      <c r="K441" s="16" t="s">
        <v>76</v>
      </c>
      <c r="L441" s="16" t="str">
        <f>IF(COUNTIFS(Pessoas!$C$5:$C$44,$K441,Pessoas!$G$5:$G$44,"Ativo")=0,"Equipe "&amp;$K441,INDEX(Pessoas!$A$5:$A$44,_xludf.aggregate(15,6,(ROW(Pessoas!$A$5:$A$44)-4)/((Pessoas!$C$5:$C$44=$K441)*(Pessoas!$G$5:$G$44="Ativo")),MOD(ROW()-6,MAX(1,COUNTIFS(Pessoas!$C$5:$C$44,$K441,Pessoas!$G$5:$G$44,"Ativo")))+1)))</f>
        <v>Equipe Oficina Mecânica Central-Taisa</v>
      </c>
    </row>
    <row r="442" spans="1:12" ht="15" customHeight="1" x14ac:dyDescent="0.4">
      <c r="A442" s="25">
        <v>46349</v>
      </c>
      <c r="B442" s="16">
        <v>12</v>
      </c>
      <c r="C442" s="16">
        <v>1</v>
      </c>
      <c r="D442" s="16">
        <v>11</v>
      </c>
      <c r="E442" s="16" t="s">
        <v>980</v>
      </c>
      <c r="F442" s="16" t="s">
        <v>1073</v>
      </c>
      <c r="G442" s="16" t="s">
        <v>184</v>
      </c>
      <c r="H442" s="16" t="s">
        <v>143</v>
      </c>
      <c r="I442" s="22" t="s">
        <v>861</v>
      </c>
      <c r="J442" s="16">
        <f>IFERROR(INDEX(Aux_HH!$J$4:$J$31,MATCH($H442&amp;"|"&amp;$I442,Aux_HH!$A$4:$A$31,0)),"")</f>
        <v>4.5</v>
      </c>
      <c r="K442" s="16" t="s">
        <v>76</v>
      </c>
      <c r="L442" s="16" t="str">
        <f>IF(COUNTIFS(Pessoas!$C$5:$C$44,$K442,Pessoas!$G$5:$G$44,"Ativo")=0,"Equipe "&amp;$K442,INDEX(Pessoas!$A$5:$A$44,_xludf.aggregate(15,6,(ROW(Pessoas!$A$5:$A$44)-4)/((Pessoas!$C$5:$C$44=$K442)*(Pessoas!$G$5:$G$44="Ativo")),MOD(ROW()-6,MAX(1,COUNTIFS(Pessoas!$C$5:$C$44,$K442,Pessoas!$G$5:$G$44,"Ativo")))+1)))</f>
        <v>Equipe Oficina Mecânica Central-Taisa</v>
      </c>
    </row>
    <row r="443" spans="1:12" ht="15" customHeight="1" x14ac:dyDescent="0.4">
      <c r="A443" s="25">
        <v>46349</v>
      </c>
      <c r="B443" s="16">
        <v>12</v>
      </c>
      <c r="C443" s="16">
        <v>1</v>
      </c>
      <c r="D443" s="16">
        <v>11</v>
      </c>
      <c r="E443" s="16" t="s">
        <v>980</v>
      </c>
      <c r="F443" s="16" t="s">
        <v>1074</v>
      </c>
      <c r="G443" s="16" t="s">
        <v>526</v>
      </c>
      <c r="H443" s="16" t="s">
        <v>143</v>
      </c>
      <c r="I443" s="22" t="s">
        <v>861</v>
      </c>
      <c r="J443" s="16">
        <f>IFERROR(INDEX(Aux_HH!$J$4:$J$31,MATCH($H443&amp;"|"&amp;$I443,Aux_HH!$A$4:$A$31,0)),"")</f>
        <v>4.5</v>
      </c>
      <c r="K443" s="16" t="s">
        <v>76</v>
      </c>
      <c r="L443" s="16" t="str">
        <f>IF(COUNTIFS(Pessoas!$C$5:$C$44,$K443,Pessoas!$G$5:$G$44,"Ativo")=0,"Equipe "&amp;$K443,INDEX(Pessoas!$A$5:$A$44,_xludf.aggregate(15,6,(ROW(Pessoas!$A$5:$A$44)-4)/((Pessoas!$C$5:$C$44=$K443)*(Pessoas!$G$5:$G$44="Ativo")),MOD(ROW()-6,MAX(1,COUNTIFS(Pessoas!$C$5:$C$44,$K443,Pessoas!$G$5:$G$44,"Ativo")))+1)))</f>
        <v>Equipe Oficina Mecânica Central-Taisa</v>
      </c>
    </row>
    <row r="444" spans="1:12" ht="15" customHeight="1" x14ac:dyDescent="0.4">
      <c r="A444" s="25">
        <v>46349</v>
      </c>
      <c r="B444" s="16">
        <v>12</v>
      </c>
      <c r="C444" s="16">
        <v>1</v>
      </c>
      <c r="D444" s="16">
        <v>11</v>
      </c>
      <c r="E444" s="16" t="s">
        <v>980</v>
      </c>
      <c r="F444" s="16" t="s">
        <v>1075</v>
      </c>
      <c r="G444" s="16" t="s">
        <v>526</v>
      </c>
      <c r="H444" s="16" t="s">
        <v>143</v>
      </c>
      <c r="I444" s="22" t="s">
        <v>861</v>
      </c>
      <c r="J444" s="16">
        <f>IFERROR(INDEX(Aux_HH!$J$4:$J$31,MATCH($H444&amp;"|"&amp;$I444,Aux_HH!$A$4:$A$31,0)),"")</f>
        <v>4.5</v>
      </c>
      <c r="K444" s="16" t="s">
        <v>76</v>
      </c>
      <c r="L444" s="16" t="str">
        <f>IF(COUNTIFS(Pessoas!$C$5:$C$44,$K444,Pessoas!$G$5:$G$44,"Ativo")=0,"Equipe "&amp;$K444,INDEX(Pessoas!$A$5:$A$44,_xludf.aggregate(15,6,(ROW(Pessoas!$A$5:$A$44)-4)/((Pessoas!$C$5:$C$44=$K444)*(Pessoas!$G$5:$G$44="Ativo")),MOD(ROW()-6,MAX(1,COUNTIFS(Pessoas!$C$5:$C$44,$K444,Pessoas!$G$5:$G$44,"Ativo")))+1)))</f>
        <v>Equipe Oficina Mecânica Central-Taisa</v>
      </c>
    </row>
    <row r="445" spans="1:12" ht="15" customHeight="1" x14ac:dyDescent="0.4">
      <c r="A445" s="25">
        <v>46349</v>
      </c>
      <c r="B445" s="16">
        <v>12</v>
      </c>
      <c r="C445" s="16">
        <v>1</v>
      </c>
      <c r="D445" s="16">
        <v>11</v>
      </c>
      <c r="E445" s="16" t="s">
        <v>980</v>
      </c>
      <c r="F445" s="16" t="s">
        <v>1076</v>
      </c>
      <c r="G445" s="16" t="s">
        <v>688</v>
      </c>
      <c r="H445" s="16" t="s">
        <v>143</v>
      </c>
      <c r="I445" s="22" t="s">
        <v>861</v>
      </c>
      <c r="J445" s="16">
        <f>IFERROR(INDEX(Aux_HH!$J$4:$J$31,MATCH($H445&amp;"|"&amp;$I445,Aux_HH!$A$4:$A$31,0)),"")</f>
        <v>4.5</v>
      </c>
      <c r="K445" s="16" t="s">
        <v>76</v>
      </c>
      <c r="L445" s="16" t="str">
        <f>IF(COUNTIFS(Pessoas!$C$5:$C$44,$K445,Pessoas!$G$5:$G$44,"Ativo")=0,"Equipe "&amp;$K445,INDEX(Pessoas!$A$5:$A$44,_xludf.aggregate(15,6,(ROW(Pessoas!$A$5:$A$44)-4)/((Pessoas!$C$5:$C$44=$K445)*(Pessoas!$G$5:$G$44="Ativo")),MOD(ROW()-6,MAX(1,COUNTIFS(Pessoas!$C$5:$C$44,$K445,Pessoas!$G$5:$G$44,"Ativo")))+1)))</f>
        <v>Equipe Oficina Mecânica Central-Taisa</v>
      </c>
    </row>
    <row r="446" spans="1:12" ht="15" customHeight="1" x14ac:dyDescent="0.4">
      <c r="A446" s="25">
        <v>46349</v>
      </c>
      <c r="B446" s="16">
        <v>12</v>
      </c>
      <c r="C446" s="16">
        <v>1</v>
      </c>
      <c r="D446" s="16">
        <v>11</v>
      </c>
      <c r="E446" s="16" t="s">
        <v>980</v>
      </c>
      <c r="F446" s="16" t="s">
        <v>1077</v>
      </c>
      <c r="G446" s="16" t="s">
        <v>184</v>
      </c>
      <c r="H446" s="16" t="s">
        <v>143</v>
      </c>
      <c r="I446" s="22" t="s">
        <v>861</v>
      </c>
      <c r="J446" s="16">
        <f>IFERROR(INDEX(Aux_HH!$J$4:$J$31,MATCH($H446&amp;"|"&amp;$I446,Aux_HH!$A$4:$A$31,0)),"")</f>
        <v>4.5</v>
      </c>
      <c r="K446" s="16" t="s">
        <v>76</v>
      </c>
      <c r="L446" s="16" t="str">
        <f>IF(COUNTIFS(Pessoas!$C$5:$C$44,$K446,Pessoas!$G$5:$G$44,"Ativo")=0,"Equipe "&amp;$K446,INDEX(Pessoas!$A$5:$A$44,_xludf.aggregate(15,6,(ROW(Pessoas!$A$5:$A$44)-4)/((Pessoas!$C$5:$C$44=$K446)*(Pessoas!$G$5:$G$44="Ativo")),MOD(ROW()-6,MAX(1,COUNTIFS(Pessoas!$C$5:$C$44,$K446,Pessoas!$G$5:$G$44,"Ativo")))+1)))</f>
        <v>Equipe Oficina Mecânica Central-Taisa</v>
      </c>
    </row>
    <row r="447" spans="1:12" ht="15" customHeight="1" x14ac:dyDescent="0.4">
      <c r="A447" s="25">
        <v>46349</v>
      </c>
      <c r="B447" s="16">
        <v>12</v>
      </c>
      <c r="C447" s="16">
        <v>1</v>
      </c>
      <c r="D447" s="16">
        <v>11</v>
      </c>
      <c r="E447" s="16" t="s">
        <v>980</v>
      </c>
      <c r="F447" s="16" t="s">
        <v>1078</v>
      </c>
      <c r="G447" s="16" t="s">
        <v>526</v>
      </c>
      <c r="H447" s="16" t="s">
        <v>143</v>
      </c>
      <c r="I447" s="22" t="s">
        <v>861</v>
      </c>
      <c r="J447" s="16">
        <f>IFERROR(INDEX(Aux_HH!$J$4:$J$31,MATCH($H447&amp;"|"&amp;$I447,Aux_HH!$A$4:$A$31,0)),"")</f>
        <v>4.5</v>
      </c>
      <c r="K447" s="16" t="s">
        <v>76</v>
      </c>
      <c r="L447" s="16" t="str">
        <f>IF(COUNTIFS(Pessoas!$C$5:$C$44,$K447,Pessoas!$G$5:$G$44,"Ativo")=0,"Equipe "&amp;$K447,INDEX(Pessoas!$A$5:$A$44,_xludf.aggregate(15,6,(ROW(Pessoas!$A$5:$A$44)-4)/((Pessoas!$C$5:$C$44=$K447)*(Pessoas!$G$5:$G$44="Ativo")),MOD(ROW()-6,MAX(1,COUNTIFS(Pessoas!$C$5:$C$44,$K447,Pessoas!$G$5:$G$44,"Ativo")))+1)))</f>
        <v>Equipe Oficina Mecânica Central-Taisa</v>
      </c>
    </row>
    <row r="448" spans="1:12" ht="15" customHeight="1" x14ac:dyDescent="0.4">
      <c r="A448" s="25">
        <v>46349</v>
      </c>
      <c r="B448" s="16">
        <v>12</v>
      </c>
      <c r="C448" s="16">
        <v>1</v>
      </c>
      <c r="D448" s="16">
        <v>11</v>
      </c>
      <c r="E448" s="16" t="s">
        <v>980</v>
      </c>
      <c r="F448" s="16" t="s">
        <v>1079</v>
      </c>
      <c r="G448" s="16" t="s">
        <v>526</v>
      </c>
      <c r="H448" s="16" t="s">
        <v>143</v>
      </c>
      <c r="I448" s="22" t="s">
        <v>861</v>
      </c>
      <c r="J448" s="16">
        <f>IFERROR(INDEX(Aux_HH!$J$4:$J$31,MATCH($H448&amp;"|"&amp;$I448,Aux_HH!$A$4:$A$31,0)),"")</f>
        <v>4.5</v>
      </c>
      <c r="K448" s="16" t="s">
        <v>76</v>
      </c>
      <c r="L448" s="16" t="str">
        <f>IF(COUNTIFS(Pessoas!$C$5:$C$44,$K448,Pessoas!$G$5:$G$44,"Ativo")=0,"Equipe "&amp;$K448,INDEX(Pessoas!$A$5:$A$44,_xludf.aggregate(15,6,(ROW(Pessoas!$A$5:$A$44)-4)/((Pessoas!$C$5:$C$44=$K448)*(Pessoas!$G$5:$G$44="Ativo")),MOD(ROW()-6,MAX(1,COUNTIFS(Pessoas!$C$5:$C$44,$K448,Pessoas!$G$5:$G$44,"Ativo")))+1)))</f>
        <v>Equipe Oficina Mecânica Central-Taisa</v>
      </c>
    </row>
    <row r="449" spans="1:12" ht="15" customHeight="1" x14ac:dyDescent="0.4">
      <c r="A449" s="25">
        <v>46350</v>
      </c>
      <c r="B449" s="16">
        <v>13</v>
      </c>
      <c r="C449" s="16">
        <v>1</v>
      </c>
      <c r="D449" s="16">
        <v>11</v>
      </c>
      <c r="E449" s="16" t="s">
        <v>980</v>
      </c>
      <c r="F449" s="16" t="s">
        <v>992</v>
      </c>
      <c r="G449" s="16" t="s">
        <v>184</v>
      </c>
      <c r="H449" s="16" t="s">
        <v>138</v>
      </c>
      <c r="I449" s="22" t="s">
        <v>856</v>
      </c>
      <c r="J449" s="16">
        <f>IFERROR(INDEX(Aux_HH!$J$4:$J$31,MATCH($H449&amp;"|"&amp;$I449,Aux_HH!$A$4:$A$31,0)),"")</f>
        <v>3</v>
      </c>
      <c r="K449" s="16" t="s">
        <v>76</v>
      </c>
      <c r="L449" s="16" t="str">
        <f>IF(COUNTIFS(Pessoas!$C$5:$C$44,$K449,Pessoas!$G$5:$G$44,"Ativo")=0,"Equipe "&amp;$K449,INDEX(Pessoas!$A$5:$A$44,_xludf.aggregate(15,6,(ROW(Pessoas!$A$5:$A$44)-4)/((Pessoas!$C$5:$C$44=$K449)*(Pessoas!$G$5:$G$44="Ativo")),MOD(ROW()-6,MAX(1,COUNTIFS(Pessoas!$C$5:$C$44,$K449,Pessoas!$G$5:$G$44,"Ativo")))+1)))</f>
        <v>Equipe Oficina Mecânica Central-Taisa</v>
      </c>
    </row>
    <row r="450" spans="1:12" ht="15" customHeight="1" x14ac:dyDescent="0.4">
      <c r="A450" s="25">
        <v>46350</v>
      </c>
      <c r="B450" s="16">
        <v>13</v>
      </c>
      <c r="C450" s="16">
        <v>1</v>
      </c>
      <c r="D450" s="16">
        <v>11</v>
      </c>
      <c r="E450" s="16" t="s">
        <v>980</v>
      </c>
      <c r="F450" s="16" t="s">
        <v>1125</v>
      </c>
      <c r="G450" s="16" t="s">
        <v>526</v>
      </c>
      <c r="H450" s="16" t="s">
        <v>140</v>
      </c>
      <c r="I450" s="22" t="s">
        <v>861</v>
      </c>
      <c r="J450" s="16">
        <f>IFERROR(INDEX(Aux_HH!$J$4:$J$31,MATCH($H450&amp;"|"&amp;$I450,Aux_HH!$A$4:$A$31,0)),"")</f>
        <v>4.5</v>
      </c>
      <c r="K450" s="16" t="s">
        <v>76</v>
      </c>
      <c r="L450" s="16" t="str">
        <f>IF(COUNTIFS(Pessoas!$C$5:$C$44,$K450,Pessoas!$G$5:$G$44,"Ativo")=0,"Equipe "&amp;$K450,INDEX(Pessoas!$A$5:$A$44,_xludf.aggregate(15,6,(ROW(Pessoas!$A$5:$A$44)-4)/((Pessoas!$C$5:$C$44=$K450)*(Pessoas!$G$5:$G$44="Ativo")),MOD(ROW()-6,MAX(1,COUNTIFS(Pessoas!$C$5:$C$44,$K450,Pessoas!$G$5:$G$44,"Ativo")))+1)))</f>
        <v>Equipe Oficina Mecânica Central-Taisa</v>
      </c>
    </row>
    <row r="451" spans="1:12" ht="15" customHeight="1" x14ac:dyDescent="0.4">
      <c r="A451" s="25">
        <v>46350</v>
      </c>
      <c r="B451" s="16">
        <v>13</v>
      </c>
      <c r="C451" s="16">
        <v>1</v>
      </c>
      <c r="D451" s="16">
        <v>11</v>
      </c>
      <c r="E451" s="16" t="s">
        <v>980</v>
      </c>
      <c r="F451" s="16" t="s">
        <v>1126</v>
      </c>
      <c r="G451" s="16" t="s">
        <v>526</v>
      </c>
      <c r="H451" s="16" t="s">
        <v>140</v>
      </c>
      <c r="I451" s="22" t="s">
        <v>861</v>
      </c>
      <c r="J451" s="16">
        <f>IFERROR(INDEX(Aux_HH!$J$4:$J$31,MATCH($H451&amp;"|"&amp;$I451,Aux_HH!$A$4:$A$31,0)),"")</f>
        <v>4.5</v>
      </c>
      <c r="K451" s="16" t="s">
        <v>76</v>
      </c>
      <c r="L451" s="16" t="str">
        <f>IF(COUNTIFS(Pessoas!$C$5:$C$44,$K451,Pessoas!$G$5:$G$44,"Ativo")=0,"Equipe "&amp;$K451,INDEX(Pessoas!$A$5:$A$44,_xludf.aggregate(15,6,(ROW(Pessoas!$A$5:$A$44)-4)/((Pessoas!$C$5:$C$44=$K451)*(Pessoas!$G$5:$G$44="Ativo")),MOD(ROW()-6,MAX(1,COUNTIFS(Pessoas!$C$5:$C$44,$K451,Pessoas!$G$5:$G$44,"Ativo")))+1)))</f>
        <v>Equipe Oficina Mecânica Central-Taisa</v>
      </c>
    </row>
    <row r="452" spans="1:12" ht="15" customHeight="1" x14ac:dyDescent="0.4">
      <c r="A452" s="25">
        <v>46350</v>
      </c>
      <c r="B452" s="16">
        <v>13</v>
      </c>
      <c r="C452" s="16">
        <v>1</v>
      </c>
      <c r="D452" s="16">
        <v>11</v>
      </c>
      <c r="E452" s="16" t="s">
        <v>980</v>
      </c>
      <c r="F452" s="16" t="s">
        <v>1127</v>
      </c>
      <c r="G452" s="16" t="s">
        <v>184</v>
      </c>
      <c r="H452" s="16" t="s">
        <v>140</v>
      </c>
      <c r="I452" s="22" t="s">
        <v>861</v>
      </c>
      <c r="J452" s="16">
        <f>IFERROR(INDEX(Aux_HH!$J$4:$J$31,MATCH($H452&amp;"|"&amp;$I452,Aux_HH!$A$4:$A$31,0)),"")</f>
        <v>4.5</v>
      </c>
      <c r="K452" s="16" t="s">
        <v>76</v>
      </c>
      <c r="L452" s="16" t="str">
        <f>IF(COUNTIFS(Pessoas!$C$5:$C$44,$K452,Pessoas!$G$5:$G$44,"Ativo")=0,"Equipe "&amp;$K452,INDEX(Pessoas!$A$5:$A$44,_xludf.aggregate(15,6,(ROW(Pessoas!$A$5:$A$44)-4)/((Pessoas!$C$5:$C$44=$K452)*(Pessoas!$G$5:$G$44="Ativo")),MOD(ROW()-6,MAX(1,COUNTIFS(Pessoas!$C$5:$C$44,$K452,Pessoas!$G$5:$G$44,"Ativo")))+1)))</f>
        <v>Equipe Oficina Mecânica Central-Taisa</v>
      </c>
    </row>
    <row r="453" spans="1:12" ht="15" customHeight="1" x14ac:dyDescent="0.4">
      <c r="A453" s="25">
        <v>46350</v>
      </c>
      <c r="B453" s="16">
        <v>13</v>
      </c>
      <c r="C453" s="16">
        <v>1</v>
      </c>
      <c r="D453" s="16">
        <v>11</v>
      </c>
      <c r="E453" s="16" t="s">
        <v>980</v>
      </c>
      <c r="F453" s="16" t="s">
        <v>1128</v>
      </c>
      <c r="G453" s="16" t="s">
        <v>184</v>
      </c>
      <c r="H453" s="16" t="s">
        <v>140</v>
      </c>
      <c r="I453" s="22" t="s">
        <v>861</v>
      </c>
      <c r="J453" s="16">
        <f>IFERROR(INDEX(Aux_HH!$J$4:$J$31,MATCH($H453&amp;"|"&amp;$I453,Aux_HH!$A$4:$A$31,0)),"")</f>
        <v>4.5</v>
      </c>
      <c r="K453" s="16" t="s">
        <v>76</v>
      </c>
      <c r="L453" s="16" t="str">
        <f>IF(COUNTIFS(Pessoas!$C$5:$C$44,$K453,Pessoas!$G$5:$G$44,"Ativo")=0,"Equipe "&amp;$K453,INDEX(Pessoas!$A$5:$A$44,_xludf.aggregate(15,6,(ROW(Pessoas!$A$5:$A$44)-4)/((Pessoas!$C$5:$C$44=$K453)*(Pessoas!$G$5:$G$44="Ativo")),MOD(ROW()-6,MAX(1,COUNTIFS(Pessoas!$C$5:$C$44,$K453,Pessoas!$G$5:$G$44,"Ativo")))+1)))</f>
        <v>Equipe Oficina Mecânica Central-Taisa</v>
      </c>
    </row>
    <row r="454" spans="1:12" ht="15" customHeight="1" x14ac:dyDescent="0.4">
      <c r="A454" s="25">
        <v>46350</v>
      </c>
      <c r="B454" s="16">
        <v>13</v>
      </c>
      <c r="C454" s="16">
        <v>1</v>
      </c>
      <c r="D454" s="16">
        <v>11</v>
      </c>
      <c r="E454" s="16" t="s">
        <v>980</v>
      </c>
      <c r="F454" s="16" t="s">
        <v>1129</v>
      </c>
      <c r="G454" s="16" t="s">
        <v>184</v>
      </c>
      <c r="H454" s="16" t="s">
        <v>140</v>
      </c>
      <c r="I454" s="22" t="s">
        <v>861</v>
      </c>
      <c r="J454" s="16">
        <f>IFERROR(INDEX(Aux_HH!$J$4:$J$31,MATCH($H454&amp;"|"&amp;$I454,Aux_HH!$A$4:$A$31,0)),"")</f>
        <v>4.5</v>
      </c>
      <c r="K454" s="16" t="s">
        <v>76</v>
      </c>
      <c r="L454" s="16" t="str">
        <f>IF(COUNTIFS(Pessoas!$C$5:$C$44,$K454,Pessoas!$G$5:$G$44,"Ativo")=0,"Equipe "&amp;$K454,INDEX(Pessoas!$A$5:$A$44,_xludf.aggregate(15,6,(ROW(Pessoas!$A$5:$A$44)-4)/((Pessoas!$C$5:$C$44=$K454)*(Pessoas!$G$5:$G$44="Ativo")),MOD(ROW()-6,MAX(1,COUNTIFS(Pessoas!$C$5:$C$44,$K454,Pessoas!$G$5:$G$44,"Ativo")))+1)))</f>
        <v>Equipe Oficina Mecânica Central-Taisa</v>
      </c>
    </row>
    <row r="455" spans="1:12" ht="15" customHeight="1" x14ac:dyDescent="0.4">
      <c r="A455" s="25">
        <v>46350</v>
      </c>
      <c r="B455" s="16">
        <v>13</v>
      </c>
      <c r="C455" s="16">
        <v>1</v>
      </c>
      <c r="D455" s="16">
        <v>11</v>
      </c>
      <c r="E455" s="16" t="s">
        <v>980</v>
      </c>
      <c r="F455" s="16" t="s">
        <v>1130</v>
      </c>
      <c r="G455" s="16" t="s">
        <v>184</v>
      </c>
      <c r="H455" s="16" t="s">
        <v>140</v>
      </c>
      <c r="I455" s="22" t="s">
        <v>861</v>
      </c>
      <c r="J455" s="16">
        <f>IFERROR(INDEX(Aux_HH!$J$4:$J$31,MATCH($H455&amp;"|"&amp;$I455,Aux_HH!$A$4:$A$31,0)),"")</f>
        <v>4.5</v>
      </c>
      <c r="K455" s="16" t="s">
        <v>76</v>
      </c>
      <c r="L455" s="16" t="str">
        <f>IF(COUNTIFS(Pessoas!$C$5:$C$44,$K455,Pessoas!$G$5:$G$44,"Ativo")=0,"Equipe "&amp;$K455,INDEX(Pessoas!$A$5:$A$44,_xludf.aggregate(15,6,(ROW(Pessoas!$A$5:$A$44)-4)/((Pessoas!$C$5:$C$44=$K455)*(Pessoas!$G$5:$G$44="Ativo")),MOD(ROW()-6,MAX(1,COUNTIFS(Pessoas!$C$5:$C$44,$K455,Pessoas!$G$5:$G$44,"Ativo")))+1)))</f>
        <v>Equipe Oficina Mecânica Central-Taisa</v>
      </c>
    </row>
    <row r="456" spans="1:12" ht="15" customHeight="1" x14ac:dyDescent="0.4">
      <c r="A456" s="25">
        <v>46350</v>
      </c>
      <c r="B456" s="16">
        <v>13</v>
      </c>
      <c r="C456" s="16">
        <v>1</v>
      </c>
      <c r="D456" s="16">
        <v>11</v>
      </c>
      <c r="E456" s="16" t="s">
        <v>980</v>
      </c>
      <c r="F456" s="16" t="s">
        <v>1131</v>
      </c>
      <c r="G456" s="16" t="s">
        <v>526</v>
      </c>
      <c r="H456" s="16" t="s">
        <v>140</v>
      </c>
      <c r="I456" s="22" t="s">
        <v>861</v>
      </c>
      <c r="J456" s="16">
        <f>IFERROR(INDEX(Aux_HH!$J$4:$J$31,MATCH($H456&amp;"|"&amp;$I456,Aux_HH!$A$4:$A$31,0)),"")</f>
        <v>4.5</v>
      </c>
      <c r="K456" s="16" t="s">
        <v>76</v>
      </c>
      <c r="L456" s="16" t="str">
        <f>IF(COUNTIFS(Pessoas!$C$5:$C$44,$K456,Pessoas!$G$5:$G$44,"Ativo")=0,"Equipe "&amp;$K456,INDEX(Pessoas!$A$5:$A$44,_xludf.aggregate(15,6,(ROW(Pessoas!$A$5:$A$44)-4)/((Pessoas!$C$5:$C$44=$K456)*(Pessoas!$G$5:$G$44="Ativo")),MOD(ROW()-6,MAX(1,COUNTIFS(Pessoas!$C$5:$C$44,$K456,Pessoas!$G$5:$G$44,"Ativo")))+1)))</f>
        <v>Equipe Oficina Mecânica Central-Taisa</v>
      </c>
    </row>
    <row r="457" spans="1:12" ht="15" customHeight="1" x14ac:dyDescent="0.4">
      <c r="A457" s="25">
        <v>46350</v>
      </c>
      <c r="B457" s="16">
        <v>13</v>
      </c>
      <c r="C457" s="16">
        <v>1</v>
      </c>
      <c r="D457" s="16">
        <v>11</v>
      </c>
      <c r="E457" s="16" t="s">
        <v>980</v>
      </c>
      <c r="F457" s="16" t="s">
        <v>1132</v>
      </c>
      <c r="G457" s="16" t="s">
        <v>184</v>
      </c>
      <c r="H457" s="16" t="s">
        <v>140</v>
      </c>
      <c r="I457" s="22" t="s">
        <v>861</v>
      </c>
      <c r="J457" s="16">
        <f>IFERROR(INDEX(Aux_HH!$J$4:$J$31,MATCH($H457&amp;"|"&amp;$I457,Aux_HH!$A$4:$A$31,0)),"")</f>
        <v>4.5</v>
      </c>
      <c r="K457" s="16" t="s">
        <v>76</v>
      </c>
      <c r="L457" s="16" t="str">
        <f>IF(COUNTIFS(Pessoas!$C$5:$C$44,$K457,Pessoas!$G$5:$G$44,"Ativo")=0,"Equipe "&amp;$K457,INDEX(Pessoas!$A$5:$A$44,_xludf.aggregate(15,6,(ROW(Pessoas!$A$5:$A$44)-4)/((Pessoas!$C$5:$C$44=$K457)*(Pessoas!$G$5:$G$44="Ativo")),MOD(ROW()-6,MAX(1,COUNTIFS(Pessoas!$C$5:$C$44,$K457,Pessoas!$G$5:$G$44,"Ativo")))+1)))</f>
        <v>Equipe Oficina Mecânica Central-Taisa</v>
      </c>
    </row>
    <row r="458" spans="1:12" ht="15" customHeight="1" x14ac:dyDescent="0.4">
      <c r="A458" s="25">
        <v>46350</v>
      </c>
      <c r="B458" s="16">
        <v>13</v>
      </c>
      <c r="C458" s="16">
        <v>1</v>
      </c>
      <c r="D458" s="16">
        <v>11</v>
      </c>
      <c r="E458" s="16" t="s">
        <v>980</v>
      </c>
      <c r="F458" s="16" t="s">
        <v>1133</v>
      </c>
      <c r="G458" s="16" t="s">
        <v>526</v>
      </c>
      <c r="H458" s="16" t="s">
        <v>140</v>
      </c>
      <c r="I458" s="22" t="s">
        <v>861</v>
      </c>
      <c r="J458" s="16">
        <f>IFERROR(INDEX(Aux_HH!$J$4:$J$31,MATCH($H458&amp;"|"&amp;$I458,Aux_HH!$A$4:$A$31,0)),"")</f>
        <v>4.5</v>
      </c>
      <c r="K458" s="16" t="s">
        <v>76</v>
      </c>
      <c r="L458" s="16" t="str">
        <f>IF(COUNTIFS(Pessoas!$C$5:$C$44,$K458,Pessoas!$G$5:$G$44,"Ativo")=0,"Equipe "&amp;$K458,INDEX(Pessoas!$A$5:$A$44,_xludf.aggregate(15,6,(ROW(Pessoas!$A$5:$A$44)-4)/((Pessoas!$C$5:$C$44=$K458)*(Pessoas!$G$5:$G$44="Ativo")),MOD(ROW()-6,MAX(1,COUNTIFS(Pessoas!$C$5:$C$44,$K458,Pessoas!$G$5:$G$44,"Ativo")))+1)))</f>
        <v>Equipe Oficina Mecânica Central-Taisa</v>
      </c>
    </row>
    <row r="459" spans="1:12" ht="15" customHeight="1" x14ac:dyDescent="0.4">
      <c r="A459" s="25">
        <v>46350</v>
      </c>
      <c r="B459" s="16">
        <v>13</v>
      </c>
      <c r="C459" s="16">
        <v>1</v>
      </c>
      <c r="D459" s="16">
        <v>11</v>
      </c>
      <c r="E459" s="16" t="s">
        <v>980</v>
      </c>
      <c r="F459" s="16" t="s">
        <v>1134</v>
      </c>
      <c r="G459" s="16" t="s">
        <v>526</v>
      </c>
      <c r="H459" s="16" t="s">
        <v>140</v>
      </c>
      <c r="I459" s="22" t="s">
        <v>861</v>
      </c>
      <c r="J459" s="16">
        <f>IFERROR(INDEX(Aux_HH!$J$4:$J$31,MATCH($H459&amp;"|"&amp;$I459,Aux_HH!$A$4:$A$31,0)),"")</f>
        <v>4.5</v>
      </c>
      <c r="K459" s="16" t="s">
        <v>76</v>
      </c>
      <c r="L459" s="16" t="str">
        <f>IF(COUNTIFS(Pessoas!$C$5:$C$44,$K459,Pessoas!$G$5:$G$44,"Ativo")=0,"Equipe "&amp;$K459,INDEX(Pessoas!$A$5:$A$44,_xludf.aggregate(15,6,(ROW(Pessoas!$A$5:$A$44)-4)/((Pessoas!$C$5:$C$44=$K459)*(Pessoas!$G$5:$G$44="Ativo")),MOD(ROW()-6,MAX(1,COUNTIFS(Pessoas!$C$5:$C$44,$K459,Pessoas!$G$5:$G$44,"Ativo")))+1)))</f>
        <v>Equipe Oficina Mecânica Central-Taisa</v>
      </c>
    </row>
    <row r="460" spans="1:12" ht="15" customHeight="1" x14ac:dyDescent="0.4">
      <c r="A460" s="25">
        <v>46350</v>
      </c>
      <c r="B460" s="16">
        <v>13</v>
      </c>
      <c r="C460" s="16">
        <v>1</v>
      </c>
      <c r="D460" s="16">
        <v>11</v>
      </c>
      <c r="E460" s="16" t="s">
        <v>980</v>
      </c>
      <c r="F460" s="16" t="s">
        <v>1135</v>
      </c>
      <c r="G460" s="16" t="s">
        <v>526</v>
      </c>
      <c r="H460" s="16" t="s">
        <v>140</v>
      </c>
      <c r="I460" s="22" t="s">
        <v>861</v>
      </c>
      <c r="J460" s="16">
        <f>IFERROR(INDEX(Aux_HH!$J$4:$J$31,MATCH($H460&amp;"|"&amp;$I460,Aux_HH!$A$4:$A$31,0)),"")</f>
        <v>4.5</v>
      </c>
      <c r="K460" s="16" t="s">
        <v>76</v>
      </c>
      <c r="L460" s="16" t="str">
        <f>IF(COUNTIFS(Pessoas!$C$5:$C$44,$K460,Pessoas!$G$5:$G$44,"Ativo")=0,"Equipe "&amp;$K460,INDEX(Pessoas!$A$5:$A$44,_xludf.aggregate(15,6,(ROW(Pessoas!$A$5:$A$44)-4)/((Pessoas!$C$5:$C$44=$K460)*(Pessoas!$G$5:$G$44="Ativo")),MOD(ROW()-6,MAX(1,COUNTIFS(Pessoas!$C$5:$C$44,$K460,Pessoas!$G$5:$G$44,"Ativo")))+1)))</f>
        <v>Equipe Oficina Mecânica Central-Taisa</v>
      </c>
    </row>
    <row r="461" spans="1:12" ht="15" customHeight="1" x14ac:dyDescent="0.4">
      <c r="A461" s="25">
        <v>46350</v>
      </c>
      <c r="B461" s="16">
        <v>13</v>
      </c>
      <c r="C461" s="16">
        <v>1</v>
      </c>
      <c r="D461" s="16">
        <v>11</v>
      </c>
      <c r="E461" s="16" t="s">
        <v>980</v>
      </c>
      <c r="F461" s="16" t="s">
        <v>1136</v>
      </c>
      <c r="G461" s="16" t="s">
        <v>526</v>
      </c>
      <c r="H461" s="16" t="s">
        <v>140</v>
      </c>
      <c r="I461" s="22" t="s">
        <v>861</v>
      </c>
      <c r="J461" s="16">
        <f>IFERROR(INDEX(Aux_HH!$J$4:$J$31,MATCH($H461&amp;"|"&amp;$I461,Aux_HH!$A$4:$A$31,0)),"")</f>
        <v>4.5</v>
      </c>
      <c r="K461" s="16" t="s">
        <v>76</v>
      </c>
      <c r="L461" s="16" t="str">
        <f>IF(COUNTIFS(Pessoas!$C$5:$C$44,$K461,Pessoas!$G$5:$G$44,"Ativo")=0,"Equipe "&amp;$K461,INDEX(Pessoas!$A$5:$A$44,_xludf.aggregate(15,6,(ROW(Pessoas!$A$5:$A$44)-4)/((Pessoas!$C$5:$C$44=$K461)*(Pessoas!$G$5:$G$44="Ativo")),MOD(ROW()-6,MAX(1,COUNTIFS(Pessoas!$C$5:$C$44,$K461,Pessoas!$G$5:$G$44,"Ativo")))+1)))</f>
        <v>Equipe Oficina Mecânica Central-Taisa</v>
      </c>
    </row>
    <row r="462" spans="1:12" ht="15" customHeight="1" x14ac:dyDescent="0.4">
      <c r="A462" s="25">
        <v>46350</v>
      </c>
      <c r="B462" s="16">
        <v>13</v>
      </c>
      <c r="C462" s="16">
        <v>1</v>
      </c>
      <c r="D462" s="16">
        <v>11</v>
      </c>
      <c r="E462" s="16" t="s">
        <v>980</v>
      </c>
      <c r="F462" s="16" t="s">
        <v>1158</v>
      </c>
      <c r="G462" s="16" t="s">
        <v>526</v>
      </c>
      <c r="H462" s="16" t="s">
        <v>140</v>
      </c>
      <c r="I462" s="22" t="s">
        <v>861</v>
      </c>
      <c r="J462" s="16">
        <f>IFERROR(INDEX(Aux_HH!$J$4:$J$31,MATCH($H462&amp;"|"&amp;$I462,Aux_HH!$A$4:$A$31,0)),"")</f>
        <v>4.5</v>
      </c>
      <c r="K462" s="16" t="s">
        <v>76</v>
      </c>
      <c r="L462" s="16" t="str">
        <f>IF(COUNTIFS(Pessoas!$C$5:$C$44,$K462,Pessoas!$G$5:$G$44,"Ativo")=0,"Equipe "&amp;$K462,INDEX(Pessoas!$A$5:$A$44,_xludf.aggregate(15,6,(ROW(Pessoas!$A$5:$A$44)-4)/((Pessoas!$C$5:$C$44=$K462)*(Pessoas!$G$5:$G$44="Ativo")),MOD(ROW()-6,MAX(1,COUNTIFS(Pessoas!$C$5:$C$44,$K462,Pessoas!$G$5:$G$44,"Ativo")))+1)))</f>
        <v>Equipe Oficina Mecânica Central-Taisa</v>
      </c>
    </row>
    <row r="463" spans="1:12" ht="15" customHeight="1" x14ac:dyDescent="0.4">
      <c r="A463" s="25">
        <v>46350</v>
      </c>
      <c r="B463" s="16">
        <v>13</v>
      </c>
      <c r="C463" s="16">
        <v>1</v>
      </c>
      <c r="D463" s="16">
        <v>11</v>
      </c>
      <c r="E463" s="16" t="s">
        <v>980</v>
      </c>
      <c r="F463" s="16" t="s">
        <v>1159</v>
      </c>
      <c r="G463" s="16" t="s">
        <v>526</v>
      </c>
      <c r="H463" s="16" t="s">
        <v>140</v>
      </c>
      <c r="I463" s="22" t="s">
        <v>861</v>
      </c>
      <c r="J463" s="16">
        <f>IFERROR(INDEX(Aux_HH!$J$4:$J$31,MATCH($H463&amp;"|"&amp;$I463,Aux_HH!$A$4:$A$31,0)),"")</f>
        <v>4.5</v>
      </c>
      <c r="K463" s="16" t="s">
        <v>76</v>
      </c>
      <c r="L463" s="16" t="str">
        <f>IF(COUNTIFS(Pessoas!$C$5:$C$44,$K463,Pessoas!$G$5:$G$44,"Ativo")=0,"Equipe "&amp;$K463,INDEX(Pessoas!$A$5:$A$44,_xludf.aggregate(15,6,(ROW(Pessoas!$A$5:$A$44)-4)/((Pessoas!$C$5:$C$44=$K463)*(Pessoas!$G$5:$G$44="Ativo")),MOD(ROW()-6,MAX(1,COUNTIFS(Pessoas!$C$5:$C$44,$K463,Pessoas!$G$5:$G$44,"Ativo")))+1)))</f>
        <v>Equipe Oficina Mecânica Central-Taisa</v>
      </c>
    </row>
    <row r="464" spans="1:12" ht="15" customHeight="1" x14ac:dyDescent="0.4">
      <c r="A464" s="25">
        <v>46350</v>
      </c>
      <c r="B464" s="16">
        <v>13</v>
      </c>
      <c r="C464" s="16">
        <v>1</v>
      </c>
      <c r="D464" s="16">
        <v>11</v>
      </c>
      <c r="E464" s="16" t="s">
        <v>980</v>
      </c>
      <c r="F464" s="16" t="s">
        <v>1160</v>
      </c>
      <c r="G464" s="16" t="s">
        <v>526</v>
      </c>
      <c r="H464" s="16" t="s">
        <v>140</v>
      </c>
      <c r="I464" s="22" t="s">
        <v>861</v>
      </c>
      <c r="J464" s="16">
        <f>IFERROR(INDEX(Aux_HH!$J$4:$J$31,MATCH($H464&amp;"|"&amp;$I464,Aux_HH!$A$4:$A$31,0)),"")</f>
        <v>4.5</v>
      </c>
      <c r="K464" s="16" t="s">
        <v>76</v>
      </c>
      <c r="L464" s="16" t="str">
        <f>IF(COUNTIFS(Pessoas!$C$5:$C$44,$K464,Pessoas!$G$5:$G$44,"Ativo")=0,"Equipe "&amp;$K464,INDEX(Pessoas!$A$5:$A$44,_xludf.aggregate(15,6,(ROW(Pessoas!$A$5:$A$44)-4)/((Pessoas!$C$5:$C$44=$K464)*(Pessoas!$G$5:$G$44="Ativo")),MOD(ROW()-6,MAX(1,COUNTIFS(Pessoas!$C$5:$C$44,$K464,Pessoas!$G$5:$G$44,"Ativo")))+1)))</f>
        <v>Equipe Oficina Mecânica Central-Taisa</v>
      </c>
    </row>
    <row r="465" spans="1:12" ht="15" customHeight="1" x14ac:dyDescent="0.4">
      <c r="A465" s="25">
        <v>46350</v>
      </c>
      <c r="B465" s="16">
        <v>13</v>
      </c>
      <c r="C465" s="16">
        <v>1</v>
      </c>
      <c r="D465" s="16">
        <v>11</v>
      </c>
      <c r="E465" s="16" t="s">
        <v>980</v>
      </c>
      <c r="F465" s="16" t="s">
        <v>1161</v>
      </c>
      <c r="G465" s="16" t="s">
        <v>526</v>
      </c>
      <c r="H465" s="16" t="s">
        <v>140</v>
      </c>
      <c r="I465" s="22" t="s">
        <v>861</v>
      </c>
      <c r="J465" s="16">
        <f>IFERROR(INDEX(Aux_HH!$J$4:$J$31,MATCH($H465&amp;"|"&amp;$I465,Aux_HH!$A$4:$A$31,0)),"")</f>
        <v>4.5</v>
      </c>
      <c r="K465" s="16" t="s">
        <v>76</v>
      </c>
      <c r="L465" s="16" t="str">
        <f>IF(COUNTIFS(Pessoas!$C$5:$C$44,$K465,Pessoas!$G$5:$G$44,"Ativo")=0,"Equipe "&amp;$K465,INDEX(Pessoas!$A$5:$A$44,_xludf.aggregate(15,6,(ROW(Pessoas!$A$5:$A$44)-4)/((Pessoas!$C$5:$C$44=$K465)*(Pessoas!$G$5:$G$44="Ativo")),MOD(ROW()-6,MAX(1,COUNTIFS(Pessoas!$C$5:$C$44,$K465,Pessoas!$G$5:$G$44,"Ativo")))+1)))</f>
        <v>Equipe Oficina Mecânica Central-Taisa</v>
      </c>
    </row>
    <row r="466" spans="1:12" ht="15" customHeight="1" x14ac:dyDescent="0.4">
      <c r="A466" s="25">
        <v>46350</v>
      </c>
      <c r="B466" s="16">
        <v>13</v>
      </c>
      <c r="C466" s="16">
        <v>1</v>
      </c>
      <c r="D466" s="16">
        <v>11</v>
      </c>
      <c r="E466" s="16" t="s">
        <v>980</v>
      </c>
      <c r="F466" s="16" t="s">
        <v>1164</v>
      </c>
      <c r="G466" s="16" t="s">
        <v>184</v>
      </c>
      <c r="H466" s="16" t="s">
        <v>140</v>
      </c>
      <c r="I466" s="22" t="s">
        <v>861</v>
      </c>
      <c r="J466" s="16">
        <f>IFERROR(INDEX(Aux_HH!$J$4:$J$31,MATCH($H466&amp;"|"&amp;$I466,Aux_HH!$A$4:$A$31,0)),"")</f>
        <v>4.5</v>
      </c>
      <c r="K466" s="16" t="s">
        <v>76</v>
      </c>
      <c r="L466" s="16" t="str">
        <f>IF(COUNTIFS(Pessoas!$C$5:$C$44,$K466,Pessoas!$G$5:$G$44,"Ativo")=0,"Equipe "&amp;$K466,INDEX(Pessoas!$A$5:$A$44,_xludf.aggregate(15,6,(ROW(Pessoas!$A$5:$A$44)-4)/((Pessoas!$C$5:$C$44=$K466)*(Pessoas!$G$5:$G$44="Ativo")),MOD(ROW()-6,MAX(1,COUNTIFS(Pessoas!$C$5:$C$44,$K466,Pessoas!$G$5:$G$44,"Ativo")))+1)))</f>
        <v>Equipe Oficina Mecânica Central-Taisa</v>
      </c>
    </row>
    <row r="467" spans="1:12" ht="15" customHeight="1" x14ac:dyDescent="0.4">
      <c r="A467" s="25">
        <v>46350</v>
      </c>
      <c r="B467" s="16">
        <v>13</v>
      </c>
      <c r="C467" s="16">
        <v>1</v>
      </c>
      <c r="D467" s="16">
        <v>11</v>
      </c>
      <c r="E467" s="16" t="s">
        <v>980</v>
      </c>
      <c r="F467" s="16" t="s">
        <v>1165</v>
      </c>
      <c r="G467" s="16" t="s">
        <v>184</v>
      </c>
      <c r="H467" s="16" t="s">
        <v>140</v>
      </c>
      <c r="I467" s="22" t="s">
        <v>861</v>
      </c>
      <c r="J467" s="16">
        <f>IFERROR(INDEX(Aux_HH!$J$4:$J$31,MATCH($H467&amp;"|"&amp;$I467,Aux_HH!$A$4:$A$31,0)),"")</f>
        <v>4.5</v>
      </c>
      <c r="K467" s="16" t="s">
        <v>76</v>
      </c>
      <c r="L467" s="16" t="str">
        <f>IF(COUNTIFS(Pessoas!$C$5:$C$44,$K467,Pessoas!$G$5:$G$44,"Ativo")=0,"Equipe "&amp;$K467,INDEX(Pessoas!$A$5:$A$44,_xludf.aggregate(15,6,(ROW(Pessoas!$A$5:$A$44)-4)/((Pessoas!$C$5:$C$44=$K467)*(Pessoas!$G$5:$G$44="Ativo")),MOD(ROW()-6,MAX(1,COUNTIFS(Pessoas!$C$5:$C$44,$K467,Pessoas!$G$5:$G$44,"Ativo")))+1)))</f>
        <v>Equipe Oficina Mecânica Central-Taisa</v>
      </c>
    </row>
    <row r="468" spans="1:12" ht="15" customHeight="1" x14ac:dyDescent="0.4">
      <c r="A468" s="25">
        <v>46350</v>
      </c>
      <c r="B468" s="16">
        <v>13</v>
      </c>
      <c r="C468" s="16">
        <v>1</v>
      </c>
      <c r="D468" s="16">
        <v>11</v>
      </c>
      <c r="E468" s="16" t="s">
        <v>980</v>
      </c>
      <c r="F468" s="16" t="s">
        <v>1166</v>
      </c>
      <c r="G468" s="16" t="s">
        <v>526</v>
      </c>
      <c r="H468" s="16" t="s">
        <v>140</v>
      </c>
      <c r="I468" s="22" t="s">
        <v>861</v>
      </c>
      <c r="J468" s="16">
        <f>IFERROR(INDEX(Aux_HH!$J$4:$J$31,MATCH($H468&amp;"|"&amp;$I468,Aux_HH!$A$4:$A$31,0)),"")</f>
        <v>4.5</v>
      </c>
      <c r="K468" s="16" t="s">
        <v>76</v>
      </c>
      <c r="L468" s="16" t="str">
        <f>IF(COUNTIFS(Pessoas!$C$5:$C$44,$K468,Pessoas!$G$5:$G$44,"Ativo")=0,"Equipe "&amp;$K468,INDEX(Pessoas!$A$5:$A$44,_xludf.aggregate(15,6,(ROW(Pessoas!$A$5:$A$44)-4)/((Pessoas!$C$5:$C$44=$K468)*(Pessoas!$G$5:$G$44="Ativo")),MOD(ROW()-6,MAX(1,COUNTIFS(Pessoas!$C$5:$C$44,$K468,Pessoas!$G$5:$G$44,"Ativo")))+1)))</f>
        <v>Equipe Oficina Mecânica Central-Taisa</v>
      </c>
    </row>
    <row r="469" spans="1:12" ht="15" customHeight="1" x14ac:dyDescent="0.4">
      <c r="A469" s="25">
        <v>46350</v>
      </c>
      <c r="B469" s="16">
        <v>13</v>
      </c>
      <c r="C469" s="16">
        <v>1</v>
      </c>
      <c r="D469" s="16">
        <v>11</v>
      </c>
      <c r="E469" s="16" t="s">
        <v>980</v>
      </c>
      <c r="F469" s="16" t="s">
        <v>1167</v>
      </c>
      <c r="G469" s="16" t="s">
        <v>526</v>
      </c>
      <c r="H469" s="16" t="s">
        <v>140</v>
      </c>
      <c r="I469" s="22" t="s">
        <v>861</v>
      </c>
      <c r="J469" s="16">
        <f>IFERROR(INDEX(Aux_HH!$J$4:$J$31,MATCH($H469&amp;"|"&amp;$I469,Aux_HH!$A$4:$A$31,0)),"")</f>
        <v>4.5</v>
      </c>
      <c r="K469" s="16" t="s">
        <v>76</v>
      </c>
      <c r="L469" s="16" t="str">
        <f>IF(COUNTIFS(Pessoas!$C$5:$C$44,$K469,Pessoas!$G$5:$G$44,"Ativo")=0,"Equipe "&amp;$K469,INDEX(Pessoas!$A$5:$A$44,_xludf.aggregate(15,6,(ROW(Pessoas!$A$5:$A$44)-4)/((Pessoas!$C$5:$C$44=$K469)*(Pessoas!$G$5:$G$44="Ativo")),MOD(ROW()-6,MAX(1,COUNTIFS(Pessoas!$C$5:$C$44,$K469,Pessoas!$G$5:$G$44,"Ativo")))+1)))</f>
        <v>Equipe Oficina Mecânica Central-Taisa</v>
      </c>
    </row>
    <row r="470" spans="1:12" ht="15" customHeight="1" x14ac:dyDescent="0.4">
      <c r="A470" s="25">
        <v>46350</v>
      </c>
      <c r="B470" s="16">
        <v>13</v>
      </c>
      <c r="C470" s="16">
        <v>1</v>
      </c>
      <c r="D470" s="16">
        <v>11</v>
      </c>
      <c r="E470" s="16" t="s">
        <v>980</v>
      </c>
      <c r="F470" s="16" t="s">
        <v>1168</v>
      </c>
      <c r="G470" s="16" t="s">
        <v>526</v>
      </c>
      <c r="H470" s="16" t="s">
        <v>140</v>
      </c>
      <c r="I470" s="22" t="s">
        <v>861</v>
      </c>
      <c r="J470" s="16">
        <f>IFERROR(INDEX(Aux_HH!$J$4:$J$31,MATCH($H470&amp;"|"&amp;$I470,Aux_HH!$A$4:$A$31,0)),"")</f>
        <v>4.5</v>
      </c>
      <c r="K470" s="16" t="s">
        <v>76</v>
      </c>
      <c r="L470" s="16" t="str">
        <f>IF(COUNTIFS(Pessoas!$C$5:$C$44,$K470,Pessoas!$G$5:$G$44,"Ativo")=0,"Equipe "&amp;$K470,INDEX(Pessoas!$A$5:$A$44,_xludf.aggregate(15,6,(ROW(Pessoas!$A$5:$A$44)-4)/((Pessoas!$C$5:$C$44=$K470)*(Pessoas!$G$5:$G$44="Ativo")),MOD(ROW()-6,MAX(1,COUNTIFS(Pessoas!$C$5:$C$44,$K470,Pessoas!$G$5:$G$44,"Ativo")))+1)))</f>
        <v>Equipe Oficina Mecânica Central-Taisa</v>
      </c>
    </row>
    <row r="471" spans="1:12" ht="15" customHeight="1" x14ac:dyDescent="0.4">
      <c r="A471" s="25">
        <v>46351</v>
      </c>
      <c r="B471" s="16">
        <v>13</v>
      </c>
      <c r="C471" s="16">
        <v>1</v>
      </c>
      <c r="D471" s="16">
        <v>11</v>
      </c>
      <c r="E471" s="16" t="s">
        <v>980</v>
      </c>
      <c r="F471" s="16" t="s">
        <v>993</v>
      </c>
      <c r="G471" s="16" t="s">
        <v>184</v>
      </c>
      <c r="H471" s="16" t="s">
        <v>138</v>
      </c>
      <c r="I471" s="22" t="s">
        <v>856</v>
      </c>
      <c r="J471" s="16">
        <f>IFERROR(INDEX(Aux_HH!$J$4:$J$31,MATCH($H471&amp;"|"&amp;$I471,Aux_HH!$A$4:$A$31,0)),"")</f>
        <v>3</v>
      </c>
      <c r="K471" s="16" t="s">
        <v>76</v>
      </c>
      <c r="L471" s="16" t="str">
        <f>IF(COUNTIFS(Pessoas!$C$5:$C$44,$K471,Pessoas!$G$5:$G$44,"Ativo")=0,"Equipe "&amp;$K471,INDEX(Pessoas!$A$5:$A$44,_xludf.aggregate(15,6,(ROW(Pessoas!$A$5:$A$44)-4)/((Pessoas!$C$5:$C$44=$K471)*(Pessoas!$G$5:$G$44="Ativo")),MOD(ROW()-6,MAX(1,COUNTIFS(Pessoas!$C$5:$C$44,$K471,Pessoas!$G$5:$G$44,"Ativo")))+1)))</f>
        <v>Equipe Oficina Mecânica Central-Taisa</v>
      </c>
    </row>
    <row r="472" spans="1:12" ht="15" customHeight="1" x14ac:dyDescent="0.4">
      <c r="A472" s="25">
        <v>46351</v>
      </c>
      <c r="B472" s="16">
        <v>13</v>
      </c>
      <c r="C472" s="16">
        <v>1</v>
      </c>
      <c r="D472" s="16">
        <v>11</v>
      </c>
      <c r="E472" s="16" t="s">
        <v>980</v>
      </c>
      <c r="F472" s="16" t="s">
        <v>1170</v>
      </c>
      <c r="G472" s="16" t="s">
        <v>526</v>
      </c>
      <c r="H472" s="16" t="s">
        <v>140</v>
      </c>
      <c r="I472" s="22" t="s">
        <v>861</v>
      </c>
      <c r="J472" s="16">
        <f>IFERROR(INDEX(Aux_HH!$J$4:$J$31,MATCH($H472&amp;"|"&amp;$I472,Aux_HH!$A$4:$A$31,0)),"")</f>
        <v>4.5</v>
      </c>
      <c r="K472" s="16" t="s">
        <v>76</v>
      </c>
      <c r="L472" s="16" t="str">
        <f>IF(COUNTIFS(Pessoas!$C$5:$C$44,$K472,Pessoas!$G$5:$G$44,"Ativo")=0,"Equipe "&amp;$K472,INDEX(Pessoas!$A$5:$A$44,_xludf.aggregate(15,6,(ROW(Pessoas!$A$5:$A$44)-4)/((Pessoas!$C$5:$C$44=$K472)*(Pessoas!$G$5:$G$44="Ativo")),MOD(ROW()-6,MAX(1,COUNTIFS(Pessoas!$C$5:$C$44,$K472,Pessoas!$G$5:$G$44,"Ativo")))+1)))</f>
        <v>Equipe Oficina Mecânica Central-Taisa</v>
      </c>
    </row>
    <row r="473" spans="1:12" ht="15" customHeight="1" x14ac:dyDescent="0.4">
      <c r="A473" s="25">
        <v>46351</v>
      </c>
      <c r="B473" s="16">
        <v>13</v>
      </c>
      <c r="C473" s="16">
        <v>1</v>
      </c>
      <c r="D473" s="16">
        <v>11</v>
      </c>
      <c r="E473" s="16" t="s">
        <v>980</v>
      </c>
      <c r="F473" s="16" t="s">
        <v>1171</v>
      </c>
      <c r="G473" s="16" t="s">
        <v>526</v>
      </c>
      <c r="H473" s="16" t="s">
        <v>140</v>
      </c>
      <c r="I473" s="22" t="s">
        <v>861</v>
      </c>
      <c r="J473" s="16">
        <f>IFERROR(INDEX(Aux_HH!$J$4:$J$31,MATCH($H473&amp;"|"&amp;$I473,Aux_HH!$A$4:$A$31,0)),"")</f>
        <v>4.5</v>
      </c>
      <c r="K473" s="16" t="s">
        <v>76</v>
      </c>
      <c r="L473" s="16" t="str">
        <f>IF(COUNTIFS(Pessoas!$C$5:$C$44,$K473,Pessoas!$G$5:$G$44,"Ativo")=0,"Equipe "&amp;$K473,INDEX(Pessoas!$A$5:$A$44,_xludf.aggregate(15,6,(ROW(Pessoas!$A$5:$A$44)-4)/((Pessoas!$C$5:$C$44=$K473)*(Pessoas!$G$5:$G$44="Ativo")),MOD(ROW()-6,MAX(1,COUNTIFS(Pessoas!$C$5:$C$44,$K473,Pessoas!$G$5:$G$44,"Ativo")))+1)))</f>
        <v>Equipe Oficina Mecânica Central-Taisa</v>
      </c>
    </row>
    <row r="474" spans="1:12" ht="15" customHeight="1" x14ac:dyDescent="0.4">
      <c r="A474" s="25">
        <v>46351</v>
      </c>
      <c r="B474" s="16">
        <v>13</v>
      </c>
      <c r="C474" s="16">
        <v>1</v>
      </c>
      <c r="D474" s="16">
        <v>11</v>
      </c>
      <c r="E474" s="16" t="s">
        <v>980</v>
      </c>
      <c r="F474" s="16" t="s">
        <v>1172</v>
      </c>
      <c r="G474" s="16" t="s">
        <v>526</v>
      </c>
      <c r="H474" s="16" t="s">
        <v>140</v>
      </c>
      <c r="I474" s="22" t="s">
        <v>861</v>
      </c>
      <c r="J474" s="16">
        <f>IFERROR(INDEX(Aux_HH!$J$4:$J$31,MATCH($H474&amp;"|"&amp;$I474,Aux_HH!$A$4:$A$31,0)),"")</f>
        <v>4.5</v>
      </c>
      <c r="K474" s="16" t="s">
        <v>76</v>
      </c>
      <c r="L474" s="16" t="str">
        <f>IF(COUNTIFS(Pessoas!$C$5:$C$44,$K474,Pessoas!$G$5:$G$44,"Ativo")=0,"Equipe "&amp;$K474,INDEX(Pessoas!$A$5:$A$44,_xludf.aggregate(15,6,(ROW(Pessoas!$A$5:$A$44)-4)/((Pessoas!$C$5:$C$44=$K474)*(Pessoas!$G$5:$G$44="Ativo")),MOD(ROW()-6,MAX(1,COUNTIFS(Pessoas!$C$5:$C$44,$K474,Pessoas!$G$5:$G$44,"Ativo")))+1)))</f>
        <v>Equipe Oficina Mecânica Central-Taisa</v>
      </c>
    </row>
    <row r="475" spans="1:12" ht="15" customHeight="1" x14ac:dyDescent="0.4">
      <c r="A475" s="25">
        <v>46351</v>
      </c>
      <c r="B475" s="16">
        <v>13</v>
      </c>
      <c r="C475" s="16">
        <v>1</v>
      </c>
      <c r="D475" s="16">
        <v>11</v>
      </c>
      <c r="E475" s="16" t="s">
        <v>980</v>
      </c>
      <c r="F475" s="16" t="s">
        <v>1173</v>
      </c>
      <c r="G475" s="16" t="s">
        <v>184</v>
      </c>
      <c r="H475" s="16" t="s">
        <v>140</v>
      </c>
      <c r="I475" s="22" t="s">
        <v>861</v>
      </c>
      <c r="J475" s="16">
        <f>IFERROR(INDEX(Aux_HH!$J$4:$J$31,MATCH($H475&amp;"|"&amp;$I475,Aux_HH!$A$4:$A$31,0)),"")</f>
        <v>4.5</v>
      </c>
      <c r="K475" s="16" t="s">
        <v>76</v>
      </c>
      <c r="L475" s="16" t="str">
        <f>IF(COUNTIFS(Pessoas!$C$5:$C$44,$K475,Pessoas!$G$5:$G$44,"Ativo")=0,"Equipe "&amp;$K475,INDEX(Pessoas!$A$5:$A$44,_xludf.aggregate(15,6,(ROW(Pessoas!$A$5:$A$44)-4)/((Pessoas!$C$5:$C$44=$K475)*(Pessoas!$G$5:$G$44="Ativo")),MOD(ROW()-6,MAX(1,COUNTIFS(Pessoas!$C$5:$C$44,$K475,Pessoas!$G$5:$G$44,"Ativo")))+1)))</f>
        <v>Equipe Oficina Mecânica Central-Taisa</v>
      </c>
    </row>
    <row r="476" spans="1:12" ht="15" customHeight="1" x14ac:dyDescent="0.4">
      <c r="A476" s="25">
        <v>46351</v>
      </c>
      <c r="B476" s="16">
        <v>13</v>
      </c>
      <c r="C476" s="16">
        <v>1</v>
      </c>
      <c r="D476" s="16">
        <v>11</v>
      </c>
      <c r="E476" s="16" t="s">
        <v>980</v>
      </c>
      <c r="F476" s="16" t="s">
        <v>1174</v>
      </c>
      <c r="G476" s="16" t="s">
        <v>526</v>
      </c>
      <c r="H476" s="16" t="s">
        <v>140</v>
      </c>
      <c r="I476" s="22" t="s">
        <v>861</v>
      </c>
      <c r="J476" s="16">
        <f>IFERROR(INDEX(Aux_HH!$J$4:$J$31,MATCH($H476&amp;"|"&amp;$I476,Aux_HH!$A$4:$A$31,0)),"")</f>
        <v>4.5</v>
      </c>
      <c r="K476" s="16" t="s">
        <v>76</v>
      </c>
      <c r="L476" s="16" t="str">
        <f>IF(COUNTIFS(Pessoas!$C$5:$C$44,$K476,Pessoas!$G$5:$G$44,"Ativo")=0,"Equipe "&amp;$K476,INDEX(Pessoas!$A$5:$A$44,_xludf.aggregate(15,6,(ROW(Pessoas!$A$5:$A$44)-4)/((Pessoas!$C$5:$C$44=$K476)*(Pessoas!$G$5:$G$44="Ativo")),MOD(ROW()-6,MAX(1,COUNTIFS(Pessoas!$C$5:$C$44,$K476,Pessoas!$G$5:$G$44,"Ativo")))+1)))</f>
        <v>Equipe Oficina Mecânica Central-Taisa</v>
      </c>
    </row>
    <row r="477" spans="1:12" ht="15" customHeight="1" x14ac:dyDescent="0.4">
      <c r="A477" s="25">
        <v>46351</v>
      </c>
      <c r="B477" s="16">
        <v>13</v>
      </c>
      <c r="C477" s="16">
        <v>1</v>
      </c>
      <c r="D477" s="16">
        <v>11</v>
      </c>
      <c r="E477" s="16" t="s">
        <v>980</v>
      </c>
      <c r="F477" s="16" t="s">
        <v>1175</v>
      </c>
      <c r="G477" s="16" t="s">
        <v>184</v>
      </c>
      <c r="H477" s="16" t="s">
        <v>140</v>
      </c>
      <c r="I477" s="22" t="s">
        <v>861</v>
      </c>
      <c r="J477" s="16">
        <f>IFERROR(INDEX(Aux_HH!$J$4:$J$31,MATCH($H477&amp;"|"&amp;$I477,Aux_HH!$A$4:$A$31,0)),"")</f>
        <v>4.5</v>
      </c>
      <c r="K477" s="16" t="s">
        <v>76</v>
      </c>
      <c r="L477" s="16" t="str">
        <f>IF(COUNTIFS(Pessoas!$C$5:$C$44,$K477,Pessoas!$G$5:$G$44,"Ativo")=0,"Equipe "&amp;$K477,INDEX(Pessoas!$A$5:$A$44,_xludf.aggregate(15,6,(ROW(Pessoas!$A$5:$A$44)-4)/((Pessoas!$C$5:$C$44=$K477)*(Pessoas!$G$5:$G$44="Ativo")),MOD(ROW()-6,MAX(1,COUNTIFS(Pessoas!$C$5:$C$44,$K477,Pessoas!$G$5:$G$44,"Ativo")))+1)))</f>
        <v>Equipe Oficina Mecânica Central-Taisa</v>
      </c>
    </row>
    <row r="478" spans="1:12" ht="15" customHeight="1" x14ac:dyDescent="0.4">
      <c r="A478" s="25">
        <v>46351</v>
      </c>
      <c r="B478" s="16">
        <v>13</v>
      </c>
      <c r="C478" s="16">
        <v>1</v>
      </c>
      <c r="D478" s="16">
        <v>11</v>
      </c>
      <c r="E478" s="16" t="s">
        <v>980</v>
      </c>
      <c r="F478" s="16" t="s">
        <v>1176</v>
      </c>
      <c r="G478" s="16" t="s">
        <v>526</v>
      </c>
      <c r="H478" s="16" t="s">
        <v>140</v>
      </c>
      <c r="I478" s="22" t="s">
        <v>861</v>
      </c>
      <c r="J478" s="16">
        <f>IFERROR(INDEX(Aux_HH!$J$4:$J$31,MATCH($H478&amp;"|"&amp;$I478,Aux_HH!$A$4:$A$31,0)),"")</f>
        <v>4.5</v>
      </c>
      <c r="K478" s="16" t="s">
        <v>76</v>
      </c>
      <c r="L478" s="16" t="str">
        <f>IF(COUNTIFS(Pessoas!$C$5:$C$44,$K478,Pessoas!$G$5:$G$44,"Ativo")=0,"Equipe "&amp;$K478,INDEX(Pessoas!$A$5:$A$44,_xludf.aggregate(15,6,(ROW(Pessoas!$A$5:$A$44)-4)/((Pessoas!$C$5:$C$44=$K478)*(Pessoas!$G$5:$G$44="Ativo")),MOD(ROW()-6,MAX(1,COUNTIFS(Pessoas!$C$5:$C$44,$K478,Pessoas!$G$5:$G$44,"Ativo")))+1)))</f>
        <v>Equipe Oficina Mecânica Central-Taisa</v>
      </c>
    </row>
    <row r="479" spans="1:12" ht="15" customHeight="1" x14ac:dyDescent="0.4">
      <c r="A479" s="25">
        <v>46351</v>
      </c>
      <c r="B479" s="16">
        <v>13</v>
      </c>
      <c r="C479" s="16">
        <v>1</v>
      </c>
      <c r="D479" s="16">
        <v>11</v>
      </c>
      <c r="E479" s="16" t="s">
        <v>980</v>
      </c>
      <c r="F479" s="16" t="s">
        <v>1177</v>
      </c>
      <c r="G479" s="16" t="s">
        <v>526</v>
      </c>
      <c r="H479" s="16" t="s">
        <v>140</v>
      </c>
      <c r="I479" s="22" t="s">
        <v>861</v>
      </c>
      <c r="J479" s="16">
        <f>IFERROR(INDEX(Aux_HH!$J$4:$J$31,MATCH($H479&amp;"|"&amp;$I479,Aux_HH!$A$4:$A$31,0)),"")</f>
        <v>4.5</v>
      </c>
      <c r="K479" s="16" t="s">
        <v>76</v>
      </c>
      <c r="L479" s="16" t="str">
        <f>IF(COUNTIFS(Pessoas!$C$5:$C$44,$K479,Pessoas!$G$5:$G$44,"Ativo")=0,"Equipe "&amp;$K479,INDEX(Pessoas!$A$5:$A$44,_xludf.aggregate(15,6,(ROW(Pessoas!$A$5:$A$44)-4)/((Pessoas!$C$5:$C$44=$K479)*(Pessoas!$G$5:$G$44="Ativo")),MOD(ROW()-6,MAX(1,COUNTIFS(Pessoas!$C$5:$C$44,$K479,Pessoas!$G$5:$G$44,"Ativo")))+1)))</f>
        <v>Equipe Oficina Mecânica Central-Taisa</v>
      </c>
    </row>
    <row r="480" spans="1:12" ht="15" customHeight="1" x14ac:dyDescent="0.4">
      <c r="A480" s="25">
        <v>46351</v>
      </c>
      <c r="B480" s="16">
        <v>13</v>
      </c>
      <c r="C480" s="16">
        <v>1</v>
      </c>
      <c r="D480" s="16">
        <v>11</v>
      </c>
      <c r="E480" s="16" t="s">
        <v>980</v>
      </c>
      <c r="F480" s="16" t="s">
        <v>1178</v>
      </c>
      <c r="G480" s="16" t="s">
        <v>526</v>
      </c>
      <c r="H480" s="16" t="s">
        <v>140</v>
      </c>
      <c r="I480" s="22" t="s">
        <v>861</v>
      </c>
      <c r="J480" s="16">
        <f>IFERROR(INDEX(Aux_HH!$J$4:$J$31,MATCH($H480&amp;"|"&amp;$I480,Aux_HH!$A$4:$A$31,0)),"")</f>
        <v>4.5</v>
      </c>
      <c r="K480" s="16" t="s">
        <v>76</v>
      </c>
      <c r="L480" s="16" t="str">
        <f>IF(COUNTIFS(Pessoas!$C$5:$C$44,$K480,Pessoas!$G$5:$G$44,"Ativo")=0,"Equipe "&amp;$K480,INDEX(Pessoas!$A$5:$A$44,_xludf.aggregate(15,6,(ROW(Pessoas!$A$5:$A$44)-4)/((Pessoas!$C$5:$C$44=$K480)*(Pessoas!$G$5:$G$44="Ativo")),MOD(ROW()-6,MAX(1,COUNTIFS(Pessoas!$C$5:$C$44,$K480,Pessoas!$G$5:$G$44,"Ativo")))+1)))</f>
        <v>Equipe Oficina Mecânica Central-Taisa</v>
      </c>
    </row>
    <row r="481" spans="1:12" ht="15" customHeight="1" x14ac:dyDescent="0.4">
      <c r="A481" s="25">
        <v>46351</v>
      </c>
      <c r="B481" s="16">
        <v>13</v>
      </c>
      <c r="C481" s="16">
        <v>1</v>
      </c>
      <c r="D481" s="16">
        <v>11</v>
      </c>
      <c r="E481" s="16" t="s">
        <v>980</v>
      </c>
      <c r="F481" s="16" t="s">
        <v>1179</v>
      </c>
      <c r="G481" s="16" t="s">
        <v>526</v>
      </c>
      <c r="H481" s="16" t="s">
        <v>140</v>
      </c>
      <c r="I481" s="22" t="s">
        <v>861</v>
      </c>
      <c r="J481" s="16">
        <f>IFERROR(INDEX(Aux_HH!$J$4:$J$31,MATCH($H481&amp;"|"&amp;$I481,Aux_HH!$A$4:$A$31,0)),"")</f>
        <v>4.5</v>
      </c>
      <c r="K481" s="16" t="s">
        <v>76</v>
      </c>
      <c r="L481" s="16" t="str">
        <f>IF(COUNTIFS(Pessoas!$C$5:$C$44,$K481,Pessoas!$G$5:$G$44,"Ativo")=0,"Equipe "&amp;$K481,INDEX(Pessoas!$A$5:$A$44,_xludf.aggregate(15,6,(ROW(Pessoas!$A$5:$A$44)-4)/((Pessoas!$C$5:$C$44=$K481)*(Pessoas!$G$5:$G$44="Ativo")),MOD(ROW()-6,MAX(1,COUNTIFS(Pessoas!$C$5:$C$44,$K481,Pessoas!$G$5:$G$44,"Ativo")))+1)))</f>
        <v>Equipe Oficina Mecânica Central-Taisa</v>
      </c>
    </row>
    <row r="482" spans="1:12" ht="15" customHeight="1" x14ac:dyDescent="0.4">
      <c r="A482" s="25">
        <v>46351</v>
      </c>
      <c r="B482" s="16">
        <v>13</v>
      </c>
      <c r="C482" s="16">
        <v>1</v>
      </c>
      <c r="D482" s="16">
        <v>11</v>
      </c>
      <c r="E482" s="16" t="s">
        <v>980</v>
      </c>
      <c r="F482" s="16" t="s">
        <v>1180</v>
      </c>
      <c r="G482" s="16" t="s">
        <v>526</v>
      </c>
      <c r="H482" s="16" t="s">
        <v>140</v>
      </c>
      <c r="I482" s="22" t="s">
        <v>861</v>
      </c>
      <c r="J482" s="16">
        <f>IFERROR(INDEX(Aux_HH!$J$4:$J$31,MATCH($H482&amp;"|"&amp;$I482,Aux_HH!$A$4:$A$31,0)),"")</f>
        <v>4.5</v>
      </c>
      <c r="K482" s="16" t="s">
        <v>76</v>
      </c>
      <c r="L482" s="16" t="str">
        <f>IF(COUNTIFS(Pessoas!$C$5:$C$44,$K482,Pessoas!$G$5:$G$44,"Ativo")=0,"Equipe "&amp;$K482,INDEX(Pessoas!$A$5:$A$44,_xludf.aggregate(15,6,(ROW(Pessoas!$A$5:$A$44)-4)/((Pessoas!$C$5:$C$44=$K482)*(Pessoas!$G$5:$G$44="Ativo")),MOD(ROW()-6,MAX(1,COUNTIFS(Pessoas!$C$5:$C$44,$K482,Pessoas!$G$5:$G$44,"Ativo")))+1)))</f>
        <v>Equipe Oficina Mecânica Central-Taisa</v>
      </c>
    </row>
    <row r="483" spans="1:12" ht="15" customHeight="1" x14ac:dyDescent="0.4">
      <c r="A483" s="25">
        <v>46351</v>
      </c>
      <c r="B483" s="16">
        <v>13</v>
      </c>
      <c r="C483" s="16">
        <v>1</v>
      </c>
      <c r="D483" s="16">
        <v>11</v>
      </c>
      <c r="E483" s="16" t="s">
        <v>980</v>
      </c>
      <c r="F483" s="16" t="s">
        <v>1181</v>
      </c>
      <c r="G483" s="16" t="s">
        <v>526</v>
      </c>
      <c r="H483" s="16" t="s">
        <v>140</v>
      </c>
      <c r="I483" s="22" t="s">
        <v>861</v>
      </c>
      <c r="J483" s="16">
        <f>IFERROR(INDEX(Aux_HH!$J$4:$J$31,MATCH($H483&amp;"|"&amp;$I483,Aux_HH!$A$4:$A$31,0)),"")</f>
        <v>4.5</v>
      </c>
      <c r="K483" s="16" t="s">
        <v>76</v>
      </c>
      <c r="L483" s="16" t="str">
        <f>IF(COUNTIFS(Pessoas!$C$5:$C$44,$K483,Pessoas!$G$5:$G$44,"Ativo")=0,"Equipe "&amp;$K483,INDEX(Pessoas!$A$5:$A$44,_xludf.aggregate(15,6,(ROW(Pessoas!$A$5:$A$44)-4)/((Pessoas!$C$5:$C$44=$K483)*(Pessoas!$G$5:$G$44="Ativo")),MOD(ROW()-6,MAX(1,COUNTIFS(Pessoas!$C$5:$C$44,$K483,Pessoas!$G$5:$G$44,"Ativo")))+1)))</f>
        <v>Equipe Oficina Mecânica Central-Taisa</v>
      </c>
    </row>
    <row r="484" spans="1:12" ht="15" customHeight="1" x14ac:dyDescent="0.4">
      <c r="A484" s="25">
        <v>46351</v>
      </c>
      <c r="B484" s="16">
        <v>13</v>
      </c>
      <c r="C484" s="16">
        <v>1</v>
      </c>
      <c r="D484" s="16">
        <v>11</v>
      </c>
      <c r="E484" s="16" t="s">
        <v>980</v>
      </c>
      <c r="F484" s="16" t="s">
        <v>1205</v>
      </c>
      <c r="G484" s="16" t="s">
        <v>526</v>
      </c>
      <c r="H484" s="16" t="s">
        <v>140</v>
      </c>
      <c r="I484" s="22" t="s">
        <v>861</v>
      </c>
      <c r="J484" s="16">
        <f>IFERROR(INDEX(Aux_HH!$J$4:$J$31,MATCH($H484&amp;"|"&amp;$I484,Aux_HH!$A$4:$A$31,0)),"")</f>
        <v>4.5</v>
      </c>
      <c r="K484" s="16" t="s">
        <v>76</v>
      </c>
      <c r="L484" s="16" t="str">
        <f>IF(COUNTIFS(Pessoas!$C$5:$C$44,$K484,Pessoas!$G$5:$G$44,"Ativo")=0,"Equipe "&amp;$K484,INDEX(Pessoas!$A$5:$A$44,_xludf.aggregate(15,6,(ROW(Pessoas!$A$5:$A$44)-4)/((Pessoas!$C$5:$C$44=$K484)*(Pessoas!$G$5:$G$44="Ativo")),MOD(ROW()-6,MAX(1,COUNTIFS(Pessoas!$C$5:$C$44,$K484,Pessoas!$G$5:$G$44,"Ativo")))+1)))</f>
        <v>Equipe Oficina Mecânica Central-Taisa</v>
      </c>
    </row>
    <row r="485" spans="1:12" ht="15" customHeight="1" x14ac:dyDescent="0.4">
      <c r="A485" s="25">
        <v>46351</v>
      </c>
      <c r="B485" s="16">
        <v>13</v>
      </c>
      <c r="C485" s="16">
        <v>1</v>
      </c>
      <c r="D485" s="16">
        <v>11</v>
      </c>
      <c r="E485" s="16" t="s">
        <v>980</v>
      </c>
      <c r="F485" s="16" t="s">
        <v>1206</v>
      </c>
      <c r="G485" s="16" t="s">
        <v>526</v>
      </c>
      <c r="H485" s="16" t="s">
        <v>140</v>
      </c>
      <c r="I485" s="22" t="s">
        <v>861</v>
      </c>
      <c r="J485" s="16">
        <f>IFERROR(INDEX(Aux_HH!$J$4:$J$31,MATCH($H485&amp;"|"&amp;$I485,Aux_HH!$A$4:$A$31,0)),"")</f>
        <v>4.5</v>
      </c>
      <c r="K485" s="16" t="s">
        <v>76</v>
      </c>
      <c r="L485" s="16" t="str">
        <f>IF(COUNTIFS(Pessoas!$C$5:$C$44,$K485,Pessoas!$G$5:$G$44,"Ativo")=0,"Equipe "&amp;$K485,INDEX(Pessoas!$A$5:$A$44,_xludf.aggregate(15,6,(ROW(Pessoas!$A$5:$A$44)-4)/((Pessoas!$C$5:$C$44=$K485)*(Pessoas!$G$5:$G$44="Ativo")),MOD(ROW()-6,MAX(1,COUNTIFS(Pessoas!$C$5:$C$44,$K485,Pessoas!$G$5:$G$44,"Ativo")))+1)))</f>
        <v>Equipe Oficina Mecânica Central-Taisa</v>
      </c>
    </row>
    <row r="486" spans="1:12" ht="15" customHeight="1" x14ac:dyDescent="0.4">
      <c r="A486" s="25">
        <v>46351</v>
      </c>
      <c r="B486" s="16">
        <v>13</v>
      </c>
      <c r="C486" s="16">
        <v>1</v>
      </c>
      <c r="D486" s="16">
        <v>11</v>
      </c>
      <c r="E486" s="16" t="s">
        <v>980</v>
      </c>
      <c r="F486" s="16" t="s">
        <v>1207</v>
      </c>
      <c r="G486" s="16" t="s">
        <v>526</v>
      </c>
      <c r="H486" s="16" t="s">
        <v>140</v>
      </c>
      <c r="I486" s="22" t="s">
        <v>861</v>
      </c>
      <c r="J486" s="16">
        <f>IFERROR(INDEX(Aux_HH!$J$4:$J$31,MATCH($H486&amp;"|"&amp;$I486,Aux_HH!$A$4:$A$31,0)),"")</f>
        <v>4.5</v>
      </c>
      <c r="K486" s="16" t="s">
        <v>76</v>
      </c>
      <c r="L486" s="16" t="str">
        <f>IF(COUNTIFS(Pessoas!$C$5:$C$44,$K486,Pessoas!$G$5:$G$44,"Ativo")=0,"Equipe "&amp;$K486,INDEX(Pessoas!$A$5:$A$44,_xludf.aggregate(15,6,(ROW(Pessoas!$A$5:$A$44)-4)/((Pessoas!$C$5:$C$44=$K486)*(Pessoas!$G$5:$G$44="Ativo")),MOD(ROW()-6,MAX(1,COUNTIFS(Pessoas!$C$5:$C$44,$K486,Pessoas!$G$5:$G$44,"Ativo")))+1)))</f>
        <v>Equipe Oficina Mecânica Central-Taisa</v>
      </c>
    </row>
    <row r="487" spans="1:12" ht="15" customHeight="1" x14ac:dyDescent="0.4">
      <c r="A487" s="25">
        <v>46351</v>
      </c>
      <c r="B487" s="16">
        <v>13</v>
      </c>
      <c r="C487" s="16">
        <v>1</v>
      </c>
      <c r="D487" s="16">
        <v>11</v>
      </c>
      <c r="E487" s="16" t="s">
        <v>980</v>
      </c>
      <c r="F487" s="16" t="s">
        <v>1208</v>
      </c>
      <c r="G487" s="16" t="s">
        <v>526</v>
      </c>
      <c r="H487" s="16" t="s">
        <v>140</v>
      </c>
      <c r="I487" s="22" t="s">
        <v>861</v>
      </c>
      <c r="J487" s="16">
        <f>IFERROR(INDEX(Aux_HH!$J$4:$J$31,MATCH($H487&amp;"|"&amp;$I487,Aux_HH!$A$4:$A$31,0)),"")</f>
        <v>4.5</v>
      </c>
      <c r="K487" s="16" t="s">
        <v>76</v>
      </c>
      <c r="L487" s="16" t="str">
        <f>IF(COUNTIFS(Pessoas!$C$5:$C$44,$K487,Pessoas!$G$5:$G$44,"Ativo")=0,"Equipe "&amp;$K487,INDEX(Pessoas!$A$5:$A$44,_xludf.aggregate(15,6,(ROW(Pessoas!$A$5:$A$44)-4)/((Pessoas!$C$5:$C$44=$K487)*(Pessoas!$G$5:$G$44="Ativo")),MOD(ROW()-6,MAX(1,COUNTIFS(Pessoas!$C$5:$C$44,$K487,Pessoas!$G$5:$G$44,"Ativo")))+1)))</f>
        <v>Equipe Oficina Mecânica Central-Taisa</v>
      </c>
    </row>
    <row r="488" spans="1:12" ht="15" customHeight="1" x14ac:dyDescent="0.4">
      <c r="A488" s="25">
        <v>46351</v>
      </c>
      <c r="B488" s="16">
        <v>13</v>
      </c>
      <c r="C488" s="16">
        <v>1</v>
      </c>
      <c r="D488" s="16">
        <v>11</v>
      </c>
      <c r="E488" s="16" t="s">
        <v>980</v>
      </c>
      <c r="F488" s="16" t="s">
        <v>1210</v>
      </c>
      <c r="G488" s="16" t="s">
        <v>184</v>
      </c>
      <c r="H488" s="16" t="s">
        <v>140</v>
      </c>
      <c r="I488" s="22" t="s">
        <v>861</v>
      </c>
      <c r="J488" s="16">
        <f>IFERROR(INDEX(Aux_HH!$J$4:$J$31,MATCH($H488&amp;"|"&amp;$I488,Aux_HH!$A$4:$A$31,0)),"")</f>
        <v>4.5</v>
      </c>
      <c r="K488" s="16" t="s">
        <v>76</v>
      </c>
      <c r="L488" s="16" t="str">
        <f>IF(COUNTIFS(Pessoas!$C$5:$C$44,$K488,Pessoas!$G$5:$G$44,"Ativo")=0,"Equipe "&amp;$K488,INDEX(Pessoas!$A$5:$A$44,_xludf.aggregate(15,6,(ROW(Pessoas!$A$5:$A$44)-4)/((Pessoas!$C$5:$C$44=$K488)*(Pessoas!$G$5:$G$44="Ativo")),MOD(ROW()-6,MAX(1,COUNTIFS(Pessoas!$C$5:$C$44,$K488,Pessoas!$G$5:$G$44,"Ativo")))+1)))</f>
        <v>Equipe Oficina Mecânica Central-Taisa</v>
      </c>
    </row>
    <row r="489" spans="1:12" ht="15" customHeight="1" x14ac:dyDescent="0.4">
      <c r="A489" s="25">
        <v>46351</v>
      </c>
      <c r="B489" s="16">
        <v>13</v>
      </c>
      <c r="C489" s="16">
        <v>1</v>
      </c>
      <c r="D489" s="16">
        <v>11</v>
      </c>
      <c r="E489" s="16" t="s">
        <v>980</v>
      </c>
      <c r="F489" s="16" t="s">
        <v>1211</v>
      </c>
      <c r="G489" s="16" t="s">
        <v>184</v>
      </c>
      <c r="H489" s="16" t="s">
        <v>140</v>
      </c>
      <c r="I489" s="22" t="s">
        <v>861</v>
      </c>
      <c r="J489" s="16">
        <f>IFERROR(INDEX(Aux_HH!$J$4:$J$31,MATCH($H489&amp;"|"&amp;$I489,Aux_HH!$A$4:$A$31,0)),"")</f>
        <v>4.5</v>
      </c>
      <c r="K489" s="16" t="s">
        <v>76</v>
      </c>
      <c r="L489" s="16" t="str">
        <f>IF(COUNTIFS(Pessoas!$C$5:$C$44,$K489,Pessoas!$G$5:$G$44,"Ativo")=0,"Equipe "&amp;$K489,INDEX(Pessoas!$A$5:$A$44,_xludf.aggregate(15,6,(ROW(Pessoas!$A$5:$A$44)-4)/((Pessoas!$C$5:$C$44=$K489)*(Pessoas!$G$5:$G$44="Ativo")),MOD(ROW()-6,MAX(1,COUNTIFS(Pessoas!$C$5:$C$44,$K489,Pessoas!$G$5:$G$44,"Ativo")))+1)))</f>
        <v>Equipe Oficina Mecânica Central-Taisa</v>
      </c>
    </row>
    <row r="490" spans="1:12" ht="15" customHeight="1" x14ac:dyDescent="0.4">
      <c r="A490" s="25">
        <v>46351</v>
      </c>
      <c r="B490" s="16">
        <v>13</v>
      </c>
      <c r="C490" s="16">
        <v>1</v>
      </c>
      <c r="D490" s="16">
        <v>11</v>
      </c>
      <c r="E490" s="16" t="s">
        <v>980</v>
      </c>
      <c r="F490" s="16" t="s">
        <v>1212</v>
      </c>
      <c r="G490" s="16" t="s">
        <v>526</v>
      </c>
      <c r="H490" s="16" t="s">
        <v>140</v>
      </c>
      <c r="I490" s="22" t="s">
        <v>861</v>
      </c>
      <c r="J490" s="16">
        <f>IFERROR(INDEX(Aux_HH!$J$4:$J$31,MATCH($H490&amp;"|"&amp;$I490,Aux_HH!$A$4:$A$31,0)),"")</f>
        <v>4.5</v>
      </c>
      <c r="K490" s="16" t="s">
        <v>76</v>
      </c>
      <c r="L490" s="16" t="str">
        <f>IF(COUNTIFS(Pessoas!$C$5:$C$44,$K490,Pessoas!$G$5:$G$44,"Ativo")=0,"Equipe "&amp;$K490,INDEX(Pessoas!$A$5:$A$44,_xludf.aggregate(15,6,(ROW(Pessoas!$A$5:$A$44)-4)/((Pessoas!$C$5:$C$44=$K490)*(Pessoas!$G$5:$G$44="Ativo")),MOD(ROW()-6,MAX(1,COUNTIFS(Pessoas!$C$5:$C$44,$K490,Pessoas!$G$5:$G$44,"Ativo")))+1)))</f>
        <v>Equipe Oficina Mecânica Central-Taisa</v>
      </c>
    </row>
    <row r="491" spans="1:12" ht="15" customHeight="1" x14ac:dyDescent="0.4">
      <c r="A491" s="25">
        <v>46351</v>
      </c>
      <c r="B491" s="16">
        <v>13</v>
      </c>
      <c r="C491" s="16">
        <v>1</v>
      </c>
      <c r="D491" s="16">
        <v>11</v>
      </c>
      <c r="E491" s="16" t="s">
        <v>980</v>
      </c>
      <c r="F491" s="16" t="s">
        <v>1213</v>
      </c>
      <c r="G491" s="16" t="s">
        <v>526</v>
      </c>
      <c r="H491" s="16" t="s">
        <v>140</v>
      </c>
      <c r="I491" s="22" t="s">
        <v>861</v>
      </c>
      <c r="J491" s="16">
        <f>IFERROR(INDEX(Aux_HH!$J$4:$J$31,MATCH($H491&amp;"|"&amp;$I491,Aux_HH!$A$4:$A$31,0)),"")</f>
        <v>4.5</v>
      </c>
      <c r="K491" s="16" t="s">
        <v>76</v>
      </c>
      <c r="L491" s="16" t="str">
        <f>IF(COUNTIFS(Pessoas!$C$5:$C$44,$K491,Pessoas!$G$5:$G$44,"Ativo")=0,"Equipe "&amp;$K491,INDEX(Pessoas!$A$5:$A$44,_xludf.aggregate(15,6,(ROW(Pessoas!$A$5:$A$44)-4)/((Pessoas!$C$5:$C$44=$K491)*(Pessoas!$G$5:$G$44="Ativo")),MOD(ROW()-6,MAX(1,COUNTIFS(Pessoas!$C$5:$C$44,$K491,Pessoas!$G$5:$G$44,"Ativo")))+1)))</f>
        <v>Equipe Oficina Mecânica Central-Taisa</v>
      </c>
    </row>
    <row r="492" spans="1:12" ht="15" customHeight="1" x14ac:dyDescent="0.4">
      <c r="A492" s="25">
        <v>46351</v>
      </c>
      <c r="B492" s="16">
        <v>13</v>
      </c>
      <c r="C492" s="16">
        <v>1</v>
      </c>
      <c r="D492" s="16">
        <v>11</v>
      </c>
      <c r="E492" s="16" t="s">
        <v>980</v>
      </c>
      <c r="F492" s="16" t="s">
        <v>1214</v>
      </c>
      <c r="G492" s="16" t="s">
        <v>526</v>
      </c>
      <c r="H492" s="16" t="s">
        <v>140</v>
      </c>
      <c r="I492" s="22" t="s">
        <v>861</v>
      </c>
      <c r="J492" s="16">
        <f>IFERROR(INDEX(Aux_HH!$J$4:$J$31,MATCH($H492&amp;"|"&amp;$I492,Aux_HH!$A$4:$A$31,0)),"")</f>
        <v>4.5</v>
      </c>
      <c r="K492" s="16" t="s">
        <v>76</v>
      </c>
      <c r="L492" s="16" t="str">
        <f>IF(COUNTIFS(Pessoas!$C$5:$C$44,$K492,Pessoas!$G$5:$G$44,"Ativo")=0,"Equipe "&amp;$K492,INDEX(Pessoas!$A$5:$A$44,_xludf.aggregate(15,6,(ROW(Pessoas!$A$5:$A$44)-4)/((Pessoas!$C$5:$C$44=$K492)*(Pessoas!$G$5:$G$44="Ativo")),MOD(ROW()-6,MAX(1,COUNTIFS(Pessoas!$C$5:$C$44,$K492,Pessoas!$G$5:$G$44,"Ativo")))+1)))</f>
        <v>Equipe Oficina Mecânica Central-Taisa</v>
      </c>
    </row>
    <row r="493" spans="1:12" ht="15" customHeight="1" x14ac:dyDescent="0.4">
      <c r="A493" s="25">
        <v>46352</v>
      </c>
      <c r="B493" s="16">
        <v>13</v>
      </c>
      <c r="C493" s="16">
        <v>1</v>
      </c>
      <c r="D493" s="16">
        <v>11</v>
      </c>
      <c r="E493" s="16" t="s">
        <v>980</v>
      </c>
      <c r="F493" s="16" t="s">
        <v>981</v>
      </c>
      <c r="G493" s="16" t="s">
        <v>184</v>
      </c>
      <c r="H493" s="16" t="s">
        <v>138</v>
      </c>
      <c r="I493" s="22" t="s">
        <v>856</v>
      </c>
      <c r="J493" s="16">
        <f>IFERROR(INDEX(Aux_HH!$J$4:$J$31,MATCH($H493&amp;"|"&amp;$I493,Aux_HH!$A$4:$A$31,0)),"")</f>
        <v>3</v>
      </c>
      <c r="K493" s="16" t="s">
        <v>76</v>
      </c>
      <c r="L493" s="16" t="str">
        <f>IF(COUNTIFS(Pessoas!$C$5:$C$44,$K493,Pessoas!$G$5:$G$44,"Ativo")=0,"Equipe "&amp;$K493,INDEX(Pessoas!$A$5:$A$44,_xludf.aggregate(15,6,(ROW(Pessoas!$A$5:$A$44)-4)/((Pessoas!$C$5:$C$44=$K493)*(Pessoas!$G$5:$G$44="Ativo")),MOD(ROW()-6,MAX(1,COUNTIFS(Pessoas!$C$5:$C$44,$K493,Pessoas!$G$5:$G$44,"Ativo")))+1)))</f>
        <v>Equipe Oficina Mecânica Central-Taisa</v>
      </c>
    </row>
    <row r="494" spans="1:12" ht="15" customHeight="1" x14ac:dyDescent="0.4">
      <c r="A494" s="25">
        <v>46352</v>
      </c>
      <c r="B494" s="16">
        <v>13</v>
      </c>
      <c r="C494" s="16">
        <v>1</v>
      </c>
      <c r="D494" s="16">
        <v>11</v>
      </c>
      <c r="E494" s="16" t="s">
        <v>980</v>
      </c>
      <c r="F494" s="16" t="s">
        <v>983</v>
      </c>
      <c r="G494" s="16" t="s">
        <v>184</v>
      </c>
      <c r="H494" s="16" t="s">
        <v>138</v>
      </c>
      <c r="I494" s="22" t="s">
        <v>856</v>
      </c>
      <c r="J494" s="16">
        <f>IFERROR(INDEX(Aux_HH!$J$4:$J$31,MATCH($H494&amp;"|"&amp;$I494,Aux_HH!$A$4:$A$31,0)),"")</f>
        <v>3</v>
      </c>
      <c r="K494" s="16" t="s">
        <v>76</v>
      </c>
      <c r="L494" s="16" t="str">
        <f>IF(COUNTIFS(Pessoas!$C$5:$C$44,$K494,Pessoas!$G$5:$G$44,"Ativo")=0,"Equipe "&amp;$K494,INDEX(Pessoas!$A$5:$A$44,_xludf.aggregate(15,6,(ROW(Pessoas!$A$5:$A$44)-4)/((Pessoas!$C$5:$C$44=$K494)*(Pessoas!$G$5:$G$44="Ativo")),MOD(ROW()-6,MAX(1,COUNTIFS(Pessoas!$C$5:$C$44,$K494,Pessoas!$G$5:$G$44,"Ativo")))+1)))</f>
        <v>Equipe Oficina Mecânica Central-Taisa</v>
      </c>
    </row>
    <row r="495" spans="1:12" ht="15" customHeight="1" x14ac:dyDescent="0.4">
      <c r="A495" s="25">
        <v>46352</v>
      </c>
      <c r="B495" s="16">
        <v>13</v>
      </c>
      <c r="C495" s="16">
        <v>1</v>
      </c>
      <c r="D495" s="16">
        <v>11</v>
      </c>
      <c r="E495" s="16" t="s">
        <v>980</v>
      </c>
      <c r="F495" s="16" t="s">
        <v>1215</v>
      </c>
      <c r="G495" s="16" t="s">
        <v>526</v>
      </c>
      <c r="H495" s="16" t="s">
        <v>140</v>
      </c>
      <c r="I495" s="22" t="s">
        <v>861</v>
      </c>
      <c r="J495" s="16">
        <f>IFERROR(INDEX(Aux_HH!$J$4:$J$31,MATCH($H495&amp;"|"&amp;$I495,Aux_HH!$A$4:$A$31,0)),"")</f>
        <v>4.5</v>
      </c>
      <c r="K495" s="16" t="s">
        <v>76</v>
      </c>
      <c r="L495" s="16" t="str">
        <f>IF(COUNTIFS(Pessoas!$C$5:$C$44,$K495,Pessoas!$G$5:$G$44,"Ativo")=0,"Equipe "&amp;$K495,INDEX(Pessoas!$A$5:$A$44,_xludf.aggregate(15,6,(ROW(Pessoas!$A$5:$A$44)-4)/((Pessoas!$C$5:$C$44=$K495)*(Pessoas!$G$5:$G$44="Ativo")),MOD(ROW()-6,MAX(1,COUNTIFS(Pessoas!$C$5:$C$44,$K495,Pessoas!$G$5:$G$44,"Ativo")))+1)))</f>
        <v>Equipe Oficina Mecânica Central-Taisa</v>
      </c>
    </row>
    <row r="496" spans="1:12" ht="15" customHeight="1" x14ac:dyDescent="0.4">
      <c r="A496" s="25">
        <v>46352</v>
      </c>
      <c r="B496" s="16">
        <v>13</v>
      </c>
      <c r="C496" s="16">
        <v>1</v>
      </c>
      <c r="D496" s="16">
        <v>11</v>
      </c>
      <c r="E496" s="16" t="s">
        <v>980</v>
      </c>
      <c r="F496" s="16" t="s">
        <v>1216</v>
      </c>
      <c r="G496" s="16" t="s">
        <v>526</v>
      </c>
      <c r="H496" s="16" t="s">
        <v>140</v>
      </c>
      <c r="I496" s="22" t="s">
        <v>861</v>
      </c>
      <c r="J496" s="16">
        <f>IFERROR(INDEX(Aux_HH!$J$4:$J$31,MATCH($H496&amp;"|"&amp;$I496,Aux_HH!$A$4:$A$31,0)),"")</f>
        <v>4.5</v>
      </c>
      <c r="K496" s="16" t="s">
        <v>76</v>
      </c>
      <c r="L496" s="16" t="str">
        <f>IF(COUNTIFS(Pessoas!$C$5:$C$44,$K496,Pessoas!$G$5:$G$44,"Ativo")=0,"Equipe "&amp;$K496,INDEX(Pessoas!$A$5:$A$44,_xludf.aggregate(15,6,(ROW(Pessoas!$A$5:$A$44)-4)/((Pessoas!$C$5:$C$44=$K496)*(Pessoas!$G$5:$G$44="Ativo")),MOD(ROW()-6,MAX(1,COUNTIFS(Pessoas!$C$5:$C$44,$K496,Pessoas!$G$5:$G$44,"Ativo")))+1)))</f>
        <v>Equipe Oficina Mecânica Central-Taisa</v>
      </c>
    </row>
    <row r="497" spans="1:12" ht="15" customHeight="1" x14ac:dyDescent="0.4">
      <c r="A497" s="25">
        <v>46352</v>
      </c>
      <c r="B497" s="16">
        <v>13</v>
      </c>
      <c r="C497" s="16">
        <v>1</v>
      </c>
      <c r="D497" s="16">
        <v>11</v>
      </c>
      <c r="E497" s="16" t="s">
        <v>980</v>
      </c>
      <c r="F497" s="16" t="s">
        <v>1217</v>
      </c>
      <c r="G497" s="16" t="s">
        <v>526</v>
      </c>
      <c r="H497" s="16" t="s">
        <v>140</v>
      </c>
      <c r="I497" s="22" t="s">
        <v>861</v>
      </c>
      <c r="J497" s="16">
        <f>IFERROR(INDEX(Aux_HH!$J$4:$J$31,MATCH($H497&amp;"|"&amp;$I497,Aux_HH!$A$4:$A$31,0)),"")</f>
        <v>4.5</v>
      </c>
      <c r="K497" s="16" t="s">
        <v>76</v>
      </c>
      <c r="L497" s="16" t="str">
        <f>IF(COUNTIFS(Pessoas!$C$5:$C$44,$K497,Pessoas!$G$5:$G$44,"Ativo")=0,"Equipe "&amp;$K497,INDEX(Pessoas!$A$5:$A$44,_xludf.aggregate(15,6,(ROW(Pessoas!$A$5:$A$44)-4)/((Pessoas!$C$5:$C$44=$K497)*(Pessoas!$G$5:$G$44="Ativo")),MOD(ROW()-6,MAX(1,COUNTIFS(Pessoas!$C$5:$C$44,$K497,Pessoas!$G$5:$G$44,"Ativo")))+1)))</f>
        <v>Equipe Oficina Mecânica Central-Taisa</v>
      </c>
    </row>
    <row r="498" spans="1:12" ht="15" customHeight="1" x14ac:dyDescent="0.4">
      <c r="A498" s="25">
        <v>46352</v>
      </c>
      <c r="B498" s="16">
        <v>13</v>
      </c>
      <c r="C498" s="16">
        <v>1</v>
      </c>
      <c r="D498" s="16">
        <v>11</v>
      </c>
      <c r="E498" s="16" t="s">
        <v>980</v>
      </c>
      <c r="F498" s="16" t="s">
        <v>1218</v>
      </c>
      <c r="G498" s="16" t="s">
        <v>184</v>
      </c>
      <c r="H498" s="16" t="s">
        <v>140</v>
      </c>
      <c r="I498" s="22" t="s">
        <v>861</v>
      </c>
      <c r="J498" s="16">
        <f>IFERROR(INDEX(Aux_HH!$J$4:$J$31,MATCH($H498&amp;"|"&amp;$I498,Aux_HH!$A$4:$A$31,0)),"")</f>
        <v>4.5</v>
      </c>
      <c r="K498" s="16" t="s">
        <v>76</v>
      </c>
      <c r="L498" s="16" t="str">
        <f>IF(COUNTIFS(Pessoas!$C$5:$C$44,$K498,Pessoas!$G$5:$G$44,"Ativo")=0,"Equipe "&amp;$K498,INDEX(Pessoas!$A$5:$A$44,_xludf.aggregate(15,6,(ROW(Pessoas!$A$5:$A$44)-4)/((Pessoas!$C$5:$C$44=$K498)*(Pessoas!$G$5:$G$44="Ativo")),MOD(ROW()-6,MAX(1,COUNTIFS(Pessoas!$C$5:$C$44,$K498,Pessoas!$G$5:$G$44,"Ativo")))+1)))</f>
        <v>Equipe Oficina Mecânica Central-Taisa</v>
      </c>
    </row>
    <row r="499" spans="1:12" ht="15" customHeight="1" x14ac:dyDescent="0.4">
      <c r="A499" s="25">
        <v>46352</v>
      </c>
      <c r="B499" s="16">
        <v>13</v>
      </c>
      <c r="C499" s="16">
        <v>1</v>
      </c>
      <c r="D499" s="16">
        <v>11</v>
      </c>
      <c r="E499" s="16" t="s">
        <v>980</v>
      </c>
      <c r="F499" s="16" t="s">
        <v>1219</v>
      </c>
      <c r="G499" s="16" t="s">
        <v>184</v>
      </c>
      <c r="H499" s="16" t="s">
        <v>140</v>
      </c>
      <c r="I499" s="22" t="s">
        <v>861</v>
      </c>
      <c r="J499" s="16">
        <f>IFERROR(INDEX(Aux_HH!$J$4:$J$31,MATCH($H499&amp;"|"&amp;$I499,Aux_HH!$A$4:$A$31,0)),"")</f>
        <v>4.5</v>
      </c>
      <c r="K499" s="16" t="s">
        <v>76</v>
      </c>
      <c r="L499" s="16" t="str">
        <f>IF(COUNTIFS(Pessoas!$C$5:$C$44,$K499,Pessoas!$G$5:$G$44,"Ativo")=0,"Equipe "&amp;$K499,INDEX(Pessoas!$A$5:$A$44,_xludf.aggregate(15,6,(ROW(Pessoas!$A$5:$A$44)-4)/((Pessoas!$C$5:$C$44=$K499)*(Pessoas!$G$5:$G$44="Ativo")),MOD(ROW()-6,MAX(1,COUNTIFS(Pessoas!$C$5:$C$44,$K499,Pessoas!$G$5:$G$44,"Ativo")))+1)))</f>
        <v>Equipe Oficina Mecânica Central-Taisa</v>
      </c>
    </row>
    <row r="500" spans="1:12" ht="15" customHeight="1" x14ac:dyDescent="0.4">
      <c r="A500" s="25">
        <v>46352</v>
      </c>
      <c r="B500" s="16">
        <v>13</v>
      </c>
      <c r="C500" s="16">
        <v>1</v>
      </c>
      <c r="D500" s="16">
        <v>11</v>
      </c>
      <c r="E500" s="16" t="s">
        <v>980</v>
      </c>
      <c r="F500" s="16" t="s">
        <v>1220</v>
      </c>
      <c r="G500" s="16" t="s">
        <v>184</v>
      </c>
      <c r="H500" s="16" t="s">
        <v>140</v>
      </c>
      <c r="I500" s="22" t="s">
        <v>861</v>
      </c>
      <c r="J500" s="16">
        <f>IFERROR(INDEX(Aux_HH!$J$4:$J$31,MATCH($H500&amp;"|"&amp;$I500,Aux_HH!$A$4:$A$31,0)),"")</f>
        <v>4.5</v>
      </c>
      <c r="K500" s="16" t="s">
        <v>76</v>
      </c>
      <c r="L500" s="16" t="str">
        <f>IF(COUNTIFS(Pessoas!$C$5:$C$44,$K500,Pessoas!$G$5:$G$44,"Ativo")=0,"Equipe "&amp;$K500,INDEX(Pessoas!$A$5:$A$44,_xludf.aggregate(15,6,(ROW(Pessoas!$A$5:$A$44)-4)/((Pessoas!$C$5:$C$44=$K500)*(Pessoas!$G$5:$G$44="Ativo")),MOD(ROW()-6,MAX(1,COUNTIFS(Pessoas!$C$5:$C$44,$K500,Pessoas!$G$5:$G$44,"Ativo")))+1)))</f>
        <v>Equipe Oficina Mecânica Central-Taisa</v>
      </c>
    </row>
    <row r="501" spans="1:12" ht="15" customHeight="1" x14ac:dyDescent="0.4">
      <c r="A501" s="25">
        <v>46352</v>
      </c>
      <c r="B501" s="16">
        <v>13</v>
      </c>
      <c r="C501" s="16">
        <v>1</v>
      </c>
      <c r="D501" s="16">
        <v>11</v>
      </c>
      <c r="E501" s="16" t="s">
        <v>980</v>
      </c>
      <c r="F501" s="16" t="s">
        <v>1221</v>
      </c>
      <c r="G501" s="16" t="s">
        <v>184</v>
      </c>
      <c r="H501" s="16" t="s">
        <v>140</v>
      </c>
      <c r="I501" s="22" t="s">
        <v>861</v>
      </c>
      <c r="J501" s="16">
        <f>IFERROR(INDEX(Aux_HH!$J$4:$J$31,MATCH($H501&amp;"|"&amp;$I501,Aux_HH!$A$4:$A$31,0)),"")</f>
        <v>4.5</v>
      </c>
      <c r="K501" s="16" t="s">
        <v>76</v>
      </c>
      <c r="L501" s="16" t="str">
        <f>IF(COUNTIFS(Pessoas!$C$5:$C$44,$K501,Pessoas!$G$5:$G$44,"Ativo")=0,"Equipe "&amp;$K501,INDEX(Pessoas!$A$5:$A$44,_xludf.aggregate(15,6,(ROW(Pessoas!$A$5:$A$44)-4)/((Pessoas!$C$5:$C$44=$K501)*(Pessoas!$G$5:$G$44="Ativo")),MOD(ROW()-6,MAX(1,COUNTIFS(Pessoas!$C$5:$C$44,$K501,Pessoas!$G$5:$G$44,"Ativo")))+1)))</f>
        <v>Equipe Oficina Mecânica Central-Taisa</v>
      </c>
    </row>
    <row r="502" spans="1:12" ht="15" customHeight="1" x14ac:dyDescent="0.4">
      <c r="A502" s="25">
        <v>46352</v>
      </c>
      <c r="B502" s="16">
        <v>13</v>
      </c>
      <c r="C502" s="16">
        <v>1</v>
      </c>
      <c r="D502" s="16">
        <v>11</v>
      </c>
      <c r="E502" s="16" t="s">
        <v>980</v>
      </c>
      <c r="F502" s="16" t="s">
        <v>1222</v>
      </c>
      <c r="G502" s="16" t="s">
        <v>526</v>
      </c>
      <c r="H502" s="16" t="s">
        <v>140</v>
      </c>
      <c r="I502" s="22" t="s">
        <v>861</v>
      </c>
      <c r="J502" s="16">
        <f>IFERROR(INDEX(Aux_HH!$J$4:$J$31,MATCH($H502&amp;"|"&amp;$I502,Aux_HH!$A$4:$A$31,0)),"")</f>
        <v>4.5</v>
      </c>
      <c r="K502" s="16" t="s">
        <v>76</v>
      </c>
      <c r="L502" s="16" t="str">
        <f>IF(COUNTIFS(Pessoas!$C$5:$C$44,$K502,Pessoas!$G$5:$G$44,"Ativo")=0,"Equipe "&amp;$K502,INDEX(Pessoas!$A$5:$A$44,_xludf.aggregate(15,6,(ROW(Pessoas!$A$5:$A$44)-4)/((Pessoas!$C$5:$C$44=$K502)*(Pessoas!$G$5:$G$44="Ativo")),MOD(ROW()-6,MAX(1,COUNTIFS(Pessoas!$C$5:$C$44,$K502,Pessoas!$G$5:$G$44,"Ativo")))+1)))</f>
        <v>Equipe Oficina Mecânica Central-Taisa</v>
      </c>
    </row>
    <row r="503" spans="1:12" ht="15" customHeight="1" x14ac:dyDescent="0.4">
      <c r="A503" s="25">
        <v>46352</v>
      </c>
      <c r="B503" s="16">
        <v>13</v>
      </c>
      <c r="C503" s="16">
        <v>1</v>
      </c>
      <c r="D503" s="16">
        <v>11</v>
      </c>
      <c r="E503" s="16" t="s">
        <v>980</v>
      </c>
      <c r="F503" s="16" t="s">
        <v>1223</v>
      </c>
      <c r="G503" s="16" t="s">
        <v>526</v>
      </c>
      <c r="H503" s="16" t="s">
        <v>140</v>
      </c>
      <c r="I503" s="22" t="s">
        <v>861</v>
      </c>
      <c r="J503" s="16">
        <f>IFERROR(INDEX(Aux_HH!$J$4:$J$31,MATCH($H503&amp;"|"&amp;$I503,Aux_HH!$A$4:$A$31,0)),"")</f>
        <v>4.5</v>
      </c>
      <c r="K503" s="16" t="s">
        <v>76</v>
      </c>
      <c r="L503" s="16" t="str">
        <f>IF(COUNTIFS(Pessoas!$C$5:$C$44,$K503,Pessoas!$G$5:$G$44,"Ativo")=0,"Equipe "&amp;$K503,INDEX(Pessoas!$A$5:$A$44,_xludf.aggregate(15,6,(ROW(Pessoas!$A$5:$A$44)-4)/((Pessoas!$C$5:$C$44=$K503)*(Pessoas!$G$5:$G$44="Ativo")),MOD(ROW()-6,MAX(1,COUNTIFS(Pessoas!$C$5:$C$44,$K503,Pessoas!$G$5:$G$44,"Ativo")))+1)))</f>
        <v>Equipe Oficina Mecânica Central-Taisa</v>
      </c>
    </row>
    <row r="504" spans="1:12" ht="15" customHeight="1" x14ac:dyDescent="0.4">
      <c r="A504" s="25">
        <v>46352</v>
      </c>
      <c r="B504" s="16">
        <v>13</v>
      </c>
      <c r="C504" s="16">
        <v>1</v>
      </c>
      <c r="D504" s="16">
        <v>11</v>
      </c>
      <c r="E504" s="16" t="s">
        <v>980</v>
      </c>
      <c r="F504" s="16" t="s">
        <v>1224</v>
      </c>
      <c r="G504" s="16" t="s">
        <v>526</v>
      </c>
      <c r="H504" s="16" t="s">
        <v>140</v>
      </c>
      <c r="I504" s="22" t="s">
        <v>861</v>
      </c>
      <c r="J504" s="16">
        <f>IFERROR(INDEX(Aux_HH!$J$4:$J$31,MATCH($H504&amp;"|"&amp;$I504,Aux_HH!$A$4:$A$31,0)),"")</f>
        <v>4.5</v>
      </c>
      <c r="K504" s="16" t="s">
        <v>76</v>
      </c>
      <c r="L504" s="16" t="str">
        <f>IF(COUNTIFS(Pessoas!$C$5:$C$44,$K504,Pessoas!$G$5:$G$44,"Ativo")=0,"Equipe "&amp;$K504,INDEX(Pessoas!$A$5:$A$44,_xludf.aggregate(15,6,(ROW(Pessoas!$A$5:$A$44)-4)/((Pessoas!$C$5:$C$44=$K504)*(Pessoas!$G$5:$G$44="Ativo")),MOD(ROW()-6,MAX(1,COUNTIFS(Pessoas!$C$5:$C$44,$K504,Pessoas!$G$5:$G$44,"Ativo")))+1)))</f>
        <v>Equipe Oficina Mecânica Central-Taisa</v>
      </c>
    </row>
    <row r="505" spans="1:12" ht="15" customHeight="1" x14ac:dyDescent="0.4">
      <c r="A505" s="25">
        <v>46352</v>
      </c>
      <c r="B505" s="16">
        <v>13</v>
      </c>
      <c r="C505" s="16">
        <v>1</v>
      </c>
      <c r="D505" s="16">
        <v>11</v>
      </c>
      <c r="E505" s="16" t="s">
        <v>980</v>
      </c>
      <c r="F505" s="16" t="s">
        <v>1225</v>
      </c>
      <c r="G505" s="16" t="s">
        <v>526</v>
      </c>
      <c r="H505" s="16" t="s">
        <v>140</v>
      </c>
      <c r="I505" s="22" t="s">
        <v>861</v>
      </c>
      <c r="J505" s="16">
        <f>IFERROR(INDEX(Aux_HH!$J$4:$J$31,MATCH($H505&amp;"|"&amp;$I505,Aux_HH!$A$4:$A$31,0)),"")</f>
        <v>4.5</v>
      </c>
      <c r="K505" s="16" t="s">
        <v>76</v>
      </c>
      <c r="L505" s="16" t="str">
        <f>IF(COUNTIFS(Pessoas!$C$5:$C$44,$K505,Pessoas!$G$5:$G$44,"Ativo")=0,"Equipe "&amp;$K505,INDEX(Pessoas!$A$5:$A$44,_xludf.aggregate(15,6,(ROW(Pessoas!$A$5:$A$44)-4)/((Pessoas!$C$5:$C$44=$K505)*(Pessoas!$G$5:$G$44="Ativo")),MOD(ROW()-6,MAX(1,COUNTIFS(Pessoas!$C$5:$C$44,$K505,Pessoas!$G$5:$G$44,"Ativo")))+1)))</f>
        <v>Equipe Oficina Mecânica Central-Taisa</v>
      </c>
    </row>
    <row r="506" spans="1:12" ht="15" customHeight="1" x14ac:dyDescent="0.4">
      <c r="A506" s="25">
        <v>46352</v>
      </c>
      <c r="B506" s="16">
        <v>13</v>
      </c>
      <c r="C506" s="16">
        <v>1</v>
      </c>
      <c r="D506" s="16">
        <v>11</v>
      </c>
      <c r="E506" s="16" t="s">
        <v>980</v>
      </c>
      <c r="F506" s="16" t="s">
        <v>1226</v>
      </c>
      <c r="G506" s="16" t="s">
        <v>526</v>
      </c>
      <c r="H506" s="16" t="s">
        <v>140</v>
      </c>
      <c r="I506" s="22" t="s">
        <v>861</v>
      </c>
      <c r="J506" s="16">
        <f>IFERROR(INDEX(Aux_HH!$J$4:$J$31,MATCH($H506&amp;"|"&amp;$I506,Aux_HH!$A$4:$A$31,0)),"")</f>
        <v>4.5</v>
      </c>
      <c r="K506" s="16" t="s">
        <v>76</v>
      </c>
      <c r="L506" s="16" t="str">
        <f>IF(COUNTIFS(Pessoas!$C$5:$C$44,$K506,Pessoas!$G$5:$G$44,"Ativo")=0,"Equipe "&amp;$K506,INDEX(Pessoas!$A$5:$A$44,_xludf.aggregate(15,6,(ROW(Pessoas!$A$5:$A$44)-4)/((Pessoas!$C$5:$C$44=$K506)*(Pessoas!$G$5:$G$44="Ativo")),MOD(ROW()-6,MAX(1,COUNTIFS(Pessoas!$C$5:$C$44,$K506,Pessoas!$G$5:$G$44,"Ativo")))+1)))</f>
        <v>Equipe Oficina Mecânica Central-Taisa</v>
      </c>
    </row>
    <row r="507" spans="1:12" ht="15" customHeight="1" x14ac:dyDescent="0.4">
      <c r="A507" s="25">
        <v>46352</v>
      </c>
      <c r="B507" s="16">
        <v>13</v>
      </c>
      <c r="C507" s="16">
        <v>1</v>
      </c>
      <c r="D507" s="16">
        <v>11</v>
      </c>
      <c r="E507" s="16" t="s">
        <v>980</v>
      </c>
      <c r="F507" s="16" t="s">
        <v>1227</v>
      </c>
      <c r="G507" s="16" t="s">
        <v>526</v>
      </c>
      <c r="H507" s="16" t="s">
        <v>140</v>
      </c>
      <c r="I507" s="22" t="s">
        <v>861</v>
      </c>
      <c r="J507" s="16">
        <f>IFERROR(INDEX(Aux_HH!$J$4:$J$31,MATCH($H507&amp;"|"&amp;$I507,Aux_HH!$A$4:$A$31,0)),"")</f>
        <v>4.5</v>
      </c>
      <c r="K507" s="16" t="s">
        <v>76</v>
      </c>
      <c r="L507" s="16" t="str">
        <f>IF(COUNTIFS(Pessoas!$C$5:$C$44,$K507,Pessoas!$G$5:$G$44,"Ativo")=0,"Equipe "&amp;$K507,INDEX(Pessoas!$A$5:$A$44,_xludf.aggregate(15,6,(ROW(Pessoas!$A$5:$A$44)-4)/((Pessoas!$C$5:$C$44=$K507)*(Pessoas!$G$5:$G$44="Ativo")),MOD(ROW()-6,MAX(1,COUNTIFS(Pessoas!$C$5:$C$44,$K507,Pessoas!$G$5:$G$44,"Ativo")))+1)))</f>
        <v>Equipe Oficina Mecânica Central-Taisa</v>
      </c>
    </row>
    <row r="508" spans="1:12" ht="15" customHeight="1" x14ac:dyDescent="0.4">
      <c r="A508" s="25">
        <v>46352</v>
      </c>
      <c r="B508" s="16">
        <v>13</v>
      </c>
      <c r="C508" s="16">
        <v>1</v>
      </c>
      <c r="D508" s="16">
        <v>11</v>
      </c>
      <c r="E508" s="16" t="s">
        <v>980</v>
      </c>
      <c r="F508" s="16" t="s">
        <v>1251</v>
      </c>
      <c r="G508" s="16" t="s">
        <v>526</v>
      </c>
      <c r="H508" s="16" t="s">
        <v>140</v>
      </c>
      <c r="I508" s="22" t="s">
        <v>861</v>
      </c>
      <c r="J508" s="16">
        <f>IFERROR(INDEX(Aux_HH!$J$4:$J$31,MATCH($H508&amp;"|"&amp;$I508,Aux_HH!$A$4:$A$31,0)),"")</f>
        <v>4.5</v>
      </c>
      <c r="K508" s="16" t="s">
        <v>76</v>
      </c>
      <c r="L508" s="16" t="str">
        <f>IF(COUNTIFS(Pessoas!$C$5:$C$44,$K508,Pessoas!$G$5:$G$44,"Ativo")=0,"Equipe "&amp;$K508,INDEX(Pessoas!$A$5:$A$44,_xludf.aggregate(15,6,(ROW(Pessoas!$A$5:$A$44)-4)/((Pessoas!$C$5:$C$44=$K508)*(Pessoas!$G$5:$G$44="Ativo")),MOD(ROW()-6,MAX(1,COUNTIFS(Pessoas!$C$5:$C$44,$K508,Pessoas!$G$5:$G$44,"Ativo")))+1)))</f>
        <v>Equipe Oficina Mecânica Central-Taisa</v>
      </c>
    </row>
    <row r="509" spans="1:12" ht="15" customHeight="1" x14ac:dyDescent="0.4">
      <c r="A509" s="25">
        <v>46352</v>
      </c>
      <c r="B509" s="16">
        <v>13</v>
      </c>
      <c r="C509" s="16">
        <v>1</v>
      </c>
      <c r="D509" s="16">
        <v>11</v>
      </c>
      <c r="E509" s="16" t="s">
        <v>980</v>
      </c>
      <c r="F509" s="16" t="s">
        <v>1252</v>
      </c>
      <c r="G509" s="16" t="s">
        <v>526</v>
      </c>
      <c r="H509" s="16" t="s">
        <v>140</v>
      </c>
      <c r="I509" s="22" t="s">
        <v>861</v>
      </c>
      <c r="J509" s="16">
        <f>IFERROR(INDEX(Aux_HH!$J$4:$J$31,MATCH($H509&amp;"|"&amp;$I509,Aux_HH!$A$4:$A$31,0)),"")</f>
        <v>4.5</v>
      </c>
      <c r="K509" s="16" t="s">
        <v>76</v>
      </c>
      <c r="L509" s="16" t="str">
        <f>IF(COUNTIFS(Pessoas!$C$5:$C$44,$K509,Pessoas!$G$5:$G$44,"Ativo")=0,"Equipe "&amp;$K509,INDEX(Pessoas!$A$5:$A$44,_xludf.aggregate(15,6,(ROW(Pessoas!$A$5:$A$44)-4)/((Pessoas!$C$5:$C$44=$K509)*(Pessoas!$G$5:$G$44="Ativo")),MOD(ROW()-6,MAX(1,COUNTIFS(Pessoas!$C$5:$C$44,$K509,Pessoas!$G$5:$G$44,"Ativo")))+1)))</f>
        <v>Equipe Oficina Mecânica Central-Taisa</v>
      </c>
    </row>
    <row r="510" spans="1:12" ht="15" customHeight="1" x14ac:dyDescent="0.4">
      <c r="A510" s="25">
        <v>46352</v>
      </c>
      <c r="B510" s="16">
        <v>13</v>
      </c>
      <c r="C510" s="16">
        <v>1</v>
      </c>
      <c r="D510" s="16">
        <v>11</v>
      </c>
      <c r="E510" s="16" t="s">
        <v>980</v>
      </c>
      <c r="F510" s="16" t="s">
        <v>1254</v>
      </c>
      <c r="G510" s="16" t="s">
        <v>184</v>
      </c>
      <c r="H510" s="16" t="s">
        <v>140</v>
      </c>
      <c r="I510" s="22" t="s">
        <v>861</v>
      </c>
      <c r="J510" s="16">
        <f>IFERROR(INDEX(Aux_HH!$J$4:$J$31,MATCH($H510&amp;"|"&amp;$I510,Aux_HH!$A$4:$A$31,0)),"")</f>
        <v>4.5</v>
      </c>
      <c r="K510" s="16" t="s">
        <v>76</v>
      </c>
      <c r="L510" s="16" t="str">
        <f>IF(COUNTIFS(Pessoas!$C$5:$C$44,$K510,Pessoas!$G$5:$G$44,"Ativo")=0,"Equipe "&amp;$K510,INDEX(Pessoas!$A$5:$A$44,_xludf.aggregate(15,6,(ROW(Pessoas!$A$5:$A$44)-4)/((Pessoas!$C$5:$C$44=$K510)*(Pessoas!$G$5:$G$44="Ativo")),MOD(ROW()-6,MAX(1,COUNTIFS(Pessoas!$C$5:$C$44,$K510,Pessoas!$G$5:$G$44,"Ativo")))+1)))</f>
        <v>Equipe Oficina Mecânica Central-Taisa</v>
      </c>
    </row>
    <row r="511" spans="1:12" ht="15" customHeight="1" x14ac:dyDescent="0.4">
      <c r="A511" s="25">
        <v>46352</v>
      </c>
      <c r="B511" s="16">
        <v>13</v>
      </c>
      <c r="C511" s="16">
        <v>1</v>
      </c>
      <c r="D511" s="16">
        <v>11</v>
      </c>
      <c r="E511" s="16" t="s">
        <v>980</v>
      </c>
      <c r="F511" s="16" t="s">
        <v>1255</v>
      </c>
      <c r="G511" s="16" t="s">
        <v>184</v>
      </c>
      <c r="H511" s="16" t="s">
        <v>140</v>
      </c>
      <c r="I511" s="22" t="s">
        <v>861</v>
      </c>
      <c r="J511" s="16">
        <f>IFERROR(INDEX(Aux_HH!$J$4:$J$31,MATCH($H511&amp;"|"&amp;$I511,Aux_HH!$A$4:$A$31,0)),"")</f>
        <v>4.5</v>
      </c>
      <c r="K511" s="16" t="s">
        <v>76</v>
      </c>
      <c r="L511" s="16" t="str">
        <f>IF(COUNTIFS(Pessoas!$C$5:$C$44,$K511,Pessoas!$G$5:$G$44,"Ativo")=0,"Equipe "&amp;$K511,INDEX(Pessoas!$A$5:$A$44,_xludf.aggregate(15,6,(ROW(Pessoas!$A$5:$A$44)-4)/((Pessoas!$C$5:$C$44=$K511)*(Pessoas!$G$5:$G$44="Ativo")),MOD(ROW()-6,MAX(1,COUNTIFS(Pessoas!$C$5:$C$44,$K511,Pessoas!$G$5:$G$44,"Ativo")))+1)))</f>
        <v>Equipe Oficina Mecânica Central-Taisa</v>
      </c>
    </row>
    <row r="512" spans="1:12" ht="15" customHeight="1" x14ac:dyDescent="0.4">
      <c r="A512" s="25">
        <v>46352</v>
      </c>
      <c r="B512" s="16">
        <v>13</v>
      </c>
      <c r="C512" s="16">
        <v>1</v>
      </c>
      <c r="D512" s="16">
        <v>11</v>
      </c>
      <c r="E512" s="16" t="s">
        <v>980</v>
      </c>
      <c r="F512" s="16" t="s">
        <v>1256</v>
      </c>
      <c r="G512" s="16" t="s">
        <v>184</v>
      </c>
      <c r="H512" s="16" t="s">
        <v>140</v>
      </c>
      <c r="I512" s="22" t="s">
        <v>861</v>
      </c>
      <c r="J512" s="16">
        <f>IFERROR(INDEX(Aux_HH!$J$4:$J$31,MATCH($H512&amp;"|"&amp;$I512,Aux_HH!$A$4:$A$31,0)),"")</f>
        <v>4.5</v>
      </c>
      <c r="K512" s="16" t="s">
        <v>76</v>
      </c>
      <c r="L512" s="16" t="str">
        <f>IF(COUNTIFS(Pessoas!$C$5:$C$44,$K512,Pessoas!$G$5:$G$44,"Ativo")=0,"Equipe "&amp;$K512,INDEX(Pessoas!$A$5:$A$44,_xludf.aggregate(15,6,(ROW(Pessoas!$A$5:$A$44)-4)/((Pessoas!$C$5:$C$44=$K512)*(Pessoas!$G$5:$G$44="Ativo")),MOD(ROW()-6,MAX(1,COUNTIFS(Pessoas!$C$5:$C$44,$K512,Pessoas!$G$5:$G$44,"Ativo")))+1)))</f>
        <v>Equipe Oficina Mecânica Central-Taisa</v>
      </c>
    </row>
    <row r="513" spans="1:12" ht="15" customHeight="1" x14ac:dyDescent="0.4">
      <c r="A513" s="25">
        <v>46352</v>
      </c>
      <c r="B513" s="16">
        <v>13</v>
      </c>
      <c r="C513" s="16">
        <v>1</v>
      </c>
      <c r="D513" s="16">
        <v>11</v>
      </c>
      <c r="E513" s="16" t="s">
        <v>980</v>
      </c>
      <c r="F513" s="16" t="s">
        <v>1257</v>
      </c>
      <c r="G513" s="16" t="s">
        <v>526</v>
      </c>
      <c r="H513" s="16" t="s">
        <v>140</v>
      </c>
      <c r="I513" s="22" t="s">
        <v>861</v>
      </c>
      <c r="J513" s="16">
        <f>IFERROR(INDEX(Aux_HH!$J$4:$J$31,MATCH($H513&amp;"|"&amp;$I513,Aux_HH!$A$4:$A$31,0)),"")</f>
        <v>4.5</v>
      </c>
      <c r="K513" s="16" t="s">
        <v>76</v>
      </c>
      <c r="L513" s="16" t="str">
        <f>IF(COUNTIFS(Pessoas!$C$5:$C$44,$K513,Pessoas!$G$5:$G$44,"Ativo")=0,"Equipe "&amp;$K513,INDEX(Pessoas!$A$5:$A$44,_xludf.aggregate(15,6,(ROW(Pessoas!$A$5:$A$44)-4)/((Pessoas!$C$5:$C$44=$K513)*(Pessoas!$G$5:$G$44="Ativo")),MOD(ROW()-6,MAX(1,COUNTIFS(Pessoas!$C$5:$C$44,$K513,Pessoas!$G$5:$G$44,"Ativo")))+1)))</f>
        <v>Equipe Oficina Mecânica Central-Taisa</v>
      </c>
    </row>
    <row r="514" spans="1:12" ht="15" customHeight="1" x14ac:dyDescent="0.4">
      <c r="A514" s="25">
        <v>46352</v>
      </c>
      <c r="B514" s="16">
        <v>13</v>
      </c>
      <c r="C514" s="16">
        <v>1</v>
      </c>
      <c r="D514" s="16">
        <v>11</v>
      </c>
      <c r="E514" s="16" t="s">
        <v>980</v>
      </c>
      <c r="F514" s="16" t="s">
        <v>1258</v>
      </c>
      <c r="G514" s="16" t="s">
        <v>526</v>
      </c>
      <c r="H514" s="16" t="s">
        <v>140</v>
      </c>
      <c r="I514" s="22" t="s">
        <v>861</v>
      </c>
      <c r="J514" s="16">
        <f>IFERROR(INDEX(Aux_HH!$J$4:$J$31,MATCH($H514&amp;"|"&amp;$I514,Aux_HH!$A$4:$A$31,0)),"")</f>
        <v>4.5</v>
      </c>
      <c r="K514" s="16" t="s">
        <v>76</v>
      </c>
      <c r="L514" s="16" t="str">
        <f>IF(COUNTIFS(Pessoas!$C$5:$C$44,$K514,Pessoas!$G$5:$G$44,"Ativo")=0,"Equipe "&amp;$K514,INDEX(Pessoas!$A$5:$A$44,_xludf.aggregate(15,6,(ROW(Pessoas!$A$5:$A$44)-4)/((Pessoas!$C$5:$C$44=$K514)*(Pessoas!$G$5:$G$44="Ativo")),MOD(ROW()-6,MAX(1,COUNTIFS(Pessoas!$C$5:$C$44,$K514,Pessoas!$G$5:$G$44,"Ativo")))+1)))</f>
        <v>Equipe Oficina Mecânica Central-Taisa</v>
      </c>
    </row>
    <row r="515" spans="1:12" ht="15" customHeight="1" x14ac:dyDescent="0.4">
      <c r="A515" s="25">
        <v>46353</v>
      </c>
      <c r="B515" s="16">
        <v>13</v>
      </c>
      <c r="C515" s="16">
        <v>1</v>
      </c>
      <c r="D515" s="16">
        <v>11</v>
      </c>
      <c r="E515" s="16" t="s">
        <v>980</v>
      </c>
      <c r="F515" s="16" t="s">
        <v>985</v>
      </c>
      <c r="G515" s="16" t="s">
        <v>184</v>
      </c>
      <c r="H515" s="16" t="s">
        <v>138</v>
      </c>
      <c r="I515" s="22" t="s">
        <v>856</v>
      </c>
      <c r="J515" s="16">
        <f>IFERROR(INDEX(Aux_HH!$J$4:$J$31,MATCH($H515&amp;"|"&amp;$I515,Aux_HH!$A$4:$A$31,0)),"")</f>
        <v>3</v>
      </c>
      <c r="K515" s="16" t="s">
        <v>76</v>
      </c>
      <c r="L515" s="16" t="str">
        <f>IF(COUNTIFS(Pessoas!$C$5:$C$44,$K515,Pessoas!$G$5:$G$44,"Ativo")=0,"Equipe "&amp;$K515,INDEX(Pessoas!$A$5:$A$44,_xludf.aggregate(15,6,(ROW(Pessoas!$A$5:$A$44)-4)/((Pessoas!$C$5:$C$44=$K515)*(Pessoas!$G$5:$G$44="Ativo")),MOD(ROW()-6,MAX(1,COUNTIFS(Pessoas!$C$5:$C$44,$K515,Pessoas!$G$5:$G$44,"Ativo")))+1)))</f>
        <v>Equipe Oficina Mecânica Central-Taisa</v>
      </c>
    </row>
    <row r="516" spans="1:12" ht="15" customHeight="1" x14ac:dyDescent="0.4">
      <c r="A516" s="25">
        <v>46353</v>
      </c>
      <c r="B516" s="16">
        <v>13</v>
      </c>
      <c r="C516" s="16">
        <v>1</v>
      </c>
      <c r="D516" s="16">
        <v>11</v>
      </c>
      <c r="E516" s="16" t="s">
        <v>980</v>
      </c>
      <c r="F516" s="16" t="s">
        <v>987</v>
      </c>
      <c r="G516" s="16" t="s">
        <v>526</v>
      </c>
      <c r="H516" s="16" t="s">
        <v>138</v>
      </c>
      <c r="I516" s="22" t="s">
        <v>856</v>
      </c>
      <c r="J516" s="16">
        <f>IFERROR(INDEX(Aux_HH!$J$4:$J$31,MATCH($H516&amp;"|"&amp;$I516,Aux_HH!$A$4:$A$31,0)),"")</f>
        <v>3</v>
      </c>
      <c r="K516" s="16" t="s">
        <v>76</v>
      </c>
      <c r="L516" s="16" t="str">
        <f>IF(COUNTIFS(Pessoas!$C$5:$C$44,$K516,Pessoas!$G$5:$G$44,"Ativo")=0,"Equipe "&amp;$K516,INDEX(Pessoas!$A$5:$A$44,_xludf.aggregate(15,6,(ROW(Pessoas!$A$5:$A$44)-4)/((Pessoas!$C$5:$C$44=$K516)*(Pessoas!$G$5:$G$44="Ativo")),MOD(ROW()-6,MAX(1,COUNTIFS(Pessoas!$C$5:$C$44,$K516,Pessoas!$G$5:$G$44,"Ativo")))+1)))</f>
        <v>Equipe Oficina Mecânica Central-Taisa</v>
      </c>
    </row>
    <row r="517" spans="1:12" ht="15" customHeight="1" x14ac:dyDescent="0.4">
      <c r="A517" s="25">
        <v>46353</v>
      </c>
      <c r="B517" s="16">
        <v>13</v>
      </c>
      <c r="C517" s="16">
        <v>1</v>
      </c>
      <c r="D517" s="16">
        <v>11</v>
      </c>
      <c r="E517" s="16" t="s">
        <v>980</v>
      </c>
      <c r="F517" s="16" t="s">
        <v>1259</v>
      </c>
      <c r="G517" s="16" t="s">
        <v>526</v>
      </c>
      <c r="H517" s="16" t="s">
        <v>140</v>
      </c>
      <c r="I517" s="22" t="s">
        <v>861</v>
      </c>
      <c r="J517" s="16">
        <f>IFERROR(INDEX(Aux_HH!$J$4:$J$31,MATCH($H517&amp;"|"&amp;$I517,Aux_HH!$A$4:$A$31,0)),"")</f>
        <v>4.5</v>
      </c>
      <c r="K517" s="16" t="s">
        <v>76</v>
      </c>
      <c r="L517" s="16" t="str">
        <f>IF(COUNTIFS(Pessoas!$C$5:$C$44,$K517,Pessoas!$G$5:$G$44,"Ativo")=0,"Equipe "&amp;$K517,INDEX(Pessoas!$A$5:$A$44,_xludf.aggregate(15,6,(ROW(Pessoas!$A$5:$A$44)-4)/((Pessoas!$C$5:$C$44=$K517)*(Pessoas!$G$5:$G$44="Ativo")),MOD(ROW()-6,MAX(1,COUNTIFS(Pessoas!$C$5:$C$44,$K517,Pessoas!$G$5:$G$44,"Ativo")))+1)))</f>
        <v>Equipe Oficina Mecânica Central-Taisa</v>
      </c>
    </row>
    <row r="518" spans="1:12" ht="15" customHeight="1" x14ac:dyDescent="0.4">
      <c r="A518" s="25">
        <v>46353</v>
      </c>
      <c r="B518" s="16">
        <v>13</v>
      </c>
      <c r="C518" s="16">
        <v>1</v>
      </c>
      <c r="D518" s="16">
        <v>11</v>
      </c>
      <c r="E518" s="16" t="s">
        <v>980</v>
      </c>
      <c r="F518" s="16" t="s">
        <v>1260</v>
      </c>
      <c r="G518" s="16" t="s">
        <v>526</v>
      </c>
      <c r="H518" s="16" t="s">
        <v>140</v>
      </c>
      <c r="I518" s="22" t="s">
        <v>861</v>
      </c>
      <c r="J518" s="16">
        <f>IFERROR(INDEX(Aux_HH!$J$4:$J$31,MATCH($H518&amp;"|"&amp;$I518,Aux_HH!$A$4:$A$31,0)),"")</f>
        <v>4.5</v>
      </c>
      <c r="K518" s="16" t="s">
        <v>76</v>
      </c>
      <c r="L518" s="16" t="str">
        <f>IF(COUNTIFS(Pessoas!$C$5:$C$44,$K518,Pessoas!$G$5:$G$44,"Ativo")=0,"Equipe "&amp;$K518,INDEX(Pessoas!$A$5:$A$44,_xludf.aggregate(15,6,(ROW(Pessoas!$A$5:$A$44)-4)/((Pessoas!$C$5:$C$44=$K518)*(Pessoas!$G$5:$G$44="Ativo")),MOD(ROW()-6,MAX(1,COUNTIFS(Pessoas!$C$5:$C$44,$K518,Pessoas!$G$5:$G$44,"Ativo")))+1)))</f>
        <v>Equipe Oficina Mecânica Central-Taisa</v>
      </c>
    </row>
    <row r="519" spans="1:12" ht="15" customHeight="1" x14ac:dyDescent="0.4">
      <c r="A519" s="25">
        <v>46353</v>
      </c>
      <c r="B519" s="16">
        <v>13</v>
      </c>
      <c r="C519" s="16">
        <v>1</v>
      </c>
      <c r="D519" s="16">
        <v>11</v>
      </c>
      <c r="E519" s="16" t="s">
        <v>980</v>
      </c>
      <c r="F519" s="16" t="s">
        <v>1261</v>
      </c>
      <c r="G519" s="16" t="s">
        <v>526</v>
      </c>
      <c r="H519" s="16" t="s">
        <v>140</v>
      </c>
      <c r="I519" s="22" t="s">
        <v>861</v>
      </c>
      <c r="J519" s="16">
        <f>IFERROR(INDEX(Aux_HH!$J$4:$J$31,MATCH($H519&amp;"|"&amp;$I519,Aux_HH!$A$4:$A$31,0)),"")</f>
        <v>4.5</v>
      </c>
      <c r="K519" s="16" t="s">
        <v>76</v>
      </c>
      <c r="L519" s="16" t="str">
        <f>IF(COUNTIFS(Pessoas!$C$5:$C$44,$K519,Pessoas!$G$5:$G$44,"Ativo")=0,"Equipe "&amp;$K519,INDEX(Pessoas!$A$5:$A$44,_xludf.aggregate(15,6,(ROW(Pessoas!$A$5:$A$44)-4)/((Pessoas!$C$5:$C$44=$K519)*(Pessoas!$G$5:$G$44="Ativo")),MOD(ROW()-6,MAX(1,COUNTIFS(Pessoas!$C$5:$C$44,$K519,Pessoas!$G$5:$G$44,"Ativo")))+1)))</f>
        <v>Equipe Oficina Mecânica Central-Taisa</v>
      </c>
    </row>
    <row r="520" spans="1:12" ht="15" customHeight="1" x14ac:dyDescent="0.4">
      <c r="A520" s="25">
        <v>46353</v>
      </c>
      <c r="B520" s="16">
        <v>13</v>
      </c>
      <c r="C520" s="16">
        <v>1</v>
      </c>
      <c r="D520" s="16">
        <v>11</v>
      </c>
      <c r="E520" s="16" t="s">
        <v>980</v>
      </c>
      <c r="F520" s="16" t="s">
        <v>1262</v>
      </c>
      <c r="G520" s="16" t="s">
        <v>184</v>
      </c>
      <c r="H520" s="16" t="s">
        <v>140</v>
      </c>
      <c r="I520" s="22" t="s">
        <v>861</v>
      </c>
      <c r="J520" s="16">
        <f>IFERROR(INDEX(Aux_HH!$J$4:$J$31,MATCH($H520&amp;"|"&amp;$I520,Aux_HH!$A$4:$A$31,0)),"")</f>
        <v>4.5</v>
      </c>
      <c r="K520" s="16" t="s">
        <v>76</v>
      </c>
      <c r="L520" s="16" t="str">
        <f>IF(COUNTIFS(Pessoas!$C$5:$C$44,$K520,Pessoas!$G$5:$G$44,"Ativo")=0,"Equipe "&amp;$K520,INDEX(Pessoas!$A$5:$A$44,_xludf.aggregate(15,6,(ROW(Pessoas!$A$5:$A$44)-4)/((Pessoas!$C$5:$C$44=$K520)*(Pessoas!$G$5:$G$44="Ativo")),MOD(ROW()-6,MAX(1,COUNTIFS(Pessoas!$C$5:$C$44,$K520,Pessoas!$G$5:$G$44,"Ativo")))+1)))</f>
        <v>Equipe Oficina Mecânica Central-Taisa</v>
      </c>
    </row>
    <row r="521" spans="1:12" ht="15" customHeight="1" x14ac:dyDescent="0.4">
      <c r="A521" s="25">
        <v>46353</v>
      </c>
      <c r="B521" s="16">
        <v>13</v>
      </c>
      <c r="C521" s="16">
        <v>1</v>
      </c>
      <c r="D521" s="16">
        <v>11</v>
      </c>
      <c r="E521" s="16" t="s">
        <v>980</v>
      </c>
      <c r="F521" s="16" t="s">
        <v>1263</v>
      </c>
      <c r="G521" s="16" t="s">
        <v>184</v>
      </c>
      <c r="H521" s="16" t="s">
        <v>140</v>
      </c>
      <c r="I521" s="22" t="s">
        <v>861</v>
      </c>
      <c r="J521" s="16">
        <f>IFERROR(INDEX(Aux_HH!$J$4:$J$31,MATCH($H521&amp;"|"&amp;$I521,Aux_HH!$A$4:$A$31,0)),"")</f>
        <v>4.5</v>
      </c>
      <c r="K521" s="16" t="s">
        <v>76</v>
      </c>
      <c r="L521" s="16" t="str">
        <f>IF(COUNTIFS(Pessoas!$C$5:$C$44,$K521,Pessoas!$G$5:$G$44,"Ativo")=0,"Equipe "&amp;$K521,INDEX(Pessoas!$A$5:$A$44,_xludf.aggregate(15,6,(ROW(Pessoas!$A$5:$A$44)-4)/((Pessoas!$C$5:$C$44=$K521)*(Pessoas!$G$5:$G$44="Ativo")),MOD(ROW()-6,MAX(1,COUNTIFS(Pessoas!$C$5:$C$44,$K521,Pessoas!$G$5:$G$44,"Ativo")))+1)))</f>
        <v>Equipe Oficina Mecânica Central-Taisa</v>
      </c>
    </row>
    <row r="522" spans="1:12" ht="15" customHeight="1" x14ac:dyDescent="0.4">
      <c r="A522" s="25">
        <v>46353</v>
      </c>
      <c r="B522" s="16">
        <v>13</v>
      </c>
      <c r="C522" s="16">
        <v>1</v>
      </c>
      <c r="D522" s="16">
        <v>11</v>
      </c>
      <c r="E522" s="16" t="s">
        <v>980</v>
      </c>
      <c r="F522" s="16" t="s">
        <v>1264</v>
      </c>
      <c r="G522" s="16" t="s">
        <v>184</v>
      </c>
      <c r="H522" s="16" t="s">
        <v>140</v>
      </c>
      <c r="I522" s="22" t="s">
        <v>861</v>
      </c>
      <c r="J522" s="16">
        <f>IFERROR(INDEX(Aux_HH!$J$4:$J$31,MATCH($H522&amp;"|"&amp;$I522,Aux_HH!$A$4:$A$31,0)),"")</f>
        <v>4.5</v>
      </c>
      <c r="K522" s="16" t="s">
        <v>76</v>
      </c>
      <c r="L522" s="16" t="str">
        <f>IF(COUNTIFS(Pessoas!$C$5:$C$44,$K522,Pessoas!$G$5:$G$44,"Ativo")=0,"Equipe "&amp;$K522,INDEX(Pessoas!$A$5:$A$44,_xludf.aggregate(15,6,(ROW(Pessoas!$A$5:$A$44)-4)/((Pessoas!$C$5:$C$44=$K522)*(Pessoas!$G$5:$G$44="Ativo")),MOD(ROW()-6,MAX(1,COUNTIFS(Pessoas!$C$5:$C$44,$K522,Pessoas!$G$5:$G$44,"Ativo")))+1)))</f>
        <v>Equipe Oficina Mecânica Central-Taisa</v>
      </c>
    </row>
    <row r="523" spans="1:12" ht="15" customHeight="1" x14ac:dyDescent="0.4">
      <c r="A523" s="25">
        <v>46353</v>
      </c>
      <c r="B523" s="16">
        <v>13</v>
      </c>
      <c r="C523" s="16">
        <v>1</v>
      </c>
      <c r="D523" s="16">
        <v>11</v>
      </c>
      <c r="E523" s="16" t="s">
        <v>980</v>
      </c>
      <c r="F523" s="16" t="s">
        <v>1265</v>
      </c>
      <c r="G523" s="16" t="s">
        <v>184</v>
      </c>
      <c r="H523" s="16" t="s">
        <v>140</v>
      </c>
      <c r="I523" s="22" t="s">
        <v>861</v>
      </c>
      <c r="J523" s="16">
        <f>IFERROR(INDEX(Aux_HH!$J$4:$J$31,MATCH($H523&amp;"|"&amp;$I523,Aux_HH!$A$4:$A$31,0)),"")</f>
        <v>4.5</v>
      </c>
      <c r="K523" s="16" t="s">
        <v>76</v>
      </c>
      <c r="L523" s="16" t="str">
        <f>IF(COUNTIFS(Pessoas!$C$5:$C$44,$K523,Pessoas!$G$5:$G$44,"Ativo")=0,"Equipe "&amp;$K523,INDEX(Pessoas!$A$5:$A$44,_xludf.aggregate(15,6,(ROW(Pessoas!$A$5:$A$44)-4)/((Pessoas!$C$5:$C$44=$K523)*(Pessoas!$G$5:$G$44="Ativo")),MOD(ROW()-6,MAX(1,COUNTIFS(Pessoas!$C$5:$C$44,$K523,Pessoas!$G$5:$G$44,"Ativo")))+1)))</f>
        <v>Equipe Oficina Mecânica Central-Taisa</v>
      </c>
    </row>
    <row r="524" spans="1:12" ht="15" customHeight="1" x14ac:dyDescent="0.4">
      <c r="A524" s="25">
        <v>46353</v>
      </c>
      <c r="B524" s="16">
        <v>13</v>
      </c>
      <c r="C524" s="16">
        <v>1</v>
      </c>
      <c r="D524" s="16">
        <v>11</v>
      </c>
      <c r="E524" s="16" t="s">
        <v>980</v>
      </c>
      <c r="F524" s="16" t="s">
        <v>1266</v>
      </c>
      <c r="G524" s="16" t="s">
        <v>526</v>
      </c>
      <c r="H524" s="16" t="s">
        <v>140</v>
      </c>
      <c r="I524" s="22" t="s">
        <v>861</v>
      </c>
      <c r="J524" s="16">
        <f>IFERROR(INDEX(Aux_HH!$J$4:$J$31,MATCH($H524&amp;"|"&amp;$I524,Aux_HH!$A$4:$A$31,0)),"")</f>
        <v>4.5</v>
      </c>
      <c r="K524" s="16" t="s">
        <v>76</v>
      </c>
      <c r="L524" s="16" t="str">
        <f>IF(COUNTIFS(Pessoas!$C$5:$C$44,$K524,Pessoas!$G$5:$G$44,"Ativo")=0,"Equipe "&amp;$K524,INDEX(Pessoas!$A$5:$A$44,_xludf.aggregate(15,6,(ROW(Pessoas!$A$5:$A$44)-4)/((Pessoas!$C$5:$C$44=$K524)*(Pessoas!$G$5:$G$44="Ativo")),MOD(ROW()-6,MAX(1,COUNTIFS(Pessoas!$C$5:$C$44,$K524,Pessoas!$G$5:$G$44,"Ativo")))+1)))</f>
        <v>Equipe Oficina Mecânica Central-Taisa</v>
      </c>
    </row>
    <row r="525" spans="1:12" ht="15" customHeight="1" x14ac:dyDescent="0.4">
      <c r="A525" s="25">
        <v>46353</v>
      </c>
      <c r="B525" s="16">
        <v>13</v>
      </c>
      <c r="C525" s="16">
        <v>1</v>
      </c>
      <c r="D525" s="16">
        <v>11</v>
      </c>
      <c r="E525" s="16" t="s">
        <v>980</v>
      </c>
      <c r="F525" s="16" t="s">
        <v>1267</v>
      </c>
      <c r="G525" s="16" t="s">
        <v>526</v>
      </c>
      <c r="H525" s="16" t="s">
        <v>140</v>
      </c>
      <c r="I525" s="22" t="s">
        <v>861</v>
      </c>
      <c r="J525" s="16">
        <f>IFERROR(INDEX(Aux_HH!$J$4:$J$31,MATCH($H525&amp;"|"&amp;$I525,Aux_HH!$A$4:$A$31,0)),"")</f>
        <v>4.5</v>
      </c>
      <c r="K525" s="16" t="s">
        <v>76</v>
      </c>
      <c r="L525" s="16" t="str">
        <f>IF(COUNTIFS(Pessoas!$C$5:$C$44,$K525,Pessoas!$G$5:$G$44,"Ativo")=0,"Equipe "&amp;$K525,INDEX(Pessoas!$A$5:$A$44,_xludf.aggregate(15,6,(ROW(Pessoas!$A$5:$A$44)-4)/((Pessoas!$C$5:$C$44=$K525)*(Pessoas!$G$5:$G$44="Ativo")),MOD(ROW()-6,MAX(1,COUNTIFS(Pessoas!$C$5:$C$44,$K525,Pessoas!$G$5:$G$44,"Ativo")))+1)))</f>
        <v>Equipe Oficina Mecânica Central-Taisa</v>
      </c>
    </row>
    <row r="526" spans="1:12" ht="15" customHeight="1" x14ac:dyDescent="0.4">
      <c r="A526" s="25">
        <v>46353</v>
      </c>
      <c r="B526" s="16">
        <v>13</v>
      </c>
      <c r="C526" s="16">
        <v>1</v>
      </c>
      <c r="D526" s="16">
        <v>11</v>
      </c>
      <c r="E526" s="16" t="s">
        <v>980</v>
      </c>
      <c r="F526" s="16" t="s">
        <v>1268</v>
      </c>
      <c r="G526" s="16" t="s">
        <v>526</v>
      </c>
      <c r="H526" s="16" t="s">
        <v>140</v>
      </c>
      <c r="I526" s="22" t="s">
        <v>861</v>
      </c>
      <c r="J526" s="16">
        <f>IFERROR(INDEX(Aux_HH!$J$4:$J$31,MATCH($H526&amp;"|"&amp;$I526,Aux_HH!$A$4:$A$31,0)),"")</f>
        <v>4.5</v>
      </c>
      <c r="K526" s="16" t="s">
        <v>76</v>
      </c>
      <c r="L526" s="16" t="str">
        <f>IF(COUNTIFS(Pessoas!$C$5:$C$44,$K526,Pessoas!$G$5:$G$44,"Ativo")=0,"Equipe "&amp;$K526,INDEX(Pessoas!$A$5:$A$44,_xludf.aggregate(15,6,(ROW(Pessoas!$A$5:$A$44)-4)/((Pessoas!$C$5:$C$44=$K526)*(Pessoas!$G$5:$G$44="Ativo")),MOD(ROW()-6,MAX(1,COUNTIFS(Pessoas!$C$5:$C$44,$K526,Pessoas!$G$5:$G$44,"Ativo")))+1)))</f>
        <v>Equipe Oficina Mecânica Central-Taisa</v>
      </c>
    </row>
    <row r="527" spans="1:12" ht="15" customHeight="1" x14ac:dyDescent="0.4">
      <c r="A527" s="25">
        <v>46353</v>
      </c>
      <c r="B527" s="16">
        <v>13</v>
      </c>
      <c r="C527" s="16">
        <v>1</v>
      </c>
      <c r="D527" s="16">
        <v>11</v>
      </c>
      <c r="E527" s="16" t="s">
        <v>980</v>
      </c>
      <c r="F527" s="16" t="s">
        <v>1269</v>
      </c>
      <c r="G527" s="16" t="s">
        <v>526</v>
      </c>
      <c r="H527" s="16" t="s">
        <v>140</v>
      </c>
      <c r="I527" s="22" t="s">
        <v>861</v>
      </c>
      <c r="J527" s="16">
        <f>IFERROR(INDEX(Aux_HH!$J$4:$J$31,MATCH($H527&amp;"|"&amp;$I527,Aux_HH!$A$4:$A$31,0)),"")</f>
        <v>4.5</v>
      </c>
      <c r="K527" s="16" t="s">
        <v>76</v>
      </c>
      <c r="L527" s="16" t="str">
        <f>IF(COUNTIFS(Pessoas!$C$5:$C$44,$K527,Pessoas!$G$5:$G$44,"Ativo")=0,"Equipe "&amp;$K527,INDEX(Pessoas!$A$5:$A$44,_xludf.aggregate(15,6,(ROW(Pessoas!$A$5:$A$44)-4)/((Pessoas!$C$5:$C$44=$K527)*(Pessoas!$G$5:$G$44="Ativo")),MOD(ROW()-6,MAX(1,COUNTIFS(Pessoas!$C$5:$C$44,$K527,Pessoas!$G$5:$G$44,"Ativo")))+1)))</f>
        <v>Equipe Oficina Mecânica Central-Taisa</v>
      </c>
    </row>
    <row r="528" spans="1:12" ht="15" customHeight="1" x14ac:dyDescent="0.4">
      <c r="A528" s="25">
        <v>46353</v>
      </c>
      <c r="B528" s="16">
        <v>13</v>
      </c>
      <c r="C528" s="16">
        <v>1</v>
      </c>
      <c r="D528" s="16">
        <v>11</v>
      </c>
      <c r="E528" s="16" t="s">
        <v>980</v>
      </c>
      <c r="F528" s="16" t="s">
        <v>1270</v>
      </c>
      <c r="G528" s="16" t="s">
        <v>526</v>
      </c>
      <c r="H528" s="16" t="s">
        <v>140</v>
      </c>
      <c r="I528" s="22" t="s">
        <v>861</v>
      </c>
      <c r="J528" s="16">
        <f>IFERROR(INDEX(Aux_HH!$J$4:$J$31,MATCH($H528&amp;"|"&amp;$I528,Aux_HH!$A$4:$A$31,0)),"")</f>
        <v>4.5</v>
      </c>
      <c r="K528" s="16" t="s">
        <v>76</v>
      </c>
      <c r="L528" s="16" t="str">
        <f>IF(COUNTIFS(Pessoas!$C$5:$C$44,$K528,Pessoas!$G$5:$G$44,"Ativo")=0,"Equipe "&amp;$K528,INDEX(Pessoas!$A$5:$A$44,_xludf.aggregate(15,6,(ROW(Pessoas!$A$5:$A$44)-4)/((Pessoas!$C$5:$C$44=$K528)*(Pessoas!$G$5:$G$44="Ativo")),MOD(ROW()-6,MAX(1,COUNTIFS(Pessoas!$C$5:$C$44,$K528,Pessoas!$G$5:$G$44,"Ativo")))+1)))</f>
        <v>Equipe Oficina Mecânica Central-Taisa</v>
      </c>
    </row>
    <row r="529" spans="1:12" ht="15" customHeight="1" x14ac:dyDescent="0.4">
      <c r="A529" s="25">
        <v>46353</v>
      </c>
      <c r="B529" s="16">
        <v>13</v>
      </c>
      <c r="C529" s="16">
        <v>1</v>
      </c>
      <c r="D529" s="16">
        <v>11</v>
      </c>
      <c r="E529" s="16" t="s">
        <v>980</v>
      </c>
      <c r="F529" s="16" t="s">
        <v>1271</v>
      </c>
      <c r="G529" s="16" t="s">
        <v>526</v>
      </c>
      <c r="H529" s="16" t="s">
        <v>140</v>
      </c>
      <c r="I529" s="22" t="s">
        <v>861</v>
      </c>
      <c r="J529" s="16">
        <f>IFERROR(INDEX(Aux_HH!$J$4:$J$31,MATCH($H529&amp;"|"&amp;$I529,Aux_HH!$A$4:$A$31,0)),"")</f>
        <v>4.5</v>
      </c>
      <c r="K529" s="16" t="s">
        <v>76</v>
      </c>
      <c r="L529" s="16" t="str">
        <f>IF(COUNTIFS(Pessoas!$C$5:$C$44,$K529,Pessoas!$G$5:$G$44,"Ativo")=0,"Equipe "&amp;$K529,INDEX(Pessoas!$A$5:$A$44,_xludf.aggregate(15,6,(ROW(Pessoas!$A$5:$A$44)-4)/((Pessoas!$C$5:$C$44=$K529)*(Pessoas!$G$5:$G$44="Ativo")),MOD(ROW()-6,MAX(1,COUNTIFS(Pessoas!$C$5:$C$44,$K529,Pessoas!$G$5:$G$44,"Ativo")))+1)))</f>
        <v>Equipe Oficina Mecânica Central-Taisa</v>
      </c>
    </row>
    <row r="530" spans="1:12" ht="15" customHeight="1" x14ac:dyDescent="0.4">
      <c r="A530" s="25">
        <v>46353</v>
      </c>
      <c r="B530" s="16">
        <v>13</v>
      </c>
      <c r="C530" s="16">
        <v>1</v>
      </c>
      <c r="D530" s="16">
        <v>11</v>
      </c>
      <c r="E530" s="16" t="s">
        <v>980</v>
      </c>
      <c r="F530" s="16" t="s">
        <v>1296</v>
      </c>
      <c r="G530" s="16" t="s">
        <v>526</v>
      </c>
      <c r="H530" s="16" t="s">
        <v>140</v>
      </c>
      <c r="I530" s="22" t="s">
        <v>861</v>
      </c>
      <c r="J530" s="16">
        <f>IFERROR(INDEX(Aux_HH!$J$4:$J$31,MATCH($H530&amp;"|"&amp;$I530,Aux_HH!$A$4:$A$31,0)),"")</f>
        <v>4.5</v>
      </c>
      <c r="K530" s="16" t="s">
        <v>76</v>
      </c>
      <c r="L530" s="16" t="str">
        <f>IF(COUNTIFS(Pessoas!$C$5:$C$44,$K530,Pessoas!$G$5:$G$44,"Ativo")=0,"Equipe "&amp;$K530,INDEX(Pessoas!$A$5:$A$44,_xludf.aggregate(15,6,(ROW(Pessoas!$A$5:$A$44)-4)/((Pessoas!$C$5:$C$44=$K530)*(Pessoas!$G$5:$G$44="Ativo")),MOD(ROW()-6,MAX(1,COUNTIFS(Pessoas!$C$5:$C$44,$K530,Pessoas!$G$5:$G$44,"Ativo")))+1)))</f>
        <v>Equipe Oficina Mecânica Central-Taisa</v>
      </c>
    </row>
    <row r="531" spans="1:12" ht="15" customHeight="1" x14ac:dyDescent="0.4">
      <c r="A531" s="25">
        <v>46353</v>
      </c>
      <c r="B531" s="16">
        <v>13</v>
      </c>
      <c r="C531" s="16">
        <v>1</v>
      </c>
      <c r="D531" s="16">
        <v>11</v>
      </c>
      <c r="E531" s="16" t="s">
        <v>980</v>
      </c>
      <c r="F531" s="16" t="s">
        <v>1297</v>
      </c>
      <c r="G531" s="16" t="s">
        <v>526</v>
      </c>
      <c r="H531" s="16" t="s">
        <v>140</v>
      </c>
      <c r="I531" s="22" t="s">
        <v>861</v>
      </c>
      <c r="J531" s="16">
        <f>IFERROR(INDEX(Aux_HH!$J$4:$J$31,MATCH($H531&amp;"|"&amp;$I531,Aux_HH!$A$4:$A$31,0)),"")</f>
        <v>4.5</v>
      </c>
      <c r="K531" s="16" t="s">
        <v>76</v>
      </c>
      <c r="L531" s="16" t="str">
        <f>IF(COUNTIFS(Pessoas!$C$5:$C$44,$K531,Pessoas!$G$5:$G$44,"Ativo")=0,"Equipe "&amp;$K531,INDEX(Pessoas!$A$5:$A$44,_xludf.aggregate(15,6,(ROW(Pessoas!$A$5:$A$44)-4)/((Pessoas!$C$5:$C$44=$K531)*(Pessoas!$G$5:$G$44="Ativo")),MOD(ROW()-6,MAX(1,COUNTIFS(Pessoas!$C$5:$C$44,$K531,Pessoas!$G$5:$G$44,"Ativo")))+1)))</f>
        <v>Equipe Oficina Mecânica Central-Taisa</v>
      </c>
    </row>
    <row r="532" spans="1:12" ht="15" customHeight="1" x14ac:dyDescent="0.4">
      <c r="A532" s="25">
        <v>46353</v>
      </c>
      <c r="B532" s="16">
        <v>13</v>
      </c>
      <c r="C532" s="16">
        <v>1</v>
      </c>
      <c r="D532" s="16">
        <v>11</v>
      </c>
      <c r="E532" s="16" t="s">
        <v>980</v>
      </c>
      <c r="F532" s="16" t="s">
        <v>1298</v>
      </c>
      <c r="G532" s="16" t="s">
        <v>184</v>
      </c>
      <c r="H532" s="16" t="s">
        <v>140</v>
      </c>
      <c r="I532" s="22" t="s">
        <v>861</v>
      </c>
      <c r="J532" s="16">
        <f>IFERROR(INDEX(Aux_HH!$J$4:$J$31,MATCH($H532&amp;"|"&amp;$I532,Aux_HH!$A$4:$A$31,0)),"")</f>
        <v>4.5</v>
      </c>
      <c r="K532" s="16" t="s">
        <v>76</v>
      </c>
      <c r="L532" s="16" t="str">
        <f>IF(COUNTIFS(Pessoas!$C$5:$C$44,$K532,Pessoas!$G$5:$G$44,"Ativo")=0,"Equipe "&amp;$K532,INDEX(Pessoas!$A$5:$A$44,_xludf.aggregate(15,6,(ROW(Pessoas!$A$5:$A$44)-4)/((Pessoas!$C$5:$C$44=$K532)*(Pessoas!$G$5:$G$44="Ativo")),MOD(ROW()-6,MAX(1,COUNTIFS(Pessoas!$C$5:$C$44,$K532,Pessoas!$G$5:$G$44,"Ativo")))+1)))</f>
        <v>Equipe Oficina Mecânica Central-Taisa</v>
      </c>
    </row>
    <row r="533" spans="1:12" ht="15" customHeight="1" x14ac:dyDescent="0.4">
      <c r="A533" s="25">
        <v>46353</v>
      </c>
      <c r="B533" s="16">
        <v>13</v>
      </c>
      <c r="C533" s="16">
        <v>1</v>
      </c>
      <c r="D533" s="16">
        <v>11</v>
      </c>
      <c r="E533" s="16" t="s">
        <v>980</v>
      </c>
      <c r="F533" s="16" t="s">
        <v>1299</v>
      </c>
      <c r="G533" s="16" t="s">
        <v>184</v>
      </c>
      <c r="H533" s="16" t="s">
        <v>140</v>
      </c>
      <c r="I533" s="22" t="s">
        <v>861</v>
      </c>
      <c r="J533" s="16">
        <f>IFERROR(INDEX(Aux_HH!$J$4:$J$31,MATCH($H533&amp;"|"&amp;$I533,Aux_HH!$A$4:$A$31,0)),"")</f>
        <v>4.5</v>
      </c>
      <c r="K533" s="16" t="s">
        <v>76</v>
      </c>
      <c r="L533" s="16" t="str">
        <f>IF(COUNTIFS(Pessoas!$C$5:$C$44,$K533,Pessoas!$G$5:$G$44,"Ativo")=0,"Equipe "&amp;$K533,INDEX(Pessoas!$A$5:$A$44,_xludf.aggregate(15,6,(ROW(Pessoas!$A$5:$A$44)-4)/((Pessoas!$C$5:$C$44=$K533)*(Pessoas!$G$5:$G$44="Ativo")),MOD(ROW()-6,MAX(1,COUNTIFS(Pessoas!$C$5:$C$44,$K533,Pessoas!$G$5:$G$44,"Ativo")))+1)))</f>
        <v>Equipe Oficina Mecânica Central-Taisa</v>
      </c>
    </row>
    <row r="534" spans="1:12" ht="15" customHeight="1" x14ac:dyDescent="0.4">
      <c r="A534" s="25">
        <v>46353</v>
      </c>
      <c r="B534" s="16">
        <v>13</v>
      </c>
      <c r="C534" s="16">
        <v>1</v>
      </c>
      <c r="D534" s="16">
        <v>11</v>
      </c>
      <c r="E534" s="16" t="s">
        <v>980</v>
      </c>
      <c r="F534" s="16" t="s">
        <v>1300</v>
      </c>
      <c r="G534" s="16" t="s">
        <v>526</v>
      </c>
      <c r="H534" s="16" t="s">
        <v>140</v>
      </c>
      <c r="I534" s="22" t="s">
        <v>861</v>
      </c>
      <c r="J534" s="16">
        <f>IFERROR(INDEX(Aux_HH!$J$4:$J$31,MATCH($H534&amp;"|"&amp;$I534,Aux_HH!$A$4:$A$31,0)),"")</f>
        <v>4.5</v>
      </c>
      <c r="K534" s="16" t="s">
        <v>76</v>
      </c>
      <c r="L534" s="16" t="str">
        <f>IF(COUNTIFS(Pessoas!$C$5:$C$44,$K534,Pessoas!$G$5:$G$44,"Ativo")=0,"Equipe "&amp;$K534,INDEX(Pessoas!$A$5:$A$44,_xludf.aggregate(15,6,(ROW(Pessoas!$A$5:$A$44)-4)/((Pessoas!$C$5:$C$44=$K534)*(Pessoas!$G$5:$G$44="Ativo")),MOD(ROW()-6,MAX(1,COUNTIFS(Pessoas!$C$5:$C$44,$K534,Pessoas!$G$5:$G$44,"Ativo")))+1)))</f>
        <v>Equipe Oficina Mecânica Central-Taisa</v>
      </c>
    </row>
    <row r="535" spans="1:12" ht="15" customHeight="1" x14ac:dyDescent="0.4">
      <c r="A535" s="25">
        <v>46353</v>
      </c>
      <c r="B535" s="16">
        <v>13</v>
      </c>
      <c r="C535" s="16">
        <v>1</v>
      </c>
      <c r="D535" s="16">
        <v>11</v>
      </c>
      <c r="E535" s="16" t="s">
        <v>980</v>
      </c>
      <c r="F535" s="16" t="s">
        <v>1301</v>
      </c>
      <c r="G535" s="16" t="s">
        <v>526</v>
      </c>
      <c r="H535" s="16" t="s">
        <v>140</v>
      </c>
      <c r="I535" s="22" t="s">
        <v>861</v>
      </c>
      <c r="J535" s="16">
        <f>IFERROR(INDEX(Aux_HH!$J$4:$J$31,MATCH($H535&amp;"|"&amp;$I535,Aux_HH!$A$4:$A$31,0)),"")</f>
        <v>4.5</v>
      </c>
      <c r="K535" s="16" t="s">
        <v>76</v>
      </c>
      <c r="L535" s="16" t="str">
        <f>IF(COUNTIFS(Pessoas!$C$5:$C$44,$K535,Pessoas!$G$5:$G$44,"Ativo")=0,"Equipe "&amp;$K535,INDEX(Pessoas!$A$5:$A$44,_xludf.aggregate(15,6,(ROW(Pessoas!$A$5:$A$44)-4)/((Pessoas!$C$5:$C$44=$K535)*(Pessoas!$G$5:$G$44="Ativo")),MOD(ROW()-6,MAX(1,COUNTIFS(Pessoas!$C$5:$C$44,$K535,Pessoas!$G$5:$G$44,"Ativo")))+1)))</f>
        <v>Equipe Oficina Mecânica Central-Taisa</v>
      </c>
    </row>
    <row r="536" spans="1:12" ht="15" customHeight="1" x14ac:dyDescent="0.4">
      <c r="A536" s="25">
        <v>46353</v>
      </c>
      <c r="B536" s="16">
        <v>13</v>
      </c>
      <c r="C536" s="16">
        <v>1</v>
      </c>
      <c r="D536" s="16">
        <v>11</v>
      </c>
      <c r="E536" s="16" t="s">
        <v>980</v>
      </c>
      <c r="F536" s="16" t="s">
        <v>1302</v>
      </c>
      <c r="G536" s="16" t="s">
        <v>526</v>
      </c>
      <c r="H536" s="16" t="s">
        <v>140</v>
      </c>
      <c r="I536" s="22" t="s">
        <v>861</v>
      </c>
      <c r="J536" s="16">
        <f>IFERROR(INDEX(Aux_HH!$J$4:$J$31,MATCH($H536&amp;"|"&amp;$I536,Aux_HH!$A$4:$A$31,0)),"")</f>
        <v>4.5</v>
      </c>
      <c r="K536" s="16" t="s">
        <v>76</v>
      </c>
      <c r="L536" s="16" t="str">
        <f>IF(COUNTIFS(Pessoas!$C$5:$C$44,$K536,Pessoas!$G$5:$G$44,"Ativo")=0,"Equipe "&amp;$K536,INDEX(Pessoas!$A$5:$A$44,_xludf.aggregate(15,6,(ROW(Pessoas!$A$5:$A$44)-4)/((Pessoas!$C$5:$C$44=$K536)*(Pessoas!$G$5:$G$44="Ativo")),MOD(ROW()-6,MAX(1,COUNTIFS(Pessoas!$C$5:$C$44,$K536,Pessoas!$G$5:$G$44,"Ativo")))+1)))</f>
        <v>Equipe Oficina Mecânica Central-Taisa</v>
      </c>
    </row>
    <row r="537" spans="1:12" ht="15" customHeight="1" x14ac:dyDescent="0.4">
      <c r="A537" s="25">
        <v>46356</v>
      </c>
      <c r="B537" s="16">
        <v>13</v>
      </c>
      <c r="C537" s="16">
        <v>1</v>
      </c>
      <c r="D537" s="16">
        <v>11</v>
      </c>
      <c r="E537" s="16" t="s">
        <v>980</v>
      </c>
      <c r="F537" s="16" t="s">
        <v>988</v>
      </c>
      <c r="G537" s="16" t="s">
        <v>184</v>
      </c>
      <c r="H537" s="16" t="s">
        <v>138</v>
      </c>
      <c r="I537" s="22" t="s">
        <v>856</v>
      </c>
      <c r="J537" s="16">
        <f>IFERROR(INDEX(Aux_HH!$J$4:$J$31,MATCH($H537&amp;"|"&amp;$I537,Aux_HH!$A$4:$A$31,0)),"")</f>
        <v>3</v>
      </c>
      <c r="K537" s="16" t="s">
        <v>76</v>
      </c>
      <c r="L537" s="16" t="str">
        <f>IF(COUNTIFS(Pessoas!$C$5:$C$44,$K537,Pessoas!$G$5:$G$44,"Ativo")=0,"Equipe "&amp;$K537,INDEX(Pessoas!$A$5:$A$44,_xludf.aggregate(15,6,(ROW(Pessoas!$A$5:$A$44)-4)/((Pessoas!$C$5:$C$44=$K537)*(Pessoas!$G$5:$G$44="Ativo")),MOD(ROW()-6,MAX(1,COUNTIFS(Pessoas!$C$5:$C$44,$K537,Pessoas!$G$5:$G$44,"Ativo")))+1)))</f>
        <v>Equipe Oficina Mecânica Central-Taisa</v>
      </c>
    </row>
    <row r="538" spans="1:12" ht="15" customHeight="1" x14ac:dyDescent="0.4">
      <c r="A538" s="25">
        <v>46356</v>
      </c>
      <c r="B538" s="16">
        <v>13</v>
      </c>
      <c r="C538" s="16">
        <v>1</v>
      </c>
      <c r="D538" s="16">
        <v>11</v>
      </c>
      <c r="E538" s="16" t="s">
        <v>980</v>
      </c>
      <c r="F538" s="16" t="s">
        <v>990</v>
      </c>
      <c r="G538" s="16" t="s">
        <v>526</v>
      </c>
      <c r="H538" s="16" t="s">
        <v>138</v>
      </c>
      <c r="I538" s="22" t="s">
        <v>856</v>
      </c>
      <c r="J538" s="16">
        <f>IFERROR(INDEX(Aux_HH!$J$4:$J$31,MATCH($H538&amp;"|"&amp;$I538,Aux_HH!$A$4:$A$31,0)),"")</f>
        <v>3</v>
      </c>
      <c r="K538" s="16" t="s">
        <v>76</v>
      </c>
      <c r="L538" s="16" t="str">
        <f>IF(COUNTIFS(Pessoas!$C$5:$C$44,$K538,Pessoas!$G$5:$G$44,"Ativo")=0,"Equipe "&amp;$K538,INDEX(Pessoas!$A$5:$A$44,_xludf.aggregate(15,6,(ROW(Pessoas!$A$5:$A$44)-4)/((Pessoas!$C$5:$C$44=$K538)*(Pessoas!$G$5:$G$44="Ativo")),MOD(ROW()-6,MAX(1,COUNTIFS(Pessoas!$C$5:$C$44,$K538,Pessoas!$G$5:$G$44,"Ativo")))+1)))</f>
        <v>Equipe Oficina Mecânica Central-Taisa</v>
      </c>
    </row>
    <row r="539" spans="1:12" ht="15" customHeight="1" x14ac:dyDescent="0.4">
      <c r="A539" s="25">
        <v>46356</v>
      </c>
      <c r="B539" s="16">
        <v>13</v>
      </c>
      <c r="C539" s="16">
        <v>1</v>
      </c>
      <c r="D539" s="16">
        <v>11</v>
      </c>
      <c r="E539" s="16" t="s">
        <v>980</v>
      </c>
      <c r="F539" s="16" t="s">
        <v>1081</v>
      </c>
      <c r="G539" s="16" t="s">
        <v>526</v>
      </c>
      <c r="H539" s="16" t="s">
        <v>140</v>
      </c>
      <c r="I539" s="22" t="s">
        <v>861</v>
      </c>
      <c r="J539" s="16">
        <f>IFERROR(INDEX(Aux_HH!$J$4:$J$31,MATCH($H539&amp;"|"&amp;$I539,Aux_HH!$A$4:$A$31,0)),"")</f>
        <v>4.5</v>
      </c>
      <c r="K539" s="16" t="s">
        <v>76</v>
      </c>
      <c r="L539" s="16" t="str">
        <f>IF(COUNTIFS(Pessoas!$C$5:$C$44,$K539,Pessoas!$G$5:$G$44,"Ativo")=0,"Equipe "&amp;$K539,INDEX(Pessoas!$A$5:$A$44,_xludf.aggregate(15,6,(ROW(Pessoas!$A$5:$A$44)-4)/((Pessoas!$C$5:$C$44=$K539)*(Pessoas!$G$5:$G$44="Ativo")),MOD(ROW()-6,MAX(1,COUNTIFS(Pessoas!$C$5:$C$44,$K539,Pessoas!$G$5:$G$44,"Ativo")))+1)))</f>
        <v>Equipe Oficina Mecânica Central-Taisa</v>
      </c>
    </row>
    <row r="540" spans="1:12" ht="15" customHeight="1" x14ac:dyDescent="0.4">
      <c r="A540" s="25">
        <v>46356</v>
      </c>
      <c r="B540" s="16">
        <v>13</v>
      </c>
      <c r="C540" s="16">
        <v>1</v>
      </c>
      <c r="D540" s="16">
        <v>11</v>
      </c>
      <c r="E540" s="16" t="s">
        <v>980</v>
      </c>
      <c r="F540" s="16" t="s">
        <v>1082</v>
      </c>
      <c r="G540" s="16" t="s">
        <v>184</v>
      </c>
      <c r="H540" s="16" t="s">
        <v>140</v>
      </c>
      <c r="I540" s="22" t="s">
        <v>861</v>
      </c>
      <c r="J540" s="16">
        <f>IFERROR(INDEX(Aux_HH!$J$4:$J$31,MATCH($H540&amp;"|"&amp;$I540,Aux_HH!$A$4:$A$31,0)),"")</f>
        <v>4.5</v>
      </c>
      <c r="K540" s="16" t="s">
        <v>76</v>
      </c>
      <c r="L540" s="16" t="str">
        <f>IF(COUNTIFS(Pessoas!$C$5:$C$44,$K540,Pessoas!$G$5:$G$44,"Ativo")=0,"Equipe "&amp;$K540,INDEX(Pessoas!$A$5:$A$44,_xludf.aggregate(15,6,(ROW(Pessoas!$A$5:$A$44)-4)/((Pessoas!$C$5:$C$44=$K540)*(Pessoas!$G$5:$G$44="Ativo")),MOD(ROW()-6,MAX(1,COUNTIFS(Pessoas!$C$5:$C$44,$K540,Pessoas!$G$5:$G$44,"Ativo")))+1)))</f>
        <v>Equipe Oficina Mecânica Central-Taisa</v>
      </c>
    </row>
    <row r="541" spans="1:12" ht="15" customHeight="1" x14ac:dyDescent="0.4">
      <c r="A541" s="25">
        <v>46356</v>
      </c>
      <c r="B541" s="16">
        <v>13</v>
      </c>
      <c r="C541" s="16">
        <v>1</v>
      </c>
      <c r="D541" s="16">
        <v>11</v>
      </c>
      <c r="E541" s="16" t="s">
        <v>980</v>
      </c>
      <c r="F541" s="16" t="s">
        <v>1083</v>
      </c>
      <c r="G541" s="16" t="s">
        <v>184</v>
      </c>
      <c r="H541" s="16" t="s">
        <v>140</v>
      </c>
      <c r="I541" s="22" t="s">
        <v>861</v>
      </c>
      <c r="J541" s="16">
        <f>IFERROR(INDEX(Aux_HH!$J$4:$J$31,MATCH($H541&amp;"|"&amp;$I541,Aux_HH!$A$4:$A$31,0)),"")</f>
        <v>4.5</v>
      </c>
      <c r="K541" s="16" t="s">
        <v>76</v>
      </c>
      <c r="L541" s="16" t="str">
        <f>IF(COUNTIFS(Pessoas!$C$5:$C$44,$K541,Pessoas!$G$5:$G$44,"Ativo")=0,"Equipe "&amp;$K541,INDEX(Pessoas!$A$5:$A$44,_xludf.aggregate(15,6,(ROW(Pessoas!$A$5:$A$44)-4)/((Pessoas!$C$5:$C$44=$K541)*(Pessoas!$G$5:$G$44="Ativo")),MOD(ROW()-6,MAX(1,COUNTIFS(Pessoas!$C$5:$C$44,$K541,Pessoas!$G$5:$G$44,"Ativo")))+1)))</f>
        <v>Equipe Oficina Mecânica Central-Taisa</v>
      </c>
    </row>
    <row r="542" spans="1:12" ht="15" customHeight="1" x14ac:dyDescent="0.4">
      <c r="A542" s="25">
        <v>46356</v>
      </c>
      <c r="B542" s="16">
        <v>13</v>
      </c>
      <c r="C542" s="16">
        <v>1</v>
      </c>
      <c r="D542" s="16">
        <v>11</v>
      </c>
      <c r="E542" s="16" t="s">
        <v>980</v>
      </c>
      <c r="F542" s="16" t="s">
        <v>1084</v>
      </c>
      <c r="G542" s="16" t="s">
        <v>184</v>
      </c>
      <c r="H542" s="16" t="s">
        <v>140</v>
      </c>
      <c r="I542" s="22" t="s">
        <v>861</v>
      </c>
      <c r="J542" s="16">
        <f>IFERROR(INDEX(Aux_HH!$J$4:$J$31,MATCH($H542&amp;"|"&amp;$I542,Aux_HH!$A$4:$A$31,0)),"")</f>
        <v>4.5</v>
      </c>
      <c r="K542" s="16" t="s">
        <v>76</v>
      </c>
      <c r="L542" s="16" t="str">
        <f>IF(COUNTIFS(Pessoas!$C$5:$C$44,$K542,Pessoas!$G$5:$G$44,"Ativo")=0,"Equipe "&amp;$K542,INDEX(Pessoas!$A$5:$A$44,_xludf.aggregate(15,6,(ROW(Pessoas!$A$5:$A$44)-4)/((Pessoas!$C$5:$C$44=$K542)*(Pessoas!$G$5:$G$44="Ativo")),MOD(ROW()-6,MAX(1,COUNTIFS(Pessoas!$C$5:$C$44,$K542,Pessoas!$G$5:$G$44,"Ativo")))+1)))</f>
        <v>Equipe Oficina Mecânica Central-Taisa</v>
      </c>
    </row>
    <row r="543" spans="1:12" ht="15" customHeight="1" x14ac:dyDescent="0.4">
      <c r="A543" s="25">
        <v>46356</v>
      </c>
      <c r="B543" s="16">
        <v>13</v>
      </c>
      <c r="C543" s="16">
        <v>1</v>
      </c>
      <c r="D543" s="16">
        <v>11</v>
      </c>
      <c r="E543" s="16" t="s">
        <v>980</v>
      </c>
      <c r="F543" s="16" t="s">
        <v>1085</v>
      </c>
      <c r="G543" s="16" t="s">
        <v>184</v>
      </c>
      <c r="H543" s="16" t="s">
        <v>140</v>
      </c>
      <c r="I543" s="22" t="s">
        <v>861</v>
      </c>
      <c r="J543" s="16">
        <f>IFERROR(INDEX(Aux_HH!$J$4:$J$31,MATCH($H543&amp;"|"&amp;$I543,Aux_HH!$A$4:$A$31,0)),"")</f>
        <v>4.5</v>
      </c>
      <c r="K543" s="16" t="s">
        <v>76</v>
      </c>
      <c r="L543" s="16" t="str">
        <f>IF(COUNTIFS(Pessoas!$C$5:$C$44,$K543,Pessoas!$G$5:$G$44,"Ativo")=0,"Equipe "&amp;$K543,INDEX(Pessoas!$A$5:$A$44,_xludf.aggregate(15,6,(ROW(Pessoas!$A$5:$A$44)-4)/((Pessoas!$C$5:$C$44=$K543)*(Pessoas!$G$5:$G$44="Ativo")),MOD(ROW()-6,MAX(1,COUNTIFS(Pessoas!$C$5:$C$44,$K543,Pessoas!$G$5:$G$44,"Ativo")))+1)))</f>
        <v>Equipe Oficina Mecânica Central-Taisa</v>
      </c>
    </row>
    <row r="544" spans="1:12" ht="15" customHeight="1" x14ac:dyDescent="0.4">
      <c r="A544" s="25">
        <v>46356</v>
      </c>
      <c r="B544" s="16">
        <v>13</v>
      </c>
      <c r="C544" s="16">
        <v>1</v>
      </c>
      <c r="D544" s="16">
        <v>11</v>
      </c>
      <c r="E544" s="16" t="s">
        <v>980</v>
      </c>
      <c r="F544" s="16" t="s">
        <v>1086</v>
      </c>
      <c r="G544" s="16" t="s">
        <v>184</v>
      </c>
      <c r="H544" s="16" t="s">
        <v>140</v>
      </c>
      <c r="I544" s="22" t="s">
        <v>861</v>
      </c>
      <c r="J544" s="16">
        <f>IFERROR(INDEX(Aux_HH!$J$4:$J$31,MATCH($H544&amp;"|"&amp;$I544,Aux_HH!$A$4:$A$31,0)),"")</f>
        <v>4.5</v>
      </c>
      <c r="K544" s="16" t="s">
        <v>76</v>
      </c>
      <c r="L544" s="16" t="str">
        <f>IF(COUNTIFS(Pessoas!$C$5:$C$44,$K544,Pessoas!$G$5:$G$44,"Ativo")=0,"Equipe "&amp;$K544,INDEX(Pessoas!$A$5:$A$44,_xludf.aggregate(15,6,(ROW(Pessoas!$A$5:$A$44)-4)/((Pessoas!$C$5:$C$44=$K544)*(Pessoas!$G$5:$G$44="Ativo")),MOD(ROW()-6,MAX(1,COUNTIFS(Pessoas!$C$5:$C$44,$K544,Pessoas!$G$5:$G$44,"Ativo")))+1)))</f>
        <v>Equipe Oficina Mecânica Central-Taisa</v>
      </c>
    </row>
    <row r="545" spans="1:12" ht="15" customHeight="1" x14ac:dyDescent="0.4">
      <c r="A545" s="25">
        <v>46356</v>
      </c>
      <c r="B545" s="16">
        <v>13</v>
      </c>
      <c r="C545" s="16">
        <v>1</v>
      </c>
      <c r="D545" s="16">
        <v>11</v>
      </c>
      <c r="E545" s="16" t="s">
        <v>980</v>
      </c>
      <c r="F545" s="16" t="s">
        <v>1087</v>
      </c>
      <c r="G545" s="16" t="s">
        <v>526</v>
      </c>
      <c r="H545" s="16" t="s">
        <v>140</v>
      </c>
      <c r="I545" s="22" t="s">
        <v>861</v>
      </c>
      <c r="J545" s="16">
        <f>IFERROR(INDEX(Aux_HH!$J$4:$J$31,MATCH($H545&amp;"|"&amp;$I545,Aux_HH!$A$4:$A$31,0)),"")</f>
        <v>4.5</v>
      </c>
      <c r="K545" s="16" t="s">
        <v>76</v>
      </c>
      <c r="L545" s="16" t="str">
        <f>IF(COUNTIFS(Pessoas!$C$5:$C$44,$K545,Pessoas!$G$5:$G$44,"Ativo")=0,"Equipe "&amp;$K545,INDEX(Pessoas!$A$5:$A$44,_xludf.aggregate(15,6,(ROW(Pessoas!$A$5:$A$44)-4)/((Pessoas!$C$5:$C$44=$K545)*(Pessoas!$G$5:$G$44="Ativo")),MOD(ROW()-6,MAX(1,COUNTIFS(Pessoas!$C$5:$C$44,$K545,Pessoas!$G$5:$G$44,"Ativo")))+1)))</f>
        <v>Equipe Oficina Mecânica Central-Taisa</v>
      </c>
    </row>
    <row r="546" spans="1:12" ht="15" customHeight="1" x14ac:dyDescent="0.4">
      <c r="A546" s="25">
        <v>46356</v>
      </c>
      <c r="B546" s="16">
        <v>13</v>
      </c>
      <c r="C546" s="16">
        <v>1</v>
      </c>
      <c r="D546" s="16">
        <v>11</v>
      </c>
      <c r="E546" s="16" t="s">
        <v>980</v>
      </c>
      <c r="F546" s="16" t="s">
        <v>1088</v>
      </c>
      <c r="G546" s="16" t="s">
        <v>526</v>
      </c>
      <c r="H546" s="16" t="s">
        <v>140</v>
      </c>
      <c r="I546" s="22" t="s">
        <v>861</v>
      </c>
      <c r="J546" s="16">
        <f>IFERROR(INDEX(Aux_HH!$J$4:$J$31,MATCH($H546&amp;"|"&amp;$I546,Aux_HH!$A$4:$A$31,0)),"")</f>
        <v>4.5</v>
      </c>
      <c r="K546" s="16" t="s">
        <v>76</v>
      </c>
      <c r="L546" s="16" t="str">
        <f>IF(COUNTIFS(Pessoas!$C$5:$C$44,$K546,Pessoas!$G$5:$G$44,"Ativo")=0,"Equipe "&amp;$K546,INDEX(Pessoas!$A$5:$A$44,_xludf.aggregate(15,6,(ROW(Pessoas!$A$5:$A$44)-4)/((Pessoas!$C$5:$C$44=$K546)*(Pessoas!$G$5:$G$44="Ativo")),MOD(ROW()-6,MAX(1,COUNTIFS(Pessoas!$C$5:$C$44,$K546,Pessoas!$G$5:$G$44,"Ativo")))+1)))</f>
        <v>Equipe Oficina Mecânica Central-Taisa</v>
      </c>
    </row>
    <row r="547" spans="1:12" ht="15" customHeight="1" x14ac:dyDescent="0.4">
      <c r="A547" s="25">
        <v>46356</v>
      </c>
      <c r="B547" s="16">
        <v>13</v>
      </c>
      <c r="C547" s="16">
        <v>1</v>
      </c>
      <c r="D547" s="16">
        <v>11</v>
      </c>
      <c r="E547" s="16" t="s">
        <v>980</v>
      </c>
      <c r="F547" s="16" t="s">
        <v>1089</v>
      </c>
      <c r="G547" s="16" t="s">
        <v>184</v>
      </c>
      <c r="H547" s="16" t="s">
        <v>140</v>
      </c>
      <c r="I547" s="22" t="s">
        <v>861</v>
      </c>
      <c r="J547" s="16">
        <f>IFERROR(INDEX(Aux_HH!$J$4:$J$31,MATCH($H547&amp;"|"&amp;$I547,Aux_HH!$A$4:$A$31,0)),"")</f>
        <v>4.5</v>
      </c>
      <c r="K547" s="16" t="s">
        <v>76</v>
      </c>
      <c r="L547" s="16" t="str">
        <f>IF(COUNTIFS(Pessoas!$C$5:$C$44,$K547,Pessoas!$G$5:$G$44,"Ativo")=0,"Equipe "&amp;$K547,INDEX(Pessoas!$A$5:$A$44,_xludf.aggregate(15,6,(ROW(Pessoas!$A$5:$A$44)-4)/((Pessoas!$C$5:$C$44=$K547)*(Pessoas!$G$5:$G$44="Ativo")),MOD(ROW()-6,MAX(1,COUNTIFS(Pessoas!$C$5:$C$44,$K547,Pessoas!$G$5:$G$44,"Ativo")))+1)))</f>
        <v>Equipe Oficina Mecânica Central-Taisa</v>
      </c>
    </row>
    <row r="548" spans="1:12" ht="15" customHeight="1" x14ac:dyDescent="0.4">
      <c r="A548" s="25">
        <v>46356</v>
      </c>
      <c r="B548" s="16">
        <v>13</v>
      </c>
      <c r="C548" s="16">
        <v>1</v>
      </c>
      <c r="D548" s="16">
        <v>11</v>
      </c>
      <c r="E548" s="16" t="s">
        <v>980</v>
      </c>
      <c r="F548" s="16" t="s">
        <v>1090</v>
      </c>
      <c r="G548" s="16" t="s">
        <v>526</v>
      </c>
      <c r="H548" s="16" t="s">
        <v>140</v>
      </c>
      <c r="I548" s="22" t="s">
        <v>861</v>
      </c>
      <c r="J548" s="16">
        <f>IFERROR(INDEX(Aux_HH!$J$4:$J$31,MATCH($H548&amp;"|"&amp;$I548,Aux_HH!$A$4:$A$31,0)),"")</f>
        <v>4.5</v>
      </c>
      <c r="K548" s="16" t="s">
        <v>76</v>
      </c>
      <c r="L548" s="16" t="str">
        <f>IF(COUNTIFS(Pessoas!$C$5:$C$44,$K548,Pessoas!$G$5:$G$44,"Ativo")=0,"Equipe "&amp;$K548,INDEX(Pessoas!$A$5:$A$44,_xludf.aggregate(15,6,(ROW(Pessoas!$A$5:$A$44)-4)/((Pessoas!$C$5:$C$44=$K548)*(Pessoas!$G$5:$G$44="Ativo")),MOD(ROW()-6,MAX(1,COUNTIFS(Pessoas!$C$5:$C$44,$K548,Pessoas!$G$5:$G$44,"Ativo")))+1)))</f>
        <v>Equipe Oficina Mecânica Central-Taisa</v>
      </c>
    </row>
    <row r="549" spans="1:12" ht="15" customHeight="1" x14ac:dyDescent="0.4">
      <c r="A549" s="25">
        <v>46356</v>
      </c>
      <c r="B549" s="16">
        <v>13</v>
      </c>
      <c r="C549" s="16">
        <v>1</v>
      </c>
      <c r="D549" s="16">
        <v>11</v>
      </c>
      <c r="E549" s="16" t="s">
        <v>980</v>
      </c>
      <c r="F549" s="16" t="s">
        <v>1091</v>
      </c>
      <c r="G549" s="16" t="s">
        <v>526</v>
      </c>
      <c r="H549" s="16" t="s">
        <v>140</v>
      </c>
      <c r="I549" s="22" t="s">
        <v>861</v>
      </c>
      <c r="J549" s="16">
        <f>IFERROR(INDEX(Aux_HH!$J$4:$J$31,MATCH($H549&amp;"|"&amp;$I549,Aux_HH!$A$4:$A$31,0)),"")</f>
        <v>4.5</v>
      </c>
      <c r="K549" s="16" t="s">
        <v>76</v>
      </c>
      <c r="L549" s="16" t="str">
        <f>IF(COUNTIFS(Pessoas!$C$5:$C$44,$K549,Pessoas!$G$5:$G$44,"Ativo")=0,"Equipe "&amp;$K549,INDEX(Pessoas!$A$5:$A$44,_xludf.aggregate(15,6,(ROW(Pessoas!$A$5:$A$44)-4)/((Pessoas!$C$5:$C$44=$K549)*(Pessoas!$G$5:$G$44="Ativo")),MOD(ROW()-6,MAX(1,COUNTIFS(Pessoas!$C$5:$C$44,$K549,Pessoas!$G$5:$G$44,"Ativo")))+1)))</f>
        <v>Equipe Oficina Mecânica Central-Taisa</v>
      </c>
    </row>
    <row r="550" spans="1:12" ht="15" customHeight="1" x14ac:dyDescent="0.4">
      <c r="A550" s="25">
        <v>46356</v>
      </c>
      <c r="B550" s="16">
        <v>13</v>
      </c>
      <c r="C550" s="16">
        <v>1</v>
      </c>
      <c r="D550" s="16">
        <v>11</v>
      </c>
      <c r="E550" s="16" t="s">
        <v>980</v>
      </c>
      <c r="F550" s="16" t="s">
        <v>1092</v>
      </c>
      <c r="G550" s="16" t="s">
        <v>526</v>
      </c>
      <c r="H550" s="16" t="s">
        <v>140</v>
      </c>
      <c r="I550" s="22" t="s">
        <v>861</v>
      </c>
      <c r="J550" s="16">
        <f>IFERROR(INDEX(Aux_HH!$J$4:$J$31,MATCH($H550&amp;"|"&amp;$I550,Aux_HH!$A$4:$A$31,0)),"")</f>
        <v>4.5</v>
      </c>
      <c r="K550" s="16" t="s">
        <v>76</v>
      </c>
      <c r="L550" s="16" t="str">
        <f>IF(COUNTIFS(Pessoas!$C$5:$C$44,$K550,Pessoas!$G$5:$G$44,"Ativo")=0,"Equipe "&amp;$K550,INDEX(Pessoas!$A$5:$A$44,_xludf.aggregate(15,6,(ROW(Pessoas!$A$5:$A$44)-4)/((Pessoas!$C$5:$C$44=$K550)*(Pessoas!$G$5:$G$44="Ativo")),MOD(ROW()-6,MAX(1,COUNTIFS(Pessoas!$C$5:$C$44,$K550,Pessoas!$G$5:$G$44,"Ativo")))+1)))</f>
        <v>Equipe Oficina Mecânica Central-Taisa</v>
      </c>
    </row>
    <row r="551" spans="1:12" ht="15" customHeight="1" x14ac:dyDescent="0.4">
      <c r="A551" s="25">
        <v>46356</v>
      </c>
      <c r="B551" s="16">
        <v>13</v>
      </c>
      <c r="C551" s="16">
        <v>1</v>
      </c>
      <c r="D551" s="16">
        <v>11</v>
      </c>
      <c r="E551" s="16" t="s">
        <v>980</v>
      </c>
      <c r="F551" s="16" t="s">
        <v>1093</v>
      </c>
      <c r="G551" s="16" t="s">
        <v>526</v>
      </c>
      <c r="H551" s="16" t="s">
        <v>140</v>
      </c>
      <c r="I551" s="22" t="s">
        <v>861</v>
      </c>
      <c r="J551" s="16">
        <f>IFERROR(INDEX(Aux_HH!$J$4:$J$31,MATCH($H551&amp;"|"&amp;$I551,Aux_HH!$A$4:$A$31,0)),"")</f>
        <v>4.5</v>
      </c>
      <c r="K551" s="16" t="s">
        <v>76</v>
      </c>
      <c r="L551" s="16" t="str">
        <f>IF(COUNTIFS(Pessoas!$C$5:$C$44,$K551,Pessoas!$G$5:$G$44,"Ativo")=0,"Equipe "&amp;$K551,INDEX(Pessoas!$A$5:$A$44,_xludf.aggregate(15,6,(ROW(Pessoas!$A$5:$A$44)-4)/((Pessoas!$C$5:$C$44=$K551)*(Pessoas!$G$5:$G$44="Ativo")),MOD(ROW()-6,MAX(1,COUNTIFS(Pessoas!$C$5:$C$44,$K551,Pessoas!$G$5:$G$44,"Ativo")))+1)))</f>
        <v>Equipe Oficina Mecânica Central-Taisa</v>
      </c>
    </row>
    <row r="552" spans="1:12" ht="15" customHeight="1" x14ac:dyDescent="0.4">
      <c r="A552" s="25">
        <v>46356</v>
      </c>
      <c r="B552" s="16">
        <v>13</v>
      </c>
      <c r="C552" s="16">
        <v>1</v>
      </c>
      <c r="D552" s="16">
        <v>11</v>
      </c>
      <c r="E552" s="16" t="s">
        <v>980</v>
      </c>
      <c r="F552" s="16" t="s">
        <v>1117</v>
      </c>
      <c r="G552" s="16" t="s">
        <v>526</v>
      </c>
      <c r="H552" s="16" t="s">
        <v>140</v>
      </c>
      <c r="I552" s="22" t="s">
        <v>861</v>
      </c>
      <c r="J552" s="16">
        <f>IFERROR(INDEX(Aux_HH!$J$4:$J$31,MATCH($H552&amp;"|"&amp;$I552,Aux_HH!$A$4:$A$31,0)),"")</f>
        <v>4.5</v>
      </c>
      <c r="K552" s="16" t="s">
        <v>76</v>
      </c>
      <c r="L552" s="16" t="str">
        <f>IF(COUNTIFS(Pessoas!$C$5:$C$44,$K552,Pessoas!$G$5:$G$44,"Ativo")=0,"Equipe "&amp;$K552,INDEX(Pessoas!$A$5:$A$44,_xludf.aggregate(15,6,(ROW(Pessoas!$A$5:$A$44)-4)/((Pessoas!$C$5:$C$44=$K552)*(Pessoas!$G$5:$G$44="Ativo")),MOD(ROW()-6,MAX(1,COUNTIFS(Pessoas!$C$5:$C$44,$K552,Pessoas!$G$5:$G$44,"Ativo")))+1)))</f>
        <v>Equipe Oficina Mecânica Central-Taisa</v>
      </c>
    </row>
    <row r="553" spans="1:12" ht="15" customHeight="1" x14ac:dyDescent="0.4">
      <c r="A553" s="25">
        <v>46356</v>
      </c>
      <c r="B553" s="16">
        <v>13</v>
      </c>
      <c r="C553" s="16">
        <v>1</v>
      </c>
      <c r="D553" s="16">
        <v>11</v>
      </c>
      <c r="E553" s="16" t="s">
        <v>980</v>
      </c>
      <c r="F553" s="16" t="s">
        <v>1118</v>
      </c>
      <c r="G553" s="16" t="s">
        <v>526</v>
      </c>
      <c r="H553" s="16" t="s">
        <v>140</v>
      </c>
      <c r="I553" s="22" t="s">
        <v>861</v>
      </c>
      <c r="J553" s="16">
        <f>IFERROR(INDEX(Aux_HH!$J$4:$J$31,MATCH($H553&amp;"|"&amp;$I553,Aux_HH!$A$4:$A$31,0)),"")</f>
        <v>4.5</v>
      </c>
      <c r="K553" s="16" t="s">
        <v>76</v>
      </c>
      <c r="L553" s="16" t="str">
        <f>IF(COUNTIFS(Pessoas!$C$5:$C$44,$K553,Pessoas!$G$5:$G$44,"Ativo")=0,"Equipe "&amp;$K553,INDEX(Pessoas!$A$5:$A$44,_xludf.aggregate(15,6,(ROW(Pessoas!$A$5:$A$44)-4)/((Pessoas!$C$5:$C$44=$K553)*(Pessoas!$G$5:$G$44="Ativo")),MOD(ROW()-6,MAX(1,COUNTIFS(Pessoas!$C$5:$C$44,$K553,Pessoas!$G$5:$G$44,"Ativo")))+1)))</f>
        <v>Equipe Oficina Mecânica Central-Taisa</v>
      </c>
    </row>
    <row r="554" spans="1:12" ht="15" customHeight="1" x14ac:dyDescent="0.4">
      <c r="A554" s="25">
        <v>46356</v>
      </c>
      <c r="B554" s="16">
        <v>13</v>
      </c>
      <c r="C554" s="16">
        <v>1</v>
      </c>
      <c r="D554" s="16">
        <v>11</v>
      </c>
      <c r="E554" s="16" t="s">
        <v>980</v>
      </c>
      <c r="F554" s="16" t="s">
        <v>1119</v>
      </c>
      <c r="G554" s="16" t="s">
        <v>184</v>
      </c>
      <c r="H554" s="16" t="s">
        <v>140</v>
      </c>
      <c r="I554" s="22" t="s">
        <v>861</v>
      </c>
      <c r="J554" s="16">
        <f>IFERROR(INDEX(Aux_HH!$J$4:$J$31,MATCH($H554&amp;"|"&amp;$I554,Aux_HH!$A$4:$A$31,0)),"")</f>
        <v>4.5</v>
      </c>
      <c r="K554" s="16" t="s">
        <v>76</v>
      </c>
      <c r="L554" s="16" t="str">
        <f>IF(COUNTIFS(Pessoas!$C$5:$C$44,$K554,Pessoas!$G$5:$G$44,"Ativo")=0,"Equipe "&amp;$K554,INDEX(Pessoas!$A$5:$A$44,_xludf.aggregate(15,6,(ROW(Pessoas!$A$5:$A$44)-4)/((Pessoas!$C$5:$C$44=$K554)*(Pessoas!$G$5:$G$44="Ativo")),MOD(ROW()-6,MAX(1,COUNTIFS(Pessoas!$C$5:$C$44,$K554,Pessoas!$G$5:$G$44,"Ativo")))+1)))</f>
        <v>Equipe Oficina Mecânica Central-Taisa</v>
      </c>
    </row>
    <row r="555" spans="1:12" ht="15" customHeight="1" x14ac:dyDescent="0.4">
      <c r="A555" s="25">
        <v>46356</v>
      </c>
      <c r="B555" s="16">
        <v>13</v>
      </c>
      <c r="C555" s="16">
        <v>1</v>
      </c>
      <c r="D555" s="16">
        <v>11</v>
      </c>
      <c r="E555" s="16" t="s">
        <v>980</v>
      </c>
      <c r="F555" s="16" t="s">
        <v>1120</v>
      </c>
      <c r="G555" s="16" t="s">
        <v>184</v>
      </c>
      <c r="H555" s="16" t="s">
        <v>140</v>
      </c>
      <c r="I555" s="22" t="s">
        <v>861</v>
      </c>
      <c r="J555" s="16">
        <f>IFERROR(INDEX(Aux_HH!$J$4:$J$31,MATCH($H555&amp;"|"&amp;$I555,Aux_HH!$A$4:$A$31,0)),"")</f>
        <v>4.5</v>
      </c>
      <c r="K555" s="16" t="s">
        <v>76</v>
      </c>
      <c r="L555" s="16" t="str">
        <f>IF(COUNTIFS(Pessoas!$C$5:$C$44,$K555,Pessoas!$G$5:$G$44,"Ativo")=0,"Equipe "&amp;$K555,INDEX(Pessoas!$A$5:$A$44,_xludf.aggregate(15,6,(ROW(Pessoas!$A$5:$A$44)-4)/((Pessoas!$C$5:$C$44=$K555)*(Pessoas!$G$5:$G$44="Ativo")),MOD(ROW()-6,MAX(1,COUNTIFS(Pessoas!$C$5:$C$44,$K555,Pessoas!$G$5:$G$44,"Ativo")))+1)))</f>
        <v>Equipe Oficina Mecânica Central-Taisa</v>
      </c>
    </row>
    <row r="556" spans="1:12" ht="15" customHeight="1" x14ac:dyDescent="0.4">
      <c r="A556" s="25">
        <v>46356</v>
      </c>
      <c r="B556" s="16">
        <v>13</v>
      </c>
      <c r="C556" s="16">
        <v>1</v>
      </c>
      <c r="D556" s="16">
        <v>11</v>
      </c>
      <c r="E556" s="16" t="s">
        <v>980</v>
      </c>
      <c r="F556" s="16" t="s">
        <v>1121</v>
      </c>
      <c r="G556" s="16" t="s">
        <v>526</v>
      </c>
      <c r="H556" s="16" t="s">
        <v>140</v>
      </c>
      <c r="I556" s="22" t="s">
        <v>861</v>
      </c>
      <c r="J556" s="16">
        <f>IFERROR(INDEX(Aux_HH!$J$4:$J$31,MATCH($H556&amp;"|"&amp;$I556,Aux_HH!$A$4:$A$31,0)),"")</f>
        <v>4.5</v>
      </c>
      <c r="K556" s="16" t="s">
        <v>76</v>
      </c>
      <c r="L556" s="16" t="str">
        <f>IF(COUNTIFS(Pessoas!$C$5:$C$44,$K556,Pessoas!$G$5:$G$44,"Ativo")=0,"Equipe "&amp;$K556,INDEX(Pessoas!$A$5:$A$44,_xludf.aggregate(15,6,(ROW(Pessoas!$A$5:$A$44)-4)/((Pessoas!$C$5:$C$44=$K556)*(Pessoas!$G$5:$G$44="Ativo")),MOD(ROW()-6,MAX(1,COUNTIFS(Pessoas!$C$5:$C$44,$K556,Pessoas!$G$5:$G$44,"Ativo")))+1)))</f>
        <v>Equipe Oficina Mecânica Central-Taisa</v>
      </c>
    </row>
    <row r="557" spans="1:12" ht="15" customHeight="1" x14ac:dyDescent="0.4">
      <c r="A557" s="25">
        <v>46356</v>
      </c>
      <c r="B557" s="16">
        <v>13</v>
      </c>
      <c r="C557" s="16">
        <v>1</v>
      </c>
      <c r="D557" s="16">
        <v>11</v>
      </c>
      <c r="E557" s="16" t="s">
        <v>980</v>
      </c>
      <c r="F557" s="16" t="s">
        <v>1122</v>
      </c>
      <c r="G557" s="16" t="s">
        <v>526</v>
      </c>
      <c r="H557" s="16" t="s">
        <v>140</v>
      </c>
      <c r="I557" s="22" t="s">
        <v>861</v>
      </c>
      <c r="J557" s="16">
        <f>IFERROR(INDEX(Aux_HH!$J$4:$J$31,MATCH($H557&amp;"|"&amp;$I557,Aux_HH!$A$4:$A$31,0)),"")</f>
        <v>4.5</v>
      </c>
      <c r="K557" s="16" t="s">
        <v>76</v>
      </c>
      <c r="L557" s="16" t="str">
        <f>IF(COUNTIFS(Pessoas!$C$5:$C$44,$K557,Pessoas!$G$5:$G$44,"Ativo")=0,"Equipe "&amp;$K557,INDEX(Pessoas!$A$5:$A$44,_xludf.aggregate(15,6,(ROW(Pessoas!$A$5:$A$44)-4)/((Pessoas!$C$5:$C$44=$K557)*(Pessoas!$G$5:$G$44="Ativo")),MOD(ROW()-6,MAX(1,COUNTIFS(Pessoas!$C$5:$C$44,$K557,Pessoas!$G$5:$G$44,"Ativo")))+1)))</f>
        <v>Equipe Oficina Mecânica Central-Taisa</v>
      </c>
    </row>
    <row r="558" spans="1:12" ht="15" customHeight="1" x14ac:dyDescent="0.4">
      <c r="A558" s="25">
        <v>46356</v>
      </c>
      <c r="B558" s="16">
        <v>13</v>
      </c>
      <c r="C558" s="16">
        <v>1</v>
      </c>
      <c r="D558" s="16">
        <v>11</v>
      </c>
      <c r="E558" s="16" t="s">
        <v>980</v>
      </c>
      <c r="F558" s="16" t="s">
        <v>1123</v>
      </c>
      <c r="G558" s="16" t="s">
        <v>526</v>
      </c>
      <c r="H558" s="16" t="s">
        <v>140</v>
      </c>
      <c r="I558" s="22" t="s">
        <v>861</v>
      </c>
      <c r="J558" s="16">
        <f>IFERROR(INDEX(Aux_HH!$J$4:$J$31,MATCH($H558&amp;"|"&amp;$I558,Aux_HH!$A$4:$A$31,0)),"")</f>
        <v>4.5</v>
      </c>
      <c r="K558" s="16" t="s">
        <v>76</v>
      </c>
      <c r="L558" s="16" t="str">
        <f>IF(COUNTIFS(Pessoas!$C$5:$C$44,$K558,Pessoas!$G$5:$G$44,"Ativo")=0,"Equipe "&amp;$K558,INDEX(Pessoas!$A$5:$A$44,_xludf.aggregate(15,6,(ROW(Pessoas!$A$5:$A$44)-4)/((Pessoas!$C$5:$C$44=$K558)*(Pessoas!$G$5:$G$44="Ativo")),MOD(ROW()-6,MAX(1,COUNTIFS(Pessoas!$C$5:$C$44,$K558,Pessoas!$G$5:$G$44,"Ativo")))+1)))</f>
        <v>Equipe Oficina Mecânica Central-Taisa</v>
      </c>
    </row>
    <row r="559" spans="1:12" ht="15" customHeight="1" x14ac:dyDescent="0.4">
      <c r="A559" s="25">
        <v>46357</v>
      </c>
      <c r="B559" s="16">
        <v>14</v>
      </c>
      <c r="C559" s="16">
        <v>2</v>
      </c>
      <c r="D559" s="16">
        <v>12</v>
      </c>
      <c r="E559" s="16" t="s">
        <v>980</v>
      </c>
      <c r="F559" s="16" t="s">
        <v>1080</v>
      </c>
      <c r="G559" s="16" t="s">
        <v>158</v>
      </c>
      <c r="H559" s="16" t="s">
        <v>141</v>
      </c>
      <c r="I559" s="22" t="s">
        <v>861</v>
      </c>
      <c r="J559" s="16">
        <f>IFERROR(INDEX(Aux_HH!$J$4:$J$31,MATCH($H559&amp;"|"&amp;$I559,Aux_HH!$A$4:$A$31,0)),"")</f>
        <v>4</v>
      </c>
      <c r="K559" s="16" t="s">
        <v>76</v>
      </c>
      <c r="L559" s="16" t="str">
        <f>IF(COUNTIFS(Pessoas!$C$5:$C$44,$K559,Pessoas!$G$5:$G$44,"Ativo")=0,"Equipe "&amp;$K559,INDEX(Pessoas!$A$5:$A$44,_xludf.aggregate(15,6,(ROW(Pessoas!$A$5:$A$44)-4)/((Pessoas!$C$5:$C$44=$K559)*(Pessoas!$G$5:$G$44="Ativo")),MOD(ROW()-6,MAX(1,COUNTIFS(Pessoas!$C$5:$C$44,$K559,Pessoas!$G$5:$G$44,"Ativo")))+1)))</f>
        <v>Equipe Oficina Mecânica Central-Taisa</v>
      </c>
    </row>
    <row r="560" spans="1:12" ht="15" customHeight="1" x14ac:dyDescent="0.4">
      <c r="A560" s="25">
        <v>46357</v>
      </c>
      <c r="B560" s="16">
        <v>14</v>
      </c>
      <c r="C560" s="16">
        <v>2</v>
      </c>
      <c r="D560" s="16">
        <v>12</v>
      </c>
      <c r="E560" s="16" t="s">
        <v>980</v>
      </c>
      <c r="F560" s="16" t="s">
        <v>1094</v>
      </c>
      <c r="G560" s="16" t="s">
        <v>158</v>
      </c>
      <c r="H560" s="16" t="s">
        <v>141</v>
      </c>
      <c r="I560" s="22" t="s">
        <v>861</v>
      </c>
      <c r="J560" s="16">
        <f>IFERROR(INDEX(Aux_HH!$J$4:$J$31,MATCH($H560&amp;"|"&amp;$I560,Aux_HH!$A$4:$A$31,0)),"")</f>
        <v>4</v>
      </c>
      <c r="K560" s="16" t="s">
        <v>76</v>
      </c>
      <c r="L560" s="16" t="str">
        <f>IF(COUNTIFS(Pessoas!$C$5:$C$44,$K560,Pessoas!$G$5:$G$44,"Ativo")=0,"Equipe "&amp;$K560,INDEX(Pessoas!$A$5:$A$44,_xludf.aggregate(15,6,(ROW(Pessoas!$A$5:$A$44)-4)/((Pessoas!$C$5:$C$44=$K560)*(Pessoas!$G$5:$G$44="Ativo")),MOD(ROW()-6,MAX(1,COUNTIFS(Pessoas!$C$5:$C$44,$K560,Pessoas!$G$5:$G$44,"Ativo")))+1)))</f>
        <v>Equipe Oficina Mecânica Central-Taisa</v>
      </c>
    </row>
    <row r="561" spans="1:12" ht="15" customHeight="1" x14ac:dyDescent="0.4">
      <c r="A561" s="25">
        <v>46357</v>
      </c>
      <c r="B561" s="16">
        <v>14</v>
      </c>
      <c r="C561" s="16">
        <v>2</v>
      </c>
      <c r="D561" s="16">
        <v>12</v>
      </c>
      <c r="E561" s="16" t="s">
        <v>980</v>
      </c>
      <c r="F561" s="16" t="s">
        <v>1095</v>
      </c>
      <c r="G561" s="16" t="s">
        <v>158</v>
      </c>
      <c r="H561" s="16" t="s">
        <v>141</v>
      </c>
      <c r="I561" s="22" t="s">
        <v>861</v>
      </c>
      <c r="J561" s="16">
        <f>IFERROR(INDEX(Aux_HH!$J$4:$J$31,MATCH($H561&amp;"|"&amp;$I561,Aux_HH!$A$4:$A$31,0)),"")</f>
        <v>4</v>
      </c>
      <c r="K561" s="16" t="s">
        <v>76</v>
      </c>
      <c r="L561" s="16" t="str">
        <f>IF(COUNTIFS(Pessoas!$C$5:$C$44,$K561,Pessoas!$G$5:$G$44,"Ativo")=0,"Equipe "&amp;$K561,INDEX(Pessoas!$A$5:$A$44,_xludf.aggregate(15,6,(ROW(Pessoas!$A$5:$A$44)-4)/((Pessoas!$C$5:$C$44=$K561)*(Pessoas!$G$5:$G$44="Ativo")),MOD(ROW()-6,MAX(1,COUNTIFS(Pessoas!$C$5:$C$44,$K561,Pessoas!$G$5:$G$44,"Ativo")))+1)))</f>
        <v>Equipe Oficina Mecânica Central-Taisa</v>
      </c>
    </row>
    <row r="562" spans="1:12" ht="15" customHeight="1" x14ac:dyDescent="0.4">
      <c r="A562" s="25">
        <v>46357</v>
      </c>
      <c r="B562" s="16">
        <v>14</v>
      </c>
      <c r="C562" s="16">
        <v>2</v>
      </c>
      <c r="D562" s="16">
        <v>12</v>
      </c>
      <c r="E562" s="16" t="s">
        <v>980</v>
      </c>
      <c r="F562" s="16" t="s">
        <v>1096</v>
      </c>
      <c r="G562" s="16" t="s">
        <v>158</v>
      </c>
      <c r="H562" s="16" t="s">
        <v>141</v>
      </c>
      <c r="I562" s="22" t="s">
        <v>861</v>
      </c>
      <c r="J562" s="16">
        <f>IFERROR(INDEX(Aux_HH!$J$4:$J$31,MATCH($H562&amp;"|"&amp;$I562,Aux_HH!$A$4:$A$31,0)),"")</f>
        <v>4</v>
      </c>
      <c r="K562" s="16" t="s">
        <v>76</v>
      </c>
      <c r="L562" s="16" t="str">
        <f>IF(COUNTIFS(Pessoas!$C$5:$C$44,$K562,Pessoas!$G$5:$G$44,"Ativo")=0,"Equipe "&amp;$K562,INDEX(Pessoas!$A$5:$A$44,_xludf.aggregate(15,6,(ROW(Pessoas!$A$5:$A$44)-4)/((Pessoas!$C$5:$C$44=$K562)*(Pessoas!$G$5:$G$44="Ativo")),MOD(ROW()-6,MAX(1,COUNTIFS(Pessoas!$C$5:$C$44,$K562,Pessoas!$G$5:$G$44,"Ativo")))+1)))</f>
        <v>Equipe Oficina Mecânica Central-Taisa</v>
      </c>
    </row>
    <row r="563" spans="1:12" ht="15" customHeight="1" x14ac:dyDescent="0.4">
      <c r="A563" s="25">
        <v>46357</v>
      </c>
      <c r="B563" s="16">
        <v>14</v>
      </c>
      <c r="C563" s="16">
        <v>2</v>
      </c>
      <c r="D563" s="16">
        <v>12</v>
      </c>
      <c r="E563" s="16" t="s">
        <v>980</v>
      </c>
      <c r="F563" s="16" t="s">
        <v>1097</v>
      </c>
      <c r="G563" s="16" t="s">
        <v>158</v>
      </c>
      <c r="H563" s="16" t="s">
        <v>141</v>
      </c>
      <c r="I563" s="22" t="s">
        <v>861</v>
      </c>
      <c r="J563" s="16">
        <f>IFERROR(INDEX(Aux_HH!$J$4:$J$31,MATCH($H563&amp;"|"&amp;$I563,Aux_HH!$A$4:$A$31,0)),"")</f>
        <v>4</v>
      </c>
      <c r="K563" s="16" t="s">
        <v>76</v>
      </c>
      <c r="L563" s="16" t="str">
        <f>IF(COUNTIFS(Pessoas!$C$5:$C$44,$K563,Pessoas!$G$5:$G$44,"Ativo")=0,"Equipe "&amp;$K563,INDEX(Pessoas!$A$5:$A$44,_xludf.aggregate(15,6,(ROW(Pessoas!$A$5:$A$44)-4)/((Pessoas!$C$5:$C$44=$K563)*(Pessoas!$G$5:$G$44="Ativo")),MOD(ROW()-6,MAX(1,COUNTIFS(Pessoas!$C$5:$C$44,$K563,Pessoas!$G$5:$G$44,"Ativo")))+1)))</f>
        <v>Equipe Oficina Mecânica Central-Taisa</v>
      </c>
    </row>
    <row r="564" spans="1:12" ht="15" customHeight="1" x14ac:dyDescent="0.4">
      <c r="A564" s="25">
        <v>46357</v>
      </c>
      <c r="B564" s="16">
        <v>14</v>
      </c>
      <c r="C564" s="16">
        <v>2</v>
      </c>
      <c r="D564" s="16">
        <v>12</v>
      </c>
      <c r="E564" s="16" t="s">
        <v>980</v>
      </c>
      <c r="F564" s="16" t="s">
        <v>1098</v>
      </c>
      <c r="G564" s="16" t="s">
        <v>158</v>
      </c>
      <c r="H564" s="16" t="s">
        <v>141</v>
      </c>
      <c r="I564" s="22" t="s">
        <v>861</v>
      </c>
      <c r="J564" s="16">
        <f>IFERROR(INDEX(Aux_HH!$J$4:$J$31,MATCH($H564&amp;"|"&amp;$I564,Aux_HH!$A$4:$A$31,0)),"")</f>
        <v>4</v>
      </c>
      <c r="K564" s="16" t="s">
        <v>76</v>
      </c>
      <c r="L564" s="16" t="str">
        <f>IF(COUNTIFS(Pessoas!$C$5:$C$44,$K564,Pessoas!$G$5:$G$44,"Ativo")=0,"Equipe "&amp;$K564,INDEX(Pessoas!$A$5:$A$44,_xludf.aggregate(15,6,(ROW(Pessoas!$A$5:$A$44)-4)/((Pessoas!$C$5:$C$44=$K564)*(Pessoas!$G$5:$G$44="Ativo")),MOD(ROW()-6,MAX(1,COUNTIFS(Pessoas!$C$5:$C$44,$K564,Pessoas!$G$5:$G$44,"Ativo")))+1)))</f>
        <v>Equipe Oficina Mecânica Central-Taisa</v>
      </c>
    </row>
    <row r="565" spans="1:12" ht="15" customHeight="1" x14ac:dyDescent="0.4">
      <c r="A565" s="25">
        <v>46357</v>
      </c>
      <c r="B565" s="16">
        <v>14</v>
      </c>
      <c r="C565" s="16">
        <v>2</v>
      </c>
      <c r="D565" s="16">
        <v>12</v>
      </c>
      <c r="E565" s="16" t="s">
        <v>980</v>
      </c>
      <c r="F565" s="16" t="s">
        <v>1099</v>
      </c>
      <c r="G565" s="16" t="s">
        <v>158</v>
      </c>
      <c r="H565" s="16" t="s">
        <v>141</v>
      </c>
      <c r="I565" s="22" t="s">
        <v>861</v>
      </c>
      <c r="J565" s="16">
        <f>IFERROR(INDEX(Aux_HH!$J$4:$J$31,MATCH($H565&amp;"|"&amp;$I565,Aux_HH!$A$4:$A$31,0)),"")</f>
        <v>4</v>
      </c>
      <c r="K565" s="16" t="s">
        <v>76</v>
      </c>
      <c r="L565" s="16" t="str">
        <f>IF(COUNTIFS(Pessoas!$C$5:$C$44,$K565,Pessoas!$G$5:$G$44,"Ativo")=0,"Equipe "&amp;$K565,INDEX(Pessoas!$A$5:$A$44,_xludf.aggregate(15,6,(ROW(Pessoas!$A$5:$A$44)-4)/((Pessoas!$C$5:$C$44=$K565)*(Pessoas!$G$5:$G$44="Ativo")),MOD(ROW()-6,MAX(1,COUNTIFS(Pessoas!$C$5:$C$44,$K565,Pessoas!$G$5:$G$44,"Ativo")))+1)))</f>
        <v>Equipe Oficina Mecânica Central-Taisa</v>
      </c>
    </row>
    <row r="566" spans="1:12" ht="15" customHeight="1" x14ac:dyDescent="0.4">
      <c r="A566" s="25">
        <v>46357</v>
      </c>
      <c r="B566" s="16">
        <v>14</v>
      </c>
      <c r="C566" s="16">
        <v>2</v>
      </c>
      <c r="D566" s="16">
        <v>12</v>
      </c>
      <c r="E566" s="16" t="s">
        <v>980</v>
      </c>
      <c r="F566" s="16" t="s">
        <v>1100</v>
      </c>
      <c r="G566" s="16" t="s">
        <v>158</v>
      </c>
      <c r="H566" s="16" t="s">
        <v>141</v>
      </c>
      <c r="I566" s="22" t="s">
        <v>861</v>
      </c>
      <c r="J566" s="16">
        <f>IFERROR(INDEX(Aux_HH!$J$4:$J$31,MATCH($H566&amp;"|"&amp;$I566,Aux_HH!$A$4:$A$31,0)),"")</f>
        <v>4</v>
      </c>
      <c r="K566" s="16" t="s">
        <v>76</v>
      </c>
      <c r="L566" s="16" t="str">
        <f>IF(COUNTIFS(Pessoas!$C$5:$C$44,$K566,Pessoas!$G$5:$G$44,"Ativo")=0,"Equipe "&amp;$K566,INDEX(Pessoas!$A$5:$A$44,_xludf.aggregate(15,6,(ROW(Pessoas!$A$5:$A$44)-4)/((Pessoas!$C$5:$C$44=$K566)*(Pessoas!$G$5:$G$44="Ativo")),MOD(ROW()-6,MAX(1,COUNTIFS(Pessoas!$C$5:$C$44,$K566,Pessoas!$G$5:$G$44,"Ativo")))+1)))</f>
        <v>Equipe Oficina Mecânica Central-Taisa</v>
      </c>
    </row>
    <row r="567" spans="1:12" ht="15" customHeight="1" x14ac:dyDescent="0.4">
      <c r="A567" s="25">
        <v>46357</v>
      </c>
      <c r="B567" s="16">
        <v>14</v>
      </c>
      <c r="C567" s="16">
        <v>2</v>
      </c>
      <c r="D567" s="16">
        <v>12</v>
      </c>
      <c r="E567" s="16" t="s">
        <v>980</v>
      </c>
      <c r="F567" s="16" t="s">
        <v>1101</v>
      </c>
      <c r="G567" s="16" t="s">
        <v>158</v>
      </c>
      <c r="H567" s="16" t="s">
        <v>141</v>
      </c>
      <c r="I567" s="22" t="s">
        <v>861</v>
      </c>
      <c r="J567" s="16">
        <f>IFERROR(INDEX(Aux_HH!$J$4:$J$31,MATCH($H567&amp;"|"&amp;$I567,Aux_HH!$A$4:$A$31,0)),"")</f>
        <v>4</v>
      </c>
      <c r="K567" s="16" t="s">
        <v>76</v>
      </c>
      <c r="L567" s="16" t="str">
        <f>IF(COUNTIFS(Pessoas!$C$5:$C$44,$K567,Pessoas!$G$5:$G$44,"Ativo")=0,"Equipe "&amp;$K567,INDEX(Pessoas!$A$5:$A$44,_xludf.aggregate(15,6,(ROW(Pessoas!$A$5:$A$44)-4)/((Pessoas!$C$5:$C$44=$K567)*(Pessoas!$G$5:$G$44="Ativo")),MOD(ROW()-6,MAX(1,COUNTIFS(Pessoas!$C$5:$C$44,$K567,Pessoas!$G$5:$G$44,"Ativo")))+1)))</f>
        <v>Equipe Oficina Mecânica Central-Taisa</v>
      </c>
    </row>
    <row r="568" spans="1:12" ht="15" customHeight="1" x14ac:dyDescent="0.4">
      <c r="A568" s="25">
        <v>46357</v>
      </c>
      <c r="B568" s="16">
        <v>14</v>
      </c>
      <c r="C568" s="16">
        <v>2</v>
      </c>
      <c r="D568" s="16">
        <v>12</v>
      </c>
      <c r="E568" s="16" t="s">
        <v>980</v>
      </c>
      <c r="F568" s="16" t="s">
        <v>1102</v>
      </c>
      <c r="G568" s="16" t="s">
        <v>158</v>
      </c>
      <c r="H568" s="16" t="s">
        <v>141</v>
      </c>
      <c r="I568" s="22" t="s">
        <v>861</v>
      </c>
      <c r="J568" s="16">
        <f>IFERROR(INDEX(Aux_HH!$J$4:$J$31,MATCH($H568&amp;"|"&amp;$I568,Aux_HH!$A$4:$A$31,0)),"")</f>
        <v>4</v>
      </c>
      <c r="K568" s="16" t="s">
        <v>76</v>
      </c>
      <c r="L568" s="16" t="str">
        <f>IF(COUNTIFS(Pessoas!$C$5:$C$44,$K568,Pessoas!$G$5:$G$44,"Ativo")=0,"Equipe "&amp;$K568,INDEX(Pessoas!$A$5:$A$44,_xludf.aggregate(15,6,(ROW(Pessoas!$A$5:$A$44)-4)/((Pessoas!$C$5:$C$44=$K568)*(Pessoas!$G$5:$G$44="Ativo")),MOD(ROW()-6,MAX(1,COUNTIFS(Pessoas!$C$5:$C$44,$K568,Pessoas!$G$5:$G$44,"Ativo")))+1)))</f>
        <v>Equipe Oficina Mecânica Central-Taisa</v>
      </c>
    </row>
    <row r="569" spans="1:12" ht="15" customHeight="1" x14ac:dyDescent="0.4">
      <c r="A569" s="25">
        <v>46357</v>
      </c>
      <c r="B569" s="16">
        <v>14</v>
      </c>
      <c r="C569" s="16">
        <v>2</v>
      </c>
      <c r="D569" s="16">
        <v>12</v>
      </c>
      <c r="E569" s="16" t="s">
        <v>980</v>
      </c>
      <c r="F569" s="16" t="s">
        <v>1103</v>
      </c>
      <c r="G569" s="16" t="s">
        <v>158</v>
      </c>
      <c r="H569" s="16" t="s">
        <v>141</v>
      </c>
      <c r="I569" s="22" t="s">
        <v>861</v>
      </c>
      <c r="J569" s="16">
        <f>IFERROR(INDEX(Aux_HH!$J$4:$J$31,MATCH($H569&amp;"|"&amp;$I569,Aux_HH!$A$4:$A$31,0)),"")</f>
        <v>4</v>
      </c>
      <c r="K569" s="16" t="s">
        <v>76</v>
      </c>
      <c r="L569" s="16" t="str">
        <f>IF(COUNTIFS(Pessoas!$C$5:$C$44,$K569,Pessoas!$G$5:$G$44,"Ativo")=0,"Equipe "&amp;$K569,INDEX(Pessoas!$A$5:$A$44,_xludf.aggregate(15,6,(ROW(Pessoas!$A$5:$A$44)-4)/((Pessoas!$C$5:$C$44=$K569)*(Pessoas!$G$5:$G$44="Ativo")),MOD(ROW()-6,MAX(1,COUNTIFS(Pessoas!$C$5:$C$44,$K569,Pessoas!$G$5:$G$44,"Ativo")))+1)))</f>
        <v>Equipe Oficina Mecânica Central-Taisa</v>
      </c>
    </row>
    <row r="570" spans="1:12" ht="15" customHeight="1" x14ac:dyDescent="0.4">
      <c r="A570" s="25">
        <v>46357</v>
      </c>
      <c r="B570" s="16">
        <v>14</v>
      </c>
      <c r="C570" s="16">
        <v>2</v>
      </c>
      <c r="D570" s="16">
        <v>12</v>
      </c>
      <c r="E570" s="16" t="s">
        <v>980</v>
      </c>
      <c r="F570" s="16" t="s">
        <v>1104</v>
      </c>
      <c r="G570" s="16" t="s">
        <v>158</v>
      </c>
      <c r="H570" s="16" t="s">
        <v>141</v>
      </c>
      <c r="I570" s="22" t="s">
        <v>861</v>
      </c>
      <c r="J570" s="16">
        <f>IFERROR(INDEX(Aux_HH!$J$4:$J$31,MATCH($H570&amp;"|"&amp;$I570,Aux_HH!$A$4:$A$31,0)),"")</f>
        <v>4</v>
      </c>
      <c r="K570" s="16" t="s">
        <v>76</v>
      </c>
      <c r="L570" s="16" t="str">
        <f>IF(COUNTIFS(Pessoas!$C$5:$C$44,$K570,Pessoas!$G$5:$G$44,"Ativo")=0,"Equipe "&amp;$K570,INDEX(Pessoas!$A$5:$A$44,_xludf.aggregate(15,6,(ROW(Pessoas!$A$5:$A$44)-4)/((Pessoas!$C$5:$C$44=$K570)*(Pessoas!$G$5:$G$44="Ativo")),MOD(ROW()-6,MAX(1,COUNTIFS(Pessoas!$C$5:$C$44,$K570,Pessoas!$G$5:$G$44,"Ativo")))+1)))</f>
        <v>Equipe Oficina Mecânica Central-Taisa</v>
      </c>
    </row>
    <row r="571" spans="1:12" ht="15" customHeight="1" x14ac:dyDescent="0.4">
      <c r="A571" s="25">
        <v>46357</v>
      </c>
      <c r="B571" s="16">
        <v>14</v>
      </c>
      <c r="C571" s="16">
        <v>2</v>
      </c>
      <c r="D571" s="16">
        <v>12</v>
      </c>
      <c r="E571" s="16" t="s">
        <v>980</v>
      </c>
      <c r="F571" s="16" t="s">
        <v>1105</v>
      </c>
      <c r="G571" s="16" t="s">
        <v>158</v>
      </c>
      <c r="H571" s="16" t="s">
        <v>141</v>
      </c>
      <c r="I571" s="22" t="s">
        <v>861</v>
      </c>
      <c r="J571" s="16">
        <f>IFERROR(INDEX(Aux_HH!$J$4:$J$31,MATCH($H571&amp;"|"&amp;$I571,Aux_HH!$A$4:$A$31,0)),"")</f>
        <v>4</v>
      </c>
      <c r="K571" s="16" t="s">
        <v>76</v>
      </c>
      <c r="L571" s="16" t="str">
        <f>IF(COUNTIFS(Pessoas!$C$5:$C$44,$K571,Pessoas!$G$5:$G$44,"Ativo")=0,"Equipe "&amp;$K571,INDEX(Pessoas!$A$5:$A$44,_xludf.aggregate(15,6,(ROW(Pessoas!$A$5:$A$44)-4)/((Pessoas!$C$5:$C$44=$K571)*(Pessoas!$G$5:$G$44="Ativo")),MOD(ROW()-6,MAX(1,COUNTIFS(Pessoas!$C$5:$C$44,$K571,Pessoas!$G$5:$G$44,"Ativo")))+1)))</f>
        <v>Equipe Oficina Mecânica Central-Taisa</v>
      </c>
    </row>
    <row r="572" spans="1:12" ht="15" customHeight="1" x14ac:dyDescent="0.4">
      <c r="A572" s="25">
        <v>46357</v>
      </c>
      <c r="B572" s="16">
        <v>14</v>
      </c>
      <c r="C572" s="16">
        <v>2</v>
      </c>
      <c r="D572" s="16">
        <v>12</v>
      </c>
      <c r="E572" s="16" t="s">
        <v>980</v>
      </c>
      <c r="F572" s="16" t="s">
        <v>1106</v>
      </c>
      <c r="G572" s="16" t="s">
        <v>158</v>
      </c>
      <c r="H572" s="16" t="s">
        <v>141</v>
      </c>
      <c r="I572" s="22" t="s">
        <v>861</v>
      </c>
      <c r="J572" s="16">
        <f>IFERROR(INDEX(Aux_HH!$J$4:$J$31,MATCH($H572&amp;"|"&amp;$I572,Aux_HH!$A$4:$A$31,0)),"")</f>
        <v>4</v>
      </c>
      <c r="K572" s="16" t="s">
        <v>76</v>
      </c>
      <c r="L572" s="16" t="str">
        <f>IF(COUNTIFS(Pessoas!$C$5:$C$44,$K572,Pessoas!$G$5:$G$44,"Ativo")=0,"Equipe "&amp;$K572,INDEX(Pessoas!$A$5:$A$44,_xludf.aggregate(15,6,(ROW(Pessoas!$A$5:$A$44)-4)/((Pessoas!$C$5:$C$44=$K572)*(Pessoas!$G$5:$G$44="Ativo")),MOD(ROW()-6,MAX(1,COUNTIFS(Pessoas!$C$5:$C$44,$K572,Pessoas!$G$5:$G$44,"Ativo")))+1)))</f>
        <v>Equipe Oficina Mecânica Central-Taisa</v>
      </c>
    </row>
    <row r="573" spans="1:12" ht="15" customHeight="1" x14ac:dyDescent="0.4">
      <c r="A573" s="25">
        <v>46357</v>
      </c>
      <c r="B573" s="16">
        <v>14</v>
      </c>
      <c r="C573" s="16">
        <v>2</v>
      </c>
      <c r="D573" s="16">
        <v>12</v>
      </c>
      <c r="E573" s="16" t="s">
        <v>980</v>
      </c>
      <c r="F573" s="16" t="s">
        <v>1107</v>
      </c>
      <c r="G573" s="16" t="s">
        <v>184</v>
      </c>
      <c r="H573" s="16" t="s">
        <v>141</v>
      </c>
      <c r="I573" s="22" t="s">
        <v>861</v>
      </c>
      <c r="J573" s="16">
        <f>IFERROR(INDEX(Aux_HH!$J$4:$J$31,MATCH($H573&amp;"|"&amp;$I573,Aux_HH!$A$4:$A$31,0)),"")</f>
        <v>4</v>
      </c>
      <c r="K573" s="16" t="s">
        <v>76</v>
      </c>
      <c r="L573" s="16" t="str">
        <f>IF(COUNTIFS(Pessoas!$C$5:$C$44,$K573,Pessoas!$G$5:$G$44,"Ativo")=0,"Equipe "&amp;$K573,INDEX(Pessoas!$A$5:$A$44,_xludf.aggregate(15,6,(ROW(Pessoas!$A$5:$A$44)-4)/((Pessoas!$C$5:$C$44=$K573)*(Pessoas!$G$5:$G$44="Ativo")),MOD(ROW()-6,MAX(1,COUNTIFS(Pessoas!$C$5:$C$44,$K573,Pessoas!$G$5:$G$44,"Ativo")))+1)))</f>
        <v>Equipe Oficina Mecânica Central-Taisa</v>
      </c>
    </row>
    <row r="574" spans="1:12" ht="15" customHeight="1" x14ac:dyDescent="0.4">
      <c r="A574" s="25">
        <v>46357</v>
      </c>
      <c r="B574" s="16">
        <v>14</v>
      </c>
      <c r="C574" s="16">
        <v>2</v>
      </c>
      <c r="D574" s="16">
        <v>12</v>
      </c>
      <c r="E574" s="16" t="s">
        <v>980</v>
      </c>
      <c r="F574" s="16" t="s">
        <v>1108</v>
      </c>
      <c r="G574" s="16" t="s">
        <v>184</v>
      </c>
      <c r="H574" s="16" t="s">
        <v>141</v>
      </c>
      <c r="I574" s="22" t="s">
        <v>861</v>
      </c>
      <c r="J574" s="16">
        <f>IFERROR(INDEX(Aux_HH!$J$4:$J$31,MATCH($H574&amp;"|"&amp;$I574,Aux_HH!$A$4:$A$31,0)),"")</f>
        <v>4</v>
      </c>
      <c r="K574" s="16" t="s">
        <v>76</v>
      </c>
      <c r="L574" s="16" t="str">
        <f>IF(COUNTIFS(Pessoas!$C$5:$C$44,$K574,Pessoas!$G$5:$G$44,"Ativo")=0,"Equipe "&amp;$K574,INDEX(Pessoas!$A$5:$A$44,_xludf.aggregate(15,6,(ROW(Pessoas!$A$5:$A$44)-4)/((Pessoas!$C$5:$C$44=$K574)*(Pessoas!$G$5:$G$44="Ativo")),MOD(ROW()-6,MAX(1,COUNTIFS(Pessoas!$C$5:$C$44,$K574,Pessoas!$G$5:$G$44,"Ativo")))+1)))</f>
        <v>Equipe Oficina Mecânica Central-Taisa</v>
      </c>
    </row>
    <row r="575" spans="1:12" ht="15" customHeight="1" x14ac:dyDescent="0.4">
      <c r="A575" s="25">
        <v>46357</v>
      </c>
      <c r="B575" s="16">
        <v>14</v>
      </c>
      <c r="C575" s="16">
        <v>2</v>
      </c>
      <c r="D575" s="16">
        <v>12</v>
      </c>
      <c r="E575" s="16" t="s">
        <v>980</v>
      </c>
      <c r="F575" s="16" t="s">
        <v>1109</v>
      </c>
      <c r="G575" s="16" t="s">
        <v>184</v>
      </c>
      <c r="H575" s="16" t="s">
        <v>141</v>
      </c>
      <c r="I575" s="22" t="s">
        <v>861</v>
      </c>
      <c r="J575" s="16">
        <f>IFERROR(INDEX(Aux_HH!$J$4:$J$31,MATCH($H575&amp;"|"&amp;$I575,Aux_HH!$A$4:$A$31,0)),"")</f>
        <v>4</v>
      </c>
      <c r="K575" s="16" t="s">
        <v>76</v>
      </c>
      <c r="L575" s="16" t="str">
        <f>IF(COUNTIFS(Pessoas!$C$5:$C$44,$K575,Pessoas!$G$5:$G$44,"Ativo")=0,"Equipe "&amp;$K575,INDEX(Pessoas!$A$5:$A$44,_xludf.aggregate(15,6,(ROW(Pessoas!$A$5:$A$44)-4)/((Pessoas!$C$5:$C$44=$K575)*(Pessoas!$G$5:$G$44="Ativo")),MOD(ROW()-6,MAX(1,COUNTIFS(Pessoas!$C$5:$C$44,$K575,Pessoas!$G$5:$G$44,"Ativo")))+1)))</f>
        <v>Equipe Oficina Mecânica Central-Taisa</v>
      </c>
    </row>
    <row r="576" spans="1:12" ht="15" customHeight="1" x14ac:dyDescent="0.4">
      <c r="A576" s="25">
        <v>46357</v>
      </c>
      <c r="B576" s="16">
        <v>14</v>
      </c>
      <c r="C576" s="16">
        <v>2</v>
      </c>
      <c r="D576" s="16">
        <v>12</v>
      </c>
      <c r="E576" s="16" t="s">
        <v>980</v>
      </c>
      <c r="F576" s="16" t="s">
        <v>1110</v>
      </c>
      <c r="G576" s="16" t="s">
        <v>184</v>
      </c>
      <c r="H576" s="16" t="s">
        <v>141</v>
      </c>
      <c r="I576" s="22" t="s">
        <v>861</v>
      </c>
      <c r="J576" s="16">
        <f>IFERROR(INDEX(Aux_HH!$J$4:$J$31,MATCH($H576&amp;"|"&amp;$I576,Aux_HH!$A$4:$A$31,0)),"")</f>
        <v>4</v>
      </c>
      <c r="K576" s="16" t="s">
        <v>76</v>
      </c>
      <c r="L576" s="16" t="str">
        <f>IF(COUNTIFS(Pessoas!$C$5:$C$44,$K576,Pessoas!$G$5:$G$44,"Ativo")=0,"Equipe "&amp;$K576,INDEX(Pessoas!$A$5:$A$44,_xludf.aggregate(15,6,(ROW(Pessoas!$A$5:$A$44)-4)/((Pessoas!$C$5:$C$44=$K576)*(Pessoas!$G$5:$G$44="Ativo")),MOD(ROW()-6,MAX(1,COUNTIFS(Pessoas!$C$5:$C$44,$K576,Pessoas!$G$5:$G$44,"Ativo")))+1)))</f>
        <v>Equipe Oficina Mecânica Central-Taisa</v>
      </c>
    </row>
    <row r="577" spans="1:12" ht="15" customHeight="1" x14ac:dyDescent="0.4">
      <c r="A577" s="25">
        <v>46357</v>
      </c>
      <c r="B577" s="16">
        <v>14</v>
      </c>
      <c r="C577" s="16">
        <v>2</v>
      </c>
      <c r="D577" s="16">
        <v>12</v>
      </c>
      <c r="E577" s="16" t="s">
        <v>980</v>
      </c>
      <c r="F577" s="16" t="s">
        <v>1111</v>
      </c>
      <c r="G577" s="16" t="s">
        <v>184</v>
      </c>
      <c r="H577" s="16" t="s">
        <v>141</v>
      </c>
      <c r="I577" s="22" t="s">
        <v>861</v>
      </c>
      <c r="J577" s="16">
        <f>IFERROR(INDEX(Aux_HH!$J$4:$J$31,MATCH($H577&amp;"|"&amp;$I577,Aux_HH!$A$4:$A$31,0)),"")</f>
        <v>4</v>
      </c>
      <c r="K577" s="16" t="s">
        <v>76</v>
      </c>
      <c r="L577" s="16" t="str">
        <f>IF(COUNTIFS(Pessoas!$C$5:$C$44,$K577,Pessoas!$G$5:$G$44,"Ativo")=0,"Equipe "&amp;$K577,INDEX(Pessoas!$A$5:$A$44,_xludf.aggregate(15,6,(ROW(Pessoas!$A$5:$A$44)-4)/((Pessoas!$C$5:$C$44=$K577)*(Pessoas!$G$5:$G$44="Ativo")),MOD(ROW()-6,MAX(1,COUNTIFS(Pessoas!$C$5:$C$44,$K577,Pessoas!$G$5:$G$44,"Ativo")))+1)))</f>
        <v>Equipe Oficina Mecânica Central-Taisa</v>
      </c>
    </row>
    <row r="578" spans="1:12" ht="15" customHeight="1" x14ac:dyDescent="0.4">
      <c r="A578" s="25">
        <v>46357</v>
      </c>
      <c r="B578" s="16">
        <v>14</v>
      </c>
      <c r="C578" s="16">
        <v>2</v>
      </c>
      <c r="D578" s="16">
        <v>12</v>
      </c>
      <c r="E578" s="16" t="s">
        <v>980</v>
      </c>
      <c r="F578" s="16" t="s">
        <v>1112</v>
      </c>
      <c r="G578" s="16" t="s">
        <v>184</v>
      </c>
      <c r="H578" s="16" t="s">
        <v>141</v>
      </c>
      <c r="I578" s="22" t="s">
        <v>861</v>
      </c>
      <c r="J578" s="16">
        <f>IFERROR(INDEX(Aux_HH!$J$4:$J$31,MATCH($H578&amp;"|"&amp;$I578,Aux_HH!$A$4:$A$31,0)),"")</f>
        <v>4</v>
      </c>
      <c r="K578" s="16" t="s">
        <v>76</v>
      </c>
      <c r="L578" s="16" t="str">
        <f>IF(COUNTIFS(Pessoas!$C$5:$C$44,$K578,Pessoas!$G$5:$G$44,"Ativo")=0,"Equipe "&amp;$K578,INDEX(Pessoas!$A$5:$A$44,_xludf.aggregate(15,6,(ROW(Pessoas!$A$5:$A$44)-4)/((Pessoas!$C$5:$C$44=$K578)*(Pessoas!$G$5:$G$44="Ativo")),MOD(ROW()-6,MAX(1,COUNTIFS(Pessoas!$C$5:$C$44,$K578,Pessoas!$G$5:$G$44,"Ativo")))+1)))</f>
        <v>Equipe Oficina Mecânica Central-Taisa</v>
      </c>
    </row>
    <row r="579" spans="1:12" ht="15" customHeight="1" x14ac:dyDescent="0.4">
      <c r="A579" s="25">
        <v>46357</v>
      </c>
      <c r="B579" s="16">
        <v>14</v>
      </c>
      <c r="C579" s="16">
        <v>2</v>
      </c>
      <c r="D579" s="16">
        <v>12</v>
      </c>
      <c r="E579" s="16" t="s">
        <v>980</v>
      </c>
      <c r="F579" s="16" t="s">
        <v>1113</v>
      </c>
      <c r="G579" s="16" t="s">
        <v>184</v>
      </c>
      <c r="H579" s="16" t="s">
        <v>141</v>
      </c>
      <c r="I579" s="22" t="s">
        <v>861</v>
      </c>
      <c r="J579" s="16">
        <f>IFERROR(INDEX(Aux_HH!$J$4:$J$31,MATCH($H579&amp;"|"&amp;$I579,Aux_HH!$A$4:$A$31,0)),"")</f>
        <v>4</v>
      </c>
      <c r="K579" s="16" t="s">
        <v>76</v>
      </c>
      <c r="L579" s="16" t="str">
        <f>IF(COUNTIFS(Pessoas!$C$5:$C$44,$K579,Pessoas!$G$5:$G$44,"Ativo")=0,"Equipe "&amp;$K579,INDEX(Pessoas!$A$5:$A$44,_xludf.aggregate(15,6,(ROW(Pessoas!$A$5:$A$44)-4)/((Pessoas!$C$5:$C$44=$K579)*(Pessoas!$G$5:$G$44="Ativo")),MOD(ROW()-6,MAX(1,COUNTIFS(Pessoas!$C$5:$C$44,$K579,Pessoas!$G$5:$G$44,"Ativo")))+1)))</f>
        <v>Equipe Oficina Mecânica Central-Taisa</v>
      </c>
    </row>
    <row r="580" spans="1:12" ht="15" customHeight="1" x14ac:dyDescent="0.4">
      <c r="A580" s="25">
        <v>46357</v>
      </c>
      <c r="B580" s="16">
        <v>14</v>
      </c>
      <c r="C580" s="16">
        <v>2</v>
      </c>
      <c r="D580" s="16">
        <v>12</v>
      </c>
      <c r="E580" s="16" t="s">
        <v>980</v>
      </c>
      <c r="F580" s="16" t="s">
        <v>1114</v>
      </c>
      <c r="G580" s="16" t="s">
        <v>184</v>
      </c>
      <c r="H580" s="16" t="s">
        <v>141</v>
      </c>
      <c r="I580" s="22" t="s">
        <v>861</v>
      </c>
      <c r="J580" s="16">
        <f>IFERROR(INDEX(Aux_HH!$J$4:$J$31,MATCH($H580&amp;"|"&amp;$I580,Aux_HH!$A$4:$A$31,0)),"")</f>
        <v>4</v>
      </c>
      <c r="K580" s="16" t="s">
        <v>76</v>
      </c>
      <c r="L580" s="16" t="str">
        <f>IF(COUNTIFS(Pessoas!$C$5:$C$44,$K580,Pessoas!$G$5:$G$44,"Ativo")=0,"Equipe "&amp;$K580,INDEX(Pessoas!$A$5:$A$44,_xludf.aggregate(15,6,(ROW(Pessoas!$A$5:$A$44)-4)/((Pessoas!$C$5:$C$44=$K580)*(Pessoas!$G$5:$G$44="Ativo")),MOD(ROW()-6,MAX(1,COUNTIFS(Pessoas!$C$5:$C$44,$K580,Pessoas!$G$5:$G$44,"Ativo")))+1)))</f>
        <v>Equipe Oficina Mecânica Central-Taisa</v>
      </c>
    </row>
    <row r="581" spans="1:12" ht="15" customHeight="1" x14ac:dyDescent="0.4">
      <c r="A581" s="25">
        <v>46357</v>
      </c>
      <c r="B581" s="16">
        <v>14</v>
      </c>
      <c r="C581" s="16">
        <v>2</v>
      </c>
      <c r="D581" s="16">
        <v>12</v>
      </c>
      <c r="E581" s="16" t="s">
        <v>980</v>
      </c>
      <c r="F581" s="16" t="s">
        <v>1115</v>
      </c>
      <c r="G581" s="16" t="s">
        <v>184</v>
      </c>
      <c r="H581" s="16" t="s">
        <v>141</v>
      </c>
      <c r="I581" s="22" t="s">
        <v>861</v>
      </c>
      <c r="J581" s="16">
        <f>IFERROR(INDEX(Aux_HH!$J$4:$J$31,MATCH($H581&amp;"|"&amp;$I581,Aux_HH!$A$4:$A$31,0)),"")</f>
        <v>4</v>
      </c>
      <c r="K581" s="16" t="s">
        <v>76</v>
      </c>
      <c r="L581" s="16" t="str">
        <f>IF(COUNTIFS(Pessoas!$C$5:$C$44,$K581,Pessoas!$G$5:$G$44,"Ativo")=0,"Equipe "&amp;$K581,INDEX(Pessoas!$A$5:$A$44,_xludf.aggregate(15,6,(ROW(Pessoas!$A$5:$A$44)-4)/((Pessoas!$C$5:$C$44=$K581)*(Pessoas!$G$5:$G$44="Ativo")),MOD(ROW()-6,MAX(1,COUNTIFS(Pessoas!$C$5:$C$44,$K581,Pessoas!$G$5:$G$44,"Ativo")))+1)))</f>
        <v>Equipe Oficina Mecânica Central-Taisa</v>
      </c>
    </row>
    <row r="582" spans="1:12" ht="15" customHeight="1" x14ac:dyDescent="0.4">
      <c r="A582" s="25">
        <v>46357</v>
      </c>
      <c r="B582" s="16">
        <v>14</v>
      </c>
      <c r="C582" s="16">
        <v>2</v>
      </c>
      <c r="D582" s="16">
        <v>12</v>
      </c>
      <c r="E582" s="16" t="s">
        <v>980</v>
      </c>
      <c r="F582" s="16" t="s">
        <v>1116</v>
      </c>
      <c r="G582" s="16" t="s">
        <v>184</v>
      </c>
      <c r="H582" s="16" t="s">
        <v>141</v>
      </c>
      <c r="I582" s="22" t="s">
        <v>861</v>
      </c>
      <c r="J582" s="16">
        <f>IFERROR(INDEX(Aux_HH!$J$4:$J$31,MATCH($H582&amp;"|"&amp;$I582,Aux_HH!$A$4:$A$31,0)),"")</f>
        <v>4</v>
      </c>
      <c r="K582" s="16" t="s">
        <v>76</v>
      </c>
      <c r="L582" s="16" t="str">
        <f>IF(COUNTIFS(Pessoas!$C$5:$C$44,$K582,Pessoas!$G$5:$G$44,"Ativo")=0,"Equipe "&amp;$K582,INDEX(Pessoas!$A$5:$A$44,_xludf.aggregate(15,6,(ROW(Pessoas!$A$5:$A$44)-4)/((Pessoas!$C$5:$C$44=$K582)*(Pessoas!$G$5:$G$44="Ativo")),MOD(ROW()-6,MAX(1,COUNTIFS(Pessoas!$C$5:$C$44,$K582,Pessoas!$G$5:$G$44,"Ativo")))+1)))</f>
        <v>Equipe Oficina Mecânica Central-Taisa</v>
      </c>
    </row>
    <row r="583" spans="1:12" ht="15" customHeight="1" x14ac:dyDescent="0.4">
      <c r="A583" s="25">
        <v>46357</v>
      </c>
      <c r="B583" s="16">
        <v>14</v>
      </c>
      <c r="C583" s="16">
        <v>2</v>
      </c>
      <c r="D583" s="16">
        <v>12</v>
      </c>
      <c r="E583" s="16" t="s">
        <v>980</v>
      </c>
      <c r="F583" s="16" t="s">
        <v>1124</v>
      </c>
      <c r="G583" s="16" t="s">
        <v>184</v>
      </c>
      <c r="H583" s="16" t="s">
        <v>141</v>
      </c>
      <c r="I583" s="22" t="s">
        <v>861</v>
      </c>
      <c r="J583" s="16">
        <f>IFERROR(INDEX(Aux_HH!$J$4:$J$31,MATCH($H583&amp;"|"&amp;$I583,Aux_HH!$A$4:$A$31,0)),"")</f>
        <v>4</v>
      </c>
      <c r="K583" s="16" t="s">
        <v>76</v>
      </c>
      <c r="L583" s="16" t="str">
        <f>IF(COUNTIFS(Pessoas!$C$5:$C$44,$K583,Pessoas!$G$5:$G$44,"Ativo")=0,"Equipe "&amp;$K583,INDEX(Pessoas!$A$5:$A$44,_xludf.aggregate(15,6,(ROW(Pessoas!$A$5:$A$44)-4)/((Pessoas!$C$5:$C$44=$K583)*(Pessoas!$G$5:$G$44="Ativo")),MOD(ROW()-6,MAX(1,COUNTIFS(Pessoas!$C$5:$C$44,$K583,Pessoas!$G$5:$G$44,"Ativo")))+1)))</f>
        <v>Equipe Oficina Mecânica Central-Taisa</v>
      </c>
    </row>
    <row r="584" spans="1:12" ht="15" customHeight="1" x14ac:dyDescent="0.4">
      <c r="A584" s="25">
        <v>46358</v>
      </c>
      <c r="B584" s="16">
        <v>14</v>
      </c>
      <c r="C584" s="16">
        <v>2</v>
      </c>
      <c r="D584" s="16">
        <v>12</v>
      </c>
      <c r="E584" s="16" t="s">
        <v>980</v>
      </c>
      <c r="F584" s="16" t="s">
        <v>1137</v>
      </c>
      <c r="G584" s="16" t="s">
        <v>158</v>
      </c>
      <c r="H584" s="16" t="s">
        <v>141</v>
      </c>
      <c r="I584" s="22" t="s">
        <v>861</v>
      </c>
      <c r="J584" s="16">
        <f>IFERROR(INDEX(Aux_HH!$J$4:$J$31,MATCH($H584&amp;"|"&amp;$I584,Aux_HH!$A$4:$A$31,0)),"")</f>
        <v>4</v>
      </c>
      <c r="K584" s="16" t="s">
        <v>76</v>
      </c>
      <c r="L584" s="16" t="str">
        <f>IF(COUNTIFS(Pessoas!$C$5:$C$44,$K584,Pessoas!$G$5:$G$44,"Ativo")=0,"Equipe "&amp;$K584,INDEX(Pessoas!$A$5:$A$44,_xludf.aggregate(15,6,(ROW(Pessoas!$A$5:$A$44)-4)/((Pessoas!$C$5:$C$44=$K584)*(Pessoas!$G$5:$G$44="Ativo")),MOD(ROW()-6,MAX(1,COUNTIFS(Pessoas!$C$5:$C$44,$K584,Pessoas!$G$5:$G$44,"Ativo")))+1)))</f>
        <v>Equipe Oficina Mecânica Central-Taisa</v>
      </c>
    </row>
    <row r="585" spans="1:12" ht="15" customHeight="1" x14ac:dyDescent="0.4">
      <c r="A585" s="25">
        <v>46358</v>
      </c>
      <c r="B585" s="16">
        <v>14</v>
      </c>
      <c r="C585" s="16">
        <v>2</v>
      </c>
      <c r="D585" s="16">
        <v>12</v>
      </c>
      <c r="E585" s="16" t="s">
        <v>980</v>
      </c>
      <c r="F585" s="16" t="s">
        <v>1138</v>
      </c>
      <c r="G585" s="16" t="s">
        <v>158</v>
      </c>
      <c r="H585" s="16" t="s">
        <v>141</v>
      </c>
      <c r="I585" s="22" t="s">
        <v>861</v>
      </c>
      <c r="J585" s="16">
        <f>IFERROR(INDEX(Aux_HH!$J$4:$J$31,MATCH($H585&amp;"|"&amp;$I585,Aux_HH!$A$4:$A$31,0)),"")</f>
        <v>4</v>
      </c>
      <c r="K585" s="16" t="s">
        <v>76</v>
      </c>
      <c r="L585" s="16" t="str">
        <f>IF(COUNTIFS(Pessoas!$C$5:$C$44,$K585,Pessoas!$G$5:$G$44,"Ativo")=0,"Equipe "&amp;$K585,INDEX(Pessoas!$A$5:$A$44,_xludf.aggregate(15,6,(ROW(Pessoas!$A$5:$A$44)-4)/((Pessoas!$C$5:$C$44=$K585)*(Pessoas!$G$5:$G$44="Ativo")),MOD(ROW()-6,MAX(1,COUNTIFS(Pessoas!$C$5:$C$44,$K585,Pessoas!$G$5:$G$44,"Ativo")))+1)))</f>
        <v>Equipe Oficina Mecânica Central-Taisa</v>
      </c>
    </row>
    <row r="586" spans="1:12" ht="15" customHeight="1" x14ac:dyDescent="0.4">
      <c r="A586" s="25">
        <v>46358</v>
      </c>
      <c r="B586" s="16">
        <v>14</v>
      </c>
      <c r="C586" s="16">
        <v>2</v>
      </c>
      <c r="D586" s="16">
        <v>12</v>
      </c>
      <c r="E586" s="16" t="s">
        <v>980</v>
      </c>
      <c r="F586" s="16" t="s">
        <v>1139</v>
      </c>
      <c r="G586" s="16" t="s">
        <v>158</v>
      </c>
      <c r="H586" s="16" t="s">
        <v>141</v>
      </c>
      <c r="I586" s="22" t="s">
        <v>861</v>
      </c>
      <c r="J586" s="16">
        <f>IFERROR(INDEX(Aux_HH!$J$4:$J$31,MATCH($H586&amp;"|"&amp;$I586,Aux_HH!$A$4:$A$31,0)),"")</f>
        <v>4</v>
      </c>
      <c r="K586" s="16" t="s">
        <v>76</v>
      </c>
      <c r="L586" s="16" t="str">
        <f>IF(COUNTIFS(Pessoas!$C$5:$C$44,$K586,Pessoas!$G$5:$G$44,"Ativo")=0,"Equipe "&amp;$K586,INDEX(Pessoas!$A$5:$A$44,_xludf.aggregate(15,6,(ROW(Pessoas!$A$5:$A$44)-4)/((Pessoas!$C$5:$C$44=$K586)*(Pessoas!$G$5:$G$44="Ativo")),MOD(ROW()-6,MAX(1,COUNTIFS(Pessoas!$C$5:$C$44,$K586,Pessoas!$G$5:$G$44,"Ativo")))+1)))</f>
        <v>Equipe Oficina Mecânica Central-Taisa</v>
      </c>
    </row>
    <row r="587" spans="1:12" ht="15" customHeight="1" x14ac:dyDescent="0.4">
      <c r="A587" s="25">
        <v>46358</v>
      </c>
      <c r="B587" s="16">
        <v>14</v>
      </c>
      <c r="C587" s="16">
        <v>2</v>
      </c>
      <c r="D587" s="16">
        <v>12</v>
      </c>
      <c r="E587" s="16" t="s">
        <v>980</v>
      </c>
      <c r="F587" s="16" t="s">
        <v>1140</v>
      </c>
      <c r="G587" s="16" t="s">
        <v>158</v>
      </c>
      <c r="H587" s="16" t="s">
        <v>141</v>
      </c>
      <c r="I587" s="22" t="s">
        <v>861</v>
      </c>
      <c r="J587" s="16">
        <f>IFERROR(INDEX(Aux_HH!$J$4:$J$31,MATCH($H587&amp;"|"&amp;$I587,Aux_HH!$A$4:$A$31,0)),"")</f>
        <v>4</v>
      </c>
      <c r="K587" s="16" t="s">
        <v>76</v>
      </c>
      <c r="L587" s="16" t="str">
        <f>IF(COUNTIFS(Pessoas!$C$5:$C$44,$K587,Pessoas!$G$5:$G$44,"Ativo")=0,"Equipe "&amp;$K587,INDEX(Pessoas!$A$5:$A$44,_xludf.aggregate(15,6,(ROW(Pessoas!$A$5:$A$44)-4)/((Pessoas!$C$5:$C$44=$K587)*(Pessoas!$G$5:$G$44="Ativo")),MOD(ROW()-6,MAX(1,COUNTIFS(Pessoas!$C$5:$C$44,$K587,Pessoas!$G$5:$G$44,"Ativo")))+1)))</f>
        <v>Equipe Oficina Mecânica Central-Taisa</v>
      </c>
    </row>
    <row r="588" spans="1:12" ht="15" customHeight="1" x14ac:dyDescent="0.4">
      <c r="A588" s="25">
        <v>46358</v>
      </c>
      <c r="B588" s="16">
        <v>14</v>
      </c>
      <c r="C588" s="16">
        <v>2</v>
      </c>
      <c r="D588" s="16">
        <v>12</v>
      </c>
      <c r="E588" s="16" t="s">
        <v>980</v>
      </c>
      <c r="F588" s="16" t="s">
        <v>1141</v>
      </c>
      <c r="G588" s="16" t="s">
        <v>158</v>
      </c>
      <c r="H588" s="16" t="s">
        <v>141</v>
      </c>
      <c r="I588" s="22" t="s">
        <v>861</v>
      </c>
      <c r="J588" s="16">
        <f>IFERROR(INDEX(Aux_HH!$J$4:$J$31,MATCH($H588&amp;"|"&amp;$I588,Aux_HH!$A$4:$A$31,0)),"")</f>
        <v>4</v>
      </c>
      <c r="K588" s="16" t="s">
        <v>76</v>
      </c>
      <c r="L588" s="16" t="str">
        <f>IF(COUNTIFS(Pessoas!$C$5:$C$44,$K588,Pessoas!$G$5:$G$44,"Ativo")=0,"Equipe "&amp;$K588,INDEX(Pessoas!$A$5:$A$44,_xludf.aggregate(15,6,(ROW(Pessoas!$A$5:$A$44)-4)/((Pessoas!$C$5:$C$44=$K588)*(Pessoas!$G$5:$G$44="Ativo")),MOD(ROW()-6,MAX(1,COUNTIFS(Pessoas!$C$5:$C$44,$K588,Pessoas!$G$5:$G$44,"Ativo")))+1)))</f>
        <v>Equipe Oficina Mecânica Central-Taisa</v>
      </c>
    </row>
    <row r="589" spans="1:12" ht="15" customHeight="1" x14ac:dyDescent="0.4">
      <c r="A589" s="25">
        <v>46358</v>
      </c>
      <c r="B589" s="16">
        <v>14</v>
      </c>
      <c r="C589" s="16">
        <v>2</v>
      </c>
      <c r="D589" s="16">
        <v>12</v>
      </c>
      <c r="E589" s="16" t="s">
        <v>980</v>
      </c>
      <c r="F589" s="16" t="s">
        <v>1142</v>
      </c>
      <c r="G589" s="16" t="s">
        <v>158</v>
      </c>
      <c r="H589" s="16" t="s">
        <v>141</v>
      </c>
      <c r="I589" s="22" t="s">
        <v>861</v>
      </c>
      <c r="J589" s="16">
        <f>IFERROR(INDEX(Aux_HH!$J$4:$J$31,MATCH($H589&amp;"|"&amp;$I589,Aux_HH!$A$4:$A$31,0)),"")</f>
        <v>4</v>
      </c>
      <c r="K589" s="16" t="s">
        <v>76</v>
      </c>
      <c r="L589" s="16" t="str">
        <f>IF(COUNTIFS(Pessoas!$C$5:$C$44,$K589,Pessoas!$G$5:$G$44,"Ativo")=0,"Equipe "&amp;$K589,INDEX(Pessoas!$A$5:$A$44,_xludf.aggregate(15,6,(ROW(Pessoas!$A$5:$A$44)-4)/((Pessoas!$C$5:$C$44=$K589)*(Pessoas!$G$5:$G$44="Ativo")),MOD(ROW()-6,MAX(1,COUNTIFS(Pessoas!$C$5:$C$44,$K589,Pessoas!$G$5:$G$44,"Ativo")))+1)))</f>
        <v>Equipe Oficina Mecânica Central-Taisa</v>
      </c>
    </row>
    <row r="590" spans="1:12" ht="15" customHeight="1" x14ac:dyDescent="0.4">
      <c r="A590" s="25">
        <v>46358</v>
      </c>
      <c r="B590" s="16">
        <v>14</v>
      </c>
      <c r="C590" s="16">
        <v>2</v>
      </c>
      <c r="D590" s="16">
        <v>12</v>
      </c>
      <c r="E590" s="16" t="s">
        <v>980</v>
      </c>
      <c r="F590" s="16" t="s">
        <v>1143</v>
      </c>
      <c r="G590" s="16" t="s">
        <v>158</v>
      </c>
      <c r="H590" s="16" t="s">
        <v>141</v>
      </c>
      <c r="I590" s="22" t="s">
        <v>861</v>
      </c>
      <c r="J590" s="16">
        <f>IFERROR(INDEX(Aux_HH!$J$4:$J$31,MATCH($H590&amp;"|"&amp;$I590,Aux_HH!$A$4:$A$31,0)),"")</f>
        <v>4</v>
      </c>
      <c r="K590" s="16" t="s">
        <v>76</v>
      </c>
      <c r="L590" s="16" t="str">
        <f>IF(COUNTIFS(Pessoas!$C$5:$C$44,$K590,Pessoas!$G$5:$G$44,"Ativo")=0,"Equipe "&amp;$K590,INDEX(Pessoas!$A$5:$A$44,_xludf.aggregate(15,6,(ROW(Pessoas!$A$5:$A$44)-4)/((Pessoas!$C$5:$C$44=$K590)*(Pessoas!$G$5:$G$44="Ativo")),MOD(ROW()-6,MAX(1,COUNTIFS(Pessoas!$C$5:$C$44,$K590,Pessoas!$G$5:$G$44,"Ativo")))+1)))</f>
        <v>Equipe Oficina Mecânica Central-Taisa</v>
      </c>
    </row>
    <row r="591" spans="1:12" ht="15" customHeight="1" x14ac:dyDescent="0.4">
      <c r="A591" s="25">
        <v>46358</v>
      </c>
      <c r="B591" s="16">
        <v>14</v>
      </c>
      <c r="C591" s="16">
        <v>2</v>
      </c>
      <c r="D591" s="16">
        <v>12</v>
      </c>
      <c r="E591" s="16" t="s">
        <v>980</v>
      </c>
      <c r="F591" s="16" t="s">
        <v>1144</v>
      </c>
      <c r="G591" s="16" t="s">
        <v>158</v>
      </c>
      <c r="H591" s="16" t="s">
        <v>141</v>
      </c>
      <c r="I591" s="22" t="s">
        <v>861</v>
      </c>
      <c r="J591" s="16">
        <f>IFERROR(INDEX(Aux_HH!$J$4:$J$31,MATCH($H591&amp;"|"&amp;$I591,Aux_HH!$A$4:$A$31,0)),"")</f>
        <v>4</v>
      </c>
      <c r="K591" s="16" t="s">
        <v>76</v>
      </c>
      <c r="L591" s="16" t="str">
        <f>IF(COUNTIFS(Pessoas!$C$5:$C$44,$K591,Pessoas!$G$5:$G$44,"Ativo")=0,"Equipe "&amp;$K591,INDEX(Pessoas!$A$5:$A$44,_xludf.aggregate(15,6,(ROW(Pessoas!$A$5:$A$44)-4)/((Pessoas!$C$5:$C$44=$K591)*(Pessoas!$G$5:$G$44="Ativo")),MOD(ROW()-6,MAX(1,COUNTIFS(Pessoas!$C$5:$C$44,$K591,Pessoas!$G$5:$G$44,"Ativo")))+1)))</f>
        <v>Equipe Oficina Mecânica Central-Taisa</v>
      </c>
    </row>
    <row r="592" spans="1:12" ht="15" customHeight="1" x14ac:dyDescent="0.4">
      <c r="A592" s="25">
        <v>46358</v>
      </c>
      <c r="B592" s="16">
        <v>14</v>
      </c>
      <c r="C592" s="16">
        <v>2</v>
      </c>
      <c r="D592" s="16">
        <v>12</v>
      </c>
      <c r="E592" s="16" t="s">
        <v>980</v>
      </c>
      <c r="F592" s="16" t="s">
        <v>1145</v>
      </c>
      <c r="G592" s="16" t="s">
        <v>158</v>
      </c>
      <c r="H592" s="16" t="s">
        <v>141</v>
      </c>
      <c r="I592" s="22" t="s">
        <v>861</v>
      </c>
      <c r="J592" s="16">
        <f>IFERROR(INDEX(Aux_HH!$J$4:$J$31,MATCH($H592&amp;"|"&amp;$I592,Aux_HH!$A$4:$A$31,0)),"")</f>
        <v>4</v>
      </c>
      <c r="K592" s="16" t="s">
        <v>76</v>
      </c>
      <c r="L592" s="16" t="str">
        <f>IF(COUNTIFS(Pessoas!$C$5:$C$44,$K592,Pessoas!$G$5:$G$44,"Ativo")=0,"Equipe "&amp;$K592,INDEX(Pessoas!$A$5:$A$44,_xludf.aggregate(15,6,(ROW(Pessoas!$A$5:$A$44)-4)/((Pessoas!$C$5:$C$44=$K592)*(Pessoas!$G$5:$G$44="Ativo")),MOD(ROW()-6,MAX(1,COUNTIFS(Pessoas!$C$5:$C$44,$K592,Pessoas!$G$5:$G$44,"Ativo")))+1)))</f>
        <v>Equipe Oficina Mecânica Central-Taisa</v>
      </c>
    </row>
    <row r="593" spans="1:12" ht="15" customHeight="1" x14ac:dyDescent="0.4">
      <c r="A593" s="25">
        <v>46358</v>
      </c>
      <c r="B593" s="16">
        <v>14</v>
      </c>
      <c r="C593" s="16">
        <v>2</v>
      </c>
      <c r="D593" s="16">
        <v>12</v>
      </c>
      <c r="E593" s="16" t="s">
        <v>980</v>
      </c>
      <c r="F593" s="16" t="s">
        <v>1146</v>
      </c>
      <c r="G593" s="16" t="s">
        <v>158</v>
      </c>
      <c r="H593" s="16" t="s">
        <v>141</v>
      </c>
      <c r="I593" s="22" t="s">
        <v>861</v>
      </c>
      <c r="J593" s="16">
        <f>IFERROR(INDEX(Aux_HH!$J$4:$J$31,MATCH($H593&amp;"|"&amp;$I593,Aux_HH!$A$4:$A$31,0)),"")</f>
        <v>4</v>
      </c>
      <c r="K593" s="16" t="s">
        <v>76</v>
      </c>
      <c r="L593" s="16" t="str">
        <f>IF(COUNTIFS(Pessoas!$C$5:$C$44,$K593,Pessoas!$G$5:$G$44,"Ativo")=0,"Equipe "&amp;$K593,INDEX(Pessoas!$A$5:$A$44,_xludf.aggregate(15,6,(ROW(Pessoas!$A$5:$A$44)-4)/((Pessoas!$C$5:$C$44=$K593)*(Pessoas!$G$5:$G$44="Ativo")),MOD(ROW()-6,MAX(1,COUNTIFS(Pessoas!$C$5:$C$44,$K593,Pessoas!$G$5:$G$44,"Ativo")))+1)))</f>
        <v>Equipe Oficina Mecânica Central-Taisa</v>
      </c>
    </row>
    <row r="594" spans="1:12" ht="15" customHeight="1" x14ac:dyDescent="0.4">
      <c r="A594" s="25">
        <v>46358</v>
      </c>
      <c r="B594" s="16">
        <v>14</v>
      </c>
      <c r="C594" s="16">
        <v>2</v>
      </c>
      <c r="D594" s="16">
        <v>12</v>
      </c>
      <c r="E594" s="16" t="s">
        <v>980</v>
      </c>
      <c r="F594" s="16" t="s">
        <v>1147</v>
      </c>
      <c r="G594" s="16" t="s">
        <v>184</v>
      </c>
      <c r="H594" s="16" t="s">
        <v>141</v>
      </c>
      <c r="I594" s="22" t="s">
        <v>861</v>
      </c>
      <c r="J594" s="16">
        <f>IFERROR(INDEX(Aux_HH!$J$4:$J$31,MATCH($H594&amp;"|"&amp;$I594,Aux_HH!$A$4:$A$31,0)),"")</f>
        <v>4</v>
      </c>
      <c r="K594" s="16" t="s">
        <v>76</v>
      </c>
      <c r="L594" s="16" t="str">
        <f>IF(COUNTIFS(Pessoas!$C$5:$C$44,$K594,Pessoas!$G$5:$G$44,"Ativo")=0,"Equipe "&amp;$K594,INDEX(Pessoas!$A$5:$A$44,_xludf.aggregate(15,6,(ROW(Pessoas!$A$5:$A$44)-4)/((Pessoas!$C$5:$C$44=$K594)*(Pessoas!$G$5:$G$44="Ativo")),MOD(ROW()-6,MAX(1,COUNTIFS(Pessoas!$C$5:$C$44,$K594,Pessoas!$G$5:$G$44,"Ativo")))+1)))</f>
        <v>Equipe Oficina Mecânica Central-Taisa</v>
      </c>
    </row>
    <row r="595" spans="1:12" ht="15" customHeight="1" x14ac:dyDescent="0.4">
      <c r="A595" s="25">
        <v>46358</v>
      </c>
      <c r="B595" s="16">
        <v>14</v>
      </c>
      <c r="C595" s="16">
        <v>2</v>
      </c>
      <c r="D595" s="16">
        <v>12</v>
      </c>
      <c r="E595" s="16" t="s">
        <v>980</v>
      </c>
      <c r="F595" s="16" t="s">
        <v>1148</v>
      </c>
      <c r="G595" s="16" t="s">
        <v>184</v>
      </c>
      <c r="H595" s="16" t="s">
        <v>141</v>
      </c>
      <c r="I595" s="22" t="s">
        <v>861</v>
      </c>
      <c r="J595" s="16">
        <f>IFERROR(INDEX(Aux_HH!$J$4:$J$31,MATCH($H595&amp;"|"&amp;$I595,Aux_HH!$A$4:$A$31,0)),"")</f>
        <v>4</v>
      </c>
      <c r="K595" s="16" t="s">
        <v>76</v>
      </c>
      <c r="L595" s="16" t="str">
        <f>IF(COUNTIFS(Pessoas!$C$5:$C$44,$K595,Pessoas!$G$5:$G$44,"Ativo")=0,"Equipe "&amp;$K595,INDEX(Pessoas!$A$5:$A$44,_xludf.aggregate(15,6,(ROW(Pessoas!$A$5:$A$44)-4)/((Pessoas!$C$5:$C$44=$K595)*(Pessoas!$G$5:$G$44="Ativo")),MOD(ROW()-6,MAX(1,COUNTIFS(Pessoas!$C$5:$C$44,$K595,Pessoas!$G$5:$G$44,"Ativo")))+1)))</f>
        <v>Equipe Oficina Mecânica Central-Taisa</v>
      </c>
    </row>
    <row r="596" spans="1:12" ht="15" customHeight="1" x14ac:dyDescent="0.4">
      <c r="A596" s="25">
        <v>46358</v>
      </c>
      <c r="B596" s="16">
        <v>14</v>
      </c>
      <c r="C596" s="16">
        <v>2</v>
      </c>
      <c r="D596" s="16">
        <v>12</v>
      </c>
      <c r="E596" s="16" t="s">
        <v>980</v>
      </c>
      <c r="F596" s="16" t="s">
        <v>1149</v>
      </c>
      <c r="G596" s="16" t="s">
        <v>184</v>
      </c>
      <c r="H596" s="16" t="s">
        <v>141</v>
      </c>
      <c r="I596" s="22" t="s">
        <v>861</v>
      </c>
      <c r="J596" s="16">
        <f>IFERROR(INDEX(Aux_HH!$J$4:$J$31,MATCH($H596&amp;"|"&amp;$I596,Aux_HH!$A$4:$A$31,0)),"")</f>
        <v>4</v>
      </c>
      <c r="K596" s="16" t="s">
        <v>76</v>
      </c>
      <c r="L596" s="16" t="str">
        <f>IF(COUNTIFS(Pessoas!$C$5:$C$44,$K596,Pessoas!$G$5:$G$44,"Ativo")=0,"Equipe "&amp;$K596,INDEX(Pessoas!$A$5:$A$44,_xludf.aggregate(15,6,(ROW(Pessoas!$A$5:$A$44)-4)/((Pessoas!$C$5:$C$44=$K596)*(Pessoas!$G$5:$G$44="Ativo")),MOD(ROW()-6,MAX(1,COUNTIFS(Pessoas!$C$5:$C$44,$K596,Pessoas!$G$5:$G$44,"Ativo")))+1)))</f>
        <v>Equipe Oficina Mecânica Central-Taisa</v>
      </c>
    </row>
    <row r="597" spans="1:12" ht="15" customHeight="1" x14ac:dyDescent="0.4">
      <c r="A597" s="25">
        <v>46358</v>
      </c>
      <c r="B597" s="16">
        <v>14</v>
      </c>
      <c r="C597" s="16">
        <v>2</v>
      </c>
      <c r="D597" s="16">
        <v>12</v>
      </c>
      <c r="E597" s="16" t="s">
        <v>980</v>
      </c>
      <c r="F597" s="16" t="s">
        <v>1150</v>
      </c>
      <c r="G597" s="16" t="s">
        <v>184</v>
      </c>
      <c r="H597" s="16" t="s">
        <v>141</v>
      </c>
      <c r="I597" s="22" t="s">
        <v>861</v>
      </c>
      <c r="J597" s="16">
        <f>IFERROR(INDEX(Aux_HH!$J$4:$J$31,MATCH($H597&amp;"|"&amp;$I597,Aux_HH!$A$4:$A$31,0)),"")</f>
        <v>4</v>
      </c>
      <c r="K597" s="16" t="s">
        <v>76</v>
      </c>
      <c r="L597" s="16" t="str">
        <f>IF(COUNTIFS(Pessoas!$C$5:$C$44,$K597,Pessoas!$G$5:$G$44,"Ativo")=0,"Equipe "&amp;$K597,INDEX(Pessoas!$A$5:$A$44,_xludf.aggregate(15,6,(ROW(Pessoas!$A$5:$A$44)-4)/((Pessoas!$C$5:$C$44=$K597)*(Pessoas!$G$5:$G$44="Ativo")),MOD(ROW()-6,MAX(1,COUNTIFS(Pessoas!$C$5:$C$44,$K597,Pessoas!$G$5:$G$44,"Ativo")))+1)))</f>
        <v>Equipe Oficina Mecânica Central-Taisa</v>
      </c>
    </row>
    <row r="598" spans="1:12" ht="15" customHeight="1" x14ac:dyDescent="0.4">
      <c r="A598" s="25">
        <v>46358</v>
      </c>
      <c r="B598" s="16">
        <v>14</v>
      </c>
      <c r="C598" s="16">
        <v>2</v>
      </c>
      <c r="D598" s="16">
        <v>12</v>
      </c>
      <c r="E598" s="16" t="s">
        <v>980</v>
      </c>
      <c r="F598" s="16" t="s">
        <v>1151</v>
      </c>
      <c r="G598" s="16" t="s">
        <v>184</v>
      </c>
      <c r="H598" s="16" t="s">
        <v>141</v>
      </c>
      <c r="I598" s="22" t="s">
        <v>861</v>
      </c>
      <c r="J598" s="16">
        <f>IFERROR(INDEX(Aux_HH!$J$4:$J$31,MATCH($H598&amp;"|"&amp;$I598,Aux_HH!$A$4:$A$31,0)),"")</f>
        <v>4</v>
      </c>
      <c r="K598" s="16" t="s">
        <v>76</v>
      </c>
      <c r="L598" s="16" t="str">
        <f>IF(COUNTIFS(Pessoas!$C$5:$C$44,$K598,Pessoas!$G$5:$G$44,"Ativo")=0,"Equipe "&amp;$K598,INDEX(Pessoas!$A$5:$A$44,_xludf.aggregate(15,6,(ROW(Pessoas!$A$5:$A$44)-4)/((Pessoas!$C$5:$C$44=$K598)*(Pessoas!$G$5:$G$44="Ativo")),MOD(ROW()-6,MAX(1,COUNTIFS(Pessoas!$C$5:$C$44,$K598,Pessoas!$G$5:$G$44,"Ativo")))+1)))</f>
        <v>Equipe Oficina Mecânica Central-Taisa</v>
      </c>
    </row>
    <row r="599" spans="1:12" ht="15" customHeight="1" x14ac:dyDescent="0.4">
      <c r="A599" s="25">
        <v>46358</v>
      </c>
      <c r="B599" s="16">
        <v>14</v>
      </c>
      <c r="C599" s="16">
        <v>2</v>
      </c>
      <c r="D599" s="16">
        <v>12</v>
      </c>
      <c r="E599" s="16" t="s">
        <v>980</v>
      </c>
      <c r="F599" s="16" t="s">
        <v>1152</v>
      </c>
      <c r="G599" s="16" t="s">
        <v>184</v>
      </c>
      <c r="H599" s="16" t="s">
        <v>141</v>
      </c>
      <c r="I599" s="22" t="s">
        <v>861</v>
      </c>
      <c r="J599" s="16">
        <f>IFERROR(INDEX(Aux_HH!$J$4:$J$31,MATCH($H599&amp;"|"&amp;$I599,Aux_HH!$A$4:$A$31,0)),"")</f>
        <v>4</v>
      </c>
      <c r="K599" s="16" t="s">
        <v>76</v>
      </c>
      <c r="L599" s="16" t="str">
        <f>IF(COUNTIFS(Pessoas!$C$5:$C$44,$K599,Pessoas!$G$5:$G$44,"Ativo")=0,"Equipe "&amp;$K599,INDEX(Pessoas!$A$5:$A$44,_xludf.aggregate(15,6,(ROW(Pessoas!$A$5:$A$44)-4)/((Pessoas!$C$5:$C$44=$K599)*(Pessoas!$G$5:$G$44="Ativo")),MOD(ROW()-6,MAX(1,COUNTIFS(Pessoas!$C$5:$C$44,$K599,Pessoas!$G$5:$G$44,"Ativo")))+1)))</f>
        <v>Equipe Oficina Mecânica Central-Taisa</v>
      </c>
    </row>
    <row r="600" spans="1:12" ht="15" customHeight="1" x14ac:dyDescent="0.4">
      <c r="A600" s="25">
        <v>46358</v>
      </c>
      <c r="B600" s="16">
        <v>14</v>
      </c>
      <c r="C600" s="16">
        <v>2</v>
      </c>
      <c r="D600" s="16">
        <v>12</v>
      </c>
      <c r="E600" s="16" t="s">
        <v>980</v>
      </c>
      <c r="F600" s="16" t="s">
        <v>1153</v>
      </c>
      <c r="G600" s="16" t="s">
        <v>184</v>
      </c>
      <c r="H600" s="16" t="s">
        <v>141</v>
      </c>
      <c r="I600" s="22" t="s">
        <v>861</v>
      </c>
      <c r="J600" s="16">
        <f>IFERROR(INDEX(Aux_HH!$J$4:$J$31,MATCH($H600&amp;"|"&amp;$I600,Aux_HH!$A$4:$A$31,0)),"")</f>
        <v>4</v>
      </c>
      <c r="K600" s="16" t="s">
        <v>76</v>
      </c>
      <c r="L600" s="16" t="str">
        <f>IF(COUNTIFS(Pessoas!$C$5:$C$44,$K600,Pessoas!$G$5:$G$44,"Ativo")=0,"Equipe "&amp;$K600,INDEX(Pessoas!$A$5:$A$44,_xludf.aggregate(15,6,(ROW(Pessoas!$A$5:$A$44)-4)/((Pessoas!$C$5:$C$44=$K600)*(Pessoas!$G$5:$G$44="Ativo")),MOD(ROW()-6,MAX(1,COUNTIFS(Pessoas!$C$5:$C$44,$K600,Pessoas!$G$5:$G$44,"Ativo")))+1)))</f>
        <v>Equipe Oficina Mecânica Central-Taisa</v>
      </c>
    </row>
    <row r="601" spans="1:12" ht="15" customHeight="1" x14ac:dyDescent="0.4">
      <c r="A601" s="25">
        <v>46358</v>
      </c>
      <c r="B601" s="16">
        <v>14</v>
      </c>
      <c r="C601" s="16">
        <v>2</v>
      </c>
      <c r="D601" s="16">
        <v>12</v>
      </c>
      <c r="E601" s="16" t="s">
        <v>980</v>
      </c>
      <c r="F601" s="16" t="s">
        <v>1154</v>
      </c>
      <c r="G601" s="16" t="s">
        <v>184</v>
      </c>
      <c r="H601" s="16" t="s">
        <v>141</v>
      </c>
      <c r="I601" s="22" t="s">
        <v>861</v>
      </c>
      <c r="J601" s="16">
        <f>IFERROR(INDEX(Aux_HH!$J$4:$J$31,MATCH($H601&amp;"|"&amp;$I601,Aux_HH!$A$4:$A$31,0)),"")</f>
        <v>4</v>
      </c>
      <c r="K601" s="16" t="s">
        <v>76</v>
      </c>
      <c r="L601" s="16" t="str">
        <f>IF(COUNTIFS(Pessoas!$C$5:$C$44,$K601,Pessoas!$G$5:$G$44,"Ativo")=0,"Equipe "&amp;$K601,INDEX(Pessoas!$A$5:$A$44,_xludf.aggregate(15,6,(ROW(Pessoas!$A$5:$A$44)-4)/((Pessoas!$C$5:$C$44=$K601)*(Pessoas!$G$5:$G$44="Ativo")),MOD(ROW()-6,MAX(1,COUNTIFS(Pessoas!$C$5:$C$44,$K601,Pessoas!$G$5:$G$44,"Ativo")))+1)))</f>
        <v>Equipe Oficina Mecânica Central-Taisa</v>
      </c>
    </row>
    <row r="602" spans="1:12" ht="15" customHeight="1" x14ac:dyDescent="0.4">
      <c r="A602" s="25">
        <v>46358</v>
      </c>
      <c r="B602" s="16">
        <v>14</v>
      </c>
      <c r="C602" s="16">
        <v>2</v>
      </c>
      <c r="D602" s="16">
        <v>12</v>
      </c>
      <c r="E602" s="16" t="s">
        <v>980</v>
      </c>
      <c r="F602" s="16" t="s">
        <v>1155</v>
      </c>
      <c r="G602" s="16" t="s">
        <v>184</v>
      </c>
      <c r="H602" s="16" t="s">
        <v>141</v>
      </c>
      <c r="I602" s="22" t="s">
        <v>861</v>
      </c>
      <c r="J602" s="16">
        <f>IFERROR(INDEX(Aux_HH!$J$4:$J$31,MATCH($H602&amp;"|"&amp;$I602,Aux_HH!$A$4:$A$31,0)),"")</f>
        <v>4</v>
      </c>
      <c r="K602" s="16" t="s">
        <v>76</v>
      </c>
      <c r="L602" s="16" t="str">
        <f>IF(COUNTIFS(Pessoas!$C$5:$C$44,$K602,Pessoas!$G$5:$G$44,"Ativo")=0,"Equipe "&amp;$K602,INDEX(Pessoas!$A$5:$A$44,_xludf.aggregate(15,6,(ROW(Pessoas!$A$5:$A$44)-4)/((Pessoas!$C$5:$C$44=$K602)*(Pessoas!$G$5:$G$44="Ativo")),MOD(ROW()-6,MAX(1,COUNTIFS(Pessoas!$C$5:$C$44,$K602,Pessoas!$G$5:$G$44,"Ativo")))+1)))</f>
        <v>Equipe Oficina Mecânica Central-Taisa</v>
      </c>
    </row>
    <row r="603" spans="1:12" ht="15" customHeight="1" x14ac:dyDescent="0.4">
      <c r="A603" s="25">
        <v>46358</v>
      </c>
      <c r="B603" s="16">
        <v>14</v>
      </c>
      <c r="C603" s="16">
        <v>2</v>
      </c>
      <c r="D603" s="16">
        <v>12</v>
      </c>
      <c r="E603" s="16" t="s">
        <v>980</v>
      </c>
      <c r="F603" s="16" t="s">
        <v>1156</v>
      </c>
      <c r="G603" s="16" t="s">
        <v>184</v>
      </c>
      <c r="H603" s="16" t="s">
        <v>141</v>
      </c>
      <c r="I603" s="22" t="s">
        <v>861</v>
      </c>
      <c r="J603" s="16">
        <f>IFERROR(INDEX(Aux_HH!$J$4:$J$31,MATCH($H603&amp;"|"&amp;$I603,Aux_HH!$A$4:$A$31,0)),"")</f>
        <v>4</v>
      </c>
      <c r="K603" s="16" t="s">
        <v>76</v>
      </c>
      <c r="L603" s="16" t="str">
        <f>IF(COUNTIFS(Pessoas!$C$5:$C$44,$K603,Pessoas!$G$5:$G$44,"Ativo")=0,"Equipe "&amp;$K603,INDEX(Pessoas!$A$5:$A$44,_xludf.aggregate(15,6,(ROW(Pessoas!$A$5:$A$44)-4)/((Pessoas!$C$5:$C$44=$K603)*(Pessoas!$G$5:$G$44="Ativo")),MOD(ROW()-6,MAX(1,COUNTIFS(Pessoas!$C$5:$C$44,$K603,Pessoas!$G$5:$G$44,"Ativo")))+1)))</f>
        <v>Equipe Oficina Mecânica Central-Taisa</v>
      </c>
    </row>
    <row r="604" spans="1:12" ht="15" customHeight="1" x14ac:dyDescent="0.4">
      <c r="A604" s="25">
        <v>46358</v>
      </c>
      <c r="B604" s="16">
        <v>14</v>
      </c>
      <c r="C604" s="16">
        <v>2</v>
      </c>
      <c r="D604" s="16">
        <v>12</v>
      </c>
      <c r="E604" s="16" t="s">
        <v>980</v>
      </c>
      <c r="F604" s="16" t="s">
        <v>1157</v>
      </c>
      <c r="G604" s="16" t="s">
        <v>158</v>
      </c>
      <c r="H604" s="16" t="s">
        <v>141</v>
      </c>
      <c r="I604" s="22" t="s">
        <v>861</v>
      </c>
      <c r="J604" s="16">
        <f>IFERROR(INDEX(Aux_HH!$J$4:$J$31,MATCH($H604&amp;"|"&amp;$I604,Aux_HH!$A$4:$A$31,0)),"")</f>
        <v>4</v>
      </c>
      <c r="K604" s="16" t="s">
        <v>76</v>
      </c>
      <c r="L604" s="16" t="str">
        <f>IF(COUNTIFS(Pessoas!$C$5:$C$44,$K604,Pessoas!$G$5:$G$44,"Ativo")=0,"Equipe "&amp;$K604,INDEX(Pessoas!$A$5:$A$44,_xludf.aggregate(15,6,(ROW(Pessoas!$A$5:$A$44)-4)/((Pessoas!$C$5:$C$44=$K604)*(Pessoas!$G$5:$G$44="Ativo")),MOD(ROW()-6,MAX(1,COUNTIFS(Pessoas!$C$5:$C$44,$K604,Pessoas!$G$5:$G$44,"Ativo")))+1)))</f>
        <v>Equipe Oficina Mecânica Central-Taisa</v>
      </c>
    </row>
    <row r="605" spans="1:12" ht="15" customHeight="1" x14ac:dyDescent="0.4">
      <c r="A605" s="25">
        <v>46358</v>
      </c>
      <c r="B605" s="16">
        <v>14</v>
      </c>
      <c r="C605" s="16">
        <v>2</v>
      </c>
      <c r="D605" s="16">
        <v>12</v>
      </c>
      <c r="E605" s="16" t="s">
        <v>980</v>
      </c>
      <c r="F605" s="16" t="s">
        <v>1162</v>
      </c>
      <c r="G605" s="16" t="s">
        <v>158</v>
      </c>
      <c r="H605" s="16" t="s">
        <v>141</v>
      </c>
      <c r="I605" s="22" t="s">
        <v>861</v>
      </c>
      <c r="J605" s="16">
        <f>IFERROR(INDEX(Aux_HH!$J$4:$J$31,MATCH($H605&amp;"|"&amp;$I605,Aux_HH!$A$4:$A$31,0)),"")</f>
        <v>4</v>
      </c>
      <c r="K605" s="16" t="s">
        <v>76</v>
      </c>
      <c r="L605" s="16" t="str">
        <f>IF(COUNTIFS(Pessoas!$C$5:$C$44,$K605,Pessoas!$G$5:$G$44,"Ativo")=0,"Equipe "&amp;$K605,INDEX(Pessoas!$A$5:$A$44,_xludf.aggregate(15,6,(ROW(Pessoas!$A$5:$A$44)-4)/((Pessoas!$C$5:$C$44=$K605)*(Pessoas!$G$5:$G$44="Ativo")),MOD(ROW()-6,MAX(1,COUNTIFS(Pessoas!$C$5:$C$44,$K605,Pessoas!$G$5:$G$44,"Ativo")))+1)))</f>
        <v>Equipe Oficina Mecânica Central-Taisa</v>
      </c>
    </row>
    <row r="606" spans="1:12" ht="15" customHeight="1" x14ac:dyDescent="0.4">
      <c r="A606" s="25">
        <v>46358</v>
      </c>
      <c r="B606" s="16">
        <v>14</v>
      </c>
      <c r="C606" s="16">
        <v>2</v>
      </c>
      <c r="D606" s="16">
        <v>12</v>
      </c>
      <c r="E606" s="16" t="s">
        <v>980</v>
      </c>
      <c r="F606" s="16" t="s">
        <v>1163</v>
      </c>
      <c r="G606" s="16" t="s">
        <v>158</v>
      </c>
      <c r="H606" s="16" t="s">
        <v>141</v>
      </c>
      <c r="I606" s="22" t="s">
        <v>861</v>
      </c>
      <c r="J606" s="16">
        <f>IFERROR(INDEX(Aux_HH!$J$4:$J$31,MATCH($H606&amp;"|"&amp;$I606,Aux_HH!$A$4:$A$31,0)),"")</f>
        <v>4</v>
      </c>
      <c r="K606" s="16" t="s">
        <v>76</v>
      </c>
      <c r="L606" s="16" t="str">
        <f>IF(COUNTIFS(Pessoas!$C$5:$C$44,$K606,Pessoas!$G$5:$G$44,"Ativo")=0,"Equipe "&amp;$K606,INDEX(Pessoas!$A$5:$A$44,_xludf.aggregate(15,6,(ROW(Pessoas!$A$5:$A$44)-4)/((Pessoas!$C$5:$C$44=$K606)*(Pessoas!$G$5:$G$44="Ativo")),MOD(ROW()-6,MAX(1,COUNTIFS(Pessoas!$C$5:$C$44,$K606,Pessoas!$G$5:$G$44,"Ativo")))+1)))</f>
        <v>Equipe Oficina Mecânica Central-Taisa</v>
      </c>
    </row>
    <row r="607" spans="1:12" ht="15" customHeight="1" x14ac:dyDescent="0.4">
      <c r="A607" s="25">
        <v>46358</v>
      </c>
      <c r="B607" s="16">
        <v>14</v>
      </c>
      <c r="C607" s="16">
        <v>2</v>
      </c>
      <c r="D607" s="16">
        <v>12</v>
      </c>
      <c r="E607" s="16" t="s">
        <v>980</v>
      </c>
      <c r="F607" s="16" t="s">
        <v>1169</v>
      </c>
      <c r="G607" s="16" t="s">
        <v>184</v>
      </c>
      <c r="H607" s="16" t="s">
        <v>141</v>
      </c>
      <c r="I607" s="22" t="s">
        <v>861</v>
      </c>
      <c r="J607" s="16">
        <f>IFERROR(INDEX(Aux_HH!$J$4:$J$31,MATCH($H607&amp;"|"&amp;$I607,Aux_HH!$A$4:$A$31,0)),"")</f>
        <v>4</v>
      </c>
      <c r="K607" s="16" t="s">
        <v>76</v>
      </c>
      <c r="L607" s="16" t="str">
        <f>IF(COUNTIFS(Pessoas!$C$5:$C$44,$K607,Pessoas!$G$5:$G$44,"Ativo")=0,"Equipe "&amp;$K607,INDEX(Pessoas!$A$5:$A$44,_xludf.aggregate(15,6,(ROW(Pessoas!$A$5:$A$44)-4)/((Pessoas!$C$5:$C$44=$K607)*(Pessoas!$G$5:$G$44="Ativo")),MOD(ROW()-6,MAX(1,COUNTIFS(Pessoas!$C$5:$C$44,$K607,Pessoas!$G$5:$G$44,"Ativo")))+1)))</f>
        <v>Equipe Oficina Mecânica Central-Taisa</v>
      </c>
    </row>
    <row r="608" spans="1:12" ht="15" customHeight="1" x14ac:dyDescent="0.4">
      <c r="A608" s="25">
        <v>46359</v>
      </c>
      <c r="B608" s="16">
        <v>14</v>
      </c>
      <c r="C608" s="16">
        <v>2</v>
      </c>
      <c r="D608" s="16">
        <v>12</v>
      </c>
      <c r="E608" s="16" t="s">
        <v>980</v>
      </c>
      <c r="F608" s="16" t="s">
        <v>1182</v>
      </c>
      <c r="G608" s="16" t="s">
        <v>158</v>
      </c>
      <c r="H608" s="16" t="s">
        <v>141</v>
      </c>
      <c r="I608" s="22" t="s">
        <v>861</v>
      </c>
      <c r="J608" s="16">
        <f>IFERROR(INDEX(Aux_HH!$J$4:$J$31,MATCH($H608&amp;"|"&amp;$I608,Aux_HH!$A$4:$A$31,0)),"")</f>
        <v>4</v>
      </c>
      <c r="K608" s="16" t="s">
        <v>76</v>
      </c>
      <c r="L608" s="16" t="str">
        <f>IF(COUNTIFS(Pessoas!$C$5:$C$44,$K608,Pessoas!$G$5:$G$44,"Ativo")=0,"Equipe "&amp;$K608,INDEX(Pessoas!$A$5:$A$44,_xludf.aggregate(15,6,(ROW(Pessoas!$A$5:$A$44)-4)/((Pessoas!$C$5:$C$44=$K608)*(Pessoas!$G$5:$G$44="Ativo")),MOD(ROW()-6,MAX(1,COUNTIFS(Pessoas!$C$5:$C$44,$K608,Pessoas!$G$5:$G$44,"Ativo")))+1)))</f>
        <v>Equipe Oficina Mecânica Central-Taisa</v>
      </c>
    </row>
    <row r="609" spans="1:12" ht="15" customHeight="1" x14ac:dyDescent="0.4">
      <c r="A609" s="25">
        <v>46359</v>
      </c>
      <c r="B609" s="16">
        <v>14</v>
      </c>
      <c r="C609" s="16">
        <v>2</v>
      </c>
      <c r="D609" s="16">
        <v>12</v>
      </c>
      <c r="E609" s="16" t="s">
        <v>980</v>
      </c>
      <c r="F609" s="16" t="s">
        <v>1183</v>
      </c>
      <c r="G609" s="16" t="s">
        <v>158</v>
      </c>
      <c r="H609" s="16" t="s">
        <v>141</v>
      </c>
      <c r="I609" s="22" t="s">
        <v>861</v>
      </c>
      <c r="J609" s="16">
        <f>IFERROR(INDEX(Aux_HH!$J$4:$J$31,MATCH($H609&amp;"|"&amp;$I609,Aux_HH!$A$4:$A$31,0)),"")</f>
        <v>4</v>
      </c>
      <c r="K609" s="16" t="s">
        <v>76</v>
      </c>
      <c r="L609" s="16" t="str">
        <f>IF(COUNTIFS(Pessoas!$C$5:$C$44,$K609,Pessoas!$G$5:$G$44,"Ativo")=0,"Equipe "&amp;$K609,INDEX(Pessoas!$A$5:$A$44,_xludf.aggregate(15,6,(ROW(Pessoas!$A$5:$A$44)-4)/((Pessoas!$C$5:$C$44=$K609)*(Pessoas!$G$5:$G$44="Ativo")),MOD(ROW()-6,MAX(1,COUNTIFS(Pessoas!$C$5:$C$44,$K609,Pessoas!$G$5:$G$44,"Ativo")))+1)))</f>
        <v>Equipe Oficina Mecânica Central-Taisa</v>
      </c>
    </row>
    <row r="610" spans="1:12" ht="15" customHeight="1" x14ac:dyDescent="0.4">
      <c r="A610" s="25">
        <v>46359</v>
      </c>
      <c r="B610" s="16">
        <v>14</v>
      </c>
      <c r="C610" s="16">
        <v>2</v>
      </c>
      <c r="D610" s="16">
        <v>12</v>
      </c>
      <c r="E610" s="16" t="s">
        <v>980</v>
      </c>
      <c r="F610" s="16" t="s">
        <v>1184</v>
      </c>
      <c r="G610" s="16" t="s">
        <v>158</v>
      </c>
      <c r="H610" s="16" t="s">
        <v>141</v>
      </c>
      <c r="I610" s="22" t="s">
        <v>861</v>
      </c>
      <c r="J610" s="16">
        <f>IFERROR(INDEX(Aux_HH!$J$4:$J$31,MATCH($H610&amp;"|"&amp;$I610,Aux_HH!$A$4:$A$31,0)),"")</f>
        <v>4</v>
      </c>
      <c r="K610" s="16" t="s">
        <v>76</v>
      </c>
      <c r="L610" s="16" t="str">
        <f>IF(COUNTIFS(Pessoas!$C$5:$C$44,$K610,Pessoas!$G$5:$G$44,"Ativo")=0,"Equipe "&amp;$K610,INDEX(Pessoas!$A$5:$A$44,_xludf.aggregate(15,6,(ROW(Pessoas!$A$5:$A$44)-4)/((Pessoas!$C$5:$C$44=$K610)*(Pessoas!$G$5:$G$44="Ativo")),MOD(ROW()-6,MAX(1,COUNTIFS(Pessoas!$C$5:$C$44,$K610,Pessoas!$G$5:$G$44,"Ativo")))+1)))</f>
        <v>Equipe Oficina Mecânica Central-Taisa</v>
      </c>
    </row>
    <row r="611" spans="1:12" ht="15" customHeight="1" x14ac:dyDescent="0.4">
      <c r="A611" s="25">
        <v>46359</v>
      </c>
      <c r="B611" s="16">
        <v>14</v>
      </c>
      <c r="C611" s="16">
        <v>2</v>
      </c>
      <c r="D611" s="16">
        <v>12</v>
      </c>
      <c r="E611" s="16" t="s">
        <v>980</v>
      </c>
      <c r="F611" s="16" t="s">
        <v>1185</v>
      </c>
      <c r="G611" s="16" t="s">
        <v>158</v>
      </c>
      <c r="H611" s="16" t="s">
        <v>141</v>
      </c>
      <c r="I611" s="22" t="s">
        <v>861</v>
      </c>
      <c r="J611" s="16">
        <f>IFERROR(INDEX(Aux_HH!$J$4:$J$31,MATCH($H611&amp;"|"&amp;$I611,Aux_HH!$A$4:$A$31,0)),"")</f>
        <v>4</v>
      </c>
      <c r="K611" s="16" t="s">
        <v>76</v>
      </c>
      <c r="L611" s="16" t="str">
        <f>IF(COUNTIFS(Pessoas!$C$5:$C$44,$K611,Pessoas!$G$5:$G$44,"Ativo")=0,"Equipe "&amp;$K611,INDEX(Pessoas!$A$5:$A$44,_xludf.aggregate(15,6,(ROW(Pessoas!$A$5:$A$44)-4)/((Pessoas!$C$5:$C$44=$K611)*(Pessoas!$G$5:$G$44="Ativo")),MOD(ROW()-6,MAX(1,COUNTIFS(Pessoas!$C$5:$C$44,$K611,Pessoas!$G$5:$G$44,"Ativo")))+1)))</f>
        <v>Equipe Oficina Mecânica Central-Taisa</v>
      </c>
    </row>
    <row r="612" spans="1:12" ht="15" customHeight="1" x14ac:dyDescent="0.4">
      <c r="A612" s="25">
        <v>46359</v>
      </c>
      <c r="B612" s="16">
        <v>14</v>
      </c>
      <c r="C612" s="16">
        <v>2</v>
      </c>
      <c r="D612" s="16">
        <v>12</v>
      </c>
      <c r="E612" s="16" t="s">
        <v>980</v>
      </c>
      <c r="F612" s="16" t="s">
        <v>1186</v>
      </c>
      <c r="G612" s="16" t="s">
        <v>158</v>
      </c>
      <c r="H612" s="16" t="s">
        <v>141</v>
      </c>
      <c r="I612" s="22" t="s">
        <v>861</v>
      </c>
      <c r="J612" s="16">
        <f>IFERROR(INDEX(Aux_HH!$J$4:$J$31,MATCH($H612&amp;"|"&amp;$I612,Aux_HH!$A$4:$A$31,0)),"")</f>
        <v>4</v>
      </c>
      <c r="K612" s="16" t="s">
        <v>76</v>
      </c>
      <c r="L612" s="16" t="str">
        <f>IF(COUNTIFS(Pessoas!$C$5:$C$44,$K612,Pessoas!$G$5:$G$44,"Ativo")=0,"Equipe "&amp;$K612,INDEX(Pessoas!$A$5:$A$44,_xludf.aggregate(15,6,(ROW(Pessoas!$A$5:$A$44)-4)/((Pessoas!$C$5:$C$44=$K612)*(Pessoas!$G$5:$G$44="Ativo")),MOD(ROW()-6,MAX(1,COUNTIFS(Pessoas!$C$5:$C$44,$K612,Pessoas!$G$5:$G$44,"Ativo")))+1)))</f>
        <v>Equipe Oficina Mecânica Central-Taisa</v>
      </c>
    </row>
    <row r="613" spans="1:12" ht="15" customHeight="1" x14ac:dyDescent="0.4">
      <c r="A613" s="25">
        <v>46359</v>
      </c>
      <c r="B613" s="16">
        <v>14</v>
      </c>
      <c r="C613" s="16">
        <v>2</v>
      </c>
      <c r="D613" s="16">
        <v>12</v>
      </c>
      <c r="E613" s="16" t="s">
        <v>980</v>
      </c>
      <c r="F613" s="16" t="s">
        <v>1187</v>
      </c>
      <c r="G613" s="16" t="s">
        <v>158</v>
      </c>
      <c r="H613" s="16" t="s">
        <v>141</v>
      </c>
      <c r="I613" s="22" t="s">
        <v>861</v>
      </c>
      <c r="J613" s="16">
        <f>IFERROR(INDEX(Aux_HH!$J$4:$J$31,MATCH($H613&amp;"|"&amp;$I613,Aux_HH!$A$4:$A$31,0)),"")</f>
        <v>4</v>
      </c>
      <c r="K613" s="16" t="s">
        <v>76</v>
      </c>
      <c r="L613" s="16" t="str">
        <f>IF(COUNTIFS(Pessoas!$C$5:$C$44,$K613,Pessoas!$G$5:$G$44,"Ativo")=0,"Equipe "&amp;$K613,INDEX(Pessoas!$A$5:$A$44,_xludf.aggregate(15,6,(ROW(Pessoas!$A$5:$A$44)-4)/((Pessoas!$C$5:$C$44=$K613)*(Pessoas!$G$5:$G$44="Ativo")),MOD(ROW()-6,MAX(1,COUNTIFS(Pessoas!$C$5:$C$44,$K613,Pessoas!$G$5:$G$44,"Ativo")))+1)))</f>
        <v>Equipe Oficina Mecânica Central-Taisa</v>
      </c>
    </row>
    <row r="614" spans="1:12" ht="15" customHeight="1" x14ac:dyDescent="0.4">
      <c r="A614" s="25">
        <v>46359</v>
      </c>
      <c r="B614" s="16">
        <v>14</v>
      </c>
      <c r="C614" s="16">
        <v>2</v>
      </c>
      <c r="D614" s="16">
        <v>12</v>
      </c>
      <c r="E614" s="16" t="s">
        <v>980</v>
      </c>
      <c r="F614" s="16" t="s">
        <v>1188</v>
      </c>
      <c r="G614" s="16" t="s">
        <v>158</v>
      </c>
      <c r="H614" s="16" t="s">
        <v>141</v>
      </c>
      <c r="I614" s="22" t="s">
        <v>861</v>
      </c>
      <c r="J614" s="16">
        <f>IFERROR(INDEX(Aux_HH!$J$4:$J$31,MATCH($H614&amp;"|"&amp;$I614,Aux_HH!$A$4:$A$31,0)),"")</f>
        <v>4</v>
      </c>
      <c r="K614" s="16" t="s">
        <v>76</v>
      </c>
      <c r="L614" s="16" t="str">
        <f>IF(COUNTIFS(Pessoas!$C$5:$C$44,$K614,Pessoas!$G$5:$G$44,"Ativo")=0,"Equipe "&amp;$K614,INDEX(Pessoas!$A$5:$A$44,_xludf.aggregate(15,6,(ROW(Pessoas!$A$5:$A$44)-4)/((Pessoas!$C$5:$C$44=$K614)*(Pessoas!$G$5:$G$44="Ativo")),MOD(ROW()-6,MAX(1,COUNTIFS(Pessoas!$C$5:$C$44,$K614,Pessoas!$G$5:$G$44,"Ativo")))+1)))</f>
        <v>Equipe Oficina Mecânica Central-Taisa</v>
      </c>
    </row>
    <row r="615" spans="1:12" ht="15" customHeight="1" x14ac:dyDescent="0.4">
      <c r="A615" s="25">
        <v>46359</v>
      </c>
      <c r="B615" s="16">
        <v>14</v>
      </c>
      <c r="C615" s="16">
        <v>2</v>
      </c>
      <c r="D615" s="16">
        <v>12</v>
      </c>
      <c r="E615" s="16" t="s">
        <v>980</v>
      </c>
      <c r="F615" s="16" t="s">
        <v>1189</v>
      </c>
      <c r="G615" s="16" t="s">
        <v>158</v>
      </c>
      <c r="H615" s="16" t="s">
        <v>141</v>
      </c>
      <c r="I615" s="22" t="s">
        <v>861</v>
      </c>
      <c r="J615" s="16">
        <f>IFERROR(INDEX(Aux_HH!$J$4:$J$31,MATCH($H615&amp;"|"&amp;$I615,Aux_HH!$A$4:$A$31,0)),"")</f>
        <v>4</v>
      </c>
      <c r="K615" s="16" t="s">
        <v>76</v>
      </c>
      <c r="L615" s="16" t="str">
        <f>IF(COUNTIFS(Pessoas!$C$5:$C$44,$K615,Pessoas!$G$5:$G$44,"Ativo")=0,"Equipe "&amp;$K615,INDEX(Pessoas!$A$5:$A$44,_xludf.aggregate(15,6,(ROW(Pessoas!$A$5:$A$44)-4)/((Pessoas!$C$5:$C$44=$K615)*(Pessoas!$G$5:$G$44="Ativo")),MOD(ROW()-6,MAX(1,COUNTIFS(Pessoas!$C$5:$C$44,$K615,Pessoas!$G$5:$G$44,"Ativo")))+1)))</f>
        <v>Equipe Oficina Mecânica Central-Taisa</v>
      </c>
    </row>
    <row r="616" spans="1:12" ht="15" customHeight="1" x14ac:dyDescent="0.4">
      <c r="A616" s="25">
        <v>46359</v>
      </c>
      <c r="B616" s="16">
        <v>14</v>
      </c>
      <c r="C616" s="16">
        <v>2</v>
      </c>
      <c r="D616" s="16">
        <v>12</v>
      </c>
      <c r="E616" s="16" t="s">
        <v>980</v>
      </c>
      <c r="F616" s="16" t="s">
        <v>1190</v>
      </c>
      <c r="G616" s="16" t="s">
        <v>158</v>
      </c>
      <c r="H616" s="16" t="s">
        <v>141</v>
      </c>
      <c r="I616" s="22" t="s">
        <v>861</v>
      </c>
      <c r="J616" s="16">
        <f>IFERROR(INDEX(Aux_HH!$J$4:$J$31,MATCH($H616&amp;"|"&amp;$I616,Aux_HH!$A$4:$A$31,0)),"")</f>
        <v>4</v>
      </c>
      <c r="K616" s="16" t="s">
        <v>76</v>
      </c>
      <c r="L616" s="16" t="str">
        <f>IF(COUNTIFS(Pessoas!$C$5:$C$44,$K616,Pessoas!$G$5:$G$44,"Ativo")=0,"Equipe "&amp;$K616,INDEX(Pessoas!$A$5:$A$44,_xludf.aggregate(15,6,(ROW(Pessoas!$A$5:$A$44)-4)/((Pessoas!$C$5:$C$44=$K616)*(Pessoas!$G$5:$G$44="Ativo")),MOD(ROW()-6,MAX(1,COUNTIFS(Pessoas!$C$5:$C$44,$K616,Pessoas!$G$5:$G$44,"Ativo")))+1)))</f>
        <v>Equipe Oficina Mecânica Central-Taisa</v>
      </c>
    </row>
    <row r="617" spans="1:12" ht="15" customHeight="1" x14ac:dyDescent="0.4">
      <c r="A617" s="25">
        <v>46359</v>
      </c>
      <c r="B617" s="16">
        <v>14</v>
      </c>
      <c r="C617" s="16">
        <v>2</v>
      </c>
      <c r="D617" s="16">
        <v>12</v>
      </c>
      <c r="E617" s="16" t="s">
        <v>980</v>
      </c>
      <c r="F617" s="16" t="s">
        <v>1191</v>
      </c>
      <c r="G617" s="16" t="s">
        <v>158</v>
      </c>
      <c r="H617" s="16" t="s">
        <v>141</v>
      </c>
      <c r="I617" s="22" t="s">
        <v>861</v>
      </c>
      <c r="J617" s="16">
        <f>IFERROR(INDEX(Aux_HH!$J$4:$J$31,MATCH($H617&amp;"|"&amp;$I617,Aux_HH!$A$4:$A$31,0)),"")</f>
        <v>4</v>
      </c>
      <c r="K617" s="16" t="s">
        <v>76</v>
      </c>
      <c r="L617" s="16" t="str">
        <f>IF(COUNTIFS(Pessoas!$C$5:$C$44,$K617,Pessoas!$G$5:$G$44,"Ativo")=0,"Equipe "&amp;$K617,INDEX(Pessoas!$A$5:$A$44,_xludf.aggregate(15,6,(ROW(Pessoas!$A$5:$A$44)-4)/((Pessoas!$C$5:$C$44=$K617)*(Pessoas!$G$5:$G$44="Ativo")),MOD(ROW()-6,MAX(1,COUNTIFS(Pessoas!$C$5:$C$44,$K617,Pessoas!$G$5:$G$44,"Ativo")))+1)))</f>
        <v>Equipe Oficina Mecânica Central-Taisa</v>
      </c>
    </row>
    <row r="618" spans="1:12" ht="15" customHeight="1" x14ac:dyDescent="0.4">
      <c r="A618" s="25">
        <v>46359</v>
      </c>
      <c r="B618" s="16">
        <v>14</v>
      </c>
      <c r="C618" s="16">
        <v>2</v>
      </c>
      <c r="D618" s="16">
        <v>12</v>
      </c>
      <c r="E618" s="16" t="s">
        <v>980</v>
      </c>
      <c r="F618" s="16" t="s">
        <v>1192</v>
      </c>
      <c r="G618" s="16" t="s">
        <v>158</v>
      </c>
      <c r="H618" s="16" t="s">
        <v>141</v>
      </c>
      <c r="I618" s="22" t="s">
        <v>861</v>
      </c>
      <c r="J618" s="16">
        <f>IFERROR(INDEX(Aux_HH!$J$4:$J$31,MATCH($H618&amp;"|"&amp;$I618,Aux_HH!$A$4:$A$31,0)),"")</f>
        <v>4</v>
      </c>
      <c r="K618" s="16" t="s">
        <v>76</v>
      </c>
      <c r="L618" s="16" t="str">
        <f>IF(COUNTIFS(Pessoas!$C$5:$C$44,$K618,Pessoas!$G$5:$G$44,"Ativo")=0,"Equipe "&amp;$K618,INDEX(Pessoas!$A$5:$A$44,_xludf.aggregate(15,6,(ROW(Pessoas!$A$5:$A$44)-4)/((Pessoas!$C$5:$C$44=$K618)*(Pessoas!$G$5:$G$44="Ativo")),MOD(ROW()-6,MAX(1,COUNTIFS(Pessoas!$C$5:$C$44,$K618,Pessoas!$G$5:$G$44,"Ativo")))+1)))</f>
        <v>Equipe Oficina Mecânica Central-Taisa</v>
      </c>
    </row>
    <row r="619" spans="1:12" ht="15" customHeight="1" x14ac:dyDescent="0.4">
      <c r="A619" s="25">
        <v>46359</v>
      </c>
      <c r="B619" s="16">
        <v>14</v>
      </c>
      <c r="C619" s="16">
        <v>2</v>
      </c>
      <c r="D619" s="16">
        <v>12</v>
      </c>
      <c r="E619" s="16" t="s">
        <v>980</v>
      </c>
      <c r="F619" s="16" t="s">
        <v>1193</v>
      </c>
      <c r="G619" s="16" t="s">
        <v>158</v>
      </c>
      <c r="H619" s="16" t="s">
        <v>141</v>
      </c>
      <c r="I619" s="22" t="s">
        <v>861</v>
      </c>
      <c r="J619" s="16">
        <f>IFERROR(INDEX(Aux_HH!$J$4:$J$31,MATCH($H619&amp;"|"&amp;$I619,Aux_HH!$A$4:$A$31,0)),"")</f>
        <v>4</v>
      </c>
      <c r="K619" s="16" t="s">
        <v>76</v>
      </c>
      <c r="L619" s="16" t="str">
        <f>IF(COUNTIFS(Pessoas!$C$5:$C$44,$K619,Pessoas!$G$5:$G$44,"Ativo")=0,"Equipe "&amp;$K619,INDEX(Pessoas!$A$5:$A$44,_xludf.aggregate(15,6,(ROW(Pessoas!$A$5:$A$44)-4)/((Pessoas!$C$5:$C$44=$K619)*(Pessoas!$G$5:$G$44="Ativo")),MOD(ROW()-6,MAX(1,COUNTIFS(Pessoas!$C$5:$C$44,$K619,Pessoas!$G$5:$G$44,"Ativo")))+1)))</f>
        <v>Equipe Oficina Mecânica Central-Taisa</v>
      </c>
    </row>
    <row r="620" spans="1:12" ht="15" customHeight="1" x14ac:dyDescent="0.4">
      <c r="A620" s="25">
        <v>46359</v>
      </c>
      <c r="B620" s="16">
        <v>14</v>
      </c>
      <c r="C620" s="16">
        <v>2</v>
      </c>
      <c r="D620" s="16">
        <v>12</v>
      </c>
      <c r="E620" s="16" t="s">
        <v>980</v>
      </c>
      <c r="F620" s="16" t="s">
        <v>1194</v>
      </c>
      <c r="G620" s="16" t="s">
        <v>184</v>
      </c>
      <c r="H620" s="16" t="s">
        <v>141</v>
      </c>
      <c r="I620" s="22" t="s">
        <v>861</v>
      </c>
      <c r="J620" s="16">
        <f>IFERROR(INDEX(Aux_HH!$J$4:$J$31,MATCH($H620&amp;"|"&amp;$I620,Aux_HH!$A$4:$A$31,0)),"")</f>
        <v>4</v>
      </c>
      <c r="K620" s="16" t="s">
        <v>76</v>
      </c>
      <c r="L620" s="16" t="str">
        <f>IF(COUNTIFS(Pessoas!$C$5:$C$44,$K620,Pessoas!$G$5:$G$44,"Ativo")=0,"Equipe "&amp;$K620,INDEX(Pessoas!$A$5:$A$44,_xludf.aggregate(15,6,(ROW(Pessoas!$A$5:$A$44)-4)/((Pessoas!$C$5:$C$44=$K620)*(Pessoas!$G$5:$G$44="Ativo")),MOD(ROW()-6,MAX(1,COUNTIFS(Pessoas!$C$5:$C$44,$K620,Pessoas!$G$5:$G$44,"Ativo")))+1)))</f>
        <v>Equipe Oficina Mecânica Central-Taisa</v>
      </c>
    </row>
    <row r="621" spans="1:12" ht="15" customHeight="1" x14ac:dyDescent="0.4">
      <c r="A621" s="25">
        <v>46359</v>
      </c>
      <c r="B621" s="16">
        <v>14</v>
      </c>
      <c r="C621" s="16">
        <v>2</v>
      </c>
      <c r="D621" s="16">
        <v>12</v>
      </c>
      <c r="E621" s="16" t="s">
        <v>980</v>
      </c>
      <c r="F621" s="16" t="s">
        <v>1195</v>
      </c>
      <c r="G621" s="16" t="s">
        <v>184</v>
      </c>
      <c r="H621" s="16" t="s">
        <v>141</v>
      </c>
      <c r="I621" s="22" t="s">
        <v>861</v>
      </c>
      <c r="J621" s="16">
        <f>IFERROR(INDEX(Aux_HH!$J$4:$J$31,MATCH($H621&amp;"|"&amp;$I621,Aux_HH!$A$4:$A$31,0)),"")</f>
        <v>4</v>
      </c>
      <c r="K621" s="16" t="s">
        <v>76</v>
      </c>
      <c r="L621" s="16" t="str">
        <f>IF(COUNTIFS(Pessoas!$C$5:$C$44,$K621,Pessoas!$G$5:$G$44,"Ativo")=0,"Equipe "&amp;$K621,INDEX(Pessoas!$A$5:$A$44,_xludf.aggregate(15,6,(ROW(Pessoas!$A$5:$A$44)-4)/((Pessoas!$C$5:$C$44=$K621)*(Pessoas!$G$5:$G$44="Ativo")),MOD(ROW()-6,MAX(1,COUNTIFS(Pessoas!$C$5:$C$44,$K621,Pessoas!$G$5:$G$44,"Ativo")))+1)))</f>
        <v>Equipe Oficina Mecânica Central-Taisa</v>
      </c>
    </row>
    <row r="622" spans="1:12" ht="15" customHeight="1" x14ac:dyDescent="0.4">
      <c r="A622" s="25">
        <v>46359</v>
      </c>
      <c r="B622" s="16">
        <v>14</v>
      </c>
      <c r="C622" s="16">
        <v>2</v>
      </c>
      <c r="D622" s="16">
        <v>12</v>
      </c>
      <c r="E622" s="16" t="s">
        <v>980</v>
      </c>
      <c r="F622" s="16" t="s">
        <v>1196</v>
      </c>
      <c r="G622" s="16" t="s">
        <v>184</v>
      </c>
      <c r="H622" s="16" t="s">
        <v>141</v>
      </c>
      <c r="I622" s="22" t="s">
        <v>861</v>
      </c>
      <c r="J622" s="16">
        <f>IFERROR(INDEX(Aux_HH!$J$4:$J$31,MATCH($H622&amp;"|"&amp;$I622,Aux_HH!$A$4:$A$31,0)),"")</f>
        <v>4</v>
      </c>
      <c r="K622" s="16" t="s">
        <v>76</v>
      </c>
      <c r="L622" s="16" t="str">
        <f>IF(COUNTIFS(Pessoas!$C$5:$C$44,$K622,Pessoas!$G$5:$G$44,"Ativo")=0,"Equipe "&amp;$K622,INDEX(Pessoas!$A$5:$A$44,_xludf.aggregate(15,6,(ROW(Pessoas!$A$5:$A$44)-4)/((Pessoas!$C$5:$C$44=$K622)*(Pessoas!$G$5:$G$44="Ativo")),MOD(ROW()-6,MAX(1,COUNTIFS(Pessoas!$C$5:$C$44,$K622,Pessoas!$G$5:$G$44,"Ativo")))+1)))</f>
        <v>Equipe Oficina Mecânica Central-Taisa</v>
      </c>
    </row>
    <row r="623" spans="1:12" ht="15" customHeight="1" x14ac:dyDescent="0.4">
      <c r="A623" s="25">
        <v>46359</v>
      </c>
      <c r="B623" s="16">
        <v>14</v>
      </c>
      <c r="C623" s="16">
        <v>2</v>
      </c>
      <c r="D623" s="16">
        <v>12</v>
      </c>
      <c r="E623" s="16" t="s">
        <v>980</v>
      </c>
      <c r="F623" s="16" t="s">
        <v>1197</v>
      </c>
      <c r="G623" s="16" t="s">
        <v>184</v>
      </c>
      <c r="H623" s="16" t="s">
        <v>141</v>
      </c>
      <c r="I623" s="22" t="s">
        <v>861</v>
      </c>
      <c r="J623" s="16">
        <f>IFERROR(INDEX(Aux_HH!$J$4:$J$31,MATCH($H623&amp;"|"&amp;$I623,Aux_HH!$A$4:$A$31,0)),"")</f>
        <v>4</v>
      </c>
      <c r="K623" s="16" t="s">
        <v>76</v>
      </c>
      <c r="L623" s="16" t="str">
        <f>IF(COUNTIFS(Pessoas!$C$5:$C$44,$K623,Pessoas!$G$5:$G$44,"Ativo")=0,"Equipe "&amp;$K623,INDEX(Pessoas!$A$5:$A$44,_xludf.aggregate(15,6,(ROW(Pessoas!$A$5:$A$44)-4)/((Pessoas!$C$5:$C$44=$K623)*(Pessoas!$G$5:$G$44="Ativo")),MOD(ROW()-6,MAX(1,COUNTIFS(Pessoas!$C$5:$C$44,$K623,Pessoas!$G$5:$G$44,"Ativo")))+1)))</f>
        <v>Equipe Oficina Mecânica Central-Taisa</v>
      </c>
    </row>
    <row r="624" spans="1:12" ht="15" customHeight="1" x14ac:dyDescent="0.4">
      <c r="A624" s="25">
        <v>46359</v>
      </c>
      <c r="B624" s="16">
        <v>14</v>
      </c>
      <c r="C624" s="16">
        <v>2</v>
      </c>
      <c r="D624" s="16">
        <v>12</v>
      </c>
      <c r="E624" s="16" t="s">
        <v>980</v>
      </c>
      <c r="F624" s="16" t="s">
        <v>1198</v>
      </c>
      <c r="G624" s="16" t="s">
        <v>184</v>
      </c>
      <c r="H624" s="16" t="s">
        <v>141</v>
      </c>
      <c r="I624" s="22" t="s">
        <v>861</v>
      </c>
      <c r="J624" s="16">
        <f>IFERROR(INDEX(Aux_HH!$J$4:$J$31,MATCH($H624&amp;"|"&amp;$I624,Aux_HH!$A$4:$A$31,0)),"")</f>
        <v>4</v>
      </c>
      <c r="K624" s="16" t="s">
        <v>76</v>
      </c>
      <c r="L624" s="16" t="str">
        <f>IF(COUNTIFS(Pessoas!$C$5:$C$44,$K624,Pessoas!$G$5:$G$44,"Ativo")=0,"Equipe "&amp;$K624,INDEX(Pessoas!$A$5:$A$44,_xludf.aggregate(15,6,(ROW(Pessoas!$A$5:$A$44)-4)/((Pessoas!$C$5:$C$44=$K624)*(Pessoas!$G$5:$G$44="Ativo")),MOD(ROW()-6,MAX(1,COUNTIFS(Pessoas!$C$5:$C$44,$K624,Pessoas!$G$5:$G$44,"Ativo")))+1)))</f>
        <v>Equipe Oficina Mecânica Central-Taisa</v>
      </c>
    </row>
    <row r="625" spans="1:12" ht="15" customHeight="1" x14ac:dyDescent="0.4">
      <c r="A625" s="25">
        <v>46359</v>
      </c>
      <c r="B625" s="16">
        <v>14</v>
      </c>
      <c r="C625" s="16">
        <v>2</v>
      </c>
      <c r="D625" s="16">
        <v>12</v>
      </c>
      <c r="E625" s="16" t="s">
        <v>980</v>
      </c>
      <c r="F625" s="16" t="s">
        <v>1199</v>
      </c>
      <c r="G625" s="16" t="s">
        <v>184</v>
      </c>
      <c r="H625" s="16" t="s">
        <v>141</v>
      </c>
      <c r="I625" s="22" t="s">
        <v>861</v>
      </c>
      <c r="J625" s="16">
        <f>IFERROR(INDEX(Aux_HH!$J$4:$J$31,MATCH($H625&amp;"|"&amp;$I625,Aux_HH!$A$4:$A$31,0)),"")</f>
        <v>4</v>
      </c>
      <c r="K625" s="16" t="s">
        <v>76</v>
      </c>
      <c r="L625" s="16" t="str">
        <f>IF(COUNTIFS(Pessoas!$C$5:$C$44,$K625,Pessoas!$G$5:$G$44,"Ativo")=0,"Equipe "&amp;$K625,INDEX(Pessoas!$A$5:$A$44,_xludf.aggregate(15,6,(ROW(Pessoas!$A$5:$A$44)-4)/((Pessoas!$C$5:$C$44=$K625)*(Pessoas!$G$5:$G$44="Ativo")),MOD(ROW()-6,MAX(1,COUNTIFS(Pessoas!$C$5:$C$44,$K625,Pessoas!$G$5:$G$44,"Ativo")))+1)))</f>
        <v>Equipe Oficina Mecânica Central-Taisa</v>
      </c>
    </row>
    <row r="626" spans="1:12" ht="15" customHeight="1" x14ac:dyDescent="0.4">
      <c r="A626" s="25">
        <v>46359</v>
      </c>
      <c r="B626" s="16">
        <v>14</v>
      </c>
      <c r="C626" s="16">
        <v>2</v>
      </c>
      <c r="D626" s="16">
        <v>12</v>
      </c>
      <c r="E626" s="16" t="s">
        <v>980</v>
      </c>
      <c r="F626" s="16" t="s">
        <v>1200</v>
      </c>
      <c r="G626" s="16" t="s">
        <v>184</v>
      </c>
      <c r="H626" s="16" t="s">
        <v>141</v>
      </c>
      <c r="I626" s="22" t="s">
        <v>861</v>
      </c>
      <c r="J626" s="16">
        <f>IFERROR(INDEX(Aux_HH!$J$4:$J$31,MATCH($H626&amp;"|"&amp;$I626,Aux_HH!$A$4:$A$31,0)),"")</f>
        <v>4</v>
      </c>
      <c r="K626" s="16" t="s">
        <v>76</v>
      </c>
      <c r="L626" s="16" t="str">
        <f>IF(COUNTIFS(Pessoas!$C$5:$C$44,$K626,Pessoas!$G$5:$G$44,"Ativo")=0,"Equipe "&amp;$K626,INDEX(Pessoas!$A$5:$A$44,_xludf.aggregate(15,6,(ROW(Pessoas!$A$5:$A$44)-4)/((Pessoas!$C$5:$C$44=$K626)*(Pessoas!$G$5:$G$44="Ativo")),MOD(ROW()-6,MAX(1,COUNTIFS(Pessoas!$C$5:$C$44,$K626,Pessoas!$G$5:$G$44,"Ativo")))+1)))</f>
        <v>Equipe Oficina Mecânica Central-Taisa</v>
      </c>
    </row>
    <row r="627" spans="1:12" ht="15" customHeight="1" x14ac:dyDescent="0.4">
      <c r="A627" s="25">
        <v>46359</v>
      </c>
      <c r="B627" s="16">
        <v>14</v>
      </c>
      <c r="C627" s="16">
        <v>2</v>
      </c>
      <c r="D627" s="16">
        <v>12</v>
      </c>
      <c r="E627" s="16" t="s">
        <v>980</v>
      </c>
      <c r="F627" s="16" t="s">
        <v>1201</v>
      </c>
      <c r="G627" s="16" t="s">
        <v>184</v>
      </c>
      <c r="H627" s="16" t="s">
        <v>141</v>
      </c>
      <c r="I627" s="22" t="s">
        <v>861</v>
      </c>
      <c r="J627" s="16">
        <f>IFERROR(INDEX(Aux_HH!$J$4:$J$31,MATCH($H627&amp;"|"&amp;$I627,Aux_HH!$A$4:$A$31,0)),"")</f>
        <v>4</v>
      </c>
      <c r="K627" s="16" t="s">
        <v>76</v>
      </c>
      <c r="L627" s="16" t="str">
        <f>IF(COUNTIFS(Pessoas!$C$5:$C$44,$K627,Pessoas!$G$5:$G$44,"Ativo")=0,"Equipe "&amp;$K627,INDEX(Pessoas!$A$5:$A$44,_xludf.aggregate(15,6,(ROW(Pessoas!$A$5:$A$44)-4)/((Pessoas!$C$5:$C$44=$K627)*(Pessoas!$G$5:$G$44="Ativo")),MOD(ROW()-6,MAX(1,COUNTIFS(Pessoas!$C$5:$C$44,$K627,Pessoas!$G$5:$G$44,"Ativo")))+1)))</f>
        <v>Equipe Oficina Mecânica Central-Taisa</v>
      </c>
    </row>
    <row r="628" spans="1:12" ht="15" customHeight="1" x14ac:dyDescent="0.4">
      <c r="A628" s="25">
        <v>46359</v>
      </c>
      <c r="B628" s="16">
        <v>14</v>
      </c>
      <c r="C628" s="16">
        <v>2</v>
      </c>
      <c r="D628" s="16">
        <v>12</v>
      </c>
      <c r="E628" s="16" t="s">
        <v>980</v>
      </c>
      <c r="F628" s="16" t="s">
        <v>1202</v>
      </c>
      <c r="G628" s="16" t="s">
        <v>184</v>
      </c>
      <c r="H628" s="16" t="s">
        <v>141</v>
      </c>
      <c r="I628" s="22" t="s">
        <v>861</v>
      </c>
      <c r="J628" s="16">
        <f>IFERROR(INDEX(Aux_HH!$J$4:$J$31,MATCH($H628&amp;"|"&amp;$I628,Aux_HH!$A$4:$A$31,0)),"")</f>
        <v>4</v>
      </c>
      <c r="K628" s="16" t="s">
        <v>76</v>
      </c>
      <c r="L628" s="16" t="str">
        <f>IF(COUNTIFS(Pessoas!$C$5:$C$44,$K628,Pessoas!$G$5:$G$44,"Ativo")=0,"Equipe "&amp;$K628,INDEX(Pessoas!$A$5:$A$44,_xludf.aggregate(15,6,(ROW(Pessoas!$A$5:$A$44)-4)/((Pessoas!$C$5:$C$44=$K628)*(Pessoas!$G$5:$G$44="Ativo")),MOD(ROW()-6,MAX(1,COUNTIFS(Pessoas!$C$5:$C$44,$K628,Pessoas!$G$5:$G$44,"Ativo")))+1)))</f>
        <v>Equipe Oficina Mecânica Central-Taisa</v>
      </c>
    </row>
    <row r="629" spans="1:12" ht="15" customHeight="1" x14ac:dyDescent="0.4">
      <c r="A629" s="25">
        <v>46359</v>
      </c>
      <c r="B629" s="16">
        <v>14</v>
      </c>
      <c r="C629" s="16">
        <v>2</v>
      </c>
      <c r="D629" s="16">
        <v>12</v>
      </c>
      <c r="E629" s="16" t="s">
        <v>980</v>
      </c>
      <c r="F629" s="16" t="s">
        <v>1203</v>
      </c>
      <c r="G629" s="16" t="s">
        <v>184</v>
      </c>
      <c r="H629" s="16" t="s">
        <v>141</v>
      </c>
      <c r="I629" s="22" t="s">
        <v>861</v>
      </c>
      <c r="J629" s="16">
        <f>IFERROR(INDEX(Aux_HH!$J$4:$J$31,MATCH($H629&amp;"|"&amp;$I629,Aux_HH!$A$4:$A$31,0)),"")</f>
        <v>4</v>
      </c>
      <c r="K629" s="16" t="s">
        <v>76</v>
      </c>
      <c r="L629" s="16" t="str">
        <f>IF(COUNTIFS(Pessoas!$C$5:$C$44,$K629,Pessoas!$G$5:$G$44,"Ativo")=0,"Equipe "&amp;$K629,INDEX(Pessoas!$A$5:$A$44,_xludf.aggregate(15,6,(ROW(Pessoas!$A$5:$A$44)-4)/((Pessoas!$C$5:$C$44=$K629)*(Pessoas!$G$5:$G$44="Ativo")),MOD(ROW()-6,MAX(1,COUNTIFS(Pessoas!$C$5:$C$44,$K629,Pessoas!$G$5:$G$44,"Ativo")))+1)))</f>
        <v>Equipe Oficina Mecânica Central-Taisa</v>
      </c>
    </row>
    <row r="630" spans="1:12" ht="15" customHeight="1" x14ac:dyDescent="0.4">
      <c r="A630" s="25">
        <v>46359</v>
      </c>
      <c r="B630" s="16">
        <v>14</v>
      </c>
      <c r="C630" s="16">
        <v>2</v>
      </c>
      <c r="D630" s="16">
        <v>12</v>
      </c>
      <c r="E630" s="16" t="s">
        <v>980</v>
      </c>
      <c r="F630" s="16" t="s">
        <v>1204</v>
      </c>
      <c r="G630" s="16" t="s">
        <v>184</v>
      </c>
      <c r="H630" s="16" t="s">
        <v>141</v>
      </c>
      <c r="I630" s="22" t="s">
        <v>861</v>
      </c>
      <c r="J630" s="16">
        <f>IFERROR(INDEX(Aux_HH!$J$4:$J$31,MATCH($H630&amp;"|"&amp;$I630,Aux_HH!$A$4:$A$31,0)),"")</f>
        <v>4</v>
      </c>
      <c r="K630" s="16" t="s">
        <v>76</v>
      </c>
      <c r="L630" s="16" t="str">
        <f>IF(COUNTIFS(Pessoas!$C$5:$C$44,$K630,Pessoas!$G$5:$G$44,"Ativo")=0,"Equipe "&amp;$K630,INDEX(Pessoas!$A$5:$A$44,_xludf.aggregate(15,6,(ROW(Pessoas!$A$5:$A$44)-4)/((Pessoas!$C$5:$C$44=$K630)*(Pessoas!$G$5:$G$44="Ativo")),MOD(ROW()-6,MAX(1,COUNTIFS(Pessoas!$C$5:$C$44,$K630,Pessoas!$G$5:$G$44,"Ativo")))+1)))</f>
        <v>Equipe Oficina Mecânica Central-Taisa</v>
      </c>
    </row>
    <row r="631" spans="1:12" ht="15" customHeight="1" x14ac:dyDescent="0.4">
      <c r="A631" s="25">
        <v>46359</v>
      </c>
      <c r="B631" s="16">
        <v>14</v>
      </c>
      <c r="C631" s="16">
        <v>2</v>
      </c>
      <c r="D631" s="16">
        <v>12</v>
      </c>
      <c r="E631" s="16" t="s">
        <v>980</v>
      </c>
      <c r="F631" s="16" t="s">
        <v>1209</v>
      </c>
      <c r="G631" s="16" t="s">
        <v>158</v>
      </c>
      <c r="H631" s="16" t="s">
        <v>141</v>
      </c>
      <c r="I631" s="22" t="s">
        <v>861</v>
      </c>
      <c r="J631" s="16">
        <f>IFERROR(INDEX(Aux_HH!$J$4:$J$31,MATCH($H631&amp;"|"&amp;$I631,Aux_HH!$A$4:$A$31,0)),"")</f>
        <v>4</v>
      </c>
      <c r="K631" s="16" t="s">
        <v>76</v>
      </c>
      <c r="L631" s="16" t="str">
        <f>IF(COUNTIFS(Pessoas!$C$5:$C$44,$K631,Pessoas!$G$5:$G$44,"Ativo")=0,"Equipe "&amp;$K631,INDEX(Pessoas!$A$5:$A$44,_xludf.aggregate(15,6,(ROW(Pessoas!$A$5:$A$44)-4)/((Pessoas!$C$5:$C$44=$K631)*(Pessoas!$G$5:$G$44="Ativo")),MOD(ROW()-6,MAX(1,COUNTIFS(Pessoas!$C$5:$C$44,$K631,Pessoas!$G$5:$G$44,"Ativo")))+1)))</f>
        <v>Equipe Oficina Mecânica Central-Taisa</v>
      </c>
    </row>
    <row r="632" spans="1:12" ht="15" customHeight="1" x14ac:dyDescent="0.4">
      <c r="A632" s="25">
        <v>46360</v>
      </c>
      <c r="B632" s="16">
        <v>14</v>
      </c>
      <c r="C632" s="16">
        <v>2</v>
      </c>
      <c r="D632" s="16">
        <v>12</v>
      </c>
      <c r="E632" s="16" t="s">
        <v>980</v>
      </c>
      <c r="F632" s="16" t="s">
        <v>1228</v>
      </c>
      <c r="G632" s="16" t="s">
        <v>158</v>
      </c>
      <c r="H632" s="16" t="s">
        <v>141</v>
      </c>
      <c r="I632" s="22" t="s">
        <v>861</v>
      </c>
      <c r="J632" s="16">
        <f>IFERROR(INDEX(Aux_HH!$J$4:$J$31,MATCH($H632&amp;"|"&amp;$I632,Aux_HH!$A$4:$A$31,0)),"")</f>
        <v>4</v>
      </c>
      <c r="K632" s="16" t="s">
        <v>76</v>
      </c>
      <c r="L632" s="16" t="str">
        <f>IF(COUNTIFS(Pessoas!$C$5:$C$44,$K632,Pessoas!$G$5:$G$44,"Ativo")=0,"Equipe "&amp;$K632,INDEX(Pessoas!$A$5:$A$44,_xludf.aggregate(15,6,(ROW(Pessoas!$A$5:$A$44)-4)/((Pessoas!$C$5:$C$44=$K632)*(Pessoas!$G$5:$G$44="Ativo")),MOD(ROW()-6,MAX(1,COUNTIFS(Pessoas!$C$5:$C$44,$K632,Pessoas!$G$5:$G$44,"Ativo")))+1)))</f>
        <v>Equipe Oficina Mecânica Central-Taisa</v>
      </c>
    </row>
    <row r="633" spans="1:12" ht="15" customHeight="1" x14ac:dyDescent="0.4">
      <c r="A633" s="25">
        <v>46360</v>
      </c>
      <c r="B633" s="16">
        <v>14</v>
      </c>
      <c r="C633" s="16">
        <v>2</v>
      </c>
      <c r="D633" s="16">
        <v>12</v>
      </c>
      <c r="E633" s="16" t="s">
        <v>980</v>
      </c>
      <c r="F633" s="16" t="s">
        <v>1229</v>
      </c>
      <c r="G633" s="16" t="s">
        <v>158</v>
      </c>
      <c r="H633" s="16" t="s">
        <v>141</v>
      </c>
      <c r="I633" s="22" t="s">
        <v>861</v>
      </c>
      <c r="J633" s="16">
        <f>IFERROR(INDEX(Aux_HH!$J$4:$J$31,MATCH($H633&amp;"|"&amp;$I633,Aux_HH!$A$4:$A$31,0)),"")</f>
        <v>4</v>
      </c>
      <c r="K633" s="16" t="s">
        <v>76</v>
      </c>
      <c r="L633" s="16" t="str">
        <f>IF(COUNTIFS(Pessoas!$C$5:$C$44,$K633,Pessoas!$G$5:$G$44,"Ativo")=0,"Equipe "&amp;$K633,INDEX(Pessoas!$A$5:$A$44,_xludf.aggregate(15,6,(ROW(Pessoas!$A$5:$A$44)-4)/((Pessoas!$C$5:$C$44=$K633)*(Pessoas!$G$5:$G$44="Ativo")),MOD(ROW()-6,MAX(1,COUNTIFS(Pessoas!$C$5:$C$44,$K633,Pessoas!$G$5:$G$44,"Ativo")))+1)))</f>
        <v>Equipe Oficina Mecânica Central-Taisa</v>
      </c>
    </row>
    <row r="634" spans="1:12" ht="15" customHeight="1" x14ac:dyDescent="0.4">
      <c r="A634" s="25">
        <v>46360</v>
      </c>
      <c r="B634" s="16">
        <v>14</v>
      </c>
      <c r="C634" s="16">
        <v>2</v>
      </c>
      <c r="D634" s="16">
        <v>12</v>
      </c>
      <c r="E634" s="16" t="s">
        <v>980</v>
      </c>
      <c r="F634" s="16" t="s">
        <v>1230</v>
      </c>
      <c r="G634" s="16" t="s">
        <v>158</v>
      </c>
      <c r="H634" s="16" t="s">
        <v>141</v>
      </c>
      <c r="I634" s="22" t="s">
        <v>861</v>
      </c>
      <c r="J634" s="16">
        <f>IFERROR(INDEX(Aux_HH!$J$4:$J$31,MATCH($H634&amp;"|"&amp;$I634,Aux_HH!$A$4:$A$31,0)),"")</f>
        <v>4</v>
      </c>
      <c r="K634" s="16" t="s">
        <v>76</v>
      </c>
      <c r="L634" s="16" t="str">
        <f>IF(COUNTIFS(Pessoas!$C$5:$C$44,$K634,Pessoas!$G$5:$G$44,"Ativo")=0,"Equipe "&amp;$K634,INDEX(Pessoas!$A$5:$A$44,_xludf.aggregate(15,6,(ROW(Pessoas!$A$5:$A$44)-4)/((Pessoas!$C$5:$C$44=$K634)*(Pessoas!$G$5:$G$44="Ativo")),MOD(ROW()-6,MAX(1,COUNTIFS(Pessoas!$C$5:$C$44,$K634,Pessoas!$G$5:$G$44,"Ativo")))+1)))</f>
        <v>Equipe Oficina Mecânica Central-Taisa</v>
      </c>
    </row>
    <row r="635" spans="1:12" ht="15" customHeight="1" x14ac:dyDescent="0.4">
      <c r="A635" s="25">
        <v>46360</v>
      </c>
      <c r="B635" s="16">
        <v>14</v>
      </c>
      <c r="C635" s="16">
        <v>2</v>
      </c>
      <c r="D635" s="16">
        <v>12</v>
      </c>
      <c r="E635" s="16" t="s">
        <v>980</v>
      </c>
      <c r="F635" s="16" t="s">
        <v>1231</v>
      </c>
      <c r="G635" s="16" t="s">
        <v>158</v>
      </c>
      <c r="H635" s="16" t="s">
        <v>141</v>
      </c>
      <c r="I635" s="22" t="s">
        <v>861</v>
      </c>
      <c r="J635" s="16">
        <f>IFERROR(INDEX(Aux_HH!$J$4:$J$31,MATCH($H635&amp;"|"&amp;$I635,Aux_HH!$A$4:$A$31,0)),"")</f>
        <v>4</v>
      </c>
      <c r="K635" s="16" t="s">
        <v>76</v>
      </c>
      <c r="L635" s="16" t="str">
        <f>IF(COUNTIFS(Pessoas!$C$5:$C$44,$K635,Pessoas!$G$5:$G$44,"Ativo")=0,"Equipe "&amp;$K635,INDEX(Pessoas!$A$5:$A$44,_xludf.aggregate(15,6,(ROW(Pessoas!$A$5:$A$44)-4)/((Pessoas!$C$5:$C$44=$K635)*(Pessoas!$G$5:$G$44="Ativo")),MOD(ROW()-6,MAX(1,COUNTIFS(Pessoas!$C$5:$C$44,$K635,Pessoas!$G$5:$G$44,"Ativo")))+1)))</f>
        <v>Equipe Oficina Mecânica Central-Taisa</v>
      </c>
    </row>
    <row r="636" spans="1:12" ht="15" customHeight="1" x14ac:dyDescent="0.4">
      <c r="A636" s="25">
        <v>46360</v>
      </c>
      <c r="B636" s="16">
        <v>14</v>
      </c>
      <c r="C636" s="16">
        <v>2</v>
      </c>
      <c r="D636" s="16">
        <v>12</v>
      </c>
      <c r="E636" s="16" t="s">
        <v>980</v>
      </c>
      <c r="F636" s="16" t="s">
        <v>1232</v>
      </c>
      <c r="G636" s="16" t="s">
        <v>158</v>
      </c>
      <c r="H636" s="16" t="s">
        <v>141</v>
      </c>
      <c r="I636" s="22" t="s">
        <v>861</v>
      </c>
      <c r="J636" s="16">
        <f>IFERROR(INDEX(Aux_HH!$J$4:$J$31,MATCH($H636&amp;"|"&amp;$I636,Aux_HH!$A$4:$A$31,0)),"")</f>
        <v>4</v>
      </c>
      <c r="K636" s="16" t="s">
        <v>76</v>
      </c>
      <c r="L636" s="16" t="str">
        <f>IF(COUNTIFS(Pessoas!$C$5:$C$44,$K636,Pessoas!$G$5:$G$44,"Ativo")=0,"Equipe "&amp;$K636,INDEX(Pessoas!$A$5:$A$44,_xludf.aggregate(15,6,(ROW(Pessoas!$A$5:$A$44)-4)/((Pessoas!$C$5:$C$44=$K636)*(Pessoas!$G$5:$G$44="Ativo")),MOD(ROW()-6,MAX(1,COUNTIFS(Pessoas!$C$5:$C$44,$K636,Pessoas!$G$5:$G$44,"Ativo")))+1)))</f>
        <v>Equipe Oficina Mecânica Central-Taisa</v>
      </c>
    </row>
    <row r="637" spans="1:12" ht="15" customHeight="1" x14ac:dyDescent="0.4">
      <c r="A637" s="25">
        <v>46360</v>
      </c>
      <c r="B637" s="16">
        <v>14</v>
      </c>
      <c r="C637" s="16">
        <v>2</v>
      </c>
      <c r="D637" s="16">
        <v>12</v>
      </c>
      <c r="E637" s="16" t="s">
        <v>980</v>
      </c>
      <c r="F637" s="16" t="s">
        <v>1233</v>
      </c>
      <c r="G637" s="16" t="s">
        <v>158</v>
      </c>
      <c r="H637" s="16" t="s">
        <v>141</v>
      </c>
      <c r="I637" s="22" t="s">
        <v>861</v>
      </c>
      <c r="J637" s="16">
        <f>IFERROR(INDEX(Aux_HH!$J$4:$J$31,MATCH($H637&amp;"|"&amp;$I637,Aux_HH!$A$4:$A$31,0)),"")</f>
        <v>4</v>
      </c>
      <c r="K637" s="16" t="s">
        <v>76</v>
      </c>
      <c r="L637" s="16" t="str">
        <f>IF(COUNTIFS(Pessoas!$C$5:$C$44,$K637,Pessoas!$G$5:$G$44,"Ativo")=0,"Equipe "&amp;$K637,INDEX(Pessoas!$A$5:$A$44,_xludf.aggregate(15,6,(ROW(Pessoas!$A$5:$A$44)-4)/((Pessoas!$C$5:$C$44=$K637)*(Pessoas!$G$5:$G$44="Ativo")),MOD(ROW()-6,MAX(1,COUNTIFS(Pessoas!$C$5:$C$44,$K637,Pessoas!$G$5:$G$44,"Ativo")))+1)))</f>
        <v>Equipe Oficina Mecânica Central-Taisa</v>
      </c>
    </row>
    <row r="638" spans="1:12" ht="15" customHeight="1" x14ac:dyDescent="0.4">
      <c r="A638" s="25">
        <v>46360</v>
      </c>
      <c r="B638" s="16">
        <v>14</v>
      </c>
      <c r="C638" s="16">
        <v>2</v>
      </c>
      <c r="D638" s="16">
        <v>12</v>
      </c>
      <c r="E638" s="16" t="s">
        <v>980</v>
      </c>
      <c r="F638" s="16" t="s">
        <v>1234</v>
      </c>
      <c r="G638" s="16" t="s">
        <v>158</v>
      </c>
      <c r="H638" s="16" t="s">
        <v>141</v>
      </c>
      <c r="I638" s="22" t="s">
        <v>861</v>
      </c>
      <c r="J638" s="16">
        <f>IFERROR(INDEX(Aux_HH!$J$4:$J$31,MATCH($H638&amp;"|"&amp;$I638,Aux_HH!$A$4:$A$31,0)),"")</f>
        <v>4</v>
      </c>
      <c r="K638" s="16" t="s">
        <v>76</v>
      </c>
      <c r="L638" s="16" t="str">
        <f>IF(COUNTIFS(Pessoas!$C$5:$C$44,$K638,Pessoas!$G$5:$G$44,"Ativo")=0,"Equipe "&amp;$K638,INDEX(Pessoas!$A$5:$A$44,_xludf.aggregate(15,6,(ROW(Pessoas!$A$5:$A$44)-4)/((Pessoas!$C$5:$C$44=$K638)*(Pessoas!$G$5:$G$44="Ativo")),MOD(ROW()-6,MAX(1,COUNTIFS(Pessoas!$C$5:$C$44,$K638,Pessoas!$G$5:$G$44,"Ativo")))+1)))</f>
        <v>Equipe Oficina Mecânica Central-Taisa</v>
      </c>
    </row>
    <row r="639" spans="1:12" ht="15" customHeight="1" x14ac:dyDescent="0.4">
      <c r="A639" s="25">
        <v>46360</v>
      </c>
      <c r="B639" s="16">
        <v>14</v>
      </c>
      <c r="C639" s="16">
        <v>2</v>
      </c>
      <c r="D639" s="16">
        <v>12</v>
      </c>
      <c r="E639" s="16" t="s">
        <v>980</v>
      </c>
      <c r="F639" s="16" t="s">
        <v>1235</v>
      </c>
      <c r="G639" s="16" t="s">
        <v>158</v>
      </c>
      <c r="H639" s="16" t="s">
        <v>141</v>
      </c>
      <c r="I639" s="22" t="s">
        <v>861</v>
      </c>
      <c r="J639" s="16">
        <f>IFERROR(INDEX(Aux_HH!$J$4:$J$31,MATCH($H639&amp;"|"&amp;$I639,Aux_HH!$A$4:$A$31,0)),"")</f>
        <v>4</v>
      </c>
      <c r="K639" s="16" t="s">
        <v>76</v>
      </c>
      <c r="L639" s="16" t="str">
        <f>IF(COUNTIFS(Pessoas!$C$5:$C$44,$K639,Pessoas!$G$5:$G$44,"Ativo")=0,"Equipe "&amp;$K639,INDEX(Pessoas!$A$5:$A$44,_xludf.aggregate(15,6,(ROW(Pessoas!$A$5:$A$44)-4)/((Pessoas!$C$5:$C$44=$K639)*(Pessoas!$G$5:$G$44="Ativo")),MOD(ROW()-6,MAX(1,COUNTIFS(Pessoas!$C$5:$C$44,$K639,Pessoas!$G$5:$G$44,"Ativo")))+1)))</f>
        <v>Equipe Oficina Mecânica Central-Taisa</v>
      </c>
    </row>
    <row r="640" spans="1:12" ht="15" customHeight="1" x14ac:dyDescent="0.4">
      <c r="A640" s="25">
        <v>46360</v>
      </c>
      <c r="B640" s="16">
        <v>14</v>
      </c>
      <c r="C640" s="16">
        <v>2</v>
      </c>
      <c r="D640" s="16">
        <v>12</v>
      </c>
      <c r="E640" s="16" t="s">
        <v>980</v>
      </c>
      <c r="F640" s="16" t="s">
        <v>1236</v>
      </c>
      <c r="G640" s="16" t="s">
        <v>158</v>
      </c>
      <c r="H640" s="16" t="s">
        <v>141</v>
      </c>
      <c r="I640" s="22" t="s">
        <v>861</v>
      </c>
      <c r="J640" s="16">
        <f>IFERROR(INDEX(Aux_HH!$J$4:$J$31,MATCH($H640&amp;"|"&amp;$I640,Aux_HH!$A$4:$A$31,0)),"")</f>
        <v>4</v>
      </c>
      <c r="K640" s="16" t="s">
        <v>76</v>
      </c>
      <c r="L640" s="16" t="str">
        <f>IF(COUNTIFS(Pessoas!$C$5:$C$44,$K640,Pessoas!$G$5:$G$44,"Ativo")=0,"Equipe "&amp;$K640,INDEX(Pessoas!$A$5:$A$44,_xludf.aggregate(15,6,(ROW(Pessoas!$A$5:$A$44)-4)/((Pessoas!$C$5:$C$44=$K640)*(Pessoas!$G$5:$G$44="Ativo")),MOD(ROW()-6,MAX(1,COUNTIFS(Pessoas!$C$5:$C$44,$K640,Pessoas!$G$5:$G$44,"Ativo")))+1)))</f>
        <v>Equipe Oficina Mecânica Central-Taisa</v>
      </c>
    </row>
    <row r="641" spans="1:12" ht="15" customHeight="1" x14ac:dyDescent="0.4">
      <c r="A641" s="25">
        <v>46360</v>
      </c>
      <c r="B641" s="16">
        <v>14</v>
      </c>
      <c r="C641" s="16">
        <v>2</v>
      </c>
      <c r="D641" s="16">
        <v>12</v>
      </c>
      <c r="E641" s="16" t="s">
        <v>980</v>
      </c>
      <c r="F641" s="16" t="s">
        <v>1237</v>
      </c>
      <c r="G641" s="16" t="s">
        <v>158</v>
      </c>
      <c r="H641" s="16" t="s">
        <v>141</v>
      </c>
      <c r="I641" s="22" t="s">
        <v>861</v>
      </c>
      <c r="J641" s="16">
        <f>IFERROR(INDEX(Aux_HH!$J$4:$J$31,MATCH($H641&amp;"|"&amp;$I641,Aux_HH!$A$4:$A$31,0)),"")</f>
        <v>4</v>
      </c>
      <c r="K641" s="16" t="s">
        <v>76</v>
      </c>
      <c r="L641" s="16" t="str">
        <f>IF(COUNTIFS(Pessoas!$C$5:$C$44,$K641,Pessoas!$G$5:$G$44,"Ativo")=0,"Equipe "&amp;$K641,INDEX(Pessoas!$A$5:$A$44,_xludf.aggregate(15,6,(ROW(Pessoas!$A$5:$A$44)-4)/((Pessoas!$C$5:$C$44=$K641)*(Pessoas!$G$5:$G$44="Ativo")),MOD(ROW()-6,MAX(1,COUNTIFS(Pessoas!$C$5:$C$44,$K641,Pessoas!$G$5:$G$44,"Ativo")))+1)))</f>
        <v>Equipe Oficina Mecânica Central-Taisa</v>
      </c>
    </row>
    <row r="642" spans="1:12" ht="15" customHeight="1" x14ac:dyDescent="0.4">
      <c r="A642" s="25">
        <v>46360</v>
      </c>
      <c r="B642" s="16">
        <v>14</v>
      </c>
      <c r="C642" s="16">
        <v>2</v>
      </c>
      <c r="D642" s="16">
        <v>12</v>
      </c>
      <c r="E642" s="16" t="s">
        <v>980</v>
      </c>
      <c r="F642" s="16" t="s">
        <v>1238</v>
      </c>
      <c r="G642" s="16" t="s">
        <v>158</v>
      </c>
      <c r="H642" s="16" t="s">
        <v>141</v>
      </c>
      <c r="I642" s="22" t="s">
        <v>861</v>
      </c>
      <c r="J642" s="16">
        <f>IFERROR(INDEX(Aux_HH!$J$4:$J$31,MATCH($H642&amp;"|"&amp;$I642,Aux_HH!$A$4:$A$31,0)),"")</f>
        <v>4</v>
      </c>
      <c r="K642" s="16" t="s">
        <v>76</v>
      </c>
      <c r="L642" s="16" t="str">
        <f>IF(COUNTIFS(Pessoas!$C$5:$C$44,$K642,Pessoas!$G$5:$G$44,"Ativo")=0,"Equipe "&amp;$K642,INDEX(Pessoas!$A$5:$A$44,_xludf.aggregate(15,6,(ROW(Pessoas!$A$5:$A$44)-4)/((Pessoas!$C$5:$C$44=$K642)*(Pessoas!$G$5:$G$44="Ativo")),MOD(ROW()-6,MAX(1,COUNTIFS(Pessoas!$C$5:$C$44,$K642,Pessoas!$G$5:$G$44,"Ativo")))+1)))</f>
        <v>Equipe Oficina Mecânica Central-Taisa</v>
      </c>
    </row>
    <row r="643" spans="1:12" ht="15" customHeight="1" x14ac:dyDescent="0.4">
      <c r="A643" s="25">
        <v>46360</v>
      </c>
      <c r="B643" s="16">
        <v>14</v>
      </c>
      <c r="C643" s="16">
        <v>2</v>
      </c>
      <c r="D643" s="16">
        <v>12</v>
      </c>
      <c r="E643" s="16" t="s">
        <v>980</v>
      </c>
      <c r="F643" s="16" t="s">
        <v>1239</v>
      </c>
      <c r="G643" s="16" t="s">
        <v>158</v>
      </c>
      <c r="H643" s="16" t="s">
        <v>141</v>
      </c>
      <c r="I643" s="22" t="s">
        <v>861</v>
      </c>
      <c r="J643" s="16">
        <f>IFERROR(INDEX(Aux_HH!$J$4:$J$31,MATCH($H643&amp;"|"&amp;$I643,Aux_HH!$A$4:$A$31,0)),"")</f>
        <v>4</v>
      </c>
      <c r="K643" s="16" t="s">
        <v>76</v>
      </c>
      <c r="L643" s="16" t="str">
        <f>IF(COUNTIFS(Pessoas!$C$5:$C$44,$K643,Pessoas!$G$5:$G$44,"Ativo")=0,"Equipe "&amp;$K643,INDEX(Pessoas!$A$5:$A$44,_xludf.aggregate(15,6,(ROW(Pessoas!$A$5:$A$44)-4)/((Pessoas!$C$5:$C$44=$K643)*(Pessoas!$G$5:$G$44="Ativo")),MOD(ROW()-6,MAX(1,COUNTIFS(Pessoas!$C$5:$C$44,$K643,Pessoas!$G$5:$G$44,"Ativo")))+1)))</f>
        <v>Equipe Oficina Mecânica Central-Taisa</v>
      </c>
    </row>
    <row r="644" spans="1:12" ht="15" customHeight="1" x14ac:dyDescent="0.4">
      <c r="A644" s="25">
        <v>46360</v>
      </c>
      <c r="B644" s="16">
        <v>14</v>
      </c>
      <c r="C644" s="16">
        <v>2</v>
      </c>
      <c r="D644" s="16">
        <v>12</v>
      </c>
      <c r="E644" s="16" t="s">
        <v>980</v>
      </c>
      <c r="F644" s="16" t="s">
        <v>1240</v>
      </c>
      <c r="G644" s="16" t="s">
        <v>184</v>
      </c>
      <c r="H644" s="16" t="s">
        <v>141</v>
      </c>
      <c r="I644" s="22" t="s">
        <v>861</v>
      </c>
      <c r="J644" s="16">
        <f>IFERROR(INDEX(Aux_HH!$J$4:$J$31,MATCH($H644&amp;"|"&amp;$I644,Aux_HH!$A$4:$A$31,0)),"")</f>
        <v>4</v>
      </c>
      <c r="K644" s="16" t="s">
        <v>76</v>
      </c>
      <c r="L644" s="16" t="str">
        <f>IF(COUNTIFS(Pessoas!$C$5:$C$44,$K644,Pessoas!$G$5:$G$44,"Ativo")=0,"Equipe "&amp;$K644,INDEX(Pessoas!$A$5:$A$44,_xludf.aggregate(15,6,(ROW(Pessoas!$A$5:$A$44)-4)/((Pessoas!$C$5:$C$44=$K644)*(Pessoas!$G$5:$G$44="Ativo")),MOD(ROW()-6,MAX(1,COUNTIFS(Pessoas!$C$5:$C$44,$K644,Pessoas!$G$5:$G$44,"Ativo")))+1)))</f>
        <v>Equipe Oficina Mecânica Central-Taisa</v>
      </c>
    </row>
    <row r="645" spans="1:12" ht="15" customHeight="1" x14ac:dyDescent="0.4">
      <c r="A645" s="25">
        <v>46360</v>
      </c>
      <c r="B645" s="16">
        <v>14</v>
      </c>
      <c r="C645" s="16">
        <v>2</v>
      </c>
      <c r="D645" s="16">
        <v>12</v>
      </c>
      <c r="E645" s="16" t="s">
        <v>980</v>
      </c>
      <c r="F645" s="16" t="s">
        <v>1241</v>
      </c>
      <c r="G645" s="16" t="s">
        <v>184</v>
      </c>
      <c r="H645" s="16" t="s">
        <v>141</v>
      </c>
      <c r="I645" s="22" t="s">
        <v>861</v>
      </c>
      <c r="J645" s="16">
        <f>IFERROR(INDEX(Aux_HH!$J$4:$J$31,MATCH($H645&amp;"|"&amp;$I645,Aux_HH!$A$4:$A$31,0)),"")</f>
        <v>4</v>
      </c>
      <c r="K645" s="16" t="s">
        <v>76</v>
      </c>
      <c r="L645" s="16" t="str">
        <f>IF(COUNTIFS(Pessoas!$C$5:$C$44,$K645,Pessoas!$G$5:$G$44,"Ativo")=0,"Equipe "&amp;$K645,INDEX(Pessoas!$A$5:$A$44,_xludf.aggregate(15,6,(ROW(Pessoas!$A$5:$A$44)-4)/((Pessoas!$C$5:$C$44=$K645)*(Pessoas!$G$5:$G$44="Ativo")),MOD(ROW()-6,MAX(1,COUNTIFS(Pessoas!$C$5:$C$44,$K645,Pessoas!$G$5:$G$44,"Ativo")))+1)))</f>
        <v>Equipe Oficina Mecânica Central-Taisa</v>
      </c>
    </row>
    <row r="646" spans="1:12" ht="15" customHeight="1" x14ac:dyDescent="0.4">
      <c r="A646" s="25">
        <v>46360</v>
      </c>
      <c r="B646" s="16">
        <v>14</v>
      </c>
      <c r="C646" s="16">
        <v>2</v>
      </c>
      <c r="D646" s="16">
        <v>12</v>
      </c>
      <c r="E646" s="16" t="s">
        <v>980</v>
      </c>
      <c r="F646" s="16" t="s">
        <v>1242</v>
      </c>
      <c r="G646" s="16" t="s">
        <v>184</v>
      </c>
      <c r="H646" s="16" t="s">
        <v>141</v>
      </c>
      <c r="I646" s="22" t="s">
        <v>861</v>
      </c>
      <c r="J646" s="16">
        <f>IFERROR(INDEX(Aux_HH!$J$4:$J$31,MATCH($H646&amp;"|"&amp;$I646,Aux_HH!$A$4:$A$31,0)),"")</f>
        <v>4</v>
      </c>
      <c r="K646" s="16" t="s">
        <v>76</v>
      </c>
      <c r="L646" s="16" t="str">
        <f>IF(COUNTIFS(Pessoas!$C$5:$C$44,$K646,Pessoas!$G$5:$G$44,"Ativo")=0,"Equipe "&amp;$K646,INDEX(Pessoas!$A$5:$A$44,_xludf.aggregate(15,6,(ROW(Pessoas!$A$5:$A$44)-4)/((Pessoas!$C$5:$C$44=$K646)*(Pessoas!$G$5:$G$44="Ativo")),MOD(ROW()-6,MAX(1,COUNTIFS(Pessoas!$C$5:$C$44,$K646,Pessoas!$G$5:$G$44,"Ativo")))+1)))</f>
        <v>Equipe Oficina Mecânica Central-Taisa</v>
      </c>
    </row>
    <row r="647" spans="1:12" ht="15" customHeight="1" x14ac:dyDescent="0.4">
      <c r="A647" s="25">
        <v>46360</v>
      </c>
      <c r="B647" s="16">
        <v>14</v>
      </c>
      <c r="C647" s="16">
        <v>2</v>
      </c>
      <c r="D647" s="16">
        <v>12</v>
      </c>
      <c r="E647" s="16" t="s">
        <v>980</v>
      </c>
      <c r="F647" s="16" t="s">
        <v>1243</v>
      </c>
      <c r="G647" s="16" t="s">
        <v>184</v>
      </c>
      <c r="H647" s="16" t="s">
        <v>141</v>
      </c>
      <c r="I647" s="22" t="s">
        <v>861</v>
      </c>
      <c r="J647" s="16">
        <f>IFERROR(INDEX(Aux_HH!$J$4:$J$31,MATCH($H647&amp;"|"&amp;$I647,Aux_HH!$A$4:$A$31,0)),"")</f>
        <v>4</v>
      </c>
      <c r="K647" s="16" t="s">
        <v>76</v>
      </c>
      <c r="L647" s="16" t="str">
        <f>IF(COUNTIFS(Pessoas!$C$5:$C$44,$K647,Pessoas!$G$5:$G$44,"Ativo")=0,"Equipe "&amp;$K647,INDEX(Pessoas!$A$5:$A$44,_xludf.aggregate(15,6,(ROW(Pessoas!$A$5:$A$44)-4)/((Pessoas!$C$5:$C$44=$K647)*(Pessoas!$G$5:$G$44="Ativo")),MOD(ROW()-6,MAX(1,COUNTIFS(Pessoas!$C$5:$C$44,$K647,Pessoas!$G$5:$G$44,"Ativo")))+1)))</f>
        <v>Equipe Oficina Mecânica Central-Taisa</v>
      </c>
    </row>
    <row r="648" spans="1:12" ht="15" customHeight="1" x14ac:dyDescent="0.4">
      <c r="A648" s="25">
        <v>46360</v>
      </c>
      <c r="B648" s="16">
        <v>14</v>
      </c>
      <c r="C648" s="16">
        <v>2</v>
      </c>
      <c r="D648" s="16">
        <v>12</v>
      </c>
      <c r="E648" s="16" t="s">
        <v>980</v>
      </c>
      <c r="F648" s="16" t="s">
        <v>1244</v>
      </c>
      <c r="G648" s="16" t="s">
        <v>184</v>
      </c>
      <c r="H648" s="16" t="s">
        <v>141</v>
      </c>
      <c r="I648" s="22" t="s">
        <v>861</v>
      </c>
      <c r="J648" s="16">
        <f>IFERROR(INDEX(Aux_HH!$J$4:$J$31,MATCH($H648&amp;"|"&amp;$I648,Aux_HH!$A$4:$A$31,0)),"")</f>
        <v>4</v>
      </c>
      <c r="K648" s="16" t="s">
        <v>76</v>
      </c>
      <c r="L648" s="16" t="str">
        <f>IF(COUNTIFS(Pessoas!$C$5:$C$44,$K648,Pessoas!$G$5:$G$44,"Ativo")=0,"Equipe "&amp;$K648,INDEX(Pessoas!$A$5:$A$44,_xludf.aggregate(15,6,(ROW(Pessoas!$A$5:$A$44)-4)/((Pessoas!$C$5:$C$44=$K648)*(Pessoas!$G$5:$G$44="Ativo")),MOD(ROW()-6,MAX(1,COUNTIFS(Pessoas!$C$5:$C$44,$K648,Pessoas!$G$5:$G$44,"Ativo")))+1)))</f>
        <v>Equipe Oficina Mecânica Central-Taisa</v>
      </c>
    </row>
    <row r="649" spans="1:12" ht="15" customHeight="1" x14ac:dyDescent="0.4">
      <c r="A649" s="25">
        <v>46360</v>
      </c>
      <c r="B649" s="16">
        <v>14</v>
      </c>
      <c r="C649" s="16">
        <v>2</v>
      </c>
      <c r="D649" s="16">
        <v>12</v>
      </c>
      <c r="E649" s="16" t="s">
        <v>980</v>
      </c>
      <c r="F649" s="16" t="s">
        <v>1245</v>
      </c>
      <c r="G649" s="16" t="s">
        <v>184</v>
      </c>
      <c r="H649" s="16" t="s">
        <v>141</v>
      </c>
      <c r="I649" s="22" t="s">
        <v>861</v>
      </c>
      <c r="J649" s="16">
        <f>IFERROR(INDEX(Aux_HH!$J$4:$J$31,MATCH($H649&amp;"|"&amp;$I649,Aux_HH!$A$4:$A$31,0)),"")</f>
        <v>4</v>
      </c>
      <c r="K649" s="16" t="s">
        <v>76</v>
      </c>
      <c r="L649" s="16" t="str">
        <f>IF(COUNTIFS(Pessoas!$C$5:$C$44,$K649,Pessoas!$G$5:$G$44,"Ativo")=0,"Equipe "&amp;$K649,INDEX(Pessoas!$A$5:$A$44,_xludf.aggregate(15,6,(ROW(Pessoas!$A$5:$A$44)-4)/((Pessoas!$C$5:$C$44=$K649)*(Pessoas!$G$5:$G$44="Ativo")),MOD(ROW()-6,MAX(1,COUNTIFS(Pessoas!$C$5:$C$44,$K649,Pessoas!$G$5:$G$44,"Ativo")))+1)))</f>
        <v>Equipe Oficina Mecânica Central-Taisa</v>
      </c>
    </row>
    <row r="650" spans="1:12" ht="15" customHeight="1" x14ac:dyDescent="0.4">
      <c r="A650" s="25">
        <v>46360</v>
      </c>
      <c r="B650" s="16">
        <v>14</v>
      </c>
      <c r="C650" s="16">
        <v>2</v>
      </c>
      <c r="D650" s="16">
        <v>12</v>
      </c>
      <c r="E650" s="16" t="s">
        <v>980</v>
      </c>
      <c r="F650" s="16" t="s">
        <v>1246</v>
      </c>
      <c r="G650" s="16" t="s">
        <v>184</v>
      </c>
      <c r="H650" s="16" t="s">
        <v>141</v>
      </c>
      <c r="I650" s="22" t="s">
        <v>861</v>
      </c>
      <c r="J650" s="16">
        <f>IFERROR(INDEX(Aux_HH!$J$4:$J$31,MATCH($H650&amp;"|"&amp;$I650,Aux_HH!$A$4:$A$31,0)),"")</f>
        <v>4</v>
      </c>
      <c r="K650" s="16" t="s">
        <v>76</v>
      </c>
      <c r="L650" s="16" t="str">
        <f>IF(COUNTIFS(Pessoas!$C$5:$C$44,$K650,Pessoas!$G$5:$G$44,"Ativo")=0,"Equipe "&amp;$K650,INDEX(Pessoas!$A$5:$A$44,_xludf.aggregate(15,6,(ROW(Pessoas!$A$5:$A$44)-4)/((Pessoas!$C$5:$C$44=$K650)*(Pessoas!$G$5:$G$44="Ativo")),MOD(ROW()-6,MAX(1,COUNTIFS(Pessoas!$C$5:$C$44,$K650,Pessoas!$G$5:$G$44,"Ativo")))+1)))</f>
        <v>Equipe Oficina Mecânica Central-Taisa</v>
      </c>
    </row>
    <row r="651" spans="1:12" ht="15" customHeight="1" x14ac:dyDescent="0.4">
      <c r="A651" s="25">
        <v>46360</v>
      </c>
      <c r="B651" s="16">
        <v>14</v>
      </c>
      <c r="C651" s="16">
        <v>2</v>
      </c>
      <c r="D651" s="16">
        <v>12</v>
      </c>
      <c r="E651" s="16" t="s">
        <v>980</v>
      </c>
      <c r="F651" s="16" t="s">
        <v>1247</v>
      </c>
      <c r="G651" s="16" t="s">
        <v>184</v>
      </c>
      <c r="H651" s="16" t="s">
        <v>141</v>
      </c>
      <c r="I651" s="22" t="s">
        <v>861</v>
      </c>
      <c r="J651" s="16">
        <f>IFERROR(INDEX(Aux_HH!$J$4:$J$31,MATCH($H651&amp;"|"&amp;$I651,Aux_HH!$A$4:$A$31,0)),"")</f>
        <v>4</v>
      </c>
      <c r="K651" s="16" t="s">
        <v>76</v>
      </c>
      <c r="L651" s="16" t="str">
        <f>IF(COUNTIFS(Pessoas!$C$5:$C$44,$K651,Pessoas!$G$5:$G$44,"Ativo")=0,"Equipe "&amp;$K651,INDEX(Pessoas!$A$5:$A$44,_xludf.aggregate(15,6,(ROW(Pessoas!$A$5:$A$44)-4)/((Pessoas!$C$5:$C$44=$K651)*(Pessoas!$G$5:$G$44="Ativo")),MOD(ROW()-6,MAX(1,COUNTIFS(Pessoas!$C$5:$C$44,$K651,Pessoas!$G$5:$G$44,"Ativo")))+1)))</f>
        <v>Equipe Oficina Mecânica Central-Taisa</v>
      </c>
    </row>
    <row r="652" spans="1:12" ht="15" customHeight="1" x14ac:dyDescent="0.4">
      <c r="A652" s="25">
        <v>46360</v>
      </c>
      <c r="B652" s="16">
        <v>14</v>
      </c>
      <c r="C652" s="16">
        <v>2</v>
      </c>
      <c r="D652" s="16">
        <v>12</v>
      </c>
      <c r="E652" s="16" t="s">
        <v>980</v>
      </c>
      <c r="F652" s="16" t="s">
        <v>1248</v>
      </c>
      <c r="G652" s="16" t="s">
        <v>184</v>
      </c>
      <c r="H652" s="16" t="s">
        <v>141</v>
      </c>
      <c r="I652" s="22" t="s">
        <v>861</v>
      </c>
      <c r="J652" s="16">
        <f>IFERROR(INDEX(Aux_HH!$J$4:$J$31,MATCH($H652&amp;"|"&amp;$I652,Aux_HH!$A$4:$A$31,0)),"")</f>
        <v>4</v>
      </c>
      <c r="K652" s="16" t="s">
        <v>76</v>
      </c>
      <c r="L652" s="16" t="str">
        <f>IF(COUNTIFS(Pessoas!$C$5:$C$44,$K652,Pessoas!$G$5:$G$44,"Ativo")=0,"Equipe "&amp;$K652,INDEX(Pessoas!$A$5:$A$44,_xludf.aggregate(15,6,(ROW(Pessoas!$A$5:$A$44)-4)/((Pessoas!$C$5:$C$44=$K652)*(Pessoas!$G$5:$G$44="Ativo")),MOD(ROW()-6,MAX(1,COUNTIFS(Pessoas!$C$5:$C$44,$K652,Pessoas!$G$5:$G$44,"Ativo")))+1)))</f>
        <v>Equipe Oficina Mecânica Central-Taisa</v>
      </c>
    </row>
    <row r="653" spans="1:12" ht="15" customHeight="1" x14ac:dyDescent="0.4">
      <c r="A653" s="25">
        <v>46360</v>
      </c>
      <c r="B653" s="16">
        <v>14</v>
      </c>
      <c r="C653" s="16">
        <v>2</v>
      </c>
      <c r="D653" s="16">
        <v>12</v>
      </c>
      <c r="E653" s="16" t="s">
        <v>980</v>
      </c>
      <c r="F653" s="16" t="s">
        <v>1249</v>
      </c>
      <c r="G653" s="16" t="s">
        <v>184</v>
      </c>
      <c r="H653" s="16" t="s">
        <v>141</v>
      </c>
      <c r="I653" s="22" t="s">
        <v>861</v>
      </c>
      <c r="J653" s="16">
        <f>IFERROR(INDEX(Aux_HH!$J$4:$J$31,MATCH($H653&amp;"|"&amp;$I653,Aux_HH!$A$4:$A$31,0)),"")</f>
        <v>4</v>
      </c>
      <c r="K653" s="16" t="s">
        <v>76</v>
      </c>
      <c r="L653" s="16" t="str">
        <f>IF(COUNTIFS(Pessoas!$C$5:$C$44,$K653,Pessoas!$G$5:$G$44,"Ativo")=0,"Equipe "&amp;$K653,INDEX(Pessoas!$A$5:$A$44,_xludf.aggregate(15,6,(ROW(Pessoas!$A$5:$A$44)-4)/((Pessoas!$C$5:$C$44=$K653)*(Pessoas!$G$5:$G$44="Ativo")),MOD(ROW()-6,MAX(1,COUNTIFS(Pessoas!$C$5:$C$44,$K653,Pessoas!$G$5:$G$44,"Ativo")))+1)))</f>
        <v>Equipe Oficina Mecânica Central-Taisa</v>
      </c>
    </row>
    <row r="654" spans="1:12" ht="15" customHeight="1" x14ac:dyDescent="0.4">
      <c r="A654" s="25">
        <v>46360</v>
      </c>
      <c r="B654" s="16">
        <v>14</v>
      </c>
      <c r="C654" s="16">
        <v>2</v>
      </c>
      <c r="D654" s="16">
        <v>12</v>
      </c>
      <c r="E654" s="16" t="s">
        <v>980</v>
      </c>
      <c r="F654" s="16" t="s">
        <v>1250</v>
      </c>
      <c r="G654" s="16" t="s">
        <v>184</v>
      </c>
      <c r="H654" s="16" t="s">
        <v>141</v>
      </c>
      <c r="I654" s="22" t="s">
        <v>861</v>
      </c>
      <c r="J654" s="16">
        <f>IFERROR(INDEX(Aux_HH!$J$4:$J$31,MATCH($H654&amp;"|"&amp;$I654,Aux_HH!$A$4:$A$31,0)),"")</f>
        <v>4</v>
      </c>
      <c r="K654" s="16" t="s">
        <v>76</v>
      </c>
      <c r="L654" s="16" t="str">
        <f>IF(COUNTIFS(Pessoas!$C$5:$C$44,$K654,Pessoas!$G$5:$G$44,"Ativo")=0,"Equipe "&amp;$K654,INDEX(Pessoas!$A$5:$A$44,_xludf.aggregate(15,6,(ROW(Pessoas!$A$5:$A$44)-4)/((Pessoas!$C$5:$C$44=$K654)*(Pessoas!$G$5:$G$44="Ativo")),MOD(ROW()-6,MAX(1,COUNTIFS(Pessoas!$C$5:$C$44,$K654,Pessoas!$G$5:$G$44,"Ativo")))+1)))</f>
        <v>Equipe Oficina Mecânica Central-Taisa</v>
      </c>
    </row>
    <row r="655" spans="1:12" ht="15" customHeight="1" x14ac:dyDescent="0.4">
      <c r="A655" s="25">
        <v>46360</v>
      </c>
      <c r="B655" s="16">
        <v>14</v>
      </c>
      <c r="C655" s="16">
        <v>2</v>
      </c>
      <c r="D655" s="16">
        <v>12</v>
      </c>
      <c r="E655" s="16" t="s">
        <v>980</v>
      </c>
      <c r="F655" s="16" t="s">
        <v>1253</v>
      </c>
      <c r="G655" s="16" t="s">
        <v>158</v>
      </c>
      <c r="H655" s="16" t="s">
        <v>141</v>
      </c>
      <c r="I655" s="22" t="s">
        <v>861</v>
      </c>
      <c r="J655" s="16">
        <f>IFERROR(INDEX(Aux_HH!$J$4:$J$31,MATCH($H655&amp;"|"&amp;$I655,Aux_HH!$A$4:$A$31,0)),"")</f>
        <v>4</v>
      </c>
      <c r="K655" s="16" t="s">
        <v>76</v>
      </c>
      <c r="L655" s="16" t="str">
        <f>IF(COUNTIFS(Pessoas!$C$5:$C$44,$K655,Pessoas!$G$5:$G$44,"Ativo")=0,"Equipe "&amp;$K655,INDEX(Pessoas!$A$5:$A$44,_xludf.aggregate(15,6,(ROW(Pessoas!$A$5:$A$44)-4)/((Pessoas!$C$5:$C$44=$K655)*(Pessoas!$G$5:$G$44="Ativo")),MOD(ROW()-6,MAX(1,COUNTIFS(Pessoas!$C$5:$C$44,$K655,Pessoas!$G$5:$G$44,"Ativo")))+1)))</f>
        <v>Equipe Oficina Mecânica Central-Taisa</v>
      </c>
    </row>
    <row r="656" spans="1:12" ht="15" customHeight="1" x14ac:dyDescent="0.4">
      <c r="A656" s="25">
        <v>46363</v>
      </c>
      <c r="B656" s="16">
        <v>14</v>
      </c>
      <c r="C656" s="16">
        <v>2</v>
      </c>
      <c r="D656" s="16">
        <v>12</v>
      </c>
      <c r="E656" s="16" t="s">
        <v>980</v>
      </c>
      <c r="F656" s="16" t="s">
        <v>1272</v>
      </c>
      <c r="G656" s="16" t="s">
        <v>158</v>
      </c>
      <c r="H656" s="16" t="s">
        <v>141</v>
      </c>
      <c r="I656" s="22" t="s">
        <v>861</v>
      </c>
      <c r="J656" s="16">
        <f>IFERROR(INDEX(Aux_HH!$J$4:$J$31,MATCH($H656&amp;"|"&amp;$I656,Aux_HH!$A$4:$A$31,0)),"")</f>
        <v>4</v>
      </c>
      <c r="K656" s="16" t="s">
        <v>76</v>
      </c>
      <c r="L656" s="16" t="str">
        <f>IF(COUNTIFS(Pessoas!$C$5:$C$44,$K656,Pessoas!$G$5:$G$44,"Ativo")=0,"Equipe "&amp;$K656,INDEX(Pessoas!$A$5:$A$44,_xludf.aggregate(15,6,(ROW(Pessoas!$A$5:$A$44)-4)/((Pessoas!$C$5:$C$44=$K656)*(Pessoas!$G$5:$G$44="Ativo")),MOD(ROW()-6,MAX(1,COUNTIFS(Pessoas!$C$5:$C$44,$K656,Pessoas!$G$5:$G$44,"Ativo")))+1)))</f>
        <v>Equipe Oficina Mecânica Central-Taisa</v>
      </c>
    </row>
    <row r="657" spans="1:12" ht="15" customHeight="1" x14ac:dyDescent="0.4">
      <c r="A657" s="25">
        <v>46363</v>
      </c>
      <c r="B657" s="16">
        <v>14</v>
      </c>
      <c r="C657" s="16">
        <v>2</v>
      </c>
      <c r="D657" s="16">
        <v>12</v>
      </c>
      <c r="E657" s="16" t="s">
        <v>980</v>
      </c>
      <c r="F657" s="16" t="s">
        <v>1273</v>
      </c>
      <c r="G657" s="16" t="s">
        <v>158</v>
      </c>
      <c r="H657" s="16" t="s">
        <v>141</v>
      </c>
      <c r="I657" s="22" t="s">
        <v>861</v>
      </c>
      <c r="J657" s="16">
        <f>IFERROR(INDEX(Aux_HH!$J$4:$J$31,MATCH($H657&amp;"|"&amp;$I657,Aux_HH!$A$4:$A$31,0)),"")</f>
        <v>4</v>
      </c>
      <c r="K657" s="16" t="s">
        <v>76</v>
      </c>
      <c r="L657" s="16" t="str">
        <f>IF(COUNTIFS(Pessoas!$C$5:$C$44,$K657,Pessoas!$G$5:$G$44,"Ativo")=0,"Equipe "&amp;$K657,INDEX(Pessoas!$A$5:$A$44,_xludf.aggregate(15,6,(ROW(Pessoas!$A$5:$A$44)-4)/((Pessoas!$C$5:$C$44=$K657)*(Pessoas!$G$5:$G$44="Ativo")),MOD(ROW()-6,MAX(1,COUNTIFS(Pessoas!$C$5:$C$44,$K657,Pessoas!$G$5:$G$44,"Ativo")))+1)))</f>
        <v>Equipe Oficina Mecânica Central-Taisa</v>
      </c>
    </row>
    <row r="658" spans="1:12" ht="15" customHeight="1" x14ac:dyDescent="0.4">
      <c r="A658" s="25">
        <v>46363</v>
      </c>
      <c r="B658" s="16">
        <v>14</v>
      </c>
      <c r="C658" s="16">
        <v>2</v>
      </c>
      <c r="D658" s="16">
        <v>12</v>
      </c>
      <c r="E658" s="16" t="s">
        <v>980</v>
      </c>
      <c r="F658" s="16" t="s">
        <v>1274</v>
      </c>
      <c r="G658" s="16" t="s">
        <v>158</v>
      </c>
      <c r="H658" s="16" t="s">
        <v>141</v>
      </c>
      <c r="I658" s="22" t="s">
        <v>861</v>
      </c>
      <c r="J658" s="16">
        <f>IFERROR(INDEX(Aux_HH!$J$4:$J$31,MATCH($H658&amp;"|"&amp;$I658,Aux_HH!$A$4:$A$31,0)),"")</f>
        <v>4</v>
      </c>
      <c r="K658" s="16" t="s">
        <v>76</v>
      </c>
      <c r="L658" s="16" t="str">
        <f>IF(COUNTIFS(Pessoas!$C$5:$C$44,$K658,Pessoas!$G$5:$G$44,"Ativo")=0,"Equipe "&amp;$K658,INDEX(Pessoas!$A$5:$A$44,_xludf.aggregate(15,6,(ROW(Pessoas!$A$5:$A$44)-4)/((Pessoas!$C$5:$C$44=$K658)*(Pessoas!$G$5:$G$44="Ativo")),MOD(ROW()-6,MAX(1,COUNTIFS(Pessoas!$C$5:$C$44,$K658,Pessoas!$G$5:$G$44,"Ativo")))+1)))</f>
        <v>Equipe Oficina Mecânica Central-Taisa</v>
      </c>
    </row>
    <row r="659" spans="1:12" ht="15" customHeight="1" x14ac:dyDescent="0.4">
      <c r="A659" s="25">
        <v>46363</v>
      </c>
      <c r="B659" s="16">
        <v>14</v>
      </c>
      <c r="C659" s="16">
        <v>2</v>
      </c>
      <c r="D659" s="16">
        <v>12</v>
      </c>
      <c r="E659" s="16" t="s">
        <v>980</v>
      </c>
      <c r="F659" s="16" t="s">
        <v>1275</v>
      </c>
      <c r="G659" s="16" t="s">
        <v>158</v>
      </c>
      <c r="H659" s="16" t="s">
        <v>141</v>
      </c>
      <c r="I659" s="22" t="s">
        <v>861</v>
      </c>
      <c r="J659" s="16">
        <f>IFERROR(INDEX(Aux_HH!$J$4:$J$31,MATCH($H659&amp;"|"&amp;$I659,Aux_HH!$A$4:$A$31,0)),"")</f>
        <v>4</v>
      </c>
      <c r="K659" s="16" t="s">
        <v>76</v>
      </c>
      <c r="L659" s="16" t="str">
        <f>IF(COUNTIFS(Pessoas!$C$5:$C$44,$K659,Pessoas!$G$5:$G$44,"Ativo")=0,"Equipe "&amp;$K659,INDEX(Pessoas!$A$5:$A$44,_xludf.aggregate(15,6,(ROW(Pessoas!$A$5:$A$44)-4)/((Pessoas!$C$5:$C$44=$K659)*(Pessoas!$G$5:$G$44="Ativo")),MOD(ROW()-6,MAX(1,COUNTIFS(Pessoas!$C$5:$C$44,$K659,Pessoas!$G$5:$G$44,"Ativo")))+1)))</f>
        <v>Equipe Oficina Mecânica Central-Taisa</v>
      </c>
    </row>
    <row r="660" spans="1:12" ht="15" customHeight="1" x14ac:dyDescent="0.4">
      <c r="A660" s="25">
        <v>46363</v>
      </c>
      <c r="B660" s="16">
        <v>14</v>
      </c>
      <c r="C660" s="16">
        <v>2</v>
      </c>
      <c r="D660" s="16">
        <v>12</v>
      </c>
      <c r="E660" s="16" t="s">
        <v>980</v>
      </c>
      <c r="F660" s="16" t="s">
        <v>1276</v>
      </c>
      <c r="G660" s="16" t="s">
        <v>158</v>
      </c>
      <c r="H660" s="16" t="s">
        <v>141</v>
      </c>
      <c r="I660" s="22" t="s">
        <v>861</v>
      </c>
      <c r="J660" s="16">
        <f>IFERROR(INDEX(Aux_HH!$J$4:$J$31,MATCH($H660&amp;"|"&amp;$I660,Aux_HH!$A$4:$A$31,0)),"")</f>
        <v>4</v>
      </c>
      <c r="K660" s="16" t="s">
        <v>76</v>
      </c>
      <c r="L660" s="16" t="str">
        <f>IF(COUNTIFS(Pessoas!$C$5:$C$44,$K660,Pessoas!$G$5:$G$44,"Ativo")=0,"Equipe "&amp;$K660,INDEX(Pessoas!$A$5:$A$44,_xludf.aggregate(15,6,(ROW(Pessoas!$A$5:$A$44)-4)/((Pessoas!$C$5:$C$44=$K660)*(Pessoas!$G$5:$G$44="Ativo")),MOD(ROW()-6,MAX(1,COUNTIFS(Pessoas!$C$5:$C$44,$K660,Pessoas!$G$5:$G$44,"Ativo")))+1)))</f>
        <v>Equipe Oficina Mecânica Central-Taisa</v>
      </c>
    </row>
    <row r="661" spans="1:12" ht="15" customHeight="1" x14ac:dyDescent="0.4">
      <c r="A661" s="25">
        <v>46363</v>
      </c>
      <c r="B661" s="16">
        <v>14</v>
      </c>
      <c r="C661" s="16">
        <v>2</v>
      </c>
      <c r="D661" s="16">
        <v>12</v>
      </c>
      <c r="E661" s="16" t="s">
        <v>980</v>
      </c>
      <c r="F661" s="16" t="s">
        <v>1277</v>
      </c>
      <c r="G661" s="16" t="s">
        <v>158</v>
      </c>
      <c r="H661" s="16" t="s">
        <v>141</v>
      </c>
      <c r="I661" s="22" t="s">
        <v>861</v>
      </c>
      <c r="J661" s="16">
        <f>IFERROR(INDEX(Aux_HH!$J$4:$J$31,MATCH($H661&amp;"|"&amp;$I661,Aux_HH!$A$4:$A$31,0)),"")</f>
        <v>4</v>
      </c>
      <c r="K661" s="16" t="s">
        <v>76</v>
      </c>
      <c r="L661" s="16" t="str">
        <f>IF(COUNTIFS(Pessoas!$C$5:$C$44,$K661,Pessoas!$G$5:$G$44,"Ativo")=0,"Equipe "&amp;$K661,INDEX(Pessoas!$A$5:$A$44,_xludf.aggregate(15,6,(ROW(Pessoas!$A$5:$A$44)-4)/((Pessoas!$C$5:$C$44=$K661)*(Pessoas!$G$5:$G$44="Ativo")),MOD(ROW()-6,MAX(1,COUNTIFS(Pessoas!$C$5:$C$44,$K661,Pessoas!$G$5:$G$44,"Ativo")))+1)))</f>
        <v>Equipe Oficina Mecânica Central-Taisa</v>
      </c>
    </row>
    <row r="662" spans="1:12" ht="15" customHeight="1" x14ac:dyDescent="0.4">
      <c r="A662" s="25">
        <v>46363</v>
      </c>
      <c r="B662" s="16">
        <v>14</v>
      </c>
      <c r="C662" s="16">
        <v>2</v>
      </c>
      <c r="D662" s="16">
        <v>12</v>
      </c>
      <c r="E662" s="16" t="s">
        <v>980</v>
      </c>
      <c r="F662" s="16" t="s">
        <v>1278</v>
      </c>
      <c r="G662" s="16" t="s">
        <v>158</v>
      </c>
      <c r="H662" s="16" t="s">
        <v>141</v>
      </c>
      <c r="I662" s="22" t="s">
        <v>861</v>
      </c>
      <c r="J662" s="16">
        <f>IFERROR(INDEX(Aux_HH!$J$4:$J$31,MATCH($H662&amp;"|"&amp;$I662,Aux_HH!$A$4:$A$31,0)),"")</f>
        <v>4</v>
      </c>
      <c r="K662" s="16" t="s">
        <v>76</v>
      </c>
      <c r="L662" s="16" t="str">
        <f>IF(COUNTIFS(Pessoas!$C$5:$C$44,$K662,Pessoas!$G$5:$G$44,"Ativo")=0,"Equipe "&amp;$K662,INDEX(Pessoas!$A$5:$A$44,_xludf.aggregate(15,6,(ROW(Pessoas!$A$5:$A$44)-4)/((Pessoas!$C$5:$C$44=$K662)*(Pessoas!$G$5:$G$44="Ativo")),MOD(ROW()-6,MAX(1,COUNTIFS(Pessoas!$C$5:$C$44,$K662,Pessoas!$G$5:$G$44,"Ativo")))+1)))</f>
        <v>Equipe Oficina Mecânica Central-Taisa</v>
      </c>
    </row>
    <row r="663" spans="1:12" ht="15" customHeight="1" x14ac:dyDescent="0.4">
      <c r="A663" s="25">
        <v>46363</v>
      </c>
      <c r="B663" s="16">
        <v>14</v>
      </c>
      <c r="C663" s="16">
        <v>2</v>
      </c>
      <c r="D663" s="16">
        <v>12</v>
      </c>
      <c r="E663" s="16" t="s">
        <v>980</v>
      </c>
      <c r="F663" s="16" t="s">
        <v>1279</v>
      </c>
      <c r="G663" s="16" t="s">
        <v>158</v>
      </c>
      <c r="H663" s="16" t="s">
        <v>141</v>
      </c>
      <c r="I663" s="22" t="s">
        <v>861</v>
      </c>
      <c r="J663" s="16">
        <f>IFERROR(INDEX(Aux_HH!$J$4:$J$31,MATCH($H663&amp;"|"&amp;$I663,Aux_HH!$A$4:$A$31,0)),"")</f>
        <v>4</v>
      </c>
      <c r="K663" s="16" t="s">
        <v>76</v>
      </c>
      <c r="L663" s="16" t="str">
        <f>IF(COUNTIFS(Pessoas!$C$5:$C$44,$K663,Pessoas!$G$5:$G$44,"Ativo")=0,"Equipe "&amp;$K663,INDEX(Pessoas!$A$5:$A$44,_xludf.aggregate(15,6,(ROW(Pessoas!$A$5:$A$44)-4)/((Pessoas!$C$5:$C$44=$K663)*(Pessoas!$G$5:$G$44="Ativo")),MOD(ROW()-6,MAX(1,COUNTIFS(Pessoas!$C$5:$C$44,$K663,Pessoas!$G$5:$G$44,"Ativo")))+1)))</f>
        <v>Equipe Oficina Mecânica Central-Taisa</v>
      </c>
    </row>
    <row r="664" spans="1:12" ht="15" customHeight="1" x14ac:dyDescent="0.4">
      <c r="A664" s="25">
        <v>46363</v>
      </c>
      <c r="B664" s="16">
        <v>14</v>
      </c>
      <c r="C664" s="16">
        <v>2</v>
      </c>
      <c r="D664" s="16">
        <v>12</v>
      </c>
      <c r="E664" s="16" t="s">
        <v>980</v>
      </c>
      <c r="F664" s="16" t="s">
        <v>1280</v>
      </c>
      <c r="G664" s="16" t="s">
        <v>158</v>
      </c>
      <c r="H664" s="16" t="s">
        <v>141</v>
      </c>
      <c r="I664" s="22" t="s">
        <v>861</v>
      </c>
      <c r="J664" s="16">
        <f>IFERROR(INDEX(Aux_HH!$J$4:$J$31,MATCH($H664&amp;"|"&amp;$I664,Aux_HH!$A$4:$A$31,0)),"")</f>
        <v>4</v>
      </c>
      <c r="K664" s="16" t="s">
        <v>76</v>
      </c>
      <c r="L664" s="16" t="str">
        <f>IF(COUNTIFS(Pessoas!$C$5:$C$44,$K664,Pessoas!$G$5:$G$44,"Ativo")=0,"Equipe "&amp;$K664,INDEX(Pessoas!$A$5:$A$44,_xludf.aggregate(15,6,(ROW(Pessoas!$A$5:$A$44)-4)/((Pessoas!$C$5:$C$44=$K664)*(Pessoas!$G$5:$G$44="Ativo")),MOD(ROW()-6,MAX(1,COUNTIFS(Pessoas!$C$5:$C$44,$K664,Pessoas!$G$5:$G$44,"Ativo")))+1)))</f>
        <v>Equipe Oficina Mecânica Central-Taisa</v>
      </c>
    </row>
    <row r="665" spans="1:12" ht="15" customHeight="1" x14ac:dyDescent="0.4">
      <c r="A665" s="25">
        <v>46363</v>
      </c>
      <c r="B665" s="16">
        <v>14</v>
      </c>
      <c r="C665" s="16">
        <v>2</v>
      </c>
      <c r="D665" s="16">
        <v>12</v>
      </c>
      <c r="E665" s="16" t="s">
        <v>980</v>
      </c>
      <c r="F665" s="16" t="s">
        <v>1281</v>
      </c>
      <c r="G665" s="16" t="s">
        <v>158</v>
      </c>
      <c r="H665" s="16" t="s">
        <v>141</v>
      </c>
      <c r="I665" s="22" t="s">
        <v>861</v>
      </c>
      <c r="J665" s="16">
        <f>IFERROR(INDEX(Aux_HH!$J$4:$J$31,MATCH($H665&amp;"|"&amp;$I665,Aux_HH!$A$4:$A$31,0)),"")</f>
        <v>4</v>
      </c>
      <c r="K665" s="16" t="s">
        <v>76</v>
      </c>
      <c r="L665" s="16" t="str">
        <f>IF(COUNTIFS(Pessoas!$C$5:$C$44,$K665,Pessoas!$G$5:$G$44,"Ativo")=0,"Equipe "&amp;$K665,INDEX(Pessoas!$A$5:$A$44,_xludf.aggregate(15,6,(ROW(Pessoas!$A$5:$A$44)-4)/((Pessoas!$C$5:$C$44=$K665)*(Pessoas!$G$5:$G$44="Ativo")),MOD(ROW()-6,MAX(1,COUNTIFS(Pessoas!$C$5:$C$44,$K665,Pessoas!$G$5:$G$44,"Ativo")))+1)))</f>
        <v>Equipe Oficina Mecânica Central-Taisa</v>
      </c>
    </row>
    <row r="666" spans="1:12" ht="15" customHeight="1" x14ac:dyDescent="0.4">
      <c r="A666" s="25">
        <v>46363</v>
      </c>
      <c r="B666" s="16">
        <v>14</v>
      </c>
      <c r="C666" s="16">
        <v>2</v>
      </c>
      <c r="D666" s="16">
        <v>12</v>
      </c>
      <c r="E666" s="16" t="s">
        <v>980</v>
      </c>
      <c r="F666" s="16" t="s">
        <v>1282</v>
      </c>
      <c r="G666" s="16" t="s">
        <v>158</v>
      </c>
      <c r="H666" s="16" t="s">
        <v>141</v>
      </c>
      <c r="I666" s="22" t="s">
        <v>861</v>
      </c>
      <c r="J666" s="16">
        <f>IFERROR(INDEX(Aux_HH!$J$4:$J$31,MATCH($H666&amp;"|"&amp;$I666,Aux_HH!$A$4:$A$31,0)),"")</f>
        <v>4</v>
      </c>
      <c r="K666" s="16" t="s">
        <v>76</v>
      </c>
      <c r="L666" s="16" t="str">
        <f>IF(COUNTIFS(Pessoas!$C$5:$C$44,$K666,Pessoas!$G$5:$G$44,"Ativo")=0,"Equipe "&amp;$K666,INDEX(Pessoas!$A$5:$A$44,_xludf.aggregate(15,6,(ROW(Pessoas!$A$5:$A$44)-4)/((Pessoas!$C$5:$C$44=$K666)*(Pessoas!$G$5:$G$44="Ativo")),MOD(ROW()-6,MAX(1,COUNTIFS(Pessoas!$C$5:$C$44,$K666,Pessoas!$G$5:$G$44,"Ativo")))+1)))</f>
        <v>Equipe Oficina Mecânica Central-Taisa</v>
      </c>
    </row>
    <row r="667" spans="1:12" ht="15" customHeight="1" x14ac:dyDescent="0.4">
      <c r="A667" s="25">
        <v>46363</v>
      </c>
      <c r="B667" s="16">
        <v>14</v>
      </c>
      <c r="C667" s="16">
        <v>2</v>
      </c>
      <c r="D667" s="16">
        <v>12</v>
      </c>
      <c r="E667" s="16" t="s">
        <v>980</v>
      </c>
      <c r="F667" s="16" t="s">
        <v>1283</v>
      </c>
      <c r="G667" s="16" t="s">
        <v>158</v>
      </c>
      <c r="H667" s="16" t="s">
        <v>141</v>
      </c>
      <c r="I667" s="22" t="s">
        <v>861</v>
      </c>
      <c r="J667" s="16">
        <f>IFERROR(INDEX(Aux_HH!$J$4:$J$31,MATCH($H667&amp;"|"&amp;$I667,Aux_HH!$A$4:$A$31,0)),"")</f>
        <v>4</v>
      </c>
      <c r="K667" s="16" t="s">
        <v>76</v>
      </c>
      <c r="L667" s="16" t="str">
        <f>IF(COUNTIFS(Pessoas!$C$5:$C$44,$K667,Pessoas!$G$5:$G$44,"Ativo")=0,"Equipe "&amp;$K667,INDEX(Pessoas!$A$5:$A$44,_xludf.aggregate(15,6,(ROW(Pessoas!$A$5:$A$44)-4)/((Pessoas!$C$5:$C$44=$K667)*(Pessoas!$G$5:$G$44="Ativo")),MOD(ROW()-6,MAX(1,COUNTIFS(Pessoas!$C$5:$C$44,$K667,Pessoas!$G$5:$G$44,"Ativo")))+1)))</f>
        <v>Equipe Oficina Mecânica Central-Taisa</v>
      </c>
    </row>
    <row r="668" spans="1:12" ht="15" customHeight="1" x14ac:dyDescent="0.4">
      <c r="A668" s="25">
        <v>46363</v>
      </c>
      <c r="B668" s="16">
        <v>14</v>
      </c>
      <c r="C668" s="16">
        <v>2</v>
      </c>
      <c r="D668" s="16">
        <v>12</v>
      </c>
      <c r="E668" s="16" t="s">
        <v>980</v>
      </c>
      <c r="F668" s="16" t="s">
        <v>1284</v>
      </c>
      <c r="G668" s="16" t="s">
        <v>184</v>
      </c>
      <c r="H668" s="16" t="s">
        <v>141</v>
      </c>
      <c r="I668" s="22" t="s">
        <v>861</v>
      </c>
      <c r="J668" s="16">
        <f>IFERROR(INDEX(Aux_HH!$J$4:$J$31,MATCH($H668&amp;"|"&amp;$I668,Aux_HH!$A$4:$A$31,0)),"")</f>
        <v>4</v>
      </c>
      <c r="K668" s="16" t="s">
        <v>76</v>
      </c>
      <c r="L668" s="16" t="str">
        <f>IF(COUNTIFS(Pessoas!$C$5:$C$44,$K668,Pessoas!$G$5:$G$44,"Ativo")=0,"Equipe "&amp;$K668,INDEX(Pessoas!$A$5:$A$44,_xludf.aggregate(15,6,(ROW(Pessoas!$A$5:$A$44)-4)/((Pessoas!$C$5:$C$44=$K668)*(Pessoas!$G$5:$G$44="Ativo")),MOD(ROW()-6,MAX(1,COUNTIFS(Pessoas!$C$5:$C$44,$K668,Pessoas!$G$5:$G$44,"Ativo")))+1)))</f>
        <v>Equipe Oficina Mecânica Central-Taisa</v>
      </c>
    </row>
    <row r="669" spans="1:12" ht="15" customHeight="1" x14ac:dyDescent="0.4">
      <c r="A669" s="25">
        <v>46363</v>
      </c>
      <c r="B669" s="16">
        <v>14</v>
      </c>
      <c r="C669" s="16">
        <v>2</v>
      </c>
      <c r="D669" s="16">
        <v>12</v>
      </c>
      <c r="E669" s="16" t="s">
        <v>980</v>
      </c>
      <c r="F669" s="16" t="s">
        <v>1285</v>
      </c>
      <c r="G669" s="16" t="s">
        <v>184</v>
      </c>
      <c r="H669" s="16" t="s">
        <v>141</v>
      </c>
      <c r="I669" s="22" t="s">
        <v>861</v>
      </c>
      <c r="J669" s="16">
        <f>IFERROR(INDEX(Aux_HH!$J$4:$J$31,MATCH($H669&amp;"|"&amp;$I669,Aux_HH!$A$4:$A$31,0)),"")</f>
        <v>4</v>
      </c>
      <c r="K669" s="16" t="s">
        <v>76</v>
      </c>
      <c r="L669" s="16" t="str">
        <f>IF(COUNTIFS(Pessoas!$C$5:$C$44,$K669,Pessoas!$G$5:$G$44,"Ativo")=0,"Equipe "&amp;$K669,INDEX(Pessoas!$A$5:$A$44,_xludf.aggregate(15,6,(ROW(Pessoas!$A$5:$A$44)-4)/((Pessoas!$C$5:$C$44=$K669)*(Pessoas!$G$5:$G$44="Ativo")),MOD(ROW()-6,MAX(1,COUNTIFS(Pessoas!$C$5:$C$44,$K669,Pessoas!$G$5:$G$44,"Ativo")))+1)))</f>
        <v>Equipe Oficina Mecânica Central-Taisa</v>
      </c>
    </row>
    <row r="670" spans="1:12" ht="15" customHeight="1" x14ac:dyDescent="0.4">
      <c r="A670" s="25">
        <v>46363</v>
      </c>
      <c r="B670" s="16">
        <v>14</v>
      </c>
      <c r="C670" s="16">
        <v>2</v>
      </c>
      <c r="D670" s="16">
        <v>12</v>
      </c>
      <c r="E670" s="16" t="s">
        <v>980</v>
      </c>
      <c r="F670" s="16" t="s">
        <v>1286</v>
      </c>
      <c r="G670" s="16" t="s">
        <v>184</v>
      </c>
      <c r="H670" s="16" t="s">
        <v>141</v>
      </c>
      <c r="I670" s="22" t="s">
        <v>861</v>
      </c>
      <c r="J670" s="16">
        <f>IFERROR(INDEX(Aux_HH!$J$4:$J$31,MATCH($H670&amp;"|"&amp;$I670,Aux_HH!$A$4:$A$31,0)),"")</f>
        <v>4</v>
      </c>
      <c r="K670" s="16" t="s">
        <v>76</v>
      </c>
      <c r="L670" s="16" t="str">
        <f>IF(COUNTIFS(Pessoas!$C$5:$C$44,$K670,Pessoas!$G$5:$G$44,"Ativo")=0,"Equipe "&amp;$K670,INDEX(Pessoas!$A$5:$A$44,_xludf.aggregate(15,6,(ROW(Pessoas!$A$5:$A$44)-4)/((Pessoas!$C$5:$C$44=$K670)*(Pessoas!$G$5:$G$44="Ativo")),MOD(ROW()-6,MAX(1,COUNTIFS(Pessoas!$C$5:$C$44,$K670,Pessoas!$G$5:$G$44,"Ativo")))+1)))</f>
        <v>Equipe Oficina Mecânica Central-Taisa</v>
      </c>
    </row>
    <row r="671" spans="1:12" ht="15" customHeight="1" x14ac:dyDescent="0.4">
      <c r="A671" s="25">
        <v>46363</v>
      </c>
      <c r="B671" s="16">
        <v>14</v>
      </c>
      <c r="C671" s="16">
        <v>2</v>
      </c>
      <c r="D671" s="16">
        <v>12</v>
      </c>
      <c r="E671" s="16" t="s">
        <v>980</v>
      </c>
      <c r="F671" s="16" t="s">
        <v>1287</v>
      </c>
      <c r="G671" s="16" t="s">
        <v>184</v>
      </c>
      <c r="H671" s="16" t="s">
        <v>141</v>
      </c>
      <c r="I671" s="22" t="s">
        <v>861</v>
      </c>
      <c r="J671" s="16">
        <f>IFERROR(INDEX(Aux_HH!$J$4:$J$31,MATCH($H671&amp;"|"&amp;$I671,Aux_HH!$A$4:$A$31,0)),"")</f>
        <v>4</v>
      </c>
      <c r="K671" s="16" t="s">
        <v>76</v>
      </c>
      <c r="L671" s="16" t="str">
        <f>IF(COUNTIFS(Pessoas!$C$5:$C$44,$K671,Pessoas!$G$5:$G$44,"Ativo")=0,"Equipe "&amp;$K671,INDEX(Pessoas!$A$5:$A$44,_xludf.aggregate(15,6,(ROW(Pessoas!$A$5:$A$44)-4)/((Pessoas!$C$5:$C$44=$K671)*(Pessoas!$G$5:$G$44="Ativo")),MOD(ROW()-6,MAX(1,COUNTIFS(Pessoas!$C$5:$C$44,$K671,Pessoas!$G$5:$G$44,"Ativo")))+1)))</f>
        <v>Equipe Oficina Mecânica Central-Taisa</v>
      </c>
    </row>
    <row r="672" spans="1:12" ht="15" customHeight="1" x14ac:dyDescent="0.4">
      <c r="A672" s="25">
        <v>46363</v>
      </c>
      <c r="B672" s="16">
        <v>14</v>
      </c>
      <c r="C672" s="16">
        <v>2</v>
      </c>
      <c r="D672" s="16">
        <v>12</v>
      </c>
      <c r="E672" s="16" t="s">
        <v>980</v>
      </c>
      <c r="F672" s="16" t="s">
        <v>1288</v>
      </c>
      <c r="G672" s="16" t="s">
        <v>184</v>
      </c>
      <c r="H672" s="16" t="s">
        <v>141</v>
      </c>
      <c r="I672" s="22" t="s">
        <v>861</v>
      </c>
      <c r="J672" s="16">
        <f>IFERROR(INDEX(Aux_HH!$J$4:$J$31,MATCH($H672&amp;"|"&amp;$I672,Aux_HH!$A$4:$A$31,0)),"")</f>
        <v>4</v>
      </c>
      <c r="K672" s="16" t="s">
        <v>76</v>
      </c>
      <c r="L672" s="16" t="str">
        <f>IF(COUNTIFS(Pessoas!$C$5:$C$44,$K672,Pessoas!$G$5:$G$44,"Ativo")=0,"Equipe "&amp;$K672,INDEX(Pessoas!$A$5:$A$44,_xludf.aggregate(15,6,(ROW(Pessoas!$A$5:$A$44)-4)/((Pessoas!$C$5:$C$44=$K672)*(Pessoas!$G$5:$G$44="Ativo")),MOD(ROW()-6,MAX(1,COUNTIFS(Pessoas!$C$5:$C$44,$K672,Pessoas!$G$5:$G$44,"Ativo")))+1)))</f>
        <v>Equipe Oficina Mecânica Central-Taisa</v>
      </c>
    </row>
    <row r="673" spans="1:12" ht="15" customHeight="1" x14ac:dyDescent="0.4">
      <c r="A673" s="25">
        <v>46363</v>
      </c>
      <c r="B673" s="16">
        <v>14</v>
      </c>
      <c r="C673" s="16">
        <v>2</v>
      </c>
      <c r="D673" s="16">
        <v>12</v>
      </c>
      <c r="E673" s="16" t="s">
        <v>980</v>
      </c>
      <c r="F673" s="16" t="s">
        <v>1289</v>
      </c>
      <c r="G673" s="16" t="s">
        <v>184</v>
      </c>
      <c r="H673" s="16" t="s">
        <v>141</v>
      </c>
      <c r="I673" s="22" t="s">
        <v>861</v>
      </c>
      <c r="J673" s="16">
        <f>IFERROR(INDEX(Aux_HH!$J$4:$J$31,MATCH($H673&amp;"|"&amp;$I673,Aux_HH!$A$4:$A$31,0)),"")</f>
        <v>4</v>
      </c>
      <c r="K673" s="16" t="s">
        <v>76</v>
      </c>
      <c r="L673" s="16" t="str">
        <f>IF(COUNTIFS(Pessoas!$C$5:$C$44,$K673,Pessoas!$G$5:$G$44,"Ativo")=0,"Equipe "&amp;$K673,INDEX(Pessoas!$A$5:$A$44,_xludf.aggregate(15,6,(ROW(Pessoas!$A$5:$A$44)-4)/((Pessoas!$C$5:$C$44=$K673)*(Pessoas!$G$5:$G$44="Ativo")),MOD(ROW()-6,MAX(1,COUNTIFS(Pessoas!$C$5:$C$44,$K673,Pessoas!$G$5:$G$44,"Ativo")))+1)))</f>
        <v>Equipe Oficina Mecânica Central-Taisa</v>
      </c>
    </row>
    <row r="674" spans="1:12" ht="15" customHeight="1" x14ac:dyDescent="0.4">
      <c r="A674" s="25">
        <v>46363</v>
      </c>
      <c r="B674" s="16">
        <v>14</v>
      </c>
      <c r="C674" s="16">
        <v>2</v>
      </c>
      <c r="D674" s="16">
        <v>12</v>
      </c>
      <c r="E674" s="16" t="s">
        <v>980</v>
      </c>
      <c r="F674" s="16" t="s">
        <v>1290</v>
      </c>
      <c r="G674" s="16" t="s">
        <v>184</v>
      </c>
      <c r="H674" s="16" t="s">
        <v>141</v>
      </c>
      <c r="I674" s="22" t="s">
        <v>861</v>
      </c>
      <c r="J674" s="16">
        <f>IFERROR(INDEX(Aux_HH!$J$4:$J$31,MATCH($H674&amp;"|"&amp;$I674,Aux_HH!$A$4:$A$31,0)),"")</f>
        <v>4</v>
      </c>
      <c r="K674" s="16" t="s">
        <v>76</v>
      </c>
      <c r="L674" s="16" t="str">
        <f>IF(COUNTIFS(Pessoas!$C$5:$C$44,$K674,Pessoas!$G$5:$G$44,"Ativo")=0,"Equipe "&amp;$K674,INDEX(Pessoas!$A$5:$A$44,_xludf.aggregate(15,6,(ROW(Pessoas!$A$5:$A$44)-4)/((Pessoas!$C$5:$C$44=$K674)*(Pessoas!$G$5:$G$44="Ativo")),MOD(ROW()-6,MAX(1,COUNTIFS(Pessoas!$C$5:$C$44,$K674,Pessoas!$G$5:$G$44,"Ativo")))+1)))</f>
        <v>Equipe Oficina Mecânica Central-Taisa</v>
      </c>
    </row>
    <row r="675" spans="1:12" ht="15" customHeight="1" x14ac:dyDescent="0.4">
      <c r="A675" s="25">
        <v>46363</v>
      </c>
      <c r="B675" s="16">
        <v>14</v>
      </c>
      <c r="C675" s="16">
        <v>2</v>
      </c>
      <c r="D675" s="16">
        <v>12</v>
      </c>
      <c r="E675" s="16" t="s">
        <v>980</v>
      </c>
      <c r="F675" s="16" t="s">
        <v>1291</v>
      </c>
      <c r="G675" s="16" t="s">
        <v>184</v>
      </c>
      <c r="H675" s="16" t="s">
        <v>141</v>
      </c>
      <c r="I675" s="22" t="s">
        <v>861</v>
      </c>
      <c r="J675" s="16">
        <f>IFERROR(INDEX(Aux_HH!$J$4:$J$31,MATCH($H675&amp;"|"&amp;$I675,Aux_HH!$A$4:$A$31,0)),"")</f>
        <v>4</v>
      </c>
      <c r="K675" s="16" t="s">
        <v>76</v>
      </c>
      <c r="L675" s="16" t="str">
        <f>IF(COUNTIFS(Pessoas!$C$5:$C$44,$K675,Pessoas!$G$5:$G$44,"Ativo")=0,"Equipe "&amp;$K675,INDEX(Pessoas!$A$5:$A$44,_xludf.aggregate(15,6,(ROW(Pessoas!$A$5:$A$44)-4)/((Pessoas!$C$5:$C$44=$K675)*(Pessoas!$G$5:$G$44="Ativo")),MOD(ROW()-6,MAX(1,COUNTIFS(Pessoas!$C$5:$C$44,$K675,Pessoas!$G$5:$G$44,"Ativo")))+1)))</f>
        <v>Equipe Oficina Mecânica Central-Taisa</v>
      </c>
    </row>
    <row r="676" spans="1:12" ht="15" customHeight="1" x14ac:dyDescent="0.4">
      <c r="A676" s="25">
        <v>46363</v>
      </c>
      <c r="B676" s="16">
        <v>14</v>
      </c>
      <c r="C676" s="16">
        <v>2</v>
      </c>
      <c r="D676" s="16">
        <v>12</v>
      </c>
      <c r="E676" s="16" t="s">
        <v>980</v>
      </c>
      <c r="F676" s="16" t="s">
        <v>1292</v>
      </c>
      <c r="G676" s="16" t="s">
        <v>184</v>
      </c>
      <c r="H676" s="16" t="s">
        <v>141</v>
      </c>
      <c r="I676" s="22" t="s">
        <v>861</v>
      </c>
      <c r="J676" s="16">
        <f>IFERROR(INDEX(Aux_HH!$J$4:$J$31,MATCH($H676&amp;"|"&amp;$I676,Aux_HH!$A$4:$A$31,0)),"")</f>
        <v>4</v>
      </c>
      <c r="K676" s="16" t="s">
        <v>76</v>
      </c>
      <c r="L676" s="16" t="str">
        <f>IF(COUNTIFS(Pessoas!$C$5:$C$44,$K676,Pessoas!$G$5:$G$44,"Ativo")=0,"Equipe "&amp;$K676,INDEX(Pessoas!$A$5:$A$44,_xludf.aggregate(15,6,(ROW(Pessoas!$A$5:$A$44)-4)/((Pessoas!$C$5:$C$44=$K676)*(Pessoas!$G$5:$G$44="Ativo")),MOD(ROW()-6,MAX(1,COUNTIFS(Pessoas!$C$5:$C$44,$K676,Pessoas!$G$5:$G$44,"Ativo")))+1)))</f>
        <v>Equipe Oficina Mecânica Central-Taisa</v>
      </c>
    </row>
    <row r="677" spans="1:12" ht="15" customHeight="1" x14ac:dyDescent="0.4">
      <c r="A677" s="25">
        <v>46363</v>
      </c>
      <c r="B677" s="16">
        <v>14</v>
      </c>
      <c r="C677" s="16">
        <v>2</v>
      </c>
      <c r="D677" s="16">
        <v>12</v>
      </c>
      <c r="E677" s="16" t="s">
        <v>980</v>
      </c>
      <c r="F677" s="16" t="s">
        <v>1293</v>
      </c>
      <c r="G677" s="16" t="s">
        <v>184</v>
      </c>
      <c r="H677" s="16" t="s">
        <v>141</v>
      </c>
      <c r="I677" s="22" t="s">
        <v>861</v>
      </c>
      <c r="J677" s="16">
        <f>IFERROR(INDEX(Aux_HH!$J$4:$J$31,MATCH($H677&amp;"|"&amp;$I677,Aux_HH!$A$4:$A$31,0)),"")</f>
        <v>4</v>
      </c>
      <c r="K677" s="16" t="s">
        <v>76</v>
      </c>
      <c r="L677" s="16" t="str">
        <f>IF(COUNTIFS(Pessoas!$C$5:$C$44,$K677,Pessoas!$G$5:$G$44,"Ativo")=0,"Equipe "&amp;$K677,INDEX(Pessoas!$A$5:$A$44,_xludf.aggregate(15,6,(ROW(Pessoas!$A$5:$A$44)-4)/((Pessoas!$C$5:$C$44=$K677)*(Pessoas!$G$5:$G$44="Ativo")),MOD(ROW()-6,MAX(1,COUNTIFS(Pessoas!$C$5:$C$44,$K677,Pessoas!$G$5:$G$44,"Ativo")))+1)))</f>
        <v>Equipe Oficina Mecânica Central-Taisa</v>
      </c>
    </row>
    <row r="678" spans="1:12" ht="15" customHeight="1" x14ac:dyDescent="0.4">
      <c r="A678" s="25">
        <v>46363</v>
      </c>
      <c r="B678" s="16">
        <v>14</v>
      </c>
      <c r="C678" s="16">
        <v>2</v>
      </c>
      <c r="D678" s="16">
        <v>12</v>
      </c>
      <c r="E678" s="16" t="s">
        <v>980</v>
      </c>
      <c r="F678" s="16" t="s">
        <v>1294</v>
      </c>
      <c r="G678" s="16" t="s">
        <v>184</v>
      </c>
      <c r="H678" s="16" t="s">
        <v>141</v>
      </c>
      <c r="I678" s="22" t="s">
        <v>861</v>
      </c>
      <c r="J678" s="16">
        <f>IFERROR(INDEX(Aux_HH!$J$4:$J$31,MATCH($H678&amp;"|"&amp;$I678,Aux_HH!$A$4:$A$31,0)),"")</f>
        <v>4</v>
      </c>
      <c r="K678" s="16" t="s">
        <v>76</v>
      </c>
      <c r="L678" s="16" t="str">
        <f>IF(COUNTIFS(Pessoas!$C$5:$C$44,$K678,Pessoas!$G$5:$G$44,"Ativo")=0,"Equipe "&amp;$K678,INDEX(Pessoas!$A$5:$A$44,_xludf.aggregate(15,6,(ROW(Pessoas!$A$5:$A$44)-4)/((Pessoas!$C$5:$C$44=$K678)*(Pessoas!$G$5:$G$44="Ativo")),MOD(ROW()-6,MAX(1,COUNTIFS(Pessoas!$C$5:$C$44,$K678,Pessoas!$G$5:$G$44,"Ativo")))+1)))</f>
        <v>Equipe Oficina Mecânica Central-Taisa</v>
      </c>
    </row>
    <row r="679" spans="1:12" ht="15" customHeight="1" x14ac:dyDescent="0.4">
      <c r="A679" s="25">
        <v>46363</v>
      </c>
      <c r="B679" s="16">
        <v>14</v>
      </c>
      <c r="C679" s="16">
        <v>2</v>
      </c>
      <c r="D679" s="16">
        <v>12</v>
      </c>
      <c r="E679" s="16" t="s">
        <v>980</v>
      </c>
      <c r="F679" s="16" t="s">
        <v>1295</v>
      </c>
      <c r="G679" s="16" t="s">
        <v>184</v>
      </c>
      <c r="H679" s="16" t="s">
        <v>141</v>
      </c>
      <c r="I679" s="22" t="s">
        <v>861</v>
      </c>
      <c r="J679" s="16">
        <f>IFERROR(INDEX(Aux_HH!$J$4:$J$31,MATCH($H679&amp;"|"&amp;$I679,Aux_HH!$A$4:$A$31,0)),"")</f>
        <v>4</v>
      </c>
      <c r="K679" s="16" t="s">
        <v>76</v>
      </c>
      <c r="L679" s="16" t="str">
        <f>IF(COUNTIFS(Pessoas!$C$5:$C$44,$K679,Pessoas!$G$5:$G$44,"Ativo")=0,"Equipe "&amp;$K679,INDEX(Pessoas!$A$5:$A$44,_xludf.aggregate(15,6,(ROW(Pessoas!$A$5:$A$44)-4)/((Pessoas!$C$5:$C$44=$K679)*(Pessoas!$G$5:$G$44="Ativo")),MOD(ROW()-6,MAX(1,COUNTIFS(Pessoas!$C$5:$C$44,$K679,Pessoas!$G$5:$G$44,"Ativo")))+1)))</f>
        <v>Equipe Oficina Mecânica Central-Taisa</v>
      </c>
    </row>
    <row r="680" spans="1:12" ht="15" customHeight="1" x14ac:dyDescent="0.4">
      <c r="A680" s="25">
        <v>46364</v>
      </c>
      <c r="B680" s="16">
        <v>15</v>
      </c>
      <c r="C680" s="16">
        <v>2</v>
      </c>
      <c r="D680" s="16">
        <v>12</v>
      </c>
      <c r="E680" s="16" t="s">
        <v>980</v>
      </c>
      <c r="F680" s="16" t="s">
        <v>1321</v>
      </c>
      <c r="G680" s="16" t="s">
        <v>158</v>
      </c>
      <c r="H680" s="16" t="s">
        <v>144</v>
      </c>
      <c r="I680" s="22" t="s">
        <v>856</v>
      </c>
      <c r="J680" s="16">
        <f>IFERROR(INDEX(Aux_HH!$J$4:$J$31,MATCH($H680&amp;"|"&amp;$I680,Aux_HH!$A$4:$A$31,0)),"")</f>
        <v>1.5</v>
      </c>
      <c r="K680" s="16" t="s">
        <v>76</v>
      </c>
      <c r="L680" s="16" t="str">
        <f>IF(COUNTIFS(Pessoas!$C$5:$C$44,$K680,Pessoas!$G$5:$G$44,"Ativo")=0,"Equipe "&amp;$K680,INDEX(Pessoas!$A$5:$A$44,_xludf.aggregate(15,6,(ROW(Pessoas!$A$5:$A$44)-4)/((Pessoas!$C$5:$C$44=$K680)*(Pessoas!$G$5:$G$44="Ativo")),MOD(ROW()-6,MAX(1,COUNTIFS(Pessoas!$C$5:$C$44,$K680,Pessoas!$G$5:$G$44,"Ativo")))+1)))</f>
        <v>Equipe Oficina Mecânica Central-Taisa</v>
      </c>
    </row>
    <row r="681" spans="1:12" ht="15" customHeight="1" x14ac:dyDescent="0.4">
      <c r="A681" s="25">
        <v>46364</v>
      </c>
      <c r="B681" s="16">
        <v>15</v>
      </c>
      <c r="C681" s="16">
        <v>2</v>
      </c>
      <c r="D681" s="16">
        <v>12</v>
      </c>
      <c r="E681" s="16" t="s">
        <v>980</v>
      </c>
      <c r="F681" s="16" t="s">
        <v>1322</v>
      </c>
      <c r="G681" s="16" t="s">
        <v>158</v>
      </c>
      <c r="H681" s="16" t="s">
        <v>144</v>
      </c>
      <c r="I681" s="22" t="s">
        <v>856</v>
      </c>
      <c r="J681" s="16">
        <f>IFERROR(INDEX(Aux_HH!$J$4:$J$31,MATCH($H681&amp;"|"&amp;$I681,Aux_HH!$A$4:$A$31,0)),"")</f>
        <v>1.5</v>
      </c>
      <c r="K681" s="16" t="s">
        <v>76</v>
      </c>
      <c r="L681" s="16" t="str">
        <f>IF(COUNTIFS(Pessoas!$C$5:$C$44,$K681,Pessoas!$G$5:$G$44,"Ativo")=0,"Equipe "&amp;$K681,INDEX(Pessoas!$A$5:$A$44,_xludf.aggregate(15,6,(ROW(Pessoas!$A$5:$A$44)-4)/((Pessoas!$C$5:$C$44=$K681)*(Pessoas!$G$5:$G$44="Ativo")),MOD(ROW()-6,MAX(1,COUNTIFS(Pessoas!$C$5:$C$44,$K681,Pessoas!$G$5:$G$44,"Ativo")))+1)))</f>
        <v>Equipe Oficina Mecânica Central-Taisa</v>
      </c>
    </row>
    <row r="682" spans="1:12" ht="15" customHeight="1" x14ac:dyDescent="0.4">
      <c r="A682" s="25">
        <v>46364</v>
      </c>
      <c r="B682" s="16">
        <v>15</v>
      </c>
      <c r="C682" s="16">
        <v>2</v>
      </c>
      <c r="D682" s="16">
        <v>12</v>
      </c>
      <c r="E682" s="16" t="s">
        <v>980</v>
      </c>
      <c r="F682" s="16" t="s">
        <v>1323</v>
      </c>
      <c r="G682" s="16" t="s">
        <v>158</v>
      </c>
      <c r="H682" s="16" t="s">
        <v>144</v>
      </c>
      <c r="I682" s="22" t="s">
        <v>856</v>
      </c>
      <c r="J682" s="16">
        <f>IFERROR(INDEX(Aux_HH!$J$4:$J$31,MATCH($H682&amp;"|"&amp;$I682,Aux_HH!$A$4:$A$31,0)),"")</f>
        <v>1.5</v>
      </c>
      <c r="K682" s="16" t="s">
        <v>76</v>
      </c>
      <c r="L682" s="16" t="str">
        <f>IF(COUNTIFS(Pessoas!$C$5:$C$44,$K682,Pessoas!$G$5:$G$44,"Ativo")=0,"Equipe "&amp;$K682,INDEX(Pessoas!$A$5:$A$44,_xludf.aggregate(15,6,(ROW(Pessoas!$A$5:$A$44)-4)/((Pessoas!$C$5:$C$44=$K682)*(Pessoas!$G$5:$G$44="Ativo")),MOD(ROW()-6,MAX(1,COUNTIFS(Pessoas!$C$5:$C$44,$K682,Pessoas!$G$5:$G$44,"Ativo")))+1)))</f>
        <v>Equipe Oficina Mecânica Central-Taisa</v>
      </c>
    </row>
    <row r="683" spans="1:12" ht="15" customHeight="1" x14ac:dyDescent="0.4">
      <c r="A683" s="25">
        <v>46364</v>
      </c>
      <c r="B683" s="16">
        <v>15</v>
      </c>
      <c r="C683" s="16">
        <v>2</v>
      </c>
      <c r="D683" s="16">
        <v>12</v>
      </c>
      <c r="E683" s="16" t="s">
        <v>980</v>
      </c>
      <c r="F683" s="16" t="s">
        <v>1324</v>
      </c>
      <c r="G683" s="16" t="s">
        <v>158</v>
      </c>
      <c r="H683" s="16" t="s">
        <v>144</v>
      </c>
      <c r="I683" s="22" t="s">
        <v>856</v>
      </c>
      <c r="J683" s="16">
        <f>IFERROR(INDEX(Aux_HH!$J$4:$J$31,MATCH($H683&amp;"|"&amp;$I683,Aux_HH!$A$4:$A$31,0)),"")</f>
        <v>1.5</v>
      </c>
      <c r="K683" s="16" t="s">
        <v>76</v>
      </c>
      <c r="L683" s="16" t="str">
        <f>IF(COUNTIFS(Pessoas!$C$5:$C$44,$K683,Pessoas!$G$5:$G$44,"Ativo")=0,"Equipe "&amp;$K683,INDEX(Pessoas!$A$5:$A$44,_xludf.aggregate(15,6,(ROW(Pessoas!$A$5:$A$44)-4)/((Pessoas!$C$5:$C$44=$K683)*(Pessoas!$G$5:$G$44="Ativo")),MOD(ROW()-6,MAX(1,COUNTIFS(Pessoas!$C$5:$C$44,$K683,Pessoas!$G$5:$G$44,"Ativo")))+1)))</f>
        <v>Equipe Oficina Mecânica Central-Taisa</v>
      </c>
    </row>
    <row r="684" spans="1:12" ht="15" customHeight="1" x14ac:dyDescent="0.4">
      <c r="A684" s="25">
        <v>46364</v>
      </c>
      <c r="B684" s="16">
        <v>15</v>
      </c>
      <c r="C684" s="16">
        <v>2</v>
      </c>
      <c r="D684" s="16">
        <v>12</v>
      </c>
      <c r="E684" s="16" t="s">
        <v>980</v>
      </c>
      <c r="F684" s="16" t="s">
        <v>1325</v>
      </c>
      <c r="G684" s="16" t="s">
        <v>158</v>
      </c>
      <c r="H684" s="16" t="s">
        <v>144</v>
      </c>
      <c r="I684" s="22" t="s">
        <v>856</v>
      </c>
      <c r="J684" s="16">
        <f>IFERROR(INDEX(Aux_HH!$J$4:$J$31,MATCH($H684&amp;"|"&amp;$I684,Aux_HH!$A$4:$A$31,0)),"")</f>
        <v>1.5</v>
      </c>
      <c r="K684" s="16" t="s">
        <v>76</v>
      </c>
      <c r="L684" s="16" t="str">
        <f>IF(COUNTIFS(Pessoas!$C$5:$C$44,$K684,Pessoas!$G$5:$G$44,"Ativo")=0,"Equipe "&amp;$K684,INDEX(Pessoas!$A$5:$A$44,_xludf.aggregate(15,6,(ROW(Pessoas!$A$5:$A$44)-4)/((Pessoas!$C$5:$C$44=$K684)*(Pessoas!$G$5:$G$44="Ativo")),MOD(ROW()-6,MAX(1,COUNTIFS(Pessoas!$C$5:$C$44,$K684,Pessoas!$G$5:$G$44,"Ativo")))+1)))</f>
        <v>Equipe Oficina Mecânica Central-Taisa</v>
      </c>
    </row>
    <row r="685" spans="1:12" ht="15" customHeight="1" x14ac:dyDescent="0.4">
      <c r="A685" s="25">
        <v>46364</v>
      </c>
      <c r="B685" s="16">
        <v>15</v>
      </c>
      <c r="C685" s="16">
        <v>2</v>
      </c>
      <c r="D685" s="16">
        <v>12</v>
      </c>
      <c r="E685" s="16" t="s">
        <v>980</v>
      </c>
      <c r="F685" s="16" t="s">
        <v>985</v>
      </c>
      <c r="G685" s="16" t="s">
        <v>184</v>
      </c>
      <c r="H685" s="16" t="s">
        <v>138</v>
      </c>
      <c r="I685" s="22" t="s">
        <v>861</v>
      </c>
      <c r="J685" s="16">
        <f>IFERROR(INDEX(Aux_HH!$J$4:$J$31,MATCH($H685&amp;"|"&amp;$I685,Aux_HH!$A$4:$A$31,0)),"")</f>
        <v>6</v>
      </c>
      <c r="K685" s="16" t="s">
        <v>76</v>
      </c>
      <c r="L685" s="16" t="str">
        <f>IF(COUNTIFS(Pessoas!$C$5:$C$44,$K685,Pessoas!$G$5:$G$44,"Ativo")=0,"Equipe "&amp;$K685,INDEX(Pessoas!$A$5:$A$44,_xludf.aggregate(15,6,(ROW(Pessoas!$A$5:$A$44)-4)/((Pessoas!$C$5:$C$44=$K685)*(Pessoas!$G$5:$G$44="Ativo")),MOD(ROW()-6,MAX(1,COUNTIFS(Pessoas!$C$5:$C$44,$K685,Pessoas!$G$5:$G$44,"Ativo")))+1)))</f>
        <v>Equipe Oficina Mecânica Central-Taisa</v>
      </c>
    </row>
    <row r="686" spans="1:12" ht="15" customHeight="1" x14ac:dyDescent="0.4">
      <c r="A686" s="25">
        <v>46364</v>
      </c>
      <c r="B686" s="16">
        <v>15</v>
      </c>
      <c r="C686" s="16">
        <v>2</v>
      </c>
      <c r="D686" s="16">
        <v>12</v>
      </c>
      <c r="E686" s="16" t="s">
        <v>980</v>
      </c>
      <c r="F686" s="16" t="s">
        <v>987</v>
      </c>
      <c r="G686" s="16" t="s">
        <v>526</v>
      </c>
      <c r="H686" s="16" t="s">
        <v>138</v>
      </c>
      <c r="I686" s="22" t="s">
        <v>861</v>
      </c>
      <c r="J686" s="16">
        <f>IFERROR(INDEX(Aux_HH!$J$4:$J$31,MATCH($H686&amp;"|"&amp;$I686,Aux_HH!$A$4:$A$31,0)),"")</f>
        <v>6</v>
      </c>
      <c r="K686" s="16" t="s">
        <v>76</v>
      </c>
      <c r="L686" s="16" t="str">
        <f>IF(COUNTIFS(Pessoas!$C$5:$C$44,$K686,Pessoas!$G$5:$G$44,"Ativo")=0,"Equipe "&amp;$K686,INDEX(Pessoas!$A$5:$A$44,_xludf.aggregate(15,6,(ROW(Pessoas!$A$5:$A$44)-4)/((Pessoas!$C$5:$C$44=$K686)*(Pessoas!$G$5:$G$44="Ativo")),MOD(ROW()-6,MAX(1,COUNTIFS(Pessoas!$C$5:$C$44,$K686,Pessoas!$G$5:$G$44,"Ativo")))+1)))</f>
        <v>Equipe Oficina Mecânica Central-Taisa</v>
      </c>
    </row>
    <row r="687" spans="1:12" ht="15" customHeight="1" x14ac:dyDescent="0.4">
      <c r="A687" s="25">
        <v>46364</v>
      </c>
      <c r="B687" s="16">
        <v>15</v>
      </c>
      <c r="C687" s="16">
        <v>2</v>
      </c>
      <c r="D687" s="16">
        <v>12</v>
      </c>
      <c r="E687" s="16" t="s">
        <v>980</v>
      </c>
      <c r="F687" s="16" t="s">
        <v>1326</v>
      </c>
      <c r="G687" s="16" t="s">
        <v>158</v>
      </c>
      <c r="H687" s="16" t="s">
        <v>144</v>
      </c>
      <c r="I687" s="22" t="s">
        <v>856</v>
      </c>
      <c r="J687" s="16">
        <f>IFERROR(INDEX(Aux_HH!$J$4:$J$31,MATCH($H687&amp;"|"&amp;$I687,Aux_HH!$A$4:$A$31,0)),"")</f>
        <v>1.5</v>
      </c>
      <c r="K687" s="16" t="s">
        <v>76</v>
      </c>
      <c r="L687" s="16" t="str">
        <f>IF(COUNTIFS(Pessoas!$C$5:$C$44,$K687,Pessoas!$G$5:$G$44,"Ativo")=0,"Equipe "&amp;$K687,INDEX(Pessoas!$A$5:$A$44,_xludf.aggregate(15,6,(ROW(Pessoas!$A$5:$A$44)-4)/((Pessoas!$C$5:$C$44=$K687)*(Pessoas!$G$5:$G$44="Ativo")),MOD(ROW()-6,MAX(1,COUNTIFS(Pessoas!$C$5:$C$44,$K687,Pessoas!$G$5:$G$44,"Ativo")))+1)))</f>
        <v>Equipe Oficina Mecânica Central-Taisa</v>
      </c>
    </row>
    <row r="688" spans="1:12" ht="15" customHeight="1" x14ac:dyDescent="0.4">
      <c r="A688" s="25">
        <v>46364</v>
      </c>
      <c r="B688" s="16">
        <v>15</v>
      </c>
      <c r="C688" s="16">
        <v>2</v>
      </c>
      <c r="D688" s="16">
        <v>12</v>
      </c>
      <c r="E688" s="16" t="s">
        <v>980</v>
      </c>
      <c r="F688" s="16" t="s">
        <v>1327</v>
      </c>
      <c r="G688" s="16" t="s">
        <v>158</v>
      </c>
      <c r="H688" s="16" t="s">
        <v>144</v>
      </c>
      <c r="I688" s="22" t="s">
        <v>856</v>
      </c>
      <c r="J688" s="16">
        <f>IFERROR(INDEX(Aux_HH!$J$4:$J$31,MATCH($H688&amp;"|"&amp;$I688,Aux_HH!$A$4:$A$31,0)),"")</f>
        <v>1.5</v>
      </c>
      <c r="K688" s="16" t="s">
        <v>76</v>
      </c>
      <c r="L688" s="16" t="str">
        <f>IF(COUNTIFS(Pessoas!$C$5:$C$44,$K688,Pessoas!$G$5:$G$44,"Ativo")=0,"Equipe "&amp;$K688,INDEX(Pessoas!$A$5:$A$44,_xludf.aggregate(15,6,(ROW(Pessoas!$A$5:$A$44)-4)/((Pessoas!$C$5:$C$44=$K688)*(Pessoas!$G$5:$G$44="Ativo")),MOD(ROW()-6,MAX(1,COUNTIFS(Pessoas!$C$5:$C$44,$K688,Pessoas!$G$5:$G$44,"Ativo")))+1)))</f>
        <v>Equipe Oficina Mecânica Central-Taisa</v>
      </c>
    </row>
    <row r="689" spans="1:12" ht="15" customHeight="1" x14ac:dyDescent="0.4">
      <c r="A689" s="25">
        <v>46364</v>
      </c>
      <c r="B689" s="16">
        <v>15</v>
      </c>
      <c r="C689" s="16">
        <v>2</v>
      </c>
      <c r="D689" s="16">
        <v>12</v>
      </c>
      <c r="E689" s="16" t="s">
        <v>980</v>
      </c>
      <c r="F689" s="16" t="s">
        <v>996</v>
      </c>
      <c r="G689" s="16" t="s">
        <v>688</v>
      </c>
      <c r="H689" s="16" t="s">
        <v>145</v>
      </c>
      <c r="I689" s="22" t="s">
        <v>856</v>
      </c>
      <c r="J689" s="16">
        <f>IFERROR(INDEX(Aux_HH!$J$4:$J$31,MATCH($H689&amp;"|"&amp;$I689,Aux_HH!$A$4:$A$31,0)),"")</f>
        <v>2</v>
      </c>
      <c r="K689" s="16" t="s">
        <v>76</v>
      </c>
      <c r="L689" s="16" t="str">
        <f>IF(COUNTIFS(Pessoas!$C$5:$C$44,$K689,Pessoas!$G$5:$G$44,"Ativo")=0,"Equipe "&amp;$K689,INDEX(Pessoas!$A$5:$A$44,_xludf.aggregate(15,6,(ROW(Pessoas!$A$5:$A$44)-4)/((Pessoas!$C$5:$C$44=$K689)*(Pessoas!$G$5:$G$44="Ativo")),MOD(ROW()-6,MAX(1,COUNTIFS(Pessoas!$C$5:$C$44,$K689,Pessoas!$G$5:$G$44,"Ativo")))+1)))</f>
        <v>Equipe Oficina Mecânica Central-Taisa</v>
      </c>
    </row>
    <row r="690" spans="1:12" ht="15" customHeight="1" x14ac:dyDescent="0.4">
      <c r="A690" s="25">
        <v>46364</v>
      </c>
      <c r="B690" s="16">
        <v>15</v>
      </c>
      <c r="C690" s="16">
        <v>2</v>
      </c>
      <c r="D690" s="16">
        <v>12</v>
      </c>
      <c r="E690" s="16" t="s">
        <v>980</v>
      </c>
      <c r="F690" s="16" t="s">
        <v>997</v>
      </c>
      <c r="G690" s="16" t="s">
        <v>688</v>
      </c>
      <c r="H690" s="16" t="s">
        <v>145</v>
      </c>
      <c r="I690" s="22" t="s">
        <v>856</v>
      </c>
      <c r="J690" s="16">
        <f>IFERROR(INDEX(Aux_HH!$J$4:$J$31,MATCH($H690&amp;"|"&amp;$I690,Aux_HH!$A$4:$A$31,0)),"")</f>
        <v>2</v>
      </c>
      <c r="K690" s="16" t="s">
        <v>76</v>
      </c>
      <c r="L690" s="16" t="str">
        <f>IF(COUNTIFS(Pessoas!$C$5:$C$44,$K690,Pessoas!$G$5:$G$44,"Ativo")=0,"Equipe "&amp;$K690,INDEX(Pessoas!$A$5:$A$44,_xludf.aggregate(15,6,(ROW(Pessoas!$A$5:$A$44)-4)/((Pessoas!$C$5:$C$44=$K690)*(Pessoas!$G$5:$G$44="Ativo")),MOD(ROW()-6,MAX(1,COUNTIFS(Pessoas!$C$5:$C$44,$K690,Pessoas!$G$5:$G$44,"Ativo")))+1)))</f>
        <v>Equipe Oficina Mecânica Central-Taisa</v>
      </c>
    </row>
    <row r="691" spans="1:12" ht="15" customHeight="1" x14ac:dyDescent="0.4">
      <c r="A691" s="25">
        <v>46364</v>
      </c>
      <c r="B691" s="16">
        <v>15</v>
      </c>
      <c r="C691" s="16">
        <v>2</v>
      </c>
      <c r="D691" s="16">
        <v>12</v>
      </c>
      <c r="E691" s="16" t="s">
        <v>980</v>
      </c>
      <c r="F691" s="16" t="s">
        <v>1328</v>
      </c>
      <c r="G691" s="16" t="s">
        <v>158</v>
      </c>
      <c r="H691" s="16" t="s">
        <v>144</v>
      </c>
      <c r="I691" s="22" t="s">
        <v>856</v>
      </c>
      <c r="J691" s="16">
        <f>IFERROR(INDEX(Aux_HH!$J$4:$J$31,MATCH($H691&amp;"|"&amp;$I691,Aux_HH!$A$4:$A$31,0)),"")</f>
        <v>1.5</v>
      </c>
      <c r="K691" s="16" t="s">
        <v>76</v>
      </c>
      <c r="L691" s="16" t="str">
        <f>IF(COUNTIFS(Pessoas!$C$5:$C$44,$K691,Pessoas!$G$5:$G$44,"Ativo")=0,"Equipe "&amp;$K691,INDEX(Pessoas!$A$5:$A$44,_xludf.aggregate(15,6,(ROW(Pessoas!$A$5:$A$44)-4)/((Pessoas!$C$5:$C$44=$K691)*(Pessoas!$G$5:$G$44="Ativo")),MOD(ROW()-6,MAX(1,COUNTIFS(Pessoas!$C$5:$C$44,$K691,Pessoas!$G$5:$G$44,"Ativo")))+1)))</f>
        <v>Equipe Oficina Mecânica Central-Taisa</v>
      </c>
    </row>
    <row r="692" spans="1:12" ht="15" customHeight="1" x14ac:dyDescent="0.4">
      <c r="A692" s="25">
        <v>46364</v>
      </c>
      <c r="B692" s="16">
        <v>15</v>
      </c>
      <c r="C692" s="16">
        <v>2</v>
      </c>
      <c r="D692" s="16">
        <v>12</v>
      </c>
      <c r="E692" s="16" t="s">
        <v>980</v>
      </c>
      <c r="F692" s="16" t="s">
        <v>1329</v>
      </c>
      <c r="G692" s="16" t="s">
        <v>158</v>
      </c>
      <c r="H692" s="16" t="s">
        <v>144</v>
      </c>
      <c r="I692" s="22" t="s">
        <v>856</v>
      </c>
      <c r="J692" s="16">
        <f>IFERROR(INDEX(Aux_HH!$J$4:$J$31,MATCH($H692&amp;"|"&amp;$I692,Aux_HH!$A$4:$A$31,0)),"")</f>
        <v>1.5</v>
      </c>
      <c r="K692" s="16" t="s">
        <v>76</v>
      </c>
      <c r="L692" s="16" t="str">
        <f>IF(COUNTIFS(Pessoas!$C$5:$C$44,$K692,Pessoas!$G$5:$G$44,"Ativo")=0,"Equipe "&amp;$K692,INDEX(Pessoas!$A$5:$A$44,_xludf.aggregate(15,6,(ROW(Pessoas!$A$5:$A$44)-4)/((Pessoas!$C$5:$C$44=$K692)*(Pessoas!$G$5:$G$44="Ativo")),MOD(ROW()-6,MAX(1,COUNTIFS(Pessoas!$C$5:$C$44,$K692,Pessoas!$G$5:$G$44,"Ativo")))+1)))</f>
        <v>Equipe Oficina Mecânica Central-Taisa</v>
      </c>
    </row>
    <row r="693" spans="1:12" ht="15" customHeight="1" x14ac:dyDescent="0.4">
      <c r="A693" s="25">
        <v>46364</v>
      </c>
      <c r="B693" s="16">
        <v>15</v>
      </c>
      <c r="C693" s="16">
        <v>2</v>
      </c>
      <c r="D693" s="16">
        <v>12</v>
      </c>
      <c r="E693" s="16" t="s">
        <v>980</v>
      </c>
      <c r="F693" s="16" t="s">
        <v>1330</v>
      </c>
      <c r="G693" s="16" t="s">
        <v>158</v>
      </c>
      <c r="H693" s="16" t="s">
        <v>144</v>
      </c>
      <c r="I693" s="22" t="s">
        <v>856</v>
      </c>
      <c r="J693" s="16">
        <f>IFERROR(INDEX(Aux_HH!$J$4:$J$31,MATCH($H693&amp;"|"&amp;$I693,Aux_HH!$A$4:$A$31,0)),"")</f>
        <v>1.5</v>
      </c>
      <c r="K693" s="16" t="s">
        <v>76</v>
      </c>
      <c r="L693" s="16" t="str">
        <f>IF(COUNTIFS(Pessoas!$C$5:$C$44,$K693,Pessoas!$G$5:$G$44,"Ativo")=0,"Equipe "&amp;$K693,INDEX(Pessoas!$A$5:$A$44,_xludf.aggregate(15,6,(ROW(Pessoas!$A$5:$A$44)-4)/((Pessoas!$C$5:$C$44=$K693)*(Pessoas!$G$5:$G$44="Ativo")),MOD(ROW()-6,MAX(1,COUNTIFS(Pessoas!$C$5:$C$44,$K693,Pessoas!$G$5:$G$44,"Ativo")))+1)))</f>
        <v>Equipe Oficina Mecânica Central-Taisa</v>
      </c>
    </row>
    <row r="694" spans="1:12" ht="15" customHeight="1" x14ac:dyDescent="0.4">
      <c r="A694" s="25">
        <v>46365</v>
      </c>
      <c r="B694" s="16">
        <v>15</v>
      </c>
      <c r="C694" s="16">
        <v>2</v>
      </c>
      <c r="D694" s="16">
        <v>12</v>
      </c>
      <c r="E694" s="16" t="s">
        <v>980</v>
      </c>
      <c r="F694" s="16" t="s">
        <v>988</v>
      </c>
      <c r="G694" s="16" t="s">
        <v>184</v>
      </c>
      <c r="H694" s="16" t="s">
        <v>138</v>
      </c>
      <c r="I694" s="22" t="s">
        <v>861</v>
      </c>
      <c r="J694" s="16">
        <f>IFERROR(INDEX(Aux_HH!$J$4:$J$31,MATCH($H694&amp;"|"&amp;$I694,Aux_HH!$A$4:$A$31,0)),"")</f>
        <v>6</v>
      </c>
      <c r="K694" s="16" t="s">
        <v>76</v>
      </c>
      <c r="L694" s="16" t="str">
        <f>IF(COUNTIFS(Pessoas!$C$5:$C$44,$K694,Pessoas!$G$5:$G$44,"Ativo")=0,"Equipe "&amp;$K694,INDEX(Pessoas!$A$5:$A$44,_xludf.aggregate(15,6,(ROW(Pessoas!$A$5:$A$44)-4)/((Pessoas!$C$5:$C$44=$K694)*(Pessoas!$G$5:$G$44="Ativo")),MOD(ROW()-6,MAX(1,COUNTIFS(Pessoas!$C$5:$C$44,$K694,Pessoas!$G$5:$G$44,"Ativo")))+1)))</f>
        <v>Equipe Oficina Mecânica Central-Taisa</v>
      </c>
    </row>
    <row r="695" spans="1:12" ht="15" customHeight="1" x14ac:dyDescent="0.4">
      <c r="A695" s="25">
        <v>46365</v>
      </c>
      <c r="B695" s="16">
        <v>15</v>
      </c>
      <c r="C695" s="16">
        <v>2</v>
      </c>
      <c r="D695" s="16">
        <v>12</v>
      </c>
      <c r="E695" s="16" t="s">
        <v>980</v>
      </c>
      <c r="F695" s="16" t="s">
        <v>1331</v>
      </c>
      <c r="G695" s="16" t="s">
        <v>158</v>
      </c>
      <c r="H695" s="16" t="s">
        <v>144</v>
      </c>
      <c r="I695" s="22" t="s">
        <v>856</v>
      </c>
      <c r="J695" s="16">
        <f>IFERROR(INDEX(Aux_HH!$J$4:$J$31,MATCH($H695&amp;"|"&amp;$I695,Aux_HH!$A$4:$A$31,0)),"")</f>
        <v>1.5</v>
      </c>
      <c r="K695" s="16" t="s">
        <v>76</v>
      </c>
      <c r="L695" s="16" t="str">
        <f>IF(COUNTIFS(Pessoas!$C$5:$C$44,$K695,Pessoas!$G$5:$G$44,"Ativo")=0,"Equipe "&amp;$K695,INDEX(Pessoas!$A$5:$A$44,_xludf.aggregate(15,6,(ROW(Pessoas!$A$5:$A$44)-4)/((Pessoas!$C$5:$C$44=$K695)*(Pessoas!$G$5:$G$44="Ativo")),MOD(ROW()-6,MAX(1,COUNTIFS(Pessoas!$C$5:$C$44,$K695,Pessoas!$G$5:$G$44,"Ativo")))+1)))</f>
        <v>Equipe Oficina Mecânica Central-Taisa</v>
      </c>
    </row>
    <row r="696" spans="1:12" ht="15" customHeight="1" x14ac:dyDescent="0.4">
      <c r="A696" s="25">
        <v>46365</v>
      </c>
      <c r="B696" s="16">
        <v>15</v>
      </c>
      <c r="C696" s="16">
        <v>2</v>
      </c>
      <c r="D696" s="16">
        <v>12</v>
      </c>
      <c r="E696" s="16" t="s">
        <v>980</v>
      </c>
      <c r="F696" s="16" t="s">
        <v>1332</v>
      </c>
      <c r="G696" s="16" t="s">
        <v>158</v>
      </c>
      <c r="H696" s="16" t="s">
        <v>144</v>
      </c>
      <c r="I696" s="22" t="s">
        <v>856</v>
      </c>
      <c r="J696" s="16">
        <f>IFERROR(INDEX(Aux_HH!$J$4:$J$31,MATCH($H696&amp;"|"&amp;$I696,Aux_HH!$A$4:$A$31,0)),"")</f>
        <v>1.5</v>
      </c>
      <c r="K696" s="16" t="s">
        <v>76</v>
      </c>
      <c r="L696" s="16" t="str">
        <f>IF(COUNTIFS(Pessoas!$C$5:$C$44,$K696,Pessoas!$G$5:$G$44,"Ativo")=0,"Equipe "&amp;$K696,INDEX(Pessoas!$A$5:$A$44,_xludf.aggregate(15,6,(ROW(Pessoas!$A$5:$A$44)-4)/((Pessoas!$C$5:$C$44=$K696)*(Pessoas!$G$5:$G$44="Ativo")),MOD(ROW()-6,MAX(1,COUNTIFS(Pessoas!$C$5:$C$44,$K696,Pessoas!$G$5:$G$44,"Ativo")))+1)))</f>
        <v>Equipe Oficina Mecânica Central-Taisa</v>
      </c>
    </row>
    <row r="697" spans="1:12" ht="15" customHeight="1" x14ac:dyDescent="0.4">
      <c r="A697" s="25">
        <v>46365</v>
      </c>
      <c r="B697" s="16">
        <v>15</v>
      </c>
      <c r="C697" s="16">
        <v>2</v>
      </c>
      <c r="D697" s="16">
        <v>12</v>
      </c>
      <c r="E697" s="16" t="s">
        <v>980</v>
      </c>
      <c r="F697" s="16" t="s">
        <v>1333</v>
      </c>
      <c r="G697" s="16" t="s">
        <v>158</v>
      </c>
      <c r="H697" s="16" t="s">
        <v>144</v>
      </c>
      <c r="I697" s="22" t="s">
        <v>856</v>
      </c>
      <c r="J697" s="16">
        <f>IFERROR(INDEX(Aux_HH!$J$4:$J$31,MATCH($H697&amp;"|"&amp;$I697,Aux_HH!$A$4:$A$31,0)),"")</f>
        <v>1.5</v>
      </c>
      <c r="K697" s="16" t="s">
        <v>76</v>
      </c>
      <c r="L697" s="16" t="str">
        <f>IF(COUNTIFS(Pessoas!$C$5:$C$44,$K697,Pessoas!$G$5:$G$44,"Ativo")=0,"Equipe "&amp;$K697,INDEX(Pessoas!$A$5:$A$44,_xludf.aggregate(15,6,(ROW(Pessoas!$A$5:$A$44)-4)/((Pessoas!$C$5:$C$44=$K697)*(Pessoas!$G$5:$G$44="Ativo")),MOD(ROW()-6,MAX(1,COUNTIFS(Pessoas!$C$5:$C$44,$K697,Pessoas!$G$5:$G$44,"Ativo")))+1)))</f>
        <v>Equipe Oficina Mecânica Central-Taisa</v>
      </c>
    </row>
    <row r="698" spans="1:12" ht="15" customHeight="1" x14ac:dyDescent="0.4">
      <c r="A698" s="25">
        <v>46365</v>
      </c>
      <c r="B698" s="16">
        <v>15</v>
      </c>
      <c r="C698" s="16">
        <v>2</v>
      </c>
      <c r="D698" s="16">
        <v>12</v>
      </c>
      <c r="E698" s="16" t="s">
        <v>980</v>
      </c>
      <c r="F698" s="16" t="s">
        <v>1334</v>
      </c>
      <c r="G698" s="16" t="s">
        <v>158</v>
      </c>
      <c r="H698" s="16" t="s">
        <v>144</v>
      </c>
      <c r="I698" s="22" t="s">
        <v>856</v>
      </c>
      <c r="J698" s="16">
        <f>IFERROR(INDEX(Aux_HH!$J$4:$J$31,MATCH($H698&amp;"|"&amp;$I698,Aux_HH!$A$4:$A$31,0)),"")</f>
        <v>1.5</v>
      </c>
      <c r="K698" s="16" t="s">
        <v>76</v>
      </c>
      <c r="L698" s="16" t="str">
        <f>IF(COUNTIFS(Pessoas!$C$5:$C$44,$K698,Pessoas!$G$5:$G$44,"Ativo")=0,"Equipe "&amp;$K698,INDEX(Pessoas!$A$5:$A$44,_xludf.aggregate(15,6,(ROW(Pessoas!$A$5:$A$44)-4)/((Pessoas!$C$5:$C$44=$K698)*(Pessoas!$G$5:$G$44="Ativo")),MOD(ROW()-6,MAX(1,COUNTIFS(Pessoas!$C$5:$C$44,$K698,Pessoas!$G$5:$G$44,"Ativo")))+1)))</f>
        <v>Equipe Oficina Mecânica Central-Taisa</v>
      </c>
    </row>
    <row r="699" spans="1:12" ht="15" customHeight="1" x14ac:dyDescent="0.4">
      <c r="A699" s="25">
        <v>46365</v>
      </c>
      <c r="B699" s="16">
        <v>15</v>
      </c>
      <c r="C699" s="16">
        <v>2</v>
      </c>
      <c r="D699" s="16">
        <v>12</v>
      </c>
      <c r="E699" s="16" t="s">
        <v>980</v>
      </c>
      <c r="F699" s="16" t="s">
        <v>990</v>
      </c>
      <c r="G699" s="16" t="s">
        <v>526</v>
      </c>
      <c r="H699" s="16" t="s">
        <v>138</v>
      </c>
      <c r="I699" s="22" t="s">
        <v>861</v>
      </c>
      <c r="J699" s="16">
        <f>IFERROR(INDEX(Aux_HH!$J$4:$J$31,MATCH($H699&amp;"|"&amp;$I699,Aux_HH!$A$4:$A$31,0)),"")</f>
        <v>6</v>
      </c>
      <c r="K699" s="16" t="s">
        <v>76</v>
      </c>
      <c r="L699" s="16" t="str">
        <f>IF(COUNTIFS(Pessoas!$C$5:$C$44,$K699,Pessoas!$G$5:$G$44,"Ativo")=0,"Equipe "&amp;$K699,INDEX(Pessoas!$A$5:$A$44,_xludf.aggregate(15,6,(ROW(Pessoas!$A$5:$A$44)-4)/((Pessoas!$C$5:$C$44=$K699)*(Pessoas!$G$5:$G$44="Ativo")),MOD(ROW()-6,MAX(1,COUNTIFS(Pessoas!$C$5:$C$44,$K699,Pessoas!$G$5:$G$44,"Ativo")))+1)))</f>
        <v>Equipe Oficina Mecânica Central-Taisa</v>
      </c>
    </row>
    <row r="700" spans="1:12" ht="15" customHeight="1" x14ac:dyDescent="0.4">
      <c r="A700" s="25">
        <v>46365</v>
      </c>
      <c r="B700" s="16">
        <v>15</v>
      </c>
      <c r="C700" s="16">
        <v>2</v>
      </c>
      <c r="D700" s="16">
        <v>12</v>
      </c>
      <c r="E700" s="16" t="s">
        <v>980</v>
      </c>
      <c r="F700" s="16" t="s">
        <v>1335</v>
      </c>
      <c r="G700" s="16" t="s">
        <v>448</v>
      </c>
      <c r="H700" s="16" t="s">
        <v>144</v>
      </c>
      <c r="I700" s="22" t="s">
        <v>856</v>
      </c>
      <c r="J700" s="16">
        <f>IFERROR(INDEX(Aux_HH!$J$4:$J$31,MATCH($H700&amp;"|"&amp;$I700,Aux_HH!$A$4:$A$31,0)),"")</f>
        <v>1.5</v>
      </c>
      <c r="K700" s="16" t="s">
        <v>76</v>
      </c>
      <c r="L700" s="16" t="str">
        <f>IF(COUNTIFS(Pessoas!$C$5:$C$44,$K700,Pessoas!$G$5:$G$44,"Ativo")=0,"Equipe "&amp;$K700,INDEX(Pessoas!$A$5:$A$44,_xludf.aggregate(15,6,(ROW(Pessoas!$A$5:$A$44)-4)/((Pessoas!$C$5:$C$44=$K700)*(Pessoas!$G$5:$G$44="Ativo")),MOD(ROW()-6,MAX(1,COUNTIFS(Pessoas!$C$5:$C$44,$K700,Pessoas!$G$5:$G$44,"Ativo")))+1)))</f>
        <v>Equipe Oficina Mecânica Central-Taisa</v>
      </c>
    </row>
    <row r="701" spans="1:12" ht="15" customHeight="1" x14ac:dyDescent="0.4">
      <c r="A701" s="25">
        <v>46365</v>
      </c>
      <c r="B701" s="16">
        <v>15</v>
      </c>
      <c r="C701" s="16">
        <v>2</v>
      </c>
      <c r="D701" s="16">
        <v>12</v>
      </c>
      <c r="E701" s="16" t="s">
        <v>980</v>
      </c>
      <c r="F701" s="16" t="s">
        <v>1336</v>
      </c>
      <c r="G701" s="16" t="s">
        <v>158</v>
      </c>
      <c r="H701" s="16" t="s">
        <v>144</v>
      </c>
      <c r="I701" s="22" t="s">
        <v>856</v>
      </c>
      <c r="J701" s="16">
        <f>IFERROR(INDEX(Aux_HH!$J$4:$J$31,MATCH($H701&amp;"|"&amp;$I701,Aux_HH!$A$4:$A$31,0)),"")</f>
        <v>1.5</v>
      </c>
      <c r="K701" s="16" t="s">
        <v>76</v>
      </c>
      <c r="L701" s="16" t="str">
        <f>IF(COUNTIFS(Pessoas!$C$5:$C$44,$K701,Pessoas!$G$5:$G$44,"Ativo")=0,"Equipe "&amp;$K701,INDEX(Pessoas!$A$5:$A$44,_xludf.aggregate(15,6,(ROW(Pessoas!$A$5:$A$44)-4)/((Pessoas!$C$5:$C$44=$K701)*(Pessoas!$G$5:$G$44="Ativo")),MOD(ROW()-6,MAX(1,COUNTIFS(Pessoas!$C$5:$C$44,$K701,Pessoas!$G$5:$G$44,"Ativo")))+1)))</f>
        <v>Equipe Oficina Mecânica Central-Taisa</v>
      </c>
    </row>
    <row r="702" spans="1:12" ht="15" customHeight="1" x14ac:dyDescent="0.4">
      <c r="A702" s="25">
        <v>46365</v>
      </c>
      <c r="B702" s="16">
        <v>15</v>
      </c>
      <c r="C702" s="16">
        <v>2</v>
      </c>
      <c r="D702" s="16">
        <v>12</v>
      </c>
      <c r="E702" s="16" t="s">
        <v>980</v>
      </c>
      <c r="F702" s="16" t="s">
        <v>998</v>
      </c>
      <c r="G702" s="16" t="s">
        <v>688</v>
      </c>
      <c r="H702" s="16" t="s">
        <v>145</v>
      </c>
      <c r="I702" s="22" t="s">
        <v>856</v>
      </c>
      <c r="J702" s="16">
        <f>IFERROR(INDEX(Aux_HH!$J$4:$J$31,MATCH($H702&amp;"|"&amp;$I702,Aux_HH!$A$4:$A$31,0)),"")</f>
        <v>2</v>
      </c>
      <c r="K702" s="16" t="s">
        <v>76</v>
      </c>
      <c r="L702" s="16" t="str">
        <f>IF(COUNTIFS(Pessoas!$C$5:$C$44,$K702,Pessoas!$G$5:$G$44,"Ativo")=0,"Equipe "&amp;$K702,INDEX(Pessoas!$A$5:$A$44,_xludf.aggregate(15,6,(ROW(Pessoas!$A$5:$A$44)-4)/((Pessoas!$C$5:$C$44=$K702)*(Pessoas!$G$5:$G$44="Ativo")),MOD(ROW()-6,MAX(1,COUNTIFS(Pessoas!$C$5:$C$44,$K702,Pessoas!$G$5:$G$44,"Ativo")))+1)))</f>
        <v>Equipe Oficina Mecânica Central-Taisa</v>
      </c>
    </row>
    <row r="703" spans="1:12" ht="15" customHeight="1" x14ac:dyDescent="0.4">
      <c r="A703" s="25">
        <v>46365</v>
      </c>
      <c r="B703" s="16">
        <v>15</v>
      </c>
      <c r="C703" s="16">
        <v>2</v>
      </c>
      <c r="D703" s="16">
        <v>12</v>
      </c>
      <c r="E703" s="16" t="s">
        <v>980</v>
      </c>
      <c r="F703" s="16" t="s">
        <v>1000</v>
      </c>
      <c r="G703" s="16" t="s">
        <v>688</v>
      </c>
      <c r="H703" s="16" t="s">
        <v>145</v>
      </c>
      <c r="I703" s="22" t="s">
        <v>856</v>
      </c>
      <c r="J703" s="16">
        <f>IFERROR(INDEX(Aux_HH!$J$4:$J$31,MATCH($H703&amp;"|"&amp;$I703,Aux_HH!$A$4:$A$31,0)),"")</f>
        <v>2</v>
      </c>
      <c r="K703" s="16" t="s">
        <v>76</v>
      </c>
      <c r="L703" s="16" t="str">
        <f>IF(COUNTIFS(Pessoas!$C$5:$C$44,$K703,Pessoas!$G$5:$G$44,"Ativo")=0,"Equipe "&amp;$K703,INDEX(Pessoas!$A$5:$A$44,_xludf.aggregate(15,6,(ROW(Pessoas!$A$5:$A$44)-4)/((Pessoas!$C$5:$C$44=$K703)*(Pessoas!$G$5:$G$44="Ativo")),MOD(ROW()-6,MAX(1,COUNTIFS(Pessoas!$C$5:$C$44,$K703,Pessoas!$G$5:$G$44,"Ativo")))+1)))</f>
        <v>Equipe Oficina Mecânica Central-Taisa</v>
      </c>
    </row>
    <row r="704" spans="1:12" ht="15" customHeight="1" x14ac:dyDescent="0.4">
      <c r="A704" s="25">
        <v>46365</v>
      </c>
      <c r="B704" s="16">
        <v>15</v>
      </c>
      <c r="C704" s="16">
        <v>2</v>
      </c>
      <c r="D704" s="16">
        <v>12</v>
      </c>
      <c r="E704" s="16" t="s">
        <v>980</v>
      </c>
      <c r="F704" s="16" t="s">
        <v>1337</v>
      </c>
      <c r="G704" s="16" t="s">
        <v>158</v>
      </c>
      <c r="H704" s="16" t="s">
        <v>144</v>
      </c>
      <c r="I704" s="22" t="s">
        <v>856</v>
      </c>
      <c r="J704" s="16">
        <f>IFERROR(INDEX(Aux_HH!$J$4:$J$31,MATCH($H704&amp;"|"&amp;$I704,Aux_HH!$A$4:$A$31,0)),"")</f>
        <v>1.5</v>
      </c>
      <c r="K704" s="16" t="s">
        <v>76</v>
      </c>
      <c r="L704" s="16" t="str">
        <f>IF(COUNTIFS(Pessoas!$C$5:$C$44,$K704,Pessoas!$G$5:$G$44,"Ativo")=0,"Equipe "&amp;$K704,INDEX(Pessoas!$A$5:$A$44,_xludf.aggregate(15,6,(ROW(Pessoas!$A$5:$A$44)-4)/((Pessoas!$C$5:$C$44=$K704)*(Pessoas!$G$5:$G$44="Ativo")),MOD(ROW()-6,MAX(1,COUNTIFS(Pessoas!$C$5:$C$44,$K704,Pessoas!$G$5:$G$44,"Ativo")))+1)))</f>
        <v>Equipe Oficina Mecânica Central-Taisa</v>
      </c>
    </row>
    <row r="705" spans="1:12" ht="15" customHeight="1" x14ac:dyDescent="0.4">
      <c r="A705" s="25">
        <v>46365</v>
      </c>
      <c r="B705" s="16">
        <v>15</v>
      </c>
      <c r="C705" s="16">
        <v>2</v>
      </c>
      <c r="D705" s="16">
        <v>12</v>
      </c>
      <c r="E705" s="16" t="s">
        <v>980</v>
      </c>
      <c r="F705" s="16" t="s">
        <v>1338</v>
      </c>
      <c r="G705" s="16" t="s">
        <v>158</v>
      </c>
      <c r="H705" s="16" t="s">
        <v>144</v>
      </c>
      <c r="I705" s="22" t="s">
        <v>856</v>
      </c>
      <c r="J705" s="16">
        <f>IFERROR(INDEX(Aux_HH!$J$4:$J$31,MATCH($H705&amp;"|"&amp;$I705,Aux_HH!$A$4:$A$31,0)),"")</f>
        <v>1.5</v>
      </c>
      <c r="K705" s="16" t="s">
        <v>76</v>
      </c>
      <c r="L705" s="16" t="str">
        <f>IF(COUNTIFS(Pessoas!$C$5:$C$44,$K705,Pessoas!$G$5:$G$44,"Ativo")=0,"Equipe "&amp;$K705,INDEX(Pessoas!$A$5:$A$44,_xludf.aggregate(15,6,(ROW(Pessoas!$A$5:$A$44)-4)/((Pessoas!$C$5:$C$44=$K705)*(Pessoas!$G$5:$G$44="Ativo")),MOD(ROW()-6,MAX(1,COUNTIFS(Pessoas!$C$5:$C$44,$K705,Pessoas!$G$5:$G$44,"Ativo")))+1)))</f>
        <v>Equipe Oficina Mecânica Central-Taisa</v>
      </c>
    </row>
    <row r="706" spans="1:12" ht="15" customHeight="1" x14ac:dyDescent="0.4">
      <c r="A706" s="25">
        <v>46365</v>
      </c>
      <c r="B706" s="16">
        <v>15</v>
      </c>
      <c r="C706" s="16">
        <v>2</v>
      </c>
      <c r="D706" s="16">
        <v>12</v>
      </c>
      <c r="E706" s="16" t="s">
        <v>980</v>
      </c>
      <c r="F706" s="16" t="s">
        <v>1339</v>
      </c>
      <c r="G706" s="16" t="s">
        <v>158</v>
      </c>
      <c r="H706" s="16" t="s">
        <v>144</v>
      </c>
      <c r="I706" s="22" t="s">
        <v>856</v>
      </c>
      <c r="J706" s="16">
        <f>IFERROR(INDEX(Aux_HH!$J$4:$J$31,MATCH($H706&amp;"|"&amp;$I706,Aux_HH!$A$4:$A$31,0)),"")</f>
        <v>1.5</v>
      </c>
      <c r="K706" s="16" t="s">
        <v>76</v>
      </c>
      <c r="L706" s="16" t="str">
        <f>IF(COUNTIFS(Pessoas!$C$5:$C$44,$K706,Pessoas!$G$5:$G$44,"Ativo")=0,"Equipe "&amp;$K706,INDEX(Pessoas!$A$5:$A$44,_xludf.aggregate(15,6,(ROW(Pessoas!$A$5:$A$44)-4)/((Pessoas!$C$5:$C$44=$K706)*(Pessoas!$G$5:$G$44="Ativo")),MOD(ROW()-6,MAX(1,COUNTIFS(Pessoas!$C$5:$C$44,$K706,Pessoas!$G$5:$G$44,"Ativo")))+1)))</f>
        <v>Equipe Oficina Mecânica Central-Taisa</v>
      </c>
    </row>
    <row r="707" spans="1:12" ht="15" customHeight="1" x14ac:dyDescent="0.4">
      <c r="A707" s="25">
        <v>46365</v>
      </c>
      <c r="B707" s="16">
        <v>15</v>
      </c>
      <c r="C707" s="16">
        <v>2</v>
      </c>
      <c r="D707" s="16">
        <v>12</v>
      </c>
      <c r="E707" s="16" t="s">
        <v>980</v>
      </c>
      <c r="F707" s="16" t="s">
        <v>1340</v>
      </c>
      <c r="G707" s="16" t="s">
        <v>158</v>
      </c>
      <c r="H707" s="16" t="s">
        <v>144</v>
      </c>
      <c r="I707" s="22" t="s">
        <v>856</v>
      </c>
      <c r="J707" s="16">
        <f>IFERROR(INDEX(Aux_HH!$J$4:$J$31,MATCH($H707&amp;"|"&amp;$I707,Aux_HH!$A$4:$A$31,0)),"")</f>
        <v>1.5</v>
      </c>
      <c r="K707" s="16" t="s">
        <v>76</v>
      </c>
      <c r="L707" s="16" t="str">
        <f>IF(COUNTIFS(Pessoas!$C$5:$C$44,$K707,Pessoas!$G$5:$G$44,"Ativo")=0,"Equipe "&amp;$K707,INDEX(Pessoas!$A$5:$A$44,_xludf.aggregate(15,6,(ROW(Pessoas!$A$5:$A$44)-4)/((Pessoas!$C$5:$C$44=$K707)*(Pessoas!$G$5:$G$44="Ativo")),MOD(ROW()-6,MAX(1,COUNTIFS(Pessoas!$C$5:$C$44,$K707,Pessoas!$G$5:$G$44,"Ativo")))+1)))</f>
        <v>Equipe Oficina Mecânica Central-Taisa</v>
      </c>
    </row>
    <row r="708" spans="1:12" ht="15" customHeight="1" x14ac:dyDescent="0.4">
      <c r="A708" s="25">
        <v>46366</v>
      </c>
      <c r="B708" s="16">
        <v>15</v>
      </c>
      <c r="C708" s="16">
        <v>2</v>
      </c>
      <c r="D708" s="16">
        <v>12</v>
      </c>
      <c r="E708" s="16" t="s">
        <v>980</v>
      </c>
      <c r="F708" s="16" t="s">
        <v>992</v>
      </c>
      <c r="G708" s="16" t="s">
        <v>184</v>
      </c>
      <c r="H708" s="16" t="s">
        <v>138</v>
      </c>
      <c r="I708" s="22" t="s">
        <v>861</v>
      </c>
      <c r="J708" s="16">
        <f>IFERROR(INDEX(Aux_HH!$J$4:$J$31,MATCH($H708&amp;"|"&amp;$I708,Aux_HH!$A$4:$A$31,0)),"")</f>
        <v>6</v>
      </c>
      <c r="K708" s="16" t="s">
        <v>76</v>
      </c>
      <c r="L708" s="16" t="str">
        <f>IF(COUNTIFS(Pessoas!$C$5:$C$44,$K708,Pessoas!$G$5:$G$44,"Ativo")=0,"Equipe "&amp;$K708,INDEX(Pessoas!$A$5:$A$44,_xludf.aggregate(15,6,(ROW(Pessoas!$A$5:$A$44)-4)/((Pessoas!$C$5:$C$44=$K708)*(Pessoas!$G$5:$G$44="Ativo")),MOD(ROW()-6,MAX(1,COUNTIFS(Pessoas!$C$5:$C$44,$K708,Pessoas!$G$5:$G$44,"Ativo")))+1)))</f>
        <v>Equipe Oficina Mecânica Central-Taisa</v>
      </c>
    </row>
    <row r="709" spans="1:12" ht="15" customHeight="1" x14ac:dyDescent="0.4">
      <c r="A709" s="25">
        <v>46366</v>
      </c>
      <c r="B709" s="16">
        <v>15</v>
      </c>
      <c r="C709" s="16">
        <v>2</v>
      </c>
      <c r="D709" s="16">
        <v>12</v>
      </c>
      <c r="E709" s="16" t="s">
        <v>980</v>
      </c>
      <c r="F709" s="16" t="s">
        <v>1341</v>
      </c>
      <c r="G709" s="16" t="s">
        <v>158</v>
      </c>
      <c r="H709" s="16" t="s">
        <v>144</v>
      </c>
      <c r="I709" s="22" t="s">
        <v>856</v>
      </c>
      <c r="J709" s="16">
        <f>IFERROR(INDEX(Aux_HH!$J$4:$J$31,MATCH($H709&amp;"|"&amp;$I709,Aux_HH!$A$4:$A$31,0)),"")</f>
        <v>1.5</v>
      </c>
      <c r="K709" s="16" t="s">
        <v>76</v>
      </c>
      <c r="L709" s="16" t="str">
        <f>IF(COUNTIFS(Pessoas!$C$5:$C$44,$K709,Pessoas!$G$5:$G$44,"Ativo")=0,"Equipe "&amp;$K709,INDEX(Pessoas!$A$5:$A$44,_xludf.aggregate(15,6,(ROW(Pessoas!$A$5:$A$44)-4)/((Pessoas!$C$5:$C$44=$K709)*(Pessoas!$G$5:$G$44="Ativo")),MOD(ROW()-6,MAX(1,COUNTIFS(Pessoas!$C$5:$C$44,$K709,Pessoas!$G$5:$G$44,"Ativo")))+1)))</f>
        <v>Equipe Oficina Mecânica Central-Taisa</v>
      </c>
    </row>
    <row r="710" spans="1:12" ht="15" customHeight="1" x14ac:dyDescent="0.4">
      <c r="A710" s="25">
        <v>46366</v>
      </c>
      <c r="B710" s="16">
        <v>15</v>
      </c>
      <c r="C710" s="16">
        <v>2</v>
      </c>
      <c r="D710" s="16">
        <v>12</v>
      </c>
      <c r="E710" s="16" t="s">
        <v>980</v>
      </c>
      <c r="F710" s="16" t="s">
        <v>1342</v>
      </c>
      <c r="G710" s="16" t="s">
        <v>158</v>
      </c>
      <c r="H710" s="16" t="s">
        <v>144</v>
      </c>
      <c r="I710" s="22" t="s">
        <v>856</v>
      </c>
      <c r="J710" s="16">
        <f>IFERROR(INDEX(Aux_HH!$J$4:$J$31,MATCH($H710&amp;"|"&amp;$I710,Aux_HH!$A$4:$A$31,0)),"")</f>
        <v>1.5</v>
      </c>
      <c r="K710" s="16" t="s">
        <v>76</v>
      </c>
      <c r="L710" s="16" t="str">
        <f>IF(COUNTIFS(Pessoas!$C$5:$C$44,$K710,Pessoas!$G$5:$G$44,"Ativo")=0,"Equipe "&amp;$K710,INDEX(Pessoas!$A$5:$A$44,_xludf.aggregate(15,6,(ROW(Pessoas!$A$5:$A$44)-4)/((Pessoas!$C$5:$C$44=$K710)*(Pessoas!$G$5:$G$44="Ativo")),MOD(ROW()-6,MAX(1,COUNTIFS(Pessoas!$C$5:$C$44,$K710,Pessoas!$G$5:$G$44,"Ativo")))+1)))</f>
        <v>Equipe Oficina Mecânica Central-Taisa</v>
      </c>
    </row>
    <row r="711" spans="1:12" ht="15" customHeight="1" x14ac:dyDescent="0.4">
      <c r="A711" s="25">
        <v>46366</v>
      </c>
      <c r="B711" s="16">
        <v>15</v>
      </c>
      <c r="C711" s="16">
        <v>2</v>
      </c>
      <c r="D711" s="16">
        <v>12</v>
      </c>
      <c r="E711" s="16" t="s">
        <v>980</v>
      </c>
      <c r="F711" s="16" t="s">
        <v>1343</v>
      </c>
      <c r="G711" s="16" t="s">
        <v>158</v>
      </c>
      <c r="H711" s="16" t="s">
        <v>144</v>
      </c>
      <c r="I711" s="22" t="s">
        <v>856</v>
      </c>
      <c r="J711" s="16">
        <f>IFERROR(INDEX(Aux_HH!$J$4:$J$31,MATCH($H711&amp;"|"&amp;$I711,Aux_HH!$A$4:$A$31,0)),"")</f>
        <v>1.5</v>
      </c>
      <c r="K711" s="16" t="s">
        <v>76</v>
      </c>
      <c r="L711" s="16" t="str">
        <f>IF(COUNTIFS(Pessoas!$C$5:$C$44,$K711,Pessoas!$G$5:$G$44,"Ativo")=0,"Equipe "&amp;$K711,INDEX(Pessoas!$A$5:$A$44,_xludf.aggregate(15,6,(ROW(Pessoas!$A$5:$A$44)-4)/((Pessoas!$C$5:$C$44=$K711)*(Pessoas!$G$5:$G$44="Ativo")),MOD(ROW()-6,MAX(1,COUNTIFS(Pessoas!$C$5:$C$44,$K711,Pessoas!$G$5:$G$44,"Ativo")))+1)))</f>
        <v>Equipe Oficina Mecânica Central-Taisa</v>
      </c>
    </row>
    <row r="712" spans="1:12" ht="15" customHeight="1" x14ac:dyDescent="0.4">
      <c r="A712" s="25">
        <v>46366</v>
      </c>
      <c r="B712" s="16">
        <v>15</v>
      </c>
      <c r="C712" s="16">
        <v>2</v>
      </c>
      <c r="D712" s="16">
        <v>12</v>
      </c>
      <c r="E712" s="16" t="s">
        <v>980</v>
      </c>
      <c r="F712" s="16" t="s">
        <v>1344</v>
      </c>
      <c r="G712" s="16" t="s">
        <v>158</v>
      </c>
      <c r="H712" s="16" t="s">
        <v>144</v>
      </c>
      <c r="I712" s="22" t="s">
        <v>856</v>
      </c>
      <c r="J712" s="16">
        <f>IFERROR(INDEX(Aux_HH!$J$4:$J$31,MATCH($H712&amp;"|"&amp;$I712,Aux_HH!$A$4:$A$31,0)),"")</f>
        <v>1.5</v>
      </c>
      <c r="K712" s="16" t="s">
        <v>76</v>
      </c>
      <c r="L712" s="16" t="str">
        <f>IF(COUNTIFS(Pessoas!$C$5:$C$44,$K712,Pessoas!$G$5:$G$44,"Ativo")=0,"Equipe "&amp;$K712,INDEX(Pessoas!$A$5:$A$44,_xludf.aggregate(15,6,(ROW(Pessoas!$A$5:$A$44)-4)/((Pessoas!$C$5:$C$44=$K712)*(Pessoas!$G$5:$G$44="Ativo")),MOD(ROW()-6,MAX(1,COUNTIFS(Pessoas!$C$5:$C$44,$K712,Pessoas!$G$5:$G$44,"Ativo")))+1)))</f>
        <v>Equipe Oficina Mecânica Central-Taisa</v>
      </c>
    </row>
    <row r="713" spans="1:12" ht="15" customHeight="1" x14ac:dyDescent="0.4">
      <c r="A713" s="25">
        <v>46366</v>
      </c>
      <c r="B713" s="16">
        <v>15</v>
      </c>
      <c r="C713" s="16">
        <v>2</v>
      </c>
      <c r="D713" s="16">
        <v>12</v>
      </c>
      <c r="E713" s="16" t="s">
        <v>980</v>
      </c>
      <c r="F713" s="16" t="s">
        <v>1345</v>
      </c>
      <c r="G713" s="16" t="s">
        <v>158</v>
      </c>
      <c r="H713" s="16" t="s">
        <v>144</v>
      </c>
      <c r="I713" s="22" t="s">
        <v>856</v>
      </c>
      <c r="J713" s="16">
        <f>IFERROR(INDEX(Aux_HH!$J$4:$J$31,MATCH($H713&amp;"|"&amp;$I713,Aux_HH!$A$4:$A$31,0)),"")</f>
        <v>1.5</v>
      </c>
      <c r="K713" s="16" t="s">
        <v>76</v>
      </c>
      <c r="L713" s="16" t="str">
        <f>IF(COUNTIFS(Pessoas!$C$5:$C$44,$K713,Pessoas!$G$5:$G$44,"Ativo")=0,"Equipe "&amp;$K713,INDEX(Pessoas!$A$5:$A$44,_xludf.aggregate(15,6,(ROW(Pessoas!$A$5:$A$44)-4)/((Pessoas!$C$5:$C$44=$K713)*(Pessoas!$G$5:$G$44="Ativo")),MOD(ROW()-6,MAX(1,COUNTIFS(Pessoas!$C$5:$C$44,$K713,Pessoas!$G$5:$G$44,"Ativo")))+1)))</f>
        <v>Equipe Oficina Mecânica Central-Taisa</v>
      </c>
    </row>
    <row r="714" spans="1:12" ht="15" customHeight="1" x14ac:dyDescent="0.4">
      <c r="A714" s="25">
        <v>46366</v>
      </c>
      <c r="B714" s="16">
        <v>15</v>
      </c>
      <c r="C714" s="16">
        <v>2</v>
      </c>
      <c r="D714" s="16">
        <v>12</v>
      </c>
      <c r="E714" s="16" t="s">
        <v>980</v>
      </c>
      <c r="F714" s="16" t="s">
        <v>1346</v>
      </c>
      <c r="G714" s="16" t="s">
        <v>158</v>
      </c>
      <c r="H714" s="16" t="s">
        <v>144</v>
      </c>
      <c r="I714" s="22" t="s">
        <v>856</v>
      </c>
      <c r="J714" s="16">
        <f>IFERROR(INDEX(Aux_HH!$J$4:$J$31,MATCH($H714&amp;"|"&amp;$I714,Aux_HH!$A$4:$A$31,0)),"")</f>
        <v>1.5</v>
      </c>
      <c r="K714" s="16" t="s">
        <v>76</v>
      </c>
      <c r="L714" s="16" t="str">
        <f>IF(COUNTIFS(Pessoas!$C$5:$C$44,$K714,Pessoas!$G$5:$G$44,"Ativo")=0,"Equipe "&amp;$K714,INDEX(Pessoas!$A$5:$A$44,_xludf.aggregate(15,6,(ROW(Pessoas!$A$5:$A$44)-4)/((Pessoas!$C$5:$C$44=$K714)*(Pessoas!$G$5:$G$44="Ativo")),MOD(ROW()-6,MAX(1,COUNTIFS(Pessoas!$C$5:$C$44,$K714,Pessoas!$G$5:$G$44,"Ativo")))+1)))</f>
        <v>Equipe Oficina Mecânica Central-Taisa</v>
      </c>
    </row>
    <row r="715" spans="1:12" ht="15" customHeight="1" x14ac:dyDescent="0.4">
      <c r="A715" s="25">
        <v>46366</v>
      </c>
      <c r="B715" s="16">
        <v>15</v>
      </c>
      <c r="C715" s="16">
        <v>2</v>
      </c>
      <c r="D715" s="16">
        <v>12</v>
      </c>
      <c r="E715" s="16" t="s">
        <v>980</v>
      </c>
      <c r="F715" s="16" t="s">
        <v>1001</v>
      </c>
      <c r="G715" s="16" t="s">
        <v>688</v>
      </c>
      <c r="H715" s="16" t="s">
        <v>145</v>
      </c>
      <c r="I715" s="22" t="s">
        <v>856</v>
      </c>
      <c r="J715" s="16">
        <f>IFERROR(INDEX(Aux_HH!$J$4:$J$31,MATCH($H715&amp;"|"&amp;$I715,Aux_HH!$A$4:$A$31,0)),"")</f>
        <v>2</v>
      </c>
      <c r="K715" s="16" t="s">
        <v>76</v>
      </c>
      <c r="L715" s="16" t="str">
        <f>IF(COUNTIFS(Pessoas!$C$5:$C$44,$K715,Pessoas!$G$5:$G$44,"Ativo")=0,"Equipe "&amp;$K715,INDEX(Pessoas!$A$5:$A$44,_xludf.aggregate(15,6,(ROW(Pessoas!$A$5:$A$44)-4)/((Pessoas!$C$5:$C$44=$K715)*(Pessoas!$G$5:$G$44="Ativo")),MOD(ROW()-6,MAX(1,COUNTIFS(Pessoas!$C$5:$C$44,$K715,Pessoas!$G$5:$G$44,"Ativo")))+1)))</f>
        <v>Equipe Oficina Mecânica Central-Taisa</v>
      </c>
    </row>
    <row r="716" spans="1:12" ht="15" customHeight="1" x14ac:dyDescent="0.4">
      <c r="A716" s="25">
        <v>46366</v>
      </c>
      <c r="B716" s="16">
        <v>15</v>
      </c>
      <c r="C716" s="16">
        <v>2</v>
      </c>
      <c r="D716" s="16">
        <v>12</v>
      </c>
      <c r="E716" s="16" t="s">
        <v>980</v>
      </c>
      <c r="F716" s="16" t="s">
        <v>1002</v>
      </c>
      <c r="G716" s="16" t="s">
        <v>688</v>
      </c>
      <c r="H716" s="16" t="s">
        <v>145</v>
      </c>
      <c r="I716" s="22" t="s">
        <v>856</v>
      </c>
      <c r="J716" s="16">
        <f>IFERROR(INDEX(Aux_HH!$J$4:$J$31,MATCH($H716&amp;"|"&amp;$I716,Aux_HH!$A$4:$A$31,0)),"")</f>
        <v>2</v>
      </c>
      <c r="K716" s="16" t="s">
        <v>76</v>
      </c>
      <c r="L716" s="16" t="str">
        <f>IF(COUNTIFS(Pessoas!$C$5:$C$44,$K716,Pessoas!$G$5:$G$44,"Ativo")=0,"Equipe "&amp;$K716,INDEX(Pessoas!$A$5:$A$44,_xludf.aggregate(15,6,(ROW(Pessoas!$A$5:$A$44)-4)/((Pessoas!$C$5:$C$44=$K716)*(Pessoas!$G$5:$G$44="Ativo")),MOD(ROW()-6,MAX(1,COUNTIFS(Pessoas!$C$5:$C$44,$K716,Pessoas!$G$5:$G$44,"Ativo")))+1)))</f>
        <v>Equipe Oficina Mecânica Central-Taisa</v>
      </c>
    </row>
    <row r="717" spans="1:12" ht="15" customHeight="1" x14ac:dyDescent="0.4">
      <c r="A717" s="25">
        <v>46366</v>
      </c>
      <c r="B717" s="16">
        <v>15</v>
      </c>
      <c r="C717" s="16">
        <v>2</v>
      </c>
      <c r="D717" s="16">
        <v>12</v>
      </c>
      <c r="E717" s="16" t="s">
        <v>980</v>
      </c>
      <c r="F717" s="16" t="s">
        <v>1003</v>
      </c>
      <c r="G717" s="16" t="s">
        <v>688</v>
      </c>
      <c r="H717" s="16" t="s">
        <v>145</v>
      </c>
      <c r="I717" s="22" t="s">
        <v>856</v>
      </c>
      <c r="J717" s="16">
        <f>IFERROR(INDEX(Aux_HH!$J$4:$J$31,MATCH($H717&amp;"|"&amp;$I717,Aux_HH!$A$4:$A$31,0)),"")</f>
        <v>2</v>
      </c>
      <c r="K717" s="16" t="s">
        <v>76</v>
      </c>
      <c r="L717" s="16" t="str">
        <f>IF(COUNTIFS(Pessoas!$C$5:$C$44,$K717,Pessoas!$G$5:$G$44,"Ativo")=0,"Equipe "&amp;$K717,INDEX(Pessoas!$A$5:$A$44,_xludf.aggregate(15,6,(ROW(Pessoas!$A$5:$A$44)-4)/((Pessoas!$C$5:$C$44=$K717)*(Pessoas!$G$5:$G$44="Ativo")),MOD(ROW()-6,MAX(1,COUNTIFS(Pessoas!$C$5:$C$44,$K717,Pessoas!$G$5:$G$44,"Ativo")))+1)))</f>
        <v>Equipe Oficina Mecânica Central-Taisa</v>
      </c>
    </row>
    <row r="718" spans="1:12" ht="15" customHeight="1" x14ac:dyDescent="0.4">
      <c r="A718" s="25">
        <v>46366</v>
      </c>
      <c r="B718" s="16">
        <v>15</v>
      </c>
      <c r="C718" s="16">
        <v>2</v>
      </c>
      <c r="D718" s="16">
        <v>12</v>
      </c>
      <c r="E718" s="16" t="s">
        <v>980</v>
      </c>
      <c r="F718" s="16" t="s">
        <v>1347</v>
      </c>
      <c r="G718" s="16" t="s">
        <v>158</v>
      </c>
      <c r="H718" s="16" t="s">
        <v>144</v>
      </c>
      <c r="I718" s="22" t="s">
        <v>856</v>
      </c>
      <c r="J718" s="16">
        <f>IFERROR(INDEX(Aux_HH!$J$4:$J$31,MATCH($H718&amp;"|"&amp;$I718,Aux_HH!$A$4:$A$31,0)),"")</f>
        <v>1.5</v>
      </c>
      <c r="K718" s="16" t="s">
        <v>76</v>
      </c>
      <c r="L718" s="16" t="str">
        <f>IF(COUNTIFS(Pessoas!$C$5:$C$44,$K718,Pessoas!$G$5:$G$44,"Ativo")=0,"Equipe "&amp;$K718,INDEX(Pessoas!$A$5:$A$44,_xludf.aggregate(15,6,(ROW(Pessoas!$A$5:$A$44)-4)/((Pessoas!$C$5:$C$44=$K718)*(Pessoas!$G$5:$G$44="Ativo")),MOD(ROW()-6,MAX(1,COUNTIFS(Pessoas!$C$5:$C$44,$K718,Pessoas!$G$5:$G$44,"Ativo")))+1)))</f>
        <v>Equipe Oficina Mecânica Central-Taisa</v>
      </c>
    </row>
    <row r="719" spans="1:12" ht="15" customHeight="1" x14ac:dyDescent="0.4">
      <c r="A719" s="25">
        <v>46366</v>
      </c>
      <c r="B719" s="16">
        <v>15</v>
      </c>
      <c r="C719" s="16">
        <v>2</v>
      </c>
      <c r="D719" s="16">
        <v>12</v>
      </c>
      <c r="E719" s="16" t="s">
        <v>980</v>
      </c>
      <c r="F719" s="16" t="s">
        <v>1348</v>
      </c>
      <c r="G719" s="16" t="s">
        <v>158</v>
      </c>
      <c r="H719" s="16" t="s">
        <v>144</v>
      </c>
      <c r="I719" s="22" t="s">
        <v>856</v>
      </c>
      <c r="J719" s="16">
        <f>IFERROR(INDEX(Aux_HH!$J$4:$J$31,MATCH($H719&amp;"|"&amp;$I719,Aux_HH!$A$4:$A$31,0)),"")</f>
        <v>1.5</v>
      </c>
      <c r="K719" s="16" t="s">
        <v>76</v>
      </c>
      <c r="L719" s="16" t="str">
        <f>IF(COUNTIFS(Pessoas!$C$5:$C$44,$K719,Pessoas!$G$5:$G$44,"Ativo")=0,"Equipe "&amp;$K719,INDEX(Pessoas!$A$5:$A$44,_xludf.aggregate(15,6,(ROW(Pessoas!$A$5:$A$44)-4)/((Pessoas!$C$5:$C$44=$K719)*(Pessoas!$G$5:$G$44="Ativo")),MOD(ROW()-6,MAX(1,COUNTIFS(Pessoas!$C$5:$C$44,$K719,Pessoas!$G$5:$G$44,"Ativo")))+1)))</f>
        <v>Equipe Oficina Mecânica Central-Taisa</v>
      </c>
    </row>
    <row r="720" spans="1:12" ht="15" customHeight="1" x14ac:dyDescent="0.4">
      <c r="A720" s="25">
        <v>46366</v>
      </c>
      <c r="B720" s="16">
        <v>15</v>
      </c>
      <c r="C720" s="16">
        <v>2</v>
      </c>
      <c r="D720" s="16">
        <v>12</v>
      </c>
      <c r="E720" s="16" t="s">
        <v>980</v>
      </c>
      <c r="F720" s="16" t="s">
        <v>1349</v>
      </c>
      <c r="G720" s="16" t="s">
        <v>158</v>
      </c>
      <c r="H720" s="16" t="s">
        <v>144</v>
      </c>
      <c r="I720" s="22" t="s">
        <v>856</v>
      </c>
      <c r="J720" s="16">
        <f>IFERROR(INDEX(Aux_HH!$J$4:$J$31,MATCH($H720&amp;"|"&amp;$I720,Aux_HH!$A$4:$A$31,0)),"")</f>
        <v>1.5</v>
      </c>
      <c r="K720" s="16" t="s">
        <v>76</v>
      </c>
      <c r="L720" s="16" t="str">
        <f>IF(COUNTIFS(Pessoas!$C$5:$C$44,$K720,Pessoas!$G$5:$G$44,"Ativo")=0,"Equipe "&amp;$K720,INDEX(Pessoas!$A$5:$A$44,_xludf.aggregate(15,6,(ROW(Pessoas!$A$5:$A$44)-4)/((Pessoas!$C$5:$C$44=$K720)*(Pessoas!$G$5:$G$44="Ativo")),MOD(ROW()-6,MAX(1,COUNTIFS(Pessoas!$C$5:$C$44,$K720,Pessoas!$G$5:$G$44,"Ativo")))+1)))</f>
        <v>Equipe Oficina Mecânica Central-Taisa</v>
      </c>
    </row>
    <row r="721" spans="1:12" ht="15" customHeight="1" x14ac:dyDescent="0.4">
      <c r="A721" s="25">
        <v>46366</v>
      </c>
      <c r="B721" s="16">
        <v>15</v>
      </c>
      <c r="C721" s="16">
        <v>2</v>
      </c>
      <c r="D721" s="16">
        <v>12</v>
      </c>
      <c r="E721" s="16" t="s">
        <v>980</v>
      </c>
      <c r="F721" s="16" t="s">
        <v>1350</v>
      </c>
      <c r="G721" s="16" t="s">
        <v>158</v>
      </c>
      <c r="H721" s="16" t="s">
        <v>144</v>
      </c>
      <c r="I721" s="22" t="s">
        <v>856</v>
      </c>
      <c r="J721" s="16">
        <f>IFERROR(INDEX(Aux_HH!$J$4:$J$31,MATCH($H721&amp;"|"&amp;$I721,Aux_HH!$A$4:$A$31,0)),"")</f>
        <v>1.5</v>
      </c>
      <c r="K721" s="16" t="s">
        <v>76</v>
      </c>
      <c r="L721" s="16" t="str">
        <f>IF(COUNTIFS(Pessoas!$C$5:$C$44,$K721,Pessoas!$G$5:$G$44,"Ativo")=0,"Equipe "&amp;$K721,INDEX(Pessoas!$A$5:$A$44,_xludf.aggregate(15,6,(ROW(Pessoas!$A$5:$A$44)-4)/((Pessoas!$C$5:$C$44=$K721)*(Pessoas!$G$5:$G$44="Ativo")),MOD(ROW()-6,MAX(1,COUNTIFS(Pessoas!$C$5:$C$44,$K721,Pessoas!$G$5:$G$44,"Ativo")))+1)))</f>
        <v>Equipe Oficina Mecânica Central-Taisa</v>
      </c>
    </row>
    <row r="722" spans="1:12" ht="15" customHeight="1" x14ac:dyDescent="0.4">
      <c r="A722" s="25">
        <v>46367</v>
      </c>
      <c r="B722" s="16">
        <v>15</v>
      </c>
      <c r="C722" s="16">
        <v>2</v>
      </c>
      <c r="D722" s="16">
        <v>12</v>
      </c>
      <c r="E722" s="16" t="s">
        <v>980</v>
      </c>
      <c r="F722" s="16" t="s">
        <v>1351</v>
      </c>
      <c r="G722" s="16" t="s">
        <v>158</v>
      </c>
      <c r="H722" s="16" t="s">
        <v>144</v>
      </c>
      <c r="I722" s="22" t="s">
        <v>856</v>
      </c>
      <c r="J722" s="16">
        <f>IFERROR(INDEX(Aux_HH!$J$4:$J$31,MATCH($H722&amp;"|"&amp;$I722,Aux_HH!$A$4:$A$31,0)),"")</f>
        <v>1.5</v>
      </c>
      <c r="K722" s="16" t="s">
        <v>76</v>
      </c>
      <c r="L722" s="16" t="str">
        <f>IF(COUNTIFS(Pessoas!$C$5:$C$44,$K722,Pessoas!$G$5:$G$44,"Ativo")=0,"Equipe "&amp;$K722,INDEX(Pessoas!$A$5:$A$44,_xludf.aggregate(15,6,(ROW(Pessoas!$A$5:$A$44)-4)/((Pessoas!$C$5:$C$44=$K722)*(Pessoas!$G$5:$G$44="Ativo")),MOD(ROW()-6,MAX(1,COUNTIFS(Pessoas!$C$5:$C$44,$K722,Pessoas!$G$5:$G$44,"Ativo")))+1)))</f>
        <v>Equipe Oficina Mecânica Central-Taisa</v>
      </c>
    </row>
    <row r="723" spans="1:12" ht="15" customHeight="1" x14ac:dyDescent="0.4">
      <c r="A723" s="25">
        <v>46367</v>
      </c>
      <c r="B723" s="16">
        <v>15</v>
      </c>
      <c r="C723" s="16">
        <v>2</v>
      </c>
      <c r="D723" s="16">
        <v>12</v>
      </c>
      <c r="E723" s="16" t="s">
        <v>980</v>
      </c>
      <c r="F723" s="16" t="s">
        <v>1352</v>
      </c>
      <c r="G723" s="16" t="s">
        <v>158</v>
      </c>
      <c r="H723" s="16" t="s">
        <v>144</v>
      </c>
      <c r="I723" s="22" t="s">
        <v>856</v>
      </c>
      <c r="J723" s="16">
        <f>IFERROR(INDEX(Aux_HH!$J$4:$J$31,MATCH($H723&amp;"|"&amp;$I723,Aux_HH!$A$4:$A$31,0)),"")</f>
        <v>1.5</v>
      </c>
      <c r="K723" s="16" t="s">
        <v>76</v>
      </c>
      <c r="L723" s="16" t="str">
        <f>IF(COUNTIFS(Pessoas!$C$5:$C$44,$K723,Pessoas!$G$5:$G$44,"Ativo")=0,"Equipe "&amp;$K723,INDEX(Pessoas!$A$5:$A$44,_xludf.aggregate(15,6,(ROW(Pessoas!$A$5:$A$44)-4)/((Pessoas!$C$5:$C$44=$K723)*(Pessoas!$G$5:$G$44="Ativo")),MOD(ROW()-6,MAX(1,COUNTIFS(Pessoas!$C$5:$C$44,$K723,Pessoas!$G$5:$G$44,"Ativo")))+1)))</f>
        <v>Equipe Oficina Mecânica Central-Taisa</v>
      </c>
    </row>
    <row r="724" spans="1:12" ht="15" customHeight="1" x14ac:dyDescent="0.4">
      <c r="A724" s="25">
        <v>46367</v>
      </c>
      <c r="B724" s="16">
        <v>15</v>
      </c>
      <c r="C724" s="16">
        <v>2</v>
      </c>
      <c r="D724" s="16">
        <v>12</v>
      </c>
      <c r="E724" s="16" t="s">
        <v>980</v>
      </c>
      <c r="F724" s="16" t="s">
        <v>1353</v>
      </c>
      <c r="G724" s="16" t="s">
        <v>158</v>
      </c>
      <c r="H724" s="16" t="s">
        <v>144</v>
      </c>
      <c r="I724" s="22" t="s">
        <v>856</v>
      </c>
      <c r="J724" s="16">
        <f>IFERROR(INDEX(Aux_HH!$J$4:$J$31,MATCH($H724&amp;"|"&amp;$I724,Aux_HH!$A$4:$A$31,0)),"")</f>
        <v>1.5</v>
      </c>
      <c r="K724" s="16" t="s">
        <v>76</v>
      </c>
      <c r="L724" s="16" t="str">
        <f>IF(COUNTIFS(Pessoas!$C$5:$C$44,$K724,Pessoas!$G$5:$G$44,"Ativo")=0,"Equipe "&amp;$K724,INDEX(Pessoas!$A$5:$A$44,_xludf.aggregate(15,6,(ROW(Pessoas!$A$5:$A$44)-4)/((Pessoas!$C$5:$C$44=$K724)*(Pessoas!$G$5:$G$44="Ativo")),MOD(ROW()-6,MAX(1,COUNTIFS(Pessoas!$C$5:$C$44,$K724,Pessoas!$G$5:$G$44,"Ativo")))+1)))</f>
        <v>Equipe Oficina Mecânica Central-Taisa</v>
      </c>
    </row>
    <row r="725" spans="1:12" ht="15" customHeight="1" x14ac:dyDescent="0.4">
      <c r="A725" s="25">
        <v>46367</v>
      </c>
      <c r="B725" s="16">
        <v>15</v>
      </c>
      <c r="C725" s="16">
        <v>2</v>
      </c>
      <c r="D725" s="16">
        <v>12</v>
      </c>
      <c r="E725" s="16" t="s">
        <v>980</v>
      </c>
      <c r="F725" s="16" t="s">
        <v>1354</v>
      </c>
      <c r="G725" s="16" t="s">
        <v>158</v>
      </c>
      <c r="H725" s="16" t="s">
        <v>144</v>
      </c>
      <c r="I725" s="22" t="s">
        <v>856</v>
      </c>
      <c r="J725" s="16">
        <f>IFERROR(INDEX(Aux_HH!$J$4:$J$31,MATCH($H725&amp;"|"&amp;$I725,Aux_HH!$A$4:$A$31,0)),"")</f>
        <v>1.5</v>
      </c>
      <c r="K725" s="16" t="s">
        <v>76</v>
      </c>
      <c r="L725" s="16" t="str">
        <f>IF(COUNTIFS(Pessoas!$C$5:$C$44,$K725,Pessoas!$G$5:$G$44,"Ativo")=0,"Equipe "&amp;$K725,INDEX(Pessoas!$A$5:$A$44,_xludf.aggregate(15,6,(ROW(Pessoas!$A$5:$A$44)-4)/((Pessoas!$C$5:$C$44=$K725)*(Pessoas!$G$5:$G$44="Ativo")),MOD(ROW()-6,MAX(1,COUNTIFS(Pessoas!$C$5:$C$44,$K725,Pessoas!$G$5:$G$44,"Ativo")))+1)))</f>
        <v>Equipe Oficina Mecânica Central-Taisa</v>
      </c>
    </row>
    <row r="726" spans="1:12" ht="15" customHeight="1" x14ac:dyDescent="0.4">
      <c r="A726" s="25">
        <v>46367</v>
      </c>
      <c r="B726" s="16">
        <v>15</v>
      </c>
      <c r="C726" s="16">
        <v>2</v>
      </c>
      <c r="D726" s="16">
        <v>12</v>
      </c>
      <c r="E726" s="16" t="s">
        <v>980</v>
      </c>
      <c r="F726" s="16" t="s">
        <v>993</v>
      </c>
      <c r="G726" s="16" t="s">
        <v>184</v>
      </c>
      <c r="H726" s="16" t="s">
        <v>138</v>
      </c>
      <c r="I726" s="22" t="s">
        <v>861</v>
      </c>
      <c r="J726" s="16">
        <f>IFERROR(INDEX(Aux_HH!$J$4:$J$31,MATCH($H726&amp;"|"&amp;$I726,Aux_HH!$A$4:$A$31,0)),"")</f>
        <v>6</v>
      </c>
      <c r="K726" s="16" t="s">
        <v>76</v>
      </c>
      <c r="L726" s="16" t="str">
        <f>IF(COUNTIFS(Pessoas!$C$5:$C$44,$K726,Pessoas!$G$5:$G$44,"Ativo")=0,"Equipe "&amp;$K726,INDEX(Pessoas!$A$5:$A$44,_xludf.aggregate(15,6,(ROW(Pessoas!$A$5:$A$44)-4)/((Pessoas!$C$5:$C$44=$K726)*(Pessoas!$G$5:$G$44="Ativo")),MOD(ROW()-6,MAX(1,COUNTIFS(Pessoas!$C$5:$C$44,$K726,Pessoas!$G$5:$G$44,"Ativo")))+1)))</f>
        <v>Equipe Oficina Mecânica Central-Taisa</v>
      </c>
    </row>
    <row r="727" spans="1:12" ht="15" customHeight="1" x14ac:dyDescent="0.4">
      <c r="A727" s="25">
        <v>46367</v>
      </c>
      <c r="B727" s="16">
        <v>15</v>
      </c>
      <c r="C727" s="16">
        <v>2</v>
      </c>
      <c r="D727" s="16">
        <v>12</v>
      </c>
      <c r="E727" s="16" t="s">
        <v>980</v>
      </c>
      <c r="F727" s="16" t="s">
        <v>1355</v>
      </c>
      <c r="G727" s="16" t="s">
        <v>158</v>
      </c>
      <c r="H727" s="16" t="s">
        <v>144</v>
      </c>
      <c r="I727" s="22" t="s">
        <v>856</v>
      </c>
      <c r="J727" s="16">
        <f>IFERROR(INDEX(Aux_HH!$J$4:$J$31,MATCH($H727&amp;"|"&amp;$I727,Aux_HH!$A$4:$A$31,0)),"")</f>
        <v>1.5</v>
      </c>
      <c r="K727" s="16" t="s">
        <v>76</v>
      </c>
      <c r="L727" s="16" t="str">
        <f>IF(COUNTIFS(Pessoas!$C$5:$C$44,$K727,Pessoas!$G$5:$G$44,"Ativo")=0,"Equipe "&amp;$K727,INDEX(Pessoas!$A$5:$A$44,_xludf.aggregate(15,6,(ROW(Pessoas!$A$5:$A$44)-4)/((Pessoas!$C$5:$C$44=$K727)*(Pessoas!$G$5:$G$44="Ativo")),MOD(ROW()-6,MAX(1,COUNTIFS(Pessoas!$C$5:$C$44,$K727,Pessoas!$G$5:$G$44,"Ativo")))+1)))</f>
        <v>Equipe Oficina Mecânica Central-Taisa</v>
      </c>
    </row>
    <row r="728" spans="1:12" ht="15" customHeight="1" x14ac:dyDescent="0.4">
      <c r="A728" s="25">
        <v>46367</v>
      </c>
      <c r="B728" s="16">
        <v>15</v>
      </c>
      <c r="C728" s="16">
        <v>2</v>
      </c>
      <c r="D728" s="16">
        <v>12</v>
      </c>
      <c r="E728" s="16" t="s">
        <v>980</v>
      </c>
      <c r="F728" s="16" t="s">
        <v>1356</v>
      </c>
      <c r="G728" s="16" t="s">
        <v>448</v>
      </c>
      <c r="H728" s="16" t="s">
        <v>144</v>
      </c>
      <c r="I728" s="22" t="s">
        <v>856</v>
      </c>
      <c r="J728" s="16">
        <f>IFERROR(INDEX(Aux_HH!$J$4:$J$31,MATCH($H728&amp;"|"&amp;$I728,Aux_HH!$A$4:$A$31,0)),"")</f>
        <v>1.5</v>
      </c>
      <c r="K728" s="16" t="s">
        <v>76</v>
      </c>
      <c r="L728" s="16" t="str">
        <f>IF(COUNTIFS(Pessoas!$C$5:$C$44,$K728,Pessoas!$G$5:$G$44,"Ativo")=0,"Equipe "&amp;$K728,INDEX(Pessoas!$A$5:$A$44,_xludf.aggregate(15,6,(ROW(Pessoas!$A$5:$A$44)-4)/((Pessoas!$C$5:$C$44=$K728)*(Pessoas!$G$5:$G$44="Ativo")),MOD(ROW()-6,MAX(1,COUNTIFS(Pessoas!$C$5:$C$44,$K728,Pessoas!$G$5:$G$44,"Ativo")))+1)))</f>
        <v>Equipe Oficina Mecânica Central-Taisa</v>
      </c>
    </row>
    <row r="729" spans="1:12" ht="15" customHeight="1" x14ac:dyDescent="0.4">
      <c r="A729" s="25">
        <v>46367</v>
      </c>
      <c r="B729" s="16">
        <v>15</v>
      </c>
      <c r="C729" s="16">
        <v>2</v>
      </c>
      <c r="D729" s="16">
        <v>12</v>
      </c>
      <c r="E729" s="16" t="s">
        <v>980</v>
      </c>
      <c r="F729" s="16" t="s">
        <v>1004</v>
      </c>
      <c r="G729" s="16" t="s">
        <v>688</v>
      </c>
      <c r="H729" s="16" t="s">
        <v>145</v>
      </c>
      <c r="I729" s="22" t="s">
        <v>856</v>
      </c>
      <c r="J729" s="16">
        <f>IFERROR(INDEX(Aux_HH!$J$4:$J$31,MATCH($H729&amp;"|"&amp;$I729,Aux_HH!$A$4:$A$31,0)),"")</f>
        <v>2</v>
      </c>
      <c r="K729" s="16" t="s">
        <v>76</v>
      </c>
      <c r="L729" s="16" t="str">
        <f>IF(COUNTIFS(Pessoas!$C$5:$C$44,$K729,Pessoas!$G$5:$G$44,"Ativo")=0,"Equipe "&amp;$K729,INDEX(Pessoas!$A$5:$A$44,_xludf.aggregate(15,6,(ROW(Pessoas!$A$5:$A$44)-4)/((Pessoas!$C$5:$C$44=$K729)*(Pessoas!$G$5:$G$44="Ativo")),MOD(ROW()-6,MAX(1,COUNTIFS(Pessoas!$C$5:$C$44,$K729,Pessoas!$G$5:$G$44,"Ativo")))+1)))</f>
        <v>Equipe Oficina Mecânica Central-Taisa</v>
      </c>
    </row>
    <row r="730" spans="1:12" ht="15" customHeight="1" x14ac:dyDescent="0.4">
      <c r="A730" s="25">
        <v>46367</v>
      </c>
      <c r="B730" s="16">
        <v>15</v>
      </c>
      <c r="C730" s="16">
        <v>2</v>
      </c>
      <c r="D730" s="16">
        <v>12</v>
      </c>
      <c r="E730" s="16" t="s">
        <v>980</v>
      </c>
      <c r="F730" s="16" t="s">
        <v>1005</v>
      </c>
      <c r="G730" s="16" t="s">
        <v>688</v>
      </c>
      <c r="H730" s="16" t="s">
        <v>145</v>
      </c>
      <c r="I730" s="22" t="s">
        <v>856</v>
      </c>
      <c r="J730" s="16">
        <f>IFERROR(INDEX(Aux_HH!$J$4:$J$31,MATCH($H730&amp;"|"&amp;$I730,Aux_HH!$A$4:$A$31,0)),"")</f>
        <v>2</v>
      </c>
      <c r="K730" s="16" t="s">
        <v>76</v>
      </c>
      <c r="L730" s="16" t="str">
        <f>IF(COUNTIFS(Pessoas!$C$5:$C$44,$K730,Pessoas!$G$5:$G$44,"Ativo")=0,"Equipe "&amp;$K730,INDEX(Pessoas!$A$5:$A$44,_xludf.aggregate(15,6,(ROW(Pessoas!$A$5:$A$44)-4)/((Pessoas!$C$5:$C$44=$K730)*(Pessoas!$G$5:$G$44="Ativo")),MOD(ROW()-6,MAX(1,COUNTIFS(Pessoas!$C$5:$C$44,$K730,Pessoas!$G$5:$G$44,"Ativo")))+1)))</f>
        <v>Equipe Oficina Mecânica Central-Taisa</v>
      </c>
    </row>
    <row r="731" spans="1:12" ht="15" customHeight="1" x14ac:dyDescent="0.4">
      <c r="A731" s="25">
        <v>46367</v>
      </c>
      <c r="B731" s="16">
        <v>15</v>
      </c>
      <c r="C731" s="16">
        <v>2</v>
      </c>
      <c r="D731" s="16">
        <v>12</v>
      </c>
      <c r="E731" s="16" t="s">
        <v>980</v>
      </c>
      <c r="F731" s="16" t="s">
        <v>1006</v>
      </c>
      <c r="G731" s="16" t="s">
        <v>688</v>
      </c>
      <c r="H731" s="16" t="s">
        <v>145</v>
      </c>
      <c r="I731" s="22" t="s">
        <v>856</v>
      </c>
      <c r="J731" s="16">
        <f>IFERROR(INDEX(Aux_HH!$J$4:$J$31,MATCH($H731&amp;"|"&amp;$I731,Aux_HH!$A$4:$A$31,0)),"")</f>
        <v>2</v>
      </c>
      <c r="K731" s="16" t="s">
        <v>76</v>
      </c>
      <c r="L731" s="16" t="str">
        <f>IF(COUNTIFS(Pessoas!$C$5:$C$44,$K731,Pessoas!$G$5:$G$44,"Ativo")=0,"Equipe "&amp;$K731,INDEX(Pessoas!$A$5:$A$44,_xludf.aggregate(15,6,(ROW(Pessoas!$A$5:$A$44)-4)/((Pessoas!$C$5:$C$44=$K731)*(Pessoas!$G$5:$G$44="Ativo")),MOD(ROW()-6,MAX(1,COUNTIFS(Pessoas!$C$5:$C$44,$K731,Pessoas!$G$5:$G$44,"Ativo")))+1)))</f>
        <v>Equipe Oficina Mecânica Central-Taisa</v>
      </c>
    </row>
    <row r="732" spans="1:12" ht="15" customHeight="1" x14ac:dyDescent="0.4">
      <c r="A732" s="25">
        <v>46367</v>
      </c>
      <c r="B732" s="16">
        <v>15</v>
      </c>
      <c r="C732" s="16">
        <v>2</v>
      </c>
      <c r="D732" s="16">
        <v>12</v>
      </c>
      <c r="E732" s="16" t="s">
        <v>980</v>
      </c>
      <c r="F732" s="16" t="s">
        <v>1357</v>
      </c>
      <c r="G732" s="16" t="s">
        <v>158</v>
      </c>
      <c r="H732" s="16" t="s">
        <v>144</v>
      </c>
      <c r="I732" s="22" t="s">
        <v>856</v>
      </c>
      <c r="J732" s="16">
        <f>IFERROR(INDEX(Aux_HH!$J$4:$J$31,MATCH($H732&amp;"|"&amp;$I732,Aux_HH!$A$4:$A$31,0)),"")</f>
        <v>1.5</v>
      </c>
      <c r="K732" s="16" t="s">
        <v>76</v>
      </c>
      <c r="L732" s="16" t="str">
        <f>IF(COUNTIFS(Pessoas!$C$5:$C$44,$K732,Pessoas!$G$5:$G$44,"Ativo")=0,"Equipe "&amp;$K732,INDEX(Pessoas!$A$5:$A$44,_xludf.aggregate(15,6,(ROW(Pessoas!$A$5:$A$44)-4)/((Pessoas!$C$5:$C$44=$K732)*(Pessoas!$G$5:$G$44="Ativo")),MOD(ROW()-6,MAX(1,COUNTIFS(Pessoas!$C$5:$C$44,$K732,Pessoas!$G$5:$G$44,"Ativo")))+1)))</f>
        <v>Equipe Oficina Mecânica Central-Taisa</v>
      </c>
    </row>
    <row r="733" spans="1:12" ht="15" customHeight="1" x14ac:dyDescent="0.4">
      <c r="A733" s="25">
        <v>46367</v>
      </c>
      <c r="B733" s="16">
        <v>15</v>
      </c>
      <c r="C733" s="16">
        <v>2</v>
      </c>
      <c r="D733" s="16">
        <v>12</v>
      </c>
      <c r="E733" s="16" t="s">
        <v>980</v>
      </c>
      <c r="F733" s="16" t="s">
        <v>1358</v>
      </c>
      <c r="G733" s="16" t="s">
        <v>158</v>
      </c>
      <c r="H733" s="16" t="s">
        <v>144</v>
      </c>
      <c r="I733" s="22" t="s">
        <v>856</v>
      </c>
      <c r="J733" s="16">
        <f>IFERROR(INDEX(Aux_HH!$J$4:$J$31,MATCH($H733&amp;"|"&amp;$I733,Aux_HH!$A$4:$A$31,0)),"")</f>
        <v>1.5</v>
      </c>
      <c r="K733" s="16" t="s">
        <v>76</v>
      </c>
      <c r="L733" s="16" t="str">
        <f>IF(COUNTIFS(Pessoas!$C$5:$C$44,$K733,Pessoas!$G$5:$G$44,"Ativo")=0,"Equipe "&amp;$K733,INDEX(Pessoas!$A$5:$A$44,_xludf.aggregate(15,6,(ROW(Pessoas!$A$5:$A$44)-4)/((Pessoas!$C$5:$C$44=$K733)*(Pessoas!$G$5:$G$44="Ativo")),MOD(ROW()-6,MAX(1,COUNTIFS(Pessoas!$C$5:$C$44,$K733,Pessoas!$G$5:$G$44,"Ativo")))+1)))</f>
        <v>Equipe Oficina Mecânica Central-Taisa</v>
      </c>
    </row>
    <row r="734" spans="1:12" ht="15" customHeight="1" x14ac:dyDescent="0.4">
      <c r="A734" s="25">
        <v>46367</v>
      </c>
      <c r="B734" s="16">
        <v>15</v>
      </c>
      <c r="C734" s="16">
        <v>2</v>
      </c>
      <c r="D734" s="16">
        <v>12</v>
      </c>
      <c r="E734" s="16" t="s">
        <v>980</v>
      </c>
      <c r="F734" s="16" t="s">
        <v>1359</v>
      </c>
      <c r="G734" s="16" t="s">
        <v>158</v>
      </c>
      <c r="H734" s="16" t="s">
        <v>144</v>
      </c>
      <c r="I734" s="22" t="s">
        <v>856</v>
      </c>
      <c r="J734" s="16">
        <f>IFERROR(INDEX(Aux_HH!$J$4:$J$31,MATCH($H734&amp;"|"&amp;$I734,Aux_HH!$A$4:$A$31,0)),"")</f>
        <v>1.5</v>
      </c>
      <c r="K734" s="16" t="s">
        <v>76</v>
      </c>
      <c r="L734" s="16" t="str">
        <f>IF(COUNTIFS(Pessoas!$C$5:$C$44,$K734,Pessoas!$G$5:$G$44,"Ativo")=0,"Equipe "&amp;$K734,INDEX(Pessoas!$A$5:$A$44,_xludf.aggregate(15,6,(ROW(Pessoas!$A$5:$A$44)-4)/((Pessoas!$C$5:$C$44=$K734)*(Pessoas!$G$5:$G$44="Ativo")),MOD(ROW()-6,MAX(1,COUNTIFS(Pessoas!$C$5:$C$44,$K734,Pessoas!$G$5:$G$44,"Ativo")))+1)))</f>
        <v>Equipe Oficina Mecânica Central-Taisa</v>
      </c>
    </row>
    <row r="735" spans="1:12" ht="15" customHeight="1" x14ac:dyDescent="0.4">
      <c r="A735" s="25">
        <v>46367</v>
      </c>
      <c r="B735" s="16">
        <v>15</v>
      </c>
      <c r="C735" s="16">
        <v>2</v>
      </c>
      <c r="D735" s="16">
        <v>12</v>
      </c>
      <c r="E735" s="16" t="s">
        <v>980</v>
      </c>
      <c r="F735" s="16" t="s">
        <v>1360</v>
      </c>
      <c r="G735" s="16" t="s">
        <v>158</v>
      </c>
      <c r="H735" s="16" t="s">
        <v>144</v>
      </c>
      <c r="I735" s="22" t="s">
        <v>856</v>
      </c>
      <c r="J735" s="16">
        <f>IFERROR(INDEX(Aux_HH!$J$4:$J$31,MATCH($H735&amp;"|"&amp;$I735,Aux_HH!$A$4:$A$31,0)),"")</f>
        <v>1.5</v>
      </c>
      <c r="K735" s="16" t="s">
        <v>76</v>
      </c>
      <c r="L735" s="16" t="str">
        <f>IF(COUNTIFS(Pessoas!$C$5:$C$44,$K735,Pessoas!$G$5:$G$44,"Ativo")=0,"Equipe "&amp;$K735,INDEX(Pessoas!$A$5:$A$44,_xludf.aggregate(15,6,(ROW(Pessoas!$A$5:$A$44)-4)/((Pessoas!$C$5:$C$44=$K735)*(Pessoas!$G$5:$G$44="Ativo")),MOD(ROW()-6,MAX(1,COUNTIFS(Pessoas!$C$5:$C$44,$K735,Pessoas!$G$5:$G$44,"Ativo")))+1)))</f>
        <v>Equipe Oficina Mecânica Central-Taisa</v>
      </c>
    </row>
    <row r="736" spans="1:12" ht="15" customHeight="1" x14ac:dyDescent="0.4">
      <c r="A736" s="25">
        <v>46370</v>
      </c>
      <c r="B736" s="16">
        <v>15</v>
      </c>
      <c r="C736" s="16">
        <v>2</v>
      </c>
      <c r="D736" s="16">
        <v>12</v>
      </c>
      <c r="E736" s="16" t="s">
        <v>980</v>
      </c>
      <c r="F736" s="16" t="s">
        <v>1361</v>
      </c>
      <c r="G736" s="16" t="s">
        <v>158</v>
      </c>
      <c r="H736" s="16" t="s">
        <v>144</v>
      </c>
      <c r="I736" s="22" t="s">
        <v>856</v>
      </c>
      <c r="J736" s="16">
        <f>IFERROR(INDEX(Aux_HH!$J$4:$J$31,MATCH($H736&amp;"|"&amp;$I736,Aux_HH!$A$4:$A$31,0)),"")</f>
        <v>1.5</v>
      </c>
      <c r="K736" s="16" t="s">
        <v>76</v>
      </c>
      <c r="L736" s="16" t="str">
        <f>IF(COUNTIFS(Pessoas!$C$5:$C$44,$K736,Pessoas!$G$5:$G$44,"Ativo")=0,"Equipe "&amp;$K736,INDEX(Pessoas!$A$5:$A$44,_xludf.aggregate(15,6,(ROW(Pessoas!$A$5:$A$44)-4)/((Pessoas!$C$5:$C$44=$K736)*(Pessoas!$G$5:$G$44="Ativo")),MOD(ROW()-6,MAX(1,COUNTIFS(Pessoas!$C$5:$C$44,$K736,Pessoas!$G$5:$G$44,"Ativo")))+1)))</f>
        <v>Equipe Oficina Mecânica Central-Taisa</v>
      </c>
    </row>
    <row r="737" spans="1:12" ht="15" customHeight="1" x14ac:dyDescent="0.4">
      <c r="A737" s="25">
        <v>46370</v>
      </c>
      <c r="B737" s="16">
        <v>15</v>
      </c>
      <c r="C737" s="16">
        <v>2</v>
      </c>
      <c r="D737" s="16">
        <v>12</v>
      </c>
      <c r="E737" s="16" t="s">
        <v>980</v>
      </c>
      <c r="F737" s="16" t="s">
        <v>1362</v>
      </c>
      <c r="G737" s="16" t="s">
        <v>158</v>
      </c>
      <c r="H737" s="16" t="s">
        <v>144</v>
      </c>
      <c r="I737" s="22" t="s">
        <v>856</v>
      </c>
      <c r="J737" s="16">
        <f>IFERROR(INDEX(Aux_HH!$J$4:$J$31,MATCH($H737&amp;"|"&amp;$I737,Aux_HH!$A$4:$A$31,0)),"")</f>
        <v>1.5</v>
      </c>
      <c r="K737" s="16" t="s">
        <v>76</v>
      </c>
      <c r="L737" s="16" t="str">
        <f>IF(COUNTIFS(Pessoas!$C$5:$C$44,$K737,Pessoas!$G$5:$G$44,"Ativo")=0,"Equipe "&amp;$K737,INDEX(Pessoas!$A$5:$A$44,_xludf.aggregate(15,6,(ROW(Pessoas!$A$5:$A$44)-4)/((Pessoas!$C$5:$C$44=$K737)*(Pessoas!$G$5:$G$44="Ativo")),MOD(ROW()-6,MAX(1,COUNTIFS(Pessoas!$C$5:$C$44,$K737,Pessoas!$G$5:$G$44,"Ativo")))+1)))</f>
        <v>Equipe Oficina Mecânica Central-Taisa</v>
      </c>
    </row>
    <row r="738" spans="1:12" ht="15" customHeight="1" x14ac:dyDescent="0.4">
      <c r="A738" s="25">
        <v>46370</v>
      </c>
      <c r="B738" s="16">
        <v>15</v>
      </c>
      <c r="C738" s="16">
        <v>2</v>
      </c>
      <c r="D738" s="16">
        <v>12</v>
      </c>
      <c r="E738" s="16" t="s">
        <v>980</v>
      </c>
      <c r="F738" s="16" t="s">
        <v>1363</v>
      </c>
      <c r="G738" s="16" t="s">
        <v>448</v>
      </c>
      <c r="H738" s="16" t="s">
        <v>144</v>
      </c>
      <c r="I738" s="22" t="s">
        <v>856</v>
      </c>
      <c r="J738" s="16">
        <f>IFERROR(INDEX(Aux_HH!$J$4:$J$31,MATCH($H738&amp;"|"&amp;$I738,Aux_HH!$A$4:$A$31,0)),"")</f>
        <v>1.5</v>
      </c>
      <c r="K738" s="16" t="s">
        <v>76</v>
      </c>
      <c r="L738" s="16" t="str">
        <f>IF(COUNTIFS(Pessoas!$C$5:$C$44,$K738,Pessoas!$G$5:$G$44,"Ativo")=0,"Equipe "&amp;$K738,INDEX(Pessoas!$A$5:$A$44,_xludf.aggregate(15,6,(ROW(Pessoas!$A$5:$A$44)-4)/((Pessoas!$C$5:$C$44=$K738)*(Pessoas!$G$5:$G$44="Ativo")),MOD(ROW()-6,MAX(1,COUNTIFS(Pessoas!$C$5:$C$44,$K738,Pessoas!$G$5:$G$44,"Ativo")))+1)))</f>
        <v>Equipe Oficina Mecânica Central-Taisa</v>
      </c>
    </row>
    <row r="739" spans="1:12" ht="15" customHeight="1" x14ac:dyDescent="0.4">
      <c r="A739" s="25">
        <v>46370</v>
      </c>
      <c r="B739" s="16">
        <v>15</v>
      </c>
      <c r="C739" s="16">
        <v>2</v>
      </c>
      <c r="D739" s="16">
        <v>12</v>
      </c>
      <c r="E739" s="16" t="s">
        <v>980</v>
      </c>
      <c r="F739" s="16" t="s">
        <v>981</v>
      </c>
      <c r="G739" s="16" t="s">
        <v>184</v>
      </c>
      <c r="H739" s="16" t="s">
        <v>138</v>
      </c>
      <c r="I739" s="22" t="s">
        <v>861</v>
      </c>
      <c r="J739" s="16">
        <f>IFERROR(INDEX(Aux_HH!$J$4:$J$31,MATCH($H739&amp;"|"&amp;$I739,Aux_HH!$A$4:$A$31,0)),"")</f>
        <v>6</v>
      </c>
      <c r="K739" s="16" t="s">
        <v>76</v>
      </c>
      <c r="L739" s="16" t="str">
        <f>IF(COUNTIFS(Pessoas!$C$5:$C$44,$K739,Pessoas!$G$5:$G$44,"Ativo")=0,"Equipe "&amp;$K739,INDEX(Pessoas!$A$5:$A$44,_xludf.aggregate(15,6,(ROW(Pessoas!$A$5:$A$44)-4)/((Pessoas!$C$5:$C$44=$K739)*(Pessoas!$G$5:$G$44="Ativo")),MOD(ROW()-6,MAX(1,COUNTIFS(Pessoas!$C$5:$C$44,$K739,Pessoas!$G$5:$G$44,"Ativo")))+1)))</f>
        <v>Equipe Oficina Mecânica Central-Taisa</v>
      </c>
    </row>
    <row r="740" spans="1:12" ht="15" customHeight="1" x14ac:dyDescent="0.4">
      <c r="A740" s="25">
        <v>46370</v>
      </c>
      <c r="B740" s="16">
        <v>15</v>
      </c>
      <c r="C740" s="16">
        <v>2</v>
      </c>
      <c r="D740" s="16">
        <v>12</v>
      </c>
      <c r="E740" s="16" t="s">
        <v>980</v>
      </c>
      <c r="F740" s="16" t="s">
        <v>983</v>
      </c>
      <c r="G740" s="16" t="s">
        <v>184</v>
      </c>
      <c r="H740" s="16" t="s">
        <v>138</v>
      </c>
      <c r="I740" s="22" t="s">
        <v>861</v>
      </c>
      <c r="J740" s="16">
        <f>IFERROR(INDEX(Aux_HH!$J$4:$J$31,MATCH($H740&amp;"|"&amp;$I740,Aux_HH!$A$4:$A$31,0)),"")</f>
        <v>6</v>
      </c>
      <c r="K740" s="16" t="s">
        <v>76</v>
      </c>
      <c r="L740" s="16" t="str">
        <f>IF(COUNTIFS(Pessoas!$C$5:$C$44,$K740,Pessoas!$G$5:$G$44,"Ativo")=0,"Equipe "&amp;$K740,INDEX(Pessoas!$A$5:$A$44,_xludf.aggregate(15,6,(ROW(Pessoas!$A$5:$A$44)-4)/((Pessoas!$C$5:$C$44=$K740)*(Pessoas!$G$5:$G$44="Ativo")),MOD(ROW()-6,MAX(1,COUNTIFS(Pessoas!$C$5:$C$44,$K740,Pessoas!$G$5:$G$44,"Ativo")))+1)))</f>
        <v>Equipe Oficina Mecânica Central-Taisa</v>
      </c>
    </row>
    <row r="741" spans="1:12" ht="15" customHeight="1" x14ac:dyDescent="0.4">
      <c r="A741" s="25">
        <v>46370</v>
      </c>
      <c r="B741" s="16">
        <v>15</v>
      </c>
      <c r="C741" s="16">
        <v>2</v>
      </c>
      <c r="D741" s="16">
        <v>12</v>
      </c>
      <c r="E741" s="16" t="s">
        <v>980</v>
      </c>
      <c r="F741" s="16" t="s">
        <v>1364</v>
      </c>
      <c r="G741" s="16" t="s">
        <v>158</v>
      </c>
      <c r="H741" s="16" t="s">
        <v>144</v>
      </c>
      <c r="I741" s="22" t="s">
        <v>856</v>
      </c>
      <c r="J741" s="16">
        <f>IFERROR(INDEX(Aux_HH!$J$4:$J$31,MATCH($H741&amp;"|"&amp;$I741,Aux_HH!$A$4:$A$31,0)),"")</f>
        <v>1.5</v>
      </c>
      <c r="K741" s="16" t="s">
        <v>76</v>
      </c>
      <c r="L741" s="16" t="str">
        <f>IF(COUNTIFS(Pessoas!$C$5:$C$44,$K741,Pessoas!$G$5:$G$44,"Ativo")=0,"Equipe "&amp;$K741,INDEX(Pessoas!$A$5:$A$44,_xludf.aggregate(15,6,(ROW(Pessoas!$A$5:$A$44)-4)/((Pessoas!$C$5:$C$44=$K741)*(Pessoas!$G$5:$G$44="Ativo")),MOD(ROW()-6,MAX(1,COUNTIFS(Pessoas!$C$5:$C$44,$K741,Pessoas!$G$5:$G$44,"Ativo")))+1)))</f>
        <v>Equipe Oficina Mecânica Central-Taisa</v>
      </c>
    </row>
    <row r="742" spans="1:12" ht="15" customHeight="1" x14ac:dyDescent="0.4">
      <c r="A742" s="25">
        <v>46370</v>
      </c>
      <c r="B742" s="16">
        <v>15</v>
      </c>
      <c r="C742" s="16">
        <v>2</v>
      </c>
      <c r="D742" s="16">
        <v>12</v>
      </c>
      <c r="E742" s="16" t="s">
        <v>980</v>
      </c>
      <c r="F742" s="16" t="s">
        <v>1365</v>
      </c>
      <c r="G742" s="16" t="s">
        <v>158</v>
      </c>
      <c r="H742" s="16" t="s">
        <v>144</v>
      </c>
      <c r="I742" s="22" t="s">
        <v>856</v>
      </c>
      <c r="J742" s="16">
        <f>IFERROR(INDEX(Aux_HH!$J$4:$J$31,MATCH($H742&amp;"|"&amp;$I742,Aux_HH!$A$4:$A$31,0)),"")</f>
        <v>1.5</v>
      </c>
      <c r="K742" s="16" t="s">
        <v>76</v>
      </c>
      <c r="L742" s="16" t="str">
        <f>IF(COUNTIFS(Pessoas!$C$5:$C$44,$K742,Pessoas!$G$5:$G$44,"Ativo")=0,"Equipe "&amp;$K742,INDEX(Pessoas!$A$5:$A$44,_xludf.aggregate(15,6,(ROW(Pessoas!$A$5:$A$44)-4)/((Pessoas!$C$5:$C$44=$K742)*(Pessoas!$G$5:$G$44="Ativo")),MOD(ROW()-6,MAX(1,COUNTIFS(Pessoas!$C$5:$C$44,$K742,Pessoas!$G$5:$G$44,"Ativo")))+1)))</f>
        <v>Equipe Oficina Mecânica Central-Taisa</v>
      </c>
    </row>
    <row r="743" spans="1:12" ht="15" customHeight="1" x14ac:dyDescent="0.4">
      <c r="A743" s="25">
        <v>46370</v>
      </c>
      <c r="B743" s="16">
        <v>15</v>
      </c>
      <c r="C743" s="16">
        <v>2</v>
      </c>
      <c r="D743" s="16">
        <v>12</v>
      </c>
      <c r="E743" s="16" t="s">
        <v>980</v>
      </c>
      <c r="F743" s="16" t="s">
        <v>1366</v>
      </c>
      <c r="G743" s="16" t="s">
        <v>158</v>
      </c>
      <c r="H743" s="16" t="s">
        <v>144</v>
      </c>
      <c r="I743" s="22" t="s">
        <v>856</v>
      </c>
      <c r="J743" s="16">
        <f>IFERROR(INDEX(Aux_HH!$J$4:$J$31,MATCH($H743&amp;"|"&amp;$I743,Aux_HH!$A$4:$A$31,0)),"")</f>
        <v>1.5</v>
      </c>
      <c r="K743" s="16" t="s">
        <v>76</v>
      </c>
      <c r="L743" s="16" t="str">
        <f>IF(COUNTIFS(Pessoas!$C$5:$C$44,$K743,Pessoas!$G$5:$G$44,"Ativo")=0,"Equipe "&amp;$K743,INDEX(Pessoas!$A$5:$A$44,_xludf.aggregate(15,6,(ROW(Pessoas!$A$5:$A$44)-4)/((Pessoas!$C$5:$C$44=$K743)*(Pessoas!$G$5:$G$44="Ativo")),MOD(ROW()-6,MAX(1,COUNTIFS(Pessoas!$C$5:$C$44,$K743,Pessoas!$G$5:$G$44,"Ativo")))+1)))</f>
        <v>Equipe Oficina Mecânica Central-Taisa</v>
      </c>
    </row>
    <row r="744" spans="1:12" ht="15" customHeight="1" x14ac:dyDescent="0.4">
      <c r="A744" s="25">
        <v>46370</v>
      </c>
      <c r="B744" s="16">
        <v>15</v>
      </c>
      <c r="C744" s="16">
        <v>2</v>
      </c>
      <c r="D744" s="16">
        <v>12</v>
      </c>
      <c r="E744" s="16" t="s">
        <v>980</v>
      </c>
      <c r="F744" s="16" t="s">
        <v>994</v>
      </c>
      <c r="G744" s="16" t="s">
        <v>688</v>
      </c>
      <c r="H744" s="16" t="s">
        <v>145</v>
      </c>
      <c r="I744" s="22" t="s">
        <v>856</v>
      </c>
      <c r="J744" s="16">
        <f>IFERROR(INDEX(Aux_HH!$J$4:$J$31,MATCH($H744&amp;"|"&amp;$I744,Aux_HH!$A$4:$A$31,0)),"")</f>
        <v>2</v>
      </c>
      <c r="K744" s="16" t="s">
        <v>76</v>
      </c>
      <c r="L744" s="16" t="str">
        <f>IF(COUNTIFS(Pessoas!$C$5:$C$44,$K744,Pessoas!$G$5:$G$44,"Ativo")=0,"Equipe "&amp;$K744,INDEX(Pessoas!$A$5:$A$44,_xludf.aggregate(15,6,(ROW(Pessoas!$A$5:$A$44)-4)/((Pessoas!$C$5:$C$44=$K744)*(Pessoas!$G$5:$G$44="Ativo")),MOD(ROW()-6,MAX(1,COUNTIFS(Pessoas!$C$5:$C$44,$K744,Pessoas!$G$5:$G$44,"Ativo")))+1)))</f>
        <v>Equipe Oficina Mecânica Central-Taisa</v>
      </c>
    </row>
    <row r="745" spans="1:12" ht="15" customHeight="1" x14ac:dyDescent="0.4">
      <c r="A745" s="25">
        <v>46370</v>
      </c>
      <c r="B745" s="16">
        <v>15</v>
      </c>
      <c r="C745" s="16">
        <v>2</v>
      </c>
      <c r="D745" s="16">
        <v>12</v>
      </c>
      <c r="E745" s="16" t="s">
        <v>980</v>
      </c>
      <c r="F745" s="16" t="s">
        <v>995</v>
      </c>
      <c r="G745" s="16" t="s">
        <v>688</v>
      </c>
      <c r="H745" s="16" t="s">
        <v>145</v>
      </c>
      <c r="I745" s="22" t="s">
        <v>856</v>
      </c>
      <c r="J745" s="16">
        <f>IFERROR(INDEX(Aux_HH!$J$4:$J$31,MATCH($H745&amp;"|"&amp;$I745,Aux_HH!$A$4:$A$31,0)),"")</f>
        <v>2</v>
      </c>
      <c r="K745" s="16" t="s">
        <v>76</v>
      </c>
      <c r="L745" s="16" t="str">
        <f>IF(COUNTIFS(Pessoas!$C$5:$C$44,$K745,Pessoas!$G$5:$G$44,"Ativo")=0,"Equipe "&amp;$K745,INDEX(Pessoas!$A$5:$A$44,_xludf.aggregate(15,6,(ROW(Pessoas!$A$5:$A$44)-4)/((Pessoas!$C$5:$C$44=$K745)*(Pessoas!$G$5:$G$44="Ativo")),MOD(ROW()-6,MAX(1,COUNTIFS(Pessoas!$C$5:$C$44,$K745,Pessoas!$G$5:$G$44,"Ativo")))+1)))</f>
        <v>Equipe Oficina Mecânica Central-Taisa</v>
      </c>
    </row>
    <row r="746" spans="1:12" ht="15" customHeight="1" x14ac:dyDescent="0.4">
      <c r="A746" s="25">
        <v>46370</v>
      </c>
      <c r="B746" s="16">
        <v>15</v>
      </c>
      <c r="C746" s="16">
        <v>2</v>
      </c>
      <c r="D746" s="16">
        <v>12</v>
      </c>
      <c r="E746" s="16" t="s">
        <v>980</v>
      </c>
      <c r="F746" s="16" t="s">
        <v>1367</v>
      </c>
      <c r="G746" s="16" t="s">
        <v>158</v>
      </c>
      <c r="H746" s="16" t="s">
        <v>144</v>
      </c>
      <c r="I746" s="22" t="s">
        <v>856</v>
      </c>
      <c r="J746" s="16">
        <f>IFERROR(INDEX(Aux_HH!$J$4:$J$31,MATCH($H746&amp;"|"&amp;$I746,Aux_HH!$A$4:$A$31,0)),"")</f>
        <v>1.5</v>
      </c>
      <c r="K746" s="16" t="s">
        <v>76</v>
      </c>
      <c r="L746" s="16" t="str">
        <f>IF(COUNTIFS(Pessoas!$C$5:$C$44,$K746,Pessoas!$G$5:$G$44,"Ativo")=0,"Equipe "&amp;$K746,INDEX(Pessoas!$A$5:$A$44,_xludf.aggregate(15,6,(ROW(Pessoas!$A$5:$A$44)-4)/((Pessoas!$C$5:$C$44=$K746)*(Pessoas!$G$5:$G$44="Ativo")),MOD(ROW()-6,MAX(1,COUNTIFS(Pessoas!$C$5:$C$44,$K746,Pessoas!$G$5:$G$44,"Ativo")))+1)))</f>
        <v>Equipe Oficina Mecânica Central-Taisa</v>
      </c>
    </row>
    <row r="747" spans="1:12" ht="15" customHeight="1" x14ac:dyDescent="0.4">
      <c r="A747" s="25">
        <v>46370</v>
      </c>
      <c r="B747" s="16">
        <v>15</v>
      </c>
      <c r="C747" s="16">
        <v>2</v>
      </c>
      <c r="D747" s="16">
        <v>12</v>
      </c>
      <c r="E747" s="16" t="s">
        <v>980</v>
      </c>
      <c r="F747" s="16" t="s">
        <v>1368</v>
      </c>
      <c r="G747" s="16" t="s">
        <v>158</v>
      </c>
      <c r="H747" s="16" t="s">
        <v>144</v>
      </c>
      <c r="I747" s="22" t="s">
        <v>856</v>
      </c>
      <c r="J747" s="16">
        <f>IFERROR(INDEX(Aux_HH!$J$4:$J$31,MATCH($H747&amp;"|"&amp;$I747,Aux_HH!$A$4:$A$31,0)),"")</f>
        <v>1.5</v>
      </c>
      <c r="K747" s="16" t="s">
        <v>76</v>
      </c>
      <c r="L747" s="16" t="str">
        <f>IF(COUNTIFS(Pessoas!$C$5:$C$44,$K747,Pessoas!$G$5:$G$44,"Ativo")=0,"Equipe "&amp;$K747,INDEX(Pessoas!$A$5:$A$44,_xludf.aggregate(15,6,(ROW(Pessoas!$A$5:$A$44)-4)/((Pessoas!$C$5:$C$44=$K747)*(Pessoas!$G$5:$G$44="Ativo")),MOD(ROW()-6,MAX(1,COUNTIFS(Pessoas!$C$5:$C$44,$K747,Pessoas!$G$5:$G$44,"Ativo")))+1)))</f>
        <v>Equipe Oficina Mecânica Central-Taisa</v>
      </c>
    </row>
    <row r="748" spans="1:12" ht="15" customHeight="1" x14ac:dyDescent="0.4">
      <c r="A748" s="25">
        <v>46370</v>
      </c>
      <c r="B748" s="16">
        <v>15</v>
      </c>
      <c r="C748" s="16">
        <v>2</v>
      </c>
      <c r="D748" s="16">
        <v>12</v>
      </c>
      <c r="E748" s="16" t="s">
        <v>980</v>
      </c>
      <c r="F748" s="16" t="s">
        <v>1369</v>
      </c>
      <c r="G748" s="16" t="s">
        <v>158</v>
      </c>
      <c r="H748" s="16" t="s">
        <v>144</v>
      </c>
      <c r="I748" s="22" t="s">
        <v>856</v>
      </c>
      <c r="J748" s="16">
        <f>IFERROR(INDEX(Aux_HH!$J$4:$J$31,MATCH($H748&amp;"|"&amp;$I748,Aux_HH!$A$4:$A$31,0)),"")</f>
        <v>1.5</v>
      </c>
      <c r="K748" s="16" t="s">
        <v>76</v>
      </c>
      <c r="L748" s="16" t="str">
        <f>IF(COUNTIFS(Pessoas!$C$5:$C$44,$K748,Pessoas!$G$5:$G$44,"Ativo")=0,"Equipe "&amp;$K748,INDEX(Pessoas!$A$5:$A$44,_xludf.aggregate(15,6,(ROW(Pessoas!$A$5:$A$44)-4)/((Pessoas!$C$5:$C$44=$K748)*(Pessoas!$G$5:$G$44="Ativo")),MOD(ROW()-6,MAX(1,COUNTIFS(Pessoas!$C$5:$C$44,$K748,Pessoas!$G$5:$G$44,"Ativo")))+1)))</f>
        <v>Equipe Oficina Mecânica Central-Taisa</v>
      </c>
    </row>
    <row r="749" spans="1:12" ht="15" customHeight="1" x14ac:dyDescent="0.4">
      <c r="A749" s="25">
        <v>46370</v>
      </c>
      <c r="B749" s="16">
        <v>15</v>
      </c>
      <c r="C749" s="16">
        <v>2</v>
      </c>
      <c r="D749" s="16">
        <v>12</v>
      </c>
      <c r="E749" s="16" t="s">
        <v>980</v>
      </c>
      <c r="F749" s="16" t="s">
        <v>1370</v>
      </c>
      <c r="G749" s="16" t="s">
        <v>158</v>
      </c>
      <c r="H749" s="16" t="s">
        <v>144</v>
      </c>
      <c r="I749" s="22" t="s">
        <v>856</v>
      </c>
      <c r="J749" s="16">
        <f>IFERROR(INDEX(Aux_HH!$J$4:$J$31,MATCH($H749&amp;"|"&amp;$I749,Aux_HH!$A$4:$A$31,0)),"")</f>
        <v>1.5</v>
      </c>
      <c r="K749" s="16" t="s">
        <v>76</v>
      </c>
      <c r="L749" s="16" t="str">
        <f>IF(COUNTIFS(Pessoas!$C$5:$C$44,$K749,Pessoas!$G$5:$G$44,"Ativo")=0,"Equipe "&amp;$K749,INDEX(Pessoas!$A$5:$A$44,_xludf.aggregate(15,6,(ROW(Pessoas!$A$5:$A$44)-4)/((Pessoas!$C$5:$C$44=$K749)*(Pessoas!$G$5:$G$44="Ativo")),MOD(ROW()-6,MAX(1,COUNTIFS(Pessoas!$C$5:$C$44,$K749,Pessoas!$G$5:$G$44,"Ativo")))+1)))</f>
        <v>Equipe Oficina Mecânica Central-Taisa</v>
      </c>
    </row>
    <row r="750" spans="1:12" ht="15" customHeight="1" x14ac:dyDescent="0.4">
      <c r="A750" s="25">
        <v>46371</v>
      </c>
      <c r="B750" s="16">
        <v>16</v>
      </c>
      <c r="C750" s="16">
        <v>2</v>
      </c>
      <c r="D750" s="16">
        <v>12</v>
      </c>
      <c r="E750" s="16" t="s">
        <v>980</v>
      </c>
      <c r="F750" s="16" t="s">
        <v>1313</v>
      </c>
      <c r="G750" s="16" t="s">
        <v>688</v>
      </c>
      <c r="H750" s="16" t="s">
        <v>146</v>
      </c>
      <c r="I750" s="22" t="s">
        <v>861</v>
      </c>
      <c r="J750" s="16">
        <f>IFERROR(INDEX(Aux_HH!$J$4:$J$31,MATCH($H750&amp;"|"&amp;$I750,Aux_HH!$A$4:$A$31,0)),"")</f>
        <v>3</v>
      </c>
      <c r="K750" s="16" t="s">
        <v>76</v>
      </c>
      <c r="L750" s="16" t="str">
        <f>IF(COUNTIFS(Pessoas!$C$5:$C$44,$K750,Pessoas!$G$5:$G$44,"Ativo")=0,"Equipe "&amp;$K750,INDEX(Pessoas!$A$5:$A$44,_xludf.aggregate(15,6,(ROW(Pessoas!$A$5:$A$44)-4)/((Pessoas!$C$5:$C$44=$K750)*(Pessoas!$G$5:$G$44="Ativo")),MOD(ROW()-6,MAX(1,COUNTIFS(Pessoas!$C$5:$C$44,$K750,Pessoas!$G$5:$G$44,"Ativo")))+1)))</f>
        <v>Equipe Oficina Mecânica Central-Taisa</v>
      </c>
    </row>
    <row r="751" spans="1:12" ht="15" customHeight="1" x14ac:dyDescent="0.4">
      <c r="A751" s="25">
        <v>46371</v>
      </c>
      <c r="B751" s="16">
        <v>16</v>
      </c>
      <c r="C751" s="16">
        <v>2</v>
      </c>
      <c r="D751" s="16">
        <v>12</v>
      </c>
      <c r="E751" s="16" t="s">
        <v>980</v>
      </c>
      <c r="F751" s="16" t="s">
        <v>1314</v>
      </c>
      <c r="G751" s="16" t="s">
        <v>688</v>
      </c>
      <c r="H751" s="16" t="s">
        <v>146</v>
      </c>
      <c r="I751" s="22" t="s">
        <v>861</v>
      </c>
      <c r="J751" s="16">
        <f>IFERROR(INDEX(Aux_HH!$J$4:$J$31,MATCH($H751&amp;"|"&amp;$I751,Aux_HH!$A$4:$A$31,0)),"")</f>
        <v>3</v>
      </c>
      <c r="K751" s="16" t="s">
        <v>76</v>
      </c>
      <c r="L751" s="16" t="str">
        <f>IF(COUNTIFS(Pessoas!$C$5:$C$44,$K751,Pessoas!$G$5:$G$44,"Ativo")=0,"Equipe "&amp;$K751,INDEX(Pessoas!$A$5:$A$44,_xludf.aggregate(15,6,(ROW(Pessoas!$A$5:$A$44)-4)/((Pessoas!$C$5:$C$44=$K751)*(Pessoas!$G$5:$G$44="Ativo")),MOD(ROW()-6,MAX(1,COUNTIFS(Pessoas!$C$5:$C$44,$K751,Pessoas!$G$5:$G$44,"Ativo")))+1)))</f>
        <v>Equipe Oficina Mecânica Central-Taisa</v>
      </c>
    </row>
    <row r="752" spans="1:12" ht="15" customHeight="1" x14ac:dyDescent="0.4">
      <c r="A752" s="25">
        <v>46371</v>
      </c>
      <c r="B752" s="16">
        <v>16</v>
      </c>
      <c r="C752" s="16">
        <v>2</v>
      </c>
      <c r="D752" s="16">
        <v>12</v>
      </c>
      <c r="E752" s="16" t="s">
        <v>980</v>
      </c>
      <c r="F752" s="16" t="s">
        <v>1315</v>
      </c>
      <c r="G752" s="16" t="s">
        <v>688</v>
      </c>
      <c r="H752" s="16" t="s">
        <v>146</v>
      </c>
      <c r="I752" s="22" t="s">
        <v>861</v>
      </c>
      <c r="J752" s="16">
        <f>IFERROR(INDEX(Aux_HH!$J$4:$J$31,MATCH($H752&amp;"|"&amp;$I752,Aux_HH!$A$4:$A$31,0)),"")</f>
        <v>3</v>
      </c>
      <c r="K752" s="16" t="s">
        <v>76</v>
      </c>
      <c r="L752" s="16" t="str">
        <f>IF(COUNTIFS(Pessoas!$C$5:$C$44,$K752,Pessoas!$G$5:$G$44,"Ativo")=0,"Equipe "&amp;$K752,INDEX(Pessoas!$A$5:$A$44,_xludf.aggregate(15,6,(ROW(Pessoas!$A$5:$A$44)-4)/((Pessoas!$C$5:$C$44=$K752)*(Pessoas!$G$5:$G$44="Ativo")),MOD(ROW()-6,MAX(1,COUNTIFS(Pessoas!$C$5:$C$44,$K752,Pessoas!$G$5:$G$44,"Ativo")))+1)))</f>
        <v>Equipe Oficina Mecânica Central-Taisa</v>
      </c>
    </row>
    <row r="753" spans="1:12" ht="15" customHeight="1" x14ac:dyDescent="0.4">
      <c r="A753" s="25">
        <v>46371</v>
      </c>
      <c r="B753" s="16">
        <v>16</v>
      </c>
      <c r="C753" s="16">
        <v>2</v>
      </c>
      <c r="D753" s="16">
        <v>12</v>
      </c>
      <c r="E753" s="16" t="s">
        <v>980</v>
      </c>
      <c r="F753" s="16" t="s">
        <v>1316</v>
      </c>
      <c r="G753" s="16" t="s">
        <v>688</v>
      </c>
      <c r="H753" s="16" t="s">
        <v>146</v>
      </c>
      <c r="I753" s="22" t="s">
        <v>861</v>
      </c>
      <c r="J753" s="16">
        <f>IFERROR(INDEX(Aux_HH!$J$4:$J$31,MATCH($H753&amp;"|"&amp;$I753,Aux_HH!$A$4:$A$31,0)),"")</f>
        <v>3</v>
      </c>
      <c r="K753" s="16" t="s">
        <v>76</v>
      </c>
      <c r="L753" s="16" t="str">
        <f>IF(COUNTIFS(Pessoas!$C$5:$C$44,$K753,Pessoas!$G$5:$G$44,"Ativo")=0,"Equipe "&amp;$K753,INDEX(Pessoas!$A$5:$A$44,_xludf.aggregate(15,6,(ROW(Pessoas!$A$5:$A$44)-4)/((Pessoas!$C$5:$C$44=$K753)*(Pessoas!$G$5:$G$44="Ativo")),MOD(ROW()-6,MAX(1,COUNTIFS(Pessoas!$C$5:$C$44,$K753,Pessoas!$G$5:$G$44,"Ativo")))+1)))</f>
        <v>Equipe Oficina Mecânica Central-Taisa</v>
      </c>
    </row>
    <row r="754" spans="1:12" ht="15" customHeight="1" x14ac:dyDescent="0.4">
      <c r="A754" s="25">
        <v>46372</v>
      </c>
      <c r="B754" s="16">
        <v>16</v>
      </c>
      <c r="C754" s="16">
        <v>2</v>
      </c>
      <c r="D754" s="16">
        <v>12</v>
      </c>
      <c r="E754" s="16" t="s">
        <v>980</v>
      </c>
      <c r="F754" s="16" t="s">
        <v>1317</v>
      </c>
      <c r="G754" s="16" t="s">
        <v>688</v>
      </c>
      <c r="H754" s="16" t="s">
        <v>146</v>
      </c>
      <c r="I754" s="22" t="s">
        <v>861</v>
      </c>
      <c r="J754" s="16">
        <f>IFERROR(INDEX(Aux_HH!$J$4:$J$31,MATCH($H754&amp;"|"&amp;$I754,Aux_HH!$A$4:$A$31,0)),"")</f>
        <v>3</v>
      </c>
      <c r="K754" s="16" t="s">
        <v>76</v>
      </c>
      <c r="L754" s="16" t="str">
        <f>IF(COUNTIFS(Pessoas!$C$5:$C$44,$K754,Pessoas!$G$5:$G$44,"Ativo")=0,"Equipe "&amp;$K754,INDEX(Pessoas!$A$5:$A$44,_xludf.aggregate(15,6,(ROW(Pessoas!$A$5:$A$44)-4)/((Pessoas!$C$5:$C$44=$K754)*(Pessoas!$G$5:$G$44="Ativo")),MOD(ROW()-6,MAX(1,COUNTIFS(Pessoas!$C$5:$C$44,$K754,Pessoas!$G$5:$G$44,"Ativo")))+1)))</f>
        <v>Equipe Oficina Mecânica Central-Taisa</v>
      </c>
    </row>
    <row r="755" spans="1:12" ht="15" customHeight="1" x14ac:dyDescent="0.4">
      <c r="A755" s="25">
        <v>46372</v>
      </c>
      <c r="B755" s="16">
        <v>16</v>
      </c>
      <c r="C755" s="16">
        <v>2</v>
      </c>
      <c r="D755" s="16">
        <v>12</v>
      </c>
      <c r="E755" s="16" t="s">
        <v>980</v>
      </c>
      <c r="F755" s="16" t="s">
        <v>1318</v>
      </c>
      <c r="G755" s="16" t="s">
        <v>688</v>
      </c>
      <c r="H755" s="16" t="s">
        <v>146</v>
      </c>
      <c r="I755" s="22" t="s">
        <v>861</v>
      </c>
      <c r="J755" s="16">
        <f>IFERROR(INDEX(Aux_HH!$J$4:$J$31,MATCH($H755&amp;"|"&amp;$I755,Aux_HH!$A$4:$A$31,0)),"")</f>
        <v>3</v>
      </c>
      <c r="K755" s="16" t="s">
        <v>76</v>
      </c>
      <c r="L755" s="16" t="str">
        <f>IF(COUNTIFS(Pessoas!$C$5:$C$44,$K755,Pessoas!$G$5:$G$44,"Ativo")=0,"Equipe "&amp;$K755,INDEX(Pessoas!$A$5:$A$44,_xludf.aggregate(15,6,(ROW(Pessoas!$A$5:$A$44)-4)/((Pessoas!$C$5:$C$44=$K755)*(Pessoas!$G$5:$G$44="Ativo")),MOD(ROW()-6,MAX(1,COUNTIFS(Pessoas!$C$5:$C$44,$K755,Pessoas!$G$5:$G$44,"Ativo")))+1)))</f>
        <v>Equipe Oficina Mecânica Central-Taisa</v>
      </c>
    </row>
    <row r="756" spans="1:12" ht="15" customHeight="1" x14ac:dyDescent="0.4">
      <c r="A756" s="25">
        <v>46372</v>
      </c>
      <c r="B756" s="16">
        <v>16</v>
      </c>
      <c r="C756" s="16">
        <v>2</v>
      </c>
      <c r="D756" s="16">
        <v>12</v>
      </c>
      <c r="E756" s="16" t="s">
        <v>980</v>
      </c>
      <c r="F756" s="16" t="s">
        <v>1319</v>
      </c>
      <c r="G756" s="16" t="s">
        <v>688</v>
      </c>
      <c r="H756" s="16" t="s">
        <v>146</v>
      </c>
      <c r="I756" s="22" t="s">
        <v>861</v>
      </c>
      <c r="J756" s="16">
        <f>IFERROR(INDEX(Aux_HH!$J$4:$J$31,MATCH($H756&amp;"|"&amp;$I756,Aux_HH!$A$4:$A$31,0)),"")</f>
        <v>3</v>
      </c>
      <c r="K756" s="16" t="s">
        <v>76</v>
      </c>
      <c r="L756" s="16" t="str">
        <f>IF(COUNTIFS(Pessoas!$C$5:$C$44,$K756,Pessoas!$G$5:$G$44,"Ativo")=0,"Equipe "&amp;$K756,INDEX(Pessoas!$A$5:$A$44,_xludf.aggregate(15,6,(ROW(Pessoas!$A$5:$A$44)-4)/((Pessoas!$C$5:$C$44=$K756)*(Pessoas!$G$5:$G$44="Ativo")),MOD(ROW()-6,MAX(1,COUNTIFS(Pessoas!$C$5:$C$44,$K756,Pessoas!$G$5:$G$44,"Ativo")))+1)))</f>
        <v>Equipe Oficina Mecânica Central-Taisa</v>
      </c>
    </row>
    <row r="757" spans="1:12" ht="15" customHeight="1" x14ac:dyDescent="0.4">
      <c r="A757" s="25">
        <v>46372</v>
      </c>
      <c r="B757" s="16">
        <v>16</v>
      </c>
      <c r="C757" s="16">
        <v>2</v>
      </c>
      <c r="D757" s="16">
        <v>12</v>
      </c>
      <c r="E757" s="16" t="s">
        <v>980</v>
      </c>
      <c r="F757" s="16" t="s">
        <v>1320</v>
      </c>
      <c r="G757" s="16" t="s">
        <v>688</v>
      </c>
      <c r="H757" s="16" t="s">
        <v>146</v>
      </c>
      <c r="I757" s="22" t="s">
        <v>861</v>
      </c>
      <c r="J757" s="16">
        <f>IFERROR(INDEX(Aux_HH!$J$4:$J$31,MATCH($H757&amp;"|"&amp;$I757,Aux_HH!$A$4:$A$31,0)),"")</f>
        <v>3</v>
      </c>
      <c r="K757" s="16" t="s">
        <v>76</v>
      </c>
      <c r="L757" s="16" t="str">
        <f>IF(COUNTIFS(Pessoas!$C$5:$C$44,$K757,Pessoas!$G$5:$G$44,"Ativo")=0,"Equipe "&amp;$K757,INDEX(Pessoas!$A$5:$A$44,_xludf.aggregate(15,6,(ROW(Pessoas!$A$5:$A$44)-4)/((Pessoas!$C$5:$C$44=$K757)*(Pessoas!$G$5:$G$44="Ativo")),MOD(ROW()-6,MAX(1,COUNTIFS(Pessoas!$C$5:$C$44,$K757,Pessoas!$G$5:$G$44,"Ativo")))+1)))</f>
        <v>Equipe Oficina Mecânica Central-Taisa</v>
      </c>
    </row>
    <row r="758" spans="1:12" ht="15" customHeight="1" x14ac:dyDescent="0.4">
      <c r="A758" s="25">
        <v>46373</v>
      </c>
      <c r="B758" s="16">
        <v>16</v>
      </c>
      <c r="C758" s="16">
        <v>2</v>
      </c>
      <c r="D758" s="16">
        <v>12</v>
      </c>
      <c r="E758" s="16" t="s">
        <v>980</v>
      </c>
      <c r="F758" s="16" t="s">
        <v>1303</v>
      </c>
      <c r="G758" s="16" t="s">
        <v>688</v>
      </c>
      <c r="H758" s="16" t="s">
        <v>146</v>
      </c>
      <c r="I758" s="22" t="s">
        <v>861</v>
      </c>
      <c r="J758" s="16">
        <f>IFERROR(INDEX(Aux_HH!$J$4:$J$31,MATCH($H758&amp;"|"&amp;$I758,Aux_HH!$A$4:$A$31,0)),"")</f>
        <v>3</v>
      </c>
      <c r="K758" s="16" t="s">
        <v>76</v>
      </c>
      <c r="L758" s="16" t="str">
        <f>IF(COUNTIFS(Pessoas!$C$5:$C$44,$K758,Pessoas!$G$5:$G$44,"Ativo")=0,"Equipe "&amp;$K758,INDEX(Pessoas!$A$5:$A$44,_xludf.aggregate(15,6,(ROW(Pessoas!$A$5:$A$44)-4)/((Pessoas!$C$5:$C$44=$K758)*(Pessoas!$G$5:$G$44="Ativo")),MOD(ROW()-6,MAX(1,COUNTIFS(Pessoas!$C$5:$C$44,$K758,Pessoas!$G$5:$G$44,"Ativo")))+1)))</f>
        <v>Equipe Oficina Mecânica Central-Taisa</v>
      </c>
    </row>
    <row r="759" spans="1:12" ht="15" customHeight="1" x14ac:dyDescent="0.4">
      <c r="A759" s="25">
        <v>46373</v>
      </c>
      <c r="B759" s="16">
        <v>16</v>
      </c>
      <c r="C759" s="16">
        <v>2</v>
      </c>
      <c r="D759" s="16">
        <v>12</v>
      </c>
      <c r="E759" s="16" t="s">
        <v>980</v>
      </c>
      <c r="F759" s="16" t="s">
        <v>1304</v>
      </c>
      <c r="G759" s="16" t="s">
        <v>688</v>
      </c>
      <c r="H759" s="16" t="s">
        <v>146</v>
      </c>
      <c r="I759" s="22" t="s">
        <v>861</v>
      </c>
      <c r="J759" s="16">
        <f>IFERROR(INDEX(Aux_HH!$J$4:$J$31,MATCH($H759&amp;"|"&amp;$I759,Aux_HH!$A$4:$A$31,0)),"")</f>
        <v>3</v>
      </c>
      <c r="K759" s="16" t="s">
        <v>76</v>
      </c>
      <c r="L759" s="16" t="str">
        <f>IF(COUNTIFS(Pessoas!$C$5:$C$44,$K759,Pessoas!$G$5:$G$44,"Ativo")=0,"Equipe "&amp;$K759,INDEX(Pessoas!$A$5:$A$44,_xludf.aggregate(15,6,(ROW(Pessoas!$A$5:$A$44)-4)/((Pessoas!$C$5:$C$44=$K759)*(Pessoas!$G$5:$G$44="Ativo")),MOD(ROW()-6,MAX(1,COUNTIFS(Pessoas!$C$5:$C$44,$K759,Pessoas!$G$5:$G$44,"Ativo")))+1)))</f>
        <v>Equipe Oficina Mecânica Central-Taisa</v>
      </c>
    </row>
    <row r="760" spans="1:12" ht="15" customHeight="1" x14ac:dyDescent="0.4">
      <c r="A760" s="25">
        <v>46373</v>
      </c>
      <c r="B760" s="16">
        <v>16</v>
      </c>
      <c r="C760" s="16">
        <v>2</v>
      </c>
      <c r="D760" s="16">
        <v>12</v>
      </c>
      <c r="E760" s="16" t="s">
        <v>980</v>
      </c>
      <c r="F760" s="16" t="s">
        <v>1305</v>
      </c>
      <c r="G760" s="16" t="s">
        <v>688</v>
      </c>
      <c r="H760" s="16" t="s">
        <v>146</v>
      </c>
      <c r="I760" s="22" t="s">
        <v>861</v>
      </c>
      <c r="J760" s="16">
        <f>IFERROR(INDEX(Aux_HH!$J$4:$J$31,MATCH($H760&amp;"|"&amp;$I760,Aux_HH!$A$4:$A$31,0)),"")</f>
        <v>3</v>
      </c>
      <c r="K760" s="16" t="s">
        <v>76</v>
      </c>
      <c r="L760" s="16" t="str">
        <f>IF(COUNTIFS(Pessoas!$C$5:$C$44,$K760,Pessoas!$G$5:$G$44,"Ativo")=0,"Equipe "&amp;$K760,INDEX(Pessoas!$A$5:$A$44,_xludf.aggregate(15,6,(ROW(Pessoas!$A$5:$A$44)-4)/((Pessoas!$C$5:$C$44=$K760)*(Pessoas!$G$5:$G$44="Ativo")),MOD(ROW()-6,MAX(1,COUNTIFS(Pessoas!$C$5:$C$44,$K760,Pessoas!$G$5:$G$44,"Ativo")))+1)))</f>
        <v>Equipe Oficina Mecânica Central-Taisa</v>
      </c>
    </row>
    <row r="761" spans="1:12" ht="15" customHeight="1" x14ac:dyDescent="0.4">
      <c r="A761" s="25">
        <v>46373</v>
      </c>
      <c r="B761" s="16">
        <v>16</v>
      </c>
      <c r="C761" s="16">
        <v>2</v>
      </c>
      <c r="D761" s="16">
        <v>12</v>
      </c>
      <c r="E761" s="16" t="s">
        <v>980</v>
      </c>
      <c r="F761" s="16" t="s">
        <v>1306</v>
      </c>
      <c r="G761" s="16" t="s">
        <v>688</v>
      </c>
      <c r="H761" s="16" t="s">
        <v>146</v>
      </c>
      <c r="I761" s="22" t="s">
        <v>861</v>
      </c>
      <c r="J761" s="16">
        <f>IFERROR(INDEX(Aux_HH!$J$4:$J$31,MATCH($H761&amp;"|"&amp;$I761,Aux_HH!$A$4:$A$31,0)),"")</f>
        <v>3</v>
      </c>
      <c r="K761" s="16" t="s">
        <v>76</v>
      </c>
      <c r="L761" s="16" t="str">
        <f>IF(COUNTIFS(Pessoas!$C$5:$C$44,$K761,Pessoas!$G$5:$G$44,"Ativo")=0,"Equipe "&amp;$K761,INDEX(Pessoas!$A$5:$A$44,_xludf.aggregate(15,6,(ROW(Pessoas!$A$5:$A$44)-4)/((Pessoas!$C$5:$C$44=$K761)*(Pessoas!$G$5:$G$44="Ativo")),MOD(ROW()-6,MAX(1,COUNTIFS(Pessoas!$C$5:$C$44,$K761,Pessoas!$G$5:$G$44,"Ativo")))+1)))</f>
        <v>Equipe Oficina Mecânica Central-Taisa</v>
      </c>
    </row>
    <row r="762" spans="1:12" ht="15" customHeight="1" x14ac:dyDescent="0.4">
      <c r="A762" s="25">
        <v>46374</v>
      </c>
      <c r="B762" s="16">
        <v>16</v>
      </c>
      <c r="C762" s="16">
        <v>2</v>
      </c>
      <c r="D762" s="16">
        <v>12</v>
      </c>
      <c r="E762" s="16" t="s">
        <v>980</v>
      </c>
      <c r="F762" s="16" t="s">
        <v>1307</v>
      </c>
      <c r="G762" s="16" t="s">
        <v>688</v>
      </c>
      <c r="H762" s="16" t="s">
        <v>146</v>
      </c>
      <c r="I762" s="22" t="s">
        <v>861</v>
      </c>
      <c r="J762" s="16">
        <f>IFERROR(INDEX(Aux_HH!$J$4:$J$31,MATCH($H762&amp;"|"&amp;$I762,Aux_HH!$A$4:$A$31,0)),"")</f>
        <v>3</v>
      </c>
      <c r="K762" s="16" t="s">
        <v>76</v>
      </c>
      <c r="L762" s="16" t="str">
        <f>IF(COUNTIFS(Pessoas!$C$5:$C$44,$K762,Pessoas!$G$5:$G$44,"Ativo")=0,"Equipe "&amp;$K762,INDEX(Pessoas!$A$5:$A$44,_xludf.aggregate(15,6,(ROW(Pessoas!$A$5:$A$44)-4)/((Pessoas!$C$5:$C$44=$K762)*(Pessoas!$G$5:$G$44="Ativo")),MOD(ROW()-6,MAX(1,COUNTIFS(Pessoas!$C$5:$C$44,$K762,Pessoas!$G$5:$G$44,"Ativo")))+1)))</f>
        <v>Equipe Oficina Mecânica Central-Taisa</v>
      </c>
    </row>
    <row r="763" spans="1:12" ht="15" customHeight="1" x14ac:dyDescent="0.4">
      <c r="A763" s="25">
        <v>46374</v>
      </c>
      <c r="B763" s="16">
        <v>16</v>
      </c>
      <c r="C763" s="16">
        <v>2</v>
      </c>
      <c r="D763" s="16">
        <v>12</v>
      </c>
      <c r="E763" s="16" t="s">
        <v>980</v>
      </c>
      <c r="F763" s="16" t="s">
        <v>1308</v>
      </c>
      <c r="G763" s="16" t="s">
        <v>688</v>
      </c>
      <c r="H763" s="16" t="s">
        <v>146</v>
      </c>
      <c r="I763" s="22" t="s">
        <v>861</v>
      </c>
      <c r="J763" s="16">
        <f>IFERROR(INDEX(Aux_HH!$J$4:$J$31,MATCH($H763&amp;"|"&amp;$I763,Aux_HH!$A$4:$A$31,0)),"")</f>
        <v>3</v>
      </c>
      <c r="K763" s="16" t="s">
        <v>76</v>
      </c>
      <c r="L763" s="16" t="str">
        <f>IF(COUNTIFS(Pessoas!$C$5:$C$44,$K763,Pessoas!$G$5:$G$44,"Ativo")=0,"Equipe "&amp;$K763,INDEX(Pessoas!$A$5:$A$44,_xludf.aggregate(15,6,(ROW(Pessoas!$A$5:$A$44)-4)/((Pessoas!$C$5:$C$44=$K763)*(Pessoas!$G$5:$G$44="Ativo")),MOD(ROW()-6,MAX(1,COUNTIFS(Pessoas!$C$5:$C$44,$K763,Pessoas!$G$5:$G$44,"Ativo")))+1)))</f>
        <v>Equipe Oficina Mecânica Central-Taisa</v>
      </c>
    </row>
    <row r="764" spans="1:12" ht="15" customHeight="1" x14ac:dyDescent="0.4">
      <c r="A764" s="25">
        <v>46374</v>
      </c>
      <c r="B764" s="16">
        <v>16</v>
      </c>
      <c r="C764" s="16">
        <v>2</v>
      </c>
      <c r="D764" s="16">
        <v>12</v>
      </c>
      <c r="E764" s="16" t="s">
        <v>980</v>
      </c>
      <c r="F764" s="16" t="s">
        <v>1309</v>
      </c>
      <c r="G764" s="16" t="s">
        <v>688</v>
      </c>
      <c r="H764" s="16" t="s">
        <v>146</v>
      </c>
      <c r="I764" s="22" t="s">
        <v>861</v>
      </c>
      <c r="J764" s="16">
        <f>IFERROR(INDEX(Aux_HH!$J$4:$J$31,MATCH($H764&amp;"|"&amp;$I764,Aux_HH!$A$4:$A$31,0)),"")</f>
        <v>3</v>
      </c>
      <c r="K764" s="16" t="s">
        <v>76</v>
      </c>
      <c r="L764" s="16" t="str">
        <f>IF(COUNTIFS(Pessoas!$C$5:$C$44,$K764,Pessoas!$G$5:$G$44,"Ativo")=0,"Equipe "&amp;$K764,INDEX(Pessoas!$A$5:$A$44,_xludf.aggregate(15,6,(ROW(Pessoas!$A$5:$A$44)-4)/((Pessoas!$C$5:$C$44=$K764)*(Pessoas!$G$5:$G$44="Ativo")),MOD(ROW()-6,MAX(1,COUNTIFS(Pessoas!$C$5:$C$44,$K764,Pessoas!$G$5:$G$44,"Ativo")))+1)))</f>
        <v>Equipe Oficina Mecânica Central-Taisa</v>
      </c>
    </row>
    <row r="765" spans="1:12" ht="15" customHeight="1" x14ac:dyDescent="0.4">
      <c r="A765" s="25">
        <v>46377</v>
      </c>
      <c r="B765" s="16">
        <v>16</v>
      </c>
      <c r="C765" s="16">
        <v>2</v>
      </c>
      <c r="D765" s="16">
        <v>12</v>
      </c>
      <c r="E765" s="16" t="s">
        <v>980</v>
      </c>
      <c r="F765" s="16" t="s">
        <v>1310</v>
      </c>
      <c r="G765" s="16" t="s">
        <v>688</v>
      </c>
      <c r="H765" s="16" t="s">
        <v>146</v>
      </c>
      <c r="I765" s="22" t="s">
        <v>861</v>
      </c>
      <c r="J765" s="16">
        <f>IFERROR(INDEX(Aux_HH!$J$4:$J$31,MATCH($H765&amp;"|"&amp;$I765,Aux_HH!$A$4:$A$31,0)),"")</f>
        <v>3</v>
      </c>
      <c r="K765" s="16" t="s">
        <v>76</v>
      </c>
      <c r="L765" s="16" t="str">
        <f>IF(COUNTIFS(Pessoas!$C$5:$C$44,$K765,Pessoas!$G$5:$G$44,"Ativo")=0,"Equipe "&amp;$K765,INDEX(Pessoas!$A$5:$A$44,_xludf.aggregate(15,6,(ROW(Pessoas!$A$5:$A$44)-4)/((Pessoas!$C$5:$C$44=$K765)*(Pessoas!$G$5:$G$44="Ativo")),MOD(ROW()-6,MAX(1,COUNTIFS(Pessoas!$C$5:$C$44,$K765,Pessoas!$G$5:$G$44,"Ativo")))+1)))</f>
        <v>Equipe Oficina Mecânica Central-Taisa</v>
      </c>
    </row>
    <row r="766" spans="1:12" ht="15" customHeight="1" x14ac:dyDescent="0.4">
      <c r="A766" s="25">
        <v>46377</v>
      </c>
      <c r="B766" s="16">
        <v>16</v>
      </c>
      <c r="C766" s="16">
        <v>2</v>
      </c>
      <c r="D766" s="16">
        <v>12</v>
      </c>
      <c r="E766" s="16" t="s">
        <v>980</v>
      </c>
      <c r="F766" s="16" t="s">
        <v>1311</v>
      </c>
      <c r="G766" s="16" t="s">
        <v>688</v>
      </c>
      <c r="H766" s="16" t="s">
        <v>146</v>
      </c>
      <c r="I766" s="22" t="s">
        <v>861</v>
      </c>
      <c r="J766" s="16">
        <f>IFERROR(INDEX(Aux_HH!$J$4:$J$31,MATCH($H766&amp;"|"&amp;$I766,Aux_HH!$A$4:$A$31,0)),"")</f>
        <v>3</v>
      </c>
      <c r="K766" s="16" t="s">
        <v>76</v>
      </c>
      <c r="L766" s="16" t="str">
        <f>IF(COUNTIFS(Pessoas!$C$5:$C$44,$K766,Pessoas!$G$5:$G$44,"Ativo")=0,"Equipe "&amp;$K766,INDEX(Pessoas!$A$5:$A$44,_xludf.aggregate(15,6,(ROW(Pessoas!$A$5:$A$44)-4)/((Pessoas!$C$5:$C$44=$K766)*(Pessoas!$G$5:$G$44="Ativo")),MOD(ROW()-6,MAX(1,COUNTIFS(Pessoas!$C$5:$C$44,$K766,Pessoas!$G$5:$G$44,"Ativo")))+1)))</f>
        <v>Equipe Oficina Mecânica Central-Taisa</v>
      </c>
    </row>
    <row r="767" spans="1:12" ht="15" customHeight="1" x14ac:dyDescent="0.4">
      <c r="A767" s="25">
        <v>46377</v>
      </c>
      <c r="B767" s="16">
        <v>16</v>
      </c>
      <c r="C767" s="16">
        <v>2</v>
      </c>
      <c r="D767" s="16">
        <v>12</v>
      </c>
      <c r="E767" s="16" t="s">
        <v>980</v>
      </c>
      <c r="F767" s="16" t="s">
        <v>1312</v>
      </c>
      <c r="G767" s="16" t="s">
        <v>688</v>
      </c>
      <c r="H767" s="16" t="s">
        <v>146</v>
      </c>
      <c r="I767" s="22" t="s">
        <v>861</v>
      </c>
      <c r="J767" s="16">
        <f>IFERROR(INDEX(Aux_HH!$J$4:$J$31,MATCH($H767&amp;"|"&amp;$I767,Aux_HH!$A$4:$A$31,0)),"")</f>
        <v>3</v>
      </c>
      <c r="K767" s="16" t="s">
        <v>76</v>
      </c>
      <c r="L767" s="16" t="str">
        <f>IF(COUNTIFS(Pessoas!$C$5:$C$44,$K767,Pessoas!$G$5:$G$44,"Ativo")=0,"Equipe "&amp;$K767,INDEX(Pessoas!$A$5:$A$44,_xludf.aggregate(15,6,(ROW(Pessoas!$A$5:$A$44)-4)/((Pessoas!$C$5:$C$44=$K767)*(Pessoas!$G$5:$G$44="Ativo")),MOD(ROW()-6,MAX(1,COUNTIFS(Pessoas!$C$5:$C$44,$K767,Pessoas!$G$5:$G$44,"Ativo")))+1)))</f>
        <v>Equipe Oficina Mecânica Central-Taisa</v>
      </c>
    </row>
    <row r="768" spans="1:12" ht="15" customHeight="1" x14ac:dyDescent="0.4">
      <c r="A768" s="25">
        <v>46378</v>
      </c>
      <c r="B768" s="16">
        <v>17</v>
      </c>
      <c r="C768" s="16">
        <v>2</v>
      </c>
      <c r="D768" s="16">
        <v>12</v>
      </c>
      <c r="E768" s="16" t="s">
        <v>980</v>
      </c>
      <c r="F768" s="16" t="s">
        <v>1007</v>
      </c>
      <c r="G768" s="16" t="s">
        <v>526</v>
      </c>
      <c r="H768" s="16" t="s">
        <v>143</v>
      </c>
      <c r="I768" s="22" t="s">
        <v>856</v>
      </c>
      <c r="J768" s="16">
        <f>IFERROR(INDEX(Aux_HH!$J$4:$J$31,MATCH($H768&amp;"|"&amp;$I768,Aux_HH!$A$4:$A$31,0)),"")</f>
        <v>2.5</v>
      </c>
      <c r="K768" s="16" t="s">
        <v>76</v>
      </c>
      <c r="L768" s="16" t="str">
        <f>IF(COUNTIFS(Pessoas!$C$5:$C$44,$K768,Pessoas!$G$5:$G$44,"Ativo")=0,"Equipe "&amp;$K768,INDEX(Pessoas!$A$5:$A$44,_xludf.aggregate(15,6,(ROW(Pessoas!$A$5:$A$44)-4)/((Pessoas!$C$5:$C$44=$K768)*(Pessoas!$G$5:$G$44="Ativo")),MOD(ROW()-6,MAX(1,COUNTIFS(Pessoas!$C$5:$C$44,$K768,Pessoas!$G$5:$G$44,"Ativo")))+1)))</f>
        <v>Equipe Oficina Mecânica Central-Taisa</v>
      </c>
    </row>
    <row r="769" spans="1:12" ht="15" customHeight="1" x14ac:dyDescent="0.4">
      <c r="A769" s="25">
        <v>46378</v>
      </c>
      <c r="B769" s="16">
        <v>17</v>
      </c>
      <c r="C769" s="16">
        <v>2</v>
      </c>
      <c r="D769" s="16">
        <v>12</v>
      </c>
      <c r="E769" s="16" t="s">
        <v>980</v>
      </c>
      <c r="F769" s="16" t="s">
        <v>1008</v>
      </c>
      <c r="G769" s="16" t="s">
        <v>184</v>
      </c>
      <c r="H769" s="16" t="s">
        <v>143</v>
      </c>
      <c r="I769" s="22" t="s">
        <v>856</v>
      </c>
      <c r="J769" s="16">
        <f>IFERROR(INDEX(Aux_HH!$J$4:$J$31,MATCH($H769&amp;"|"&amp;$I769,Aux_HH!$A$4:$A$31,0)),"")</f>
        <v>2.5</v>
      </c>
      <c r="K769" s="16" t="s">
        <v>76</v>
      </c>
      <c r="L769" s="16" t="str">
        <f>IF(COUNTIFS(Pessoas!$C$5:$C$44,$K769,Pessoas!$G$5:$G$44,"Ativo")=0,"Equipe "&amp;$K769,INDEX(Pessoas!$A$5:$A$44,_xludf.aggregate(15,6,(ROW(Pessoas!$A$5:$A$44)-4)/((Pessoas!$C$5:$C$44=$K769)*(Pessoas!$G$5:$G$44="Ativo")),MOD(ROW()-6,MAX(1,COUNTIFS(Pessoas!$C$5:$C$44,$K769,Pessoas!$G$5:$G$44,"Ativo")))+1)))</f>
        <v>Equipe Oficina Mecânica Central-Taisa</v>
      </c>
    </row>
    <row r="770" spans="1:12" ht="15" customHeight="1" x14ac:dyDescent="0.4">
      <c r="A770" s="25">
        <v>46378</v>
      </c>
      <c r="B770" s="16">
        <v>17</v>
      </c>
      <c r="C770" s="16">
        <v>2</v>
      </c>
      <c r="D770" s="16">
        <v>12</v>
      </c>
      <c r="E770" s="16" t="s">
        <v>980</v>
      </c>
      <c r="F770" s="16" t="s">
        <v>1009</v>
      </c>
      <c r="G770" s="16" t="s">
        <v>184</v>
      </c>
      <c r="H770" s="16" t="s">
        <v>143</v>
      </c>
      <c r="I770" s="22" t="s">
        <v>856</v>
      </c>
      <c r="J770" s="16">
        <f>IFERROR(INDEX(Aux_HH!$J$4:$J$31,MATCH($H770&amp;"|"&amp;$I770,Aux_HH!$A$4:$A$31,0)),"")</f>
        <v>2.5</v>
      </c>
      <c r="K770" s="16" t="s">
        <v>76</v>
      </c>
      <c r="L770" s="16" t="str">
        <f>IF(COUNTIFS(Pessoas!$C$5:$C$44,$K770,Pessoas!$G$5:$G$44,"Ativo")=0,"Equipe "&amp;$K770,INDEX(Pessoas!$A$5:$A$44,_xludf.aggregate(15,6,(ROW(Pessoas!$A$5:$A$44)-4)/((Pessoas!$C$5:$C$44=$K770)*(Pessoas!$G$5:$G$44="Ativo")),MOD(ROW()-6,MAX(1,COUNTIFS(Pessoas!$C$5:$C$44,$K770,Pessoas!$G$5:$G$44,"Ativo")))+1)))</f>
        <v>Equipe Oficina Mecânica Central-Taisa</v>
      </c>
    </row>
    <row r="771" spans="1:12" ht="15" customHeight="1" x14ac:dyDescent="0.4">
      <c r="A771" s="25">
        <v>46378</v>
      </c>
      <c r="B771" s="16">
        <v>17</v>
      </c>
      <c r="C771" s="16">
        <v>2</v>
      </c>
      <c r="D771" s="16">
        <v>12</v>
      </c>
      <c r="E771" s="16" t="s">
        <v>980</v>
      </c>
      <c r="F771" s="16" t="s">
        <v>1010</v>
      </c>
      <c r="G771" s="16" t="s">
        <v>184</v>
      </c>
      <c r="H771" s="16" t="s">
        <v>143</v>
      </c>
      <c r="I771" s="22" t="s">
        <v>856</v>
      </c>
      <c r="J771" s="16">
        <f>IFERROR(INDEX(Aux_HH!$J$4:$J$31,MATCH($H771&amp;"|"&amp;$I771,Aux_HH!$A$4:$A$31,0)),"")</f>
        <v>2.5</v>
      </c>
      <c r="K771" s="16" t="s">
        <v>76</v>
      </c>
      <c r="L771" s="16" t="str">
        <f>IF(COUNTIFS(Pessoas!$C$5:$C$44,$K771,Pessoas!$G$5:$G$44,"Ativo")=0,"Equipe "&amp;$K771,INDEX(Pessoas!$A$5:$A$44,_xludf.aggregate(15,6,(ROW(Pessoas!$A$5:$A$44)-4)/((Pessoas!$C$5:$C$44=$K771)*(Pessoas!$G$5:$G$44="Ativo")),MOD(ROW()-6,MAX(1,COUNTIFS(Pessoas!$C$5:$C$44,$K771,Pessoas!$G$5:$G$44,"Ativo")))+1)))</f>
        <v>Equipe Oficina Mecânica Central-Taisa</v>
      </c>
    </row>
    <row r="772" spans="1:12" ht="15" customHeight="1" x14ac:dyDescent="0.4">
      <c r="A772" s="25">
        <v>46378</v>
      </c>
      <c r="B772" s="16">
        <v>17</v>
      </c>
      <c r="C772" s="16">
        <v>2</v>
      </c>
      <c r="D772" s="16">
        <v>12</v>
      </c>
      <c r="E772" s="16" t="s">
        <v>980</v>
      </c>
      <c r="F772" s="16" t="s">
        <v>1011</v>
      </c>
      <c r="G772" s="16" t="s">
        <v>184</v>
      </c>
      <c r="H772" s="16" t="s">
        <v>143</v>
      </c>
      <c r="I772" s="22" t="s">
        <v>856</v>
      </c>
      <c r="J772" s="16">
        <f>IFERROR(INDEX(Aux_HH!$J$4:$J$31,MATCH($H772&amp;"|"&amp;$I772,Aux_HH!$A$4:$A$31,0)),"")</f>
        <v>2.5</v>
      </c>
      <c r="K772" s="16" t="s">
        <v>76</v>
      </c>
      <c r="L772" s="16" t="str">
        <f>IF(COUNTIFS(Pessoas!$C$5:$C$44,$K772,Pessoas!$G$5:$G$44,"Ativo")=0,"Equipe "&amp;$K772,INDEX(Pessoas!$A$5:$A$44,_xludf.aggregate(15,6,(ROW(Pessoas!$A$5:$A$44)-4)/((Pessoas!$C$5:$C$44=$K772)*(Pessoas!$G$5:$G$44="Ativo")),MOD(ROW()-6,MAX(1,COUNTIFS(Pessoas!$C$5:$C$44,$K772,Pessoas!$G$5:$G$44,"Ativo")))+1)))</f>
        <v>Equipe Oficina Mecânica Central-Taisa</v>
      </c>
    </row>
    <row r="773" spans="1:12" ht="15" customHeight="1" x14ac:dyDescent="0.4">
      <c r="A773" s="25">
        <v>46378</v>
      </c>
      <c r="B773" s="16">
        <v>17</v>
      </c>
      <c r="C773" s="16">
        <v>2</v>
      </c>
      <c r="D773" s="16">
        <v>12</v>
      </c>
      <c r="E773" s="16" t="s">
        <v>980</v>
      </c>
      <c r="F773" s="16" t="s">
        <v>1012</v>
      </c>
      <c r="G773" s="16" t="s">
        <v>184</v>
      </c>
      <c r="H773" s="16" t="s">
        <v>143</v>
      </c>
      <c r="I773" s="22" t="s">
        <v>856</v>
      </c>
      <c r="J773" s="16">
        <f>IFERROR(INDEX(Aux_HH!$J$4:$J$31,MATCH($H773&amp;"|"&amp;$I773,Aux_HH!$A$4:$A$31,0)),"")</f>
        <v>2.5</v>
      </c>
      <c r="K773" s="16" t="s">
        <v>76</v>
      </c>
      <c r="L773" s="16" t="str">
        <f>IF(COUNTIFS(Pessoas!$C$5:$C$44,$K773,Pessoas!$G$5:$G$44,"Ativo")=0,"Equipe "&amp;$K773,INDEX(Pessoas!$A$5:$A$44,_xludf.aggregate(15,6,(ROW(Pessoas!$A$5:$A$44)-4)/((Pessoas!$C$5:$C$44=$K773)*(Pessoas!$G$5:$G$44="Ativo")),MOD(ROW()-6,MAX(1,COUNTIFS(Pessoas!$C$5:$C$44,$K773,Pessoas!$G$5:$G$44,"Ativo")))+1)))</f>
        <v>Equipe Oficina Mecânica Central-Taisa</v>
      </c>
    </row>
    <row r="774" spans="1:12" ht="15" customHeight="1" x14ac:dyDescent="0.4">
      <c r="A774" s="25">
        <v>46378</v>
      </c>
      <c r="B774" s="16">
        <v>17</v>
      </c>
      <c r="C774" s="16">
        <v>2</v>
      </c>
      <c r="D774" s="16">
        <v>12</v>
      </c>
      <c r="E774" s="16" t="s">
        <v>980</v>
      </c>
      <c r="F774" s="16" t="s">
        <v>1013</v>
      </c>
      <c r="G774" s="16" t="s">
        <v>184</v>
      </c>
      <c r="H774" s="16" t="s">
        <v>143</v>
      </c>
      <c r="I774" s="22" t="s">
        <v>856</v>
      </c>
      <c r="J774" s="16">
        <f>IFERROR(INDEX(Aux_HH!$J$4:$J$31,MATCH($H774&amp;"|"&amp;$I774,Aux_HH!$A$4:$A$31,0)),"")</f>
        <v>2.5</v>
      </c>
      <c r="K774" s="16" t="s">
        <v>76</v>
      </c>
      <c r="L774" s="16" t="str">
        <f>IF(COUNTIFS(Pessoas!$C$5:$C$44,$K774,Pessoas!$G$5:$G$44,"Ativo")=0,"Equipe "&amp;$K774,INDEX(Pessoas!$A$5:$A$44,_xludf.aggregate(15,6,(ROW(Pessoas!$A$5:$A$44)-4)/((Pessoas!$C$5:$C$44=$K774)*(Pessoas!$G$5:$G$44="Ativo")),MOD(ROW()-6,MAX(1,COUNTIFS(Pessoas!$C$5:$C$44,$K774,Pessoas!$G$5:$G$44,"Ativo")))+1)))</f>
        <v>Equipe Oficina Mecânica Central-Taisa</v>
      </c>
    </row>
    <row r="775" spans="1:12" ht="15" customHeight="1" x14ac:dyDescent="0.4">
      <c r="A775" s="25">
        <v>46378</v>
      </c>
      <c r="B775" s="16">
        <v>17</v>
      </c>
      <c r="C775" s="16">
        <v>2</v>
      </c>
      <c r="D775" s="16">
        <v>12</v>
      </c>
      <c r="E775" s="16" t="s">
        <v>980</v>
      </c>
      <c r="F775" s="16" t="s">
        <v>1014</v>
      </c>
      <c r="G775" s="16" t="s">
        <v>184</v>
      </c>
      <c r="H775" s="16" t="s">
        <v>143</v>
      </c>
      <c r="I775" s="22" t="s">
        <v>856</v>
      </c>
      <c r="J775" s="16">
        <f>IFERROR(INDEX(Aux_HH!$J$4:$J$31,MATCH($H775&amp;"|"&amp;$I775,Aux_HH!$A$4:$A$31,0)),"")</f>
        <v>2.5</v>
      </c>
      <c r="K775" s="16" t="s">
        <v>76</v>
      </c>
      <c r="L775" s="16" t="str">
        <f>IF(COUNTIFS(Pessoas!$C$5:$C$44,$K775,Pessoas!$G$5:$G$44,"Ativo")=0,"Equipe "&amp;$K775,INDEX(Pessoas!$A$5:$A$44,_xludf.aggregate(15,6,(ROW(Pessoas!$A$5:$A$44)-4)/((Pessoas!$C$5:$C$44=$K775)*(Pessoas!$G$5:$G$44="Ativo")),MOD(ROW()-6,MAX(1,COUNTIFS(Pessoas!$C$5:$C$44,$K775,Pessoas!$G$5:$G$44,"Ativo")))+1)))</f>
        <v>Equipe Oficina Mecânica Central-Taisa</v>
      </c>
    </row>
    <row r="776" spans="1:12" ht="15" customHeight="1" x14ac:dyDescent="0.4">
      <c r="A776" s="25">
        <v>46378</v>
      </c>
      <c r="B776" s="16">
        <v>17</v>
      </c>
      <c r="C776" s="16">
        <v>2</v>
      </c>
      <c r="D776" s="16">
        <v>12</v>
      </c>
      <c r="E776" s="16" t="s">
        <v>980</v>
      </c>
      <c r="F776" s="16" t="s">
        <v>1015</v>
      </c>
      <c r="G776" s="16" t="s">
        <v>184</v>
      </c>
      <c r="H776" s="16" t="s">
        <v>143</v>
      </c>
      <c r="I776" s="22" t="s">
        <v>856</v>
      </c>
      <c r="J776" s="16">
        <f>IFERROR(INDEX(Aux_HH!$J$4:$J$31,MATCH($H776&amp;"|"&amp;$I776,Aux_HH!$A$4:$A$31,0)),"")</f>
        <v>2.5</v>
      </c>
      <c r="K776" s="16" t="s">
        <v>76</v>
      </c>
      <c r="L776" s="16" t="str">
        <f>IF(COUNTIFS(Pessoas!$C$5:$C$44,$K776,Pessoas!$G$5:$G$44,"Ativo")=0,"Equipe "&amp;$K776,INDEX(Pessoas!$A$5:$A$44,_xludf.aggregate(15,6,(ROW(Pessoas!$A$5:$A$44)-4)/((Pessoas!$C$5:$C$44=$K776)*(Pessoas!$G$5:$G$44="Ativo")),MOD(ROW()-6,MAX(1,COUNTIFS(Pessoas!$C$5:$C$44,$K776,Pessoas!$G$5:$G$44,"Ativo")))+1)))</f>
        <v>Equipe Oficina Mecânica Central-Taisa</v>
      </c>
    </row>
    <row r="777" spans="1:12" ht="15" customHeight="1" x14ac:dyDescent="0.4">
      <c r="A777" s="25">
        <v>46378</v>
      </c>
      <c r="B777" s="16">
        <v>17</v>
      </c>
      <c r="C777" s="16">
        <v>2</v>
      </c>
      <c r="D777" s="16">
        <v>12</v>
      </c>
      <c r="E777" s="16" t="s">
        <v>980</v>
      </c>
      <c r="F777" s="16" t="s">
        <v>1016</v>
      </c>
      <c r="G777" s="16" t="s">
        <v>526</v>
      </c>
      <c r="H777" s="16" t="s">
        <v>143</v>
      </c>
      <c r="I777" s="22" t="s">
        <v>856</v>
      </c>
      <c r="J777" s="16">
        <f>IFERROR(INDEX(Aux_HH!$J$4:$J$31,MATCH($H777&amp;"|"&amp;$I777,Aux_HH!$A$4:$A$31,0)),"")</f>
        <v>2.5</v>
      </c>
      <c r="K777" s="16" t="s">
        <v>76</v>
      </c>
      <c r="L777" s="16" t="str">
        <f>IF(COUNTIFS(Pessoas!$C$5:$C$44,$K777,Pessoas!$G$5:$G$44,"Ativo")=0,"Equipe "&amp;$K777,INDEX(Pessoas!$A$5:$A$44,_xludf.aggregate(15,6,(ROW(Pessoas!$A$5:$A$44)-4)/((Pessoas!$C$5:$C$44=$K777)*(Pessoas!$G$5:$G$44="Ativo")),MOD(ROW()-6,MAX(1,COUNTIFS(Pessoas!$C$5:$C$44,$K777,Pessoas!$G$5:$G$44,"Ativo")))+1)))</f>
        <v>Equipe Oficina Mecânica Central-Taisa</v>
      </c>
    </row>
    <row r="778" spans="1:12" ht="15" customHeight="1" x14ac:dyDescent="0.4">
      <c r="A778" s="25">
        <v>46378</v>
      </c>
      <c r="B778" s="16">
        <v>17</v>
      </c>
      <c r="C778" s="16">
        <v>2</v>
      </c>
      <c r="D778" s="16">
        <v>12</v>
      </c>
      <c r="E778" s="16" t="s">
        <v>980</v>
      </c>
      <c r="F778" s="16" t="s">
        <v>1017</v>
      </c>
      <c r="G778" s="16" t="s">
        <v>688</v>
      </c>
      <c r="H778" s="16" t="s">
        <v>143</v>
      </c>
      <c r="I778" s="22" t="s">
        <v>856</v>
      </c>
      <c r="J778" s="16">
        <f>IFERROR(INDEX(Aux_HH!$J$4:$J$31,MATCH($H778&amp;"|"&amp;$I778,Aux_HH!$A$4:$A$31,0)),"")</f>
        <v>2.5</v>
      </c>
      <c r="K778" s="16" t="s">
        <v>76</v>
      </c>
      <c r="L778" s="16" t="str">
        <f>IF(COUNTIFS(Pessoas!$C$5:$C$44,$K778,Pessoas!$G$5:$G$44,"Ativo")=0,"Equipe "&amp;$K778,INDEX(Pessoas!$A$5:$A$44,_xludf.aggregate(15,6,(ROW(Pessoas!$A$5:$A$44)-4)/((Pessoas!$C$5:$C$44=$K778)*(Pessoas!$G$5:$G$44="Ativo")),MOD(ROW()-6,MAX(1,COUNTIFS(Pessoas!$C$5:$C$44,$K778,Pessoas!$G$5:$G$44,"Ativo")))+1)))</f>
        <v>Equipe Oficina Mecânica Central-Taisa</v>
      </c>
    </row>
    <row r="779" spans="1:12" ht="15" customHeight="1" x14ac:dyDescent="0.4">
      <c r="A779" s="25">
        <v>46378</v>
      </c>
      <c r="B779" s="16">
        <v>17</v>
      </c>
      <c r="C779" s="16">
        <v>2</v>
      </c>
      <c r="D779" s="16">
        <v>12</v>
      </c>
      <c r="E779" s="16" t="s">
        <v>980</v>
      </c>
      <c r="F779" s="16" t="s">
        <v>1018</v>
      </c>
      <c r="G779" s="16" t="s">
        <v>526</v>
      </c>
      <c r="H779" s="16" t="s">
        <v>143</v>
      </c>
      <c r="I779" s="22" t="s">
        <v>856</v>
      </c>
      <c r="J779" s="16">
        <f>IFERROR(INDEX(Aux_HH!$J$4:$J$31,MATCH($H779&amp;"|"&amp;$I779,Aux_HH!$A$4:$A$31,0)),"")</f>
        <v>2.5</v>
      </c>
      <c r="K779" s="16" t="s">
        <v>76</v>
      </c>
      <c r="L779" s="16" t="str">
        <f>IF(COUNTIFS(Pessoas!$C$5:$C$44,$K779,Pessoas!$G$5:$G$44,"Ativo")=0,"Equipe "&amp;$K779,INDEX(Pessoas!$A$5:$A$44,_xludf.aggregate(15,6,(ROW(Pessoas!$A$5:$A$44)-4)/((Pessoas!$C$5:$C$44=$K779)*(Pessoas!$G$5:$G$44="Ativo")),MOD(ROW()-6,MAX(1,COUNTIFS(Pessoas!$C$5:$C$44,$K779,Pessoas!$G$5:$G$44,"Ativo")))+1)))</f>
        <v>Equipe Oficina Mecânica Central-Taisa</v>
      </c>
    </row>
    <row r="780" spans="1:12" ht="15" customHeight="1" x14ac:dyDescent="0.4">
      <c r="A780" s="25">
        <v>46378</v>
      </c>
      <c r="B780" s="16">
        <v>17</v>
      </c>
      <c r="C780" s="16">
        <v>2</v>
      </c>
      <c r="D780" s="16">
        <v>12</v>
      </c>
      <c r="E780" s="16" t="s">
        <v>980</v>
      </c>
      <c r="F780" s="16" t="s">
        <v>1019</v>
      </c>
      <c r="G780" s="16" t="s">
        <v>526</v>
      </c>
      <c r="H780" s="16" t="s">
        <v>143</v>
      </c>
      <c r="I780" s="22" t="s">
        <v>856</v>
      </c>
      <c r="J780" s="16">
        <f>IFERROR(INDEX(Aux_HH!$J$4:$J$31,MATCH($H780&amp;"|"&amp;$I780,Aux_HH!$A$4:$A$31,0)),"")</f>
        <v>2.5</v>
      </c>
      <c r="K780" s="16" t="s">
        <v>76</v>
      </c>
      <c r="L780" s="16" t="str">
        <f>IF(COUNTIFS(Pessoas!$C$5:$C$44,$K780,Pessoas!$G$5:$G$44,"Ativo")=0,"Equipe "&amp;$K780,INDEX(Pessoas!$A$5:$A$44,_xludf.aggregate(15,6,(ROW(Pessoas!$A$5:$A$44)-4)/((Pessoas!$C$5:$C$44=$K780)*(Pessoas!$G$5:$G$44="Ativo")),MOD(ROW()-6,MAX(1,COUNTIFS(Pessoas!$C$5:$C$44,$K780,Pessoas!$G$5:$G$44,"Ativo")))+1)))</f>
        <v>Equipe Oficina Mecânica Central-Taisa</v>
      </c>
    </row>
    <row r="781" spans="1:12" ht="15" customHeight="1" x14ac:dyDescent="0.4">
      <c r="A781" s="25">
        <v>46378</v>
      </c>
      <c r="B781" s="16">
        <v>17</v>
      </c>
      <c r="C781" s="16">
        <v>2</v>
      </c>
      <c r="D781" s="16">
        <v>12</v>
      </c>
      <c r="E781" s="16" t="s">
        <v>980</v>
      </c>
      <c r="F781" s="16" t="s">
        <v>1020</v>
      </c>
      <c r="G781" s="16" t="s">
        <v>526</v>
      </c>
      <c r="H781" s="16" t="s">
        <v>143</v>
      </c>
      <c r="I781" s="22" t="s">
        <v>856</v>
      </c>
      <c r="J781" s="16">
        <f>IFERROR(INDEX(Aux_HH!$J$4:$J$31,MATCH($H781&amp;"|"&amp;$I781,Aux_HH!$A$4:$A$31,0)),"")</f>
        <v>2.5</v>
      </c>
      <c r="K781" s="16" t="s">
        <v>76</v>
      </c>
      <c r="L781" s="16" t="str">
        <f>IF(COUNTIFS(Pessoas!$C$5:$C$44,$K781,Pessoas!$G$5:$G$44,"Ativo")=0,"Equipe "&amp;$K781,INDEX(Pessoas!$A$5:$A$44,_xludf.aggregate(15,6,(ROW(Pessoas!$A$5:$A$44)-4)/((Pessoas!$C$5:$C$44=$K781)*(Pessoas!$G$5:$G$44="Ativo")),MOD(ROW()-6,MAX(1,COUNTIFS(Pessoas!$C$5:$C$44,$K781,Pessoas!$G$5:$G$44,"Ativo")))+1)))</f>
        <v>Equipe Oficina Mecânica Central-Taisa</v>
      </c>
    </row>
    <row r="782" spans="1:12" ht="15" customHeight="1" x14ac:dyDescent="0.4">
      <c r="A782" s="25">
        <v>46378</v>
      </c>
      <c r="B782" s="16">
        <v>17</v>
      </c>
      <c r="C782" s="16">
        <v>2</v>
      </c>
      <c r="D782" s="16">
        <v>12</v>
      </c>
      <c r="E782" s="16" t="s">
        <v>980</v>
      </c>
      <c r="F782" s="16" t="s">
        <v>1021</v>
      </c>
      <c r="G782" s="16" t="s">
        <v>184</v>
      </c>
      <c r="H782" s="16" t="s">
        <v>143</v>
      </c>
      <c r="I782" s="22" t="s">
        <v>856</v>
      </c>
      <c r="J782" s="16">
        <f>IFERROR(INDEX(Aux_HH!$J$4:$J$31,MATCH($H782&amp;"|"&amp;$I782,Aux_HH!$A$4:$A$31,0)),"")</f>
        <v>2.5</v>
      </c>
      <c r="K782" s="16" t="s">
        <v>76</v>
      </c>
      <c r="L782" s="16" t="str">
        <f>IF(COUNTIFS(Pessoas!$C$5:$C$44,$K782,Pessoas!$G$5:$G$44,"Ativo")=0,"Equipe "&amp;$K782,INDEX(Pessoas!$A$5:$A$44,_xludf.aggregate(15,6,(ROW(Pessoas!$A$5:$A$44)-4)/((Pessoas!$C$5:$C$44=$K782)*(Pessoas!$G$5:$G$44="Ativo")),MOD(ROW()-6,MAX(1,COUNTIFS(Pessoas!$C$5:$C$44,$K782,Pessoas!$G$5:$G$44,"Ativo")))+1)))</f>
        <v>Equipe Oficina Mecânica Central-Taisa</v>
      </c>
    </row>
    <row r="783" spans="1:12" ht="15" customHeight="1" x14ac:dyDescent="0.4">
      <c r="A783" s="25">
        <v>46379</v>
      </c>
      <c r="B783" s="16">
        <v>17</v>
      </c>
      <c r="C783" s="16">
        <v>2</v>
      </c>
      <c r="D783" s="16">
        <v>12</v>
      </c>
      <c r="E783" s="16" t="s">
        <v>980</v>
      </c>
      <c r="F783" s="16" t="s">
        <v>1022</v>
      </c>
      <c r="G783" s="16" t="s">
        <v>184</v>
      </c>
      <c r="H783" s="16" t="s">
        <v>143</v>
      </c>
      <c r="I783" s="22" t="s">
        <v>856</v>
      </c>
      <c r="J783" s="16">
        <f>IFERROR(INDEX(Aux_HH!$J$4:$J$31,MATCH($H783&amp;"|"&amp;$I783,Aux_HH!$A$4:$A$31,0)),"")</f>
        <v>2.5</v>
      </c>
      <c r="K783" s="16" t="s">
        <v>76</v>
      </c>
      <c r="L783" s="16" t="str">
        <f>IF(COUNTIFS(Pessoas!$C$5:$C$44,$K783,Pessoas!$G$5:$G$44,"Ativo")=0,"Equipe "&amp;$K783,INDEX(Pessoas!$A$5:$A$44,_xludf.aggregate(15,6,(ROW(Pessoas!$A$5:$A$44)-4)/((Pessoas!$C$5:$C$44=$K783)*(Pessoas!$G$5:$G$44="Ativo")),MOD(ROW()-6,MAX(1,COUNTIFS(Pessoas!$C$5:$C$44,$K783,Pessoas!$G$5:$G$44,"Ativo")))+1)))</f>
        <v>Equipe Oficina Mecânica Central-Taisa</v>
      </c>
    </row>
    <row r="784" spans="1:12" ht="15" customHeight="1" x14ac:dyDescent="0.4">
      <c r="A784" s="25">
        <v>46379</v>
      </c>
      <c r="B784" s="16">
        <v>17</v>
      </c>
      <c r="C784" s="16">
        <v>2</v>
      </c>
      <c r="D784" s="16">
        <v>12</v>
      </c>
      <c r="E784" s="16" t="s">
        <v>980</v>
      </c>
      <c r="F784" s="16" t="s">
        <v>1023</v>
      </c>
      <c r="G784" s="16" t="s">
        <v>184</v>
      </c>
      <c r="H784" s="16" t="s">
        <v>143</v>
      </c>
      <c r="I784" s="22" t="s">
        <v>856</v>
      </c>
      <c r="J784" s="16">
        <f>IFERROR(INDEX(Aux_HH!$J$4:$J$31,MATCH($H784&amp;"|"&amp;$I784,Aux_HH!$A$4:$A$31,0)),"")</f>
        <v>2.5</v>
      </c>
      <c r="K784" s="16" t="s">
        <v>76</v>
      </c>
      <c r="L784" s="16" t="str">
        <f>IF(COUNTIFS(Pessoas!$C$5:$C$44,$K784,Pessoas!$G$5:$G$44,"Ativo")=0,"Equipe "&amp;$K784,INDEX(Pessoas!$A$5:$A$44,_xludf.aggregate(15,6,(ROW(Pessoas!$A$5:$A$44)-4)/((Pessoas!$C$5:$C$44=$K784)*(Pessoas!$G$5:$G$44="Ativo")),MOD(ROW()-6,MAX(1,COUNTIFS(Pessoas!$C$5:$C$44,$K784,Pessoas!$G$5:$G$44,"Ativo")))+1)))</f>
        <v>Equipe Oficina Mecânica Central-Taisa</v>
      </c>
    </row>
    <row r="785" spans="1:12" ht="15" customHeight="1" x14ac:dyDescent="0.4">
      <c r="A785" s="25">
        <v>46379</v>
      </c>
      <c r="B785" s="16">
        <v>17</v>
      </c>
      <c r="C785" s="16">
        <v>2</v>
      </c>
      <c r="D785" s="16">
        <v>12</v>
      </c>
      <c r="E785" s="16" t="s">
        <v>980</v>
      </c>
      <c r="F785" s="16" t="s">
        <v>1024</v>
      </c>
      <c r="G785" s="16" t="s">
        <v>184</v>
      </c>
      <c r="H785" s="16" t="s">
        <v>143</v>
      </c>
      <c r="I785" s="22" t="s">
        <v>856</v>
      </c>
      <c r="J785" s="16">
        <f>IFERROR(INDEX(Aux_HH!$J$4:$J$31,MATCH($H785&amp;"|"&amp;$I785,Aux_HH!$A$4:$A$31,0)),"")</f>
        <v>2.5</v>
      </c>
      <c r="K785" s="16" t="s">
        <v>76</v>
      </c>
      <c r="L785" s="16" t="str">
        <f>IF(COUNTIFS(Pessoas!$C$5:$C$44,$K785,Pessoas!$G$5:$G$44,"Ativo")=0,"Equipe "&amp;$K785,INDEX(Pessoas!$A$5:$A$44,_xludf.aggregate(15,6,(ROW(Pessoas!$A$5:$A$44)-4)/((Pessoas!$C$5:$C$44=$K785)*(Pessoas!$G$5:$G$44="Ativo")),MOD(ROW()-6,MAX(1,COUNTIFS(Pessoas!$C$5:$C$44,$K785,Pessoas!$G$5:$G$44,"Ativo")))+1)))</f>
        <v>Equipe Oficina Mecânica Central-Taisa</v>
      </c>
    </row>
    <row r="786" spans="1:12" ht="15" customHeight="1" x14ac:dyDescent="0.4">
      <c r="A786" s="25">
        <v>46379</v>
      </c>
      <c r="B786" s="16">
        <v>17</v>
      </c>
      <c r="C786" s="16">
        <v>2</v>
      </c>
      <c r="D786" s="16">
        <v>12</v>
      </c>
      <c r="E786" s="16" t="s">
        <v>980</v>
      </c>
      <c r="F786" s="16" t="s">
        <v>1025</v>
      </c>
      <c r="G786" s="16" t="s">
        <v>184</v>
      </c>
      <c r="H786" s="16" t="s">
        <v>143</v>
      </c>
      <c r="I786" s="22" t="s">
        <v>856</v>
      </c>
      <c r="J786" s="16">
        <f>IFERROR(INDEX(Aux_HH!$J$4:$J$31,MATCH($H786&amp;"|"&amp;$I786,Aux_HH!$A$4:$A$31,0)),"")</f>
        <v>2.5</v>
      </c>
      <c r="K786" s="16" t="s">
        <v>76</v>
      </c>
      <c r="L786" s="16" t="str">
        <f>IF(COUNTIFS(Pessoas!$C$5:$C$44,$K786,Pessoas!$G$5:$G$44,"Ativo")=0,"Equipe "&amp;$K786,INDEX(Pessoas!$A$5:$A$44,_xludf.aggregate(15,6,(ROW(Pessoas!$A$5:$A$44)-4)/((Pessoas!$C$5:$C$44=$K786)*(Pessoas!$G$5:$G$44="Ativo")),MOD(ROW()-6,MAX(1,COUNTIFS(Pessoas!$C$5:$C$44,$K786,Pessoas!$G$5:$G$44,"Ativo")))+1)))</f>
        <v>Equipe Oficina Mecânica Central-Taisa</v>
      </c>
    </row>
    <row r="787" spans="1:12" ht="15" customHeight="1" x14ac:dyDescent="0.4">
      <c r="A787" s="25">
        <v>46379</v>
      </c>
      <c r="B787" s="16">
        <v>17</v>
      </c>
      <c r="C787" s="16">
        <v>2</v>
      </c>
      <c r="D787" s="16">
        <v>12</v>
      </c>
      <c r="E787" s="16" t="s">
        <v>980</v>
      </c>
      <c r="F787" s="16" t="s">
        <v>1026</v>
      </c>
      <c r="G787" s="16" t="s">
        <v>184</v>
      </c>
      <c r="H787" s="16" t="s">
        <v>143</v>
      </c>
      <c r="I787" s="22" t="s">
        <v>856</v>
      </c>
      <c r="J787" s="16">
        <f>IFERROR(INDEX(Aux_HH!$J$4:$J$31,MATCH($H787&amp;"|"&amp;$I787,Aux_HH!$A$4:$A$31,0)),"")</f>
        <v>2.5</v>
      </c>
      <c r="K787" s="16" t="s">
        <v>76</v>
      </c>
      <c r="L787" s="16" t="str">
        <f>IF(COUNTIFS(Pessoas!$C$5:$C$44,$K787,Pessoas!$G$5:$G$44,"Ativo")=0,"Equipe "&amp;$K787,INDEX(Pessoas!$A$5:$A$44,_xludf.aggregate(15,6,(ROW(Pessoas!$A$5:$A$44)-4)/((Pessoas!$C$5:$C$44=$K787)*(Pessoas!$G$5:$G$44="Ativo")),MOD(ROW()-6,MAX(1,COUNTIFS(Pessoas!$C$5:$C$44,$K787,Pessoas!$G$5:$G$44,"Ativo")))+1)))</f>
        <v>Equipe Oficina Mecânica Central-Taisa</v>
      </c>
    </row>
    <row r="788" spans="1:12" ht="15" customHeight="1" x14ac:dyDescent="0.4">
      <c r="A788" s="25">
        <v>46379</v>
      </c>
      <c r="B788" s="16">
        <v>17</v>
      </c>
      <c r="C788" s="16">
        <v>2</v>
      </c>
      <c r="D788" s="16">
        <v>12</v>
      </c>
      <c r="E788" s="16" t="s">
        <v>980</v>
      </c>
      <c r="F788" s="16" t="s">
        <v>1027</v>
      </c>
      <c r="G788" s="16" t="s">
        <v>184</v>
      </c>
      <c r="H788" s="16" t="s">
        <v>143</v>
      </c>
      <c r="I788" s="22" t="s">
        <v>856</v>
      </c>
      <c r="J788" s="16">
        <f>IFERROR(INDEX(Aux_HH!$J$4:$J$31,MATCH($H788&amp;"|"&amp;$I788,Aux_HH!$A$4:$A$31,0)),"")</f>
        <v>2.5</v>
      </c>
      <c r="K788" s="16" t="s">
        <v>76</v>
      </c>
      <c r="L788" s="16" t="str">
        <f>IF(COUNTIFS(Pessoas!$C$5:$C$44,$K788,Pessoas!$G$5:$G$44,"Ativo")=0,"Equipe "&amp;$K788,INDEX(Pessoas!$A$5:$A$44,_xludf.aggregate(15,6,(ROW(Pessoas!$A$5:$A$44)-4)/((Pessoas!$C$5:$C$44=$K788)*(Pessoas!$G$5:$G$44="Ativo")),MOD(ROW()-6,MAX(1,COUNTIFS(Pessoas!$C$5:$C$44,$K788,Pessoas!$G$5:$G$44,"Ativo")))+1)))</f>
        <v>Equipe Oficina Mecânica Central-Taisa</v>
      </c>
    </row>
    <row r="789" spans="1:12" ht="15" customHeight="1" x14ac:dyDescent="0.4">
      <c r="A789" s="25">
        <v>46379</v>
      </c>
      <c r="B789" s="16">
        <v>17</v>
      </c>
      <c r="C789" s="16">
        <v>2</v>
      </c>
      <c r="D789" s="16">
        <v>12</v>
      </c>
      <c r="E789" s="16" t="s">
        <v>980</v>
      </c>
      <c r="F789" s="16" t="s">
        <v>1028</v>
      </c>
      <c r="G789" s="16" t="s">
        <v>184</v>
      </c>
      <c r="H789" s="16" t="s">
        <v>143</v>
      </c>
      <c r="I789" s="22" t="s">
        <v>856</v>
      </c>
      <c r="J789" s="16">
        <f>IFERROR(INDEX(Aux_HH!$J$4:$J$31,MATCH($H789&amp;"|"&amp;$I789,Aux_HH!$A$4:$A$31,0)),"")</f>
        <v>2.5</v>
      </c>
      <c r="K789" s="16" t="s">
        <v>76</v>
      </c>
      <c r="L789" s="16" t="str">
        <f>IF(COUNTIFS(Pessoas!$C$5:$C$44,$K789,Pessoas!$G$5:$G$44,"Ativo")=0,"Equipe "&amp;$K789,INDEX(Pessoas!$A$5:$A$44,_xludf.aggregate(15,6,(ROW(Pessoas!$A$5:$A$44)-4)/((Pessoas!$C$5:$C$44=$K789)*(Pessoas!$G$5:$G$44="Ativo")),MOD(ROW()-6,MAX(1,COUNTIFS(Pessoas!$C$5:$C$44,$K789,Pessoas!$G$5:$G$44,"Ativo")))+1)))</f>
        <v>Equipe Oficina Mecânica Central-Taisa</v>
      </c>
    </row>
    <row r="790" spans="1:12" ht="15" customHeight="1" x14ac:dyDescent="0.4">
      <c r="A790" s="25">
        <v>46379</v>
      </c>
      <c r="B790" s="16">
        <v>17</v>
      </c>
      <c r="C790" s="16">
        <v>2</v>
      </c>
      <c r="D790" s="16">
        <v>12</v>
      </c>
      <c r="E790" s="16" t="s">
        <v>980</v>
      </c>
      <c r="F790" s="16" t="s">
        <v>1029</v>
      </c>
      <c r="G790" s="16" t="s">
        <v>184</v>
      </c>
      <c r="H790" s="16" t="s">
        <v>143</v>
      </c>
      <c r="I790" s="22" t="s">
        <v>856</v>
      </c>
      <c r="J790" s="16">
        <f>IFERROR(INDEX(Aux_HH!$J$4:$J$31,MATCH($H790&amp;"|"&amp;$I790,Aux_HH!$A$4:$A$31,0)),"")</f>
        <v>2.5</v>
      </c>
      <c r="K790" s="16" t="s">
        <v>76</v>
      </c>
      <c r="L790" s="16" t="str">
        <f>IF(COUNTIFS(Pessoas!$C$5:$C$44,$K790,Pessoas!$G$5:$G$44,"Ativo")=0,"Equipe "&amp;$K790,INDEX(Pessoas!$A$5:$A$44,_xludf.aggregate(15,6,(ROW(Pessoas!$A$5:$A$44)-4)/((Pessoas!$C$5:$C$44=$K790)*(Pessoas!$G$5:$G$44="Ativo")),MOD(ROW()-6,MAX(1,COUNTIFS(Pessoas!$C$5:$C$44,$K790,Pessoas!$G$5:$G$44,"Ativo")))+1)))</f>
        <v>Equipe Oficina Mecânica Central-Taisa</v>
      </c>
    </row>
    <row r="791" spans="1:12" ht="15" customHeight="1" x14ac:dyDescent="0.4">
      <c r="A791" s="25">
        <v>46379</v>
      </c>
      <c r="B791" s="16">
        <v>17</v>
      </c>
      <c r="C791" s="16">
        <v>2</v>
      </c>
      <c r="D791" s="16">
        <v>12</v>
      </c>
      <c r="E791" s="16" t="s">
        <v>980</v>
      </c>
      <c r="F791" s="16" t="s">
        <v>1030</v>
      </c>
      <c r="G791" s="16" t="s">
        <v>526</v>
      </c>
      <c r="H791" s="16" t="s">
        <v>143</v>
      </c>
      <c r="I791" s="22" t="s">
        <v>856</v>
      </c>
      <c r="J791" s="16">
        <f>IFERROR(INDEX(Aux_HH!$J$4:$J$31,MATCH($H791&amp;"|"&amp;$I791,Aux_HH!$A$4:$A$31,0)),"")</f>
        <v>2.5</v>
      </c>
      <c r="K791" s="16" t="s">
        <v>76</v>
      </c>
      <c r="L791" s="16" t="str">
        <f>IF(COUNTIFS(Pessoas!$C$5:$C$44,$K791,Pessoas!$G$5:$G$44,"Ativo")=0,"Equipe "&amp;$K791,INDEX(Pessoas!$A$5:$A$44,_xludf.aggregate(15,6,(ROW(Pessoas!$A$5:$A$44)-4)/((Pessoas!$C$5:$C$44=$K791)*(Pessoas!$G$5:$G$44="Ativo")),MOD(ROW()-6,MAX(1,COUNTIFS(Pessoas!$C$5:$C$44,$K791,Pessoas!$G$5:$G$44,"Ativo")))+1)))</f>
        <v>Equipe Oficina Mecânica Central-Taisa</v>
      </c>
    </row>
    <row r="792" spans="1:12" ht="15" customHeight="1" x14ac:dyDescent="0.4">
      <c r="A792" s="25">
        <v>46379</v>
      </c>
      <c r="B792" s="16">
        <v>17</v>
      </c>
      <c r="C792" s="16">
        <v>2</v>
      </c>
      <c r="D792" s="16">
        <v>12</v>
      </c>
      <c r="E792" s="16" t="s">
        <v>980</v>
      </c>
      <c r="F792" s="16" t="s">
        <v>1031</v>
      </c>
      <c r="G792" s="16" t="s">
        <v>526</v>
      </c>
      <c r="H792" s="16" t="s">
        <v>143</v>
      </c>
      <c r="I792" s="22" t="s">
        <v>856</v>
      </c>
      <c r="J792" s="16">
        <f>IFERROR(INDEX(Aux_HH!$J$4:$J$31,MATCH($H792&amp;"|"&amp;$I792,Aux_HH!$A$4:$A$31,0)),"")</f>
        <v>2.5</v>
      </c>
      <c r="K792" s="16" t="s">
        <v>76</v>
      </c>
      <c r="L792" s="16" t="str">
        <f>IF(COUNTIFS(Pessoas!$C$5:$C$44,$K792,Pessoas!$G$5:$G$44,"Ativo")=0,"Equipe "&amp;$K792,INDEX(Pessoas!$A$5:$A$44,_xludf.aggregate(15,6,(ROW(Pessoas!$A$5:$A$44)-4)/((Pessoas!$C$5:$C$44=$K792)*(Pessoas!$G$5:$G$44="Ativo")),MOD(ROW()-6,MAX(1,COUNTIFS(Pessoas!$C$5:$C$44,$K792,Pessoas!$G$5:$G$44,"Ativo")))+1)))</f>
        <v>Equipe Oficina Mecânica Central-Taisa</v>
      </c>
    </row>
    <row r="793" spans="1:12" ht="15" customHeight="1" x14ac:dyDescent="0.4">
      <c r="A793" s="25">
        <v>46379</v>
      </c>
      <c r="B793" s="16">
        <v>17</v>
      </c>
      <c r="C793" s="16">
        <v>2</v>
      </c>
      <c r="D793" s="16">
        <v>12</v>
      </c>
      <c r="E793" s="16" t="s">
        <v>980</v>
      </c>
      <c r="F793" s="16" t="s">
        <v>1032</v>
      </c>
      <c r="G793" s="16" t="s">
        <v>526</v>
      </c>
      <c r="H793" s="16" t="s">
        <v>143</v>
      </c>
      <c r="I793" s="22" t="s">
        <v>856</v>
      </c>
      <c r="J793" s="16">
        <f>IFERROR(INDEX(Aux_HH!$J$4:$J$31,MATCH($H793&amp;"|"&amp;$I793,Aux_HH!$A$4:$A$31,0)),"")</f>
        <v>2.5</v>
      </c>
      <c r="K793" s="16" t="s">
        <v>76</v>
      </c>
      <c r="L793" s="16" t="str">
        <f>IF(COUNTIFS(Pessoas!$C$5:$C$44,$K793,Pessoas!$G$5:$G$44,"Ativo")=0,"Equipe "&amp;$K793,INDEX(Pessoas!$A$5:$A$44,_xludf.aggregate(15,6,(ROW(Pessoas!$A$5:$A$44)-4)/((Pessoas!$C$5:$C$44=$K793)*(Pessoas!$G$5:$G$44="Ativo")),MOD(ROW()-6,MAX(1,COUNTIFS(Pessoas!$C$5:$C$44,$K793,Pessoas!$G$5:$G$44,"Ativo")))+1)))</f>
        <v>Equipe Oficina Mecânica Central-Taisa</v>
      </c>
    </row>
    <row r="794" spans="1:12" ht="15" customHeight="1" x14ac:dyDescent="0.4">
      <c r="A794" s="25">
        <v>46379</v>
      </c>
      <c r="B794" s="16">
        <v>17</v>
      </c>
      <c r="C794" s="16">
        <v>2</v>
      </c>
      <c r="D794" s="16">
        <v>12</v>
      </c>
      <c r="E794" s="16" t="s">
        <v>980</v>
      </c>
      <c r="F794" s="16" t="s">
        <v>1033</v>
      </c>
      <c r="G794" s="16" t="s">
        <v>526</v>
      </c>
      <c r="H794" s="16" t="s">
        <v>143</v>
      </c>
      <c r="I794" s="22" t="s">
        <v>856</v>
      </c>
      <c r="J794" s="16">
        <f>IFERROR(INDEX(Aux_HH!$J$4:$J$31,MATCH($H794&amp;"|"&amp;$I794,Aux_HH!$A$4:$A$31,0)),"")</f>
        <v>2.5</v>
      </c>
      <c r="K794" s="16" t="s">
        <v>76</v>
      </c>
      <c r="L794" s="16" t="str">
        <f>IF(COUNTIFS(Pessoas!$C$5:$C$44,$K794,Pessoas!$G$5:$G$44,"Ativo")=0,"Equipe "&amp;$K794,INDEX(Pessoas!$A$5:$A$44,_xludf.aggregate(15,6,(ROW(Pessoas!$A$5:$A$44)-4)/((Pessoas!$C$5:$C$44=$K794)*(Pessoas!$G$5:$G$44="Ativo")),MOD(ROW()-6,MAX(1,COUNTIFS(Pessoas!$C$5:$C$44,$K794,Pessoas!$G$5:$G$44,"Ativo")))+1)))</f>
        <v>Equipe Oficina Mecânica Central-Taisa</v>
      </c>
    </row>
    <row r="795" spans="1:12" ht="15" customHeight="1" x14ac:dyDescent="0.4">
      <c r="A795" s="25">
        <v>46379</v>
      </c>
      <c r="B795" s="16">
        <v>17</v>
      </c>
      <c r="C795" s="16">
        <v>2</v>
      </c>
      <c r="D795" s="16">
        <v>12</v>
      </c>
      <c r="E795" s="16" t="s">
        <v>980</v>
      </c>
      <c r="F795" s="16" t="s">
        <v>1034</v>
      </c>
      <c r="G795" s="16" t="s">
        <v>526</v>
      </c>
      <c r="H795" s="16" t="s">
        <v>143</v>
      </c>
      <c r="I795" s="22" t="s">
        <v>856</v>
      </c>
      <c r="J795" s="16">
        <f>IFERROR(INDEX(Aux_HH!$J$4:$J$31,MATCH($H795&amp;"|"&amp;$I795,Aux_HH!$A$4:$A$31,0)),"")</f>
        <v>2.5</v>
      </c>
      <c r="K795" s="16" t="s">
        <v>76</v>
      </c>
      <c r="L795" s="16" t="str">
        <f>IF(COUNTIFS(Pessoas!$C$5:$C$44,$K795,Pessoas!$G$5:$G$44,"Ativo")=0,"Equipe "&amp;$K795,INDEX(Pessoas!$A$5:$A$44,_xludf.aggregate(15,6,(ROW(Pessoas!$A$5:$A$44)-4)/((Pessoas!$C$5:$C$44=$K795)*(Pessoas!$G$5:$G$44="Ativo")),MOD(ROW()-6,MAX(1,COUNTIFS(Pessoas!$C$5:$C$44,$K795,Pessoas!$G$5:$G$44,"Ativo")))+1)))</f>
        <v>Equipe Oficina Mecânica Central-Taisa</v>
      </c>
    </row>
    <row r="796" spans="1:12" ht="15" customHeight="1" x14ac:dyDescent="0.4">
      <c r="A796" s="25">
        <v>46379</v>
      </c>
      <c r="B796" s="16">
        <v>17</v>
      </c>
      <c r="C796" s="16">
        <v>2</v>
      </c>
      <c r="D796" s="16">
        <v>12</v>
      </c>
      <c r="E796" s="16" t="s">
        <v>980</v>
      </c>
      <c r="F796" s="16" t="s">
        <v>1035</v>
      </c>
      <c r="G796" s="16" t="s">
        <v>184</v>
      </c>
      <c r="H796" s="16" t="s">
        <v>143</v>
      </c>
      <c r="I796" s="22" t="s">
        <v>856</v>
      </c>
      <c r="J796" s="16">
        <f>IFERROR(INDEX(Aux_HH!$J$4:$J$31,MATCH($H796&amp;"|"&amp;$I796,Aux_HH!$A$4:$A$31,0)),"")</f>
        <v>2.5</v>
      </c>
      <c r="K796" s="16" t="s">
        <v>76</v>
      </c>
      <c r="L796" s="16" t="str">
        <f>IF(COUNTIFS(Pessoas!$C$5:$C$44,$K796,Pessoas!$G$5:$G$44,"Ativo")=0,"Equipe "&amp;$K796,INDEX(Pessoas!$A$5:$A$44,_xludf.aggregate(15,6,(ROW(Pessoas!$A$5:$A$44)-4)/((Pessoas!$C$5:$C$44=$K796)*(Pessoas!$G$5:$G$44="Ativo")),MOD(ROW()-6,MAX(1,COUNTIFS(Pessoas!$C$5:$C$44,$K796,Pessoas!$G$5:$G$44,"Ativo")))+1)))</f>
        <v>Equipe Oficina Mecânica Central-Taisa</v>
      </c>
    </row>
    <row r="797" spans="1:12" ht="15" customHeight="1" x14ac:dyDescent="0.4">
      <c r="A797" s="25">
        <v>46379</v>
      </c>
      <c r="B797" s="16">
        <v>17</v>
      </c>
      <c r="C797" s="16">
        <v>2</v>
      </c>
      <c r="D797" s="16">
        <v>12</v>
      </c>
      <c r="E797" s="16" t="s">
        <v>980</v>
      </c>
      <c r="F797" s="16" t="s">
        <v>1036</v>
      </c>
      <c r="G797" s="16" t="s">
        <v>184</v>
      </c>
      <c r="H797" s="16" t="s">
        <v>143</v>
      </c>
      <c r="I797" s="22" t="s">
        <v>856</v>
      </c>
      <c r="J797" s="16">
        <f>IFERROR(INDEX(Aux_HH!$J$4:$J$31,MATCH($H797&amp;"|"&amp;$I797,Aux_HH!$A$4:$A$31,0)),"")</f>
        <v>2.5</v>
      </c>
      <c r="K797" s="16" t="s">
        <v>76</v>
      </c>
      <c r="L797" s="16" t="str">
        <f>IF(COUNTIFS(Pessoas!$C$5:$C$44,$K797,Pessoas!$G$5:$G$44,"Ativo")=0,"Equipe "&amp;$K797,INDEX(Pessoas!$A$5:$A$44,_xludf.aggregate(15,6,(ROW(Pessoas!$A$5:$A$44)-4)/((Pessoas!$C$5:$C$44=$K797)*(Pessoas!$G$5:$G$44="Ativo")),MOD(ROW()-6,MAX(1,COUNTIFS(Pessoas!$C$5:$C$44,$K797,Pessoas!$G$5:$G$44,"Ativo")))+1)))</f>
        <v>Equipe Oficina Mecânica Central-Taisa</v>
      </c>
    </row>
    <row r="798" spans="1:12" ht="15" customHeight="1" x14ac:dyDescent="0.4">
      <c r="A798" s="25">
        <v>46380</v>
      </c>
      <c r="B798" s="16">
        <v>17</v>
      </c>
      <c r="C798" s="16">
        <v>2</v>
      </c>
      <c r="D798" s="16">
        <v>12</v>
      </c>
      <c r="E798" s="16" t="s">
        <v>980</v>
      </c>
      <c r="F798" s="16" t="s">
        <v>1037</v>
      </c>
      <c r="G798" s="16" t="s">
        <v>184</v>
      </c>
      <c r="H798" s="16" t="s">
        <v>143</v>
      </c>
      <c r="I798" s="22" t="s">
        <v>856</v>
      </c>
      <c r="J798" s="16">
        <f>IFERROR(INDEX(Aux_HH!$J$4:$J$31,MATCH($H798&amp;"|"&amp;$I798,Aux_HH!$A$4:$A$31,0)),"")</f>
        <v>2.5</v>
      </c>
      <c r="K798" s="16" t="s">
        <v>76</v>
      </c>
      <c r="L798" s="16" t="str">
        <f>IF(COUNTIFS(Pessoas!$C$5:$C$44,$K798,Pessoas!$G$5:$G$44,"Ativo")=0,"Equipe "&amp;$K798,INDEX(Pessoas!$A$5:$A$44,_xludf.aggregate(15,6,(ROW(Pessoas!$A$5:$A$44)-4)/((Pessoas!$C$5:$C$44=$K798)*(Pessoas!$G$5:$G$44="Ativo")),MOD(ROW()-6,MAX(1,COUNTIFS(Pessoas!$C$5:$C$44,$K798,Pessoas!$G$5:$G$44,"Ativo")))+1)))</f>
        <v>Equipe Oficina Mecânica Central-Taisa</v>
      </c>
    </row>
    <row r="799" spans="1:12" ht="15" customHeight="1" x14ac:dyDescent="0.4">
      <c r="A799" s="25">
        <v>46380</v>
      </c>
      <c r="B799" s="16">
        <v>17</v>
      </c>
      <c r="C799" s="16">
        <v>2</v>
      </c>
      <c r="D799" s="16">
        <v>12</v>
      </c>
      <c r="E799" s="16" t="s">
        <v>980</v>
      </c>
      <c r="F799" s="16" t="s">
        <v>1038</v>
      </c>
      <c r="G799" s="16" t="s">
        <v>184</v>
      </c>
      <c r="H799" s="16" t="s">
        <v>143</v>
      </c>
      <c r="I799" s="22" t="s">
        <v>856</v>
      </c>
      <c r="J799" s="16">
        <f>IFERROR(INDEX(Aux_HH!$J$4:$J$31,MATCH($H799&amp;"|"&amp;$I799,Aux_HH!$A$4:$A$31,0)),"")</f>
        <v>2.5</v>
      </c>
      <c r="K799" s="16" t="s">
        <v>76</v>
      </c>
      <c r="L799" s="16" t="str">
        <f>IF(COUNTIFS(Pessoas!$C$5:$C$44,$K799,Pessoas!$G$5:$G$44,"Ativo")=0,"Equipe "&amp;$K799,INDEX(Pessoas!$A$5:$A$44,_xludf.aggregate(15,6,(ROW(Pessoas!$A$5:$A$44)-4)/((Pessoas!$C$5:$C$44=$K799)*(Pessoas!$G$5:$G$44="Ativo")),MOD(ROW()-6,MAX(1,COUNTIFS(Pessoas!$C$5:$C$44,$K799,Pessoas!$G$5:$G$44,"Ativo")))+1)))</f>
        <v>Equipe Oficina Mecânica Central-Taisa</v>
      </c>
    </row>
    <row r="800" spans="1:12" ht="15" customHeight="1" x14ac:dyDescent="0.4">
      <c r="A800" s="25">
        <v>46380</v>
      </c>
      <c r="B800" s="16">
        <v>17</v>
      </c>
      <c r="C800" s="16">
        <v>2</v>
      </c>
      <c r="D800" s="16">
        <v>12</v>
      </c>
      <c r="E800" s="16" t="s">
        <v>980</v>
      </c>
      <c r="F800" s="16" t="s">
        <v>1039</v>
      </c>
      <c r="G800" s="16" t="s">
        <v>184</v>
      </c>
      <c r="H800" s="16" t="s">
        <v>143</v>
      </c>
      <c r="I800" s="22" t="s">
        <v>856</v>
      </c>
      <c r="J800" s="16">
        <f>IFERROR(INDEX(Aux_HH!$J$4:$J$31,MATCH($H800&amp;"|"&amp;$I800,Aux_HH!$A$4:$A$31,0)),"")</f>
        <v>2.5</v>
      </c>
      <c r="K800" s="16" t="s">
        <v>76</v>
      </c>
      <c r="L800" s="16" t="str">
        <f>IF(COUNTIFS(Pessoas!$C$5:$C$44,$K800,Pessoas!$G$5:$G$44,"Ativo")=0,"Equipe "&amp;$K800,INDEX(Pessoas!$A$5:$A$44,_xludf.aggregate(15,6,(ROW(Pessoas!$A$5:$A$44)-4)/((Pessoas!$C$5:$C$44=$K800)*(Pessoas!$G$5:$G$44="Ativo")),MOD(ROW()-6,MAX(1,COUNTIFS(Pessoas!$C$5:$C$44,$K800,Pessoas!$G$5:$G$44,"Ativo")))+1)))</f>
        <v>Equipe Oficina Mecânica Central-Taisa</v>
      </c>
    </row>
    <row r="801" spans="1:12" ht="15" customHeight="1" x14ac:dyDescent="0.4">
      <c r="A801" s="25">
        <v>46380</v>
      </c>
      <c r="B801" s="16">
        <v>17</v>
      </c>
      <c r="C801" s="16">
        <v>2</v>
      </c>
      <c r="D801" s="16">
        <v>12</v>
      </c>
      <c r="E801" s="16" t="s">
        <v>980</v>
      </c>
      <c r="F801" s="16" t="s">
        <v>1040</v>
      </c>
      <c r="G801" s="16" t="s">
        <v>184</v>
      </c>
      <c r="H801" s="16" t="s">
        <v>143</v>
      </c>
      <c r="I801" s="22" t="s">
        <v>856</v>
      </c>
      <c r="J801" s="16">
        <f>IFERROR(INDEX(Aux_HH!$J$4:$J$31,MATCH($H801&amp;"|"&amp;$I801,Aux_HH!$A$4:$A$31,0)),"")</f>
        <v>2.5</v>
      </c>
      <c r="K801" s="16" t="s">
        <v>76</v>
      </c>
      <c r="L801" s="16" t="str">
        <f>IF(COUNTIFS(Pessoas!$C$5:$C$44,$K801,Pessoas!$G$5:$G$44,"Ativo")=0,"Equipe "&amp;$K801,INDEX(Pessoas!$A$5:$A$44,_xludf.aggregate(15,6,(ROW(Pessoas!$A$5:$A$44)-4)/((Pessoas!$C$5:$C$44=$K801)*(Pessoas!$G$5:$G$44="Ativo")),MOD(ROW()-6,MAX(1,COUNTIFS(Pessoas!$C$5:$C$44,$K801,Pessoas!$G$5:$G$44,"Ativo")))+1)))</f>
        <v>Equipe Oficina Mecânica Central-Taisa</v>
      </c>
    </row>
    <row r="802" spans="1:12" ht="15" customHeight="1" x14ac:dyDescent="0.4">
      <c r="A802" s="25">
        <v>46380</v>
      </c>
      <c r="B802" s="16">
        <v>17</v>
      </c>
      <c r="C802" s="16">
        <v>2</v>
      </c>
      <c r="D802" s="16">
        <v>12</v>
      </c>
      <c r="E802" s="16" t="s">
        <v>980</v>
      </c>
      <c r="F802" s="16" t="s">
        <v>1041</v>
      </c>
      <c r="G802" s="16" t="s">
        <v>184</v>
      </c>
      <c r="H802" s="16" t="s">
        <v>143</v>
      </c>
      <c r="I802" s="22" t="s">
        <v>856</v>
      </c>
      <c r="J802" s="16">
        <f>IFERROR(INDEX(Aux_HH!$J$4:$J$31,MATCH($H802&amp;"|"&amp;$I802,Aux_HH!$A$4:$A$31,0)),"")</f>
        <v>2.5</v>
      </c>
      <c r="K802" s="16" t="s">
        <v>76</v>
      </c>
      <c r="L802" s="16" t="str">
        <f>IF(COUNTIFS(Pessoas!$C$5:$C$44,$K802,Pessoas!$G$5:$G$44,"Ativo")=0,"Equipe "&amp;$K802,INDEX(Pessoas!$A$5:$A$44,_xludf.aggregate(15,6,(ROW(Pessoas!$A$5:$A$44)-4)/((Pessoas!$C$5:$C$44=$K802)*(Pessoas!$G$5:$G$44="Ativo")),MOD(ROW()-6,MAX(1,COUNTIFS(Pessoas!$C$5:$C$44,$K802,Pessoas!$G$5:$G$44,"Ativo")))+1)))</f>
        <v>Equipe Oficina Mecânica Central-Taisa</v>
      </c>
    </row>
    <row r="803" spans="1:12" ht="15" customHeight="1" x14ac:dyDescent="0.4">
      <c r="A803" s="25">
        <v>46380</v>
      </c>
      <c r="B803" s="16">
        <v>17</v>
      </c>
      <c r="C803" s="16">
        <v>2</v>
      </c>
      <c r="D803" s="16">
        <v>12</v>
      </c>
      <c r="E803" s="16" t="s">
        <v>980</v>
      </c>
      <c r="F803" s="16" t="s">
        <v>1042</v>
      </c>
      <c r="G803" s="16" t="s">
        <v>184</v>
      </c>
      <c r="H803" s="16" t="s">
        <v>143</v>
      </c>
      <c r="I803" s="22" t="s">
        <v>856</v>
      </c>
      <c r="J803" s="16">
        <f>IFERROR(INDEX(Aux_HH!$J$4:$J$31,MATCH($H803&amp;"|"&amp;$I803,Aux_HH!$A$4:$A$31,0)),"")</f>
        <v>2.5</v>
      </c>
      <c r="K803" s="16" t="s">
        <v>76</v>
      </c>
      <c r="L803" s="16" t="str">
        <f>IF(COUNTIFS(Pessoas!$C$5:$C$44,$K803,Pessoas!$G$5:$G$44,"Ativo")=0,"Equipe "&amp;$K803,INDEX(Pessoas!$A$5:$A$44,_xludf.aggregate(15,6,(ROW(Pessoas!$A$5:$A$44)-4)/((Pessoas!$C$5:$C$44=$K803)*(Pessoas!$G$5:$G$44="Ativo")),MOD(ROW()-6,MAX(1,COUNTIFS(Pessoas!$C$5:$C$44,$K803,Pessoas!$G$5:$G$44,"Ativo")))+1)))</f>
        <v>Equipe Oficina Mecânica Central-Taisa</v>
      </c>
    </row>
    <row r="804" spans="1:12" ht="15" customHeight="1" x14ac:dyDescent="0.4">
      <c r="A804" s="25">
        <v>46380</v>
      </c>
      <c r="B804" s="16">
        <v>17</v>
      </c>
      <c r="C804" s="16">
        <v>2</v>
      </c>
      <c r="D804" s="16">
        <v>12</v>
      </c>
      <c r="E804" s="16" t="s">
        <v>980</v>
      </c>
      <c r="F804" s="16" t="s">
        <v>1043</v>
      </c>
      <c r="G804" s="16" t="s">
        <v>184</v>
      </c>
      <c r="H804" s="16" t="s">
        <v>143</v>
      </c>
      <c r="I804" s="22" t="s">
        <v>856</v>
      </c>
      <c r="J804" s="16">
        <f>IFERROR(INDEX(Aux_HH!$J$4:$J$31,MATCH($H804&amp;"|"&amp;$I804,Aux_HH!$A$4:$A$31,0)),"")</f>
        <v>2.5</v>
      </c>
      <c r="K804" s="16" t="s">
        <v>76</v>
      </c>
      <c r="L804" s="16" t="str">
        <f>IF(COUNTIFS(Pessoas!$C$5:$C$44,$K804,Pessoas!$G$5:$G$44,"Ativo")=0,"Equipe "&amp;$K804,INDEX(Pessoas!$A$5:$A$44,_xludf.aggregate(15,6,(ROW(Pessoas!$A$5:$A$44)-4)/((Pessoas!$C$5:$C$44=$K804)*(Pessoas!$G$5:$G$44="Ativo")),MOD(ROW()-6,MAX(1,COUNTIFS(Pessoas!$C$5:$C$44,$K804,Pessoas!$G$5:$G$44,"Ativo")))+1)))</f>
        <v>Equipe Oficina Mecânica Central-Taisa</v>
      </c>
    </row>
    <row r="805" spans="1:12" ht="15" customHeight="1" x14ac:dyDescent="0.4">
      <c r="A805" s="25">
        <v>46380</v>
      </c>
      <c r="B805" s="16">
        <v>17</v>
      </c>
      <c r="C805" s="16">
        <v>2</v>
      </c>
      <c r="D805" s="16">
        <v>12</v>
      </c>
      <c r="E805" s="16" t="s">
        <v>980</v>
      </c>
      <c r="F805" s="16" t="s">
        <v>1044</v>
      </c>
      <c r="G805" s="16" t="s">
        <v>184</v>
      </c>
      <c r="H805" s="16" t="s">
        <v>143</v>
      </c>
      <c r="I805" s="22" t="s">
        <v>856</v>
      </c>
      <c r="J805" s="16">
        <f>IFERROR(INDEX(Aux_HH!$J$4:$J$31,MATCH($H805&amp;"|"&amp;$I805,Aux_HH!$A$4:$A$31,0)),"")</f>
        <v>2.5</v>
      </c>
      <c r="K805" s="16" t="s">
        <v>76</v>
      </c>
      <c r="L805" s="16" t="str">
        <f>IF(COUNTIFS(Pessoas!$C$5:$C$44,$K805,Pessoas!$G$5:$G$44,"Ativo")=0,"Equipe "&amp;$K805,INDEX(Pessoas!$A$5:$A$44,_xludf.aggregate(15,6,(ROW(Pessoas!$A$5:$A$44)-4)/((Pessoas!$C$5:$C$44=$K805)*(Pessoas!$G$5:$G$44="Ativo")),MOD(ROW()-6,MAX(1,COUNTIFS(Pessoas!$C$5:$C$44,$K805,Pessoas!$G$5:$G$44,"Ativo")))+1)))</f>
        <v>Equipe Oficina Mecânica Central-Taisa</v>
      </c>
    </row>
    <row r="806" spans="1:12" ht="15" customHeight="1" x14ac:dyDescent="0.4">
      <c r="A806" s="25">
        <v>46380</v>
      </c>
      <c r="B806" s="16">
        <v>17</v>
      </c>
      <c r="C806" s="16">
        <v>2</v>
      </c>
      <c r="D806" s="16">
        <v>12</v>
      </c>
      <c r="E806" s="16" t="s">
        <v>980</v>
      </c>
      <c r="F806" s="16" t="s">
        <v>1045</v>
      </c>
      <c r="G806" s="16" t="s">
        <v>526</v>
      </c>
      <c r="H806" s="16" t="s">
        <v>143</v>
      </c>
      <c r="I806" s="22" t="s">
        <v>856</v>
      </c>
      <c r="J806" s="16">
        <f>IFERROR(INDEX(Aux_HH!$J$4:$J$31,MATCH($H806&amp;"|"&amp;$I806,Aux_HH!$A$4:$A$31,0)),"")</f>
        <v>2.5</v>
      </c>
      <c r="K806" s="16" t="s">
        <v>76</v>
      </c>
      <c r="L806" s="16" t="str">
        <f>IF(COUNTIFS(Pessoas!$C$5:$C$44,$K806,Pessoas!$G$5:$G$44,"Ativo")=0,"Equipe "&amp;$K806,INDEX(Pessoas!$A$5:$A$44,_xludf.aggregate(15,6,(ROW(Pessoas!$A$5:$A$44)-4)/((Pessoas!$C$5:$C$44=$K806)*(Pessoas!$G$5:$G$44="Ativo")),MOD(ROW()-6,MAX(1,COUNTIFS(Pessoas!$C$5:$C$44,$K806,Pessoas!$G$5:$G$44,"Ativo")))+1)))</f>
        <v>Equipe Oficina Mecânica Central-Taisa</v>
      </c>
    </row>
    <row r="807" spans="1:12" ht="15" customHeight="1" x14ac:dyDescent="0.4">
      <c r="A807" s="25">
        <v>46380</v>
      </c>
      <c r="B807" s="16">
        <v>17</v>
      </c>
      <c r="C807" s="16">
        <v>2</v>
      </c>
      <c r="D807" s="16">
        <v>12</v>
      </c>
      <c r="E807" s="16" t="s">
        <v>980</v>
      </c>
      <c r="F807" s="16" t="s">
        <v>1046</v>
      </c>
      <c r="G807" s="16" t="s">
        <v>526</v>
      </c>
      <c r="H807" s="16" t="s">
        <v>143</v>
      </c>
      <c r="I807" s="22" t="s">
        <v>856</v>
      </c>
      <c r="J807" s="16">
        <f>IFERROR(INDEX(Aux_HH!$J$4:$J$31,MATCH($H807&amp;"|"&amp;$I807,Aux_HH!$A$4:$A$31,0)),"")</f>
        <v>2.5</v>
      </c>
      <c r="K807" s="16" t="s">
        <v>76</v>
      </c>
      <c r="L807" s="16" t="str">
        <f>IF(COUNTIFS(Pessoas!$C$5:$C$44,$K807,Pessoas!$G$5:$G$44,"Ativo")=0,"Equipe "&amp;$K807,INDEX(Pessoas!$A$5:$A$44,_xludf.aggregate(15,6,(ROW(Pessoas!$A$5:$A$44)-4)/((Pessoas!$C$5:$C$44=$K807)*(Pessoas!$G$5:$G$44="Ativo")),MOD(ROW()-6,MAX(1,COUNTIFS(Pessoas!$C$5:$C$44,$K807,Pessoas!$G$5:$G$44,"Ativo")))+1)))</f>
        <v>Equipe Oficina Mecânica Central-Taisa</v>
      </c>
    </row>
    <row r="808" spans="1:12" ht="15" customHeight="1" x14ac:dyDescent="0.4">
      <c r="A808" s="25">
        <v>46380</v>
      </c>
      <c r="B808" s="16">
        <v>17</v>
      </c>
      <c r="C808" s="16">
        <v>2</v>
      </c>
      <c r="D808" s="16">
        <v>12</v>
      </c>
      <c r="E808" s="16" t="s">
        <v>980</v>
      </c>
      <c r="F808" s="16" t="s">
        <v>1047</v>
      </c>
      <c r="G808" s="16" t="s">
        <v>526</v>
      </c>
      <c r="H808" s="16" t="s">
        <v>143</v>
      </c>
      <c r="I808" s="22" t="s">
        <v>856</v>
      </c>
      <c r="J808" s="16">
        <f>IFERROR(INDEX(Aux_HH!$J$4:$J$31,MATCH($H808&amp;"|"&amp;$I808,Aux_HH!$A$4:$A$31,0)),"")</f>
        <v>2.5</v>
      </c>
      <c r="K808" s="16" t="s">
        <v>76</v>
      </c>
      <c r="L808" s="16" t="str">
        <f>IF(COUNTIFS(Pessoas!$C$5:$C$44,$K808,Pessoas!$G$5:$G$44,"Ativo")=0,"Equipe "&amp;$K808,INDEX(Pessoas!$A$5:$A$44,_xludf.aggregate(15,6,(ROW(Pessoas!$A$5:$A$44)-4)/((Pessoas!$C$5:$C$44=$K808)*(Pessoas!$G$5:$G$44="Ativo")),MOD(ROW()-6,MAX(1,COUNTIFS(Pessoas!$C$5:$C$44,$K808,Pessoas!$G$5:$G$44,"Ativo")))+1)))</f>
        <v>Equipe Oficina Mecânica Central-Taisa</v>
      </c>
    </row>
    <row r="809" spans="1:12" ht="15" customHeight="1" x14ac:dyDescent="0.4">
      <c r="A809" s="25">
        <v>46380</v>
      </c>
      <c r="B809" s="16">
        <v>17</v>
      </c>
      <c r="C809" s="16">
        <v>2</v>
      </c>
      <c r="D809" s="16">
        <v>12</v>
      </c>
      <c r="E809" s="16" t="s">
        <v>980</v>
      </c>
      <c r="F809" s="16" t="s">
        <v>1048</v>
      </c>
      <c r="G809" s="16" t="s">
        <v>526</v>
      </c>
      <c r="H809" s="16" t="s">
        <v>143</v>
      </c>
      <c r="I809" s="22" t="s">
        <v>856</v>
      </c>
      <c r="J809" s="16">
        <f>IFERROR(INDEX(Aux_HH!$J$4:$J$31,MATCH($H809&amp;"|"&amp;$I809,Aux_HH!$A$4:$A$31,0)),"")</f>
        <v>2.5</v>
      </c>
      <c r="K809" s="16" t="s">
        <v>76</v>
      </c>
      <c r="L809" s="16" t="str">
        <f>IF(COUNTIFS(Pessoas!$C$5:$C$44,$K809,Pessoas!$G$5:$G$44,"Ativo")=0,"Equipe "&amp;$K809,INDEX(Pessoas!$A$5:$A$44,_xludf.aggregate(15,6,(ROW(Pessoas!$A$5:$A$44)-4)/((Pessoas!$C$5:$C$44=$K809)*(Pessoas!$G$5:$G$44="Ativo")),MOD(ROW()-6,MAX(1,COUNTIFS(Pessoas!$C$5:$C$44,$K809,Pessoas!$G$5:$G$44,"Ativo")))+1)))</f>
        <v>Equipe Oficina Mecânica Central-Taisa</v>
      </c>
    </row>
    <row r="810" spans="1:12" ht="15" customHeight="1" x14ac:dyDescent="0.4">
      <c r="A810" s="25">
        <v>46380</v>
      </c>
      <c r="B810" s="16">
        <v>17</v>
      </c>
      <c r="C810" s="16">
        <v>2</v>
      </c>
      <c r="D810" s="16">
        <v>12</v>
      </c>
      <c r="E810" s="16" t="s">
        <v>980</v>
      </c>
      <c r="F810" s="16" t="s">
        <v>1049</v>
      </c>
      <c r="G810" s="16" t="s">
        <v>526</v>
      </c>
      <c r="H810" s="16" t="s">
        <v>143</v>
      </c>
      <c r="I810" s="22" t="s">
        <v>856</v>
      </c>
      <c r="J810" s="16">
        <f>IFERROR(INDEX(Aux_HH!$J$4:$J$31,MATCH($H810&amp;"|"&amp;$I810,Aux_HH!$A$4:$A$31,0)),"")</f>
        <v>2.5</v>
      </c>
      <c r="K810" s="16" t="s">
        <v>76</v>
      </c>
      <c r="L810" s="16" t="str">
        <f>IF(COUNTIFS(Pessoas!$C$5:$C$44,$K810,Pessoas!$G$5:$G$44,"Ativo")=0,"Equipe "&amp;$K810,INDEX(Pessoas!$A$5:$A$44,_xludf.aggregate(15,6,(ROW(Pessoas!$A$5:$A$44)-4)/((Pessoas!$C$5:$C$44=$K810)*(Pessoas!$G$5:$G$44="Ativo")),MOD(ROW()-6,MAX(1,COUNTIFS(Pessoas!$C$5:$C$44,$K810,Pessoas!$G$5:$G$44,"Ativo")))+1)))</f>
        <v>Equipe Oficina Mecânica Central-Taisa</v>
      </c>
    </row>
    <row r="811" spans="1:12" ht="15" customHeight="1" x14ac:dyDescent="0.4">
      <c r="A811" s="25">
        <v>46380</v>
      </c>
      <c r="B811" s="16">
        <v>17</v>
      </c>
      <c r="C811" s="16">
        <v>2</v>
      </c>
      <c r="D811" s="16">
        <v>12</v>
      </c>
      <c r="E811" s="16" t="s">
        <v>980</v>
      </c>
      <c r="F811" s="16" t="s">
        <v>1050</v>
      </c>
      <c r="G811" s="16" t="s">
        <v>526</v>
      </c>
      <c r="H811" s="16" t="s">
        <v>143</v>
      </c>
      <c r="I811" s="22" t="s">
        <v>856</v>
      </c>
      <c r="J811" s="16">
        <f>IFERROR(INDEX(Aux_HH!$J$4:$J$31,MATCH($H811&amp;"|"&amp;$I811,Aux_HH!$A$4:$A$31,0)),"")</f>
        <v>2.5</v>
      </c>
      <c r="K811" s="16" t="s">
        <v>76</v>
      </c>
      <c r="L811" s="16" t="str">
        <f>IF(COUNTIFS(Pessoas!$C$5:$C$44,$K811,Pessoas!$G$5:$G$44,"Ativo")=0,"Equipe "&amp;$K811,INDEX(Pessoas!$A$5:$A$44,_xludf.aggregate(15,6,(ROW(Pessoas!$A$5:$A$44)-4)/((Pessoas!$C$5:$C$44=$K811)*(Pessoas!$G$5:$G$44="Ativo")),MOD(ROW()-6,MAX(1,COUNTIFS(Pessoas!$C$5:$C$44,$K811,Pessoas!$G$5:$G$44,"Ativo")))+1)))</f>
        <v>Equipe Oficina Mecânica Central-Taisa</v>
      </c>
    </row>
    <row r="812" spans="1:12" ht="15" customHeight="1" x14ac:dyDescent="0.4">
      <c r="A812" s="25">
        <v>46380</v>
      </c>
      <c r="B812" s="16">
        <v>17</v>
      </c>
      <c r="C812" s="16">
        <v>2</v>
      </c>
      <c r="D812" s="16">
        <v>12</v>
      </c>
      <c r="E812" s="16" t="s">
        <v>980</v>
      </c>
      <c r="F812" s="16" t="s">
        <v>1051</v>
      </c>
      <c r="G812" s="16" t="s">
        <v>184</v>
      </c>
      <c r="H812" s="16" t="s">
        <v>143</v>
      </c>
      <c r="I812" s="22" t="s">
        <v>856</v>
      </c>
      <c r="J812" s="16">
        <f>IFERROR(INDEX(Aux_HH!$J$4:$J$31,MATCH($H812&amp;"|"&amp;$I812,Aux_HH!$A$4:$A$31,0)),"")</f>
        <v>2.5</v>
      </c>
      <c r="K812" s="16" t="s">
        <v>76</v>
      </c>
      <c r="L812" s="16" t="str">
        <f>IF(COUNTIFS(Pessoas!$C$5:$C$44,$K812,Pessoas!$G$5:$G$44,"Ativo")=0,"Equipe "&amp;$K812,INDEX(Pessoas!$A$5:$A$44,_xludf.aggregate(15,6,(ROW(Pessoas!$A$5:$A$44)-4)/((Pessoas!$C$5:$C$44=$K812)*(Pessoas!$G$5:$G$44="Ativo")),MOD(ROW()-6,MAX(1,COUNTIFS(Pessoas!$C$5:$C$44,$K812,Pessoas!$G$5:$G$44,"Ativo")))+1)))</f>
        <v>Equipe Oficina Mecânica Central-Taisa</v>
      </c>
    </row>
    <row r="813" spans="1:12" ht="15" customHeight="1" x14ac:dyDescent="0.4">
      <c r="A813" s="25">
        <v>46381</v>
      </c>
      <c r="B813" s="16">
        <v>17</v>
      </c>
      <c r="C813" s="16">
        <v>2</v>
      </c>
      <c r="D813" s="16">
        <v>12</v>
      </c>
      <c r="E813" s="16" t="s">
        <v>980</v>
      </c>
      <c r="F813" s="16" t="s">
        <v>1052</v>
      </c>
      <c r="G813" s="16" t="s">
        <v>184</v>
      </c>
      <c r="H813" s="16" t="s">
        <v>143</v>
      </c>
      <c r="I813" s="22" t="s">
        <v>856</v>
      </c>
      <c r="J813" s="16">
        <f>IFERROR(INDEX(Aux_HH!$J$4:$J$31,MATCH($H813&amp;"|"&amp;$I813,Aux_HH!$A$4:$A$31,0)),"")</f>
        <v>2.5</v>
      </c>
      <c r="K813" s="16" t="s">
        <v>76</v>
      </c>
      <c r="L813" s="16" t="str">
        <f>IF(COUNTIFS(Pessoas!$C$5:$C$44,$K813,Pessoas!$G$5:$G$44,"Ativo")=0,"Equipe "&amp;$K813,INDEX(Pessoas!$A$5:$A$44,_xludf.aggregate(15,6,(ROW(Pessoas!$A$5:$A$44)-4)/((Pessoas!$C$5:$C$44=$K813)*(Pessoas!$G$5:$G$44="Ativo")),MOD(ROW()-6,MAX(1,COUNTIFS(Pessoas!$C$5:$C$44,$K813,Pessoas!$G$5:$G$44,"Ativo")))+1)))</f>
        <v>Equipe Oficina Mecânica Central-Taisa</v>
      </c>
    </row>
    <row r="814" spans="1:12" ht="15" customHeight="1" x14ac:dyDescent="0.4">
      <c r="A814" s="25">
        <v>46381</v>
      </c>
      <c r="B814" s="16">
        <v>17</v>
      </c>
      <c r="C814" s="16">
        <v>2</v>
      </c>
      <c r="D814" s="16">
        <v>12</v>
      </c>
      <c r="E814" s="16" t="s">
        <v>980</v>
      </c>
      <c r="F814" s="16" t="s">
        <v>1053</v>
      </c>
      <c r="G814" s="16" t="s">
        <v>184</v>
      </c>
      <c r="H814" s="16" t="s">
        <v>143</v>
      </c>
      <c r="I814" s="22" t="s">
        <v>856</v>
      </c>
      <c r="J814" s="16">
        <f>IFERROR(INDEX(Aux_HH!$J$4:$J$31,MATCH($H814&amp;"|"&amp;$I814,Aux_HH!$A$4:$A$31,0)),"")</f>
        <v>2.5</v>
      </c>
      <c r="K814" s="16" t="s">
        <v>76</v>
      </c>
      <c r="L814" s="16" t="str">
        <f>IF(COUNTIFS(Pessoas!$C$5:$C$44,$K814,Pessoas!$G$5:$G$44,"Ativo")=0,"Equipe "&amp;$K814,INDEX(Pessoas!$A$5:$A$44,_xludf.aggregate(15,6,(ROW(Pessoas!$A$5:$A$44)-4)/((Pessoas!$C$5:$C$44=$K814)*(Pessoas!$G$5:$G$44="Ativo")),MOD(ROW()-6,MAX(1,COUNTIFS(Pessoas!$C$5:$C$44,$K814,Pessoas!$G$5:$G$44,"Ativo")))+1)))</f>
        <v>Equipe Oficina Mecânica Central-Taisa</v>
      </c>
    </row>
    <row r="815" spans="1:12" ht="15" customHeight="1" x14ac:dyDescent="0.4">
      <c r="A815" s="25">
        <v>46381</v>
      </c>
      <c r="B815" s="16">
        <v>17</v>
      </c>
      <c r="C815" s="16">
        <v>2</v>
      </c>
      <c r="D815" s="16">
        <v>12</v>
      </c>
      <c r="E815" s="16" t="s">
        <v>980</v>
      </c>
      <c r="F815" s="16" t="s">
        <v>1054</v>
      </c>
      <c r="G815" s="16" t="s">
        <v>184</v>
      </c>
      <c r="H815" s="16" t="s">
        <v>143</v>
      </c>
      <c r="I815" s="22" t="s">
        <v>856</v>
      </c>
      <c r="J815" s="16">
        <f>IFERROR(INDEX(Aux_HH!$J$4:$J$31,MATCH($H815&amp;"|"&amp;$I815,Aux_HH!$A$4:$A$31,0)),"")</f>
        <v>2.5</v>
      </c>
      <c r="K815" s="16" t="s">
        <v>76</v>
      </c>
      <c r="L815" s="16" t="str">
        <f>IF(COUNTIFS(Pessoas!$C$5:$C$44,$K815,Pessoas!$G$5:$G$44,"Ativo")=0,"Equipe "&amp;$K815,INDEX(Pessoas!$A$5:$A$44,_xludf.aggregate(15,6,(ROW(Pessoas!$A$5:$A$44)-4)/((Pessoas!$C$5:$C$44=$K815)*(Pessoas!$G$5:$G$44="Ativo")),MOD(ROW()-6,MAX(1,COUNTIFS(Pessoas!$C$5:$C$44,$K815,Pessoas!$G$5:$G$44,"Ativo")))+1)))</f>
        <v>Equipe Oficina Mecânica Central-Taisa</v>
      </c>
    </row>
    <row r="816" spans="1:12" ht="15" customHeight="1" x14ac:dyDescent="0.4">
      <c r="A816" s="25">
        <v>46381</v>
      </c>
      <c r="B816" s="16">
        <v>17</v>
      </c>
      <c r="C816" s="16">
        <v>2</v>
      </c>
      <c r="D816" s="16">
        <v>12</v>
      </c>
      <c r="E816" s="16" t="s">
        <v>980</v>
      </c>
      <c r="F816" s="16" t="s">
        <v>1055</v>
      </c>
      <c r="G816" s="16" t="s">
        <v>184</v>
      </c>
      <c r="H816" s="16" t="s">
        <v>143</v>
      </c>
      <c r="I816" s="22" t="s">
        <v>856</v>
      </c>
      <c r="J816" s="16">
        <f>IFERROR(INDEX(Aux_HH!$J$4:$J$31,MATCH($H816&amp;"|"&amp;$I816,Aux_HH!$A$4:$A$31,0)),"")</f>
        <v>2.5</v>
      </c>
      <c r="K816" s="16" t="s">
        <v>76</v>
      </c>
      <c r="L816" s="16" t="str">
        <f>IF(COUNTIFS(Pessoas!$C$5:$C$44,$K816,Pessoas!$G$5:$G$44,"Ativo")=0,"Equipe "&amp;$K816,INDEX(Pessoas!$A$5:$A$44,_xludf.aggregate(15,6,(ROW(Pessoas!$A$5:$A$44)-4)/((Pessoas!$C$5:$C$44=$K816)*(Pessoas!$G$5:$G$44="Ativo")),MOD(ROW()-6,MAX(1,COUNTIFS(Pessoas!$C$5:$C$44,$K816,Pessoas!$G$5:$G$44,"Ativo")))+1)))</f>
        <v>Equipe Oficina Mecânica Central-Taisa</v>
      </c>
    </row>
    <row r="817" spans="1:12" ht="15" customHeight="1" x14ac:dyDescent="0.4">
      <c r="A817" s="25">
        <v>46381</v>
      </c>
      <c r="B817" s="16">
        <v>17</v>
      </c>
      <c r="C817" s="16">
        <v>2</v>
      </c>
      <c r="D817" s="16">
        <v>12</v>
      </c>
      <c r="E817" s="16" t="s">
        <v>980</v>
      </c>
      <c r="F817" s="16" t="s">
        <v>1056</v>
      </c>
      <c r="G817" s="16" t="s">
        <v>184</v>
      </c>
      <c r="H817" s="16" t="s">
        <v>143</v>
      </c>
      <c r="I817" s="22" t="s">
        <v>856</v>
      </c>
      <c r="J817" s="16">
        <f>IFERROR(INDEX(Aux_HH!$J$4:$J$31,MATCH($H817&amp;"|"&amp;$I817,Aux_HH!$A$4:$A$31,0)),"")</f>
        <v>2.5</v>
      </c>
      <c r="K817" s="16" t="s">
        <v>76</v>
      </c>
      <c r="L817" s="16" t="str">
        <f>IF(COUNTIFS(Pessoas!$C$5:$C$44,$K817,Pessoas!$G$5:$G$44,"Ativo")=0,"Equipe "&amp;$K817,INDEX(Pessoas!$A$5:$A$44,_xludf.aggregate(15,6,(ROW(Pessoas!$A$5:$A$44)-4)/((Pessoas!$C$5:$C$44=$K817)*(Pessoas!$G$5:$G$44="Ativo")),MOD(ROW()-6,MAX(1,COUNTIFS(Pessoas!$C$5:$C$44,$K817,Pessoas!$G$5:$G$44,"Ativo")))+1)))</f>
        <v>Equipe Oficina Mecânica Central-Taisa</v>
      </c>
    </row>
    <row r="818" spans="1:12" ht="15" customHeight="1" x14ac:dyDescent="0.4">
      <c r="A818" s="25">
        <v>46381</v>
      </c>
      <c r="B818" s="16">
        <v>17</v>
      </c>
      <c r="C818" s="16">
        <v>2</v>
      </c>
      <c r="D818" s="16">
        <v>12</v>
      </c>
      <c r="E818" s="16" t="s">
        <v>980</v>
      </c>
      <c r="F818" s="16" t="s">
        <v>1057</v>
      </c>
      <c r="G818" s="16" t="s">
        <v>184</v>
      </c>
      <c r="H818" s="16" t="s">
        <v>143</v>
      </c>
      <c r="I818" s="22" t="s">
        <v>856</v>
      </c>
      <c r="J818" s="16">
        <f>IFERROR(INDEX(Aux_HH!$J$4:$J$31,MATCH($H818&amp;"|"&amp;$I818,Aux_HH!$A$4:$A$31,0)),"")</f>
        <v>2.5</v>
      </c>
      <c r="K818" s="16" t="s">
        <v>76</v>
      </c>
      <c r="L818" s="16" t="str">
        <f>IF(COUNTIFS(Pessoas!$C$5:$C$44,$K818,Pessoas!$G$5:$G$44,"Ativo")=0,"Equipe "&amp;$K818,INDEX(Pessoas!$A$5:$A$44,_xludf.aggregate(15,6,(ROW(Pessoas!$A$5:$A$44)-4)/((Pessoas!$C$5:$C$44=$K818)*(Pessoas!$G$5:$G$44="Ativo")),MOD(ROW()-6,MAX(1,COUNTIFS(Pessoas!$C$5:$C$44,$K818,Pessoas!$G$5:$G$44,"Ativo")))+1)))</f>
        <v>Equipe Oficina Mecânica Central-Taisa</v>
      </c>
    </row>
    <row r="819" spans="1:12" ht="15" customHeight="1" x14ac:dyDescent="0.4">
      <c r="A819" s="25">
        <v>46381</v>
      </c>
      <c r="B819" s="16">
        <v>17</v>
      </c>
      <c r="C819" s="16">
        <v>2</v>
      </c>
      <c r="D819" s="16">
        <v>12</v>
      </c>
      <c r="E819" s="16" t="s">
        <v>980</v>
      </c>
      <c r="F819" s="16" t="s">
        <v>1058</v>
      </c>
      <c r="G819" s="16" t="s">
        <v>184</v>
      </c>
      <c r="H819" s="16" t="s">
        <v>143</v>
      </c>
      <c r="I819" s="22" t="s">
        <v>856</v>
      </c>
      <c r="J819" s="16">
        <f>IFERROR(INDEX(Aux_HH!$J$4:$J$31,MATCH($H819&amp;"|"&amp;$I819,Aux_HH!$A$4:$A$31,0)),"")</f>
        <v>2.5</v>
      </c>
      <c r="K819" s="16" t="s">
        <v>76</v>
      </c>
      <c r="L819" s="16" t="str">
        <f>IF(COUNTIFS(Pessoas!$C$5:$C$44,$K819,Pessoas!$G$5:$G$44,"Ativo")=0,"Equipe "&amp;$K819,INDEX(Pessoas!$A$5:$A$44,_xludf.aggregate(15,6,(ROW(Pessoas!$A$5:$A$44)-4)/((Pessoas!$C$5:$C$44=$K819)*(Pessoas!$G$5:$G$44="Ativo")),MOD(ROW()-6,MAX(1,COUNTIFS(Pessoas!$C$5:$C$44,$K819,Pessoas!$G$5:$G$44,"Ativo")))+1)))</f>
        <v>Equipe Oficina Mecânica Central-Taisa</v>
      </c>
    </row>
    <row r="820" spans="1:12" ht="15" customHeight="1" x14ac:dyDescent="0.4">
      <c r="A820" s="25">
        <v>46381</v>
      </c>
      <c r="B820" s="16">
        <v>17</v>
      </c>
      <c r="C820" s="16">
        <v>2</v>
      </c>
      <c r="D820" s="16">
        <v>12</v>
      </c>
      <c r="E820" s="16" t="s">
        <v>980</v>
      </c>
      <c r="F820" s="16" t="s">
        <v>1059</v>
      </c>
      <c r="G820" s="16" t="s">
        <v>688</v>
      </c>
      <c r="H820" s="16" t="s">
        <v>143</v>
      </c>
      <c r="I820" s="22" t="s">
        <v>856</v>
      </c>
      <c r="J820" s="16">
        <f>IFERROR(INDEX(Aux_HH!$J$4:$J$31,MATCH($H820&amp;"|"&amp;$I820,Aux_HH!$A$4:$A$31,0)),"")</f>
        <v>2.5</v>
      </c>
      <c r="K820" s="16" t="s">
        <v>76</v>
      </c>
      <c r="L820" s="16" t="str">
        <f>IF(COUNTIFS(Pessoas!$C$5:$C$44,$K820,Pessoas!$G$5:$G$44,"Ativo")=0,"Equipe "&amp;$K820,INDEX(Pessoas!$A$5:$A$44,_xludf.aggregate(15,6,(ROW(Pessoas!$A$5:$A$44)-4)/((Pessoas!$C$5:$C$44=$K820)*(Pessoas!$G$5:$G$44="Ativo")),MOD(ROW()-6,MAX(1,COUNTIFS(Pessoas!$C$5:$C$44,$K820,Pessoas!$G$5:$G$44,"Ativo")))+1)))</f>
        <v>Equipe Oficina Mecânica Central-Taisa</v>
      </c>
    </row>
    <row r="821" spans="1:12" ht="15" customHeight="1" x14ac:dyDescent="0.4">
      <c r="A821" s="25">
        <v>46381</v>
      </c>
      <c r="B821" s="16">
        <v>17</v>
      </c>
      <c r="C821" s="16">
        <v>2</v>
      </c>
      <c r="D821" s="16">
        <v>12</v>
      </c>
      <c r="E821" s="16" t="s">
        <v>980</v>
      </c>
      <c r="F821" s="16" t="s">
        <v>1060</v>
      </c>
      <c r="G821" s="16" t="s">
        <v>526</v>
      </c>
      <c r="H821" s="16" t="s">
        <v>143</v>
      </c>
      <c r="I821" s="22" t="s">
        <v>856</v>
      </c>
      <c r="J821" s="16">
        <f>IFERROR(INDEX(Aux_HH!$J$4:$J$31,MATCH($H821&amp;"|"&amp;$I821,Aux_HH!$A$4:$A$31,0)),"")</f>
        <v>2.5</v>
      </c>
      <c r="K821" s="16" t="s">
        <v>76</v>
      </c>
      <c r="L821" s="16" t="str">
        <f>IF(COUNTIFS(Pessoas!$C$5:$C$44,$K821,Pessoas!$G$5:$G$44,"Ativo")=0,"Equipe "&amp;$K821,INDEX(Pessoas!$A$5:$A$44,_xludf.aggregate(15,6,(ROW(Pessoas!$A$5:$A$44)-4)/((Pessoas!$C$5:$C$44=$K821)*(Pessoas!$G$5:$G$44="Ativo")),MOD(ROW()-6,MAX(1,COUNTIFS(Pessoas!$C$5:$C$44,$K821,Pessoas!$G$5:$G$44,"Ativo")))+1)))</f>
        <v>Equipe Oficina Mecânica Central-Taisa</v>
      </c>
    </row>
    <row r="822" spans="1:12" ht="15" customHeight="1" x14ac:dyDescent="0.4">
      <c r="A822" s="25">
        <v>46381</v>
      </c>
      <c r="B822" s="16">
        <v>17</v>
      </c>
      <c r="C822" s="16">
        <v>2</v>
      </c>
      <c r="D822" s="16">
        <v>12</v>
      </c>
      <c r="E822" s="16" t="s">
        <v>980</v>
      </c>
      <c r="F822" s="16" t="s">
        <v>1061</v>
      </c>
      <c r="G822" s="16" t="s">
        <v>526</v>
      </c>
      <c r="H822" s="16" t="s">
        <v>143</v>
      </c>
      <c r="I822" s="22" t="s">
        <v>856</v>
      </c>
      <c r="J822" s="16">
        <f>IFERROR(INDEX(Aux_HH!$J$4:$J$31,MATCH($H822&amp;"|"&amp;$I822,Aux_HH!$A$4:$A$31,0)),"")</f>
        <v>2.5</v>
      </c>
      <c r="K822" s="16" t="s">
        <v>76</v>
      </c>
      <c r="L822" s="16" t="str">
        <f>IF(COUNTIFS(Pessoas!$C$5:$C$44,$K822,Pessoas!$G$5:$G$44,"Ativo")=0,"Equipe "&amp;$K822,INDEX(Pessoas!$A$5:$A$44,_xludf.aggregate(15,6,(ROW(Pessoas!$A$5:$A$44)-4)/((Pessoas!$C$5:$C$44=$K822)*(Pessoas!$G$5:$G$44="Ativo")),MOD(ROW()-6,MAX(1,COUNTIFS(Pessoas!$C$5:$C$44,$K822,Pessoas!$G$5:$G$44,"Ativo")))+1)))</f>
        <v>Equipe Oficina Mecânica Central-Taisa</v>
      </c>
    </row>
    <row r="823" spans="1:12" ht="15" customHeight="1" x14ac:dyDescent="0.4">
      <c r="A823" s="25">
        <v>46381</v>
      </c>
      <c r="B823" s="16">
        <v>17</v>
      </c>
      <c r="C823" s="16">
        <v>2</v>
      </c>
      <c r="D823" s="16">
        <v>12</v>
      </c>
      <c r="E823" s="16" t="s">
        <v>980</v>
      </c>
      <c r="F823" s="16" t="s">
        <v>1062</v>
      </c>
      <c r="G823" s="16" t="s">
        <v>688</v>
      </c>
      <c r="H823" s="16" t="s">
        <v>143</v>
      </c>
      <c r="I823" s="22" t="s">
        <v>856</v>
      </c>
      <c r="J823" s="16">
        <f>IFERROR(INDEX(Aux_HH!$J$4:$J$31,MATCH($H823&amp;"|"&amp;$I823,Aux_HH!$A$4:$A$31,0)),"")</f>
        <v>2.5</v>
      </c>
      <c r="K823" s="16" t="s">
        <v>76</v>
      </c>
      <c r="L823" s="16" t="str">
        <f>IF(COUNTIFS(Pessoas!$C$5:$C$44,$K823,Pessoas!$G$5:$G$44,"Ativo")=0,"Equipe "&amp;$K823,INDEX(Pessoas!$A$5:$A$44,_xludf.aggregate(15,6,(ROW(Pessoas!$A$5:$A$44)-4)/((Pessoas!$C$5:$C$44=$K823)*(Pessoas!$G$5:$G$44="Ativo")),MOD(ROW()-6,MAX(1,COUNTIFS(Pessoas!$C$5:$C$44,$K823,Pessoas!$G$5:$G$44,"Ativo")))+1)))</f>
        <v>Equipe Oficina Mecânica Central-Taisa</v>
      </c>
    </row>
    <row r="824" spans="1:12" ht="15" customHeight="1" x14ac:dyDescent="0.4">
      <c r="A824" s="25">
        <v>46381</v>
      </c>
      <c r="B824" s="16">
        <v>17</v>
      </c>
      <c r="C824" s="16">
        <v>2</v>
      </c>
      <c r="D824" s="16">
        <v>12</v>
      </c>
      <c r="E824" s="16" t="s">
        <v>980</v>
      </c>
      <c r="F824" s="16" t="s">
        <v>1063</v>
      </c>
      <c r="G824" s="16" t="s">
        <v>526</v>
      </c>
      <c r="H824" s="16" t="s">
        <v>143</v>
      </c>
      <c r="I824" s="22" t="s">
        <v>856</v>
      </c>
      <c r="J824" s="16">
        <f>IFERROR(INDEX(Aux_HH!$J$4:$J$31,MATCH($H824&amp;"|"&amp;$I824,Aux_HH!$A$4:$A$31,0)),"")</f>
        <v>2.5</v>
      </c>
      <c r="K824" s="16" t="s">
        <v>76</v>
      </c>
      <c r="L824" s="16" t="str">
        <f>IF(COUNTIFS(Pessoas!$C$5:$C$44,$K824,Pessoas!$G$5:$G$44,"Ativo")=0,"Equipe "&amp;$K824,INDEX(Pessoas!$A$5:$A$44,_xludf.aggregate(15,6,(ROW(Pessoas!$A$5:$A$44)-4)/((Pessoas!$C$5:$C$44=$K824)*(Pessoas!$G$5:$G$44="Ativo")),MOD(ROW()-6,MAX(1,COUNTIFS(Pessoas!$C$5:$C$44,$K824,Pessoas!$G$5:$G$44,"Ativo")))+1)))</f>
        <v>Equipe Oficina Mecânica Central-Taisa</v>
      </c>
    </row>
    <row r="825" spans="1:12" ht="15" customHeight="1" x14ac:dyDescent="0.4">
      <c r="A825" s="25">
        <v>46381</v>
      </c>
      <c r="B825" s="16">
        <v>17</v>
      </c>
      <c r="C825" s="16">
        <v>2</v>
      </c>
      <c r="D825" s="16">
        <v>12</v>
      </c>
      <c r="E825" s="16" t="s">
        <v>980</v>
      </c>
      <c r="F825" s="16" t="s">
        <v>1064</v>
      </c>
      <c r="G825" s="16" t="s">
        <v>526</v>
      </c>
      <c r="H825" s="16" t="s">
        <v>143</v>
      </c>
      <c r="I825" s="22" t="s">
        <v>856</v>
      </c>
      <c r="J825" s="16">
        <f>IFERROR(INDEX(Aux_HH!$J$4:$J$31,MATCH($H825&amp;"|"&amp;$I825,Aux_HH!$A$4:$A$31,0)),"")</f>
        <v>2.5</v>
      </c>
      <c r="K825" s="16" t="s">
        <v>76</v>
      </c>
      <c r="L825" s="16" t="str">
        <f>IF(COUNTIFS(Pessoas!$C$5:$C$44,$K825,Pessoas!$G$5:$G$44,"Ativo")=0,"Equipe "&amp;$K825,INDEX(Pessoas!$A$5:$A$44,_xludf.aggregate(15,6,(ROW(Pessoas!$A$5:$A$44)-4)/((Pessoas!$C$5:$C$44=$K825)*(Pessoas!$G$5:$G$44="Ativo")),MOD(ROW()-6,MAX(1,COUNTIFS(Pessoas!$C$5:$C$44,$K825,Pessoas!$G$5:$G$44,"Ativo")))+1)))</f>
        <v>Equipe Oficina Mecânica Central-Taisa</v>
      </c>
    </row>
    <row r="826" spans="1:12" ht="15" customHeight="1" x14ac:dyDescent="0.4">
      <c r="A826" s="25">
        <v>46381</v>
      </c>
      <c r="B826" s="16">
        <v>17</v>
      </c>
      <c r="C826" s="16">
        <v>2</v>
      </c>
      <c r="D826" s="16">
        <v>12</v>
      </c>
      <c r="E826" s="16" t="s">
        <v>980</v>
      </c>
      <c r="F826" s="16" t="s">
        <v>1065</v>
      </c>
      <c r="G826" s="16" t="s">
        <v>526</v>
      </c>
      <c r="H826" s="16" t="s">
        <v>143</v>
      </c>
      <c r="I826" s="22" t="s">
        <v>856</v>
      </c>
      <c r="J826" s="16">
        <f>IFERROR(INDEX(Aux_HH!$J$4:$J$31,MATCH($H826&amp;"|"&amp;$I826,Aux_HH!$A$4:$A$31,0)),"")</f>
        <v>2.5</v>
      </c>
      <c r="K826" s="16" t="s">
        <v>76</v>
      </c>
      <c r="L826" s="16" t="str">
        <f>IF(COUNTIFS(Pessoas!$C$5:$C$44,$K826,Pessoas!$G$5:$G$44,"Ativo")=0,"Equipe "&amp;$K826,INDEX(Pessoas!$A$5:$A$44,_xludf.aggregate(15,6,(ROW(Pessoas!$A$5:$A$44)-4)/((Pessoas!$C$5:$C$44=$K826)*(Pessoas!$G$5:$G$44="Ativo")),MOD(ROW()-6,MAX(1,COUNTIFS(Pessoas!$C$5:$C$44,$K826,Pessoas!$G$5:$G$44,"Ativo")))+1)))</f>
        <v>Equipe Oficina Mecânica Central-Taisa</v>
      </c>
    </row>
    <row r="827" spans="1:12" ht="15" customHeight="1" x14ac:dyDescent="0.4">
      <c r="A827" s="25">
        <v>46384</v>
      </c>
      <c r="B827" s="16">
        <v>17</v>
      </c>
      <c r="C827" s="16">
        <v>2</v>
      </c>
      <c r="D827" s="16">
        <v>12</v>
      </c>
      <c r="E827" s="16" t="s">
        <v>980</v>
      </c>
      <c r="F827" s="16" t="s">
        <v>1066</v>
      </c>
      <c r="G827" s="16" t="s">
        <v>184</v>
      </c>
      <c r="H827" s="16" t="s">
        <v>143</v>
      </c>
      <c r="I827" s="22" t="s">
        <v>856</v>
      </c>
      <c r="J827" s="16">
        <f>IFERROR(INDEX(Aux_HH!$J$4:$J$31,MATCH($H827&amp;"|"&amp;$I827,Aux_HH!$A$4:$A$31,0)),"")</f>
        <v>2.5</v>
      </c>
      <c r="K827" s="16" t="s">
        <v>76</v>
      </c>
      <c r="L827" s="16" t="str">
        <f>IF(COUNTIFS(Pessoas!$C$5:$C$44,$K827,Pessoas!$G$5:$G$44,"Ativo")=0,"Equipe "&amp;$K827,INDEX(Pessoas!$A$5:$A$44,_xludf.aggregate(15,6,(ROW(Pessoas!$A$5:$A$44)-4)/((Pessoas!$C$5:$C$44=$K827)*(Pessoas!$G$5:$G$44="Ativo")),MOD(ROW()-6,MAX(1,COUNTIFS(Pessoas!$C$5:$C$44,$K827,Pessoas!$G$5:$G$44,"Ativo")))+1)))</f>
        <v>Equipe Oficina Mecânica Central-Taisa</v>
      </c>
    </row>
    <row r="828" spans="1:12" ht="15" customHeight="1" x14ac:dyDescent="0.4">
      <c r="A828" s="25">
        <v>46384</v>
      </c>
      <c r="B828" s="16">
        <v>17</v>
      </c>
      <c r="C828" s="16">
        <v>2</v>
      </c>
      <c r="D828" s="16">
        <v>12</v>
      </c>
      <c r="E828" s="16" t="s">
        <v>980</v>
      </c>
      <c r="F828" s="16" t="s">
        <v>1067</v>
      </c>
      <c r="G828" s="16" t="s">
        <v>184</v>
      </c>
      <c r="H828" s="16" t="s">
        <v>143</v>
      </c>
      <c r="I828" s="22" t="s">
        <v>856</v>
      </c>
      <c r="J828" s="16">
        <f>IFERROR(INDEX(Aux_HH!$J$4:$J$31,MATCH($H828&amp;"|"&amp;$I828,Aux_HH!$A$4:$A$31,0)),"")</f>
        <v>2.5</v>
      </c>
      <c r="K828" s="16" t="s">
        <v>76</v>
      </c>
      <c r="L828" s="16" t="str">
        <f>IF(COUNTIFS(Pessoas!$C$5:$C$44,$K828,Pessoas!$G$5:$G$44,"Ativo")=0,"Equipe "&amp;$K828,INDEX(Pessoas!$A$5:$A$44,_xludf.aggregate(15,6,(ROW(Pessoas!$A$5:$A$44)-4)/((Pessoas!$C$5:$C$44=$K828)*(Pessoas!$G$5:$G$44="Ativo")),MOD(ROW()-6,MAX(1,COUNTIFS(Pessoas!$C$5:$C$44,$K828,Pessoas!$G$5:$G$44,"Ativo")))+1)))</f>
        <v>Equipe Oficina Mecânica Central-Taisa</v>
      </c>
    </row>
    <row r="829" spans="1:12" ht="15" customHeight="1" x14ac:dyDescent="0.4">
      <c r="A829" s="25">
        <v>46384</v>
      </c>
      <c r="B829" s="16">
        <v>17</v>
      </c>
      <c r="C829" s="16">
        <v>2</v>
      </c>
      <c r="D829" s="16">
        <v>12</v>
      </c>
      <c r="E829" s="16" t="s">
        <v>980</v>
      </c>
      <c r="F829" s="16" t="s">
        <v>1068</v>
      </c>
      <c r="G829" s="16" t="s">
        <v>184</v>
      </c>
      <c r="H829" s="16" t="s">
        <v>143</v>
      </c>
      <c r="I829" s="22" t="s">
        <v>856</v>
      </c>
      <c r="J829" s="16">
        <f>IFERROR(INDEX(Aux_HH!$J$4:$J$31,MATCH($H829&amp;"|"&amp;$I829,Aux_HH!$A$4:$A$31,0)),"")</f>
        <v>2.5</v>
      </c>
      <c r="K829" s="16" t="s">
        <v>76</v>
      </c>
      <c r="L829" s="16" t="str">
        <f>IF(COUNTIFS(Pessoas!$C$5:$C$44,$K829,Pessoas!$G$5:$G$44,"Ativo")=0,"Equipe "&amp;$K829,INDEX(Pessoas!$A$5:$A$44,_xludf.aggregate(15,6,(ROW(Pessoas!$A$5:$A$44)-4)/((Pessoas!$C$5:$C$44=$K829)*(Pessoas!$G$5:$G$44="Ativo")),MOD(ROW()-6,MAX(1,COUNTIFS(Pessoas!$C$5:$C$44,$K829,Pessoas!$G$5:$G$44,"Ativo")))+1)))</f>
        <v>Equipe Oficina Mecânica Central-Taisa</v>
      </c>
    </row>
    <row r="830" spans="1:12" ht="15" customHeight="1" x14ac:dyDescent="0.4">
      <c r="A830" s="25">
        <v>46384</v>
      </c>
      <c r="B830" s="16">
        <v>17</v>
      </c>
      <c r="C830" s="16">
        <v>2</v>
      </c>
      <c r="D830" s="16">
        <v>12</v>
      </c>
      <c r="E830" s="16" t="s">
        <v>980</v>
      </c>
      <c r="F830" s="16" t="s">
        <v>1069</v>
      </c>
      <c r="G830" s="16" t="s">
        <v>184</v>
      </c>
      <c r="H830" s="16" t="s">
        <v>143</v>
      </c>
      <c r="I830" s="22" t="s">
        <v>856</v>
      </c>
      <c r="J830" s="16">
        <f>IFERROR(INDEX(Aux_HH!$J$4:$J$31,MATCH($H830&amp;"|"&amp;$I830,Aux_HH!$A$4:$A$31,0)),"")</f>
        <v>2.5</v>
      </c>
      <c r="K830" s="16" t="s">
        <v>76</v>
      </c>
      <c r="L830" s="16" t="str">
        <f>IF(COUNTIFS(Pessoas!$C$5:$C$44,$K830,Pessoas!$G$5:$G$44,"Ativo")=0,"Equipe "&amp;$K830,INDEX(Pessoas!$A$5:$A$44,_xludf.aggregate(15,6,(ROW(Pessoas!$A$5:$A$44)-4)/((Pessoas!$C$5:$C$44=$K830)*(Pessoas!$G$5:$G$44="Ativo")),MOD(ROW()-6,MAX(1,COUNTIFS(Pessoas!$C$5:$C$44,$K830,Pessoas!$G$5:$G$44,"Ativo")))+1)))</f>
        <v>Equipe Oficina Mecânica Central-Taisa</v>
      </c>
    </row>
    <row r="831" spans="1:12" ht="15" customHeight="1" x14ac:dyDescent="0.4">
      <c r="A831" s="25">
        <v>46384</v>
      </c>
      <c r="B831" s="16">
        <v>17</v>
      </c>
      <c r="C831" s="16">
        <v>2</v>
      </c>
      <c r="D831" s="16">
        <v>12</v>
      </c>
      <c r="E831" s="16" t="s">
        <v>980</v>
      </c>
      <c r="F831" s="16" t="s">
        <v>1070</v>
      </c>
      <c r="G831" s="16" t="s">
        <v>184</v>
      </c>
      <c r="H831" s="16" t="s">
        <v>143</v>
      </c>
      <c r="I831" s="22" t="s">
        <v>856</v>
      </c>
      <c r="J831" s="16">
        <f>IFERROR(INDEX(Aux_HH!$J$4:$J$31,MATCH($H831&amp;"|"&amp;$I831,Aux_HH!$A$4:$A$31,0)),"")</f>
        <v>2.5</v>
      </c>
      <c r="K831" s="16" t="s">
        <v>76</v>
      </c>
      <c r="L831" s="16" t="str">
        <f>IF(COUNTIFS(Pessoas!$C$5:$C$44,$K831,Pessoas!$G$5:$G$44,"Ativo")=0,"Equipe "&amp;$K831,INDEX(Pessoas!$A$5:$A$44,_xludf.aggregate(15,6,(ROW(Pessoas!$A$5:$A$44)-4)/((Pessoas!$C$5:$C$44=$K831)*(Pessoas!$G$5:$G$44="Ativo")),MOD(ROW()-6,MAX(1,COUNTIFS(Pessoas!$C$5:$C$44,$K831,Pessoas!$G$5:$G$44,"Ativo")))+1)))</f>
        <v>Equipe Oficina Mecânica Central-Taisa</v>
      </c>
    </row>
    <row r="832" spans="1:12" ht="15" customHeight="1" x14ac:dyDescent="0.4">
      <c r="A832" s="25">
        <v>46384</v>
      </c>
      <c r="B832" s="16">
        <v>17</v>
      </c>
      <c r="C832" s="16">
        <v>2</v>
      </c>
      <c r="D832" s="16">
        <v>12</v>
      </c>
      <c r="E832" s="16" t="s">
        <v>980</v>
      </c>
      <c r="F832" s="16" t="s">
        <v>1071</v>
      </c>
      <c r="G832" s="16" t="s">
        <v>184</v>
      </c>
      <c r="H832" s="16" t="s">
        <v>143</v>
      </c>
      <c r="I832" s="22" t="s">
        <v>856</v>
      </c>
      <c r="J832" s="16">
        <f>IFERROR(INDEX(Aux_HH!$J$4:$J$31,MATCH($H832&amp;"|"&amp;$I832,Aux_HH!$A$4:$A$31,0)),"")</f>
        <v>2.5</v>
      </c>
      <c r="K832" s="16" t="s">
        <v>76</v>
      </c>
      <c r="L832" s="16" t="str">
        <f>IF(COUNTIFS(Pessoas!$C$5:$C$44,$K832,Pessoas!$G$5:$G$44,"Ativo")=0,"Equipe "&amp;$K832,INDEX(Pessoas!$A$5:$A$44,_xludf.aggregate(15,6,(ROW(Pessoas!$A$5:$A$44)-4)/((Pessoas!$C$5:$C$44=$K832)*(Pessoas!$G$5:$G$44="Ativo")),MOD(ROW()-6,MAX(1,COUNTIFS(Pessoas!$C$5:$C$44,$K832,Pessoas!$G$5:$G$44,"Ativo")))+1)))</f>
        <v>Equipe Oficina Mecânica Central-Taisa</v>
      </c>
    </row>
    <row r="833" spans="1:12" ht="15" customHeight="1" x14ac:dyDescent="0.4">
      <c r="A833" s="25">
        <v>46384</v>
      </c>
      <c r="B833" s="16">
        <v>17</v>
      </c>
      <c r="C833" s="16">
        <v>2</v>
      </c>
      <c r="D833" s="16">
        <v>12</v>
      </c>
      <c r="E833" s="16" t="s">
        <v>980</v>
      </c>
      <c r="F833" s="16" t="s">
        <v>1072</v>
      </c>
      <c r="G833" s="16" t="s">
        <v>184</v>
      </c>
      <c r="H833" s="16" t="s">
        <v>143</v>
      </c>
      <c r="I833" s="22" t="s">
        <v>856</v>
      </c>
      <c r="J833" s="16">
        <f>IFERROR(INDEX(Aux_HH!$J$4:$J$31,MATCH($H833&amp;"|"&amp;$I833,Aux_HH!$A$4:$A$31,0)),"")</f>
        <v>2.5</v>
      </c>
      <c r="K833" s="16" t="s">
        <v>76</v>
      </c>
      <c r="L833" s="16" t="str">
        <f>IF(COUNTIFS(Pessoas!$C$5:$C$44,$K833,Pessoas!$G$5:$G$44,"Ativo")=0,"Equipe "&amp;$K833,INDEX(Pessoas!$A$5:$A$44,_xludf.aggregate(15,6,(ROW(Pessoas!$A$5:$A$44)-4)/((Pessoas!$C$5:$C$44=$K833)*(Pessoas!$G$5:$G$44="Ativo")),MOD(ROW()-6,MAX(1,COUNTIFS(Pessoas!$C$5:$C$44,$K833,Pessoas!$G$5:$G$44,"Ativo")))+1)))</f>
        <v>Equipe Oficina Mecânica Central-Taisa</v>
      </c>
    </row>
    <row r="834" spans="1:12" ht="15" customHeight="1" x14ac:dyDescent="0.4">
      <c r="A834" s="25">
        <v>46384</v>
      </c>
      <c r="B834" s="16">
        <v>17</v>
      </c>
      <c r="C834" s="16">
        <v>2</v>
      </c>
      <c r="D834" s="16">
        <v>12</v>
      </c>
      <c r="E834" s="16" t="s">
        <v>980</v>
      </c>
      <c r="F834" s="16" t="s">
        <v>1073</v>
      </c>
      <c r="G834" s="16" t="s">
        <v>184</v>
      </c>
      <c r="H834" s="16" t="s">
        <v>143</v>
      </c>
      <c r="I834" s="22" t="s">
        <v>856</v>
      </c>
      <c r="J834" s="16">
        <f>IFERROR(INDEX(Aux_HH!$J$4:$J$31,MATCH($H834&amp;"|"&amp;$I834,Aux_HH!$A$4:$A$31,0)),"")</f>
        <v>2.5</v>
      </c>
      <c r="K834" s="16" t="s">
        <v>76</v>
      </c>
      <c r="L834" s="16" t="str">
        <f>IF(COUNTIFS(Pessoas!$C$5:$C$44,$K834,Pessoas!$G$5:$G$44,"Ativo")=0,"Equipe "&amp;$K834,INDEX(Pessoas!$A$5:$A$44,_xludf.aggregate(15,6,(ROW(Pessoas!$A$5:$A$44)-4)/((Pessoas!$C$5:$C$44=$K834)*(Pessoas!$G$5:$G$44="Ativo")),MOD(ROW()-6,MAX(1,COUNTIFS(Pessoas!$C$5:$C$44,$K834,Pessoas!$G$5:$G$44,"Ativo")))+1)))</f>
        <v>Equipe Oficina Mecânica Central-Taisa</v>
      </c>
    </row>
    <row r="835" spans="1:12" ht="15" customHeight="1" x14ac:dyDescent="0.4">
      <c r="A835" s="25">
        <v>46384</v>
      </c>
      <c r="B835" s="16">
        <v>17</v>
      </c>
      <c r="C835" s="16">
        <v>2</v>
      </c>
      <c r="D835" s="16">
        <v>12</v>
      </c>
      <c r="E835" s="16" t="s">
        <v>980</v>
      </c>
      <c r="F835" s="16" t="s">
        <v>1074</v>
      </c>
      <c r="G835" s="16" t="s">
        <v>526</v>
      </c>
      <c r="H835" s="16" t="s">
        <v>143</v>
      </c>
      <c r="I835" s="22" t="s">
        <v>856</v>
      </c>
      <c r="J835" s="16">
        <f>IFERROR(INDEX(Aux_HH!$J$4:$J$31,MATCH($H835&amp;"|"&amp;$I835,Aux_HH!$A$4:$A$31,0)),"")</f>
        <v>2.5</v>
      </c>
      <c r="K835" s="16" t="s">
        <v>76</v>
      </c>
      <c r="L835" s="16" t="str">
        <f>IF(COUNTIFS(Pessoas!$C$5:$C$44,$K835,Pessoas!$G$5:$G$44,"Ativo")=0,"Equipe "&amp;$K835,INDEX(Pessoas!$A$5:$A$44,_xludf.aggregate(15,6,(ROW(Pessoas!$A$5:$A$44)-4)/((Pessoas!$C$5:$C$44=$K835)*(Pessoas!$G$5:$G$44="Ativo")),MOD(ROW()-6,MAX(1,COUNTIFS(Pessoas!$C$5:$C$44,$K835,Pessoas!$G$5:$G$44,"Ativo")))+1)))</f>
        <v>Equipe Oficina Mecânica Central-Taisa</v>
      </c>
    </row>
    <row r="836" spans="1:12" ht="15" customHeight="1" x14ac:dyDescent="0.4">
      <c r="A836" s="25">
        <v>46384</v>
      </c>
      <c r="B836" s="16">
        <v>17</v>
      </c>
      <c r="C836" s="16">
        <v>2</v>
      </c>
      <c r="D836" s="16">
        <v>12</v>
      </c>
      <c r="E836" s="16" t="s">
        <v>980</v>
      </c>
      <c r="F836" s="16" t="s">
        <v>1075</v>
      </c>
      <c r="G836" s="16" t="s">
        <v>526</v>
      </c>
      <c r="H836" s="16" t="s">
        <v>143</v>
      </c>
      <c r="I836" s="22" t="s">
        <v>856</v>
      </c>
      <c r="J836" s="16">
        <f>IFERROR(INDEX(Aux_HH!$J$4:$J$31,MATCH($H836&amp;"|"&amp;$I836,Aux_HH!$A$4:$A$31,0)),"")</f>
        <v>2.5</v>
      </c>
      <c r="K836" s="16" t="s">
        <v>76</v>
      </c>
      <c r="L836" s="16" t="str">
        <f>IF(COUNTIFS(Pessoas!$C$5:$C$44,$K836,Pessoas!$G$5:$G$44,"Ativo")=0,"Equipe "&amp;$K836,INDEX(Pessoas!$A$5:$A$44,_xludf.aggregate(15,6,(ROW(Pessoas!$A$5:$A$44)-4)/((Pessoas!$C$5:$C$44=$K836)*(Pessoas!$G$5:$G$44="Ativo")),MOD(ROW()-6,MAX(1,COUNTIFS(Pessoas!$C$5:$C$44,$K836,Pessoas!$G$5:$G$44,"Ativo")))+1)))</f>
        <v>Equipe Oficina Mecânica Central-Taisa</v>
      </c>
    </row>
    <row r="837" spans="1:12" ht="15" customHeight="1" x14ac:dyDescent="0.4">
      <c r="A837" s="25">
        <v>46384</v>
      </c>
      <c r="B837" s="16">
        <v>17</v>
      </c>
      <c r="C837" s="16">
        <v>2</v>
      </c>
      <c r="D837" s="16">
        <v>12</v>
      </c>
      <c r="E837" s="16" t="s">
        <v>980</v>
      </c>
      <c r="F837" s="16" t="s">
        <v>1076</v>
      </c>
      <c r="G837" s="16" t="s">
        <v>688</v>
      </c>
      <c r="H837" s="16" t="s">
        <v>143</v>
      </c>
      <c r="I837" s="22" t="s">
        <v>856</v>
      </c>
      <c r="J837" s="16">
        <f>IFERROR(INDEX(Aux_HH!$J$4:$J$31,MATCH($H837&amp;"|"&amp;$I837,Aux_HH!$A$4:$A$31,0)),"")</f>
        <v>2.5</v>
      </c>
      <c r="K837" s="16" t="s">
        <v>76</v>
      </c>
      <c r="L837" s="16" t="str">
        <f>IF(COUNTIFS(Pessoas!$C$5:$C$44,$K837,Pessoas!$G$5:$G$44,"Ativo")=0,"Equipe "&amp;$K837,INDEX(Pessoas!$A$5:$A$44,_xludf.aggregate(15,6,(ROW(Pessoas!$A$5:$A$44)-4)/((Pessoas!$C$5:$C$44=$K837)*(Pessoas!$G$5:$G$44="Ativo")),MOD(ROW()-6,MAX(1,COUNTIFS(Pessoas!$C$5:$C$44,$K837,Pessoas!$G$5:$G$44,"Ativo")))+1)))</f>
        <v>Equipe Oficina Mecânica Central-Taisa</v>
      </c>
    </row>
    <row r="838" spans="1:12" ht="15" customHeight="1" x14ac:dyDescent="0.4">
      <c r="A838" s="25">
        <v>46384</v>
      </c>
      <c r="B838" s="16">
        <v>17</v>
      </c>
      <c r="C838" s="16">
        <v>2</v>
      </c>
      <c r="D838" s="16">
        <v>12</v>
      </c>
      <c r="E838" s="16" t="s">
        <v>980</v>
      </c>
      <c r="F838" s="16" t="s">
        <v>1077</v>
      </c>
      <c r="G838" s="16" t="s">
        <v>184</v>
      </c>
      <c r="H838" s="16" t="s">
        <v>143</v>
      </c>
      <c r="I838" s="22" t="s">
        <v>856</v>
      </c>
      <c r="J838" s="16">
        <f>IFERROR(INDEX(Aux_HH!$J$4:$J$31,MATCH($H838&amp;"|"&amp;$I838,Aux_HH!$A$4:$A$31,0)),"")</f>
        <v>2.5</v>
      </c>
      <c r="K838" s="16" t="s">
        <v>76</v>
      </c>
      <c r="L838" s="16" t="str">
        <f>IF(COUNTIFS(Pessoas!$C$5:$C$44,$K838,Pessoas!$G$5:$G$44,"Ativo")=0,"Equipe "&amp;$K838,INDEX(Pessoas!$A$5:$A$44,_xludf.aggregate(15,6,(ROW(Pessoas!$A$5:$A$44)-4)/((Pessoas!$C$5:$C$44=$K838)*(Pessoas!$G$5:$G$44="Ativo")),MOD(ROW()-6,MAX(1,COUNTIFS(Pessoas!$C$5:$C$44,$K838,Pessoas!$G$5:$G$44,"Ativo")))+1)))</f>
        <v>Equipe Oficina Mecânica Central-Taisa</v>
      </c>
    </row>
    <row r="839" spans="1:12" ht="15" customHeight="1" x14ac:dyDescent="0.4">
      <c r="A839" s="25">
        <v>46384</v>
      </c>
      <c r="B839" s="16">
        <v>17</v>
      </c>
      <c r="C839" s="16">
        <v>2</v>
      </c>
      <c r="D839" s="16">
        <v>12</v>
      </c>
      <c r="E839" s="16" t="s">
        <v>980</v>
      </c>
      <c r="F839" s="16" t="s">
        <v>1078</v>
      </c>
      <c r="G839" s="16" t="s">
        <v>526</v>
      </c>
      <c r="H839" s="16" t="s">
        <v>143</v>
      </c>
      <c r="I839" s="22" t="s">
        <v>856</v>
      </c>
      <c r="J839" s="16">
        <f>IFERROR(INDEX(Aux_HH!$J$4:$J$31,MATCH($H839&amp;"|"&amp;$I839,Aux_HH!$A$4:$A$31,0)),"")</f>
        <v>2.5</v>
      </c>
      <c r="K839" s="16" t="s">
        <v>76</v>
      </c>
      <c r="L839" s="16" t="str">
        <f>IF(COUNTIFS(Pessoas!$C$5:$C$44,$K839,Pessoas!$G$5:$G$44,"Ativo")=0,"Equipe "&amp;$K839,INDEX(Pessoas!$A$5:$A$44,_xludf.aggregate(15,6,(ROW(Pessoas!$A$5:$A$44)-4)/((Pessoas!$C$5:$C$44=$K839)*(Pessoas!$G$5:$G$44="Ativo")),MOD(ROW()-6,MAX(1,COUNTIFS(Pessoas!$C$5:$C$44,$K839,Pessoas!$G$5:$G$44,"Ativo")))+1)))</f>
        <v>Equipe Oficina Mecânica Central-Taisa</v>
      </c>
    </row>
    <row r="840" spans="1:12" ht="15" customHeight="1" x14ac:dyDescent="0.4">
      <c r="A840" s="25">
        <v>46384</v>
      </c>
      <c r="B840" s="16">
        <v>17</v>
      </c>
      <c r="C840" s="16">
        <v>2</v>
      </c>
      <c r="D840" s="16">
        <v>12</v>
      </c>
      <c r="E840" s="16" t="s">
        <v>980</v>
      </c>
      <c r="F840" s="16" t="s">
        <v>1079</v>
      </c>
      <c r="G840" s="16" t="s">
        <v>526</v>
      </c>
      <c r="H840" s="16" t="s">
        <v>143</v>
      </c>
      <c r="I840" s="22" t="s">
        <v>856</v>
      </c>
      <c r="J840" s="16">
        <f>IFERROR(INDEX(Aux_HH!$J$4:$J$31,MATCH($H840&amp;"|"&amp;$I840,Aux_HH!$A$4:$A$31,0)),"")</f>
        <v>2.5</v>
      </c>
      <c r="K840" s="16" t="s">
        <v>76</v>
      </c>
      <c r="L840" s="16" t="str">
        <f>IF(COUNTIFS(Pessoas!$C$5:$C$44,$K840,Pessoas!$G$5:$G$44,"Ativo")=0,"Equipe "&amp;$K840,INDEX(Pessoas!$A$5:$A$44,_xludf.aggregate(15,6,(ROW(Pessoas!$A$5:$A$44)-4)/((Pessoas!$C$5:$C$44=$K840)*(Pessoas!$G$5:$G$44="Ativo")),MOD(ROW()-6,MAX(1,COUNTIFS(Pessoas!$C$5:$C$44,$K840,Pessoas!$G$5:$G$44,"Ativo")))+1)))</f>
        <v>Equipe Oficina Mecânica Central-Taisa</v>
      </c>
    </row>
    <row r="841" spans="1:12" ht="15" customHeight="1" x14ac:dyDescent="0.4">
      <c r="A841" s="25">
        <v>46385</v>
      </c>
      <c r="B841" s="16">
        <v>18</v>
      </c>
      <c r="C841" s="16">
        <v>2</v>
      </c>
      <c r="D841" s="16">
        <v>12</v>
      </c>
      <c r="E841" s="16" t="s">
        <v>980</v>
      </c>
      <c r="F841" s="16" t="s">
        <v>981</v>
      </c>
      <c r="G841" s="16" t="s">
        <v>184</v>
      </c>
      <c r="H841" s="16" t="s">
        <v>138</v>
      </c>
      <c r="I841" s="22" t="s">
        <v>856</v>
      </c>
      <c r="J841" s="16">
        <f>IFERROR(INDEX(Aux_HH!$J$4:$J$31,MATCH($H841&amp;"|"&amp;$I841,Aux_HH!$A$4:$A$31,0)),"")</f>
        <v>3</v>
      </c>
      <c r="K841" s="16" t="s">
        <v>76</v>
      </c>
      <c r="L841" s="16" t="str">
        <f>IF(COUNTIFS(Pessoas!$C$5:$C$44,$K841,Pessoas!$G$5:$G$44,"Ativo")=0,"Equipe "&amp;$K841,INDEX(Pessoas!$A$5:$A$44,_xludf.aggregate(15,6,(ROW(Pessoas!$A$5:$A$44)-4)/((Pessoas!$C$5:$C$44=$K841)*(Pessoas!$G$5:$G$44="Ativo")),MOD(ROW()-6,MAX(1,COUNTIFS(Pessoas!$C$5:$C$44,$K841,Pessoas!$G$5:$G$44,"Ativo")))+1)))</f>
        <v>Equipe Oficina Mecânica Central-Taisa</v>
      </c>
    </row>
    <row r="842" spans="1:12" ht="15" customHeight="1" x14ac:dyDescent="0.4">
      <c r="A842" s="25">
        <v>46385</v>
      </c>
      <c r="B842" s="16">
        <v>18</v>
      </c>
      <c r="C842" s="16">
        <v>2</v>
      </c>
      <c r="D842" s="16">
        <v>12</v>
      </c>
      <c r="E842" s="16" t="s">
        <v>980</v>
      </c>
      <c r="F842" s="16" t="s">
        <v>983</v>
      </c>
      <c r="G842" s="16" t="s">
        <v>184</v>
      </c>
      <c r="H842" s="16" t="s">
        <v>138</v>
      </c>
      <c r="I842" s="22" t="s">
        <v>856</v>
      </c>
      <c r="J842" s="16">
        <f>IFERROR(INDEX(Aux_HH!$J$4:$J$31,MATCH($H842&amp;"|"&amp;$I842,Aux_HH!$A$4:$A$31,0)),"")</f>
        <v>3</v>
      </c>
      <c r="K842" s="16" t="s">
        <v>76</v>
      </c>
      <c r="L842" s="16" t="str">
        <f>IF(COUNTIFS(Pessoas!$C$5:$C$44,$K842,Pessoas!$G$5:$G$44,"Ativo")=0,"Equipe "&amp;$K842,INDEX(Pessoas!$A$5:$A$44,_xludf.aggregate(15,6,(ROW(Pessoas!$A$5:$A$44)-4)/((Pessoas!$C$5:$C$44=$K842)*(Pessoas!$G$5:$G$44="Ativo")),MOD(ROW()-6,MAX(1,COUNTIFS(Pessoas!$C$5:$C$44,$K842,Pessoas!$G$5:$G$44,"Ativo")))+1)))</f>
        <v>Equipe Oficina Mecânica Central-Taisa</v>
      </c>
    </row>
    <row r="843" spans="1:12" ht="15" customHeight="1" x14ac:dyDescent="0.4">
      <c r="A843" s="25">
        <v>46386</v>
      </c>
      <c r="B843" s="16">
        <v>18</v>
      </c>
      <c r="C843" s="16">
        <v>2</v>
      </c>
      <c r="D843" s="16">
        <v>12</v>
      </c>
      <c r="E843" s="16" t="s">
        <v>980</v>
      </c>
      <c r="F843" s="16" t="s">
        <v>985</v>
      </c>
      <c r="G843" s="16" t="s">
        <v>184</v>
      </c>
      <c r="H843" s="16" t="s">
        <v>138</v>
      </c>
      <c r="I843" s="22" t="s">
        <v>856</v>
      </c>
      <c r="J843" s="16">
        <f>IFERROR(INDEX(Aux_HH!$J$4:$J$31,MATCH($H843&amp;"|"&amp;$I843,Aux_HH!$A$4:$A$31,0)),"")</f>
        <v>3</v>
      </c>
      <c r="K843" s="16" t="s">
        <v>76</v>
      </c>
      <c r="L843" s="16" t="str">
        <f>IF(COUNTIFS(Pessoas!$C$5:$C$44,$K843,Pessoas!$G$5:$G$44,"Ativo")=0,"Equipe "&amp;$K843,INDEX(Pessoas!$A$5:$A$44,_xludf.aggregate(15,6,(ROW(Pessoas!$A$5:$A$44)-4)/((Pessoas!$C$5:$C$44=$K843)*(Pessoas!$G$5:$G$44="Ativo")),MOD(ROW()-6,MAX(1,COUNTIFS(Pessoas!$C$5:$C$44,$K843,Pessoas!$G$5:$G$44,"Ativo")))+1)))</f>
        <v>Equipe Oficina Mecânica Central-Taisa</v>
      </c>
    </row>
    <row r="844" spans="1:12" ht="15" customHeight="1" x14ac:dyDescent="0.4">
      <c r="A844" s="25">
        <v>46386</v>
      </c>
      <c r="B844" s="16">
        <v>18</v>
      </c>
      <c r="C844" s="16">
        <v>2</v>
      </c>
      <c r="D844" s="16">
        <v>12</v>
      </c>
      <c r="E844" s="16" t="s">
        <v>980</v>
      </c>
      <c r="F844" s="16" t="s">
        <v>987</v>
      </c>
      <c r="G844" s="16" t="s">
        <v>526</v>
      </c>
      <c r="H844" s="16" t="s">
        <v>138</v>
      </c>
      <c r="I844" s="22" t="s">
        <v>856</v>
      </c>
      <c r="J844" s="16">
        <f>IFERROR(INDEX(Aux_HH!$J$4:$J$31,MATCH($H844&amp;"|"&amp;$I844,Aux_HH!$A$4:$A$31,0)),"")</f>
        <v>3</v>
      </c>
      <c r="K844" s="16" t="s">
        <v>76</v>
      </c>
      <c r="L844" s="16" t="str">
        <f>IF(COUNTIFS(Pessoas!$C$5:$C$44,$K844,Pessoas!$G$5:$G$44,"Ativo")=0,"Equipe "&amp;$K844,INDEX(Pessoas!$A$5:$A$44,_xludf.aggregate(15,6,(ROW(Pessoas!$A$5:$A$44)-4)/((Pessoas!$C$5:$C$44=$K844)*(Pessoas!$G$5:$G$44="Ativo")),MOD(ROW()-6,MAX(1,COUNTIFS(Pessoas!$C$5:$C$44,$K844,Pessoas!$G$5:$G$44,"Ativo")))+1)))</f>
        <v>Equipe Oficina Mecânica Central-Taisa</v>
      </c>
    </row>
    <row r="845" spans="1:12" ht="15" customHeight="1" x14ac:dyDescent="0.4">
      <c r="A845" s="25">
        <v>46387</v>
      </c>
      <c r="B845" s="16">
        <v>18</v>
      </c>
      <c r="C845" s="16">
        <v>2</v>
      </c>
      <c r="D845" s="16">
        <v>12</v>
      </c>
      <c r="E845" s="16" t="s">
        <v>980</v>
      </c>
      <c r="F845" s="16" t="s">
        <v>988</v>
      </c>
      <c r="G845" s="16" t="s">
        <v>184</v>
      </c>
      <c r="H845" s="16" t="s">
        <v>138</v>
      </c>
      <c r="I845" s="22" t="s">
        <v>856</v>
      </c>
      <c r="J845" s="16">
        <f>IFERROR(INDEX(Aux_HH!$J$4:$J$31,MATCH($H845&amp;"|"&amp;$I845,Aux_HH!$A$4:$A$31,0)),"")</f>
        <v>3</v>
      </c>
      <c r="K845" s="16" t="s">
        <v>76</v>
      </c>
      <c r="L845" s="16" t="str">
        <f>IF(COUNTIFS(Pessoas!$C$5:$C$44,$K845,Pessoas!$G$5:$G$44,"Ativo")=0,"Equipe "&amp;$K845,INDEX(Pessoas!$A$5:$A$44,_xludf.aggregate(15,6,(ROW(Pessoas!$A$5:$A$44)-4)/((Pessoas!$C$5:$C$44=$K845)*(Pessoas!$G$5:$G$44="Ativo")),MOD(ROW()-6,MAX(1,COUNTIFS(Pessoas!$C$5:$C$44,$K845,Pessoas!$G$5:$G$44,"Ativo")))+1)))</f>
        <v>Equipe Oficina Mecânica Central-Taisa</v>
      </c>
    </row>
    <row r="846" spans="1:12" ht="15" customHeight="1" x14ac:dyDescent="0.4">
      <c r="A846" s="25">
        <v>46387</v>
      </c>
      <c r="B846" s="16">
        <v>18</v>
      </c>
      <c r="C846" s="16">
        <v>2</v>
      </c>
      <c r="D846" s="16">
        <v>12</v>
      </c>
      <c r="E846" s="16" t="s">
        <v>980</v>
      </c>
      <c r="F846" s="16" t="s">
        <v>990</v>
      </c>
      <c r="G846" s="16" t="s">
        <v>526</v>
      </c>
      <c r="H846" s="16" t="s">
        <v>138</v>
      </c>
      <c r="I846" s="22" t="s">
        <v>856</v>
      </c>
      <c r="J846" s="16">
        <f>IFERROR(INDEX(Aux_HH!$J$4:$J$31,MATCH($H846&amp;"|"&amp;$I846,Aux_HH!$A$4:$A$31,0)),"")</f>
        <v>3</v>
      </c>
      <c r="K846" s="16" t="s">
        <v>76</v>
      </c>
      <c r="L846" s="16" t="str">
        <f>IF(COUNTIFS(Pessoas!$C$5:$C$44,$K846,Pessoas!$G$5:$G$44,"Ativo")=0,"Equipe "&amp;$K846,INDEX(Pessoas!$A$5:$A$44,_xludf.aggregate(15,6,(ROW(Pessoas!$A$5:$A$44)-4)/((Pessoas!$C$5:$C$44=$K846)*(Pessoas!$G$5:$G$44="Ativo")),MOD(ROW()-6,MAX(1,COUNTIFS(Pessoas!$C$5:$C$44,$K846,Pessoas!$G$5:$G$44,"Ativo")))+1)))</f>
        <v>Equipe Oficina Mecânica Central-Taisa</v>
      </c>
    </row>
    <row r="847" spans="1:12" ht="15" customHeight="1" x14ac:dyDescent="0.4">
      <c r="A847" s="25">
        <v>46388</v>
      </c>
      <c r="B847" s="16">
        <v>18</v>
      </c>
      <c r="C847" s="16">
        <v>2</v>
      </c>
      <c r="D847" s="16">
        <v>1</v>
      </c>
      <c r="E847" s="16" t="s">
        <v>980</v>
      </c>
      <c r="F847" s="16" t="s">
        <v>992</v>
      </c>
      <c r="G847" s="16" t="s">
        <v>184</v>
      </c>
      <c r="H847" s="16" t="s">
        <v>138</v>
      </c>
      <c r="I847" s="22" t="s">
        <v>856</v>
      </c>
      <c r="J847" s="16">
        <f>IFERROR(INDEX(Aux_HH!$J$4:$J$31,MATCH($H847&amp;"|"&amp;$I847,Aux_HH!$A$4:$A$31,0)),"")</f>
        <v>3</v>
      </c>
      <c r="K847" s="16" t="s">
        <v>76</v>
      </c>
      <c r="L847" s="16" t="str">
        <f>IF(COUNTIFS(Pessoas!$C$5:$C$44,$K847,Pessoas!$G$5:$G$44,"Ativo")=0,"Equipe "&amp;$K847,INDEX(Pessoas!$A$5:$A$44,_xludf.aggregate(15,6,(ROW(Pessoas!$A$5:$A$44)-4)/((Pessoas!$C$5:$C$44=$K847)*(Pessoas!$G$5:$G$44="Ativo")),MOD(ROW()-6,MAX(1,COUNTIFS(Pessoas!$C$5:$C$44,$K847,Pessoas!$G$5:$G$44,"Ativo")))+1)))</f>
        <v>Equipe Oficina Mecânica Central-Taisa</v>
      </c>
    </row>
    <row r="848" spans="1:12" ht="15" customHeight="1" x14ac:dyDescent="0.4">
      <c r="A848" s="25">
        <v>46391</v>
      </c>
      <c r="B848" s="16">
        <v>18</v>
      </c>
      <c r="C848" s="16">
        <v>2</v>
      </c>
      <c r="D848" s="16">
        <v>1</v>
      </c>
      <c r="E848" s="16" t="s">
        <v>980</v>
      </c>
      <c r="F848" s="16" t="s">
        <v>993</v>
      </c>
      <c r="G848" s="16" t="s">
        <v>184</v>
      </c>
      <c r="H848" s="16" t="s">
        <v>138</v>
      </c>
      <c r="I848" s="22" t="s">
        <v>856</v>
      </c>
      <c r="J848" s="16">
        <f>IFERROR(INDEX(Aux_HH!$J$4:$J$31,MATCH($H848&amp;"|"&amp;$I848,Aux_HH!$A$4:$A$31,0)),"")</f>
        <v>3</v>
      </c>
      <c r="K848" s="16" t="s">
        <v>76</v>
      </c>
      <c r="L848" s="16" t="str">
        <f>IF(COUNTIFS(Pessoas!$C$5:$C$44,$K848,Pessoas!$G$5:$G$44,"Ativo")=0,"Equipe "&amp;$K848,INDEX(Pessoas!$A$5:$A$44,_xludf.aggregate(15,6,(ROW(Pessoas!$A$5:$A$44)-4)/((Pessoas!$C$5:$C$44=$K848)*(Pessoas!$G$5:$G$44="Ativo")),MOD(ROW()-6,MAX(1,COUNTIFS(Pessoas!$C$5:$C$44,$K848,Pessoas!$G$5:$G$44,"Ativo")))+1)))</f>
        <v>Equipe Oficina Mecânica Central-Taisa</v>
      </c>
    </row>
    <row r="849" spans="1:12" ht="15" customHeight="1" x14ac:dyDescent="0.4">
      <c r="A849" s="25">
        <v>46392</v>
      </c>
      <c r="B849" s="16">
        <v>19</v>
      </c>
      <c r="C849" s="16">
        <v>2</v>
      </c>
      <c r="D849" s="16">
        <v>1</v>
      </c>
      <c r="E849" s="16" t="s">
        <v>980</v>
      </c>
      <c r="F849" s="16" t="s">
        <v>1125</v>
      </c>
      <c r="G849" s="16" t="s">
        <v>526</v>
      </c>
      <c r="H849" s="16" t="s">
        <v>140</v>
      </c>
      <c r="I849" s="22" t="s">
        <v>856</v>
      </c>
      <c r="J849" s="16">
        <f>IFERROR(INDEX(Aux_HH!$J$4:$J$31,MATCH($H849&amp;"|"&amp;$I849,Aux_HH!$A$4:$A$31,0)),"")</f>
        <v>2.5</v>
      </c>
      <c r="K849" s="16" t="s">
        <v>76</v>
      </c>
      <c r="L849" s="16" t="str">
        <f>IF(COUNTIFS(Pessoas!$C$5:$C$44,$K849,Pessoas!$G$5:$G$44,"Ativo")=0,"Equipe "&amp;$K849,INDEX(Pessoas!$A$5:$A$44,_xludf.aggregate(15,6,(ROW(Pessoas!$A$5:$A$44)-4)/((Pessoas!$C$5:$C$44=$K849)*(Pessoas!$G$5:$G$44="Ativo")),MOD(ROW()-6,MAX(1,COUNTIFS(Pessoas!$C$5:$C$44,$K849,Pessoas!$G$5:$G$44,"Ativo")))+1)))</f>
        <v>Equipe Oficina Mecânica Central-Taisa</v>
      </c>
    </row>
    <row r="850" spans="1:12" ht="15" customHeight="1" x14ac:dyDescent="0.4">
      <c r="A850" s="25">
        <v>46392</v>
      </c>
      <c r="B850" s="16">
        <v>19</v>
      </c>
      <c r="C850" s="16">
        <v>2</v>
      </c>
      <c r="D850" s="16">
        <v>1</v>
      </c>
      <c r="E850" s="16" t="s">
        <v>980</v>
      </c>
      <c r="F850" s="16" t="s">
        <v>1126</v>
      </c>
      <c r="G850" s="16" t="s">
        <v>526</v>
      </c>
      <c r="H850" s="16" t="s">
        <v>140</v>
      </c>
      <c r="I850" s="22" t="s">
        <v>856</v>
      </c>
      <c r="J850" s="16">
        <f>IFERROR(INDEX(Aux_HH!$J$4:$J$31,MATCH($H850&amp;"|"&amp;$I850,Aux_HH!$A$4:$A$31,0)),"")</f>
        <v>2.5</v>
      </c>
      <c r="K850" s="16" t="s">
        <v>76</v>
      </c>
      <c r="L850" s="16" t="str">
        <f>IF(COUNTIFS(Pessoas!$C$5:$C$44,$K850,Pessoas!$G$5:$G$44,"Ativo")=0,"Equipe "&amp;$K850,INDEX(Pessoas!$A$5:$A$44,_xludf.aggregate(15,6,(ROW(Pessoas!$A$5:$A$44)-4)/((Pessoas!$C$5:$C$44=$K850)*(Pessoas!$G$5:$G$44="Ativo")),MOD(ROW()-6,MAX(1,COUNTIFS(Pessoas!$C$5:$C$44,$K850,Pessoas!$G$5:$G$44,"Ativo")))+1)))</f>
        <v>Equipe Oficina Mecânica Central-Taisa</v>
      </c>
    </row>
    <row r="851" spans="1:12" ht="15" customHeight="1" x14ac:dyDescent="0.4">
      <c r="A851" s="25">
        <v>46392</v>
      </c>
      <c r="B851" s="16">
        <v>19</v>
      </c>
      <c r="C851" s="16">
        <v>2</v>
      </c>
      <c r="D851" s="16">
        <v>1</v>
      </c>
      <c r="E851" s="16" t="s">
        <v>980</v>
      </c>
      <c r="F851" s="16" t="s">
        <v>1127</v>
      </c>
      <c r="G851" s="16" t="s">
        <v>184</v>
      </c>
      <c r="H851" s="16" t="s">
        <v>140</v>
      </c>
      <c r="I851" s="22" t="s">
        <v>856</v>
      </c>
      <c r="J851" s="16">
        <f>IFERROR(INDEX(Aux_HH!$J$4:$J$31,MATCH($H851&amp;"|"&amp;$I851,Aux_HH!$A$4:$A$31,0)),"")</f>
        <v>2.5</v>
      </c>
      <c r="K851" s="16" t="s">
        <v>76</v>
      </c>
      <c r="L851" s="16" t="str">
        <f>IF(COUNTIFS(Pessoas!$C$5:$C$44,$K851,Pessoas!$G$5:$G$44,"Ativo")=0,"Equipe "&amp;$K851,INDEX(Pessoas!$A$5:$A$44,_xludf.aggregate(15,6,(ROW(Pessoas!$A$5:$A$44)-4)/((Pessoas!$C$5:$C$44=$K851)*(Pessoas!$G$5:$G$44="Ativo")),MOD(ROW()-6,MAX(1,COUNTIFS(Pessoas!$C$5:$C$44,$K851,Pessoas!$G$5:$G$44,"Ativo")))+1)))</f>
        <v>Equipe Oficina Mecânica Central-Taisa</v>
      </c>
    </row>
    <row r="852" spans="1:12" ht="15" customHeight="1" x14ac:dyDescent="0.4">
      <c r="A852" s="25">
        <v>46392</v>
      </c>
      <c r="B852" s="16">
        <v>19</v>
      </c>
      <c r="C852" s="16">
        <v>2</v>
      </c>
      <c r="D852" s="16">
        <v>1</v>
      </c>
      <c r="E852" s="16" t="s">
        <v>980</v>
      </c>
      <c r="F852" s="16" t="s">
        <v>1128</v>
      </c>
      <c r="G852" s="16" t="s">
        <v>184</v>
      </c>
      <c r="H852" s="16" t="s">
        <v>140</v>
      </c>
      <c r="I852" s="22" t="s">
        <v>856</v>
      </c>
      <c r="J852" s="16">
        <f>IFERROR(INDEX(Aux_HH!$J$4:$J$31,MATCH($H852&amp;"|"&amp;$I852,Aux_HH!$A$4:$A$31,0)),"")</f>
        <v>2.5</v>
      </c>
      <c r="K852" s="16" t="s">
        <v>76</v>
      </c>
      <c r="L852" s="16" t="str">
        <f>IF(COUNTIFS(Pessoas!$C$5:$C$44,$K852,Pessoas!$G$5:$G$44,"Ativo")=0,"Equipe "&amp;$K852,INDEX(Pessoas!$A$5:$A$44,_xludf.aggregate(15,6,(ROW(Pessoas!$A$5:$A$44)-4)/((Pessoas!$C$5:$C$44=$K852)*(Pessoas!$G$5:$G$44="Ativo")),MOD(ROW()-6,MAX(1,COUNTIFS(Pessoas!$C$5:$C$44,$K852,Pessoas!$G$5:$G$44,"Ativo")))+1)))</f>
        <v>Equipe Oficina Mecânica Central-Taisa</v>
      </c>
    </row>
    <row r="853" spans="1:12" ht="15" customHeight="1" x14ac:dyDescent="0.4">
      <c r="A853" s="25">
        <v>46392</v>
      </c>
      <c r="B853" s="16">
        <v>19</v>
      </c>
      <c r="C853" s="16">
        <v>2</v>
      </c>
      <c r="D853" s="16">
        <v>1</v>
      </c>
      <c r="E853" s="16" t="s">
        <v>980</v>
      </c>
      <c r="F853" s="16" t="s">
        <v>1129</v>
      </c>
      <c r="G853" s="16" t="s">
        <v>184</v>
      </c>
      <c r="H853" s="16" t="s">
        <v>140</v>
      </c>
      <c r="I853" s="22" t="s">
        <v>856</v>
      </c>
      <c r="J853" s="16">
        <f>IFERROR(INDEX(Aux_HH!$J$4:$J$31,MATCH($H853&amp;"|"&amp;$I853,Aux_HH!$A$4:$A$31,0)),"")</f>
        <v>2.5</v>
      </c>
      <c r="K853" s="16" t="s">
        <v>76</v>
      </c>
      <c r="L853" s="16" t="str">
        <f>IF(COUNTIFS(Pessoas!$C$5:$C$44,$K853,Pessoas!$G$5:$G$44,"Ativo")=0,"Equipe "&amp;$K853,INDEX(Pessoas!$A$5:$A$44,_xludf.aggregate(15,6,(ROW(Pessoas!$A$5:$A$44)-4)/((Pessoas!$C$5:$C$44=$K853)*(Pessoas!$G$5:$G$44="Ativo")),MOD(ROW()-6,MAX(1,COUNTIFS(Pessoas!$C$5:$C$44,$K853,Pessoas!$G$5:$G$44,"Ativo")))+1)))</f>
        <v>Equipe Oficina Mecânica Central-Taisa</v>
      </c>
    </row>
    <row r="854" spans="1:12" ht="15" customHeight="1" x14ac:dyDescent="0.4">
      <c r="A854" s="25">
        <v>46392</v>
      </c>
      <c r="B854" s="16">
        <v>19</v>
      </c>
      <c r="C854" s="16">
        <v>2</v>
      </c>
      <c r="D854" s="16">
        <v>1</v>
      </c>
      <c r="E854" s="16" t="s">
        <v>980</v>
      </c>
      <c r="F854" s="16" t="s">
        <v>1130</v>
      </c>
      <c r="G854" s="16" t="s">
        <v>184</v>
      </c>
      <c r="H854" s="16" t="s">
        <v>140</v>
      </c>
      <c r="I854" s="22" t="s">
        <v>856</v>
      </c>
      <c r="J854" s="16">
        <f>IFERROR(INDEX(Aux_HH!$J$4:$J$31,MATCH($H854&amp;"|"&amp;$I854,Aux_HH!$A$4:$A$31,0)),"")</f>
        <v>2.5</v>
      </c>
      <c r="K854" s="16" t="s">
        <v>76</v>
      </c>
      <c r="L854" s="16" t="str">
        <f>IF(COUNTIFS(Pessoas!$C$5:$C$44,$K854,Pessoas!$G$5:$G$44,"Ativo")=0,"Equipe "&amp;$K854,INDEX(Pessoas!$A$5:$A$44,_xludf.aggregate(15,6,(ROW(Pessoas!$A$5:$A$44)-4)/((Pessoas!$C$5:$C$44=$K854)*(Pessoas!$G$5:$G$44="Ativo")),MOD(ROW()-6,MAX(1,COUNTIFS(Pessoas!$C$5:$C$44,$K854,Pessoas!$G$5:$G$44,"Ativo")))+1)))</f>
        <v>Equipe Oficina Mecânica Central-Taisa</v>
      </c>
    </row>
    <row r="855" spans="1:12" ht="15" customHeight="1" x14ac:dyDescent="0.4">
      <c r="A855" s="25">
        <v>46392</v>
      </c>
      <c r="B855" s="16">
        <v>19</v>
      </c>
      <c r="C855" s="16">
        <v>2</v>
      </c>
      <c r="D855" s="16">
        <v>1</v>
      </c>
      <c r="E855" s="16" t="s">
        <v>980</v>
      </c>
      <c r="F855" s="16" t="s">
        <v>1131</v>
      </c>
      <c r="G855" s="16" t="s">
        <v>526</v>
      </c>
      <c r="H855" s="16" t="s">
        <v>140</v>
      </c>
      <c r="I855" s="22" t="s">
        <v>856</v>
      </c>
      <c r="J855" s="16">
        <f>IFERROR(INDEX(Aux_HH!$J$4:$J$31,MATCH($H855&amp;"|"&amp;$I855,Aux_HH!$A$4:$A$31,0)),"")</f>
        <v>2.5</v>
      </c>
      <c r="K855" s="16" t="s">
        <v>76</v>
      </c>
      <c r="L855" s="16" t="str">
        <f>IF(COUNTIFS(Pessoas!$C$5:$C$44,$K855,Pessoas!$G$5:$G$44,"Ativo")=0,"Equipe "&amp;$K855,INDEX(Pessoas!$A$5:$A$44,_xludf.aggregate(15,6,(ROW(Pessoas!$A$5:$A$44)-4)/((Pessoas!$C$5:$C$44=$K855)*(Pessoas!$G$5:$G$44="Ativo")),MOD(ROW()-6,MAX(1,COUNTIFS(Pessoas!$C$5:$C$44,$K855,Pessoas!$G$5:$G$44,"Ativo")))+1)))</f>
        <v>Equipe Oficina Mecânica Central-Taisa</v>
      </c>
    </row>
    <row r="856" spans="1:12" ht="15" customHeight="1" x14ac:dyDescent="0.4">
      <c r="A856" s="25">
        <v>46392</v>
      </c>
      <c r="B856" s="16">
        <v>19</v>
      </c>
      <c r="C856" s="16">
        <v>2</v>
      </c>
      <c r="D856" s="16">
        <v>1</v>
      </c>
      <c r="E856" s="16" t="s">
        <v>980</v>
      </c>
      <c r="F856" s="16" t="s">
        <v>1132</v>
      </c>
      <c r="G856" s="16" t="s">
        <v>184</v>
      </c>
      <c r="H856" s="16" t="s">
        <v>140</v>
      </c>
      <c r="I856" s="22" t="s">
        <v>856</v>
      </c>
      <c r="J856" s="16">
        <f>IFERROR(INDEX(Aux_HH!$J$4:$J$31,MATCH($H856&amp;"|"&amp;$I856,Aux_HH!$A$4:$A$31,0)),"")</f>
        <v>2.5</v>
      </c>
      <c r="K856" s="16" t="s">
        <v>76</v>
      </c>
      <c r="L856" s="16" t="str">
        <f>IF(COUNTIFS(Pessoas!$C$5:$C$44,$K856,Pessoas!$G$5:$G$44,"Ativo")=0,"Equipe "&amp;$K856,INDEX(Pessoas!$A$5:$A$44,_xludf.aggregate(15,6,(ROW(Pessoas!$A$5:$A$44)-4)/((Pessoas!$C$5:$C$44=$K856)*(Pessoas!$G$5:$G$44="Ativo")),MOD(ROW()-6,MAX(1,COUNTIFS(Pessoas!$C$5:$C$44,$K856,Pessoas!$G$5:$G$44,"Ativo")))+1)))</f>
        <v>Equipe Oficina Mecânica Central-Taisa</v>
      </c>
    </row>
    <row r="857" spans="1:12" ht="15" customHeight="1" x14ac:dyDescent="0.4">
      <c r="A857" s="25">
        <v>46392</v>
      </c>
      <c r="B857" s="16">
        <v>19</v>
      </c>
      <c r="C857" s="16">
        <v>2</v>
      </c>
      <c r="D857" s="16">
        <v>1</v>
      </c>
      <c r="E857" s="16" t="s">
        <v>980</v>
      </c>
      <c r="F857" s="16" t="s">
        <v>1133</v>
      </c>
      <c r="G857" s="16" t="s">
        <v>526</v>
      </c>
      <c r="H857" s="16" t="s">
        <v>140</v>
      </c>
      <c r="I857" s="22" t="s">
        <v>856</v>
      </c>
      <c r="J857" s="16">
        <f>IFERROR(INDEX(Aux_HH!$J$4:$J$31,MATCH($H857&amp;"|"&amp;$I857,Aux_HH!$A$4:$A$31,0)),"")</f>
        <v>2.5</v>
      </c>
      <c r="K857" s="16" t="s">
        <v>76</v>
      </c>
      <c r="L857" s="16" t="str">
        <f>IF(COUNTIFS(Pessoas!$C$5:$C$44,$K857,Pessoas!$G$5:$G$44,"Ativo")=0,"Equipe "&amp;$K857,INDEX(Pessoas!$A$5:$A$44,_xludf.aggregate(15,6,(ROW(Pessoas!$A$5:$A$44)-4)/((Pessoas!$C$5:$C$44=$K857)*(Pessoas!$G$5:$G$44="Ativo")),MOD(ROW()-6,MAX(1,COUNTIFS(Pessoas!$C$5:$C$44,$K857,Pessoas!$G$5:$G$44,"Ativo")))+1)))</f>
        <v>Equipe Oficina Mecânica Central-Taisa</v>
      </c>
    </row>
    <row r="858" spans="1:12" ht="15" customHeight="1" x14ac:dyDescent="0.4">
      <c r="A858" s="25">
        <v>46392</v>
      </c>
      <c r="B858" s="16">
        <v>19</v>
      </c>
      <c r="C858" s="16">
        <v>2</v>
      </c>
      <c r="D858" s="16">
        <v>1</v>
      </c>
      <c r="E858" s="16" t="s">
        <v>980</v>
      </c>
      <c r="F858" s="16" t="s">
        <v>1134</v>
      </c>
      <c r="G858" s="16" t="s">
        <v>526</v>
      </c>
      <c r="H858" s="16" t="s">
        <v>140</v>
      </c>
      <c r="I858" s="22" t="s">
        <v>856</v>
      </c>
      <c r="J858" s="16">
        <f>IFERROR(INDEX(Aux_HH!$J$4:$J$31,MATCH($H858&amp;"|"&amp;$I858,Aux_HH!$A$4:$A$31,0)),"")</f>
        <v>2.5</v>
      </c>
      <c r="K858" s="16" t="s">
        <v>76</v>
      </c>
      <c r="L858" s="16" t="str">
        <f>IF(COUNTIFS(Pessoas!$C$5:$C$44,$K858,Pessoas!$G$5:$G$44,"Ativo")=0,"Equipe "&amp;$K858,INDEX(Pessoas!$A$5:$A$44,_xludf.aggregate(15,6,(ROW(Pessoas!$A$5:$A$44)-4)/((Pessoas!$C$5:$C$44=$K858)*(Pessoas!$G$5:$G$44="Ativo")),MOD(ROW()-6,MAX(1,COUNTIFS(Pessoas!$C$5:$C$44,$K858,Pessoas!$G$5:$G$44,"Ativo")))+1)))</f>
        <v>Equipe Oficina Mecânica Central-Taisa</v>
      </c>
    </row>
    <row r="859" spans="1:12" ht="15" customHeight="1" x14ac:dyDescent="0.4">
      <c r="A859" s="25">
        <v>46392</v>
      </c>
      <c r="B859" s="16">
        <v>19</v>
      </c>
      <c r="C859" s="16">
        <v>2</v>
      </c>
      <c r="D859" s="16">
        <v>1</v>
      </c>
      <c r="E859" s="16" t="s">
        <v>980</v>
      </c>
      <c r="F859" s="16" t="s">
        <v>1135</v>
      </c>
      <c r="G859" s="16" t="s">
        <v>526</v>
      </c>
      <c r="H859" s="16" t="s">
        <v>140</v>
      </c>
      <c r="I859" s="22" t="s">
        <v>856</v>
      </c>
      <c r="J859" s="16">
        <f>IFERROR(INDEX(Aux_HH!$J$4:$J$31,MATCH($H859&amp;"|"&amp;$I859,Aux_HH!$A$4:$A$31,0)),"")</f>
        <v>2.5</v>
      </c>
      <c r="K859" s="16" t="s">
        <v>76</v>
      </c>
      <c r="L859" s="16" t="str">
        <f>IF(COUNTIFS(Pessoas!$C$5:$C$44,$K859,Pessoas!$G$5:$G$44,"Ativo")=0,"Equipe "&amp;$K859,INDEX(Pessoas!$A$5:$A$44,_xludf.aggregate(15,6,(ROW(Pessoas!$A$5:$A$44)-4)/((Pessoas!$C$5:$C$44=$K859)*(Pessoas!$G$5:$G$44="Ativo")),MOD(ROW()-6,MAX(1,COUNTIFS(Pessoas!$C$5:$C$44,$K859,Pessoas!$G$5:$G$44,"Ativo")))+1)))</f>
        <v>Equipe Oficina Mecânica Central-Taisa</v>
      </c>
    </row>
    <row r="860" spans="1:12" ht="15" customHeight="1" x14ac:dyDescent="0.4">
      <c r="A860" s="25">
        <v>46392</v>
      </c>
      <c r="B860" s="16">
        <v>19</v>
      </c>
      <c r="C860" s="16">
        <v>2</v>
      </c>
      <c r="D860" s="16">
        <v>1</v>
      </c>
      <c r="E860" s="16" t="s">
        <v>980</v>
      </c>
      <c r="F860" s="16" t="s">
        <v>1136</v>
      </c>
      <c r="G860" s="16" t="s">
        <v>526</v>
      </c>
      <c r="H860" s="16" t="s">
        <v>140</v>
      </c>
      <c r="I860" s="22" t="s">
        <v>856</v>
      </c>
      <c r="J860" s="16">
        <f>IFERROR(INDEX(Aux_HH!$J$4:$J$31,MATCH($H860&amp;"|"&amp;$I860,Aux_HH!$A$4:$A$31,0)),"")</f>
        <v>2.5</v>
      </c>
      <c r="K860" s="16" t="s">
        <v>76</v>
      </c>
      <c r="L860" s="16" t="str">
        <f>IF(COUNTIFS(Pessoas!$C$5:$C$44,$K860,Pessoas!$G$5:$G$44,"Ativo")=0,"Equipe "&amp;$K860,INDEX(Pessoas!$A$5:$A$44,_xludf.aggregate(15,6,(ROW(Pessoas!$A$5:$A$44)-4)/((Pessoas!$C$5:$C$44=$K860)*(Pessoas!$G$5:$G$44="Ativo")),MOD(ROW()-6,MAX(1,COUNTIFS(Pessoas!$C$5:$C$44,$K860,Pessoas!$G$5:$G$44,"Ativo")))+1)))</f>
        <v>Equipe Oficina Mecânica Central-Taisa</v>
      </c>
    </row>
    <row r="861" spans="1:12" ht="15" customHeight="1" x14ac:dyDescent="0.4">
      <c r="A861" s="25">
        <v>46392</v>
      </c>
      <c r="B861" s="16">
        <v>19</v>
      </c>
      <c r="C861" s="16">
        <v>2</v>
      </c>
      <c r="D861" s="16">
        <v>1</v>
      </c>
      <c r="E861" s="16" t="s">
        <v>980</v>
      </c>
      <c r="F861" s="16" t="s">
        <v>1158</v>
      </c>
      <c r="G861" s="16" t="s">
        <v>526</v>
      </c>
      <c r="H861" s="16" t="s">
        <v>140</v>
      </c>
      <c r="I861" s="22" t="s">
        <v>856</v>
      </c>
      <c r="J861" s="16">
        <f>IFERROR(INDEX(Aux_HH!$J$4:$J$31,MATCH($H861&amp;"|"&amp;$I861,Aux_HH!$A$4:$A$31,0)),"")</f>
        <v>2.5</v>
      </c>
      <c r="K861" s="16" t="s">
        <v>76</v>
      </c>
      <c r="L861" s="16" t="str">
        <f>IF(COUNTIFS(Pessoas!$C$5:$C$44,$K861,Pessoas!$G$5:$G$44,"Ativo")=0,"Equipe "&amp;$K861,INDEX(Pessoas!$A$5:$A$44,_xludf.aggregate(15,6,(ROW(Pessoas!$A$5:$A$44)-4)/((Pessoas!$C$5:$C$44=$K861)*(Pessoas!$G$5:$G$44="Ativo")),MOD(ROW()-6,MAX(1,COUNTIFS(Pessoas!$C$5:$C$44,$K861,Pessoas!$G$5:$G$44,"Ativo")))+1)))</f>
        <v>Equipe Oficina Mecânica Central-Taisa</v>
      </c>
    </row>
    <row r="862" spans="1:12" ht="15" customHeight="1" x14ac:dyDescent="0.4">
      <c r="A862" s="25">
        <v>46392</v>
      </c>
      <c r="B862" s="16">
        <v>19</v>
      </c>
      <c r="C862" s="16">
        <v>2</v>
      </c>
      <c r="D862" s="16">
        <v>1</v>
      </c>
      <c r="E862" s="16" t="s">
        <v>980</v>
      </c>
      <c r="F862" s="16" t="s">
        <v>1159</v>
      </c>
      <c r="G862" s="16" t="s">
        <v>526</v>
      </c>
      <c r="H862" s="16" t="s">
        <v>140</v>
      </c>
      <c r="I862" s="22" t="s">
        <v>856</v>
      </c>
      <c r="J862" s="16">
        <f>IFERROR(INDEX(Aux_HH!$J$4:$J$31,MATCH($H862&amp;"|"&amp;$I862,Aux_HH!$A$4:$A$31,0)),"")</f>
        <v>2.5</v>
      </c>
      <c r="K862" s="16" t="s">
        <v>76</v>
      </c>
      <c r="L862" s="16" t="str">
        <f>IF(COUNTIFS(Pessoas!$C$5:$C$44,$K862,Pessoas!$G$5:$G$44,"Ativo")=0,"Equipe "&amp;$K862,INDEX(Pessoas!$A$5:$A$44,_xludf.aggregate(15,6,(ROW(Pessoas!$A$5:$A$44)-4)/((Pessoas!$C$5:$C$44=$K862)*(Pessoas!$G$5:$G$44="Ativo")),MOD(ROW()-6,MAX(1,COUNTIFS(Pessoas!$C$5:$C$44,$K862,Pessoas!$G$5:$G$44,"Ativo")))+1)))</f>
        <v>Equipe Oficina Mecânica Central-Taisa</v>
      </c>
    </row>
    <row r="863" spans="1:12" ht="15" customHeight="1" x14ac:dyDescent="0.4">
      <c r="A863" s="25">
        <v>46392</v>
      </c>
      <c r="B863" s="16">
        <v>19</v>
      </c>
      <c r="C863" s="16">
        <v>2</v>
      </c>
      <c r="D863" s="16">
        <v>1</v>
      </c>
      <c r="E863" s="16" t="s">
        <v>980</v>
      </c>
      <c r="F863" s="16" t="s">
        <v>1160</v>
      </c>
      <c r="G863" s="16" t="s">
        <v>526</v>
      </c>
      <c r="H863" s="16" t="s">
        <v>140</v>
      </c>
      <c r="I863" s="22" t="s">
        <v>856</v>
      </c>
      <c r="J863" s="16">
        <f>IFERROR(INDEX(Aux_HH!$J$4:$J$31,MATCH($H863&amp;"|"&amp;$I863,Aux_HH!$A$4:$A$31,0)),"")</f>
        <v>2.5</v>
      </c>
      <c r="K863" s="16" t="s">
        <v>76</v>
      </c>
      <c r="L863" s="16" t="str">
        <f>IF(COUNTIFS(Pessoas!$C$5:$C$44,$K863,Pessoas!$G$5:$G$44,"Ativo")=0,"Equipe "&amp;$K863,INDEX(Pessoas!$A$5:$A$44,_xludf.aggregate(15,6,(ROW(Pessoas!$A$5:$A$44)-4)/((Pessoas!$C$5:$C$44=$K863)*(Pessoas!$G$5:$G$44="Ativo")),MOD(ROW()-6,MAX(1,COUNTIFS(Pessoas!$C$5:$C$44,$K863,Pessoas!$G$5:$G$44,"Ativo")))+1)))</f>
        <v>Equipe Oficina Mecânica Central-Taisa</v>
      </c>
    </row>
    <row r="864" spans="1:12" ht="15" customHeight="1" x14ac:dyDescent="0.4">
      <c r="A864" s="25">
        <v>46392</v>
      </c>
      <c r="B864" s="16">
        <v>19</v>
      </c>
      <c r="C864" s="16">
        <v>2</v>
      </c>
      <c r="D864" s="16">
        <v>1</v>
      </c>
      <c r="E864" s="16" t="s">
        <v>980</v>
      </c>
      <c r="F864" s="16" t="s">
        <v>1161</v>
      </c>
      <c r="G864" s="16" t="s">
        <v>526</v>
      </c>
      <c r="H864" s="16" t="s">
        <v>140</v>
      </c>
      <c r="I864" s="22" t="s">
        <v>856</v>
      </c>
      <c r="J864" s="16">
        <f>IFERROR(INDEX(Aux_HH!$J$4:$J$31,MATCH($H864&amp;"|"&amp;$I864,Aux_HH!$A$4:$A$31,0)),"")</f>
        <v>2.5</v>
      </c>
      <c r="K864" s="16" t="s">
        <v>76</v>
      </c>
      <c r="L864" s="16" t="str">
        <f>IF(COUNTIFS(Pessoas!$C$5:$C$44,$K864,Pessoas!$G$5:$G$44,"Ativo")=0,"Equipe "&amp;$K864,INDEX(Pessoas!$A$5:$A$44,_xludf.aggregate(15,6,(ROW(Pessoas!$A$5:$A$44)-4)/((Pessoas!$C$5:$C$44=$K864)*(Pessoas!$G$5:$G$44="Ativo")),MOD(ROW()-6,MAX(1,COUNTIFS(Pessoas!$C$5:$C$44,$K864,Pessoas!$G$5:$G$44,"Ativo")))+1)))</f>
        <v>Equipe Oficina Mecânica Central-Taisa</v>
      </c>
    </row>
    <row r="865" spans="1:12" ht="15" customHeight="1" x14ac:dyDescent="0.4">
      <c r="A865" s="25">
        <v>46392</v>
      </c>
      <c r="B865" s="16">
        <v>19</v>
      </c>
      <c r="C865" s="16">
        <v>2</v>
      </c>
      <c r="D865" s="16">
        <v>1</v>
      </c>
      <c r="E865" s="16" t="s">
        <v>980</v>
      </c>
      <c r="F865" s="16" t="s">
        <v>1164</v>
      </c>
      <c r="G865" s="16" t="s">
        <v>184</v>
      </c>
      <c r="H865" s="16" t="s">
        <v>140</v>
      </c>
      <c r="I865" s="22" t="s">
        <v>856</v>
      </c>
      <c r="J865" s="16">
        <f>IFERROR(INDEX(Aux_HH!$J$4:$J$31,MATCH($H865&amp;"|"&amp;$I865,Aux_HH!$A$4:$A$31,0)),"")</f>
        <v>2.5</v>
      </c>
      <c r="K865" s="16" t="s">
        <v>76</v>
      </c>
      <c r="L865" s="16" t="str">
        <f>IF(COUNTIFS(Pessoas!$C$5:$C$44,$K865,Pessoas!$G$5:$G$44,"Ativo")=0,"Equipe "&amp;$K865,INDEX(Pessoas!$A$5:$A$44,_xludf.aggregate(15,6,(ROW(Pessoas!$A$5:$A$44)-4)/((Pessoas!$C$5:$C$44=$K865)*(Pessoas!$G$5:$G$44="Ativo")),MOD(ROW()-6,MAX(1,COUNTIFS(Pessoas!$C$5:$C$44,$K865,Pessoas!$G$5:$G$44,"Ativo")))+1)))</f>
        <v>Equipe Oficina Mecânica Central-Taisa</v>
      </c>
    </row>
    <row r="866" spans="1:12" ht="15" customHeight="1" x14ac:dyDescent="0.4">
      <c r="A866" s="25">
        <v>46392</v>
      </c>
      <c r="B866" s="16">
        <v>19</v>
      </c>
      <c r="C866" s="16">
        <v>2</v>
      </c>
      <c r="D866" s="16">
        <v>1</v>
      </c>
      <c r="E866" s="16" t="s">
        <v>980</v>
      </c>
      <c r="F866" s="16" t="s">
        <v>1165</v>
      </c>
      <c r="G866" s="16" t="s">
        <v>184</v>
      </c>
      <c r="H866" s="16" t="s">
        <v>140</v>
      </c>
      <c r="I866" s="22" t="s">
        <v>856</v>
      </c>
      <c r="J866" s="16">
        <f>IFERROR(INDEX(Aux_HH!$J$4:$J$31,MATCH($H866&amp;"|"&amp;$I866,Aux_HH!$A$4:$A$31,0)),"")</f>
        <v>2.5</v>
      </c>
      <c r="K866" s="16" t="s">
        <v>76</v>
      </c>
      <c r="L866" s="16" t="str">
        <f>IF(COUNTIFS(Pessoas!$C$5:$C$44,$K866,Pessoas!$G$5:$G$44,"Ativo")=0,"Equipe "&amp;$K866,INDEX(Pessoas!$A$5:$A$44,_xludf.aggregate(15,6,(ROW(Pessoas!$A$5:$A$44)-4)/((Pessoas!$C$5:$C$44=$K866)*(Pessoas!$G$5:$G$44="Ativo")),MOD(ROW()-6,MAX(1,COUNTIFS(Pessoas!$C$5:$C$44,$K866,Pessoas!$G$5:$G$44,"Ativo")))+1)))</f>
        <v>Equipe Oficina Mecânica Central-Taisa</v>
      </c>
    </row>
    <row r="867" spans="1:12" ht="15" customHeight="1" x14ac:dyDescent="0.4">
      <c r="A867" s="25">
        <v>46392</v>
      </c>
      <c r="B867" s="16">
        <v>19</v>
      </c>
      <c r="C867" s="16">
        <v>2</v>
      </c>
      <c r="D867" s="16">
        <v>1</v>
      </c>
      <c r="E867" s="16" t="s">
        <v>980</v>
      </c>
      <c r="F867" s="16" t="s">
        <v>1166</v>
      </c>
      <c r="G867" s="16" t="s">
        <v>526</v>
      </c>
      <c r="H867" s="16" t="s">
        <v>140</v>
      </c>
      <c r="I867" s="22" t="s">
        <v>856</v>
      </c>
      <c r="J867" s="16">
        <f>IFERROR(INDEX(Aux_HH!$J$4:$J$31,MATCH($H867&amp;"|"&amp;$I867,Aux_HH!$A$4:$A$31,0)),"")</f>
        <v>2.5</v>
      </c>
      <c r="K867" s="16" t="s">
        <v>76</v>
      </c>
      <c r="L867" s="16" t="str">
        <f>IF(COUNTIFS(Pessoas!$C$5:$C$44,$K867,Pessoas!$G$5:$G$44,"Ativo")=0,"Equipe "&amp;$K867,INDEX(Pessoas!$A$5:$A$44,_xludf.aggregate(15,6,(ROW(Pessoas!$A$5:$A$44)-4)/((Pessoas!$C$5:$C$44=$K867)*(Pessoas!$G$5:$G$44="Ativo")),MOD(ROW()-6,MAX(1,COUNTIFS(Pessoas!$C$5:$C$44,$K867,Pessoas!$G$5:$G$44,"Ativo")))+1)))</f>
        <v>Equipe Oficina Mecânica Central-Taisa</v>
      </c>
    </row>
    <row r="868" spans="1:12" ht="15" customHeight="1" x14ac:dyDescent="0.4">
      <c r="A868" s="25">
        <v>46392</v>
      </c>
      <c r="B868" s="16">
        <v>19</v>
      </c>
      <c r="C868" s="16">
        <v>2</v>
      </c>
      <c r="D868" s="16">
        <v>1</v>
      </c>
      <c r="E868" s="16" t="s">
        <v>980</v>
      </c>
      <c r="F868" s="16" t="s">
        <v>1167</v>
      </c>
      <c r="G868" s="16" t="s">
        <v>526</v>
      </c>
      <c r="H868" s="16" t="s">
        <v>140</v>
      </c>
      <c r="I868" s="22" t="s">
        <v>856</v>
      </c>
      <c r="J868" s="16">
        <f>IFERROR(INDEX(Aux_HH!$J$4:$J$31,MATCH($H868&amp;"|"&amp;$I868,Aux_HH!$A$4:$A$31,0)),"")</f>
        <v>2.5</v>
      </c>
      <c r="K868" s="16" t="s">
        <v>76</v>
      </c>
      <c r="L868" s="16" t="str">
        <f>IF(COUNTIFS(Pessoas!$C$5:$C$44,$K868,Pessoas!$G$5:$G$44,"Ativo")=0,"Equipe "&amp;$K868,INDEX(Pessoas!$A$5:$A$44,_xludf.aggregate(15,6,(ROW(Pessoas!$A$5:$A$44)-4)/((Pessoas!$C$5:$C$44=$K868)*(Pessoas!$G$5:$G$44="Ativo")),MOD(ROW()-6,MAX(1,COUNTIFS(Pessoas!$C$5:$C$44,$K868,Pessoas!$G$5:$G$44,"Ativo")))+1)))</f>
        <v>Equipe Oficina Mecânica Central-Taisa</v>
      </c>
    </row>
    <row r="869" spans="1:12" ht="15" customHeight="1" x14ac:dyDescent="0.4">
      <c r="A869" s="25">
        <v>46392</v>
      </c>
      <c r="B869" s="16">
        <v>19</v>
      </c>
      <c r="C869" s="16">
        <v>2</v>
      </c>
      <c r="D869" s="16">
        <v>1</v>
      </c>
      <c r="E869" s="16" t="s">
        <v>980</v>
      </c>
      <c r="F869" s="16" t="s">
        <v>1168</v>
      </c>
      <c r="G869" s="16" t="s">
        <v>526</v>
      </c>
      <c r="H869" s="16" t="s">
        <v>140</v>
      </c>
      <c r="I869" s="22" t="s">
        <v>856</v>
      </c>
      <c r="J869" s="16">
        <f>IFERROR(INDEX(Aux_HH!$J$4:$J$31,MATCH($H869&amp;"|"&amp;$I869,Aux_HH!$A$4:$A$31,0)),"")</f>
        <v>2.5</v>
      </c>
      <c r="K869" s="16" t="s">
        <v>76</v>
      </c>
      <c r="L869" s="16" t="str">
        <f>IF(COUNTIFS(Pessoas!$C$5:$C$44,$K869,Pessoas!$G$5:$G$44,"Ativo")=0,"Equipe "&amp;$K869,INDEX(Pessoas!$A$5:$A$44,_xludf.aggregate(15,6,(ROW(Pessoas!$A$5:$A$44)-4)/((Pessoas!$C$5:$C$44=$K869)*(Pessoas!$G$5:$G$44="Ativo")),MOD(ROW()-6,MAX(1,COUNTIFS(Pessoas!$C$5:$C$44,$K869,Pessoas!$G$5:$G$44,"Ativo")))+1)))</f>
        <v>Equipe Oficina Mecânica Central-Taisa</v>
      </c>
    </row>
    <row r="870" spans="1:12" ht="15" customHeight="1" x14ac:dyDescent="0.4">
      <c r="A870" s="25">
        <v>46393</v>
      </c>
      <c r="B870" s="16">
        <v>19</v>
      </c>
      <c r="C870" s="16">
        <v>2</v>
      </c>
      <c r="D870" s="16">
        <v>1</v>
      </c>
      <c r="E870" s="16" t="s">
        <v>980</v>
      </c>
      <c r="F870" s="16" t="s">
        <v>1170</v>
      </c>
      <c r="G870" s="16" t="s">
        <v>526</v>
      </c>
      <c r="H870" s="16" t="s">
        <v>140</v>
      </c>
      <c r="I870" s="22" t="s">
        <v>856</v>
      </c>
      <c r="J870" s="16">
        <f>IFERROR(INDEX(Aux_HH!$J$4:$J$31,MATCH($H870&amp;"|"&amp;$I870,Aux_HH!$A$4:$A$31,0)),"")</f>
        <v>2.5</v>
      </c>
      <c r="K870" s="16" t="s">
        <v>76</v>
      </c>
      <c r="L870" s="16" t="str">
        <f>IF(COUNTIFS(Pessoas!$C$5:$C$44,$K870,Pessoas!$G$5:$G$44,"Ativo")=0,"Equipe "&amp;$K870,INDEX(Pessoas!$A$5:$A$44,_xludf.aggregate(15,6,(ROW(Pessoas!$A$5:$A$44)-4)/((Pessoas!$C$5:$C$44=$K870)*(Pessoas!$G$5:$G$44="Ativo")),MOD(ROW()-6,MAX(1,COUNTIFS(Pessoas!$C$5:$C$44,$K870,Pessoas!$G$5:$G$44,"Ativo")))+1)))</f>
        <v>Equipe Oficina Mecânica Central-Taisa</v>
      </c>
    </row>
    <row r="871" spans="1:12" ht="15" customHeight="1" x14ac:dyDescent="0.4">
      <c r="A871" s="25">
        <v>46393</v>
      </c>
      <c r="B871" s="16">
        <v>19</v>
      </c>
      <c r="C871" s="16">
        <v>2</v>
      </c>
      <c r="D871" s="16">
        <v>1</v>
      </c>
      <c r="E871" s="16" t="s">
        <v>980</v>
      </c>
      <c r="F871" s="16" t="s">
        <v>1171</v>
      </c>
      <c r="G871" s="16" t="s">
        <v>526</v>
      </c>
      <c r="H871" s="16" t="s">
        <v>140</v>
      </c>
      <c r="I871" s="22" t="s">
        <v>856</v>
      </c>
      <c r="J871" s="16">
        <f>IFERROR(INDEX(Aux_HH!$J$4:$J$31,MATCH($H871&amp;"|"&amp;$I871,Aux_HH!$A$4:$A$31,0)),"")</f>
        <v>2.5</v>
      </c>
      <c r="K871" s="16" t="s">
        <v>76</v>
      </c>
      <c r="L871" s="16" t="str">
        <f>IF(COUNTIFS(Pessoas!$C$5:$C$44,$K871,Pessoas!$G$5:$G$44,"Ativo")=0,"Equipe "&amp;$K871,INDEX(Pessoas!$A$5:$A$44,_xludf.aggregate(15,6,(ROW(Pessoas!$A$5:$A$44)-4)/((Pessoas!$C$5:$C$44=$K871)*(Pessoas!$G$5:$G$44="Ativo")),MOD(ROW()-6,MAX(1,COUNTIFS(Pessoas!$C$5:$C$44,$K871,Pessoas!$G$5:$G$44,"Ativo")))+1)))</f>
        <v>Equipe Oficina Mecânica Central-Taisa</v>
      </c>
    </row>
    <row r="872" spans="1:12" ht="15" customHeight="1" x14ac:dyDescent="0.4">
      <c r="A872" s="25">
        <v>46393</v>
      </c>
      <c r="B872" s="16">
        <v>19</v>
      </c>
      <c r="C872" s="16">
        <v>2</v>
      </c>
      <c r="D872" s="16">
        <v>1</v>
      </c>
      <c r="E872" s="16" t="s">
        <v>980</v>
      </c>
      <c r="F872" s="16" t="s">
        <v>1172</v>
      </c>
      <c r="G872" s="16" t="s">
        <v>526</v>
      </c>
      <c r="H872" s="16" t="s">
        <v>140</v>
      </c>
      <c r="I872" s="22" t="s">
        <v>856</v>
      </c>
      <c r="J872" s="16">
        <f>IFERROR(INDEX(Aux_HH!$J$4:$J$31,MATCH($H872&amp;"|"&amp;$I872,Aux_HH!$A$4:$A$31,0)),"")</f>
        <v>2.5</v>
      </c>
      <c r="K872" s="16" t="s">
        <v>76</v>
      </c>
      <c r="L872" s="16" t="str">
        <f>IF(COUNTIFS(Pessoas!$C$5:$C$44,$K872,Pessoas!$G$5:$G$44,"Ativo")=0,"Equipe "&amp;$K872,INDEX(Pessoas!$A$5:$A$44,_xludf.aggregate(15,6,(ROW(Pessoas!$A$5:$A$44)-4)/((Pessoas!$C$5:$C$44=$K872)*(Pessoas!$G$5:$G$44="Ativo")),MOD(ROW()-6,MAX(1,COUNTIFS(Pessoas!$C$5:$C$44,$K872,Pessoas!$G$5:$G$44,"Ativo")))+1)))</f>
        <v>Equipe Oficina Mecânica Central-Taisa</v>
      </c>
    </row>
    <row r="873" spans="1:12" ht="15" customHeight="1" x14ac:dyDescent="0.4">
      <c r="A873" s="25">
        <v>46393</v>
      </c>
      <c r="B873" s="16">
        <v>19</v>
      </c>
      <c r="C873" s="16">
        <v>2</v>
      </c>
      <c r="D873" s="16">
        <v>1</v>
      </c>
      <c r="E873" s="16" t="s">
        <v>980</v>
      </c>
      <c r="F873" s="16" t="s">
        <v>1173</v>
      </c>
      <c r="G873" s="16" t="s">
        <v>184</v>
      </c>
      <c r="H873" s="16" t="s">
        <v>140</v>
      </c>
      <c r="I873" s="22" t="s">
        <v>856</v>
      </c>
      <c r="J873" s="16">
        <f>IFERROR(INDEX(Aux_HH!$J$4:$J$31,MATCH($H873&amp;"|"&amp;$I873,Aux_HH!$A$4:$A$31,0)),"")</f>
        <v>2.5</v>
      </c>
      <c r="K873" s="16" t="s">
        <v>76</v>
      </c>
      <c r="L873" s="16" t="str">
        <f>IF(COUNTIFS(Pessoas!$C$5:$C$44,$K873,Pessoas!$G$5:$G$44,"Ativo")=0,"Equipe "&amp;$K873,INDEX(Pessoas!$A$5:$A$44,_xludf.aggregate(15,6,(ROW(Pessoas!$A$5:$A$44)-4)/((Pessoas!$C$5:$C$44=$K873)*(Pessoas!$G$5:$G$44="Ativo")),MOD(ROW()-6,MAX(1,COUNTIFS(Pessoas!$C$5:$C$44,$K873,Pessoas!$G$5:$G$44,"Ativo")))+1)))</f>
        <v>Equipe Oficina Mecânica Central-Taisa</v>
      </c>
    </row>
    <row r="874" spans="1:12" ht="15" customHeight="1" x14ac:dyDescent="0.4">
      <c r="A874" s="25">
        <v>46393</v>
      </c>
      <c r="B874" s="16">
        <v>19</v>
      </c>
      <c r="C874" s="16">
        <v>2</v>
      </c>
      <c r="D874" s="16">
        <v>1</v>
      </c>
      <c r="E874" s="16" t="s">
        <v>980</v>
      </c>
      <c r="F874" s="16" t="s">
        <v>1174</v>
      </c>
      <c r="G874" s="16" t="s">
        <v>526</v>
      </c>
      <c r="H874" s="16" t="s">
        <v>140</v>
      </c>
      <c r="I874" s="22" t="s">
        <v>856</v>
      </c>
      <c r="J874" s="16">
        <f>IFERROR(INDEX(Aux_HH!$J$4:$J$31,MATCH($H874&amp;"|"&amp;$I874,Aux_HH!$A$4:$A$31,0)),"")</f>
        <v>2.5</v>
      </c>
      <c r="K874" s="16" t="s">
        <v>76</v>
      </c>
      <c r="L874" s="16" t="str">
        <f>IF(COUNTIFS(Pessoas!$C$5:$C$44,$K874,Pessoas!$G$5:$G$44,"Ativo")=0,"Equipe "&amp;$K874,INDEX(Pessoas!$A$5:$A$44,_xludf.aggregate(15,6,(ROW(Pessoas!$A$5:$A$44)-4)/((Pessoas!$C$5:$C$44=$K874)*(Pessoas!$G$5:$G$44="Ativo")),MOD(ROW()-6,MAX(1,COUNTIFS(Pessoas!$C$5:$C$44,$K874,Pessoas!$G$5:$G$44,"Ativo")))+1)))</f>
        <v>Equipe Oficina Mecânica Central-Taisa</v>
      </c>
    </row>
    <row r="875" spans="1:12" ht="15" customHeight="1" x14ac:dyDescent="0.4">
      <c r="A875" s="25">
        <v>46393</v>
      </c>
      <c r="B875" s="16">
        <v>19</v>
      </c>
      <c r="C875" s="16">
        <v>2</v>
      </c>
      <c r="D875" s="16">
        <v>1</v>
      </c>
      <c r="E875" s="16" t="s">
        <v>980</v>
      </c>
      <c r="F875" s="16" t="s">
        <v>1175</v>
      </c>
      <c r="G875" s="16" t="s">
        <v>184</v>
      </c>
      <c r="H875" s="16" t="s">
        <v>140</v>
      </c>
      <c r="I875" s="22" t="s">
        <v>856</v>
      </c>
      <c r="J875" s="16">
        <f>IFERROR(INDEX(Aux_HH!$J$4:$J$31,MATCH($H875&amp;"|"&amp;$I875,Aux_HH!$A$4:$A$31,0)),"")</f>
        <v>2.5</v>
      </c>
      <c r="K875" s="16" t="s">
        <v>76</v>
      </c>
      <c r="L875" s="16" t="str">
        <f>IF(COUNTIFS(Pessoas!$C$5:$C$44,$K875,Pessoas!$G$5:$G$44,"Ativo")=0,"Equipe "&amp;$K875,INDEX(Pessoas!$A$5:$A$44,_xludf.aggregate(15,6,(ROW(Pessoas!$A$5:$A$44)-4)/((Pessoas!$C$5:$C$44=$K875)*(Pessoas!$G$5:$G$44="Ativo")),MOD(ROW()-6,MAX(1,COUNTIFS(Pessoas!$C$5:$C$44,$K875,Pessoas!$G$5:$G$44,"Ativo")))+1)))</f>
        <v>Equipe Oficina Mecânica Central-Taisa</v>
      </c>
    </row>
    <row r="876" spans="1:12" ht="15" customHeight="1" x14ac:dyDescent="0.4">
      <c r="A876" s="25">
        <v>46393</v>
      </c>
      <c r="B876" s="16">
        <v>19</v>
      </c>
      <c r="C876" s="16">
        <v>2</v>
      </c>
      <c r="D876" s="16">
        <v>1</v>
      </c>
      <c r="E876" s="16" t="s">
        <v>980</v>
      </c>
      <c r="F876" s="16" t="s">
        <v>1176</v>
      </c>
      <c r="G876" s="16" t="s">
        <v>526</v>
      </c>
      <c r="H876" s="16" t="s">
        <v>140</v>
      </c>
      <c r="I876" s="22" t="s">
        <v>856</v>
      </c>
      <c r="J876" s="16">
        <f>IFERROR(INDEX(Aux_HH!$J$4:$J$31,MATCH($H876&amp;"|"&amp;$I876,Aux_HH!$A$4:$A$31,0)),"")</f>
        <v>2.5</v>
      </c>
      <c r="K876" s="16" t="s">
        <v>76</v>
      </c>
      <c r="L876" s="16" t="str">
        <f>IF(COUNTIFS(Pessoas!$C$5:$C$44,$K876,Pessoas!$G$5:$G$44,"Ativo")=0,"Equipe "&amp;$K876,INDEX(Pessoas!$A$5:$A$44,_xludf.aggregate(15,6,(ROW(Pessoas!$A$5:$A$44)-4)/((Pessoas!$C$5:$C$44=$K876)*(Pessoas!$G$5:$G$44="Ativo")),MOD(ROW()-6,MAX(1,COUNTIFS(Pessoas!$C$5:$C$44,$K876,Pessoas!$G$5:$G$44,"Ativo")))+1)))</f>
        <v>Equipe Oficina Mecânica Central-Taisa</v>
      </c>
    </row>
    <row r="877" spans="1:12" ht="15" customHeight="1" x14ac:dyDescent="0.4">
      <c r="A877" s="25">
        <v>46393</v>
      </c>
      <c r="B877" s="16">
        <v>19</v>
      </c>
      <c r="C877" s="16">
        <v>2</v>
      </c>
      <c r="D877" s="16">
        <v>1</v>
      </c>
      <c r="E877" s="16" t="s">
        <v>980</v>
      </c>
      <c r="F877" s="16" t="s">
        <v>1177</v>
      </c>
      <c r="G877" s="16" t="s">
        <v>526</v>
      </c>
      <c r="H877" s="16" t="s">
        <v>140</v>
      </c>
      <c r="I877" s="22" t="s">
        <v>856</v>
      </c>
      <c r="J877" s="16">
        <f>IFERROR(INDEX(Aux_HH!$J$4:$J$31,MATCH($H877&amp;"|"&amp;$I877,Aux_HH!$A$4:$A$31,0)),"")</f>
        <v>2.5</v>
      </c>
      <c r="K877" s="16" t="s">
        <v>76</v>
      </c>
      <c r="L877" s="16" t="str">
        <f>IF(COUNTIFS(Pessoas!$C$5:$C$44,$K877,Pessoas!$G$5:$G$44,"Ativo")=0,"Equipe "&amp;$K877,INDEX(Pessoas!$A$5:$A$44,_xludf.aggregate(15,6,(ROW(Pessoas!$A$5:$A$44)-4)/((Pessoas!$C$5:$C$44=$K877)*(Pessoas!$G$5:$G$44="Ativo")),MOD(ROW()-6,MAX(1,COUNTIFS(Pessoas!$C$5:$C$44,$K877,Pessoas!$G$5:$G$44,"Ativo")))+1)))</f>
        <v>Equipe Oficina Mecânica Central-Taisa</v>
      </c>
    </row>
    <row r="878" spans="1:12" ht="15" customHeight="1" x14ac:dyDescent="0.4">
      <c r="A878" s="25">
        <v>46393</v>
      </c>
      <c r="B878" s="16">
        <v>19</v>
      </c>
      <c r="C878" s="16">
        <v>2</v>
      </c>
      <c r="D878" s="16">
        <v>1</v>
      </c>
      <c r="E878" s="16" t="s">
        <v>980</v>
      </c>
      <c r="F878" s="16" t="s">
        <v>1178</v>
      </c>
      <c r="G878" s="16" t="s">
        <v>526</v>
      </c>
      <c r="H878" s="16" t="s">
        <v>140</v>
      </c>
      <c r="I878" s="22" t="s">
        <v>856</v>
      </c>
      <c r="J878" s="16">
        <f>IFERROR(INDEX(Aux_HH!$J$4:$J$31,MATCH($H878&amp;"|"&amp;$I878,Aux_HH!$A$4:$A$31,0)),"")</f>
        <v>2.5</v>
      </c>
      <c r="K878" s="16" t="s">
        <v>76</v>
      </c>
      <c r="L878" s="16" t="str">
        <f>IF(COUNTIFS(Pessoas!$C$5:$C$44,$K878,Pessoas!$G$5:$G$44,"Ativo")=0,"Equipe "&amp;$K878,INDEX(Pessoas!$A$5:$A$44,_xludf.aggregate(15,6,(ROW(Pessoas!$A$5:$A$44)-4)/((Pessoas!$C$5:$C$44=$K878)*(Pessoas!$G$5:$G$44="Ativo")),MOD(ROW()-6,MAX(1,COUNTIFS(Pessoas!$C$5:$C$44,$K878,Pessoas!$G$5:$G$44,"Ativo")))+1)))</f>
        <v>Equipe Oficina Mecânica Central-Taisa</v>
      </c>
    </row>
    <row r="879" spans="1:12" ht="15" customHeight="1" x14ac:dyDescent="0.4">
      <c r="A879" s="25">
        <v>46393</v>
      </c>
      <c r="B879" s="16">
        <v>19</v>
      </c>
      <c r="C879" s="16">
        <v>2</v>
      </c>
      <c r="D879" s="16">
        <v>1</v>
      </c>
      <c r="E879" s="16" t="s">
        <v>980</v>
      </c>
      <c r="F879" s="16" t="s">
        <v>1179</v>
      </c>
      <c r="G879" s="16" t="s">
        <v>526</v>
      </c>
      <c r="H879" s="16" t="s">
        <v>140</v>
      </c>
      <c r="I879" s="22" t="s">
        <v>856</v>
      </c>
      <c r="J879" s="16">
        <f>IFERROR(INDEX(Aux_HH!$J$4:$J$31,MATCH($H879&amp;"|"&amp;$I879,Aux_HH!$A$4:$A$31,0)),"")</f>
        <v>2.5</v>
      </c>
      <c r="K879" s="16" t="s">
        <v>76</v>
      </c>
      <c r="L879" s="16" t="str">
        <f>IF(COUNTIFS(Pessoas!$C$5:$C$44,$K879,Pessoas!$G$5:$G$44,"Ativo")=0,"Equipe "&amp;$K879,INDEX(Pessoas!$A$5:$A$44,_xludf.aggregate(15,6,(ROW(Pessoas!$A$5:$A$44)-4)/((Pessoas!$C$5:$C$44=$K879)*(Pessoas!$G$5:$G$44="Ativo")),MOD(ROW()-6,MAX(1,COUNTIFS(Pessoas!$C$5:$C$44,$K879,Pessoas!$G$5:$G$44,"Ativo")))+1)))</f>
        <v>Equipe Oficina Mecânica Central-Taisa</v>
      </c>
    </row>
    <row r="880" spans="1:12" ht="15" customHeight="1" x14ac:dyDescent="0.4">
      <c r="A880" s="25">
        <v>46393</v>
      </c>
      <c r="B880" s="16">
        <v>19</v>
      </c>
      <c r="C880" s="16">
        <v>2</v>
      </c>
      <c r="D880" s="16">
        <v>1</v>
      </c>
      <c r="E880" s="16" t="s">
        <v>980</v>
      </c>
      <c r="F880" s="16" t="s">
        <v>1180</v>
      </c>
      <c r="G880" s="16" t="s">
        <v>526</v>
      </c>
      <c r="H880" s="16" t="s">
        <v>140</v>
      </c>
      <c r="I880" s="22" t="s">
        <v>856</v>
      </c>
      <c r="J880" s="16">
        <f>IFERROR(INDEX(Aux_HH!$J$4:$J$31,MATCH($H880&amp;"|"&amp;$I880,Aux_HH!$A$4:$A$31,0)),"")</f>
        <v>2.5</v>
      </c>
      <c r="K880" s="16" t="s">
        <v>76</v>
      </c>
      <c r="L880" s="16" t="str">
        <f>IF(COUNTIFS(Pessoas!$C$5:$C$44,$K880,Pessoas!$G$5:$G$44,"Ativo")=0,"Equipe "&amp;$K880,INDEX(Pessoas!$A$5:$A$44,_xludf.aggregate(15,6,(ROW(Pessoas!$A$5:$A$44)-4)/((Pessoas!$C$5:$C$44=$K880)*(Pessoas!$G$5:$G$44="Ativo")),MOD(ROW()-6,MAX(1,COUNTIFS(Pessoas!$C$5:$C$44,$K880,Pessoas!$G$5:$G$44,"Ativo")))+1)))</f>
        <v>Equipe Oficina Mecânica Central-Taisa</v>
      </c>
    </row>
    <row r="881" spans="1:12" ht="15" customHeight="1" x14ac:dyDescent="0.4">
      <c r="A881" s="25">
        <v>46393</v>
      </c>
      <c r="B881" s="16">
        <v>19</v>
      </c>
      <c r="C881" s="16">
        <v>2</v>
      </c>
      <c r="D881" s="16">
        <v>1</v>
      </c>
      <c r="E881" s="16" t="s">
        <v>980</v>
      </c>
      <c r="F881" s="16" t="s">
        <v>1181</v>
      </c>
      <c r="G881" s="16" t="s">
        <v>526</v>
      </c>
      <c r="H881" s="16" t="s">
        <v>140</v>
      </c>
      <c r="I881" s="22" t="s">
        <v>856</v>
      </c>
      <c r="J881" s="16">
        <f>IFERROR(INDEX(Aux_HH!$J$4:$J$31,MATCH($H881&amp;"|"&amp;$I881,Aux_HH!$A$4:$A$31,0)),"")</f>
        <v>2.5</v>
      </c>
      <c r="K881" s="16" t="s">
        <v>76</v>
      </c>
      <c r="L881" s="16" t="str">
        <f>IF(COUNTIFS(Pessoas!$C$5:$C$44,$K881,Pessoas!$G$5:$G$44,"Ativo")=0,"Equipe "&amp;$K881,INDEX(Pessoas!$A$5:$A$44,_xludf.aggregate(15,6,(ROW(Pessoas!$A$5:$A$44)-4)/((Pessoas!$C$5:$C$44=$K881)*(Pessoas!$G$5:$G$44="Ativo")),MOD(ROW()-6,MAX(1,COUNTIFS(Pessoas!$C$5:$C$44,$K881,Pessoas!$G$5:$G$44,"Ativo")))+1)))</f>
        <v>Equipe Oficina Mecânica Central-Taisa</v>
      </c>
    </row>
    <row r="882" spans="1:12" ht="15" customHeight="1" x14ac:dyDescent="0.4">
      <c r="A882" s="25">
        <v>46393</v>
      </c>
      <c r="B882" s="16">
        <v>19</v>
      </c>
      <c r="C882" s="16">
        <v>2</v>
      </c>
      <c r="D882" s="16">
        <v>1</v>
      </c>
      <c r="E882" s="16" t="s">
        <v>980</v>
      </c>
      <c r="F882" s="16" t="s">
        <v>1205</v>
      </c>
      <c r="G882" s="16" t="s">
        <v>526</v>
      </c>
      <c r="H882" s="16" t="s">
        <v>140</v>
      </c>
      <c r="I882" s="22" t="s">
        <v>856</v>
      </c>
      <c r="J882" s="16">
        <f>IFERROR(INDEX(Aux_HH!$J$4:$J$31,MATCH($H882&amp;"|"&amp;$I882,Aux_HH!$A$4:$A$31,0)),"")</f>
        <v>2.5</v>
      </c>
      <c r="K882" s="16" t="s">
        <v>76</v>
      </c>
      <c r="L882" s="16" t="str">
        <f>IF(COUNTIFS(Pessoas!$C$5:$C$44,$K882,Pessoas!$G$5:$G$44,"Ativo")=0,"Equipe "&amp;$K882,INDEX(Pessoas!$A$5:$A$44,_xludf.aggregate(15,6,(ROW(Pessoas!$A$5:$A$44)-4)/((Pessoas!$C$5:$C$44=$K882)*(Pessoas!$G$5:$G$44="Ativo")),MOD(ROW()-6,MAX(1,COUNTIFS(Pessoas!$C$5:$C$44,$K882,Pessoas!$G$5:$G$44,"Ativo")))+1)))</f>
        <v>Equipe Oficina Mecânica Central-Taisa</v>
      </c>
    </row>
    <row r="883" spans="1:12" ht="15" customHeight="1" x14ac:dyDescent="0.4">
      <c r="A883" s="25">
        <v>46393</v>
      </c>
      <c r="B883" s="16">
        <v>19</v>
      </c>
      <c r="C883" s="16">
        <v>2</v>
      </c>
      <c r="D883" s="16">
        <v>1</v>
      </c>
      <c r="E883" s="16" t="s">
        <v>980</v>
      </c>
      <c r="F883" s="16" t="s">
        <v>1206</v>
      </c>
      <c r="G883" s="16" t="s">
        <v>526</v>
      </c>
      <c r="H883" s="16" t="s">
        <v>140</v>
      </c>
      <c r="I883" s="22" t="s">
        <v>856</v>
      </c>
      <c r="J883" s="16">
        <f>IFERROR(INDEX(Aux_HH!$J$4:$J$31,MATCH($H883&amp;"|"&amp;$I883,Aux_HH!$A$4:$A$31,0)),"")</f>
        <v>2.5</v>
      </c>
      <c r="K883" s="16" t="s">
        <v>76</v>
      </c>
      <c r="L883" s="16" t="str">
        <f>IF(COUNTIFS(Pessoas!$C$5:$C$44,$K883,Pessoas!$G$5:$G$44,"Ativo")=0,"Equipe "&amp;$K883,INDEX(Pessoas!$A$5:$A$44,_xludf.aggregate(15,6,(ROW(Pessoas!$A$5:$A$44)-4)/((Pessoas!$C$5:$C$44=$K883)*(Pessoas!$G$5:$G$44="Ativo")),MOD(ROW()-6,MAX(1,COUNTIFS(Pessoas!$C$5:$C$44,$K883,Pessoas!$G$5:$G$44,"Ativo")))+1)))</f>
        <v>Equipe Oficina Mecânica Central-Taisa</v>
      </c>
    </row>
    <row r="884" spans="1:12" ht="15" customHeight="1" x14ac:dyDescent="0.4">
      <c r="A884" s="25">
        <v>46393</v>
      </c>
      <c r="B884" s="16">
        <v>19</v>
      </c>
      <c r="C884" s="16">
        <v>2</v>
      </c>
      <c r="D884" s="16">
        <v>1</v>
      </c>
      <c r="E884" s="16" t="s">
        <v>980</v>
      </c>
      <c r="F884" s="16" t="s">
        <v>1207</v>
      </c>
      <c r="G884" s="16" t="s">
        <v>526</v>
      </c>
      <c r="H884" s="16" t="s">
        <v>140</v>
      </c>
      <c r="I884" s="22" t="s">
        <v>856</v>
      </c>
      <c r="J884" s="16">
        <f>IFERROR(INDEX(Aux_HH!$J$4:$J$31,MATCH($H884&amp;"|"&amp;$I884,Aux_HH!$A$4:$A$31,0)),"")</f>
        <v>2.5</v>
      </c>
      <c r="K884" s="16" t="s">
        <v>76</v>
      </c>
      <c r="L884" s="16" t="str">
        <f>IF(COUNTIFS(Pessoas!$C$5:$C$44,$K884,Pessoas!$G$5:$G$44,"Ativo")=0,"Equipe "&amp;$K884,INDEX(Pessoas!$A$5:$A$44,_xludf.aggregate(15,6,(ROW(Pessoas!$A$5:$A$44)-4)/((Pessoas!$C$5:$C$44=$K884)*(Pessoas!$G$5:$G$44="Ativo")),MOD(ROW()-6,MAX(1,COUNTIFS(Pessoas!$C$5:$C$44,$K884,Pessoas!$G$5:$G$44,"Ativo")))+1)))</f>
        <v>Equipe Oficina Mecânica Central-Taisa</v>
      </c>
    </row>
    <row r="885" spans="1:12" ht="15" customHeight="1" x14ac:dyDescent="0.4">
      <c r="A885" s="25">
        <v>46393</v>
      </c>
      <c r="B885" s="16">
        <v>19</v>
      </c>
      <c r="C885" s="16">
        <v>2</v>
      </c>
      <c r="D885" s="16">
        <v>1</v>
      </c>
      <c r="E885" s="16" t="s">
        <v>980</v>
      </c>
      <c r="F885" s="16" t="s">
        <v>1208</v>
      </c>
      <c r="G885" s="16" t="s">
        <v>526</v>
      </c>
      <c r="H885" s="16" t="s">
        <v>140</v>
      </c>
      <c r="I885" s="22" t="s">
        <v>856</v>
      </c>
      <c r="J885" s="16">
        <f>IFERROR(INDEX(Aux_HH!$J$4:$J$31,MATCH($H885&amp;"|"&amp;$I885,Aux_HH!$A$4:$A$31,0)),"")</f>
        <v>2.5</v>
      </c>
      <c r="K885" s="16" t="s">
        <v>76</v>
      </c>
      <c r="L885" s="16" t="str">
        <f>IF(COUNTIFS(Pessoas!$C$5:$C$44,$K885,Pessoas!$G$5:$G$44,"Ativo")=0,"Equipe "&amp;$K885,INDEX(Pessoas!$A$5:$A$44,_xludf.aggregate(15,6,(ROW(Pessoas!$A$5:$A$44)-4)/((Pessoas!$C$5:$C$44=$K885)*(Pessoas!$G$5:$G$44="Ativo")),MOD(ROW()-6,MAX(1,COUNTIFS(Pessoas!$C$5:$C$44,$K885,Pessoas!$G$5:$G$44,"Ativo")))+1)))</f>
        <v>Equipe Oficina Mecânica Central-Taisa</v>
      </c>
    </row>
    <row r="886" spans="1:12" ht="15" customHeight="1" x14ac:dyDescent="0.4">
      <c r="A886" s="25">
        <v>46393</v>
      </c>
      <c r="B886" s="16">
        <v>19</v>
      </c>
      <c r="C886" s="16">
        <v>2</v>
      </c>
      <c r="D886" s="16">
        <v>1</v>
      </c>
      <c r="E886" s="16" t="s">
        <v>980</v>
      </c>
      <c r="F886" s="16" t="s">
        <v>1210</v>
      </c>
      <c r="G886" s="16" t="s">
        <v>184</v>
      </c>
      <c r="H886" s="16" t="s">
        <v>140</v>
      </c>
      <c r="I886" s="22" t="s">
        <v>856</v>
      </c>
      <c r="J886" s="16">
        <f>IFERROR(INDEX(Aux_HH!$J$4:$J$31,MATCH($H886&amp;"|"&amp;$I886,Aux_HH!$A$4:$A$31,0)),"")</f>
        <v>2.5</v>
      </c>
      <c r="K886" s="16" t="s">
        <v>76</v>
      </c>
      <c r="L886" s="16" t="str">
        <f>IF(COUNTIFS(Pessoas!$C$5:$C$44,$K886,Pessoas!$G$5:$G$44,"Ativo")=0,"Equipe "&amp;$K886,INDEX(Pessoas!$A$5:$A$44,_xludf.aggregate(15,6,(ROW(Pessoas!$A$5:$A$44)-4)/((Pessoas!$C$5:$C$44=$K886)*(Pessoas!$G$5:$G$44="Ativo")),MOD(ROW()-6,MAX(1,COUNTIFS(Pessoas!$C$5:$C$44,$K886,Pessoas!$G$5:$G$44,"Ativo")))+1)))</f>
        <v>Equipe Oficina Mecânica Central-Taisa</v>
      </c>
    </row>
    <row r="887" spans="1:12" ht="15" customHeight="1" x14ac:dyDescent="0.4">
      <c r="A887" s="25">
        <v>46393</v>
      </c>
      <c r="B887" s="16">
        <v>19</v>
      </c>
      <c r="C887" s="16">
        <v>2</v>
      </c>
      <c r="D887" s="16">
        <v>1</v>
      </c>
      <c r="E887" s="16" t="s">
        <v>980</v>
      </c>
      <c r="F887" s="16" t="s">
        <v>1211</v>
      </c>
      <c r="G887" s="16" t="s">
        <v>184</v>
      </c>
      <c r="H887" s="16" t="s">
        <v>140</v>
      </c>
      <c r="I887" s="22" t="s">
        <v>856</v>
      </c>
      <c r="J887" s="16">
        <f>IFERROR(INDEX(Aux_HH!$J$4:$J$31,MATCH($H887&amp;"|"&amp;$I887,Aux_HH!$A$4:$A$31,0)),"")</f>
        <v>2.5</v>
      </c>
      <c r="K887" s="16" t="s">
        <v>76</v>
      </c>
      <c r="L887" s="16" t="str">
        <f>IF(COUNTIFS(Pessoas!$C$5:$C$44,$K887,Pessoas!$G$5:$G$44,"Ativo")=0,"Equipe "&amp;$K887,INDEX(Pessoas!$A$5:$A$44,_xludf.aggregate(15,6,(ROW(Pessoas!$A$5:$A$44)-4)/((Pessoas!$C$5:$C$44=$K887)*(Pessoas!$G$5:$G$44="Ativo")),MOD(ROW()-6,MAX(1,COUNTIFS(Pessoas!$C$5:$C$44,$K887,Pessoas!$G$5:$G$44,"Ativo")))+1)))</f>
        <v>Equipe Oficina Mecânica Central-Taisa</v>
      </c>
    </row>
    <row r="888" spans="1:12" ht="15" customHeight="1" x14ac:dyDescent="0.4">
      <c r="A888" s="25">
        <v>46393</v>
      </c>
      <c r="B888" s="16">
        <v>19</v>
      </c>
      <c r="C888" s="16">
        <v>2</v>
      </c>
      <c r="D888" s="16">
        <v>1</v>
      </c>
      <c r="E888" s="16" t="s">
        <v>980</v>
      </c>
      <c r="F888" s="16" t="s">
        <v>1212</v>
      </c>
      <c r="G888" s="16" t="s">
        <v>526</v>
      </c>
      <c r="H888" s="16" t="s">
        <v>140</v>
      </c>
      <c r="I888" s="22" t="s">
        <v>856</v>
      </c>
      <c r="J888" s="16">
        <f>IFERROR(INDEX(Aux_HH!$J$4:$J$31,MATCH($H888&amp;"|"&amp;$I888,Aux_HH!$A$4:$A$31,0)),"")</f>
        <v>2.5</v>
      </c>
      <c r="K888" s="16" t="s">
        <v>76</v>
      </c>
      <c r="L888" s="16" t="str">
        <f>IF(COUNTIFS(Pessoas!$C$5:$C$44,$K888,Pessoas!$G$5:$G$44,"Ativo")=0,"Equipe "&amp;$K888,INDEX(Pessoas!$A$5:$A$44,_xludf.aggregate(15,6,(ROW(Pessoas!$A$5:$A$44)-4)/((Pessoas!$C$5:$C$44=$K888)*(Pessoas!$G$5:$G$44="Ativo")),MOD(ROW()-6,MAX(1,COUNTIFS(Pessoas!$C$5:$C$44,$K888,Pessoas!$G$5:$G$44,"Ativo")))+1)))</f>
        <v>Equipe Oficina Mecânica Central-Taisa</v>
      </c>
    </row>
    <row r="889" spans="1:12" ht="15" customHeight="1" x14ac:dyDescent="0.4">
      <c r="A889" s="25">
        <v>46393</v>
      </c>
      <c r="B889" s="16">
        <v>19</v>
      </c>
      <c r="C889" s="16">
        <v>2</v>
      </c>
      <c r="D889" s="16">
        <v>1</v>
      </c>
      <c r="E889" s="16" t="s">
        <v>980</v>
      </c>
      <c r="F889" s="16" t="s">
        <v>1213</v>
      </c>
      <c r="G889" s="16" t="s">
        <v>526</v>
      </c>
      <c r="H889" s="16" t="s">
        <v>140</v>
      </c>
      <c r="I889" s="22" t="s">
        <v>856</v>
      </c>
      <c r="J889" s="16">
        <f>IFERROR(INDEX(Aux_HH!$J$4:$J$31,MATCH($H889&amp;"|"&amp;$I889,Aux_HH!$A$4:$A$31,0)),"")</f>
        <v>2.5</v>
      </c>
      <c r="K889" s="16" t="s">
        <v>76</v>
      </c>
      <c r="L889" s="16" t="str">
        <f>IF(COUNTIFS(Pessoas!$C$5:$C$44,$K889,Pessoas!$G$5:$G$44,"Ativo")=0,"Equipe "&amp;$K889,INDEX(Pessoas!$A$5:$A$44,_xludf.aggregate(15,6,(ROW(Pessoas!$A$5:$A$44)-4)/((Pessoas!$C$5:$C$44=$K889)*(Pessoas!$G$5:$G$44="Ativo")),MOD(ROW()-6,MAX(1,COUNTIFS(Pessoas!$C$5:$C$44,$K889,Pessoas!$G$5:$G$44,"Ativo")))+1)))</f>
        <v>Equipe Oficina Mecânica Central-Taisa</v>
      </c>
    </row>
    <row r="890" spans="1:12" ht="15" customHeight="1" x14ac:dyDescent="0.4">
      <c r="A890" s="25">
        <v>46393</v>
      </c>
      <c r="B890" s="16">
        <v>19</v>
      </c>
      <c r="C890" s="16">
        <v>2</v>
      </c>
      <c r="D890" s="16">
        <v>1</v>
      </c>
      <c r="E890" s="16" t="s">
        <v>980</v>
      </c>
      <c r="F890" s="16" t="s">
        <v>1214</v>
      </c>
      <c r="G890" s="16" t="s">
        <v>526</v>
      </c>
      <c r="H890" s="16" t="s">
        <v>140</v>
      </c>
      <c r="I890" s="22" t="s">
        <v>856</v>
      </c>
      <c r="J890" s="16">
        <f>IFERROR(INDEX(Aux_HH!$J$4:$J$31,MATCH($H890&amp;"|"&amp;$I890,Aux_HH!$A$4:$A$31,0)),"")</f>
        <v>2.5</v>
      </c>
      <c r="K890" s="16" t="s">
        <v>76</v>
      </c>
      <c r="L890" s="16" t="str">
        <f>IF(COUNTIFS(Pessoas!$C$5:$C$44,$K890,Pessoas!$G$5:$G$44,"Ativo")=0,"Equipe "&amp;$K890,INDEX(Pessoas!$A$5:$A$44,_xludf.aggregate(15,6,(ROW(Pessoas!$A$5:$A$44)-4)/((Pessoas!$C$5:$C$44=$K890)*(Pessoas!$G$5:$G$44="Ativo")),MOD(ROW()-6,MAX(1,COUNTIFS(Pessoas!$C$5:$C$44,$K890,Pessoas!$G$5:$G$44,"Ativo")))+1)))</f>
        <v>Equipe Oficina Mecânica Central-Taisa</v>
      </c>
    </row>
    <row r="891" spans="1:12" ht="15" customHeight="1" x14ac:dyDescent="0.4">
      <c r="A891" s="25">
        <v>46394</v>
      </c>
      <c r="B891" s="16">
        <v>19</v>
      </c>
      <c r="C891" s="16">
        <v>2</v>
      </c>
      <c r="D891" s="16">
        <v>1</v>
      </c>
      <c r="E891" s="16" t="s">
        <v>980</v>
      </c>
      <c r="F891" s="16" t="s">
        <v>1215</v>
      </c>
      <c r="G891" s="16" t="s">
        <v>526</v>
      </c>
      <c r="H891" s="16" t="s">
        <v>140</v>
      </c>
      <c r="I891" s="22" t="s">
        <v>856</v>
      </c>
      <c r="J891" s="16">
        <f>IFERROR(INDEX(Aux_HH!$J$4:$J$31,MATCH($H891&amp;"|"&amp;$I891,Aux_HH!$A$4:$A$31,0)),"")</f>
        <v>2.5</v>
      </c>
      <c r="K891" s="16" t="s">
        <v>76</v>
      </c>
      <c r="L891" s="16" t="str">
        <f>IF(COUNTIFS(Pessoas!$C$5:$C$44,$K891,Pessoas!$G$5:$G$44,"Ativo")=0,"Equipe "&amp;$K891,INDEX(Pessoas!$A$5:$A$44,_xludf.aggregate(15,6,(ROW(Pessoas!$A$5:$A$44)-4)/((Pessoas!$C$5:$C$44=$K891)*(Pessoas!$G$5:$G$44="Ativo")),MOD(ROW()-6,MAX(1,COUNTIFS(Pessoas!$C$5:$C$44,$K891,Pessoas!$G$5:$G$44,"Ativo")))+1)))</f>
        <v>Equipe Oficina Mecânica Central-Taisa</v>
      </c>
    </row>
    <row r="892" spans="1:12" ht="15" customHeight="1" x14ac:dyDescent="0.4">
      <c r="A892" s="25">
        <v>46394</v>
      </c>
      <c r="B892" s="16">
        <v>19</v>
      </c>
      <c r="C892" s="16">
        <v>2</v>
      </c>
      <c r="D892" s="16">
        <v>1</v>
      </c>
      <c r="E892" s="16" t="s">
        <v>980</v>
      </c>
      <c r="F892" s="16" t="s">
        <v>1216</v>
      </c>
      <c r="G892" s="16" t="s">
        <v>526</v>
      </c>
      <c r="H892" s="16" t="s">
        <v>140</v>
      </c>
      <c r="I892" s="22" t="s">
        <v>856</v>
      </c>
      <c r="J892" s="16">
        <f>IFERROR(INDEX(Aux_HH!$J$4:$J$31,MATCH($H892&amp;"|"&amp;$I892,Aux_HH!$A$4:$A$31,0)),"")</f>
        <v>2.5</v>
      </c>
      <c r="K892" s="16" t="s">
        <v>76</v>
      </c>
      <c r="L892" s="16" t="str">
        <f>IF(COUNTIFS(Pessoas!$C$5:$C$44,$K892,Pessoas!$G$5:$G$44,"Ativo")=0,"Equipe "&amp;$K892,INDEX(Pessoas!$A$5:$A$44,_xludf.aggregate(15,6,(ROW(Pessoas!$A$5:$A$44)-4)/((Pessoas!$C$5:$C$44=$K892)*(Pessoas!$G$5:$G$44="Ativo")),MOD(ROW()-6,MAX(1,COUNTIFS(Pessoas!$C$5:$C$44,$K892,Pessoas!$G$5:$G$44,"Ativo")))+1)))</f>
        <v>Equipe Oficina Mecânica Central-Taisa</v>
      </c>
    </row>
    <row r="893" spans="1:12" ht="15" customHeight="1" x14ac:dyDescent="0.4">
      <c r="A893" s="25">
        <v>46394</v>
      </c>
      <c r="B893" s="16">
        <v>19</v>
      </c>
      <c r="C893" s="16">
        <v>2</v>
      </c>
      <c r="D893" s="16">
        <v>1</v>
      </c>
      <c r="E893" s="16" t="s">
        <v>980</v>
      </c>
      <c r="F893" s="16" t="s">
        <v>1217</v>
      </c>
      <c r="G893" s="16" t="s">
        <v>526</v>
      </c>
      <c r="H893" s="16" t="s">
        <v>140</v>
      </c>
      <c r="I893" s="22" t="s">
        <v>856</v>
      </c>
      <c r="J893" s="16">
        <f>IFERROR(INDEX(Aux_HH!$J$4:$J$31,MATCH($H893&amp;"|"&amp;$I893,Aux_HH!$A$4:$A$31,0)),"")</f>
        <v>2.5</v>
      </c>
      <c r="K893" s="16" t="s">
        <v>76</v>
      </c>
      <c r="L893" s="16" t="str">
        <f>IF(COUNTIFS(Pessoas!$C$5:$C$44,$K893,Pessoas!$G$5:$G$44,"Ativo")=0,"Equipe "&amp;$K893,INDEX(Pessoas!$A$5:$A$44,_xludf.aggregate(15,6,(ROW(Pessoas!$A$5:$A$44)-4)/((Pessoas!$C$5:$C$44=$K893)*(Pessoas!$G$5:$G$44="Ativo")),MOD(ROW()-6,MAX(1,COUNTIFS(Pessoas!$C$5:$C$44,$K893,Pessoas!$G$5:$G$44,"Ativo")))+1)))</f>
        <v>Equipe Oficina Mecânica Central-Taisa</v>
      </c>
    </row>
    <row r="894" spans="1:12" ht="15" customHeight="1" x14ac:dyDescent="0.4">
      <c r="A894" s="25">
        <v>46394</v>
      </c>
      <c r="B894" s="16">
        <v>19</v>
      </c>
      <c r="C894" s="16">
        <v>2</v>
      </c>
      <c r="D894" s="16">
        <v>1</v>
      </c>
      <c r="E894" s="16" t="s">
        <v>980</v>
      </c>
      <c r="F894" s="16" t="s">
        <v>1218</v>
      </c>
      <c r="G894" s="16" t="s">
        <v>184</v>
      </c>
      <c r="H894" s="16" t="s">
        <v>140</v>
      </c>
      <c r="I894" s="22" t="s">
        <v>856</v>
      </c>
      <c r="J894" s="16">
        <f>IFERROR(INDEX(Aux_HH!$J$4:$J$31,MATCH($H894&amp;"|"&amp;$I894,Aux_HH!$A$4:$A$31,0)),"")</f>
        <v>2.5</v>
      </c>
      <c r="K894" s="16" t="s">
        <v>76</v>
      </c>
      <c r="L894" s="16" t="str">
        <f>IF(COUNTIFS(Pessoas!$C$5:$C$44,$K894,Pessoas!$G$5:$G$44,"Ativo")=0,"Equipe "&amp;$K894,INDEX(Pessoas!$A$5:$A$44,_xludf.aggregate(15,6,(ROW(Pessoas!$A$5:$A$44)-4)/((Pessoas!$C$5:$C$44=$K894)*(Pessoas!$G$5:$G$44="Ativo")),MOD(ROW()-6,MAX(1,COUNTIFS(Pessoas!$C$5:$C$44,$K894,Pessoas!$G$5:$G$44,"Ativo")))+1)))</f>
        <v>Equipe Oficina Mecânica Central-Taisa</v>
      </c>
    </row>
    <row r="895" spans="1:12" ht="15" customHeight="1" x14ac:dyDescent="0.4">
      <c r="A895" s="25">
        <v>46394</v>
      </c>
      <c r="B895" s="16">
        <v>19</v>
      </c>
      <c r="C895" s="16">
        <v>2</v>
      </c>
      <c r="D895" s="16">
        <v>1</v>
      </c>
      <c r="E895" s="16" t="s">
        <v>980</v>
      </c>
      <c r="F895" s="16" t="s">
        <v>1219</v>
      </c>
      <c r="G895" s="16" t="s">
        <v>184</v>
      </c>
      <c r="H895" s="16" t="s">
        <v>140</v>
      </c>
      <c r="I895" s="22" t="s">
        <v>856</v>
      </c>
      <c r="J895" s="16">
        <f>IFERROR(INDEX(Aux_HH!$J$4:$J$31,MATCH($H895&amp;"|"&amp;$I895,Aux_HH!$A$4:$A$31,0)),"")</f>
        <v>2.5</v>
      </c>
      <c r="K895" s="16" t="s">
        <v>76</v>
      </c>
      <c r="L895" s="16" t="str">
        <f>IF(COUNTIFS(Pessoas!$C$5:$C$44,$K895,Pessoas!$G$5:$G$44,"Ativo")=0,"Equipe "&amp;$K895,INDEX(Pessoas!$A$5:$A$44,_xludf.aggregate(15,6,(ROW(Pessoas!$A$5:$A$44)-4)/((Pessoas!$C$5:$C$44=$K895)*(Pessoas!$G$5:$G$44="Ativo")),MOD(ROW()-6,MAX(1,COUNTIFS(Pessoas!$C$5:$C$44,$K895,Pessoas!$G$5:$G$44,"Ativo")))+1)))</f>
        <v>Equipe Oficina Mecânica Central-Taisa</v>
      </c>
    </row>
    <row r="896" spans="1:12" ht="15" customHeight="1" x14ac:dyDescent="0.4">
      <c r="A896" s="25">
        <v>46394</v>
      </c>
      <c r="B896" s="16">
        <v>19</v>
      </c>
      <c r="C896" s="16">
        <v>2</v>
      </c>
      <c r="D896" s="16">
        <v>1</v>
      </c>
      <c r="E896" s="16" t="s">
        <v>980</v>
      </c>
      <c r="F896" s="16" t="s">
        <v>1220</v>
      </c>
      <c r="G896" s="16" t="s">
        <v>184</v>
      </c>
      <c r="H896" s="16" t="s">
        <v>140</v>
      </c>
      <c r="I896" s="22" t="s">
        <v>856</v>
      </c>
      <c r="J896" s="16">
        <f>IFERROR(INDEX(Aux_HH!$J$4:$J$31,MATCH($H896&amp;"|"&amp;$I896,Aux_HH!$A$4:$A$31,0)),"")</f>
        <v>2.5</v>
      </c>
      <c r="K896" s="16" t="s">
        <v>76</v>
      </c>
      <c r="L896" s="16" t="str">
        <f>IF(COUNTIFS(Pessoas!$C$5:$C$44,$K896,Pessoas!$G$5:$G$44,"Ativo")=0,"Equipe "&amp;$K896,INDEX(Pessoas!$A$5:$A$44,_xludf.aggregate(15,6,(ROW(Pessoas!$A$5:$A$44)-4)/((Pessoas!$C$5:$C$44=$K896)*(Pessoas!$G$5:$G$44="Ativo")),MOD(ROW()-6,MAX(1,COUNTIFS(Pessoas!$C$5:$C$44,$K896,Pessoas!$G$5:$G$44,"Ativo")))+1)))</f>
        <v>Equipe Oficina Mecânica Central-Taisa</v>
      </c>
    </row>
    <row r="897" spans="1:12" ht="15" customHeight="1" x14ac:dyDescent="0.4">
      <c r="A897" s="25">
        <v>46394</v>
      </c>
      <c r="B897" s="16">
        <v>19</v>
      </c>
      <c r="C897" s="16">
        <v>2</v>
      </c>
      <c r="D897" s="16">
        <v>1</v>
      </c>
      <c r="E897" s="16" t="s">
        <v>980</v>
      </c>
      <c r="F897" s="16" t="s">
        <v>1221</v>
      </c>
      <c r="G897" s="16" t="s">
        <v>184</v>
      </c>
      <c r="H897" s="16" t="s">
        <v>140</v>
      </c>
      <c r="I897" s="22" t="s">
        <v>856</v>
      </c>
      <c r="J897" s="16">
        <f>IFERROR(INDEX(Aux_HH!$J$4:$J$31,MATCH($H897&amp;"|"&amp;$I897,Aux_HH!$A$4:$A$31,0)),"")</f>
        <v>2.5</v>
      </c>
      <c r="K897" s="16" t="s">
        <v>76</v>
      </c>
      <c r="L897" s="16" t="str">
        <f>IF(COUNTIFS(Pessoas!$C$5:$C$44,$K897,Pessoas!$G$5:$G$44,"Ativo")=0,"Equipe "&amp;$K897,INDEX(Pessoas!$A$5:$A$44,_xludf.aggregate(15,6,(ROW(Pessoas!$A$5:$A$44)-4)/((Pessoas!$C$5:$C$44=$K897)*(Pessoas!$G$5:$G$44="Ativo")),MOD(ROW()-6,MAX(1,COUNTIFS(Pessoas!$C$5:$C$44,$K897,Pessoas!$G$5:$G$44,"Ativo")))+1)))</f>
        <v>Equipe Oficina Mecânica Central-Taisa</v>
      </c>
    </row>
    <row r="898" spans="1:12" ht="15" customHeight="1" x14ac:dyDescent="0.4">
      <c r="A898" s="25">
        <v>46394</v>
      </c>
      <c r="B898" s="16">
        <v>19</v>
      </c>
      <c r="C898" s="16">
        <v>2</v>
      </c>
      <c r="D898" s="16">
        <v>1</v>
      </c>
      <c r="E898" s="16" t="s">
        <v>980</v>
      </c>
      <c r="F898" s="16" t="s">
        <v>1222</v>
      </c>
      <c r="G898" s="16" t="s">
        <v>526</v>
      </c>
      <c r="H898" s="16" t="s">
        <v>140</v>
      </c>
      <c r="I898" s="22" t="s">
        <v>856</v>
      </c>
      <c r="J898" s="16">
        <f>IFERROR(INDEX(Aux_HH!$J$4:$J$31,MATCH($H898&amp;"|"&amp;$I898,Aux_HH!$A$4:$A$31,0)),"")</f>
        <v>2.5</v>
      </c>
      <c r="K898" s="16" t="s">
        <v>76</v>
      </c>
      <c r="L898" s="16" t="str">
        <f>IF(COUNTIFS(Pessoas!$C$5:$C$44,$K898,Pessoas!$G$5:$G$44,"Ativo")=0,"Equipe "&amp;$K898,INDEX(Pessoas!$A$5:$A$44,_xludf.aggregate(15,6,(ROW(Pessoas!$A$5:$A$44)-4)/((Pessoas!$C$5:$C$44=$K898)*(Pessoas!$G$5:$G$44="Ativo")),MOD(ROW()-6,MAX(1,COUNTIFS(Pessoas!$C$5:$C$44,$K898,Pessoas!$G$5:$G$44,"Ativo")))+1)))</f>
        <v>Equipe Oficina Mecânica Central-Taisa</v>
      </c>
    </row>
    <row r="899" spans="1:12" ht="15" customHeight="1" x14ac:dyDescent="0.4">
      <c r="A899" s="25">
        <v>46394</v>
      </c>
      <c r="B899" s="16">
        <v>19</v>
      </c>
      <c r="C899" s="16">
        <v>2</v>
      </c>
      <c r="D899" s="16">
        <v>1</v>
      </c>
      <c r="E899" s="16" t="s">
        <v>980</v>
      </c>
      <c r="F899" s="16" t="s">
        <v>1223</v>
      </c>
      <c r="G899" s="16" t="s">
        <v>526</v>
      </c>
      <c r="H899" s="16" t="s">
        <v>140</v>
      </c>
      <c r="I899" s="22" t="s">
        <v>856</v>
      </c>
      <c r="J899" s="16">
        <f>IFERROR(INDEX(Aux_HH!$J$4:$J$31,MATCH($H899&amp;"|"&amp;$I899,Aux_HH!$A$4:$A$31,0)),"")</f>
        <v>2.5</v>
      </c>
      <c r="K899" s="16" t="s">
        <v>76</v>
      </c>
      <c r="L899" s="16" t="str">
        <f>IF(COUNTIFS(Pessoas!$C$5:$C$44,$K899,Pessoas!$G$5:$G$44,"Ativo")=0,"Equipe "&amp;$K899,INDEX(Pessoas!$A$5:$A$44,_xludf.aggregate(15,6,(ROW(Pessoas!$A$5:$A$44)-4)/((Pessoas!$C$5:$C$44=$K899)*(Pessoas!$G$5:$G$44="Ativo")),MOD(ROW()-6,MAX(1,COUNTIFS(Pessoas!$C$5:$C$44,$K899,Pessoas!$G$5:$G$44,"Ativo")))+1)))</f>
        <v>Equipe Oficina Mecânica Central-Taisa</v>
      </c>
    </row>
    <row r="900" spans="1:12" ht="15" customHeight="1" x14ac:dyDescent="0.4">
      <c r="A900" s="25">
        <v>46394</v>
      </c>
      <c r="B900" s="16">
        <v>19</v>
      </c>
      <c r="C900" s="16">
        <v>2</v>
      </c>
      <c r="D900" s="16">
        <v>1</v>
      </c>
      <c r="E900" s="16" t="s">
        <v>980</v>
      </c>
      <c r="F900" s="16" t="s">
        <v>1224</v>
      </c>
      <c r="G900" s="16" t="s">
        <v>526</v>
      </c>
      <c r="H900" s="16" t="s">
        <v>140</v>
      </c>
      <c r="I900" s="22" t="s">
        <v>856</v>
      </c>
      <c r="J900" s="16">
        <f>IFERROR(INDEX(Aux_HH!$J$4:$J$31,MATCH($H900&amp;"|"&amp;$I900,Aux_HH!$A$4:$A$31,0)),"")</f>
        <v>2.5</v>
      </c>
      <c r="K900" s="16" t="s">
        <v>76</v>
      </c>
      <c r="L900" s="16" t="str">
        <f>IF(COUNTIFS(Pessoas!$C$5:$C$44,$K900,Pessoas!$G$5:$G$44,"Ativo")=0,"Equipe "&amp;$K900,INDEX(Pessoas!$A$5:$A$44,_xludf.aggregate(15,6,(ROW(Pessoas!$A$5:$A$44)-4)/((Pessoas!$C$5:$C$44=$K900)*(Pessoas!$G$5:$G$44="Ativo")),MOD(ROW()-6,MAX(1,COUNTIFS(Pessoas!$C$5:$C$44,$K900,Pessoas!$G$5:$G$44,"Ativo")))+1)))</f>
        <v>Equipe Oficina Mecânica Central-Taisa</v>
      </c>
    </row>
    <row r="901" spans="1:12" ht="15" customHeight="1" x14ac:dyDescent="0.4">
      <c r="A901" s="25">
        <v>46394</v>
      </c>
      <c r="B901" s="16">
        <v>19</v>
      </c>
      <c r="C901" s="16">
        <v>2</v>
      </c>
      <c r="D901" s="16">
        <v>1</v>
      </c>
      <c r="E901" s="16" t="s">
        <v>980</v>
      </c>
      <c r="F901" s="16" t="s">
        <v>1225</v>
      </c>
      <c r="G901" s="16" t="s">
        <v>526</v>
      </c>
      <c r="H901" s="16" t="s">
        <v>140</v>
      </c>
      <c r="I901" s="22" t="s">
        <v>856</v>
      </c>
      <c r="J901" s="16">
        <f>IFERROR(INDEX(Aux_HH!$J$4:$J$31,MATCH($H901&amp;"|"&amp;$I901,Aux_HH!$A$4:$A$31,0)),"")</f>
        <v>2.5</v>
      </c>
      <c r="K901" s="16" t="s">
        <v>76</v>
      </c>
      <c r="L901" s="16" t="str">
        <f>IF(COUNTIFS(Pessoas!$C$5:$C$44,$K901,Pessoas!$G$5:$G$44,"Ativo")=0,"Equipe "&amp;$K901,INDEX(Pessoas!$A$5:$A$44,_xludf.aggregate(15,6,(ROW(Pessoas!$A$5:$A$44)-4)/((Pessoas!$C$5:$C$44=$K901)*(Pessoas!$G$5:$G$44="Ativo")),MOD(ROW()-6,MAX(1,COUNTIFS(Pessoas!$C$5:$C$44,$K901,Pessoas!$G$5:$G$44,"Ativo")))+1)))</f>
        <v>Equipe Oficina Mecânica Central-Taisa</v>
      </c>
    </row>
    <row r="902" spans="1:12" ht="15" customHeight="1" x14ac:dyDescent="0.4">
      <c r="A902" s="25">
        <v>46394</v>
      </c>
      <c r="B902" s="16">
        <v>19</v>
      </c>
      <c r="C902" s="16">
        <v>2</v>
      </c>
      <c r="D902" s="16">
        <v>1</v>
      </c>
      <c r="E902" s="16" t="s">
        <v>980</v>
      </c>
      <c r="F902" s="16" t="s">
        <v>1226</v>
      </c>
      <c r="G902" s="16" t="s">
        <v>526</v>
      </c>
      <c r="H902" s="16" t="s">
        <v>140</v>
      </c>
      <c r="I902" s="22" t="s">
        <v>856</v>
      </c>
      <c r="J902" s="16">
        <f>IFERROR(INDEX(Aux_HH!$J$4:$J$31,MATCH($H902&amp;"|"&amp;$I902,Aux_HH!$A$4:$A$31,0)),"")</f>
        <v>2.5</v>
      </c>
      <c r="K902" s="16" t="s">
        <v>76</v>
      </c>
      <c r="L902" s="16" t="str">
        <f>IF(COUNTIFS(Pessoas!$C$5:$C$44,$K902,Pessoas!$G$5:$G$44,"Ativo")=0,"Equipe "&amp;$K902,INDEX(Pessoas!$A$5:$A$44,_xludf.aggregate(15,6,(ROW(Pessoas!$A$5:$A$44)-4)/((Pessoas!$C$5:$C$44=$K902)*(Pessoas!$G$5:$G$44="Ativo")),MOD(ROW()-6,MAX(1,COUNTIFS(Pessoas!$C$5:$C$44,$K902,Pessoas!$G$5:$G$44,"Ativo")))+1)))</f>
        <v>Equipe Oficina Mecânica Central-Taisa</v>
      </c>
    </row>
    <row r="903" spans="1:12" ht="15" customHeight="1" x14ac:dyDescent="0.4">
      <c r="A903" s="25">
        <v>46394</v>
      </c>
      <c r="B903" s="16">
        <v>19</v>
      </c>
      <c r="C903" s="16">
        <v>2</v>
      </c>
      <c r="D903" s="16">
        <v>1</v>
      </c>
      <c r="E903" s="16" t="s">
        <v>980</v>
      </c>
      <c r="F903" s="16" t="s">
        <v>1227</v>
      </c>
      <c r="G903" s="16" t="s">
        <v>526</v>
      </c>
      <c r="H903" s="16" t="s">
        <v>140</v>
      </c>
      <c r="I903" s="22" t="s">
        <v>856</v>
      </c>
      <c r="J903" s="16">
        <f>IFERROR(INDEX(Aux_HH!$J$4:$J$31,MATCH($H903&amp;"|"&amp;$I903,Aux_HH!$A$4:$A$31,0)),"")</f>
        <v>2.5</v>
      </c>
      <c r="K903" s="16" t="s">
        <v>76</v>
      </c>
      <c r="L903" s="16" t="str">
        <f>IF(COUNTIFS(Pessoas!$C$5:$C$44,$K903,Pessoas!$G$5:$G$44,"Ativo")=0,"Equipe "&amp;$K903,INDEX(Pessoas!$A$5:$A$44,_xludf.aggregate(15,6,(ROW(Pessoas!$A$5:$A$44)-4)/((Pessoas!$C$5:$C$44=$K903)*(Pessoas!$G$5:$G$44="Ativo")),MOD(ROW()-6,MAX(1,COUNTIFS(Pessoas!$C$5:$C$44,$K903,Pessoas!$G$5:$G$44,"Ativo")))+1)))</f>
        <v>Equipe Oficina Mecânica Central-Taisa</v>
      </c>
    </row>
    <row r="904" spans="1:12" ht="15" customHeight="1" x14ac:dyDescent="0.4">
      <c r="A904" s="25">
        <v>46394</v>
      </c>
      <c r="B904" s="16">
        <v>19</v>
      </c>
      <c r="C904" s="16">
        <v>2</v>
      </c>
      <c r="D904" s="16">
        <v>1</v>
      </c>
      <c r="E904" s="16" t="s">
        <v>980</v>
      </c>
      <c r="F904" s="16" t="s">
        <v>1251</v>
      </c>
      <c r="G904" s="16" t="s">
        <v>526</v>
      </c>
      <c r="H904" s="16" t="s">
        <v>140</v>
      </c>
      <c r="I904" s="22" t="s">
        <v>856</v>
      </c>
      <c r="J904" s="16">
        <f>IFERROR(INDEX(Aux_HH!$J$4:$J$31,MATCH($H904&amp;"|"&amp;$I904,Aux_HH!$A$4:$A$31,0)),"")</f>
        <v>2.5</v>
      </c>
      <c r="K904" s="16" t="s">
        <v>76</v>
      </c>
      <c r="L904" s="16" t="str">
        <f>IF(COUNTIFS(Pessoas!$C$5:$C$44,$K904,Pessoas!$G$5:$G$44,"Ativo")=0,"Equipe "&amp;$K904,INDEX(Pessoas!$A$5:$A$44,_xludf.aggregate(15,6,(ROW(Pessoas!$A$5:$A$44)-4)/((Pessoas!$C$5:$C$44=$K904)*(Pessoas!$G$5:$G$44="Ativo")),MOD(ROW()-6,MAX(1,COUNTIFS(Pessoas!$C$5:$C$44,$K904,Pessoas!$G$5:$G$44,"Ativo")))+1)))</f>
        <v>Equipe Oficina Mecânica Central-Taisa</v>
      </c>
    </row>
    <row r="905" spans="1:12" ht="15" customHeight="1" x14ac:dyDescent="0.4">
      <c r="A905" s="25">
        <v>46394</v>
      </c>
      <c r="B905" s="16">
        <v>19</v>
      </c>
      <c r="C905" s="16">
        <v>2</v>
      </c>
      <c r="D905" s="16">
        <v>1</v>
      </c>
      <c r="E905" s="16" t="s">
        <v>980</v>
      </c>
      <c r="F905" s="16" t="s">
        <v>1252</v>
      </c>
      <c r="G905" s="16" t="s">
        <v>526</v>
      </c>
      <c r="H905" s="16" t="s">
        <v>140</v>
      </c>
      <c r="I905" s="22" t="s">
        <v>856</v>
      </c>
      <c r="J905" s="16">
        <f>IFERROR(INDEX(Aux_HH!$J$4:$J$31,MATCH($H905&amp;"|"&amp;$I905,Aux_HH!$A$4:$A$31,0)),"")</f>
        <v>2.5</v>
      </c>
      <c r="K905" s="16" t="s">
        <v>76</v>
      </c>
      <c r="L905" s="16" t="str">
        <f>IF(COUNTIFS(Pessoas!$C$5:$C$44,$K905,Pessoas!$G$5:$G$44,"Ativo")=0,"Equipe "&amp;$K905,INDEX(Pessoas!$A$5:$A$44,_xludf.aggregate(15,6,(ROW(Pessoas!$A$5:$A$44)-4)/((Pessoas!$C$5:$C$44=$K905)*(Pessoas!$G$5:$G$44="Ativo")),MOD(ROW()-6,MAX(1,COUNTIFS(Pessoas!$C$5:$C$44,$K905,Pessoas!$G$5:$G$44,"Ativo")))+1)))</f>
        <v>Equipe Oficina Mecânica Central-Taisa</v>
      </c>
    </row>
    <row r="906" spans="1:12" ht="15" customHeight="1" x14ac:dyDescent="0.4">
      <c r="A906" s="25">
        <v>46394</v>
      </c>
      <c r="B906" s="16">
        <v>19</v>
      </c>
      <c r="C906" s="16">
        <v>2</v>
      </c>
      <c r="D906" s="16">
        <v>1</v>
      </c>
      <c r="E906" s="16" t="s">
        <v>980</v>
      </c>
      <c r="F906" s="16" t="s">
        <v>1254</v>
      </c>
      <c r="G906" s="16" t="s">
        <v>184</v>
      </c>
      <c r="H906" s="16" t="s">
        <v>140</v>
      </c>
      <c r="I906" s="22" t="s">
        <v>856</v>
      </c>
      <c r="J906" s="16">
        <f>IFERROR(INDEX(Aux_HH!$J$4:$J$31,MATCH($H906&amp;"|"&amp;$I906,Aux_HH!$A$4:$A$31,0)),"")</f>
        <v>2.5</v>
      </c>
      <c r="K906" s="16" t="s">
        <v>76</v>
      </c>
      <c r="L906" s="16" t="str">
        <f>IF(COUNTIFS(Pessoas!$C$5:$C$44,$K906,Pessoas!$G$5:$G$44,"Ativo")=0,"Equipe "&amp;$K906,INDEX(Pessoas!$A$5:$A$44,_xludf.aggregate(15,6,(ROW(Pessoas!$A$5:$A$44)-4)/((Pessoas!$C$5:$C$44=$K906)*(Pessoas!$G$5:$G$44="Ativo")),MOD(ROW()-6,MAX(1,COUNTIFS(Pessoas!$C$5:$C$44,$K906,Pessoas!$G$5:$G$44,"Ativo")))+1)))</f>
        <v>Equipe Oficina Mecânica Central-Taisa</v>
      </c>
    </row>
    <row r="907" spans="1:12" ht="15" customHeight="1" x14ac:dyDescent="0.4">
      <c r="A907" s="25">
        <v>46394</v>
      </c>
      <c r="B907" s="16">
        <v>19</v>
      </c>
      <c r="C907" s="16">
        <v>2</v>
      </c>
      <c r="D907" s="16">
        <v>1</v>
      </c>
      <c r="E907" s="16" t="s">
        <v>980</v>
      </c>
      <c r="F907" s="16" t="s">
        <v>1255</v>
      </c>
      <c r="G907" s="16" t="s">
        <v>184</v>
      </c>
      <c r="H907" s="16" t="s">
        <v>140</v>
      </c>
      <c r="I907" s="22" t="s">
        <v>856</v>
      </c>
      <c r="J907" s="16">
        <f>IFERROR(INDEX(Aux_HH!$J$4:$J$31,MATCH($H907&amp;"|"&amp;$I907,Aux_HH!$A$4:$A$31,0)),"")</f>
        <v>2.5</v>
      </c>
      <c r="K907" s="16" t="s">
        <v>76</v>
      </c>
      <c r="L907" s="16" t="str">
        <f>IF(COUNTIFS(Pessoas!$C$5:$C$44,$K907,Pessoas!$G$5:$G$44,"Ativo")=0,"Equipe "&amp;$K907,INDEX(Pessoas!$A$5:$A$44,_xludf.aggregate(15,6,(ROW(Pessoas!$A$5:$A$44)-4)/((Pessoas!$C$5:$C$44=$K907)*(Pessoas!$G$5:$G$44="Ativo")),MOD(ROW()-6,MAX(1,COUNTIFS(Pessoas!$C$5:$C$44,$K907,Pessoas!$G$5:$G$44,"Ativo")))+1)))</f>
        <v>Equipe Oficina Mecânica Central-Taisa</v>
      </c>
    </row>
    <row r="908" spans="1:12" ht="15" customHeight="1" x14ac:dyDescent="0.4">
      <c r="A908" s="25">
        <v>46394</v>
      </c>
      <c r="B908" s="16">
        <v>19</v>
      </c>
      <c r="C908" s="16">
        <v>2</v>
      </c>
      <c r="D908" s="16">
        <v>1</v>
      </c>
      <c r="E908" s="16" t="s">
        <v>980</v>
      </c>
      <c r="F908" s="16" t="s">
        <v>1256</v>
      </c>
      <c r="G908" s="16" t="s">
        <v>184</v>
      </c>
      <c r="H908" s="16" t="s">
        <v>140</v>
      </c>
      <c r="I908" s="22" t="s">
        <v>856</v>
      </c>
      <c r="J908" s="16">
        <f>IFERROR(INDEX(Aux_HH!$J$4:$J$31,MATCH($H908&amp;"|"&amp;$I908,Aux_HH!$A$4:$A$31,0)),"")</f>
        <v>2.5</v>
      </c>
      <c r="K908" s="16" t="s">
        <v>76</v>
      </c>
      <c r="L908" s="16" t="str">
        <f>IF(COUNTIFS(Pessoas!$C$5:$C$44,$K908,Pessoas!$G$5:$G$44,"Ativo")=0,"Equipe "&amp;$K908,INDEX(Pessoas!$A$5:$A$44,_xludf.aggregate(15,6,(ROW(Pessoas!$A$5:$A$44)-4)/((Pessoas!$C$5:$C$44=$K908)*(Pessoas!$G$5:$G$44="Ativo")),MOD(ROW()-6,MAX(1,COUNTIFS(Pessoas!$C$5:$C$44,$K908,Pessoas!$G$5:$G$44,"Ativo")))+1)))</f>
        <v>Equipe Oficina Mecânica Central-Taisa</v>
      </c>
    </row>
    <row r="909" spans="1:12" ht="15" customHeight="1" x14ac:dyDescent="0.4">
      <c r="A909" s="25">
        <v>46394</v>
      </c>
      <c r="B909" s="16">
        <v>19</v>
      </c>
      <c r="C909" s="16">
        <v>2</v>
      </c>
      <c r="D909" s="16">
        <v>1</v>
      </c>
      <c r="E909" s="16" t="s">
        <v>980</v>
      </c>
      <c r="F909" s="16" t="s">
        <v>1257</v>
      </c>
      <c r="G909" s="16" t="s">
        <v>526</v>
      </c>
      <c r="H909" s="16" t="s">
        <v>140</v>
      </c>
      <c r="I909" s="22" t="s">
        <v>856</v>
      </c>
      <c r="J909" s="16">
        <f>IFERROR(INDEX(Aux_HH!$J$4:$J$31,MATCH($H909&amp;"|"&amp;$I909,Aux_HH!$A$4:$A$31,0)),"")</f>
        <v>2.5</v>
      </c>
      <c r="K909" s="16" t="s">
        <v>76</v>
      </c>
      <c r="L909" s="16" t="str">
        <f>IF(COUNTIFS(Pessoas!$C$5:$C$44,$K909,Pessoas!$G$5:$G$44,"Ativo")=0,"Equipe "&amp;$K909,INDEX(Pessoas!$A$5:$A$44,_xludf.aggregate(15,6,(ROW(Pessoas!$A$5:$A$44)-4)/((Pessoas!$C$5:$C$44=$K909)*(Pessoas!$G$5:$G$44="Ativo")),MOD(ROW()-6,MAX(1,COUNTIFS(Pessoas!$C$5:$C$44,$K909,Pessoas!$G$5:$G$44,"Ativo")))+1)))</f>
        <v>Equipe Oficina Mecânica Central-Taisa</v>
      </c>
    </row>
    <row r="910" spans="1:12" ht="15" customHeight="1" x14ac:dyDescent="0.4">
      <c r="A910" s="25">
        <v>46394</v>
      </c>
      <c r="B910" s="16">
        <v>19</v>
      </c>
      <c r="C910" s="16">
        <v>2</v>
      </c>
      <c r="D910" s="16">
        <v>1</v>
      </c>
      <c r="E910" s="16" t="s">
        <v>980</v>
      </c>
      <c r="F910" s="16" t="s">
        <v>1258</v>
      </c>
      <c r="G910" s="16" t="s">
        <v>526</v>
      </c>
      <c r="H910" s="16" t="s">
        <v>140</v>
      </c>
      <c r="I910" s="22" t="s">
        <v>856</v>
      </c>
      <c r="J910" s="16">
        <f>IFERROR(INDEX(Aux_HH!$J$4:$J$31,MATCH($H910&amp;"|"&amp;$I910,Aux_HH!$A$4:$A$31,0)),"")</f>
        <v>2.5</v>
      </c>
      <c r="K910" s="16" t="s">
        <v>76</v>
      </c>
      <c r="L910" s="16" t="str">
        <f>IF(COUNTIFS(Pessoas!$C$5:$C$44,$K910,Pessoas!$G$5:$G$44,"Ativo")=0,"Equipe "&amp;$K910,INDEX(Pessoas!$A$5:$A$44,_xludf.aggregate(15,6,(ROW(Pessoas!$A$5:$A$44)-4)/((Pessoas!$C$5:$C$44=$K910)*(Pessoas!$G$5:$G$44="Ativo")),MOD(ROW()-6,MAX(1,COUNTIFS(Pessoas!$C$5:$C$44,$K910,Pessoas!$G$5:$G$44,"Ativo")))+1)))</f>
        <v>Equipe Oficina Mecânica Central-Taisa</v>
      </c>
    </row>
    <row r="911" spans="1:12" ht="15" customHeight="1" x14ac:dyDescent="0.4">
      <c r="A911" s="25">
        <v>46395</v>
      </c>
      <c r="B911" s="16">
        <v>19</v>
      </c>
      <c r="C911" s="16">
        <v>2</v>
      </c>
      <c r="D911" s="16">
        <v>1</v>
      </c>
      <c r="E911" s="16" t="s">
        <v>980</v>
      </c>
      <c r="F911" s="16" t="s">
        <v>1259</v>
      </c>
      <c r="G911" s="16" t="s">
        <v>526</v>
      </c>
      <c r="H911" s="16" t="s">
        <v>140</v>
      </c>
      <c r="I911" s="22" t="s">
        <v>856</v>
      </c>
      <c r="J911" s="16">
        <f>IFERROR(INDEX(Aux_HH!$J$4:$J$31,MATCH($H911&amp;"|"&amp;$I911,Aux_HH!$A$4:$A$31,0)),"")</f>
        <v>2.5</v>
      </c>
      <c r="K911" s="16" t="s">
        <v>76</v>
      </c>
      <c r="L911" s="16" t="str">
        <f>IF(COUNTIFS(Pessoas!$C$5:$C$44,$K911,Pessoas!$G$5:$G$44,"Ativo")=0,"Equipe "&amp;$K911,INDEX(Pessoas!$A$5:$A$44,_xludf.aggregate(15,6,(ROW(Pessoas!$A$5:$A$44)-4)/((Pessoas!$C$5:$C$44=$K911)*(Pessoas!$G$5:$G$44="Ativo")),MOD(ROW()-6,MAX(1,COUNTIFS(Pessoas!$C$5:$C$44,$K911,Pessoas!$G$5:$G$44,"Ativo")))+1)))</f>
        <v>Equipe Oficina Mecânica Central-Taisa</v>
      </c>
    </row>
    <row r="912" spans="1:12" ht="15" customHeight="1" x14ac:dyDescent="0.4">
      <c r="A912" s="25">
        <v>46395</v>
      </c>
      <c r="B912" s="16">
        <v>19</v>
      </c>
      <c r="C912" s="16">
        <v>2</v>
      </c>
      <c r="D912" s="16">
        <v>1</v>
      </c>
      <c r="E912" s="16" t="s">
        <v>980</v>
      </c>
      <c r="F912" s="16" t="s">
        <v>1260</v>
      </c>
      <c r="G912" s="16" t="s">
        <v>526</v>
      </c>
      <c r="H912" s="16" t="s">
        <v>140</v>
      </c>
      <c r="I912" s="22" t="s">
        <v>856</v>
      </c>
      <c r="J912" s="16">
        <f>IFERROR(INDEX(Aux_HH!$J$4:$J$31,MATCH($H912&amp;"|"&amp;$I912,Aux_HH!$A$4:$A$31,0)),"")</f>
        <v>2.5</v>
      </c>
      <c r="K912" s="16" t="s">
        <v>76</v>
      </c>
      <c r="L912" s="16" t="str">
        <f>IF(COUNTIFS(Pessoas!$C$5:$C$44,$K912,Pessoas!$G$5:$G$44,"Ativo")=0,"Equipe "&amp;$K912,INDEX(Pessoas!$A$5:$A$44,_xludf.aggregate(15,6,(ROW(Pessoas!$A$5:$A$44)-4)/((Pessoas!$C$5:$C$44=$K912)*(Pessoas!$G$5:$G$44="Ativo")),MOD(ROW()-6,MAX(1,COUNTIFS(Pessoas!$C$5:$C$44,$K912,Pessoas!$G$5:$G$44,"Ativo")))+1)))</f>
        <v>Equipe Oficina Mecânica Central-Taisa</v>
      </c>
    </row>
    <row r="913" spans="1:12" ht="15" customHeight="1" x14ac:dyDescent="0.4">
      <c r="A913" s="25">
        <v>46395</v>
      </c>
      <c r="B913" s="16">
        <v>19</v>
      </c>
      <c r="C913" s="16">
        <v>2</v>
      </c>
      <c r="D913" s="16">
        <v>1</v>
      </c>
      <c r="E913" s="16" t="s">
        <v>980</v>
      </c>
      <c r="F913" s="16" t="s">
        <v>1261</v>
      </c>
      <c r="G913" s="16" t="s">
        <v>526</v>
      </c>
      <c r="H913" s="16" t="s">
        <v>140</v>
      </c>
      <c r="I913" s="22" t="s">
        <v>856</v>
      </c>
      <c r="J913" s="16">
        <f>IFERROR(INDEX(Aux_HH!$J$4:$J$31,MATCH($H913&amp;"|"&amp;$I913,Aux_HH!$A$4:$A$31,0)),"")</f>
        <v>2.5</v>
      </c>
      <c r="K913" s="16" t="s">
        <v>76</v>
      </c>
      <c r="L913" s="16" t="str">
        <f>IF(COUNTIFS(Pessoas!$C$5:$C$44,$K913,Pessoas!$G$5:$G$44,"Ativo")=0,"Equipe "&amp;$K913,INDEX(Pessoas!$A$5:$A$44,_xludf.aggregate(15,6,(ROW(Pessoas!$A$5:$A$44)-4)/((Pessoas!$C$5:$C$44=$K913)*(Pessoas!$G$5:$G$44="Ativo")),MOD(ROW()-6,MAX(1,COUNTIFS(Pessoas!$C$5:$C$44,$K913,Pessoas!$G$5:$G$44,"Ativo")))+1)))</f>
        <v>Equipe Oficina Mecânica Central-Taisa</v>
      </c>
    </row>
    <row r="914" spans="1:12" ht="15" customHeight="1" x14ac:dyDescent="0.4">
      <c r="A914" s="25">
        <v>46395</v>
      </c>
      <c r="B914" s="16">
        <v>19</v>
      </c>
      <c r="C914" s="16">
        <v>2</v>
      </c>
      <c r="D914" s="16">
        <v>1</v>
      </c>
      <c r="E914" s="16" t="s">
        <v>980</v>
      </c>
      <c r="F914" s="16" t="s">
        <v>1262</v>
      </c>
      <c r="G914" s="16" t="s">
        <v>184</v>
      </c>
      <c r="H914" s="16" t="s">
        <v>140</v>
      </c>
      <c r="I914" s="22" t="s">
        <v>856</v>
      </c>
      <c r="J914" s="16">
        <f>IFERROR(INDEX(Aux_HH!$J$4:$J$31,MATCH($H914&amp;"|"&amp;$I914,Aux_HH!$A$4:$A$31,0)),"")</f>
        <v>2.5</v>
      </c>
      <c r="K914" s="16" t="s">
        <v>76</v>
      </c>
      <c r="L914" s="16" t="str">
        <f>IF(COUNTIFS(Pessoas!$C$5:$C$44,$K914,Pessoas!$G$5:$G$44,"Ativo")=0,"Equipe "&amp;$K914,INDEX(Pessoas!$A$5:$A$44,_xludf.aggregate(15,6,(ROW(Pessoas!$A$5:$A$44)-4)/((Pessoas!$C$5:$C$44=$K914)*(Pessoas!$G$5:$G$44="Ativo")),MOD(ROW()-6,MAX(1,COUNTIFS(Pessoas!$C$5:$C$44,$K914,Pessoas!$G$5:$G$44,"Ativo")))+1)))</f>
        <v>Equipe Oficina Mecânica Central-Taisa</v>
      </c>
    </row>
    <row r="915" spans="1:12" ht="15" customHeight="1" x14ac:dyDescent="0.4">
      <c r="A915" s="25">
        <v>46395</v>
      </c>
      <c r="B915" s="16">
        <v>19</v>
      </c>
      <c r="C915" s="16">
        <v>2</v>
      </c>
      <c r="D915" s="16">
        <v>1</v>
      </c>
      <c r="E915" s="16" t="s">
        <v>980</v>
      </c>
      <c r="F915" s="16" t="s">
        <v>1263</v>
      </c>
      <c r="G915" s="16" t="s">
        <v>184</v>
      </c>
      <c r="H915" s="16" t="s">
        <v>140</v>
      </c>
      <c r="I915" s="22" t="s">
        <v>856</v>
      </c>
      <c r="J915" s="16">
        <f>IFERROR(INDEX(Aux_HH!$J$4:$J$31,MATCH($H915&amp;"|"&amp;$I915,Aux_HH!$A$4:$A$31,0)),"")</f>
        <v>2.5</v>
      </c>
      <c r="K915" s="16" t="s">
        <v>76</v>
      </c>
      <c r="L915" s="16" t="str">
        <f>IF(COUNTIFS(Pessoas!$C$5:$C$44,$K915,Pessoas!$G$5:$G$44,"Ativo")=0,"Equipe "&amp;$K915,INDEX(Pessoas!$A$5:$A$44,_xludf.aggregate(15,6,(ROW(Pessoas!$A$5:$A$44)-4)/((Pessoas!$C$5:$C$44=$K915)*(Pessoas!$G$5:$G$44="Ativo")),MOD(ROW()-6,MAX(1,COUNTIFS(Pessoas!$C$5:$C$44,$K915,Pessoas!$G$5:$G$44,"Ativo")))+1)))</f>
        <v>Equipe Oficina Mecânica Central-Taisa</v>
      </c>
    </row>
    <row r="916" spans="1:12" ht="15" customHeight="1" x14ac:dyDescent="0.4">
      <c r="A916" s="25">
        <v>46395</v>
      </c>
      <c r="B916" s="16">
        <v>19</v>
      </c>
      <c r="C916" s="16">
        <v>2</v>
      </c>
      <c r="D916" s="16">
        <v>1</v>
      </c>
      <c r="E916" s="16" t="s">
        <v>980</v>
      </c>
      <c r="F916" s="16" t="s">
        <v>1264</v>
      </c>
      <c r="G916" s="16" t="s">
        <v>184</v>
      </c>
      <c r="H916" s="16" t="s">
        <v>140</v>
      </c>
      <c r="I916" s="22" t="s">
        <v>856</v>
      </c>
      <c r="J916" s="16">
        <f>IFERROR(INDEX(Aux_HH!$J$4:$J$31,MATCH($H916&amp;"|"&amp;$I916,Aux_HH!$A$4:$A$31,0)),"")</f>
        <v>2.5</v>
      </c>
      <c r="K916" s="16" t="s">
        <v>76</v>
      </c>
      <c r="L916" s="16" t="str">
        <f>IF(COUNTIFS(Pessoas!$C$5:$C$44,$K916,Pessoas!$G$5:$G$44,"Ativo")=0,"Equipe "&amp;$K916,INDEX(Pessoas!$A$5:$A$44,_xludf.aggregate(15,6,(ROW(Pessoas!$A$5:$A$44)-4)/((Pessoas!$C$5:$C$44=$K916)*(Pessoas!$G$5:$G$44="Ativo")),MOD(ROW()-6,MAX(1,COUNTIFS(Pessoas!$C$5:$C$44,$K916,Pessoas!$G$5:$G$44,"Ativo")))+1)))</f>
        <v>Equipe Oficina Mecânica Central-Taisa</v>
      </c>
    </row>
    <row r="917" spans="1:12" ht="15" customHeight="1" x14ac:dyDescent="0.4">
      <c r="A917" s="25">
        <v>46395</v>
      </c>
      <c r="B917" s="16">
        <v>19</v>
      </c>
      <c r="C917" s="16">
        <v>2</v>
      </c>
      <c r="D917" s="16">
        <v>1</v>
      </c>
      <c r="E917" s="16" t="s">
        <v>980</v>
      </c>
      <c r="F917" s="16" t="s">
        <v>1265</v>
      </c>
      <c r="G917" s="16" t="s">
        <v>184</v>
      </c>
      <c r="H917" s="16" t="s">
        <v>140</v>
      </c>
      <c r="I917" s="22" t="s">
        <v>856</v>
      </c>
      <c r="J917" s="16">
        <f>IFERROR(INDEX(Aux_HH!$J$4:$J$31,MATCH($H917&amp;"|"&amp;$I917,Aux_HH!$A$4:$A$31,0)),"")</f>
        <v>2.5</v>
      </c>
      <c r="K917" s="16" t="s">
        <v>76</v>
      </c>
      <c r="L917" s="16" t="str">
        <f>IF(COUNTIFS(Pessoas!$C$5:$C$44,$K917,Pessoas!$G$5:$G$44,"Ativo")=0,"Equipe "&amp;$K917,INDEX(Pessoas!$A$5:$A$44,_xludf.aggregate(15,6,(ROW(Pessoas!$A$5:$A$44)-4)/((Pessoas!$C$5:$C$44=$K917)*(Pessoas!$G$5:$G$44="Ativo")),MOD(ROW()-6,MAX(1,COUNTIFS(Pessoas!$C$5:$C$44,$K917,Pessoas!$G$5:$G$44,"Ativo")))+1)))</f>
        <v>Equipe Oficina Mecânica Central-Taisa</v>
      </c>
    </row>
    <row r="918" spans="1:12" ht="15" customHeight="1" x14ac:dyDescent="0.4">
      <c r="A918" s="25">
        <v>46395</v>
      </c>
      <c r="B918" s="16">
        <v>19</v>
      </c>
      <c r="C918" s="16">
        <v>2</v>
      </c>
      <c r="D918" s="16">
        <v>1</v>
      </c>
      <c r="E918" s="16" t="s">
        <v>980</v>
      </c>
      <c r="F918" s="16" t="s">
        <v>1266</v>
      </c>
      <c r="G918" s="16" t="s">
        <v>526</v>
      </c>
      <c r="H918" s="16" t="s">
        <v>140</v>
      </c>
      <c r="I918" s="22" t="s">
        <v>856</v>
      </c>
      <c r="J918" s="16">
        <f>IFERROR(INDEX(Aux_HH!$J$4:$J$31,MATCH($H918&amp;"|"&amp;$I918,Aux_HH!$A$4:$A$31,0)),"")</f>
        <v>2.5</v>
      </c>
      <c r="K918" s="16" t="s">
        <v>76</v>
      </c>
      <c r="L918" s="16" t="str">
        <f>IF(COUNTIFS(Pessoas!$C$5:$C$44,$K918,Pessoas!$G$5:$G$44,"Ativo")=0,"Equipe "&amp;$K918,INDEX(Pessoas!$A$5:$A$44,_xludf.aggregate(15,6,(ROW(Pessoas!$A$5:$A$44)-4)/((Pessoas!$C$5:$C$44=$K918)*(Pessoas!$G$5:$G$44="Ativo")),MOD(ROW()-6,MAX(1,COUNTIFS(Pessoas!$C$5:$C$44,$K918,Pessoas!$G$5:$G$44,"Ativo")))+1)))</f>
        <v>Equipe Oficina Mecânica Central-Taisa</v>
      </c>
    </row>
    <row r="919" spans="1:12" ht="15" customHeight="1" x14ac:dyDescent="0.4">
      <c r="A919" s="25">
        <v>46395</v>
      </c>
      <c r="B919" s="16">
        <v>19</v>
      </c>
      <c r="C919" s="16">
        <v>2</v>
      </c>
      <c r="D919" s="16">
        <v>1</v>
      </c>
      <c r="E919" s="16" t="s">
        <v>980</v>
      </c>
      <c r="F919" s="16" t="s">
        <v>1267</v>
      </c>
      <c r="G919" s="16" t="s">
        <v>526</v>
      </c>
      <c r="H919" s="16" t="s">
        <v>140</v>
      </c>
      <c r="I919" s="22" t="s">
        <v>856</v>
      </c>
      <c r="J919" s="16">
        <f>IFERROR(INDEX(Aux_HH!$J$4:$J$31,MATCH($H919&amp;"|"&amp;$I919,Aux_HH!$A$4:$A$31,0)),"")</f>
        <v>2.5</v>
      </c>
      <c r="K919" s="16" t="s">
        <v>76</v>
      </c>
      <c r="L919" s="16" t="str">
        <f>IF(COUNTIFS(Pessoas!$C$5:$C$44,$K919,Pessoas!$G$5:$G$44,"Ativo")=0,"Equipe "&amp;$K919,INDEX(Pessoas!$A$5:$A$44,_xludf.aggregate(15,6,(ROW(Pessoas!$A$5:$A$44)-4)/((Pessoas!$C$5:$C$44=$K919)*(Pessoas!$G$5:$G$44="Ativo")),MOD(ROW()-6,MAX(1,COUNTIFS(Pessoas!$C$5:$C$44,$K919,Pessoas!$G$5:$G$44,"Ativo")))+1)))</f>
        <v>Equipe Oficina Mecânica Central-Taisa</v>
      </c>
    </row>
    <row r="920" spans="1:12" ht="15" customHeight="1" x14ac:dyDescent="0.4">
      <c r="A920" s="25">
        <v>46395</v>
      </c>
      <c r="B920" s="16">
        <v>19</v>
      </c>
      <c r="C920" s="16">
        <v>2</v>
      </c>
      <c r="D920" s="16">
        <v>1</v>
      </c>
      <c r="E920" s="16" t="s">
        <v>980</v>
      </c>
      <c r="F920" s="16" t="s">
        <v>1268</v>
      </c>
      <c r="G920" s="16" t="s">
        <v>526</v>
      </c>
      <c r="H920" s="16" t="s">
        <v>140</v>
      </c>
      <c r="I920" s="22" t="s">
        <v>856</v>
      </c>
      <c r="J920" s="16">
        <f>IFERROR(INDEX(Aux_HH!$J$4:$J$31,MATCH($H920&amp;"|"&amp;$I920,Aux_HH!$A$4:$A$31,0)),"")</f>
        <v>2.5</v>
      </c>
      <c r="K920" s="16" t="s">
        <v>76</v>
      </c>
      <c r="L920" s="16" t="str">
        <f>IF(COUNTIFS(Pessoas!$C$5:$C$44,$K920,Pessoas!$G$5:$G$44,"Ativo")=0,"Equipe "&amp;$K920,INDEX(Pessoas!$A$5:$A$44,_xludf.aggregate(15,6,(ROW(Pessoas!$A$5:$A$44)-4)/((Pessoas!$C$5:$C$44=$K920)*(Pessoas!$G$5:$G$44="Ativo")),MOD(ROW()-6,MAX(1,COUNTIFS(Pessoas!$C$5:$C$44,$K920,Pessoas!$G$5:$G$44,"Ativo")))+1)))</f>
        <v>Equipe Oficina Mecânica Central-Taisa</v>
      </c>
    </row>
    <row r="921" spans="1:12" ht="15" customHeight="1" x14ac:dyDescent="0.4">
      <c r="A921" s="25">
        <v>46395</v>
      </c>
      <c r="B921" s="16">
        <v>19</v>
      </c>
      <c r="C921" s="16">
        <v>2</v>
      </c>
      <c r="D921" s="16">
        <v>1</v>
      </c>
      <c r="E921" s="16" t="s">
        <v>980</v>
      </c>
      <c r="F921" s="16" t="s">
        <v>1269</v>
      </c>
      <c r="G921" s="16" t="s">
        <v>526</v>
      </c>
      <c r="H921" s="16" t="s">
        <v>140</v>
      </c>
      <c r="I921" s="22" t="s">
        <v>856</v>
      </c>
      <c r="J921" s="16">
        <f>IFERROR(INDEX(Aux_HH!$J$4:$J$31,MATCH($H921&amp;"|"&amp;$I921,Aux_HH!$A$4:$A$31,0)),"")</f>
        <v>2.5</v>
      </c>
      <c r="K921" s="16" t="s">
        <v>76</v>
      </c>
      <c r="L921" s="16" t="str">
        <f>IF(COUNTIFS(Pessoas!$C$5:$C$44,$K921,Pessoas!$G$5:$G$44,"Ativo")=0,"Equipe "&amp;$K921,INDEX(Pessoas!$A$5:$A$44,_xludf.aggregate(15,6,(ROW(Pessoas!$A$5:$A$44)-4)/((Pessoas!$C$5:$C$44=$K921)*(Pessoas!$G$5:$G$44="Ativo")),MOD(ROW()-6,MAX(1,COUNTIFS(Pessoas!$C$5:$C$44,$K921,Pessoas!$G$5:$G$44,"Ativo")))+1)))</f>
        <v>Equipe Oficina Mecânica Central-Taisa</v>
      </c>
    </row>
    <row r="922" spans="1:12" ht="15" customHeight="1" x14ac:dyDescent="0.4">
      <c r="A922" s="25">
        <v>46395</v>
      </c>
      <c r="B922" s="16">
        <v>19</v>
      </c>
      <c r="C922" s="16">
        <v>2</v>
      </c>
      <c r="D922" s="16">
        <v>1</v>
      </c>
      <c r="E922" s="16" t="s">
        <v>980</v>
      </c>
      <c r="F922" s="16" t="s">
        <v>1270</v>
      </c>
      <c r="G922" s="16" t="s">
        <v>526</v>
      </c>
      <c r="H922" s="16" t="s">
        <v>140</v>
      </c>
      <c r="I922" s="22" t="s">
        <v>856</v>
      </c>
      <c r="J922" s="16">
        <f>IFERROR(INDEX(Aux_HH!$J$4:$J$31,MATCH($H922&amp;"|"&amp;$I922,Aux_HH!$A$4:$A$31,0)),"")</f>
        <v>2.5</v>
      </c>
      <c r="K922" s="16" t="s">
        <v>76</v>
      </c>
      <c r="L922" s="16" t="str">
        <f>IF(COUNTIFS(Pessoas!$C$5:$C$44,$K922,Pessoas!$G$5:$G$44,"Ativo")=0,"Equipe "&amp;$K922,INDEX(Pessoas!$A$5:$A$44,_xludf.aggregate(15,6,(ROW(Pessoas!$A$5:$A$44)-4)/((Pessoas!$C$5:$C$44=$K922)*(Pessoas!$G$5:$G$44="Ativo")),MOD(ROW()-6,MAX(1,COUNTIFS(Pessoas!$C$5:$C$44,$K922,Pessoas!$G$5:$G$44,"Ativo")))+1)))</f>
        <v>Equipe Oficina Mecânica Central-Taisa</v>
      </c>
    </row>
    <row r="923" spans="1:12" ht="15" customHeight="1" x14ac:dyDescent="0.4">
      <c r="A923" s="25">
        <v>46395</v>
      </c>
      <c r="B923" s="16">
        <v>19</v>
      </c>
      <c r="C923" s="16">
        <v>2</v>
      </c>
      <c r="D923" s="16">
        <v>1</v>
      </c>
      <c r="E923" s="16" t="s">
        <v>980</v>
      </c>
      <c r="F923" s="16" t="s">
        <v>1271</v>
      </c>
      <c r="G923" s="16" t="s">
        <v>526</v>
      </c>
      <c r="H923" s="16" t="s">
        <v>140</v>
      </c>
      <c r="I923" s="22" t="s">
        <v>856</v>
      </c>
      <c r="J923" s="16">
        <f>IFERROR(INDEX(Aux_HH!$J$4:$J$31,MATCH($H923&amp;"|"&amp;$I923,Aux_HH!$A$4:$A$31,0)),"")</f>
        <v>2.5</v>
      </c>
      <c r="K923" s="16" t="s">
        <v>76</v>
      </c>
      <c r="L923" s="16" t="str">
        <f>IF(COUNTIFS(Pessoas!$C$5:$C$44,$K923,Pessoas!$G$5:$G$44,"Ativo")=0,"Equipe "&amp;$K923,INDEX(Pessoas!$A$5:$A$44,_xludf.aggregate(15,6,(ROW(Pessoas!$A$5:$A$44)-4)/((Pessoas!$C$5:$C$44=$K923)*(Pessoas!$G$5:$G$44="Ativo")),MOD(ROW()-6,MAX(1,COUNTIFS(Pessoas!$C$5:$C$44,$K923,Pessoas!$G$5:$G$44,"Ativo")))+1)))</f>
        <v>Equipe Oficina Mecânica Central-Taisa</v>
      </c>
    </row>
    <row r="924" spans="1:12" ht="15" customHeight="1" x14ac:dyDescent="0.4">
      <c r="A924" s="25">
        <v>46395</v>
      </c>
      <c r="B924" s="16">
        <v>19</v>
      </c>
      <c r="C924" s="16">
        <v>2</v>
      </c>
      <c r="D924" s="16">
        <v>1</v>
      </c>
      <c r="E924" s="16" t="s">
        <v>980</v>
      </c>
      <c r="F924" s="16" t="s">
        <v>1296</v>
      </c>
      <c r="G924" s="16" t="s">
        <v>526</v>
      </c>
      <c r="H924" s="16" t="s">
        <v>140</v>
      </c>
      <c r="I924" s="22" t="s">
        <v>856</v>
      </c>
      <c r="J924" s="16">
        <f>IFERROR(INDEX(Aux_HH!$J$4:$J$31,MATCH($H924&amp;"|"&amp;$I924,Aux_HH!$A$4:$A$31,0)),"")</f>
        <v>2.5</v>
      </c>
      <c r="K924" s="16" t="s">
        <v>76</v>
      </c>
      <c r="L924" s="16" t="str">
        <f>IF(COUNTIFS(Pessoas!$C$5:$C$44,$K924,Pessoas!$G$5:$G$44,"Ativo")=0,"Equipe "&amp;$K924,INDEX(Pessoas!$A$5:$A$44,_xludf.aggregate(15,6,(ROW(Pessoas!$A$5:$A$44)-4)/((Pessoas!$C$5:$C$44=$K924)*(Pessoas!$G$5:$G$44="Ativo")),MOD(ROW()-6,MAX(1,COUNTIFS(Pessoas!$C$5:$C$44,$K924,Pessoas!$G$5:$G$44,"Ativo")))+1)))</f>
        <v>Equipe Oficina Mecânica Central-Taisa</v>
      </c>
    </row>
    <row r="925" spans="1:12" ht="15" customHeight="1" x14ac:dyDescent="0.4">
      <c r="A925" s="25">
        <v>46395</v>
      </c>
      <c r="B925" s="16">
        <v>19</v>
      </c>
      <c r="C925" s="16">
        <v>2</v>
      </c>
      <c r="D925" s="16">
        <v>1</v>
      </c>
      <c r="E925" s="16" t="s">
        <v>980</v>
      </c>
      <c r="F925" s="16" t="s">
        <v>1297</v>
      </c>
      <c r="G925" s="16" t="s">
        <v>526</v>
      </c>
      <c r="H925" s="16" t="s">
        <v>140</v>
      </c>
      <c r="I925" s="22" t="s">
        <v>856</v>
      </c>
      <c r="J925" s="16">
        <f>IFERROR(INDEX(Aux_HH!$J$4:$J$31,MATCH($H925&amp;"|"&amp;$I925,Aux_HH!$A$4:$A$31,0)),"")</f>
        <v>2.5</v>
      </c>
      <c r="K925" s="16" t="s">
        <v>76</v>
      </c>
      <c r="L925" s="16" t="str">
        <f>IF(COUNTIFS(Pessoas!$C$5:$C$44,$K925,Pessoas!$G$5:$G$44,"Ativo")=0,"Equipe "&amp;$K925,INDEX(Pessoas!$A$5:$A$44,_xludf.aggregate(15,6,(ROW(Pessoas!$A$5:$A$44)-4)/((Pessoas!$C$5:$C$44=$K925)*(Pessoas!$G$5:$G$44="Ativo")),MOD(ROW()-6,MAX(1,COUNTIFS(Pessoas!$C$5:$C$44,$K925,Pessoas!$G$5:$G$44,"Ativo")))+1)))</f>
        <v>Equipe Oficina Mecânica Central-Taisa</v>
      </c>
    </row>
    <row r="926" spans="1:12" ht="15" customHeight="1" x14ac:dyDescent="0.4">
      <c r="A926" s="25">
        <v>46395</v>
      </c>
      <c r="B926" s="16">
        <v>19</v>
      </c>
      <c r="C926" s="16">
        <v>2</v>
      </c>
      <c r="D926" s="16">
        <v>1</v>
      </c>
      <c r="E926" s="16" t="s">
        <v>980</v>
      </c>
      <c r="F926" s="16" t="s">
        <v>1298</v>
      </c>
      <c r="G926" s="16" t="s">
        <v>184</v>
      </c>
      <c r="H926" s="16" t="s">
        <v>140</v>
      </c>
      <c r="I926" s="22" t="s">
        <v>856</v>
      </c>
      <c r="J926" s="16">
        <f>IFERROR(INDEX(Aux_HH!$J$4:$J$31,MATCH($H926&amp;"|"&amp;$I926,Aux_HH!$A$4:$A$31,0)),"")</f>
        <v>2.5</v>
      </c>
      <c r="K926" s="16" t="s">
        <v>76</v>
      </c>
      <c r="L926" s="16" t="str">
        <f>IF(COUNTIFS(Pessoas!$C$5:$C$44,$K926,Pessoas!$G$5:$G$44,"Ativo")=0,"Equipe "&amp;$K926,INDEX(Pessoas!$A$5:$A$44,_xludf.aggregate(15,6,(ROW(Pessoas!$A$5:$A$44)-4)/((Pessoas!$C$5:$C$44=$K926)*(Pessoas!$G$5:$G$44="Ativo")),MOD(ROW()-6,MAX(1,COUNTIFS(Pessoas!$C$5:$C$44,$K926,Pessoas!$G$5:$G$44,"Ativo")))+1)))</f>
        <v>Equipe Oficina Mecânica Central-Taisa</v>
      </c>
    </row>
    <row r="927" spans="1:12" ht="15" customHeight="1" x14ac:dyDescent="0.4">
      <c r="A927" s="25">
        <v>46395</v>
      </c>
      <c r="B927" s="16">
        <v>19</v>
      </c>
      <c r="C927" s="16">
        <v>2</v>
      </c>
      <c r="D927" s="16">
        <v>1</v>
      </c>
      <c r="E927" s="16" t="s">
        <v>980</v>
      </c>
      <c r="F927" s="16" t="s">
        <v>1299</v>
      </c>
      <c r="G927" s="16" t="s">
        <v>184</v>
      </c>
      <c r="H927" s="16" t="s">
        <v>140</v>
      </c>
      <c r="I927" s="22" t="s">
        <v>856</v>
      </c>
      <c r="J927" s="16">
        <f>IFERROR(INDEX(Aux_HH!$J$4:$J$31,MATCH($H927&amp;"|"&amp;$I927,Aux_HH!$A$4:$A$31,0)),"")</f>
        <v>2.5</v>
      </c>
      <c r="K927" s="16" t="s">
        <v>76</v>
      </c>
      <c r="L927" s="16" t="str">
        <f>IF(COUNTIFS(Pessoas!$C$5:$C$44,$K927,Pessoas!$G$5:$G$44,"Ativo")=0,"Equipe "&amp;$K927,INDEX(Pessoas!$A$5:$A$44,_xludf.aggregate(15,6,(ROW(Pessoas!$A$5:$A$44)-4)/((Pessoas!$C$5:$C$44=$K927)*(Pessoas!$G$5:$G$44="Ativo")),MOD(ROW()-6,MAX(1,COUNTIFS(Pessoas!$C$5:$C$44,$K927,Pessoas!$G$5:$G$44,"Ativo")))+1)))</f>
        <v>Equipe Oficina Mecânica Central-Taisa</v>
      </c>
    </row>
    <row r="928" spans="1:12" ht="15" customHeight="1" x14ac:dyDescent="0.4">
      <c r="A928" s="25">
        <v>46395</v>
      </c>
      <c r="B928" s="16">
        <v>19</v>
      </c>
      <c r="C928" s="16">
        <v>2</v>
      </c>
      <c r="D928" s="16">
        <v>1</v>
      </c>
      <c r="E928" s="16" t="s">
        <v>980</v>
      </c>
      <c r="F928" s="16" t="s">
        <v>1300</v>
      </c>
      <c r="G928" s="16" t="s">
        <v>526</v>
      </c>
      <c r="H928" s="16" t="s">
        <v>140</v>
      </c>
      <c r="I928" s="22" t="s">
        <v>856</v>
      </c>
      <c r="J928" s="16">
        <f>IFERROR(INDEX(Aux_HH!$J$4:$J$31,MATCH($H928&amp;"|"&amp;$I928,Aux_HH!$A$4:$A$31,0)),"")</f>
        <v>2.5</v>
      </c>
      <c r="K928" s="16" t="s">
        <v>76</v>
      </c>
      <c r="L928" s="16" t="str">
        <f>IF(COUNTIFS(Pessoas!$C$5:$C$44,$K928,Pessoas!$G$5:$G$44,"Ativo")=0,"Equipe "&amp;$K928,INDEX(Pessoas!$A$5:$A$44,_xludf.aggregate(15,6,(ROW(Pessoas!$A$5:$A$44)-4)/((Pessoas!$C$5:$C$44=$K928)*(Pessoas!$G$5:$G$44="Ativo")),MOD(ROW()-6,MAX(1,COUNTIFS(Pessoas!$C$5:$C$44,$K928,Pessoas!$G$5:$G$44,"Ativo")))+1)))</f>
        <v>Equipe Oficina Mecânica Central-Taisa</v>
      </c>
    </row>
    <row r="929" spans="1:12" ht="15" customHeight="1" x14ac:dyDescent="0.4">
      <c r="A929" s="25">
        <v>46395</v>
      </c>
      <c r="B929" s="16">
        <v>19</v>
      </c>
      <c r="C929" s="16">
        <v>2</v>
      </c>
      <c r="D929" s="16">
        <v>1</v>
      </c>
      <c r="E929" s="16" t="s">
        <v>980</v>
      </c>
      <c r="F929" s="16" t="s">
        <v>1301</v>
      </c>
      <c r="G929" s="16" t="s">
        <v>526</v>
      </c>
      <c r="H929" s="16" t="s">
        <v>140</v>
      </c>
      <c r="I929" s="22" t="s">
        <v>856</v>
      </c>
      <c r="J929" s="16">
        <f>IFERROR(INDEX(Aux_HH!$J$4:$J$31,MATCH($H929&amp;"|"&amp;$I929,Aux_HH!$A$4:$A$31,0)),"")</f>
        <v>2.5</v>
      </c>
      <c r="K929" s="16" t="s">
        <v>76</v>
      </c>
      <c r="L929" s="16" t="str">
        <f>IF(COUNTIFS(Pessoas!$C$5:$C$44,$K929,Pessoas!$G$5:$G$44,"Ativo")=0,"Equipe "&amp;$K929,INDEX(Pessoas!$A$5:$A$44,_xludf.aggregate(15,6,(ROW(Pessoas!$A$5:$A$44)-4)/((Pessoas!$C$5:$C$44=$K929)*(Pessoas!$G$5:$G$44="Ativo")),MOD(ROW()-6,MAX(1,COUNTIFS(Pessoas!$C$5:$C$44,$K929,Pessoas!$G$5:$G$44,"Ativo")))+1)))</f>
        <v>Equipe Oficina Mecânica Central-Taisa</v>
      </c>
    </row>
    <row r="930" spans="1:12" ht="15" customHeight="1" x14ac:dyDescent="0.4">
      <c r="A930" s="25">
        <v>46395</v>
      </c>
      <c r="B930" s="16">
        <v>19</v>
      </c>
      <c r="C930" s="16">
        <v>2</v>
      </c>
      <c r="D930" s="16">
        <v>1</v>
      </c>
      <c r="E930" s="16" t="s">
        <v>980</v>
      </c>
      <c r="F930" s="16" t="s">
        <v>1302</v>
      </c>
      <c r="G930" s="16" t="s">
        <v>526</v>
      </c>
      <c r="H930" s="16" t="s">
        <v>140</v>
      </c>
      <c r="I930" s="22" t="s">
        <v>856</v>
      </c>
      <c r="J930" s="16">
        <f>IFERROR(INDEX(Aux_HH!$J$4:$J$31,MATCH($H930&amp;"|"&amp;$I930,Aux_HH!$A$4:$A$31,0)),"")</f>
        <v>2.5</v>
      </c>
      <c r="K930" s="16" t="s">
        <v>76</v>
      </c>
      <c r="L930" s="16" t="str">
        <f>IF(COUNTIFS(Pessoas!$C$5:$C$44,$K930,Pessoas!$G$5:$G$44,"Ativo")=0,"Equipe "&amp;$K930,INDEX(Pessoas!$A$5:$A$44,_xludf.aggregate(15,6,(ROW(Pessoas!$A$5:$A$44)-4)/((Pessoas!$C$5:$C$44=$K930)*(Pessoas!$G$5:$G$44="Ativo")),MOD(ROW()-6,MAX(1,COUNTIFS(Pessoas!$C$5:$C$44,$K930,Pessoas!$G$5:$G$44,"Ativo")))+1)))</f>
        <v>Equipe Oficina Mecânica Central-Taisa</v>
      </c>
    </row>
    <row r="931" spans="1:12" ht="15" customHeight="1" x14ac:dyDescent="0.4">
      <c r="A931" s="25">
        <v>46398</v>
      </c>
      <c r="B931" s="16">
        <v>19</v>
      </c>
      <c r="C931" s="16">
        <v>2</v>
      </c>
      <c r="D931" s="16">
        <v>1</v>
      </c>
      <c r="E931" s="16" t="s">
        <v>980</v>
      </c>
      <c r="F931" s="16" t="s">
        <v>1081</v>
      </c>
      <c r="G931" s="16" t="s">
        <v>526</v>
      </c>
      <c r="H931" s="16" t="s">
        <v>140</v>
      </c>
      <c r="I931" s="22" t="s">
        <v>856</v>
      </c>
      <c r="J931" s="16">
        <f>IFERROR(INDEX(Aux_HH!$J$4:$J$31,MATCH($H931&amp;"|"&amp;$I931,Aux_HH!$A$4:$A$31,0)),"")</f>
        <v>2.5</v>
      </c>
      <c r="K931" s="16" t="s">
        <v>76</v>
      </c>
      <c r="L931" s="16" t="str">
        <f>IF(COUNTIFS(Pessoas!$C$5:$C$44,$K931,Pessoas!$G$5:$G$44,"Ativo")=0,"Equipe "&amp;$K931,INDEX(Pessoas!$A$5:$A$44,_xludf.aggregate(15,6,(ROW(Pessoas!$A$5:$A$44)-4)/((Pessoas!$C$5:$C$44=$K931)*(Pessoas!$G$5:$G$44="Ativo")),MOD(ROW()-6,MAX(1,COUNTIFS(Pessoas!$C$5:$C$44,$K931,Pessoas!$G$5:$G$44,"Ativo")))+1)))</f>
        <v>Equipe Oficina Mecânica Central-Taisa</v>
      </c>
    </row>
    <row r="932" spans="1:12" ht="15" customHeight="1" x14ac:dyDescent="0.4">
      <c r="A932" s="25">
        <v>46398</v>
      </c>
      <c r="B932" s="16">
        <v>19</v>
      </c>
      <c r="C932" s="16">
        <v>2</v>
      </c>
      <c r="D932" s="16">
        <v>1</v>
      </c>
      <c r="E932" s="16" t="s">
        <v>980</v>
      </c>
      <c r="F932" s="16" t="s">
        <v>1082</v>
      </c>
      <c r="G932" s="16" t="s">
        <v>184</v>
      </c>
      <c r="H932" s="16" t="s">
        <v>140</v>
      </c>
      <c r="I932" s="22" t="s">
        <v>856</v>
      </c>
      <c r="J932" s="16">
        <f>IFERROR(INDEX(Aux_HH!$J$4:$J$31,MATCH($H932&amp;"|"&amp;$I932,Aux_HH!$A$4:$A$31,0)),"")</f>
        <v>2.5</v>
      </c>
      <c r="K932" s="16" t="s">
        <v>76</v>
      </c>
      <c r="L932" s="16" t="str">
        <f>IF(COUNTIFS(Pessoas!$C$5:$C$44,$K932,Pessoas!$G$5:$G$44,"Ativo")=0,"Equipe "&amp;$K932,INDEX(Pessoas!$A$5:$A$44,_xludf.aggregate(15,6,(ROW(Pessoas!$A$5:$A$44)-4)/((Pessoas!$C$5:$C$44=$K932)*(Pessoas!$G$5:$G$44="Ativo")),MOD(ROW()-6,MAX(1,COUNTIFS(Pessoas!$C$5:$C$44,$K932,Pessoas!$G$5:$G$44,"Ativo")))+1)))</f>
        <v>Equipe Oficina Mecânica Central-Taisa</v>
      </c>
    </row>
    <row r="933" spans="1:12" ht="15" customHeight="1" x14ac:dyDescent="0.4">
      <c r="A933" s="25">
        <v>46398</v>
      </c>
      <c r="B933" s="16">
        <v>19</v>
      </c>
      <c r="C933" s="16">
        <v>2</v>
      </c>
      <c r="D933" s="16">
        <v>1</v>
      </c>
      <c r="E933" s="16" t="s">
        <v>980</v>
      </c>
      <c r="F933" s="16" t="s">
        <v>1083</v>
      </c>
      <c r="G933" s="16" t="s">
        <v>184</v>
      </c>
      <c r="H933" s="16" t="s">
        <v>140</v>
      </c>
      <c r="I933" s="22" t="s">
        <v>856</v>
      </c>
      <c r="J933" s="16">
        <f>IFERROR(INDEX(Aux_HH!$J$4:$J$31,MATCH($H933&amp;"|"&amp;$I933,Aux_HH!$A$4:$A$31,0)),"")</f>
        <v>2.5</v>
      </c>
      <c r="K933" s="16" t="s">
        <v>76</v>
      </c>
      <c r="L933" s="16" t="str">
        <f>IF(COUNTIFS(Pessoas!$C$5:$C$44,$K933,Pessoas!$G$5:$G$44,"Ativo")=0,"Equipe "&amp;$K933,INDEX(Pessoas!$A$5:$A$44,_xludf.aggregate(15,6,(ROW(Pessoas!$A$5:$A$44)-4)/((Pessoas!$C$5:$C$44=$K933)*(Pessoas!$G$5:$G$44="Ativo")),MOD(ROW()-6,MAX(1,COUNTIFS(Pessoas!$C$5:$C$44,$K933,Pessoas!$G$5:$G$44,"Ativo")))+1)))</f>
        <v>Equipe Oficina Mecânica Central-Taisa</v>
      </c>
    </row>
    <row r="934" spans="1:12" ht="15" customHeight="1" x14ac:dyDescent="0.4">
      <c r="A934" s="25">
        <v>46398</v>
      </c>
      <c r="B934" s="16">
        <v>19</v>
      </c>
      <c r="C934" s="16">
        <v>2</v>
      </c>
      <c r="D934" s="16">
        <v>1</v>
      </c>
      <c r="E934" s="16" t="s">
        <v>980</v>
      </c>
      <c r="F934" s="16" t="s">
        <v>1084</v>
      </c>
      <c r="G934" s="16" t="s">
        <v>184</v>
      </c>
      <c r="H934" s="16" t="s">
        <v>140</v>
      </c>
      <c r="I934" s="22" t="s">
        <v>856</v>
      </c>
      <c r="J934" s="16">
        <f>IFERROR(INDEX(Aux_HH!$J$4:$J$31,MATCH($H934&amp;"|"&amp;$I934,Aux_HH!$A$4:$A$31,0)),"")</f>
        <v>2.5</v>
      </c>
      <c r="K934" s="16" t="s">
        <v>76</v>
      </c>
      <c r="L934" s="16" t="str">
        <f>IF(COUNTIFS(Pessoas!$C$5:$C$44,$K934,Pessoas!$G$5:$G$44,"Ativo")=0,"Equipe "&amp;$K934,INDEX(Pessoas!$A$5:$A$44,_xludf.aggregate(15,6,(ROW(Pessoas!$A$5:$A$44)-4)/((Pessoas!$C$5:$C$44=$K934)*(Pessoas!$G$5:$G$44="Ativo")),MOD(ROW()-6,MAX(1,COUNTIFS(Pessoas!$C$5:$C$44,$K934,Pessoas!$G$5:$G$44,"Ativo")))+1)))</f>
        <v>Equipe Oficina Mecânica Central-Taisa</v>
      </c>
    </row>
    <row r="935" spans="1:12" ht="15" customHeight="1" x14ac:dyDescent="0.4">
      <c r="A935" s="25">
        <v>46398</v>
      </c>
      <c r="B935" s="16">
        <v>19</v>
      </c>
      <c r="C935" s="16">
        <v>2</v>
      </c>
      <c r="D935" s="16">
        <v>1</v>
      </c>
      <c r="E935" s="16" t="s">
        <v>980</v>
      </c>
      <c r="F935" s="16" t="s">
        <v>1085</v>
      </c>
      <c r="G935" s="16" t="s">
        <v>184</v>
      </c>
      <c r="H935" s="16" t="s">
        <v>140</v>
      </c>
      <c r="I935" s="22" t="s">
        <v>856</v>
      </c>
      <c r="J935" s="16">
        <f>IFERROR(INDEX(Aux_HH!$J$4:$J$31,MATCH($H935&amp;"|"&amp;$I935,Aux_HH!$A$4:$A$31,0)),"")</f>
        <v>2.5</v>
      </c>
      <c r="K935" s="16" t="s">
        <v>76</v>
      </c>
      <c r="L935" s="16" t="str">
        <f>IF(COUNTIFS(Pessoas!$C$5:$C$44,$K935,Pessoas!$G$5:$G$44,"Ativo")=0,"Equipe "&amp;$K935,INDEX(Pessoas!$A$5:$A$44,_xludf.aggregate(15,6,(ROW(Pessoas!$A$5:$A$44)-4)/((Pessoas!$C$5:$C$44=$K935)*(Pessoas!$G$5:$G$44="Ativo")),MOD(ROW()-6,MAX(1,COUNTIFS(Pessoas!$C$5:$C$44,$K935,Pessoas!$G$5:$G$44,"Ativo")))+1)))</f>
        <v>Equipe Oficina Mecânica Central-Taisa</v>
      </c>
    </row>
    <row r="936" spans="1:12" ht="15" customHeight="1" x14ac:dyDescent="0.4">
      <c r="A936" s="25">
        <v>46398</v>
      </c>
      <c r="B936" s="16">
        <v>19</v>
      </c>
      <c r="C936" s="16">
        <v>2</v>
      </c>
      <c r="D936" s="16">
        <v>1</v>
      </c>
      <c r="E936" s="16" t="s">
        <v>980</v>
      </c>
      <c r="F936" s="16" t="s">
        <v>1086</v>
      </c>
      <c r="G936" s="16" t="s">
        <v>184</v>
      </c>
      <c r="H936" s="16" t="s">
        <v>140</v>
      </c>
      <c r="I936" s="22" t="s">
        <v>856</v>
      </c>
      <c r="J936" s="16">
        <f>IFERROR(INDEX(Aux_HH!$J$4:$J$31,MATCH($H936&amp;"|"&amp;$I936,Aux_HH!$A$4:$A$31,0)),"")</f>
        <v>2.5</v>
      </c>
      <c r="K936" s="16" t="s">
        <v>76</v>
      </c>
      <c r="L936" s="16" t="str">
        <f>IF(COUNTIFS(Pessoas!$C$5:$C$44,$K936,Pessoas!$G$5:$G$44,"Ativo")=0,"Equipe "&amp;$K936,INDEX(Pessoas!$A$5:$A$44,_xludf.aggregate(15,6,(ROW(Pessoas!$A$5:$A$44)-4)/((Pessoas!$C$5:$C$44=$K936)*(Pessoas!$G$5:$G$44="Ativo")),MOD(ROW()-6,MAX(1,COUNTIFS(Pessoas!$C$5:$C$44,$K936,Pessoas!$G$5:$G$44,"Ativo")))+1)))</f>
        <v>Equipe Oficina Mecânica Central-Taisa</v>
      </c>
    </row>
    <row r="937" spans="1:12" ht="15" customHeight="1" x14ac:dyDescent="0.4">
      <c r="A937" s="25">
        <v>46398</v>
      </c>
      <c r="B937" s="16">
        <v>19</v>
      </c>
      <c r="C937" s="16">
        <v>2</v>
      </c>
      <c r="D937" s="16">
        <v>1</v>
      </c>
      <c r="E937" s="16" t="s">
        <v>980</v>
      </c>
      <c r="F937" s="16" t="s">
        <v>1087</v>
      </c>
      <c r="G937" s="16" t="s">
        <v>526</v>
      </c>
      <c r="H937" s="16" t="s">
        <v>140</v>
      </c>
      <c r="I937" s="22" t="s">
        <v>856</v>
      </c>
      <c r="J937" s="16">
        <f>IFERROR(INDEX(Aux_HH!$J$4:$J$31,MATCH($H937&amp;"|"&amp;$I937,Aux_HH!$A$4:$A$31,0)),"")</f>
        <v>2.5</v>
      </c>
      <c r="K937" s="16" t="s">
        <v>76</v>
      </c>
      <c r="L937" s="16" t="str">
        <f>IF(COUNTIFS(Pessoas!$C$5:$C$44,$K937,Pessoas!$G$5:$G$44,"Ativo")=0,"Equipe "&amp;$K937,INDEX(Pessoas!$A$5:$A$44,_xludf.aggregate(15,6,(ROW(Pessoas!$A$5:$A$44)-4)/((Pessoas!$C$5:$C$44=$K937)*(Pessoas!$G$5:$G$44="Ativo")),MOD(ROW()-6,MAX(1,COUNTIFS(Pessoas!$C$5:$C$44,$K937,Pessoas!$G$5:$G$44,"Ativo")))+1)))</f>
        <v>Equipe Oficina Mecânica Central-Taisa</v>
      </c>
    </row>
    <row r="938" spans="1:12" ht="15" customHeight="1" x14ac:dyDescent="0.4">
      <c r="A938" s="25">
        <v>46398</v>
      </c>
      <c r="B938" s="16">
        <v>19</v>
      </c>
      <c r="C938" s="16">
        <v>2</v>
      </c>
      <c r="D938" s="16">
        <v>1</v>
      </c>
      <c r="E938" s="16" t="s">
        <v>980</v>
      </c>
      <c r="F938" s="16" t="s">
        <v>1088</v>
      </c>
      <c r="G938" s="16" t="s">
        <v>526</v>
      </c>
      <c r="H938" s="16" t="s">
        <v>140</v>
      </c>
      <c r="I938" s="22" t="s">
        <v>856</v>
      </c>
      <c r="J938" s="16">
        <f>IFERROR(INDEX(Aux_HH!$J$4:$J$31,MATCH($H938&amp;"|"&amp;$I938,Aux_HH!$A$4:$A$31,0)),"")</f>
        <v>2.5</v>
      </c>
      <c r="K938" s="16" t="s">
        <v>76</v>
      </c>
      <c r="L938" s="16" t="str">
        <f>IF(COUNTIFS(Pessoas!$C$5:$C$44,$K938,Pessoas!$G$5:$G$44,"Ativo")=0,"Equipe "&amp;$K938,INDEX(Pessoas!$A$5:$A$44,_xludf.aggregate(15,6,(ROW(Pessoas!$A$5:$A$44)-4)/((Pessoas!$C$5:$C$44=$K938)*(Pessoas!$G$5:$G$44="Ativo")),MOD(ROW()-6,MAX(1,COUNTIFS(Pessoas!$C$5:$C$44,$K938,Pessoas!$G$5:$G$44,"Ativo")))+1)))</f>
        <v>Equipe Oficina Mecânica Central-Taisa</v>
      </c>
    </row>
    <row r="939" spans="1:12" ht="15" customHeight="1" x14ac:dyDescent="0.4">
      <c r="A939" s="25">
        <v>46398</v>
      </c>
      <c r="B939" s="16">
        <v>19</v>
      </c>
      <c r="C939" s="16">
        <v>2</v>
      </c>
      <c r="D939" s="16">
        <v>1</v>
      </c>
      <c r="E939" s="16" t="s">
        <v>980</v>
      </c>
      <c r="F939" s="16" t="s">
        <v>1089</v>
      </c>
      <c r="G939" s="16" t="s">
        <v>184</v>
      </c>
      <c r="H939" s="16" t="s">
        <v>140</v>
      </c>
      <c r="I939" s="22" t="s">
        <v>856</v>
      </c>
      <c r="J939" s="16">
        <f>IFERROR(INDEX(Aux_HH!$J$4:$J$31,MATCH($H939&amp;"|"&amp;$I939,Aux_HH!$A$4:$A$31,0)),"")</f>
        <v>2.5</v>
      </c>
      <c r="K939" s="16" t="s">
        <v>76</v>
      </c>
      <c r="L939" s="16" t="str">
        <f>IF(COUNTIFS(Pessoas!$C$5:$C$44,$K939,Pessoas!$G$5:$G$44,"Ativo")=0,"Equipe "&amp;$K939,INDEX(Pessoas!$A$5:$A$44,_xludf.aggregate(15,6,(ROW(Pessoas!$A$5:$A$44)-4)/((Pessoas!$C$5:$C$44=$K939)*(Pessoas!$G$5:$G$44="Ativo")),MOD(ROW()-6,MAX(1,COUNTIFS(Pessoas!$C$5:$C$44,$K939,Pessoas!$G$5:$G$44,"Ativo")))+1)))</f>
        <v>Equipe Oficina Mecânica Central-Taisa</v>
      </c>
    </row>
    <row r="940" spans="1:12" ht="15" customHeight="1" x14ac:dyDescent="0.4">
      <c r="A940" s="25">
        <v>46398</v>
      </c>
      <c r="B940" s="16">
        <v>19</v>
      </c>
      <c r="C940" s="16">
        <v>2</v>
      </c>
      <c r="D940" s="16">
        <v>1</v>
      </c>
      <c r="E940" s="16" t="s">
        <v>980</v>
      </c>
      <c r="F940" s="16" t="s">
        <v>1090</v>
      </c>
      <c r="G940" s="16" t="s">
        <v>526</v>
      </c>
      <c r="H940" s="16" t="s">
        <v>140</v>
      </c>
      <c r="I940" s="22" t="s">
        <v>856</v>
      </c>
      <c r="J940" s="16">
        <f>IFERROR(INDEX(Aux_HH!$J$4:$J$31,MATCH($H940&amp;"|"&amp;$I940,Aux_HH!$A$4:$A$31,0)),"")</f>
        <v>2.5</v>
      </c>
      <c r="K940" s="16" t="s">
        <v>76</v>
      </c>
      <c r="L940" s="16" t="str">
        <f>IF(COUNTIFS(Pessoas!$C$5:$C$44,$K940,Pessoas!$G$5:$G$44,"Ativo")=0,"Equipe "&amp;$K940,INDEX(Pessoas!$A$5:$A$44,_xludf.aggregate(15,6,(ROW(Pessoas!$A$5:$A$44)-4)/((Pessoas!$C$5:$C$44=$K940)*(Pessoas!$G$5:$G$44="Ativo")),MOD(ROW()-6,MAX(1,COUNTIFS(Pessoas!$C$5:$C$44,$K940,Pessoas!$G$5:$G$44,"Ativo")))+1)))</f>
        <v>Equipe Oficina Mecânica Central-Taisa</v>
      </c>
    </row>
    <row r="941" spans="1:12" ht="15" customHeight="1" x14ac:dyDescent="0.4">
      <c r="A941" s="25">
        <v>46398</v>
      </c>
      <c r="B941" s="16">
        <v>19</v>
      </c>
      <c r="C941" s="16">
        <v>2</v>
      </c>
      <c r="D941" s="16">
        <v>1</v>
      </c>
      <c r="E941" s="16" t="s">
        <v>980</v>
      </c>
      <c r="F941" s="16" t="s">
        <v>1091</v>
      </c>
      <c r="G941" s="16" t="s">
        <v>526</v>
      </c>
      <c r="H941" s="16" t="s">
        <v>140</v>
      </c>
      <c r="I941" s="22" t="s">
        <v>856</v>
      </c>
      <c r="J941" s="16">
        <f>IFERROR(INDEX(Aux_HH!$J$4:$J$31,MATCH($H941&amp;"|"&amp;$I941,Aux_HH!$A$4:$A$31,0)),"")</f>
        <v>2.5</v>
      </c>
      <c r="K941" s="16" t="s">
        <v>76</v>
      </c>
      <c r="L941" s="16" t="str">
        <f>IF(COUNTIFS(Pessoas!$C$5:$C$44,$K941,Pessoas!$G$5:$G$44,"Ativo")=0,"Equipe "&amp;$K941,INDEX(Pessoas!$A$5:$A$44,_xludf.aggregate(15,6,(ROW(Pessoas!$A$5:$A$44)-4)/((Pessoas!$C$5:$C$44=$K941)*(Pessoas!$G$5:$G$44="Ativo")),MOD(ROW()-6,MAX(1,COUNTIFS(Pessoas!$C$5:$C$44,$K941,Pessoas!$G$5:$G$44,"Ativo")))+1)))</f>
        <v>Equipe Oficina Mecânica Central-Taisa</v>
      </c>
    </row>
    <row r="942" spans="1:12" ht="15" customHeight="1" x14ac:dyDescent="0.4">
      <c r="A942" s="25">
        <v>46398</v>
      </c>
      <c r="B942" s="16">
        <v>19</v>
      </c>
      <c r="C942" s="16">
        <v>2</v>
      </c>
      <c r="D942" s="16">
        <v>1</v>
      </c>
      <c r="E942" s="16" t="s">
        <v>980</v>
      </c>
      <c r="F942" s="16" t="s">
        <v>1092</v>
      </c>
      <c r="G942" s="16" t="s">
        <v>526</v>
      </c>
      <c r="H942" s="16" t="s">
        <v>140</v>
      </c>
      <c r="I942" s="22" t="s">
        <v>856</v>
      </c>
      <c r="J942" s="16">
        <f>IFERROR(INDEX(Aux_HH!$J$4:$J$31,MATCH($H942&amp;"|"&amp;$I942,Aux_HH!$A$4:$A$31,0)),"")</f>
        <v>2.5</v>
      </c>
      <c r="K942" s="16" t="s">
        <v>76</v>
      </c>
      <c r="L942" s="16" t="str">
        <f>IF(COUNTIFS(Pessoas!$C$5:$C$44,$K942,Pessoas!$G$5:$G$44,"Ativo")=0,"Equipe "&amp;$K942,INDEX(Pessoas!$A$5:$A$44,_xludf.aggregate(15,6,(ROW(Pessoas!$A$5:$A$44)-4)/((Pessoas!$C$5:$C$44=$K942)*(Pessoas!$G$5:$G$44="Ativo")),MOD(ROW()-6,MAX(1,COUNTIFS(Pessoas!$C$5:$C$44,$K942,Pessoas!$G$5:$G$44,"Ativo")))+1)))</f>
        <v>Equipe Oficina Mecânica Central-Taisa</v>
      </c>
    </row>
    <row r="943" spans="1:12" ht="15" customHeight="1" x14ac:dyDescent="0.4">
      <c r="A943" s="25">
        <v>46398</v>
      </c>
      <c r="B943" s="16">
        <v>19</v>
      </c>
      <c r="C943" s="16">
        <v>2</v>
      </c>
      <c r="D943" s="16">
        <v>1</v>
      </c>
      <c r="E943" s="16" t="s">
        <v>980</v>
      </c>
      <c r="F943" s="16" t="s">
        <v>1093</v>
      </c>
      <c r="G943" s="16" t="s">
        <v>526</v>
      </c>
      <c r="H943" s="16" t="s">
        <v>140</v>
      </c>
      <c r="I943" s="22" t="s">
        <v>856</v>
      </c>
      <c r="J943" s="16">
        <f>IFERROR(INDEX(Aux_HH!$J$4:$J$31,MATCH($H943&amp;"|"&amp;$I943,Aux_HH!$A$4:$A$31,0)),"")</f>
        <v>2.5</v>
      </c>
      <c r="K943" s="16" t="s">
        <v>76</v>
      </c>
      <c r="L943" s="16" t="str">
        <f>IF(COUNTIFS(Pessoas!$C$5:$C$44,$K943,Pessoas!$G$5:$G$44,"Ativo")=0,"Equipe "&amp;$K943,INDEX(Pessoas!$A$5:$A$44,_xludf.aggregate(15,6,(ROW(Pessoas!$A$5:$A$44)-4)/((Pessoas!$C$5:$C$44=$K943)*(Pessoas!$G$5:$G$44="Ativo")),MOD(ROW()-6,MAX(1,COUNTIFS(Pessoas!$C$5:$C$44,$K943,Pessoas!$G$5:$G$44,"Ativo")))+1)))</f>
        <v>Equipe Oficina Mecânica Central-Taisa</v>
      </c>
    </row>
    <row r="944" spans="1:12" ht="15" customHeight="1" x14ac:dyDescent="0.4">
      <c r="A944" s="25">
        <v>46398</v>
      </c>
      <c r="B944" s="16">
        <v>19</v>
      </c>
      <c r="C944" s="16">
        <v>2</v>
      </c>
      <c r="D944" s="16">
        <v>1</v>
      </c>
      <c r="E944" s="16" t="s">
        <v>980</v>
      </c>
      <c r="F944" s="16" t="s">
        <v>1117</v>
      </c>
      <c r="G944" s="16" t="s">
        <v>526</v>
      </c>
      <c r="H944" s="16" t="s">
        <v>140</v>
      </c>
      <c r="I944" s="22" t="s">
        <v>856</v>
      </c>
      <c r="J944" s="16">
        <f>IFERROR(INDEX(Aux_HH!$J$4:$J$31,MATCH($H944&amp;"|"&amp;$I944,Aux_HH!$A$4:$A$31,0)),"")</f>
        <v>2.5</v>
      </c>
      <c r="K944" s="16" t="s">
        <v>76</v>
      </c>
      <c r="L944" s="16" t="str">
        <f>IF(COUNTIFS(Pessoas!$C$5:$C$44,$K944,Pessoas!$G$5:$G$44,"Ativo")=0,"Equipe "&amp;$K944,INDEX(Pessoas!$A$5:$A$44,_xludf.aggregate(15,6,(ROW(Pessoas!$A$5:$A$44)-4)/((Pessoas!$C$5:$C$44=$K944)*(Pessoas!$G$5:$G$44="Ativo")),MOD(ROW()-6,MAX(1,COUNTIFS(Pessoas!$C$5:$C$44,$K944,Pessoas!$G$5:$G$44,"Ativo")))+1)))</f>
        <v>Equipe Oficina Mecânica Central-Taisa</v>
      </c>
    </row>
    <row r="945" spans="1:12" ht="15" customHeight="1" x14ac:dyDescent="0.4">
      <c r="A945" s="25">
        <v>46398</v>
      </c>
      <c r="B945" s="16">
        <v>19</v>
      </c>
      <c r="C945" s="16">
        <v>2</v>
      </c>
      <c r="D945" s="16">
        <v>1</v>
      </c>
      <c r="E945" s="16" t="s">
        <v>980</v>
      </c>
      <c r="F945" s="16" t="s">
        <v>1118</v>
      </c>
      <c r="G945" s="16" t="s">
        <v>526</v>
      </c>
      <c r="H945" s="16" t="s">
        <v>140</v>
      </c>
      <c r="I945" s="22" t="s">
        <v>856</v>
      </c>
      <c r="J945" s="16">
        <f>IFERROR(INDEX(Aux_HH!$J$4:$J$31,MATCH($H945&amp;"|"&amp;$I945,Aux_HH!$A$4:$A$31,0)),"")</f>
        <v>2.5</v>
      </c>
      <c r="K945" s="16" t="s">
        <v>76</v>
      </c>
      <c r="L945" s="16" t="str">
        <f>IF(COUNTIFS(Pessoas!$C$5:$C$44,$K945,Pessoas!$G$5:$G$44,"Ativo")=0,"Equipe "&amp;$K945,INDEX(Pessoas!$A$5:$A$44,_xludf.aggregate(15,6,(ROW(Pessoas!$A$5:$A$44)-4)/((Pessoas!$C$5:$C$44=$K945)*(Pessoas!$G$5:$G$44="Ativo")),MOD(ROW()-6,MAX(1,COUNTIFS(Pessoas!$C$5:$C$44,$K945,Pessoas!$G$5:$G$44,"Ativo")))+1)))</f>
        <v>Equipe Oficina Mecânica Central-Taisa</v>
      </c>
    </row>
    <row r="946" spans="1:12" ht="15" customHeight="1" x14ac:dyDescent="0.4">
      <c r="A946" s="25">
        <v>46398</v>
      </c>
      <c r="B946" s="16">
        <v>19</v>
      </c>
      <c r="C946" s="16">
        <v>2</v>
      </c>
      <c r="D946" s="16">
        <v>1</v>
      </c>
      <c r="E946" s="16" t="s">
        <v>980</v>
      </c>
      <c r="F946" s="16" t="s">
        <v>1119</v>
      </c>
      <c r="G946" s="16" t="s">
        <v>184</v>
      </c>
      <c r="H946" s="16" t="s">
        <v>140</v>
      </c>
      <c r="I946" s="22" t="s">
        <v>856</v>
      </c>
      <c r="J946" s="16">
        <f>IFERROR(INDEX(Aux_HH!$J$4:$J$31,MATCH($H946&amp;"|"&amp;$I946,Aux_HH!$A$4:$A$31,0)),"")</f>
        <v>2.5</v>
      </c>
      <c r="K946" s="16" t="s">
        <v>76</v>
      </c>
      <c r="L946" s="16" t="str">
        <f>IF(COUNTIFS(Pessoas!$C$5:$C$44,$K946,Pessoas!$G$5:$G$44,"Ativo")=0,"Equipe "&amp;$K946,INDEX(Pessoas!$A$5:$A$44,_xludf.aggregate(15,6,(ROW(Pessoas!$A$5:$A$44)-4)/((Pessoas!$C$5:$C$44=$K946)*(Pessoas!$G$5:$G$44="Ativo")),MOD(ROW()-6,MAX(1,COUNTIFS(Pessoas!$C$5:$C$44,$K946,Pessoas!$G$5:$G$44,"Ativo")))+1)))</f>
        <v>Equipe Oficina Mecânica Central-Taisa</v>
      </c>
    </row>
    <row r="947" spans="1:12" ht="15" customHeight="1" x14ac:dyDescent="0.4">
      <c r="A947" s="25">
        <v>46398</v>
      </c>
      <c r="B947" s="16">
        <v>19</v>
      </c>
      <c r="C947" s="16">
        <v>2</v>
      </c>
      <c r="D947" s="16">
        <v>1</v>
      </c>
      <c r="E947" s="16" t="s">
        <v>980</v>
      </c>
      <c r="F947" s="16" t="s">
        <v>1120</v>
      </c>
      <c r="G947" s="16" t="s">
        <v>184</v>
      </c>
      <c r="H947" s="16" t="s">
        <v>140</v>
      </c>
      <c r="I947" s="22" t="s">
        <v>856</v>
      </c>
      <c r="J947" s="16">
        <f>IFERROR(INDEX(Aux_HH!$J$4:$J$31,MATCH($H947&amp;"|"&amp;$I947,Aux_HH!$A$4:$A$31,0)),"")</f>
        <v>2.5</v>
      </c>
      <c r="K947" s="16" t="s">
        <v>76</v>
      </c>
      <c r="L947" s="16" t="str">
        <f>IF(COUNTIFS(Pessoas!$C$5:$C$44,$K947,Pessoas!$G$5:$G$44,"Ativo")=0,"Equipe "&amp;$K947,INDEX(Pessoas!$A$5:$A$44,_xludf.aggregate(15,6,(ROW(Pessoas!$A$5:$A$44)-4)/((Pessoas!$C$5:$C$44=$K947)*(Pessoas!$G$5:$G$44="Ativo")),MOD(ROW()-6,MAX(1,COUNTIFS(Pessoas!$C$5:$C$44,$K947,Pessoas!$G$5:$G$44,"Ativo")))+1)))</f>
        <v>Equipe Oficina Mecânica Central-Taisa</v>
      </c>
    </row>
    <row r="948" spans="1:12" ht="15" customHeight="1" x14ac:dyDescent="0.4">
      <c r="A948" s="25">
        <v>46398</v>
      </c>
      <c r="B948" s="16">
        <v>19</v>
      </c>
      <c r="C948" s="16">
        <v>2</v>
      </c>
      <c r="D948" s="16">
        <v>1</v>
      </c>
      <c r="E948" s="16" t="s">
        <v>980</v>
      </c>
      <c r="F948" s="16" t="s">
        <v>1121</v>
      </c>
      <c r="G948" s="16" t="s">
        <v>526</v>
      </c>
      <c r="H948" s="16" t="s">
        <v>140</v>
      </c>
      <c r="I948" s="22" t="s">
        <v>856</v>
      </c>
      <c r="J948" s="16">
        <f>IFERROR(INDEX(Aux_HH!$J$4:$J$31,MATCH($H948&amp;"|"&amp;$I948,Aux_HH!$A$4:$A$31,0)),"")</f>
        <v>2.5</v>
      </c>
      <c r="K948" s="16" t="s">
        <v>76</v>
      </c>
      <c r="L948" s="16" t="str">
        <f>IF(COUNTIFS(Pessoas!$C$5:$C$44,$K948,Pessoas!$G$5:$G$44,"Ativo")=0,"Equipe "&amp;$K948,INDEX(Pessoas!$A$5:$A$44,_xludf.aggregate(15,6,(ROW(Pessoas!$A$5:$A$44)-4)/((Pessoas!$C$5:$C$44=$K948)*(Pessoas!$G$5:$G$44="Ativo")),MOD(ROW()-6,MAX(1,COUNTIFS(Pessoas!$C$5:$C$44,$K948,Pessoas!$G$5:$G$44,"Ativo")))+1)))</f>
        <v>Equipe Oficina Mecânica Central-Taisa</v>
      </c>
    </row>
    <row r="949" spans="1:12" ht="15" customHeight="1" x14ac:dyDescent="0.4">
      <c r="A949" s="25">
        <v>46398</v>
      </c>
      <c r="B949" s="16">
        <v>19</v>
      </c>
      <c r="C949" s="16">
        <v>2</v>
      </c>
      <c r="D949" s="16">
        <v>1</v>
      </c>
      <c r="E949" s="16" t="s">
        <v>980</v>
      </c>
      <c r="F949" s="16" t="s">
        <v>1122</v>
      </c>
      <c r="G949" s="16" t="s">
        <v>526</v>
      </c>
      <c r="H949" s="16" t="s">
        <v>140</v>
      </c>
      <c r="I949" s="22" t="s">
        <v>856</v>
      </c>
      <c r="J949" s="16">
        <f>IFERROR(INDEX(Aux_HH!$J$4:$J$31,MATCH($H949&amp;"|"&amp;$I949,Aux_HH!$A$4:$A$31,0)),"")</f>
        <v>2.5</v>
      </c>
      <c r="K949" s="16" t="s">
        <v>76</v>
      </c>
      <c r="L949" s="16" t="str">
        <f>IF(COUNTIFS(Pessoas!$C$5:$C$44,$K949,Pessoas!$G$5:$G$44,"Ativo")=0,"Equipe "&amp;$K949,INDEX(Pessoas!$A$5:$A$44,_xludf.aggregate(15,6,(ROW(Pessoas!$A$5:$A$44)-4)/((Pessoas!$C$5:$C$44=$K949)*(Pessoas!$G$5:$G$44="Ativo")),MOD(ROW()-6,MAX(1,COUNTIFS(Pessoas!$C$5:$C$44,$K949,Pessoas!$G$5:$G$44,"Ativo")))+1)))</f>
        <v>Equipe Oficina Mecânica Central-Taisa</v>
      </c>
    </row>
    <row r="950" spans="1:12" ht="15" customHeight="1" x14ac:dyDescent="0.4">
      <c r="A950" s="25">
        <v>46398</v>
      </c>
      <c r="B950" s="16">
        <v>19</v>
      </c>
      <c r="C950" s="16">
        <v>2</v>
      </c>
      <c r="D950" s="16">
        <v>1</v>
      </c>
      <c r="E950" s="16" t="s">
        <v>980</v>
      </c>
      <c r="F950" s="16" t="s">
        <v>1123</v>
      </c>
      <c r="G950" s="16" t="s">
        <v>526</v>
      </c>
      <c r="H950" s="16" t="s">
        <v>140</v>
      </c>
      <c r="I950" s="22" t="s">
        <v>856</v>
      </c>
      <c r="J950" s="16">
        <f>IFERROR(INDEX(Aux_HH!$J$4:$J$31,MATCH($H950&amp;"|"&amp;$I950,Aux_HH!$A$4:$A$31,0)),"")</f>
        <v>2.5</v>
      </c>
      <c r="K950" s="16" t="s">
        <v>76</v>
      </c>
      <c r="L950" s="16" t="str">
        <f>IF(COUNTIFS(Pessoas!$C$5:$C$44,$K950,Pessoas!$G$5:$G$44,"Ativo")=0,"Equipe "&amp;$K950,INDEX(Pessoas!$A$5:$A$44,_xludf.aggregate(15,6,(ROW(Pessoas!$A$5:$A$44)-4)/((Pessoas!$C$5:$C$44=$K950)*(Pessoas!$G$5:$G$44="Ativo")),MOD(ROW()-6,MAX(1,COUNTIFS(Pessoas!$C$5:$C$44,$K950,Pessoas!$G$5:$G$44,"Ativo")))+1)))</f>
        <v>Equipe Oficina Mecânica Central-Taisa</v>
      </c>
    </row>
    <row r="951" spans="1:12" ht="15" customHeight="1" x14ac:dyDescent="0.4">
      <c r="A951" s="25">
        <v>46399</v>
      </c>
      <c r="B951" s="16">
        <v>20</v>
      </c>
      <c r="C951" s="16">
        <v>2</v>
      </c>
      <c r="D951" s="16">
        <v>1</v>
      </c>
      <c r="E951" s="16" t="s">
        <v>980</v>
      </c>
      <c r="F951" s="16" t="s">
        <v>1080</v>
      </c>
      <c r="G951" s="16" t="s">
        <v>158</v>
      </c>
      <c r="H951" s="16" t="s">
        <v>141</v>
      </c>
      <c r="I951" s="22" t="s">
        <v>856</v>
      </c>
      <c r="J951" s="16">
        <f>IFERROR(INDEX(Aux_HH!$J$4:$J$31,MATCH($H951&amp;"|"&amp;$I951,Aux_HH!$A$4:$A$31,0)),"")</f>
        <v>2</v>
      </c>
      <c r="K951" s="16" t="s">
        <v>76</v>
      </c>
      <c r="L951" s="16" t="str">
        <f>IF(COUNTIFS(Pessoas!$C$5:$C$44,$K951,Pessoas!$G$5:$G$44,"Ativo")=0,"Equipe "&amp;$K951,INDEX(Pessoas!$A$5:$A$44,_xludf.aggregate(15,6,(ROW(Pessoas!$A$5:$A$44)-4)/((Pessoas!$C$5:$C$44=$K951)*(Pessoas!$G$5:$G$44="Ativo")),MOD(ROW()-6,MAX(1,COUNTIFS(Pessoas!$C$5:$C$44,$K951,Pessoas!$G$5:$G$44,"Ativo")))+1)))</f>
        <v>Equipe Oficina Mecânica Central-Taisa</v>
      </c>
    </row>
    <row r="952" spans="1:12" ht="15" customHeight="1" x14ac:dyDescent="0.4">
      <c r="A952" s="25">
        <v>46399</v>
      </c>
      <c r="B952" s="16">
        <v>20</v>
      </c>
      <c r="C952" s="16">
        <v>2</v>
      </c>
      <c r="D952" s="16">
        <v>1</v>
      </c>
      <c r="E952" s="16" t="s">
        <v>980</v>
      </c>
      <c r="F952" s="16" t="s">
        <v>993</v>
      </c>
      <c r="G952" s="16" t="s">
        <v>184</v>
      </c>
      <c r="H952" s="16" t="s">
        <v>138</v>
      </c>
      <c r="I952" s="22" t="s">
        <v>867</v>
      </c>
      <c r="J952" s="16">
        <f>IFERROR(INDEX(Aux_HH!$J$4:$J$31,MATCH($H952&amp;"|"&amp;$I952,Aux_HH!$A$4:$A$31,0)),"")</f>
        <v>24</v>
      </c>
      <c r="K952" s="16" t="s">
        <v>76</v>
      </c>
      <c r="L952" s="16" t="str">
        <f>IF(COUNTIFS(Pessoas!$C$5:$C$44,$K952,Pessoas!$G$5:$G$44,"Ativo")=0,"Equipe "&amp;$K952,INDEX(Pessoas!$A$5:$A$44,_xludf.aggregate(15,6,(ROW(Pessoas!$A$5:$A$44)-4)/((Pessoas!$C$5:$C$44=$K952)*(Pessoas!$G$5:$G$44="Ativo")),MOD(ROW()-6,MAX(1,COUNTIFS(Pessoas!$C$5:$C$44,$K952,Pessoas!$G$5:$G$44,"Ativo")))+1)))</f>
        <v>Equipe Oficina Mecânica Central-Taisa</v>
      </c>
    </row>
    <row r="953" spans="1:12" ht="15" customHeight="1" x14ac:dyDescent="0.4">
      <c r="A953" s="25">
        <v>46399</v>
      </c>
      <c r="B953" s="16">
        <v>20</v>
      </c>
      <c r="C953" s="16">
        <v>2</v>
      </c>
      <c r="D953" s="16">
        <v>1</v>
      </c>
      <c r="E953" s="16" t="s">
        <v>980</v>
      </c>
      <c r="F953" s="16" t="s">
        <v>1094</v>
      </c>
      <c r="G953" s="16" t="s">
        <v>158</v>
      </c>
      <c r="H953" s="16" t="s">
        <v>141</v>
      </c>
      <c r="I953" s="22" t="s">
        <v>856</v>
      </c>
      <c r="J953" s="16">
        <f>IFERROR(INDEX(Aux_HH!$J$4:$J$31,MATCH($H953&amp;"|"&amp;$I953,Aux_HH!$A$4:$A$31,0)),"")</f>
        <v>2</v>
      </c>
      <c r="K953" s="16" t="s">
        <v>76</v>
      </c>
      <c r="L953" s="16" t="str">
        <f>IF(COUNTIFS(Pessoas!$C$5:$C$44,$K953,Pessoas!$G$5:$G$44,"Ativo")=0,"Equipe "&amp;$K953,INDEX(Pessoas!$A$5:$A$44,_xludf.aggregate(15,6,(ROW(Pessoas!$A$5:$A$44)-4)/((Pessoas!$C$5:$C$44=$K953)*(Pessoas!$G$5:$G$44="Ativo")),MOD(ROW()-6,MAX(1,COUNTIFS(Pessoas!$C$5:$C$44,$K953,Pessoas!$G$5:$G$44,"Ativo")))+1)))</f>
        <v>Equipe Oficina Mecânica Central-Taisa</v>
      </c>
    </row>
    <row r="954" spans="1:12" ht="15" customHeight="1" x14ac:dyDescent="0.4">
      <c r="A954" s="25">
        <v>46399</v>
      </c>
      <c r="B954" s="16">
        <v>20</v>
      </c>
      <c r="C954" s="16">
        <v>2</v>
      </c>
      <c r="D954" s="16">
        <v>1</v>
      </c>
      <c r="E954" s="16" t="s">
        <v>980</v>
      </c>
      <c r="F954" s="16" t="s">
        <v>1095</v>
      </c>
      <c r="G954" s="16" t="s">
        <v>158</v>
      </c>
      <c r="H954" s="16" t="s">
        <v>141</v>
      </c>
      <c r="I954" s="22" t="s">
        <v>856</v>
      </c>
      <c r="J954" s="16">
        <f>IFERROR(INDEX(Aux_HH!$J$4:$J$31,MATCH($H954&amp;"|"&amp;$I954,Aux_HH!$A$4:$A$31,0)),"")</f>
        <v>2</v>
      </c>
      <c r="K954" s="16" t="s">
        <v>76</v>
      </c>
      <c r="L954" s="16" t="str">
        <f>IF(COUNTIFS(Pessoas!$C$5:$C$44,$K954,Pessoas!$G$5:$G$44,"Ativo")=0,"Equipe "&amp;$K954,INDEX(Pessoas!$A$5:$A$44,_xludf.aggregate(15,6,(ROW(Pessoas!$A$5:$A$44)-4)/((Pessoas!$C$5:$C$44=$K954)*(Pessoas!$G$5:$G$44="Ativo")),MOD(ROW()-6,MAX(1,COUNTIFS(Pessoas!$C$5:$C$44,$K954,Pessoas!$G$5:$G$44,"Ativo")))+1)))</f>
        <v>Equipe Oficina Mecânica Central-Taisa</v>
      </c>
    </row>
    <row r="955" spans="1:12" ht="15" customHeight="1" x14ac:dyDescent="0.4">
      <c r="A955" s="25">
        <v>46399</v>
      </c>
      <c r="B955" s="16">
        <v>20</v>
      </c>
      <c r="C955" s="16">
        <v>2</v>
      </c>
      <c r="D955" s="16">
        <v>1</v>
      </c>
      <c r="E955" s="16" t="s">
        <v>980</v>
      </c>
      <c r="F955" s="16" t="s">
        <v>1096</v>
      </c>
      <c r="G955" s="16" t="s">
        <v>158</v>
      </c>
      <c r="H955" s="16" t="s">
        <v>141</v>
      </c>
      <c r="I955" s="22" t="s">
        <v>856</v>
      </c>
      <c r="J955" s="16">
        <f>IFERROR(INDEX(Aux_HH!$J$4:$J$31,MATCH($H955&amp;"|"&amp;$I955,Aux_HH!$A$4:$A$31,0)),"")</f>
        <v>2</v>
      </c>
      <c r="K955" s="16" t="s">
        <v>76</v>
      </c>
      <c r="L955" s="16" t="str">
        <f>IF(COUNTIFS(Pessoas!$C$5:$C$44,$K955,Pessoas!$G$5:$G$44,"Ativo")=0,"Equipe "&amp;$K955,INDEX(Pessoas!$A$5:$A$44,_xludf.aggregate(15,6,(ROW(Pessoas!$A$5:$A$44)-4)/((Pessoas!$C$5:$C$44=$K955)*(Pessoas!$G$5:$G$44="Ativo")),MOD(ROW()-6,MAX(1,COUNTIFS(Pessoas!$C$5:$C$44,$K955,Pessoas!$G$5:$G$44,"Ativo")))+1)))</f>
        <v>Equipe Oficina Mecânica Central-Taisa</v>
      </c>
    </row>
    <row r="956" spans="1:12" ht="15" customHeight="1" x14ac:dyDescent="0.4">
      <c r="A956" s="25">
        <v>46399</v>
      </c>
      <c r="B956" s="16">
        <v>20</v>
      </c>
      <c r="C956" s="16">
        <v>2</v>
      </c>
      <c r="D956" s="16">
        <v>1</v>
      </c>
      <c r="E956" s="16" t="s">
        <v>980</v>
      </c>
      <c r="F956" s="16" t="s">
        <v>1097</v>
      </c>
      <c r="G956" s="16" t="s">
        <v>158</v>
      </c>
      <c r="H956" s="16" t="s">
        <v>141</v>
      </c>
      <c r="I956" s="22" t="s">
        <v>856</v>
      </c>
      <c r="J956" s="16">
        <f>IFERROR(INDEX(Aux_HH!$J$4:$J$31,MATCH($H956&amp;"|"&amp;$I956,Aux_HH!$A$4:$A$31,0)),"")</f>
        <v>2</v>
      </c>
      <c r="K956" s="16" t="s">
        <v>76</v>
      </c>
      <c r="L956" s="16" t="str">
        <f>IF(COUNTIFS(Pessoas!$C$5:$C$44,$K956,Pessoas!$G$5:$G$44,"Ativo")=0,"Equipe "&amp;$K956,INDEX(Pessoas!$A$5:$A$44,_xludf.aggregate(15,6,(ROW(Pessoas!$A$5:$A$44)-4)/((Pessoas!$C$5:$C$44=$K956)*(Pessoas!$G$5:$G$44="Ativo")),MOD(ROW()-6,MAX(1,COUNTIFS(Pessoas!$C$5:$C$44,$K956,Pessoas!$G$5:$G$44,"Ativo")))+1)))</f>
        <v>Equipe Oficina Mecânica Central-Taisa</v>
      </c>
    </row>
    <row r="957" spans="1:12" ht="15" customHeight="1" x14ac:dyDescent="0.4">
      <c r="A957" s="25">
        <v>46399</v>
      </c>
      <c r="B957" s="16">
        <v>20</v>
      </c>
      <c r="C957" s="16">
        <v>2</v>
      </c>
      <c r="D957" s="16">
        <v>1</v>
      </c>
      <c r="E957" s="16" t="s">
        <v>980</v>
      </c>
      <c r="F957" s="16" t="s">
        <v>1098</v>
      </c>
      <c r="G957" s="16" t="s">
        <v>158</v>
      </c>
      <c r="H957" s="16" t="s">
        <v>141</v>
      </c>
      <c r="I957" s="22" t="s">
        <v>856</v>
      </c>
      <c r="J957" s="16">
        <f>IFERROR(INDEX(Aux_HH!$J$4:$J$31,MATCH($H957&amp;"|"&amp;$I957,Aux_HH!$A$4:$A$31,0)),"")</f>
        <v>2</v>
      </c>
      <c r="K957" s="16" t="s">
        <v>76</v>
      </c>
      <c r="L957" s="16" t="str">
        <f>IF(COUNTIFS(Pessoas!$C$5:$C$44,$K957,Pessoas!$G$5:$G$44,"Ativo")=0,"Equipe "&amp;$K957,INDEX(Pessoas!$A$5:$A$44,_xludf.aggregate(15,6,(ROW(Pessoas!$A$5:$A$44)-4)/((Pessoas!$C$5:$C$44=$K957)*(Pessoas!$G$5:$G$44="Ativo")),MOD(ROW()-6,MAX(1,COUNTIFS(Pessoas!$C$5:$C$44,$K957,Pessoas!$G$5:$G$44,"Ativo")))+1)))</f>
        <v>Equipe Oficina Mecânica Central-Taisa</v>
      </c>
    </row>
    <row r="958" spans="1:12" ht="15" customHeight="1" x14ac:dyDescent="0.4">
      <c r="A958" s="25">
        <v>46399</v>
      </c>
      <c r="B958" s="16">
        <v>20</v>
      </c>
      <c r="C958" s="16">
        <v>2</v>
      </c>
      <c r="D958" s="16">
        <v>1</v>
      </c>
      <c r="E958" s="16" t="s">
        <v>980</v>
      </c>
      <c r="F958" s="16" t="s">
        <v>1099</v>
      </c>
      <c r="G958" s="16" t="s">
        <v>158</v>
      </c>
      <c r="H958" s="16" t="s">
        <v>141</v>
      </c>
      <c r="I958" s="22" t="s">
        <v>856</v>
      </c>
      <c r="J958" s="16">
        <f>IFERROR(INDEX(Aux_HH!$J$4:$J$31,MATCH($H958&amp;"|"&amp;$I958,Aux_HH!$A$4:$A$31,0)),"")</f>
        <v>2</v>
      </c>
      <c r="K958" s="16" t="s">
        <v>76</v>
      </c>
      <c r="L958" s="16" t="str">
        <f>IF(COUNTIFS(Pessoas!$C$5:$C$44,$K958,Pessoas!$G$5:$G$44,"Ativo")=0,"Equipe "&amp;$K958,INDEX(Pessoas!$A$5:$A$44,_xludf.aggregate(15,6,(ROW(Pessoas!$A$5:$A$44)-4)/((Pessoas!$C$5:$C$44=$K958)*(Pessoas!$G$5:$G$44="Ativo")),MOD(ROW()-6,MAX(1,COUNTIFS(Pessoas!$C$5:$C$44,$K958,Pessoas!$G$5:$G$44,"Ativo")))+1)))</f>
        <v>Equipe Oficina Mecânica Central-Taisa</v>
      </c>
    </row>
    <row r="959" spans="1:12" ht="15" customHeight="1" x14ac:dyDescent="0.4">
      <c r="A959" s="25">
        <v>46399</v>
      </c>
      <c r="B959" s="16">
        <v>20</v>
      </c>
      <c r="C959" s="16">
        <v>2</v>
      </c>
      <c r="D959" s="16">
        <v>1</v>
      </c>
      <c r="E959" s="16" t="s">
        <v>980</v>
      </c>
      <c r="F959" s="16" t="s">
        <v>1100</v>
      </c>
      <c r="G959" s="16" t="s">
        <v>158</v>
      </c>
      <c r="H959" s="16" t="s">
        <v>141</v>
      </c>
      <c r="I959" s="22" t="s">
        <v>856</v>
      </c>
      <c r="J959" s="16">
        <f>IFERROR(INDEX(Aux_HH!$J$4:$J$31,MATCH($H959&amp;"|"&amp;$I959,Aux_HH!$A$4:$A$31,0)),"")</f>
        <v>2</v>
      </c>
      <c r="K959" s="16" t="s">
        <v>76</v>
      </c>
      <c r="L959" s="16" t="str">
        <f>IF(COUNTIFS(Pessoas!$C$5:$C$44,$K959,Pessoas!$G$5:$G$44,"Ativo")=0,"Equipe "&amp;$K959,INDEX(Pessoas!$A$5:$A$44,_xludf.aggregate(15,6,(ROW(Pessoas!$A$5:$A$44)-4)/((Pessoas!$C$5:$C$44=$K959)*(Pessoas!$G$5:$G$44="Ativo")),MOD(ROW()-6,MAX(1,COUNTIFS(Pessoas!$C$5:$C$44,$K959,Pessoas!$G$5:$G$44,"Ativo")))+1)))</f>
        <v>Equipe Oficina Mecânica Central-Taisa</v>
      </c>
    </row>
    <row r="960" spans="1:12" ht="15" customHeight="1" x14ac:dyDescent="0.4">
      <c r="A960" s="25">
        <v>46399</v>
      </c>
      <c r="B960" s="16">
        <v>20</v>
      </c>
      <c r="C960" s="16">
        <v>2</v>
      </c>
      <c r="D960" s="16">
        <v>1</v>
      </c>
      <c r="E960" s="16" t="s">
        <v>980</v>
      </c>
      <c r="F960" s="16" t="s">
        <v>1101</v>
      </c>
      <c r="G960" s="16" t="s">
        <v>158</v>
      </c>
      <c r="H960" s="16" t="s">
        <v>141</v>
      </c>
      <c r="I960" s="22" t="s">
        <v>856</v>
      </c>
      <c r="J960" s="16">
        <f>IFERROR(INDEX(Aux_HH!$J$4:$J$31,MATCH($H960&amp;"|"&amp;$I960,Aux_HH!$A$4:$A$31,0)),"")</f>
        <v>2</v>
      </c>
      <c r="K960" s="16" t="s">
        <v>76</v>
      </c>
      <c r="L960" s="16" t="str">
        <f>IF(COUNTIFS(Pessoas!$C$5:$C$44,$K960,Pessoas!$G$5:$G$44,"Ativo")=0,"Equipe "&amp;$K960,INDEX(Pessoas!$A$5:$A$44,_xludf.aggregate(15,6,(ROW(Pessoas!$A$5:$A$44)-4)/((Pessoas!$C$5:$C$44=$K960)*(Pessoas!$G$5:$G$44="Ativo")),MOD(ROW()-6,MAX(1,COUNTIFS(Pessoas!$C$5:$C$44,$K960,Pessoas!$G$5:$G$44,"Ativo")))+1)))</f>
        <v>Equipe Oficina Mecânica Central-Taisa</v>
      </c>
    </row>
    <row r="961" spans="1:12" ht="15" customHeight="1" x14ac:dyDescent="0.4">
      <c r="A961" s="25">
        <v>46399</v>
      </c>
      <c r="B961" s="16">
        <v>20</v>
      </c>
      <c r="C961" s="16">
        <v>2</v>
      </c>
      <c r="D961" s="16">
        <v>1</v>
      </c>
      <c r="E961" s="16" t="s">
        <v>980</v>
      </c>
      <c r="F961" s="16" t="s">
        <v>1102</v>
      </c>
      <c r="G961" s="16" t="s">
        <v>158</v>
      </c>
      <c r="H961" s="16" t="s">
        <v>141</v>
      </c>
      <c r="I961" s="22" t="s">
        <v>856</v>
      </c>
      <c r="J961" s="16">
        <f>IFERROR(INDEX(Aux_HH!$J$4:$J$31,MATCH($H961&amp;"|"&amp;$I961,Aux_HH!$A$4:$A$31,0)),"")</f>
        <v>2</v>
      </c>
      <c r="K961" s="16" t="s">
        <v>76</v>
      </c>
      <c r="L961" s="16" t="str">
        <f>IF(COUNTIFS(Pessoas!$C$5:$C$44,$K961,Pessoas!$G$5:$G$44,"Ativo")=0,"Equipe "&amp;$K961,INDEX(Pessoas!$A$5:$A$44,_xludf.aggregate(15,6,(ROW(Pessoas!$A$5:$A$44)-4)/((Pessoas!$C$5:$C$44=$K961)*(Pessoas!$G$5:$G$44="Ativo")),MOD(ROW()-6,MAX(1,COUNTIFS(Pessoas!$C$5:$C$44,$K961,Pessoas!$G$5:$G$44,"Ativo")))+1)))</f>
        <v>Equipe Oficina Mecânica Central-Taisa</v>
      </c>
    </row>
    <row r="962" spans="1:12" ht="15" customHeight="1" x14ac:dyDescent="0.4">
      <c r="A962" s="25">
        <v>46399</v>
      </c>
      <c r="B962" s="16">
        <v>20</v>
      </c>
      <c r="C962" s="16">
        <v>2</v>
      </c>
      <c r="D962" s="16">
        <v>1</v>
      </c>
      <c r="E962" s="16" t="s">
        <v>980</v>
      </c>
      <c r="F962" s="16" t="s">
        <v>1103</v>
      </c>
      <c r="G962" s="16" t="s">
        <v>158</v>
      </c>
      <c r="H962" s="16" t="s">
        <v>141</v>
      </c>
      <c r="I962" s="22" t="s">
        <v>856</v>
      </c>
      <c r="J962" s="16">
        <f>IFERROR(INDEX(Aux_HH!$J$4:$J$31,MATCH($H962&amp;"|"&amp;$I962,Aux_HH!$A$4:$A$31,0)),"")</f>
        <v>2</v>
      </c>
      <c r="K962" s="16" t="s">
        <v>76</v>
      </c>
      <c r="L962" s="16" t="str">
        <f>IF(COUNTIFS(Pessoas!$C$5:$C$44,$K962,Pessoas!$G$5:$G$44,"Ativo")=0,"Equipe "&amp;$K962,INDEX(Pessoas!$A$5:$A$44,_xludf.aggregate(15,6,(ROW(Pessoas!$A$5:$A$44)-4)/((Pessoas!$C$5:$C$44=$K962)*(Pessoas!$G$5:$G$44="Ativo")),MOD(ROW()-6,MAX(1,COUNTIFS(Pessoas!$C$5:$C$44,$K962,Pessoas!$G$5:$G$44,"Ativo")))+1)))</f>
        <v>Equipe Oficina Mecânica Central-Taisa</v>
      </c>
    </row>
    <row r="963" spans="1:12" ht="15" customHeight="1" x14ac:dyDescent="0.4">
      <c r="A963" s="25">
        <v>46399</v>
      </c>
      <c r="B963" s="16">
        <v>20</v>
      </c>
      <c r="C963" s="16">
        <v>2</v>
      </c>
      <c r="D963" s="16">
        <v>1</v>
      </c>
      <c r="E963" s="16" t="s">
        <v>980</v>
      </c>
      <c r="F963" s="16" t="s">
        <v>1104</v>
      </c>
      <c r="G963" s="16" t="s">
        <v>158</v>
      </c>
      <c r="H963" s="16" t="s">
        <v>141</v>
      </c>
      <c r="I963" s="22" t="s">
        <v>856</v>
      </c>
      <c r="J963" s="16">
        <f>IFERROR(INDEX(Aux_HH!$J$4:$J$31,MATCH($H963&amp;"|"&amp;$I963,Aux_HH!$A$4:$A$31,0)),"")</f>
        <v>2</v>
      </c>
      <c r="K963" s="16" t="s">
        <v>76</v>
      </c>
      <c r="L963" s="16" t="str">
        <f>IF(COUNTIFS(Pessoas!$C$5:$C$44,$K963,Pessoas!$G$5:$G$44,"Ativo")=0,"Equipe "&amp;$K963,INDEX(Pessoas!$A$5:$A$44,_xludf.aggregate(15,6,(ROW(Pessoas!$A$5:$A$44)-4)/((Pessoas!$C$5:$C$44=$K963)*(Pessoas!$G$5:$G$44="Ativo")),MOD(ROW()-6,MAX(1,COUNTIFS(Pessoas!$C$5:$C$44,$K963,Pessoas!$G$5:$G$44,"Ativo")))+1)))</f>
        <v>Equipe Oficina Mecânica Central-Taisa</v>
      </c>
    </row>
    <row r="964" spans="1:12" ht="15" customHeight="1" x14ac:dyDescent="0.4">
      <c r="A964" s="25">
        <v>46399</v>
      </c>
      <c r="B964" s="16">
        <v>20</v>
      </c>
      <c r="C964" s="16">
        <v>2</v>
      </c>
      <c r="D964" s="16">
        <v>1</v>
      </c>
      <c r="E964" s="16" t="s">
        <v>980</v>
      </c>
      <c r="F964" s="16" t="s">
        <v>1105</v>
      </c>
      <c r="G964" s="16" t="s">
        <v>158</v>
      </c>
      <c r="H964" s="16" t="s">
        <v>141</v>
      </c>
      <c r="I964" s="22" t="s">
        <v>856</v>
      </c>
      <c r="J964" s="16">
        <f>IFERROR(INDEX(Aux_HH!$J$4:$J$31,MATCH($H964&amp;"|"&amp;$I964,Aux_HH!$A$4:$A$31,0)),"")</f>
        <v>2</v>
      </c>
      <c r="K964" s="16" t="s">
        <v>76</v>
      </c>
      <c r="L964" s="16" t="str">
        <f>IF(COUNTIFS(Pessoas!$C$5:$C$44,$K964,Pessoas!$G$5:$G$44,"Ativo")=0,"Equipe "&amp;$K964,INDEX(Pessoas!$A$5:$A$44,_xludf.aggregate(15,6,(ROW(Pessoas!$A$5:$A$44)-4)/((Pessoas!$C$5:$C$44=$K964)*(Pessoas!$G$5:$G$44="Ativo")),MOD(ROW()-6,MAX(1,COUNTIFS(Pessoas!$C$5:$C$44,$K964,Pessoas!$G$5:$G$44,"Ativo")))+1)))</f>
        <v>Equipe Oficina Mecânica Central-Taisa</v>
      </c>
    </row>
    <row r="965" spans="1:12" ht="15" customHeight="1" x14ac:dyDescent="0.4">
      <c r="A965" s="25">
        <v>46399</v>
      </c>
      <c r="B965" s="16">
        <v>20</v>
      </c>
      <c r="C965" s="16">
        <v>2</v>
      </c>
      <c r="D965" s="16">
        <v>1</v>
      </c>
      <c r="E965" s="16" t="s">
        <v>980</v>
      </c>
      <c r="F965" s="16" t="s">
        <v>1106</v>
      </c>
      <c r="G965" s="16" t="s">
        <v>158</v>
      </c>
      <c r="H965" s="16" t="s">
        <v>141</v>
      </c>
      <c r="I965" s="22" t="s">
        <v>856</v>
      </c>
      <c r="J965" s="16">
        <f>IFERROR(INDEX(Aux_HH!$J$4:$J$31,MATCH($H965&amp;"|"&amp;$I965,Aux_HH!$A$4:$A$31,0)),"")</f>
        <v>2</v>
      </c>
      <c r="K965" s="16" t="s">
        <v>76</v>
      </c>
      <c r="L965" s="16" t="str">
        <f>IF(COUNTIFS(Pessoas!$C$5:$C$44,$K965,Pessoas!$G$5:$G$44,"Ativo")=0,"Equipe "&amp;$K965,INDEX(Pessoas!$A$5:$A$44,_xludf.aggregate(15,6,(ROW(Pessoas!$A$5:$A$44)-4)/((Pessoas!$C$5:$C$44=$K965)*(Pessoas!$G$5:$G$44="Ativo")),MOD(ROW()-6,MAX(1,COUNTIFS(Pessoas!$C$5:$C$44,$K965,Pessoas!$G$5:$G$44,"Ativo")))+1)))</f>
        <v>Equipe Oficina Mecânica Central-Taisa</v>
      </c>
    </row>
    <row r="966" spans="1:12" ht="15" customHeight="1" x14ac:dyDescent="0.4">
      <c r="A966" s="25">
        <v>46399</v>
      </c>
      <c r="B966" s="16">
        <v>20</v>
      </c>
      <c r="C966" s="16">
        <v>2</v>
      </c>
      <c r="D966" s="16">
        <v>1</v>
      </c>
      <c r="E966" s="16" t="s">
        <v>980</v>
      </c>
      <c r="F966" s="16" t="s">
        <v>1107</v>
      </c>
      <c r="G966" s="16" t="s">
        <v>184</v>
      </c>
      <c r="H966" s="16" t="s">
        <v>141</v>
      </c>
      <c r="I966" s="22" t="s">
        <v>856</v>
      </c>
      <c r="J966" s="16">
        <f>IFERROR(INDEX(Aux_HH!$J$4:$J$31,MATCH($H966&amp;"|"&amp;$I966,Aux_HH!$A$4:$A$31,0)),"")</f>
        <v>2</v>
      </c>
      <c r="K966" s="16" t="s">
        <v>76</v>
      </c>
      <c r="L966" s="16" t="str">
        <f>IF(COUNTIFS(Pessoas!$C$5:$C$44,$K966,Pessoas!$G$5:$G$44,"Ativo")=0,"Equipe "&amp;$K966,INDEX(Pessoas!$A$5:$A$44,_xludf.aggregate(15,6,(ROW(Pessoas!$A$5:$A$44)-4)/((Pessoas!$C$5:$C$44=$K966)*(Pessoas!$G$5:$G$44="Ativo")),MOD(ROW()-6,MAX(1,COUNTIFS(Pessoas!$C$5:$C$44,$K966,Pessoas!$G$5:$G$44,"Ativo")))+1)))</f>
        <v>Equipe Oficina Mecânica Central-Taisa</v>
      </c>
    </row>
    <row r="967" spans="1:12" ht="15" customHeight="1" x14ac:dyDescent="0.4">
      <c r="A967" s="25">
        <v>46399</v>
      </c>
      <c r="B967" s="16">
        <v>20</v>
      </c>
      <c r="C967" s="16">
        <v>2</v>
      </c>
      <c r="D967" s="16">
        <v>1</v>
      </c>
      <c r="E967" s="16" t="s">
        <v>980</v>
      </c>
      <c r="F967" s="16" t="s">
        <v>1108</v>
      </c>
      <c r="G967" s="16" t="s">
        <v>184</v>
      </c>
      <c r="H967" s="16" t="s">
        <v>141</v>
      </c>
      <c r="I967" s="22" t="s">
        <v>856</v>
      </c>
      <c r="J967" s="16">
        <f>IFERROR(INDEX(Aux_HH!$J$4:$J$31,MATCH($H967&amp;"|"&amp;$I967,Aux_HH!$A$4:$A$31,0)),"")</f>
        <v>2</v>
      </c>
      <c r="K967" s="16" t="s">
        <v>76</v>
      </c>
      <c r="L967" s="16" t="str">
        <f>IF(COUNTIFS(Pessoas!$C$5:$C$44,$K967,Pessoas!$G$5:$G$44,"Ativo")=0,"Equipe "&amp;$K967,INDEX(Pessoas!$A$5:$A$44,_xludf.aggregate(15,6,(ROW(Pessoas!$A$5:$A$44)-4)/((Pessoas!$C$5:$C$44=$K967)*(Pessoas!$G$5:$G$44="Ativo")),MOD(ROW()-6,MAX(1,COUNTIFS(Pessoas!$C$5:$C$44,$K967,Pessoas!$G$5:$G$44,"Ativo")))+1)))</f>
        <v>Equipe Oficina Mecânica Central-Taisa</v>
      </c>
    </row>
    <row r="968" spans="1:12" ht="15" customHeight="1" x14ac:dyDescent="0.4">
      <c r="A968" s="25">
        <v>46399</v>
      </c>
      <c r="B968" s="16">
        <v>20</v>
      </c>
      <c r="C968" s="16">
        <v>2</v>
      </c>
      <c r="D968" s="16">
        <v>1</v>
      </c>
      <c r="E968" s="16" t="s">
        <v>980</v>
      </c>
      <c r="F968" s="16" t="s">
        <v>1109</v>
      </c>
      <c r="G968" s="16" t="s">
        <v>184</v>
      </c>
      <c r="H968" s="16" t="s">
        <v>141</v>
      </c>
      <c r="I968" s="22" t="s">
        <v>856</v>
      </c>
      <c r="J968" s="16">
        <f>IFERROR(INDEX(Aux_HH!$J$4:$J$31,MATCH($H968&amp;"|"&amp;$I968,Aux_HH!$A$4:$A$31,0)),"")</f>
        <v>2</v>
      </c>
      <c r="K968" s="16" t="s">
        <v>76</v>
      </c>
      <c r="L968" s="16" t="str">
        <f>IF(COUNTIFS(Pessoas!$C$5:$C$44,$K968,Pessoas!$G$5:$G$44,"Ativo")=0,"Equipe "&amp;$K968,INDEX(Pessoas!$A$5:$A$44,_xludf.aggregate(15,6,(ROW(Pessoas!$A$5:$A$44)-4)/((Pessoas!$C$5:$C$44=$K968)*(Pessoas!$G$5:$G$44="Ativo")),MOD(ROW()-6,MAX(1,COUNTIFS(Pessoas!$C$5:$C$44,$K968,Pessoas!$G$5:$G$44,"Ativo")))+1)))</f>
        <v>Equipe Oficina Mecânica Central-Taisa</v>
      </c>
    </row>
    <row r="969" spans="1:12" ht="15" customHeight="1" x14ac:dyDescent="0.4">
      <c r="A969" s="25">
        <v>46399</v>
      </c>
      <c r="B969" s="16">
        <v>20</v>
      </c>
      <c r="C969" s="16">
        <v>2</v>
      </c>
      <c r="D969" s="16">
        <v>1</v>
      </c>
      <c r="E969" s="16" t="s">
        <v>980</v>
      </c>
      <c r="F969" s="16" t="s">
        <v>1110</v>
      </c>
      <c r="G969" s="16" t="s">
        <v>184</v>
      </c>
      <c r="H969" s="16" t="s">
        <v>141</v>
      </c>
      <c r="I969" s="22" t="s">
        <v>856</v>
      </c>
      <c r="J969" s="16">
        <f>IFERROR(INDEX(Aux_HH!$J$4:$J$31,MATCH($H969&amp;"|"&amp;$I969,Aux_HH!$A$4:$A$31,0)),"")</f>
        <v>2</v>
      </c>
      <c r="K969" s="16" t="s">
        <v>76</v>
      </c>
      <c r="L969" s="16" t="str">
        <f>IF(COUNTIFS(Pessoas!$C$5:$C$44,$K969,Pessoas!$G$5:$G$44,"Ativo")=0,"Equipe "&amp;$K969,INDEX(Pessoas!$A$5:$A$44,_xludf.aggregate(15,6,(ROW(Pessoas!$A$5:$A$44)-4)/((Pessoas!$C$5:$C$44=$K969)*(Pessoas!$G$5:$G$44="Ativo")),MOD(ROW()-6,MAX(1,COUNTIFS(Pessoas!$C$5:$C$44,$K969,Pessoas!$G$5:$G$44,"Ativo")))+1)))</f>
        <v>Equipe Oficina Mecânica Central-Taisa</v>
      </c>
    </row>
    <row r="970" spans="1:12" ht="15" customHeight="1" x14ac:dyDescent="0.4">
      <c r="A970" s="25">
        <v>46399</v>
      </c>
      <c r="B970" s="16">
        <v>20</v>
      </c>
      <c r="C970" s="16">
        <v>2</v>
      </c>
      <c r="D970" s="16">
        <v>1</v>
      </c>
      <c r="E970" s="16" t="s">
        <v>980</v>
      </c>
      <c r="F970" s="16" t="s">
        <v>1111</v>
      </c>
      <c r="G970" s="16" t="s">
        <v>184</v>
      </c>
      <c r="H970" s="16" t="s">
        <v>141</v>
      </c>
      <c r="I970" s="22" t="s">
        <v>856</v>
      </c>
      <c r="J970" s="16">
        <f>IFERROR(INDEX(Aux_HH!$J$4:$J$31,MATCH($H970&amp;"|"&amp;$I970,Aux_HH!$A$4:$A$31,0)),"")</f>
        <v>2</v>
      </c>
      <c r="K970" s="16" t="s">
        <v>76</v>
      </c>
      <c r="L970" s="16" t="str">
        <f>IF(COUNTIFS(Pessoas!$C$5:$C$44,$K970,Pessoas!$G$5:$G$44,"Ativo")=0,"Equipe "&amp;$K970,INDEX(Pessoas!$A$5:$A$44,_xludf.aggregate(15,6,(ROW(Pessoas!$A$5:$A$44)-4)/((Pessoas!$C$5:$C$44=$K970)*(Pessoas!$G$5:$G$44="Ativo")),MOD(ROW()-6,MAX(1,COUNTIFS(Pessoas!$C$5:$C$44,$K970,Pessoas!$G$5:$G$44,"Ativo")))+1)))</f>
        <v>Equipe Oficina Mecânica Central-Taisa</v>
      </c>
    </row>
    <row r="971" spans="1:12" ht="15" customHeight="1" x14ac:dyDescent="0.4">
      <c r="A971" s="25">
        <v>46399</v>
      </c>
      <c r="B971" s="16">
        <v>20</v>
      </c>
      <c r="C971" s="16">
        <v>2</v>
      </c>
      <c r="D971" s="16">
        <v>1</v>
      </c>
      <c r="E971" s="16" t="s">
        <v>980</v>
      </c>
      <c r="F971" s="16" t="s">
        <v>1112</v>
      </c>
      <c r="G971" s="16" t="s">
        <v>184</v>
      </c>
      <c r="H971" s="16" t="s">
        <v>141</v>
      </c>
      <c r="I971" s="22" t="s">
        <v>856</v>
      </c>
      <c r="J971" s="16">
        <f>IFERROR(INDEX(Aux_HH!$J$4:$J$31,MATCH($H971&amp;"|"&amp;$I971,Aux_HH!$A$4:$A$31,0)),"")</f>
        <v>2</v>
      </c>
      <c r="K971" s="16" t="s">
        <v>76</v>
      </c>
      <c r="L971" s="16" t="str">
        <f>IF(COUNTIFS(Pessoas!$C$5:$C$44,$K971,Pessoas!$G$5:$G$44,"Ativo")=0,"Equipe "&amp;$K971,INDEX(Pessoas!$A$5:$A$44,_xludf.aggregate(15,6,(ROW(Pessoas!$A$5:$A$44)-4)/((Pessoas!$C$5:$C$44=$K971)*(Pessoas!$G$5:$G$44="Ativo")),MOD(ROW()-6,MAX(1,COUNTIFS(Pessoas!$C$5:$C$44,$K971,Pessoas!$G$5:$G$44,"Ativo")))+1)))</f>
        <v>Equipe Oficina Mecânica Central-Taisa</v>
      </c>
    </row>
    <row r="972" spans="1:12" ht="15" customHeight="1" x14ac:dyDescent="0.4">
      <c r="A972" s="25">
        <v>46399</v>
      </c>
      <c r="B972" s="16">
        <v>20</v>
      </c>
      <c r="C972" s="16">
        <v>2</v>
      </c>
      <c r="D972" s="16">
        <v>1</v>
      </c>
      <c r="E972" s="16" t="s">
        <v>980</v>
      </c>
      <c r="F972" s="16" t="s">
        <v>1113</v>
      </c>
      <c r="G972" s="16" t="s">
        <v>184</v>
      </c>
      <c r="H972" s="16" t="s">
        <v>141</v>
      </c>
      <c r="I972" s="22" t="s">
        <v>856</v>
      </c>
      <c r="J972" s="16">
        <f>IFERROR(INDEX(Aux_HH!$J$4:$J$31,MATCH($H972&amp;"|"&amp;$I972,Aux_HH!$A$4:$A$31,0)),"")</f>
        <v>2</v>
      </c>
      <c r="K972" s="16" t="s">
        <v>76</v>
      </c>
      <c r="L972" s="16" t="str">
        <f>IF(COUNTIFS(Pessoas!$C$5:$C$44,$K972,Pessoas!$G$5:$G$44,"Ativo")=0,"Equipe "&amp;$K972,INDEX(Pessoas!$A$5:$A$44,_xludf.aggregate(15,6,(ROW(Pessoas!$A$5:$A$44)-4)/((Pessoas!$C$5:$C$44=$K972)*(Pessoas!$G$5:$G$44="Ativo")),MOD(ROW()-6,MAX(1,COUNTIFS(Pessoas!$C$5:$C$44,$K972,Pessoas!$G$5:$G$44,"Ativo")))+1)))</f>
        <v>Equipe Oficina Mecânica Central-Taisa</v>
      </c>
    </row>
    <row r="973" spans="1:12" ht="15" customHeight="1" x14ac:dyDescent="0.4">
      <c r="A973" s="25">
        <v>46399</v>
      </c>
      <c r="B973" s="16">
        <v>20</v>
      </c>
      <c r="C973" s="16">
        <v>2</v>
      </c>
      <c r="D973" s="16">
        <v>1</v>
      </c>
      <c r="E973" s="16" t="s">
        <v>980</v>
      </c>
      <c r="F973" s="16" t="s">
        <v>1114</v>
      </c>
      <c r="G973" s="16" t="s">
        <v>184</v>
      </c>
      <c r="H973" s="16" t="s">
        <v>141</v>
      </c>
      <c r="I973" s="22" t="s">
        <v>856</v>
      </c>
      <c r="J973" s="16">
        <f>IFERROR(INDEX(Aux_HH!$J$4:$J$31,MATCH($H973&amp;"|"&amp;$I973,Aux_HH!$A$4:$A$31,0)),"")</f>
        <v>2</v>
      </c>
      <c r="K973" s="16" t="s">
        <v>76</v>
      </c>
      <c r="L973" s="16" t="str">
        <f>IF(COUNTIFS(Pessoas!$C$5:$C$44,$K973,Pessoas!$G$5:$G$44,"Ativo")=0,"Equipe "&amp;$K973,INDEX(Pessoas!$A$5:$A$44,_xludf.aggregate(15,6,(ROW(Pessoas!$A$5:$A$44)-4)/((Pessoas!$C$5:$C$44=$K973)*(Pessoas!$G$5:$G$44="Ativo")),MOD(ROW()-6,MAX(1,COUNTIFS(Pessoas!$C$5:$C$44,$K973,Pessoas!$G$5:$G$44,"Ativo")))+1)))</f>
        <v>Equipe Oficina Mecânica Central-Taisa</v>
      </c>
    </row>
    <row r="974" spans="1:12" ht="15" customHeight="1" x14ac:dyDescent="0.4">
      <c r="A974" s="25">
        <v>46399</v>
      </c>
      <c r="B974" s="16">
        <v>20</v>
      </c>
      <c r="C974" s="16">
        <v>2</v>
      </c>
      <c r="D974" s="16">
        <v>1</v>
      </c>
      <c r="E974" s="16" t="s">
        <v>980</v>
      </c>
      <c r="F974" s="16" t="s">
        <v>1115</v>
      </c>
      <c r="G974" s="16" t="s">
        <v>184</v>
      </c>
      <c r="H974" s="16" t="s">
        <v>141</v>
      </c>
      <c r="I974" s="22" t="s">
        <v>856</v>
      </c>
      <c r="J974" s="16">
        <f>IFERROR(INDEX(Aux_HH!$J$4:$J$31,MATCH($H974&amp;"|"&amp;$I974,Aux_HH!$A$4:$A$31,0)),"")</f>
        <v>2</v>
      </c>
      <c r="K974" s="16" t="s">
        <v>76</v>
      </c>
      <c r="L974" s="16" t="str">
        <f>IF(COUNTIFS(Pessoas!$C$5:$C$44,$K974,Pessoas!$G$5:$G$44,"Ativo")=0,"Equipe "&amp;$K974,INDEX(Pessoas!$A$5:$A$44,_xludf.aggregate(15,6,(ROW(Pessoas!$A$5:$A$44)-4)/((Pessoas!$C$5:$C$44=$K974)*(Pessoas!$G$5:$G$44="Ativo")),MOD(ROW()-6,MAX(1,COUNTIFS(Pessoas!$C$5:$C$44,$K974,Pessoas!$G$5:$G$44,"Ativo")))+1)))</f>
        <v>Equipe Oficina Mecânica Central-Taisa</v>
      </c>
    </row>
    <row r="975" spans="1:12" ht="15" customHeight="1" x14ac:dyDescent="0.4">
      <c r="A975" s="25">
        <v>46399</v>
      </c>
      <c r="B975" s="16">
        <v>20</v>
      </c>
      <c r="C975" s="16">
        <v>2</v>
      </c>
      <c r="D975" s="16">
        <v>1</v>
      </c>
      <c r="E975" s="16" t="s">
        <v>980</v>
      </c>
      <c r="F975" s="16" t="s">
        <v>1116</v>
      </c>
      <c r="G975" s="16" t="s">
        <v>184</v>
      </c>
      <c r="H975" s="16" t="s">
        <v>141</v>
      </c>
      <c r="I975" s="22" t="s">
        <v>856</v>
      </c>
      <c r="J975" s="16">
        <f>IFERROR(INDEX(Aux_HH!$J$4:$J$31,MATCH($H975&amp;"|"&amp;$I975,Aux_HH!$A$4:$A$31,0)),"")</f>
        <v>2</v>
      </c>
      <c r="K975" s="16" t="s">
        <v>76</v>
      </c>
      <c r="L975" s="16" t="str">
        <f>IF(COUNTIFS(Pessoas!$C$5:$C$44,$K975,Pessoas!$G$5:$G$44,"Ativo")=0,"Equipe "&amp;$K975,INDEX(Pessoas!$A$5:$A$44,_xludf.aggregate(15,6,(ROW(Pessoas!$A$5:$A$44)-4)/((Pessoas!$C$5:$C$44=$K975)*(Pessoas!$G$5:$G$44="Ativo")),MOD(ROW()-6,MAX(1,COUNTIFS(Pessoas!$C$5:$C$44,$K975,Pessoas!$G$5:$G$44,"Ativo")))+1)))</f>
        <v>Equipe Oficina Mecânica Central-Taisa</v>
      </c>
    </row>
    <row r="976" spans="1:12" ht="15" customHeight="1" x14ac:dyDescent="0.4">
      <c r="A976" s="25">
        <v>46399</v>
      </c>
      <c r="B976" s="16">
        <v>20</v>
      </c>
      <c r="C976" s="16">
        <v>2</v>
      </c>
      <c r="D976" s="16">
        <v>1</v>
      </c>
      <c r="E976" s="16" t="s">
        <v>980</v>
      </c>
      <c r="F976" s="16" t="s">
        <v>1004</v>
      </c>
      <c r="G976" s="16" t="s">
        <v>688</v>
      </c>
      <c r="H976" s="16" t="s">
        <v>145</v>
      </c>
      <c r="I976" s="22" t="s">
        <v>861</v>
      </c>
      <c r="J976" s="16">
        <f>IFERROR(INDEX(Aux_HH!$J$4:$J$31,MATCH($H976&amp;"|"&amp;$I976,Aux_HH!$A$4:$A$31,0)),"")</f>
        <v>4</v>
      </c>
      <c r="K976" s="16" t="s">
        <v>76</v>
      </c>
      <c r="L976" s="16" t="str">
        <f>IF(COUNTIFS(Pessoas!$C$5:$C$44,$K976,Pessoas!$G$5:$G$44,"Ativo")=0,"Equipe "&amp;$K976,INDEX(Pessoas!$A$5:$A$44,_xludf.aggregate(15,6,(ROW(Pessoas!$A$5:$A$44)-4)/((Pessoas!$C$5:$C$44=$K976)*(Pessoas!$G$5:$G$44="Ativo")),MOD(ROW()-6,MAX(1,COUNTIFS(Pessoas!$C$5:$C$44,$K976,Pessoas!$G$5:$G$44,"Ativo")))+1)))</f>
        <v>Equipe Oficina Mecânica Central-Taisa</v>
      </c>
    </row>
    <row r="977" spans="1:12" ht="15" customHeight="1" x14ac:dyDescent="0.4">
      <c r="A977" s="25">
        <v>46399</v>
      </c>
      <c r="B977" s="16">
        <v>20</v>
      </c>
      <c r="C977" s="16">
        <v>2</v>
      </c>
      <c r="D977" s="16">
        <v>1</v>
      </c>
      <c r="E977" s="16" t="s">
        <v>980</v>
      </c>
      <c r="F977" s="16" t="s">
        <v>1005</v>
      </c>
      <c r="G977" s="16" t="s">
        <v>688</v>
      </c>
      <c r="H977" s="16" t="s">
        <v>145</v>
      </c>
      <c r="I977" s="22" t="s">
        <v>861</v>
      </c>
      <c r="J977" s="16">
        <f>IFERROR(INDEX(Aux_HH!$J$4:$J$31,MATCH($H977&amp;"|"&amp;$I977,Aux_HH!$A$4:$A$31,0)),"")</f>
        <v>4</v>
      </c>
      <c r="K977" s="16" t="s">
        <v>76</v>
      </c>
      <c r="L977" s="16" t="str">
        <f>IF(COUNTIFS(Pessoas!$C$5:$C$44,$K977,Pessoas!$G$5:$G$44,"Ativo")=0,"Equipe "&amp;$K977,INDEX(Pessoas!$A$5:$A$44,_xludf.aggregate(15,6,(ROW(Pessoas!$A$5:$A$44)-4)/((Pessoas!$C$5:$C$44=$K977)*(Pessoas!$G$5:$G$44="Ativo")),MOD(ROW()-6,MAX(1,COUNTIFS(Pessoas!$C$5:$C$44,$K977,Pessoas!$G$5:$G$44,"Ativo")))+1)))</f>
        <v>Equipe Oficina Mecânica Central-Taisa</v>
      </c>
    </row>
    <row r="978" spans="1:12" ht="15" customHeight="1" x14ac:dyDescent="0.4">
      <c r="A978" s="25">
        <v>46399</v>
      </c>
      <c r="B978" s="16">
        <v>20</v>
      </c>
      <c r="C978" s="16">
        <v>2</v>
      </c>
      <c r="D978" s="16">
        <v>1</v>
      </c>
      <c r="E978" s="16" t="s">
        <v>980</v>
      </c>
      <c r="F978" s="16" t="s">
        <v>1006</v>
      </c>
      <c r="G978" s="16" t="s">
        <v>688</v>
      </c>
      <c r="H978" s="16" t="s">
        <v>145</v>
      </c>
      <c r="I978" s="22" t="s">
        <v>861</v>
      </c>
      <c r="J978" s="16">
        <f>IFERROR(INDEX(Aux_HH!$J$4:$J$31,MATCH($H978&amp;"|"&amp;$I978,Aux_HH!$A$4:$A$31,0)),"")</f>
        <v>4</v>
      </c>
      <c r="K978" s="16" t="s">
        <v>76</v>
      </c>
      <c r="L978" s="16" t="str">
        <f>IF(COUNTIFS(Pessoas!$C$5:$C$44,$K978,Pessoas!$G$5:$G$44,"Ativo")=0,"Equipe "&amp;$K978,INDEX(Pessoas!$A$5:$A$44,_xludf.aggregate(15,6,(ROW(Pessoas!$A$5:$A$44)-4)/((Pessoas!$C$5:$C$44=$K978)*(Pessoas!$G$5:$G$44="Ativo")),MOD(ROW()-6,MAX(1,COUNTIFS(Pessoas!$C$5:$C$44,$K978,Pessoas!$G$5:$G$44,"Ativo")))+1)))</f>
        <v>Equipe Oficina Mecânica Central-Taisa</v>
      </c>
    </row>
    <row r="979" spans="1:12" ht="15" customHeight="1" x14ac:dyDescent="0.4">
      <c r="A979" s="25">
        <v>46399</v>
      </c>
      <c r="B979" s="16">
        <v>20</v>
      </c>
      <c r="C979" s="16">
        <v>2</v>
      </c>
      <c r="D979" s="16">
        <v>1</v>
      </c>
      <c r="E979" s="16" t="s">
        <v>980</v>
      </c>
      <c r="F979" s="16" t="s">
        <v>1124</v>
      </c>
      <c r="G979" s="16" t="s">
        <v>184</v>
      </c>
      <c r="H979" s="16" t="s">
        <v>141</v>
      </c>
      <c r="I979" s="22" t="s">
        <v>856</v>
      </c>
      <c r="J979" s="16">
        <f>IFERROR(INDEX(Aux_HH!$J$4:$J$31,MATCH($H979&amp;"|"&amp;$I979,Aux_HH!$A$4:$A$31,0)),"")</f>
        <v>2</v>
      </c>
      <c r="K979" s="16" t="s">
        <v>76</v>
      </c>
      <c r="L979" s="16" t="str">
        <f>IF(COUNTIFS(Pessoas!$C$5:$C$44,$K979,Pessoas!$G$5:$G$44,"Ativo")=0,"Equipe "&amp;$K979,INDEX(Pessoas!$A$5:$A$44,_xludf.aggregate(15,6,(ROW(Pessoas!$A$5:$A$44)-4)/((Pessoas!$C$5:$C$44=$K979)*(Pessoas!$G$5:$G$44="Ativo")),MOD(ROW()-6,MAX(1,COUNTIFS(Pessoas!$C$5:$C$44,$K979,Pessoas!$G$5:$G$44,"Ativo")))+1)))</f>
        <v>Equipe Oficina Mecânica Central-Taisa</v>
      </c>
    </row>
    <row r="980" spans="1:12" ht="15" customHeight="1" x14ac:dyDescent="0.4">
      <c r="A980" s="25">
        <v>46400</v>
      </c>
      <c r="B980" s="16">
        <v>20</v>
      </c>
      <c r="C980" s="16">
        <v>2</v>
      </c>
      <c r="D980" s="16">
        <v>1</v>
      </c>
      <c r="E980" s="16" t="s">
        <v>980</v>
      </c>
      <c r="F980" s="16" t="s">
        <v>981</v>
      </c>
      <c r="G980" s="16" t="s">
        <v>184</v>
      </c>
      <c r="H980" s="16" t="s">
        <v>138</v>
      </c>
      <c r="I980" s="22" t="s">
        <v>867</v>
      </c>
      <c r="J980" s="16">
        <f>IFERROR(INDEX(Aux_HH!$J$4:$J$31,MATCH($H980&amp;"|"&amp;$I980,Aux_HH!$A$4:$A$31,0)),"")</f>
        <v>24</v>
      </c>
      <c r="K980" s="16" t="s">
        <v>76</v>
      </c>
      <c r="L980" s="16" t="str">
        <f>IF(COUNTIFS(Pessoas!$C$5:$C$44,$K980,Pessoas!$G$5:$G$44,"Ativo")=0,"Equipe "&amp;$K980,INDEX(Pessoas!$A$5:$A$44,_xludf.aggregate(15,6,(ROW(Pessoas!$A$5:$A$44)-4)/((Pessoas!$C$5:$C$44=$K980)*(Pessoas!$G$5:$G$44="Ativo")),MOD(ROW()-6,MAX(1,COUNTIFS(Pessoas!$C$5:$C$44,$K980,Pessoas!$G$5:$G$44,"Ativo")))+1)))</f>
        <v>Equipe Oficina Mecânica Central-Taisa</v>
      </c>
    </row>
    <row r="981" spans="1:12" ht="15" customHeight="1" x14ac:dyDescent="0.4">
      <c r="A981" s="25">
        <v>46400</v>
      </c>
      <c r="B981" s="16">
        <v>20</v>
      </c>
      <c r="C981" s="16">
        <v>2</v>
      </c>
      <c r="D981" s="16">
        <v>1</v>
      </c>
      <c r="E981" s="16" t="s">
        <v>980</v>
      </c>
      <c r="F981" s="16" t="s">
        <v>983</v>
      </c>
      <c r="G981" s="16" t="s">
        <v>184</v>
      </c>
      <c r="H981" s="16" t="s">
        <v>138</v>
      </c>
      <c r="I981" s="22" t="s">
        <v>867</v>
      </c>
      <c r="J981" s="16">
        <f>IFERROR(INDEX(Aux_HH!$J$4:$J$31,MATCH($H981&amp;"|"&amp;$I981,Aux_HH!$A$4:$A$31,0)),"")</f>
        <v>24</v>
      </c>
      <c r="K981" s="16" t="s">
        <v>76</v>
      </c>
      <c r="L981" s="16" t="str">
        <f>IF(COUNTIFS(Pessoas!$C$5:$C$44,$K981,Pessoas!$G$5:$G$44,"Ativo")=0,"Equipe "&amp;$K981,INDEX(Pessoas!$A$5:$A$44,_xludf.aggregate(15,6,(ROW(Pessoas!$A$5:$A$44)-4)/((Pessoas!$C$5:$C$44=$K981)*(Pessoas!$G$5:$G$44="Ativo")),MOD(ROW()-6,MAX(1,COUNTIFS(Pessoas!$C$5:$C$44,$K981,Pessoas!$G$5:$G$44,"Ativo")))+1)))</f>
        <v>Equipe Oficina Mecânica Central-Taisa</v>
      </c>
    </row>
    <row r="982" spans="1:12" ht="15" customHeight="1" x14ac:dyDescent="0.4">
      <c r="A982" s="25">
        <v>46400</v>
      </c>
      <c r="B982" s="16">
        <v>20</v>
      </c>
      <c r="C982" s="16">
        <v>2</v>
      </c>
      <c r="D982" s="16">
        <v>1</v>
      </c>
      <c r="E982" s="16" t="s">
        <v>980</v>
      </c>
      <c r="F982" s="16" t="s">
        <v>1137</v>
      </c>
      <c r="G982" s="16" t="s">
        <v>158</v>
      </c>
      <c r="H982" s="16" t="s">
        <v>141</v>
      </c>
      <c r="I982" s="22" t="s">
        <v>856</v>
      </c>
      <c r="J982" s="16">
        <f>IFERROR(INDEX(Aux_HH!$J$4:$J$31,MATCH($H982&amp;"|"&amp;$I982,Aux_HH!$A$4:$A$31,0)),"")</f>
        <v>2</v>
      </c>
      <c r="K982" s="16" t="s">
        <v>76</v>
      </c>
      <c r="L982" s="16" t="str">
        <f>IF(COUNTIFS(Pessoas!$C$5:$C$44,$K982,Pessoas!$G$5:$G$44,"Ativo")=0,"Equipe "&amp;$K982,INDEX(Pessoas!$A$5:$A$44,_xludf.aggregate(15,6,(ROW(Pessoas!$A$5:$A$44)-4)/((Pessoas!$C$5:$C$44=$K982)*(Pessoas!$G$5:$G$44="Ativo")),MOD(ROW()-6,MAX(1,COUNTIFS(Pessoas!$C$5:$C$44,$K982,Pessoas!$G$5:$G$44,"Ativo")))+1)))</f>
        <v>Equipe Oficina Mecânica Central-Taisa</v>
      </c>
    </row>
    <row r="983" spans="1:12" ht="15" customHeight="1" x14ac:dyDescent="0.4">
      <c r="A983" s="25">
        <v>46400</v>
      </c>
      <c r="B983" s="16">
        <v>20</v>
      </c>
      <c r="C983" s="16">
        <v>2</v>
      </c>
      <c r="D983" s="16">
        <v>1</v>
      </c>
      <c r="E983" s="16" t="s">
        <v>980</v>
      </c>
      <c r="F983" s="16" t="s">
        <v>1138</v>
      </c>
      <c r="G983" s="16" t="s">
        <v>158</v>
      </c>
      <c r="H983" s="16" t="s">
        <v>141</v>
      </c>
      <c r="I983" s="22" t="s">
        <v>856</v>
      </c>
      <c r="J983" s="16">
        <f>IFERROR(INDEX(Aux_HH!$J$4:$J$31,MATCH($H983&amp;"|"&amp;$I983,Aux_HH!$A$4:$A$31,0)),"")</f>
        <v>2</v>
      </c>
      <c r="K983" s="16" t="s">
        <v>76</v>
      </c>
      <c r="L983" s="16" t="str">
        <f>IF(COUNTIFS(Pessoas!$C$5:$C$44,$K983,Pessoas!$G$5:$G$44,"Ativo")=0,"Equipe "&amp;$K983,INDEX(Pessoas!$A$5:$A$44,_xludf.aggregate(15,6,(ROW(Pessoas!$A$5:$A$44)-4)/((Pessoas!$C$5:$C$44=$K983)*(Pessoas!$G$5:$G$44="Ativo")),MOD(ROW()-6,MAX(1,COUNTIFS(Pessoas!$C$5:$C$44,$K983,Pessoas!$G$5:$G$44,"Ativo")))+1)))</f>
        <v>Equipe Oficina Mecânica Central-Taisa</v>
      </c>
    </row>
    <row r="984" spans="1:12" ht="15" customHeight="1" x14ac:dyDescent="0.4">
      <c r="A984" s="25">
        <v>46400</v>
      </c>
      <c r="B984" s="16">
        <v>20</v>
      </c>
      <c r="C984" s="16">
        <v>2</v>
      </c>
      <c r="D984" s="16">
        <v>1</v>
      </c>
      <c r="E984" s="16" t="s">
        <v>980</v>
      </c>
      <c r="F984" s="16" t="s">
        <v>1139</v>
      </c>
      <c r="G984" s="16" t="s">
        <v>158</v>
      </c>
      <c r="H984" s="16" t="s">
        <v>141</v>
      </c>
      <c r="I984" s="22" t="s">
        <v>856</v>
      </c>
      <c r="J984" s="16">
        <f>IFERROR(INDEX(Aux_HH!$J$4:$J$31,MATCH($H984&amp;"|"&amp;$I984,Aux_HH!$A$4:$A$31,0)),"")</f>
        <v>2</v>
      </c>
      <c r="K984" s="16" t="s">
        <v>76</v>
      </c>
      <c r="L984" s="16" t="str">
        <f>IF(COUNTIFS(Pessoas!$C$5:$C$44,$K984,Pessoas!$G$5:$G$44,"Ativo")=0,"Equipe "&amp;$K984,INDEX(Pessoas!$A$5:$A$44,_xludf.aggregate(15,6,(ROW(Pessoas!$A$5:$A$44)-4)/((Pessoas!$C$5:$C$44=$K984)*(Pessoas!$G$5:$G$44="Ativo")),MOD(ROW()-6,MAX(1,COUNTIFS(Pessoas!$C$5:$C$44,$K984,Pessoas!$G$5:$G$44,"Ativo")))+1)))</f>
        <v>Equipe Oficina Mecânica Central-Taisa</v>
      </c>
    </row>
    <row r="985" spans="1:12" ht="15" customHeight="1" x14ac:dyDescent="0.4">
      <c r="A985" s="25">
        <v>46400</v>
      </c>
      <c r="B985" s="16">
        <v>20</v>
      </c>
      <c r="C985" s="16">
        <v>2</v>
      </c>
      <c r="D985" s="16">
        <v>1</v>
      </c>
      <c r="E985" s="16" t="s">
        <v>980</v>
      </c>
      <c r="F985" s="16" t="s">
        <v>1140</v>
      </c>
      <c r="G985" s="16" t="s">
        <v>158</v>
      </c>
      <c r="H985" s="16" t="s">
        <v>141</v>
      </c>
      <c r="I985" s="22" t="s">
        <v>856</v>
      </c>
      <c r="J985" s="16">
        <f>IFERROR(INDEX(Aux_HH!$J$4:$J$31,MATCH($H985&amp;"|"&amp;$I985,Aux_HH!$A$4:$A$31,0)),"")</f>
        <v>2</v>
      </c>
      <c r="K985" s="16" t="s">
        <v>76</v>
      </c>
      <c r="L985" s="16" t="str">
        <f>IF(COUNTIFS(Pessoas!$C$5:$C$44,$K985,Pessoas!$G$5:$G$44,"Ativo")=0,"Equipe "&amp;$K985,INDEX(Pessoas!$A$5:$A$44,_xludf.aggregate(15,6,(ROW(Pessoas!$A$5:$A$44)-4)/((Pessoas!$C$5:$C$44=$K985)*(Pessoas!$G$5:$G$44="Ativo")),MOD(ROW()-6,MAX(1,COUNTIFS(Pessoas!$C$5:$C$44,$K985,Pessoas!$G$5:$G$44,"Ativo")))+1)))</f>
        <v>Equipe Oficina Mecânica Central-Taisa</v>
      </c>
    </row>
    <row r="986" spans="1:12" ht="15" customHeight="1" x14ac:dyDescent="0.4">
      <c r="A986" s="25">
        <v>46400</v>
      </c>
      <c r="B986" s="16">
        <v>20</v>
      </c>
      <c r="C986" s="16">
        <v>2</v>
      </c>
      <c r="D986" s="16">
        <v>1</v>
      </c>
      <c r="E986" s="16" t="s">
        <v>980</v>
      </c>
      <c r="F986" s="16" t="s">
        <v>1141</v>
      </c>
      <c r="G986" s="16" t="s">
        <v>158</v>
      </c>
      <c r="H986" s="16" t="s">
        <v>141</v>
      </c>
      <c r="I986" s="22" t="s">
        <v>856</v>
      </c>
      <c r="J986" s="16">
        <f>IFERROR(INDEX(Aux_HH!$J$4:$J$31,MATCH($H986&amp;"|"&amp;$I986,Aux_HH!$A$4:$A$31,0)),"")</f>
        <v>2</v>
      </c>
      <c r="K986" s="16" t="s">
        <v>76</v>
      </c>
      <c r="L986" s="16" t="str">
        <f>IF(COUNTIFS(Pessoas!$C$5:$C$44,$K986,Pessoas!$G$5:$G$44,"Ativo")=0,"Equipe "&amp;$K986,INDEX(Pessoas!$A$5:$A$44,_xludf.aggregate(15,6,(ROW(Pessoas!$A$5:$A$44)-4)/((Pessoas!$C$5:$C$44=$K986)*(Pessoas!$G$5:$G$44="Ativo")),MOD(ROW()-6,MAX(1,COUNTIFS(Pessoas!$C$5:$C$44,$K986,Pessoas!$G$5:$G$44,"Ativo")))+1)))</f>
        <v>Equipe Oficina Mecânica Central-Taisa</v>
      </c>
    </row>
    <row r="987" spans="1:12" ht="15" customHeight="1" x14ac:dyDescent="0.4">
      <c r="A987" s="25">
        <v>46400</v>
      </c>
      <c r="B987" s="16">
        <v>20</v>
      </c>
      <c r="C987" s="16">
        <v>2</v>
      </c>
      <c r="D987" s="16">
        <v>1</v>
      </c>
      <c r="E987" s="16" t="s">
        <v>980</v>
      </c>
      <c r="F987" s="16" t="s">
        <v>1142</v>
      </c>
      <c r="G987" s="16" t="s">
        <v>158</v>
      </c>
      <c r="H987" s="16" t="s">
        <v>141</v>
      </c>
      <c r="I987" s="22" t="s">
        <v>856</v>
      </c>
      <c r="J987" s="16">
        <f>IFERROR(INDEX(Aux_HH!$J$4:$J$31,MATCH($H987&amp;"|"&amp;$I987,Aux_HH!$A$4:$A$31,0)),"")</f>
        <v>2</v>
      </c>
      <c r="K987" s="16" t="s">
        <v>76</v>
      </c>
      <c r="L987" s="16" t="str">
        <f>IF(COUNTIFS(Pessoas!$C$5:$C$44,$K987,Pessoas!$G$5:$G$44,"Ativo")=0,"Equipe "&amp;$K987,INDEX(Pessoas!$A$5:$A$44,_xludf.aggregate(15,6,(ROW(Pessoas!$A$5:$A$44)-4)/((Pessoas!$C$5:$C$44=$K987)*(Pessoas!$G$5:$G$44="Ativo")),MOD(ROW()-6,MAX(1,COUNTIFS(Pessoas!$C$5:$C$44,$K987,Pessoas!$G$5:$G$44,"Ativo")))+1)))</f>
        <v>Equipe Oficina Mecânica Central-Taisa</v>
      </c>
    </row>
    <row r="988" spans="1:12" ht="15" customHeight="1" x14ac:dyDescent="0.4">
      <c r="A988" s="25">
        <v>46400</v>
      </c>
      <c r="B988" s="16">
        <v>20</v>
      </c>
      <c r="C988" s="16">
        <v>2</v>
      </c>
      <c r="D988" s="16">
        <v>1</v>
      </c>
      <c r="E988" s="16" t="s">
        <v>980</v>
      </c>
      <c r="F988" s="16" t="s">
        <v>1143</v>
      </c>
      <c r="G988" s="16" t="s">
        <v>158</v>
      </c>
      <c r="H988" s="16" t="s">
        <v>141</v>
      </c>
      <c r="I988" s="22" t="s">
        <v>856</v>
      </c>
      <c r="J988" s="16">
        <f>IFERROR(INDEX(Aux_HH!$J$4:$J$31,MATCH($H988&amp;"|"&amp;$I988,Aux_HH!$A$4:$A$31,0)),"")</f>
        <v>2</v>
      </c>
      <c r="K988" s="16" t="s">
        <v>76</v>
      </c>
      <c r="L988" s="16" t="str">
        <f>IF(COUNTIFS(Pessoas!$C$5:$C$44,$K988,Pessoas!$G$5:$G$44,"Ativo")=0,"Equipe "&amp;$K988,INDEX(Pessoas!$A$5:$A$44,_xludf.aggregate(15,6,(ROW(Pessoas!$A$5:$A$44)-4)/((Pessoas!$C$5:$C$44=$K988)*(Pessoas!$G$5:$G$44="Ativo")),MOD(ROW()-6,MAX(1,COUNTIFS(Pessoas!$C$5:$C$44,$K988,Pessoas!$G$5:$G$44,"Ativo")))+1)))</f>
        <v>Equipe Oficina Mecânica Central-Taisa</v>
      </c>
    </row>
    <row r="989" spans="1:12" ht="15" customHeight="1" x14ac:dyDescent="0.4">
      <c r="A989" s="25">
        <v>46400</v>
      </c>
      <c r="B989" s="16">
        <v>20</v>
      </c>
      <c r="C989" s="16">
        <v>2</v>
      </c>
      <c r="D989" s="16">
        <v>1</v>
      </c>
      <c r="E989" s="16" t="s">
        <v>980</v>
      </c>
      <c r="F989" s="16" t="s">
        <v>1144</v>
      </c>
      <c r="G989" s="16" t="s">
        <v>158</v>
      </c>
      <c r="H989" s="16" t="s">
        <v>141</v>
      </c>
      <c r="I989" s="22" t="s">
        <v>856</v>
      </c>
      <c r="J989" s="16">
        <f>IFERROR(INDEX(Aux_HH!$J$4:$J$31,MATCH($H989&amp;"|"&amp;$I989,Aux_HH!$A$4:$A$31,0)),"")</f>
        <v>2</v>
      </c>
      <c r="K989" s="16" t="s">
        <v>76</v>
      </c>
      <c r="L989" s="16" t="str">
        <f>IF(COUNTIFS(Pessoas!$C$5:$C$44,$K989,Pessoas!$G$5:$G$44,"Ativo")=0,"Equipe "&amp;$K989,INDEX(Pessoas!$A$5:$A$44,_xludf.aggregate(15,6,(ROW(Pessoas!$A$5:$A$44)-4)/((Pessoas!$C$5:$C$44=$K989)*(Pessoas!$G$5:$G$44="Ativo")),MOD(ROW()-6,MAX(1,COUNTIFS(Pessoas!$C$5:$C$44,$K989,Pessoas!$G$5:$G$44,"Ativo")))+1)))</f>
        <v>Equipe Oficina Mecânica Central-Taisa</v>
      </c>
    </row>
    <row r="990" spans="1:12" ht="15" customHeight="1" x14ac:dyDescent="0.4">
      <c r="A990" s="25">
        <v>46400</v>
      </c>
      <c r="B990" s="16">
        <v>20</v>
      </c>
      <c r="C990" s="16">
        <v>2</v>
      </c>
      <c r="D990" s="16">
        <v>1</v>
      </c>
      <c r="E990" s="16" t="s">
        <v>980</v>
      </c>
      <c r="F990" s="16" t="s">
        <v>1145</v>
      </c>
      <c r="G990" s="16" t="s">
        <v>158</v>
      </c>
      <c r="H990" s="16" t="s">
        <v>141</v>
      </c>
      <c r="I990" s="22" t="s">
        <v>856</v>
      </c>
      <c r="J990" s="16">
        <f>IFERROR(INDEX(Aux_HH!$J$4:$J$31,MATCH($H990&amp;"|"&amp;$I990,Aux_HH!$A$4:$A$31,0)),"")</f>
        <v>2</v>
      </c>
      <c r="K990" s="16" t="s">
        <v>76</v>
      </c>
      <c r="L990" s="16" t="str">
        <f>IF(COUNTIFS(Pessoas!$C$5:$C$44,$K990,Pessoas!$G$5:$G$44,"Ativo")=0,"Equipe "&amp;$K990,INDEX(Pessoas!$A$5:$A$44,_xludf.aggregate(15,6,(ROW(Pessoas!$A$5:$A$44)-4)/((Pessoas!$C$5:$C$44=$K990)*(Pessoas!$G$5:$G$44="Ativo")),MOD(ROW()-6,MAX(1,COUNTIFS(Pessoas!$C$5:$C$44,$K990,Pessoas!$G$5:$G$44,"Ativo")))+1)))</f>
        <v>Equipe Oficina Mecânica Central-Taisa</v>
      </c>
    </row>
    <row r="991" spans="1:12" ht="15" customHeight="1" x14ac:dyDescent="0.4">
      <c r="A991" s="25">
        <v>46400</v>
      </c>
      <c r="B991" s="16">
        <v>20</v>
      </c>
      <c r="C991" s="16">
        <v>2</v>
      </c>
      <c r="D991" s="16">
        <v>1</v>
      </c>
      <c r="E991" s="16" t="s">
        <v>980</v>
      </c>
      <c r="F991" s="16" t="s">
        <v>1146</v>
      </c>
      <c r="G991" s="16" t="s">
        <v>158</v>
      </c>
      <c r="H991" s="16" t="s">
        <v>141</v>
      </c>
      <c r="I991" s="22" t="s">
        <v>856</v>
      </c>
      <c r="J991" s="16">
        <f>IFERROR(INDEX(Aux_HH!$J$4:$J$31,MATCH($H991&amp;"|"&amp;$I991,Aux_HH!$A$4:$A$31,0)),"")</f>
        <v>2</v>
      </c>
      <c r="K991" s="16" t="s">
        <v>76</v>
      </c>
      <c r="L991" s="16" t="str">
        <f>IF(COUNTIFS(Pessoas!$C$5:$C$44,$K991,Pessoas!$G$5:$G$44,"Ativo")=0,"Equipe "&amp;$K991,INDEX(Pessoas!$A$5:$A$44,_xludf.aggregate(15,6,(ROW(Pessoas!$A$5:$A$44)-4)/((Pessoas!$C$5:$C$44=$K991)*(Pessoas!$G$5:$G$44="Ativo")),MOD(ROW()-6,MAX(1,COUNTIFS(Pessoas!$C$5:$C$44,$K991,Pessoas!$G$5:$G$44,"Ativo")))+1)))</f>
        <v>Equipe Oficina Mecânica Central-Taisa</v>
      </c>
    </row>
    <row r="992" spans="1:12" ht="15" customHeight="1" x14ac:dyDescent="0.4">
      <c r="A992" s="25">
        <v>46400</v>
      </c>
      <c r="B992" s="16">
        <v>20</v>
      </c>
      <c r="C992" s="16">
        <v>2</v>
      </c>
      <c r="D992" s="16">
        <v>1</v>
      </c>
      <c r="E992" s="16" t="s">
        <v>980</v>
      </c>
      <c r="F992" s="16" t="s">
        <v>1147</v>
      </c>
      <c r="G992" s="16" t="s">
        <v>184</v>
      </c>
      <c r="H992" s="16" t="s">
        <v>141</v>
      </c>
      <c r="I992" s="22" t="s">
        <v>856</v>
      </c>
      <c r="J992" s="16">
        <f>IFERROR(INDEX(Aux_HH!$J$4:$J$31,MATCH($H992&amp;"|"&amp;$I992,Aux_HH!$A$4:$A$31,0)),"")</f>
        <v>2</v>
      </c>
      <c r="K992" s="16" t="s">
        <v>76</v>
      </c>
      <c r="L992" s="16" t="str">
        <f>IF(COUNTIFS(Pessoas!$C$5:$C$44,$K992,Pessoas!$G$5:$G$44,"Ativo")=0,"Equipe "&amp;$K992,INDEX(Pessoas!$A$5:$A$44,_xludf.aggregate(15,6,(ROW(Pessoas!$A$5:$A$44)-4)/((Pessoas!$C$5:$C$44=$K992)*(Pessoas!$G$5:$G$44="Ativo")),MOD(ROW()-6,MAX(1,COUNTIFS(Pessoas!$C$5:$C$44,$K992,Pessoas!$G$5:$G$44,"Ativo")))+1)))</f>
        <v>Equipe Oficina Mecânica Central-Taisa</v>
      </c>
    </row>
    <row r="993" spans="1:12" ht="15" customHeight="1" x14ac:dyDescent="0.4">
      <c r="A993" s="25">
        <v>46400</v>
      </c>
      <c r="B993" s="16">
        <v>20</v>
      </c>
      <c r="C993" s="16">
        <v>2</v>
      </c>
      <c r="D993" s="16">
        <v>1</v>
      </c>
      <c r="E993" s="16" t="s">
        <v>980</v>
      </c>
      <c r="F993" s="16" t="s">
        <v>1148</v>
      </c>
      <c r="G993" s="16" t="s">
        <v>184</v>
      </c>
      <c r="H993" s="16" t="s">
        <v>141</v>
      </c>
      <c r="I993" s="22" t="s">
        <v>856</v>
      </c>
      <c r="J993" s="16">
        <f>IFERROR(INDEX(Aux_HH!$J$4:$J$31,MATCH($H993&amp;"|"&amp;$I993,Aux_HH!$A$4:$A$31,0)),"")</f>
        <v>2</v>
      </c>
      <c r="K993" s="16" t="s">
        <v>76</v>
      </c>
      <c r="L993" s="16" t="str">
        <f>IF(COUNTIFS(Pessoas!$C$5:$C$44,$K993,Pessoas!$G$5:$G$44,"Ativo")=0,"Equipe "&amp;$K993,INDEX(Pessoas!$A$5:$A$44,_xludf.aggregate(15,6,(ROW(Pessoas!$A$5:$A$44)-4)/((Pessoas!$C$5:$C$44=$K993)*(Pessoas!$G$5:$G$44="Ativo")),MOD(ROW()-6,MAX(1,COUNTIFS(Pessoas!$C$5:$C$44,$K993,Pessoas!$G$5:$G$44,"Ativo")))+1)))</f>
        <v>Equipe Oficina Mecânica Central-Taisa</v>
      </c>
    </row>
    <row r="994" spans="1:12" ht="15" customHeight="1" x14ac:dyDescent="0.4">
      <c r="A994" s="25">
        <v>46400</v>
      </c>
      <c r="B994" s="16">
        <v>20</v>
      </c>
      <c r="C994" s="16">
        <v>2</v>
      </c>
      <c r="D994" s="16">
        <v>1</v>
      </c>
      <c r="E994" s="16" t="s">
        <v>980</v>
      </c>
      <c r="F994" s="16" t="s">
        <v>1149</v>
      </c>
      <c r="G994" s="16" t="s">
        <v>184</v>
      </c>
      <c r="H994" s="16" t="s">
        <v>141</v>
      </c>
      <c r="I994" s="22" t="s">
        <v>856</v>
      </c>
      <c r="J994" s="16">
        <f>IFERROR(INDEX(Aux_HH!$J$4:$J$31,MATCH($H994&amp;"|"&amp;$I994,Aux_HH!$A$4:$A$31,0)),"")</f>
        <v>2</v>
      </c>
      <c r="K994" s="16" t="s">
        <v>76</v>
      </c>
      <c r="L994" s="16" t="str">
        <f>IF(COUNTIFS(Pessoas!$C$5:$C$44,$K994,Pessoas!$G$5:$G$44,"Ativo")=0,"Equipe "&amp;$K994,INDEX(Pessoas!$A$5:$A$44,_xludf.aggregate(15,6,(ROW(Pessoas!$A$5:$A$44)-4)/((Pessoas!$C$5:$C$44=$K994)*(Pessoas!$G$5:$G$44="Ativo")),MOD(ROW()-6,MAX(1,COUNTIFS(Pessoas!$C$5:$C$44,$K994,Pessoas!$G$5:$G$44,"Ativo")))+1)))</f>
        <v>Equipe Oficina Mecânica Central-Taisa</v>
      </c>
    </row>
    <row r="995" spans="1:12" ht="15" customHeight="1" x14ac:dyDescent="0.4">
      <c r="A995" s="25">
        <v>46400</v>
      </c>
      <c r="B995" s="16">
        <v>20</v>
      </c>
      <c r="C995" s="16">
        <v>2</v>
      </c>
      <c r="D995" s="16">
        <v>1</v>
      </c>
      <c r="E995" s="16" t="s">
        <v>980</v>
      </c>
      <c r="F995" s="16" t="s">
        <v>1150</v>
      </c>
      <c r="G995" s="16" t="s">
        <v>184</v>
      </c>
      <c r="H995" s="16" t="s">
        <v>141</v>
      </c>
      <c r="I995" s="22" t="s">
        <v>856</v>
      </c>
      <c r="J995" s="16">
        <f>IFERROR(INDEX(Aux_HH!$J$4:$J$31,MATCH($H995&amp;"|"&amp;$I995,Aux_HH!$A$4:$A$31,0)),"")</f>
        <v>2</v>
      </c>
      <c r="K995" s="16" t="s">
        <v>76</v>
      </c>
      <c r="L995" s="16" t="str">
        <f>IF(COUNTIFS(Pessoas!$C$5:$C$44,$K995,Pessoas!$G$5:$G$44,"Ativo")=0,"Equipe "&amp;$K995,INDEX(Pessoas!$A$5:$A$44,_xludf.aggregate(15,6,(ROW(Pessoas!$A$5:$A$44)-4)/((Pessoas!$C$5:$C$44=$K995)*(Pessoas!$G$5:$G$44="Ativo")),MOD(ROW()-6,MAX(1,COUNTIFS(Pessoas!$C$5:$C$44,$K995,Pessoas!$G$5:$G$44,"Ativo")))+1)))</f>
        <v>Equipe Oficina Mecânica Central-Taisa</v>
      </c>
    </row>
    <row r="996" spans="1:12" ht="15" customHeight="1" x14ac:dyDescent="0.4">
      <c r="A996" s="25">
        <v>46400</v>
      </c>
      <c r="B996" s="16">
        <v>20</v>
      </c>
      <c r="C996" s="16">
        <v>2</v>
      </c>
      <c r="D996" s="16">
        <v>1</v>
      </c>
      <c r="E996" s="16" t="s">
        <v>980</v>
      </c>
      <c r="F996" s="16" t="s">
        <v>1151</v>
      </c>
      <c r="G996" s="16" t="s">
        <v>184</v>
      </c>
      <c r="H996" s="16" t="s">
        <v>141</v>
      </c>
      <c r="I996" s="22" t="s">
        <v>856</v>
      </c>
      <c r="J996" s="16">
        <f>IFERROR(INDEX(Aux_HH!$J$4:$J$31,MATCH($H996&amp;"|"&amp;$I996,Aux_HH!$A$4:$A$31,0)),"")</f>
        <v>2</v>
      </c>
      <c r="K996" s="16" t="s">
        <v>76</v>
      </c>
      <c r="L996" s="16" t="str">
        <f>IF(COUNTIFS(Pessoas!$C$5:$C$44,$K996,Pessoas!$G$5:$G$44,"Ativo")=0,"Equipe "&amp;$K996,INDEX(Pessoas!$A$5:$A$44,_xludf.aggregate(15,6,(ROW(Pessoas!$A$5:$A$44)-4)/((Pessoas!$C$5:$C$44=$K996)*(Pessoas!$G$5:$G$44="Ativo")),MOD(ROW()-6,MAX(1,COUNTIFS(Pessoas!$C$5:$C$44,$K996,Pessoas!$G$5:$G$44,"Ativo")))+1)))</f>
        <v>Equipe Oficina Mecânica Central-Taisa</v>
      </c>
    </row>
    <row r="997" spans="1:12" ht="15" customHeight="1" x14ac:dyDescent="0.4">
      <c r="A997" s="25">
        <v>46400</v>
      </c>
      <c r="B997" s="16">
        <v>20</v>
      </c>
      <c r="C997" s="16">
        <v>2</v>
      </c>
      <c r="D997" s="16">
        <v>1</v>
      </c>
      <c r="E997" s="16" t="s">
        <v>980</v>
      </c>
      <c r="F997" s="16" t="s">
        <v>1152</v>
      </c>
      <c r="G997" s="16" t="s">
        <v>184</v>
      </c>
      <c r="H997" s="16" t="s">
        <v>141</v>
      </c>
      <c r="I997" s="22" t="s">
        <v>856</v>
      </c>
      <c r="J997" s="16">
        <f>IFERROR(INDEX(Aux_HH!$J$4:$J$31,MATCH($H997&amp;"|"&amp;$I997,Aux_HH!$A$4:$A$31,0)),"")</f>
        <v>2</v>
      </c>
      <c r="K997" s="16" t="s">
        <v>76</v>
      </c>
      <c r="L997" s="16" t="str">
        <f>IF(COUNTIFS(Pessoas!$C$5:$C$44,$K997,Pessoas!$G$5:$G$44,"Ativo")=0,"Equipe "&amp;$K997,INDEX(Pessoas!$A$5:$A$44,_xludf.aggregate(15,6,(ROW(Pessoas!$A$5:$A$44)-4)/((Pessoas!$C$5:$C$44=$K997)*(Pessoas!$G$5:$G$44="Ativo")),MOD(ROW()-6,MAX(1,COUNTIFS(Pessoas!$C$5:$C$44,$K997,Pessoas!$G$5:$G$44,"Ativo")))+1)))</f>
        <v>Equipe Oficina Mecânica Central-Taisa</v>
      </c>
    </row>
    <row r="998" spans="1:12" ht="15" customHeight="1" x14ac:dyDescent="0.4">
      <c r="A998" s="25">
        <v>46400</v>
      </c>
      <c r="B998" s="16">
        <v>20</v>
      </c>
      <c r="C998" s="16">
        <v>2</v>
      </c>
      <c r="D998" s="16">
        <v>1</v>
      </c>
      <c r="E998" s="16" t="s">
        <v>980</v>
      </c>
      <c r="F998" s="16" t="s">
        <v>1153</v>
      </c>
      <c r="G998" s="16" t="s">
        <v>184</v>
      </c>
      <c r="H998" s="16" t="s">
        <v>141</v>
      </c>
      <c r="I998" s="22" t="s">
        <v>856</v>
      </c>
      <c r="J998" s="16">
        <f>IFERROR(INDEX(Aux_HH!$J$4:$J$31,MATCH($H998&amp;"|"&amp;$I998,Aux_HH!$A$4:$A$31,0)),"")</f>
        <v>2</v>
      </c>
      <c r="K998" s="16" t="s">
        <v>76</v>
      </c>
      <c r="L998" s="16" t="str">
        <f>IF(COUNTIFS(Pessoas!$C$5:$C$44,$K998,Pessoas!$G$5:$G$44,"Ativo")=0,"Equipe "&amp;$K998,INDEX(Pessoas!$A$5:$A$44,_xludf.aggregate(15,6,(ROW(Pessoas!$A$5:$A$44)-4)/((Pessoas!$C$5:$C$44=$K998)*(Pessoas!$G$5:$G$44="Ativo")),MOD(ROW()-6,MAX(1,COUNTIFS(Pessoas!$C$5:$C$44,$K998,Pessoas!$G$5:$G$44,"Ativo")))+1)))</f>
        <v>Equipe Oficina Mecânica Central-Taisa</v>
      </c>
    </row>
    <row r="999" spans="1:12" ht="15" customHeight="1" x14ac:dyDescent="0.4">
      <c r="A999" s="25">
        <v>46400</v>
      </c>
      <c r="B999" s="16">
        <v>20</v>
      </c>
      <c r="C999" s="16">
        <v>2</v>
      </c>
      <c r="D999" s="16">
        <v>1</v>
      </c>
      <c r="E999" s="16" t="s">
        <v>980</v>
      </c>
      <c r="F999" s="16" t="s">
        <v>1154</v>
      </c>
      <c r="G999" s="16" t="s">
        <v>184</v>
      </c>
      <c r="H999" s="16" t="s">
        <v>141</v>
      </c>
      <c r="I999" s="22" t="s">
        <v>856</v>
      </c>
      <c r="J999" s="16">
        <f>IFERROR(INDEX(Aux_HH!$J$4:$J$31,MATCH($H999&amp;"|"&amp;$I999,Aux_HH!$A$4:$A$31,0)),"")</f>
        <v>2</v>
      </c>
      <c r="K999" s="16" t="s">
        <v>76</v>
      </c>
      <c r="L999" s="16" t="str">
        <f>IF(COUNTIFS(Pessoas!$C$5:$C$44,$K999,Pessoas!$G$5:$G$44,"Ativo")=0,"Equipe "&amp;$K999,INDEX(Pessoas!$A$5:$A$44,_xludf.aggregate(15,6,(ROW(Pessoas!$A$5:$A$44)-4)/((Pessoas!$C$5:$C$44=$K999)*(Pessoas!$G$5:$G$44="Ativo")),MOD(ROW()-6,MAX(1,COUNTIFS(Pessoas!$C$5:$C$44,$K999,Pessoas!$G$5:$G$44,"Ativo")))+1)))</f>
        <v>Equipe Oficina Mecânica Central-Taisa</v>
      </c>
    </row>
    <row r="1000" spans="1:12" ht="15" customHeight="1" x14ac:dyDescent="0.4">
      <c r="A1000" s="25">
        <v>46400</v>
      </c>
      <c r="B1000" s="16">
        <v>20</v>
      </c>
      <c r="C1000" s="16">
        <v>2</v>
      </c>
      <c r="D1000" s="16">
        <v>1</v>
      </c>
      <c r="E1000" s="16" t="s">
        <v>980</v>
      </c>
      <c r="F1000" s="16" t="s">
        <v>1155</v>
      </c>
      <c r="G1000" s="16" t="s">
        <v>184</v>
      </c>
      <c r="H1000" s="16" t="s">
        <v>141</v>
      </c>
      <c r="I1000" s="22" t="s">
        <v>856</v>
      </c>
      <c r="J1000" s="16">
        <f>IFERROR(INDEX(Aux_HH!$J$4:$J$31,MATCH($H1000&amp;"|"&amp;$I1000,Aux_HH!$A$4:$A$31,0)),"")</f>
        <v>2</v>
      </c>
      <c r="K1000" s="16" t="s">
        <v>76</v>
      </c>
      <c r="L1000" s="16" t="str">
        <f>IF(COUNTIFS(Pessoas!$C$5:$C$44,$K1000,Pessoas!$G$5:$G$44,"Ativo")=0,"Equipe "&amp;$K1000,INDEX(Pessoas!$A$5:$A$44,_xludf.aggregate(15,6,(ROW(Pessoas!$A$5:$A$44)-4)/((Pessoas!$C$5:$C$44=$K1000)*(Pessoas!$G$5:$G$44="Ativo")),MOD(ROW()-6,MAX(1,COUNTIFS(Pessoas!$C$5:$C$44,$K1000,Pessoas!$G$5:$G$44,"Ativo")))+1)))</f>
        <v>Equipe Oficina Mecânica Central-Taisa</v>
      </c>
    </row>
    <row r="1001" spans="1:12" ht="15" customHeight="1" x14ac:dyDescent="0.4">
      <c r="A1001" s="25">
        <v>46400</v>
      </c>
      <c r="B1001" s="16">
        <v>20</v>
      </c>
      <c r="C1001" s="16">
        <v>2</v>
      </c>
      <c r="D1001" s="16">
        <v>1</v>
      </c>
      <c r="E1001" s="16" t="s">
        <v>980</v>
      </c>
      <c r="F1001" s="16" t="s">
        <v>1156</v>
      </c>
      <c r="G1001" s="16" t="s">
        <v>184</v>
      </c>
      <c r="H1001" s="16" t="s">
        <v>141</v>
      </c>
      <c r="I1001" s="22" t="s">
        <v>856</v>
      </c>
      <c r="J1001" s="16">
        <f>IFERROR(INDEX(Aux_HH!$J$4:$J$31,MATCH($H1001&amp;"|"&amp;$I1001,Aux_HH!$A$4:$A$31,0)),"")</f>
        <v>2</v>
      </c>
      <c r="K1001" s="16" t="s">
        <v>76</v>
      </c>
      <c r="L1001" s="16" t="str">
        <f>IF(COUNTIFS(Pessoas!$C$5:$C$44,$K1001,Pessoas!$G$5:$G$44,"Ativo")=0,"Equipe "&amp;$K1001,INDEX(Pessoas!$A$5:$A$44,_xludf.aggregate(15,6,(ROW(Pessoas!$A$5:$A$44)-4)/((Pessoas!$C$5:$C$44=$K1001)*(Pessoas!$G$5:$G$44="Ativo")),MOD(ROW()-6,MAX(1,COUNTIFS(Pessoas!$C$5:$C$44,$K1001,Pessoas!$G$5:$G$44,"Ativo")))+1)))</f>
        <v>Equipe Oficina Mecânica Central-Taisa</v>
      </c>
    </row>
    <row r="1002" spans="1:12" ht="15" customHeight="1" x14ac:dyDescent="0.4">
      <c r="A1002" s="25">
        <v>46400</v>
      </c>
      <c r="B1002" s="16">
        <v>20</v>
      </c>
      <c r="C1002" s="16">
        <v>2</v>
      </c>
      <c r="D1002" s="16">
        <v>1</v>
      </c>
      <c r="E1002" s="16" t="s">
        <v>980</v>
      </c>
      <c r="F1002" s="16" t="s">
        <v>1157</v>
      </c>
      <c r="G1002" s="16" t="s">
        <v>158</v>
      </c>
      <c r="H1002" s="16" t="s">
        <v>141</v>
      </c>
      <c r="I1002" s="22" t="s">
        <v>856</v>
      </c>
      <c r="J1002" s="16">
        <f>IFERROR(INDEX(Aux_HH!$J$4:$J$31,MATCH($H1002&amp;"|"&amp;$I1002,Aux_HH!$A$4:$A$31,0)),"")</f>
        <v>2</v>
      </c>
      <c r="K1002" s="16" t="s">
        <v>76</v>
      </c>
      <c r="L1002" s="16" t="str">
        <f>IF(COUNTIFS(Pessoas!$C$5:$C$44,$K1002,Pessoas!$G$5:$G$44,"Ativo")=0,"Equipe "&amp;$K1002,INDEX(Pessoas!$A$5:$A$44,_xludf.aggregate(15,6,(ROW(Pessoas!$A$5:$A$44)-4)/((Pessoas!$C$5:$C$44=$K1002)*(Pessoas!$G$5:$G$44="Ativo")),MOD(ROW()-6,MAX(1,COUNTIFS(Pessoas!$C$5:$C$44,$K1002,Pessoas!$G$5:$G$44,"Ativo")))+1)))</f>
        <v>Equipe Oficina Mecânica Central-Taisa</v>
      </c>
    </row>
    <row r="1003" spans="1:12" ht="15" customHeight="1" x14ac:dyDescent="0.4">
      <c r="A1003" s="25">
        <v>46400</v>
      </c>
      <c r="B1003" s="16">
        <v>20</v>
      </c>
      <c r="C1003" s="16">
        <v>2</v>
      </c>
      <c r="D1003" s="16">
        <v>1</v>
      </c>
      <c r="E1003" s="16" t="s">
        <v>980</v>
      </c>
      <c r="F1003" s="16" t="s">
        <v>994</v>
      </c>
      <c r="G1003" s="16" t="s">
        <v>688</v>
      </c>
      <c r="H1003" s="16" t="s">
        <v>145</v>
      </c>
      <c r="I1003" s="22" t="s">
        <v>861</v>
      </c>
      <c r="J1003" s="16">
        <f>IFERROR(INDEX(Aux_HH!$J$4:$J$31,MATCH($H1003&amp;"|"&amp;$I1003,Aux_HH!$A$4:$A$31,0)),"")</f>
        <v>4</v>
      </c>
      <c r="K1003" s="16" t="s">
        <v>76</v>
      </c>
      <c r="L1003" s="16" t="str">
        <f>IF(COUNTIFS(Pessoas!$C$5:$C$44,$K1003,Pessoas!$G$5:$G$44,"Ativo")=0,"Equipe "&amp;$K1003,INDEX(Pessoas!$A$5:$A$44,_xludf.aggregate(15,6,(ROW(Pessoas!$A$5:$A$44)-4)/((Pessoas!$C$5:$C$44=$K1003)*(Pessoas!$G$5:$G$44="Ativo")),MOD(ROW()-6,MAX(1,COUNTIFS(Pessoas!$C$5:$C$44,$K1003,Pessoas!$G$5:$G$44,"Ativo")))+1)))</f>
        <v>Equipe Oficina Mecânica Central-Taisa</v>
      </c>
    </row>
    <row r="1004" spans="1:12" ht="15" customHeight="1" x14ac:dyDescent="0.4">
      <c r="A1004" s="25">
        <v>46400</v>
      </c>
      <c r="B1004" s="16">
        <v>20</v>
      </c>
      <c r="C1004" s="16">
        <v>2</v>
      </c>
      <c r="D1004" s="16">
        <v>1</v>
      </c>
      <c r="E1004" s="16" t="s">
        <v>980</v>
      </c>
      <c r="F1004" s="16" t="s">
        <v>995</v>
      </c>
      <c r="G1004" s="16" t="s">
        <v>688</v>
      </c>
      <c r="H1004" s="16" t="s">
        <v>145</v>
      </c>
      <c r="I1004" s="22" t="s">
        <v>861</v>
      </c>
      <c r="J1004" s="16">
        <f>IFERROR(INDEX(Aux_HH!$J$4:$J$31,MATCH($H1004&amp;"|"&amp;$I1004,Aux_HH!$A$4:$A$31,0)),"")</f>
        <v>4</v>
      </c>
      <c r="K1004" s="16" t="s">
        <v>76</v>
      </c>
      <c r="L1004" s="16" t="str">
        <f>IF(COUNTIFS(Pessoas!$C$5:$C$44,$K1004,Pessoas!$G$5:$G$44,"Ativo")=0,"Equipe "&amp;$K1004,INDEX(Pessoas!$A$5:$A$44,_xludf.aggregate(15,6,(ROW(Pessoas!$A$5:$A$44)-4)/((Pessoas!$C$5:$C$44=$K1004)*(Pessoas!$G$5:$G$44="Ativo")),MOD(ROW()-6,MAX(1,COUNTIFS(Pessoas!$C$5:$C$44,$K1004,Pessoas!$G$5:$G$44,"Ativo")))+1)))</f>
        <v>Equipe Oficina Mecânica Central-Taisa</v>
      </c>
    </row>
    <row r="1005" spans="1:12" ht="15" customHeight="1" x14ac:dyDescent="0.4">
      <c r="A1005" s="25">
        <v>46400</v>
      </c>
      <c r="B1005" s="16">
        <v>20</v>
      </c>
      <c r="C1005" s="16">
        <v>2</v>
      </c>
      <c r="D1005" s="16">
        <v>1</v>
      </c>
      <c r="E1005" s="16" t="s">
        <v>980</v>
      </c>
      <c r="F1005" s="16" t="s">
        <v>1162</v>
      </c>
      <c r="G1005" s="16" t="s">
        <v>158</v>
      </c>
      <c r="H1005" s="16" t="s">
        <v>141</v>
      </c>
      <c r="I1005" s="22" t="s">
        <v>856</v>
      </c>
      <c r="J1005" s="16">
        <f>IFERROR(INDEX(Aux_HH!$J$4:$J$31,MATCH($H1005&amp;"|"&amp;$I1005,Aux_HH!$A$4:$A$31,0)),"")</f>
        <v>2</v>
      </c>
      <c r="K1005" s="16" t="s">
        <v>76</v>
      </c>
      <c r="L1005" s="16" t="str">
        <f>IF(COUNTIFS(Pessoas!$C$5:$C$44,$K1005,Pessoas!$G$5:$G$44,"Ativo")=0,"Equipe "&amp;$K1005,INDEX(Pessoas!$A$5:$A$44,_xludf.aggregate(15,6,(ROW(Pessoas!$A$5:$A$44)-4)/((Pessoas!$C$5:$C$44=$K1005)*(Pessoas!$G$5:$G$44="Ativo")),MOD(ROW()-6,MAX(1,COUNTIFS(Pessoas!$C$5:$C$44,$K1005,Pessoas!$G$5:$G$44,"Ativo")))+1)))</f>
        <v>Equipe Oficina Mecânica Central-Taisa</v>
      </c>
    </row>
    <row r="1006" spans="1:12" ht="15" customHeight="1" x14ac:dyDescent="0.4">
      <c r="A1006" s="25">
        <v>46400</v>
      </c>
      <c r="B1006" s="16">
        <v>20</v>
      </c>
      <c r="C1006" s="16">
        <v>2</v>
      </c>
      <c r="D1006" s="16">
        <v>1</v>
      </c>
      <c r="E1006" s="16" t="s">
        <v>980</v>
      </c>
      <c r="F1006" s="16" t="s">
        <v>1163</v>
      </c>
      <c r="G1006" s="16" t="s">
        <v>158</v>
      </c>
      <c r="H1006" s="16" t="s">
        <v>141</v>
      </c>
      <c r="I1006" s="22" t="s">
        <v>856</v>
      </c>
      <c r="J1006" s="16">
        <f>IFERROR(INDEX(Aux_HH!$J$4:$J$31,MATCH($H1006&amp;"|"&amp;$I1006,Aux_HH!$A$4:$A$31,0)),"")</f>
        <v>2</v>
      </c>
      <c r="K1006" s="16" t="s">
        <v>76</v>
      </c>
      <c r="L1006" s="16" t="str">
        <f>IF(COUNTIFS(Pessoas!$C$5:$C$44,$K1006,Pessoas!$G$5:$G$44,"Ativo")=0,"Equipe "&amp;$K1006,INDEX(Pessoas!$A$5:$A$44,_xludf.aggregate(15,6,(ROW(Pessoas!$A$5:$A$44)-4)/((Pessoas!$C$5:$C$44=$K1006)*(Pessoas!$G$5:$G$44="Ativo")),MOD(ROW()-6,MAX(1,COUNTIFS(Pessoas!$C$5:$C$44,$K1006,Pessoas!$G$5:$G$44,"Ativo")))+1)))</f>
        <v>Equipe Oficina Mecânica Central-Taisa</v>
      </c>
    </row>
    <row r="1007" spans="1:12" ht="15" customHeight="1" x14ac:dyDescent="0.4">
      <c r="A1007" s="25">
        <v>46400</v>
      </c>
      <c r="B1007" s="16">
        <v>20</v>
      </c>
      <c r="C1007" s="16">
        <v>2</v>
      </c>
      <c r="D1007" s="16">
        <v>1</v>
      </c>
      <c r="E1007" s="16" t="s">
        <v>980</v>
      </c>
      <c r="F1007" s="16" t="s">
        <v>1169</v>
      </c>
      <c r="G1007" s="16" t="s">
        <v>184</v>
      </c>
      <c r="H1007" s="16" t="s">
        <v>141</v>
      </c>
      <c r="I1007" s="22" t="s">
        <v>856</v>
      </c>
      <c r="J1007" s="16">
        <f>IFERROR(INDEX(Aux_HH!$J$4:$J$31,MATCH($H1007&amp;"|"&amp;$I1007,Aux_HH!$A$4:$A$31,0)),"")</f>
        <v>2</v>
      </c>
      <c r="K1007" s="16" t="s">
        <v>76</v>
      </c>
      <c r="L1007" s="16" t="str">
        <f>IF(COUNTIFS(Pessoas!$C$5:$C$44,$K1007,Pessoas!$G$5:$G$44,"Ativo")=0,"Equipe "&amp;$K1007,INDEX(Pessoas!$A$5:$A$44,_xludf.aggregate(15,6,(ROW(Pessoas!$A$5:$A$44)-4)/((Pessoas!$C$5:$C$44=$K1007)*(Pessoas!$G$5:$G$44="Ativo")),MOD(ROW()-6,MAX(1,COUNTIFS(Pessoas!$C$5:$C$44,$K1007,Pessoas!$G$5:$G$44,"Ativo")))+1)))</f>
        <v>Equipe Oficina Mecânica Central-Taisa</v>
      </c>
    </row>
    <row r="1008" spans="1:12" ht="15" customHeight="1" x14ac:dyDescent="0.4">
      <c r="A1008" s="25">
        <v>46401</v>
      </c>
      <c r="B1008" s="16">
        <v>20</v>
      </c>
      <c r="C1008" s="16">
        <v>2</v>
      </c>
      <c r="D1008" s="16">
        <v>1</v>
      </c>
      <c r="E1008" s="16" t="s">
        <v>980</v>
      </c>
      <c r="F1008" s="16" t="s">
        <v>985</v>
      </c>
      <c r="G1008" s="16" t="s">
        <v>184</v>
      </c>
      <c r="H1008" s="16" t="s">
        <v>138</v>
      </c>
      <c r="I1008" s="22" t="s">
        <v>867</v>
      </c>
      <c r="J1008" s="16">
        <f>IFERROR(INDEX(Aux_HH!$J$4:$J$31,MATCH($H1008&amp;"|"&amp;$I1008,Aux_HH!$A$4:$A$31,0)),"")</f>
        <v>24</v>
      </c>
      <c r="K1008" s="16" t="s">
        <v>76</v>
      </c>
      <c r="L1008" s="16" t="str">
        <f>IF(COUNTIFS(Pessoas!$C$5:$C$44,$K1008,Pessoas!$G$5:$G$44,"Ativo")=0,"Equipe "&amp;$K1008,INDEX(Pessoas!$A$5:$A$44,_xludf.aggregate(15,6,(ROW(Pessoas!$A$5:$A$44)-4)/((Pessoas!$C$5:$C$44=$K1008)*(Pessoas!$G$5:$G$44="Ativo")),MOD(ROW()-6,MAX(1,COUNTIFS(Pessoas!$C$5:$C$44,$K1008,Pessoas!$G$5:$G$44,"Ativo")))+1)))</f>
        <v>Equipe Oficina Mecânica Central-Taisa</v>
      </c>
    </row>
    <row r="1009" spans="1:12" ht="15" customHeight="1" x14ac:dyDescent="0.4">
      <c r="A1009" s="25">
        <v>46401</v>
      </c>
      <c r="B1009" s="16">
        <v>20</v>
      </c>
      <c r="C1009" s="16">
        <v>2</v>
      </c>
      <c r="D1009" s="16">
        <v>1</v>
      </c>
      <c r="E1009" s="16" t="s">
        <v>980</v>
      </c>
      <c r="F1009" s="16" t="s">
        <v>987</v>
      </c>
      <c r="G1009" s="16" t="s">
        <v>526</v>
      </c>
      <c r="H1009" s="16" t="s">
        <v>138</v>
      </c>
      <c r="I1009" s="22" t="s">
        <v>867</v>
      </c>
      <c r="J1009" s="16">
        <f>IFERROR(INDEX(Aux_HH!$J$4:$J$31,MATCH($H1009&amp;"|"&amp;$I1009,Aux_HH!$A$4:$A$31,0)),"")</f>
        <v>24</v>
      </c>
      <c r="K1009" s="16" t="s">
        <v>76</v>
      </c>
      <c r="L1009" s="16" t="str">
        <f>IF(COUNTIFS(Pessoas!$C$5:$C$44,$K1009,Pessoas!$G$5:$G$44,"Ativo")=0,"Equipe "&amp;$K1009,INDEX(Pessoas!$A$5:$A$44,_xludf.aggregate(15,6,(ROW(Pessoas!$A$5:$A$44)-4)/((Pessoas!$C$5:$C$44=$K1009)*(Pessoas!$G$5:$G$44="Ativo")),MOD(ROW()-6,MAX(1,COUNTIFS(Pessoas!$C$5:$C$44,$K1009,Pessoas!$G$5:$G$44,"Ativo")))+1)))</f>
        <v>Equipe Oficina Mecânica Central-Taisa</v>
      </c>
    </row>
    <row r="1010" spans="1:12" ht="15" customHeight="1" x14ac:dyDescent="0.4">
      <c r="A1010" s="25">
        <v>46401</v>
      </c>
      <c r="B1010" s="16">
        <v>20</v>
      </c>
      <c r="C1010" s="16">
        <v>2</v>
      </c>
      <c r="D1010" s="16">
        <v>1</v>
      </c>
      <c r="E1010" s="16" t="s">
        <v>980</v>
      </c>
      <c r="F1010" s="16" t="s">
        <v>1182</v>
      </c>
      <c r="G1010" s="16" t="s">
        <v>158</v>
      </c>
      <c r="H1010" s="16" t="s">
        <v>141</v>
      </c>
      <c r="I1010" s="22" t="s">
        <v>856</v>
      </c>
      <c r="J1010" s="16">
        <f>IFERROR(INDEX(Aux_HH!$J$4:$J$31,MATCH($H1010&amp;"|"&amp;$I1010,Aux_HH!$A$4:$A$31,0)),"")</f>
        <v>2</v>
      </c>
      <c r="K1010" s="16" t="s">
        <v>76</v>
      </c>
      <c r="L1010" s="16" t="str">
        <f>IF(COUNTIFS(Pessoas!$C$5:$C$44,$K1010,Pessoas!$G$5:$G$44,"Ativo")=0,"Equipe "&amp;$K1010,INDEX(Pessoas!$A$5:$A$44,_xludf.aggregate(15,6,(ROW(Pessoas!$A$5:$A$44)-4)/((Pessoas!$C$5:$C$44=$K1010)*(Pessoas!$G$5:$G$44="Ativo")),MOD(ROW()-6,MAX(1,COUNTIFS(Pessoas!$C$5:$C$44,$K1010,Pessoas!$G$5:$G$44,"Ativo")))+1)))</f>
        <v>Equipe Oficina Mecânica Central-Taisa</v>
      </c>
    </row>
    <row r="1011" spans="1:12" ht="15" customHeight="1" x14ac:dyDescent="0.4">
      <c r="A1011" s="25">
        <v>46401</v>
      </c>
      <c r="B1011" s="16">
        <v>20</v>
      </c>
      <c r="C1011" s="16">
        <v>2</v>
      </c>
      <c r="D1011" s="16">
        <v>1</v>
      </c>
      <c r="E1011" s="16" t="s">
        <v>980</v>
      </c>
      <c r="F1011" s="16" t="s">
        <v>1183</v>
      </c>
      <c r="G1011" s="16" t="s">
        <v>158</v>
      </c>
      <c r="H1011" s="16" t="s">
        <v>141</v>
      </c>
      <c r="I1011" s="22" t="s">
        <v>856</v>
      </c>
      <c r="J1011" s="16">
        <f>IFERROR(INDEX(Aux_HH!$J$4:$J$31,MATCH($H1011&amp;"|"&amp;$I1011,Aux_HH!$A$4:$A$31,0)),"")</f>
        <v>2</v>
      </c>
      <c r="K1011" s="16" t="s">
        <v>76</v>
      </c>
      <c r="L1011" s="16" t="str">
        <f>IF(COUNTIFS(Pessoas!$C$5:$C$44,$K1011,Pessoas!$G$5:$G$44,"Ativo")=0,"Equipe "&amp;$K1011,INDEX(Pessoas!$A$5:$A$44,_xludf.aggregate(15,6,(ROW(Pessoas!$A$5:$A$44)-4)/((Pessoas!$C$5:$C$44=$K1011)*(Pessoas!$G$5:$G$44="Ativo")),MOD(ROW()-6,MAX(1,COUNTIFS(Pessoas!$C$5:$C$44,$K1011,Pessoas!$G$5:$G$44,"Ativo")))+1)))</f>
        <v>Equipe Oficina Mecânica Central-Taisa</v>
      </c>
    </row>
    <row r="1012" spans="1:12" ht="15" customHeight="1" x14ac:dyDescent="0.4">
      <c r="A1012" s="25">
        <v>46401</v>
      </c>
      <c r="B1012" s="16">
        <v>20</v>
      </c>
      <c r="C1012" s="16">
        <v>2</v>
      </c>
      <c r="D1012" s="16">
        <v>1</v>
      </c>
      <c r="E1012" s="16" t="s">
        <v>980</v>
      </c>
      <c r="F1012" s="16" t="s">
        <v>1184</v>
      </c>
      <c r="G1012" s="16" t="s">
        <v>158</v>
      </c>
      <c r="H1012" s="16" t="s">
        <v>141</v>
      </c>
      <c r="I1012" s="22" t="s">
        <v>856</v>
      </c>
      <c r="J1012" s="16">
        <f>IFERROR(INDEX(Aux_HH!$J$4:$J$31,MATCH($H1012&amp;"|"&amp;$I1012,Aux_HH!$A$4:$A$31,0)),"")</f>
        <v>2</v>
      </c>
      <c r="K1012" s="16" t="s">
        <v>76</v>
      </c>
      <c r="L1012" s="16" t="str">
        <f>IF(COUNTIFS(Pessoas!$C$5:$C$44,$K1012,Pessoas!$G$5:$G$44,"Ativo")=0,"Equipe "&amp;$K1012,INDEX(Pessoas!$A$5:$A$44,_xludf.aggregate(15,6,(ROW(Pessoas!$A$5:$A$44)-4)/((Pessoas!$C$5:$C$44=$K1012)*(Pessoas!$G$5:$G$44="Ativo")),MOD(ROW()-6,MAX(1,COUNTIFS(Pessoas!$C$5:$C$44,$K1012,Pessoas!$G$5:$G$44,"Ativo")))+1)))</f>
        <v>Equipe Oficina Mecânica Central-Taisa</v>
      </c>
    </row>
    <row r="1013" spans="1:12" ht="15" customHeight="1" x14ac:dyDescent="0.4">
      <c r="A1013" s="25">
        <v>46401</v>
      </c>
      <c r="B1013" s="16">
        <v>20</v>
      </c>
      <c r="C1013" s="16">
        <v>2</v>
      </c>
      <c r="D1013" s="16">
        <v>1</v>
      </c>
      <c r="E1013" s="16" t="s">
        <v>980</v>
      </c>
      <c r="F1013" s="16" t="s">
        <v>1185</v>
      </c>
      <c r="G1013" s="16" t="s">
        <v>158</v>
      </c>
      <c r="H1013" s="16" t="s">
        <v>141</v>
      </c>
      <c r="I1013" s="22" t="s">
        <v>856</v>
      </c>
      <c r="J1013" s="16">
        <f>IFERROR(INDEX(Aux_HH!$J$4:$J$31,MATCH($H1013&amp;"|"&amp;$I1013,Aux_HH!$A$4:$A$31,0)),"")</f>
        <v>2</v>
      </c>
      <c r="K1013" s="16" t="s">
        <v>76</v>
      </c>
      <c r="L1013" s="16" t="str">
        <f>IF(COUNTIFS(Pessoas!$C$5:$C$44,$K1013,Pessoas!$G$5:$G$44,"Ativo")=0,"Equipe "&amp;$K1013,INDEX(Pessoas!$A$5:$A$44,_xludf.aggregate(15,6,(ROW(Pessoas!$A$5:$A$44)-4)/((Pessoas!$C$5:$C$44=$K1013)*(Pessoas!$G$5:$G$44="Ativo")),MOD(ROW()-6,MAX(1,COUNTIFS(Pessoas!$C$5:$C$44,$K1013,Pessoas!$G$5:$G$44,"Ativo")))+1)))</f>
        <v>Equipe Oficina Mecânica Central-Taisa</v>
      </c>
    </row>
    <row r="1014" spans="1:12" ht="15" customHeight="1" x14ac:dyDescent="0.4">
      <c r="A1014" s="25">
        <v>46401</v>
      </c>
      <c r="B1014" s="16">
        <v>20</v>
      </c>
      <c r="C1014" s="16">
        <v>2</v>
      </c>
      <c r="D1014" s="16">
        <v>1</v>
      </c>
      <c r="E1014" s="16" t="s">
        <v>980</v>
      </c>
      <c r="F1014" s="16" t="s">
        <v>1186</v>
      </c>
      <c r="G1014" s="16" t="s">
        <v>158</v>
      </c>
      <c r="H1014" s="16" t="s">
        <v>141</v>
      </c>
      <c r="I1014" s="22" t="s">
        <v>856</v>
      </c>
      <c r="J1014" s="16">
        <f>IFERROR(INDEX(Aux_HH!$J$4:$J$31,MATCH($H1014&amp;"|"&amp;$I1014,Aux_HH!$A$4:$A$31,0)),"")</f>
        <v>2</v>
      </c>
      <c r="K1014" s="16" t="s">
        <v>76</v>
      </c>
      <c r="L1014" s="16" t="str">
        <f>IF(COUNTIFS(Pessoas!$C$5:$C$44,$K1014,Pessoas!$G$5:$G$44,"Ativo")=0,"Equipe "&amp;$K1014,INDEX(Pessoas!$A$5:$A$44,_xludf.aggregate(15,6,(ROW(Pessoas!$A$5:$A$44)-4)/((Pessoas!$C$5:$C$44=$K1014)*(Pessoas!$G$5:$G$44="Ativo")),MOD(ROW()-6,MAX(1,COUNTIFS(Pessoas!$C$5:$C$44,$K1014,Pessoas!$G$5:$G$44,"Ativo")))+1)))</f>
        <v>Equipe Oficina Mecânica Central-Taisa</v>
      </c>
    </row>
    <row r="1015" spans="1:12" ht="15" customHeight="1" x14ac:dyDescent="0.4">
      <c r="A1015" s="25">
        <v>46401</v>
      </c>
      <c r="B1015" s="16">
        <v>20</v>
      </c>
      <c r="C1015" s="16">
        <v>2</v>
      </c>
      <c r="D1015" s="16">
        <v>1</v>
      </c>
      <c r="E1015" s="16" t="s">
        <v>980</v>
      </c>
      <c r="F1015" s="16" t="s">
        <v>1187</v>
      </c>
      <c r="G1015" s="16" t="s">
        <v>158</v>
      </c>
      <c r="H1015" s="16" t="s">
        <v>141</v>
      </c>
      <c r="I1015" s="22" t="s">
        <v>856</v>
      </c>
      <c r="J1015" s="16">
        <f>IFERROR(INDEX(Aux_HH!$J$4:$J$31,MATCH($H1015&amp;"|"&amp;$I1015,Aux_HH!$A$4:$A$31,0)),"")</f>
        <v>2</v>
      </c>
      <c r="K1015" s="16" t="s">
        <v>76</v>
      </c>
      <c r="L1015" s="16" t="str">
        <f>IF(COUNTIFS(Pessoas!$C$5:$C$44,$K1015,Pessoas!$G$5:$G$44,"Ativo")=0,"Equipe "&amp;$K1015,INDEX(Pessoas!$A$5:$A$44,_xludf.aggregate(15,6,(ROW(Pessoas!$A$5:$A$44)-4)/((Pessoas!$C$5:$C$44=$K1015)*(Pessoas!$G$5:$G$44="Ativo")),MOD(ROW()-6,MAX(1,COUNTIFS(Pessoas!$C$5:$C$44,$K1015,Pessoas!$G$5:$G$44,"Ativo")))+1)))</f>
        <v>Equipe Oficina Mecânica Central-Taisa</v>
      </c>
    </row>
    <row r="1016" spans="1:12" ht="15" customHeight="1" x14ac:dyDescent="0.4">
      <c r="A1016" s="25">
        <v>46401</v>
      </c>
      <c r="B1016" s="16">
        <v>20</v>
      </c>
      <c r="C1016" s="16">
        <v>2</v>
      </c>
      <c r="D1016" s="16">
        <v>1</v>
      </c>
      <c r="E1016" s="16" t="s">
        <v>980</v>
      </c>
      <c r="F1016" s="16" t="s">
        <v>1188</v>
      </c>
      <c r="G1016" s="16" t="s">
        <v>158</v>
      </c>
      <c r="H1016" s="16" t="s">
        <v>141</v>
      </c>
      <c r="I1016" s="22" t="s">
        <v>856</v>
      </c>
      <c r="J1016" s="16">
        <f>IFERROR(INDEX(Aux_HH!$J$4:$J$31,MATCH($H1016&amp;"|"&amp;$I1016,Aux_HH!$A$4:$A$31,0)),"")</f>
        <v>2</v>
      </c>
      <c r="K1016" s="16" t="s">
        <v>76</v>
      </c>
      <c r="L1016" s="16" t="str">
        <f>IF(COUNTIFS(Pessoas!$C$5:$C$44,$K1016,Pessoas!$G$5:$G$44,"Ativo")=0,"Equipe "&amp;$K1016,INDEX(Pessoas!$A$5:$A$44,_xludf.aggregate(15,6,(ROW(Pessoas!$A$5:$A$44)-4)/((Pessoas!$C$5:$C$44=$K1016)*(Pessoas!$G$5:$G$44="Ativo")),MOD(ROW()-6,MAX(1,COUNTIFS(Pessoas!$C$5:$C$44,$K1016,Pessoas!$G$5:$G$44,"Ativo")))+1)))</f>
        <v>Equipe Oficina Mecânica Central-Taisa</v>
      </c>
    </row>
    <row r="1017" spans="1:12" ht="15" customHeight="1" x14ac:dyDescent="0.4">
      <c r="A1017" s="25">
        <v>46401</v>
      </c>
      <c r="B1017" s="16">
        <v>20</v>
      </c>
      <c r="C1017" s="16">
        <v>2</v>
      </c>
      <c r="D1017" s="16">
        <v>1</v>
      </c>
      <c r="E1017" s="16" t="s">
        <v>980</v>
      </c>
      <c r="F1017" s="16" t="s">
        <v>1189</v>
      </c>
      <c r="G1017" s="16" t="s">
        <v>158</v>
      </c>
      <c r="H1017" s="16" t="s">
        <v>141</v>
      </c>
      <c r="I1017" s="22" t="s">
        <v>856</v>
      </c>
      <c r="J1017" s="16">
        <f>IFERROR(INDEX(Aux_HH!$J$4:$J$31,MATCH($H1017&amp;"|"&amp;$I1017,Aux_HH!$A$4:$A$31,0)),"")</f>
        <v>2</v>
      </c>
      <c r="K1017" s="16" t="s">
        <v>76</v>
      </c>
      <c r="L1017" s="16" t="str">
        <f>IF(COUNTIFS(Pessoas!$C$5:$C$44,$K1017,Pessoas!$G$5:$G$44,"Ativo")=0,"Equipe "&amp;$K1017,INDEX(Pessoas!$A$5:$A$44,_xludf.aggregate(15,6,(ROW(Pessoas!$A$5:$A$44)-4)/((Pessoas!$C$5:$C$44=$K1017)*(Pessoas!$G$5:$G$44="Ativo")),MOD(ROW()-6,MAX(1,COUNTIFS(Pessoas!$C$5:$C$44,$K1017,Pessoas!$G$5:$G$44,"Ativo")))+1)))</f>
        <v>Equipe Oficina Mecânica Central-Taisa</v>
      </c>
    </row>
    <row r="1018" spans="1:12" ht="15" customHeight="1" x14ac:dyDescent="0.4">
      <c r="A1018" s="25">
        <v>46401</v>
      </c>
      <c r="B1018" s="16">
        <v>20</v>
      </c>
      <c r="C1018" s="16">
        <v>2</v>
      </c>
      <c r="D1018" s="16">
        <v>1</v>
      </c>
      <c r="E1018" s="16" t="s">
        <v>980</v>
      </c>
      <c r="F1018" s="16" t="s">
        <v>1190</v>
      </c>
      <c r="G1018" s="16" t="s">
        <v>158</v>
      </c>
      <c r="H1018" s="16" t="s">
        <v>141</v>
      </c>
      <c r="I1018" s="22" t="s">
        <v>856</v>
      </c>
      <c r="J1018" s="16">
        <f>IFERROR(INDEX(Aux_HH!$J$4:$J$31,MATCH($H1018&amp;"|"&amp;$I1018,Aux_HH!$A$4:$A$31,0)),"")</f>
        <v>2</v>
      </c>
      <c r="K1018" s="16" t="s">
        <v>76</v>
      </c>
      <c r="L1018" s="16" t="str">
        <f>IF(COUNTIFS(Pessoas!$C$5:$C$44,$K1018,Pessoas!$G$5:$G$44,"Ativo")=0,"Equipe "&amp;$K1018,INDEX(Pessoas!$A$5:$A$44,_xludf.aggregate(15,6,(ROW(Pessoas!$A$5:$A$44)-4)/((Pessoas!$C$5:$C$44=$K1018)*(Pessoas!$G$5:$G$44="Ativo")),MOD(ROW()-6,MAX(1,COUNTIFS(Pessoas!$C$5:$C$44,$K1018,Pessoas!$G$5:$G$44,"Ativo")))+1)))</f>
        <v>Equipe Oficina Mecânica Central-Taisa</v>
      </c>
    </row>
    <row r="1019" spans="1:12" ht="15" customHeight="1" x14ac:dyDescent="0.4">
      <c r="A1019" s="25">
        <v>46401</v>
      </c>
      <c r="B1019" s="16">
        <v>20</v>
      </c>
      <c r="C1019" s="16">
        <v>2</v>
      </c>
      <c r="D1019" s="16">
        <v>1</v>
      </c>
      <c r="E1019" s="16" t="s">
        <v>980</v>
      </c>
      <c r="F1019" s="16" t="s">
        <v>1191</v>
      </c>
      <c r="G1019" s="16" t="s">
        <v>158</v>
      </c>
      <c r="H1019" s="16" t="s">
        <v>141</v>
      </c>
      <c r="I1019" s="22" t="s">
        <v>856</v>
      </c>
      <c r="J1019" s="16">
        <f>IFERROR(INDEX(Aux_HH!$J$4:$J$31,MATCH($H1019&amp;"|"&amp;$I1019,Aux_HH!$A$4:$A$31,0)),"")</f>
        <v>2</v>
      </c>
      <c r="K1019" s="16" t="s">
        <v>76</v>
      </c>
      <c r="L1019" s="16" t="str">
        <f>IF(COUNTIFS(Pessoas!$C$5:$C$44,$K1019,Pessoas!$G$5:$G$44,"Ativo")=0,"Equipe "&amp;$K1019,INDEX(Pessoas!$A$5:$A$44,_xludf.aggregate(15,6,(ROW(Pessoas!$A$5:$A$44)-4)/((Pessoas!$C$5:$C$44=$K1019)*(Pessoas!$G$5:$G$44="Ativo")),MOD(ROW()-6,MAX(1,COUNTIFS(Pessoas!$C$5:$C$44,$K1019,Pessoas!$G$5:$G$44,"Ativo")))+1)))</f>
        <v>Equipe Oficina Mecânica Central-Taisa</v>
      </c>
    </row>
    <row r="1020" spans="1:12" ht="15" customHeight="1" x14ac:dyDescent="0.4">
      <c r="A1020" s="25">
        <v>46401</v>
      </c>
      <c r="B1020" s="16">
        <v>20</v>
      </c>
      <c r="C1020" s="16">
        <v>2</v>
      </c>
      <c r="D1020" s="16">
        <v>1</v>
      </c>
      <c r="E1020" s="16" t="s">
        <v>980</v>
      </c>
      <c r="F1020" s="16" t="s">
        <v>1192</v>
      </c>
      <c r="G1020" s="16" t="s">
        <v>158</v>
      </c>
      <c r="H1020" s="16" t="s">
        <v>141</v>
      </c>
      <c r="I1020" s="22" t="s">
        <v>856</v>
      </c>
      <c r="J1020" s="16">
        <f>IFERROR(INDEX(Aux_HH!$J$4:$J$31,MATCH($H1020&amp;"|"&amp;$I1020,Aux_HH!$A$4:$A$31,0)),"")</f>
        <v>2</v>
      </c>
      <c r="K1020" s="16" t="s">
        <v>76</v>
      </c>
      <c r="L1020" s="16" t="str">
        <f>IF(COUNTIFS(Pessoas!$C$5:$C$44,$K1020,Pessoas!$G$5:$G$44,"Ativo")=0,"Equipe "&amp;$K1020,INDEX(Pessoas!$A$5:$A$44,_xludf.aggregate(15,6,(ROW(Pessoas!$A$5:$A$44)-4)/((Pessoas!$C$5:$C$44=$K1020)*(Pessoas!$G$5:$G$44="Ativo")),MOD(ROW()-6,MAX(1,COUNTIFS(Pessoas!$C$5:$C$44,$K1020,Pessoas!$G$5:$G$44,"Ativo")))+1)))</f>
        <v>Equipe Oficina Mecânica Central-Taisa</v>
      </c>
    </row>
    <row r="1021" spans="1:12" ht="15" customHeight="1" x14ac:dyDescent="0.4">
      <c r="A1021" s="25">
        <v>46401</v>
      </c>
      <c r="B1021" s="16">
        <v>20</v>
      </c>
      <c r="C1021" s="16">
        <v>2</v>
      </c>
      <c r="D1021" s="16">
        <v>1</v>
      </c>
      <c r="E1021" s="16" t="s">
        <v>980</v>
      </c>
      <c r="F1021" s="16" t="s">
        <v>1193</v>
      </c>
      <c r="G1021" s="16" t="s">
        <v>158</v>
      </c>
      <c r="H1021" s="16" t="s">
        <v>141</v>
      </c>
      <c r="I1021" s="22" t="s">
        <v>856</v>
      </c>
      <c r="J1021" s="16">
        <f>IFERROR(INDEX(Aux_HH!$J$4:$J$31,MATCH($H1021&amp;"|"&amp;$I1021,Aux_HH!$A$4:$A$31,0)),"")</f>
        <v>2</v>
      </c>
      <c r="K1021" s="16" t="s">
        <v>76</v>
      </c>
      <c r="L1021" s="16" t="str">
        <f>IF(COUNTIFS(Pessoas!$C$5:$C$44,$K1021,Pessoas!$G$5:$G$44,"Ativo")=0,"Equipe "&amp;$K1021,INDEX(Pessoas!$A$5:$A$44,_xludf.aggregate(15,6,(ROW(Pessoas!$A$5:$A$44)-4)/((Pessoas!$C$5:$C$44=$K1021)*(Pessoas!$G$5:$G$44="Ativo")),MOD(ROW()-6,MAX(1,COUNTIFS(Pessoas!$C$5:$C$44,$K1021,Pessoas!$G$5:$G$44,"Ativo")))+1)))</f>
        <v>Equipe Oficina Mecânica Central-Taisa</v>
      </c>
    </row>
    <row r="1022" spans="1:12" ht="15" customHeight="1" x14ac:dyDescent="0.4">
      <c r="A1022" s="25">
        <v>46401</v>
      </c>
      <c r="B1022" s="16">
        <v>20</v>
      </c>
      <c r="C1022" s="16">
        <v>2</v>
      </c>
      <c r="D1022" s="16">
        <v>1</v>
      </c>
      <c r="E1022" s="16" t="s">
        <v>980</v>
      </c>
      <c r="F1022" s="16" t="s">
        <v>1194</v>
      </c>
      <c r="G1022" s="16" t="s">
        <v>184</v>
      </c>
      <c r="H1022" s="16" t="s">
        <v>141</v>
      </c>
      <c r="I1022" s="22" t="s">
        <v>856</v>
      </c>
      <c r="J1022" s="16">
        <f>IFERROR(INDEX(Aux_HH!$J$4:$J$31,MATCH($H1022&amp;"|"&amp;$I1022,Aux_HH!$A$4:$A$31,0)),"")</f>
        <v>2</v>
      </c>
      <c r="K1022" s="16" t="s">
        <v>76</v>
      </c>
      <c r="L1022" s="16" t="str">
        <f>IF(COUNTIFS(Pessoas!$C$5:$C$44,$K1022,Pessoas!$G$5:$G$44,"Ativo")=0,"Equipe "&amp;$K1022,INDEX(Pessoas!$A$5:$A$44,_xludf.aggregate(15,6,(ROW(Pessoas!$A$5:$A$44)-4)/((Pessoas!$C$5:$C$44=$K1022)*(Pessoas!$G$5:$G$44="Ativo")),MOD(ROW()-6,MAX(1,COUNTIFS(Pessoas!$C$5:$C$44,$K1022,Pessoas!$G$5:$G$44,"Ativo")))+1)))</f>
        <v>Equipe Oficina Mecânica Central-Taisa</v>
      </c>
    </row>
    <row r="1023" spans="1:12" ht="15" customHeight="1" x14ac:dyDescent="0.4">
      <c r="A1023" s="25">
        <v>46401</v>
      </c>
      <c r="B1023" s="16">
        <v>20</v>
      </c>
      <c r="C1023" s="16">
        <v>2</v>
      </c>
      <c r="D1023" s="16">
        <v>1</v>
      </c>
      <c r="E1023" s="16" t="s">
        <v>980</v>
      </c>
      <c r="F1023" s="16" t="s">
        <v>1195</v>
      </c>
      <c r="G1023" s="16" t="s">
        <v>184</v>
      </c>
      <c r="H1023" s="16" t="s">
        <v>141</v>
      </c>
      <c r="I1023" s="22" t="s">
        <v>856</v>
      </c>
      <c r="J1023" s="16">
        <f>IFERROR(INDEX(Aux_HH!$J$4:$J$31,MATCH($H1023&amp;"|"&amp;$I1023,Aux_HH!$A$4:$A$31,0)),"")</f>
        <v>2</v>
      </c>
      <c r="K1023" s="16" t="s">
        <v>76</v>
      </c>
      <c r="L1023" s="16" t="str">
        <f>IF(COUNTIFS(Pessoas!$C$5:$C$44,$K1023,Pessoas!$G$5:$G$44,"Ativo")=0,"Equipe "&amp;$K1023,INDEX(Pessoas!$A$5:$A$44,_xludf.aggregate(15,6,(ROW(Pessoas!$A$5:$A$44)-4)/((Pessoas!$C$5:$C$44=$K1023)*(Pessoas!$G$5:$G$44="Ativo")),MOD(ROW()-6,MAX(1,COUNTIFS(Pessoas!$C$5:$C$44,$K1023,Pessoas!$G$5:$G$44,"Ativo")))+1)))</f>
        <v>Equipe Oficina Mecânica Central-Taisa</v>
      </c>
    </row>
    <row r="1024" spans="1:12" ht="15" customHeight="1" x14ac:dyDescent="0.4">
      <c r="A1024" s="25">
        <v>46401</v>
      </c>
      <c r="B1024" s="16">
        <v>20</v>
      </c>
      <c r="C1024" s="16">
        <v>2</v>
      </c>
      <c r="D1024" s="16">
        <v>1</v>
      </c>
      <c r="E1024" s="16" t="s">
        <v>980</v>
      </c>
      <c r="F1024" s="16" t="s">
        <v>1196</v>
      </c>
      <c r="G1024" s="16" t="s">
        <v>184</v>
      </c>
      <c r="H1024" s="16" t="s">
        <v>141</v>
      </c>
      <c r="I1024" s="22" t="s">
        <v>856</v>
      </c>
      <c r="J1024" s="16">
        <f>IFERROR(INDEX(Aux_HH!$J$4:$J$31,MATCH($H1024&amp;"|"&amp;$I1024,Aux_HH!$A$4:$A$31,0)),"")</f>
        <v>2</v>
      </c>
      <c r="K1024" s="16" t="s">
        <v>76</v>
      </c>
      <c r="L1024" s="16" t="str">
        <f>IF(COUNTIFS(Pessoas!$C$5:$C$44,$K1024,Pessoas!$G$5:$G$44,"Ativo")=0,"Equipe "&amp;$K1024,INDEX(Pessoas!$A$5:$A$44,_xludf.aggregate(15,6,(ROW(Pessoas!$A$5:$A$44)-4)/((Pessoas!$C$5:$C$44=$K1024)*(Pessoas!$G$5:$G$44="Ativo")),MOD(ROW()-6,MAX(1,COUNTIFS(Pessoas!$C$5:$C$44,$K1024,Pessoas!$G$5:$G$44,"Ativo")))+1)))</f>
        <v>Equipe Oficina Mecânica Central-Taisa</v>
      </c>
    </row>
    <row r="1025" spans="1:12" ht="15" customHeight="1" x14ac:dyDescent="0.4">
      <c r="A1025" s="25">
        <v>46401</v>
      </c>
      <c r="B1025" s="16">
        <v>20</v>
      </c>
      <c r="C1025" s="16">
        <v>2</v>
      </c>
      <c r="D1025" s="16">
        <v>1</v>
      </c>
      <c r="E1025" s="16" t="s">
        <v>980</v>
      </c>
      <c r="F1025" s="16" t="s">
        <v>1197</v>
      </c>
      <c r="G1025" s="16" t="s">
        <v>184</v>
      </c>
      <c r="H1025" s="16" t="s">
        <v>141</v>
      </c>
      <c r="I1025" s="22" t="s">
        <v>856</v>
      </c>
      <c r="J1025" s="16">
        <f>IFERROR(INDEX(Aux_HH!$J$4:$J$31,MATCH($H1025&amp;"|"&amp;$I1025,Aux_HH!$A$4:$A$31,0)),"")</f>
        <v>2</v>
      </c>
      <c r="K1025" s="16" t="s">
        <v>76</v>
      </c>
      <c r="L1025" s="16" t="str">
        <f>IF(COUNTIFS(Pessoas!$C$5:$C$44,$K1025,Pessoas!$G$5:$G$44,"Ativo")=0,"Equipe "&amp;$K1025,INDEX(Pessoas!$A$5:$A$44,_xludf.aggregate(15,6,(ROW(Pessoas!$A$5:$A$44)-4)/((Pessoas!$C$5:$C$44=$K1025)*(Pessoas!$G$5:$G$44="Ativo")),MOD(ROW()-6,MAX(1,COUNTIFS(Pessoas!$C$5:$C$44,$K1025,Pessoas!$G$5:$G$44,"Ativo")))+1)))</f>
        <v>Equipe Oficina Mecânica Central-Taisa</v>
      </c>
    </row>
    <row r="1026" spans="1:12" ht="15" customHeight="1" x14ac:dyDescent="0.4">
      <c r="A1026" s="25">
        <v>46401</v>
      </c>
      <c r="B1026" s="16">
        <v>20</v>
      </c>
      <c r="C1026" s="16">
        <v>2</v>
      </c>
      <c r="D1026" s="16">
        <v>1</v>
      </c>
      <c r="E1026" s="16" t="s">
        <v>980</v>
      </c>
      <c r="F1026" s="16" t="s">
        <v>1198</v>
      </c>
      <c r="G1026" s="16" t="s">
        <v>184</v>
      </c>
      <c r="H1026" s="16" t="s">
        <v>141</v>
      </c>
      <c r="I1026" s="22" t="s">
        <v>856</v>
      </c>
      <c r="J1026" s="16">
        <f>IFERROR(INDEX(Aux_HH!$J$4:$J$31,MATCH($H1026&amp;"|"&amp;$I1026,Aux_HH!$A$4:$A$31,0)),"")</f>
        <v>2</v>
      </c>
      <c r="K1026" s="16" t="s">
        <v>76</v>
      </c>
      <c r="L1026" s="16" t="str">
        <f>IF(COUNTIFS(Pessoas!$C$5:$C$44,$K1026,Pessoas!$G$5:$G$44,"Ativo")=0,"Equipe "&amp;$K1026,INDEX(Pessoas!$A$5:$A$44,_xludf.aggregate(15,6,(ROW(Pessoas!$A$5:$A$44)-4)/((Pessoas!$C$5:$C$44=$K1026)*(Pessoas!$G$5:$G$44="Ativo")),MOD(ROW()-6,MAX(1,COUNTIFS(Pessoas!$C$5:$C$44,$K1026,Pessoas!$G$5:$G$44,"Ativo")))+1)))</f>
        <v>Equipe Oficina Mecânica Central-Taisa</v>
      </c>
    </row>
    <row r="1027" spans="1:12" ht="15" customHeight="1" x14ac:dyDescent="0.4">
      <c r="A1027" s="25">
        <v>46401</v>
      </c>
      <c r="B1027" s="16">
        <v>20</v>
      </c>
      <c r="C1027" s="16">
        <v>2</v>
      </c>
      <c r="D1027" s="16">
        <v>1</v>
      </c>
      <c r="E1027" s="16" t="s">
        <v>980</v>
      </c>
      <c r="F1027" s="16" t="s">
        <v>1199</v>
      </c>
      <c r="G1027" s="16" t="s">
        <v>184</v>
      </c>
      <c r="H1027" s="16" t="s">
        <v>141</v>
      </c>
      <c r="I1027" s="22" t="s">
        <v>856</v>
      </c>
      <c r="J1027" s="16">
        <f>IFERROR(INDEX(Aux_HH!$J$4:$J$31,MATCH($H1027&amp;"|"&amp;$I1027,Aux_HH!$A$4:$A$31,0)),"")</f>
        <v>2</v>
      </c>
      <c r="K1027" s="16" t="s">
        <v>76</v>
      </c>
      <c r="L1027" s="16" t="str">
        <f>IF(COUNTIFS(Pessoas!$C$5:$C$44,$K1027,Pessoas!$G$5:$G$44,"Ativo")=0,"Equipe "&amp;$K1027,INDEX(Pessoas!$A$5:$A$44,_xludf.aggregate(15,6,(ROW(Pessoas!$A$5:$A$44)-4)/((Pessoas!$C$5:$C$44=$K1027)*(Pessoas!$G$5:$G$44="Ativo")),MOD(ROW()-6,MAX(1,COUNTIFS(Pessoas!$C$5:$C$44,$K1027,Pessoas!$G$5:$G$44,"Ativo")))+1)))</f>
        <v>Equipe Oficina Mecânica Central-Taisa</v>
      </c>
    </row>
    <row r="1028" spans="1:12" ht="15" customHeight="1" x14ac:dyDescent="0.4">
      <c r="A1028" s="25">
        <v>46401</v>
      </c>
      <c r="B1028" s="16">
        <v>20</v>
      </c>
      <c r="C1028" s="16">
        <v>2</v>
      </c>
      <c r="D1028" s="16">
        <v>1</v>
      </c>
      <c r="E1028" s="16" t="s">
        <v>980</v>
      </c>
      <c r="F1028" s="16" t="s">
        <v>1200</v>
      </c>
      <c r="G1028" s="16" t="s">
        <v>184</v>
      </c>
      <c r="H1028" s="16" t="s">
        <v>141</v>
      </c>
      <c r="I1028" s="22" t="s">
        <v>856</v>
      </c>
      <c r="J1028" s="16">
        <f>IFERROR(INDEX(Aux_HH!$J$4:$J$31,MATCH($H1028&amp;"|"&amp;$I1028,Aux_HH!$A$4:$A$31,0)),"")</f>
        <v>2</v>
      </c>
      <c r="K1028" s="16" t="s">
        <v>76</v>
      </c>
      <c r="L1028" s="16" t="str">
        <f>IF(COUNTIFS(Pessoas!$C$5:$C$44,$K1028,Pessoas!$G$5:$G$44,"Ativo")=0,"Equipe "&amp;$K1028,INDEX(Pessoas!$A$5:$A$44,_xludf.aggregate(15,6,(ROW(Pessoas!$A$5:$A$44)-4)/((Pessoas!$C$5:$C$44=$K1028)*(Pessoas!$G$5:$G$44="Ativo")),MOD(ROW()-6,MAX(1,COUNTIFS(Pessoas!$C$5:$C$44,$K1028,Pessoas!$G$5:$G$44,"Ativo")))+1)))</f>
        <v>Equipe Oficina Mecânica Central-Taisa</v>
      </c>
    </row>
    <row r="1029" spans="1:12" ht="15" customHeight="1" x14ac:dyDescent="0.4">
      <c r="A1029" s="25">
        <v>46401</v>
      </c>
      <c r="B1029" s="16">
        <v>20</v>
      </c>
      <c r="C1029" s="16">
        <v>2</v>
      </c>
      <c r="D1029" s="16">
        <v>1</v>
      </c>
      <c r="E1029" s="16" t="s">
        <v>980</v>
      </c>
      <c r="F1029" s="16" t="s">
        <v>1201</v>
      </c>
      <c r="G1029" s="16" t="s">
        <v>184</v>
      </c>
      <c r="H1029" s="16" t="s">
        <v>141</v>
      </c>
      <c r="I1029" s="22" t="s">
        <v>856</v>
      </c>
      <c r="J1029" s="16">
        <f>IFERROR(INDEX(Aux_HH!$J$4:$J$31,MATCH($H1029&amp;"|"&amp;$I1029,Aux_HH!$A$4:$A$31,0)),"")</f>
        <v>2</v>
      </c>
      <c r="K1029" s="16" t="s">
        <v>76</v>
      </c>
      <c r="L1029" s="16" t="str">
        <f>IF(COUNTIFS(Pessoas!$C$5:$C$44,$K1029,Pessoas!$G$5:$G$44,"Ativo")=0,"Equipe "&amp;$K1029,INDEX(Pessoas!$A$5:$A$44,_xludf.aggregate(15,6,(ROW(Pessoas!$A$5:$A$44)-4)/((Pessoas!$C$5:$C$44=$K1029)*(Pessoas!$G$5:$G$44="Ativo")),MOD(ROW()-6,MAX(1,COUNTIFS(Pessoas!$C$5:$C$44,$K1029,Pessoas!$G$5:$G$44,"Ativo")))+1)))</f>
        <v>Equipe Oficina Mecânica Central-Taisa</v>
      </c>
    </row>
    <row r="1030" spans="1:12" ht="15" customHeight="1" x14ac:dyDescent="0.4">
      <c r="A1030" s="25">
        <v>46401</v>
      </c>
      <c r="B1030" s="16">
        <v>20</v>
      </c>
      <c r="C1030" s="16">
        <v>2</v>
      </c>
      <c r="D1030" s="16">
        <v>1</v>
      </c>
      <c r="E1030" s="16" t="s">
        <v>980</v>
      </c>
      <c r="F1030" s="16" t="s">
        <v>1202</v>
      </c>
      <c r="G1030" s="16" t="s">
        <v>184</v>
      </c>
      <c r="H1030" s="16" t="s">
        <v>141</v>
      </c>
      <c r="I1030" s="22" t="s">
        <v>856</v>
      </c>
      <c r="J1030" s="16">
        <f>IFERROR(INDEX(Aux_HH!$J$4:$J$31,MATCH($H1030&amp;"|"&amp;$I1030,Aux_HH!$A$4:$A$31,0)),"")</f>
        <v>2</v>
      </c>
      <c r="K1030" s="16" t="s">
        <v>76</v>
      </c>
      <c r="L1030" s="16" t="str">
        <f>IF(COUNTIFS(Pessoas!$C$5:$C$44,$K1030,Pessoas!$G$5:$G$44,"Ativo")=0,"Equipe "&amp;$K1030,INDEX(Pessoas!$A$5:$A$44,_xludf.aggregate(15,6,(ROW(Pessoas!$A$5:$A$44)-4)/((Pessoas!$C$5:$C$44=$K1030)*(Pessoas!$G$5:$G$44="Ativo")),MOD(ROW()-6,MAX(1,COUNTIFS(Pessoas!$C$5:$C$44,$K1030,Pessoas!$G$5:$G$44,"Ativo")))+1)))</f>
        <v>Equipe Oficina Mecânica Central-Taisa</v>
      </c>
    </row>
    <row r="1031" spans="1:12" ht="15" customHeight="1" x14ac:dyDescent="0.4">
      <c r="A1031" s="25">
        <v>46401</v>
      </c>
      <c r="B1031" s="16">
        <v>20</v>
      </c>
      <c r="C1031" s="16">
        <v>2</v>
      </c>
      <c r="D1031" s="16">
        <v>1</v>
      </c>
      <c r="E1031" s="16" t="s">
        <v>980</v>
      </c>
      <c r="F1031" s="16" t="s">
        <v>1203</v>
      </c>
      <c r="G1031" s="16" t="s">
        <v>184</v>
      </c>
      <c r="H1031" s="16" t="s">
        <v>141</v>
      </c>
      <c r="I1031" s="22" t="s">
        <v>856</v>
      </c>
      <c r="J1031" s="16">
        <f>IFERROR(INDEX(Aux_HH!$J$4:$J$31,MATCH($H1031&amp;"|"&amp;$I1031,Aux_HH!$A$4:$A$31,0)),"")</f>
        <v>2</v>
      </c>
      <c r="K1031" s="16" t="s">
        <v>76</v>
      </c>
      <c r="L1031" s="16" t="str">
        <f>IF(COUNTIFS(Pessoas!$C$5:$C$44,$K1031,Pessoas!$G$5:$G$44,"Ativo")=0,"Equipe "&amp;$K1031,INDEX(Pessoas!$A$5:$A$44,_xludf.aggregate(15,6,(ROW(Pessoas!$A$5:$A$44)-4)/((Pessoas!$C$5:$C$44=$K1031)*(Pessoas!$G$5:$G$44="Ativo")),MOD(ROW()-6,MAX(1,COUNTIFS(Pessoas!$C$5:$C$44,$K1031,Pessoas!$G$5:$G$44,"Ativo")))+1)))</f>
        <v>Equipe Oficina Mecânica Central-Taisa</v>
      </c>
    </row>
    <row r="1032" spans="1:12" ht="15" customHeight="1" x14ac:dyDescent="0.4">
      <c r="A1032" s="25">
        <v>46401</v>
      </c>
      <c r="B1032" s="16">
        <v>20</v>
      </c>
      <c r="C1032" s="16">
        <v>2</v>
      </c>
      <c r="D1032" s="16">
        <v>1</v>
      </c>
      <c r="E1032" s="16" t="s">
        <v>980</v>
      </c>
      <c r="F1032" s="16" t="s">
        <v>1204</v>
      </c>
      <c r="G1032" s="16" t="s">
        <v>184</v>
      </c>
      <c r="H1032" s="16" t="s">
        <v>141</v>
      </c>
      <c r="I1032" s="22" t="s">
        <v>856</v>
      </c>
      <c r="J1032" s="16">
        <f>IFERROR(INDEX(Aux_HH!$J$4:$J$31,MATCH($H1032&amp;"|"&amp;$I1032,Aux_HH!$A$4:$A$31,0)),"")</f>
        <v>2</v>
      </c>
      <c r="K1032" s="16" t="s">
        <v>76</v>
      </c>
      <c r="L1032" s="16" t="str">
        <f>IF(COUNTIFS(Pessoas!$C$5:$C$44,$K1032,Pessoas!$G$5:$G$44,"Ativo")=0,"Equipe "&amp;$K1032,INDEX(Pessoas!$A$5:$A$44,_xludf.aggregate(15,6,(ROW(Pessoas!$A$5:$A$44)-4)/((Pessoas!$C$5:$C$44=$K1032)*(Pessoas!$G$5:$G$44="Ativo")),MOD(ROW()-6,MAX(1,COUNTIFS(Pessoas!$C$5:$C$44,$K1032,Pessoas!$G$5:$G$44,"Ativo")))+1)))</f>
        <v>Equipe Oficina Mecânica Central-Taisa</v>
      </c>
    </row>
    <row r="1033" spans="1:12" ht="15" customHeight="1" x14ac:dyDescent="0.4">
      <c r="A1033" s="25">
        <v>46401</v>
      </c>
      <c r="B1033" s="16">
        <v>20</v>
      </c>
      <c r="C1033" s="16">
        <v>2</v>
      </c>
      <c r="D1033" s="16">
        <v>1</v>
      </c>
      <c r="E1033" s="16" t="s">
        <v>980</v>
      </c>
      <c r="F1033" s="16" t="s">
        <v>996</v>
      </c>
      <c r="G1033" s="16" t="s">
        <v>688</v>
      </c>
      <c r="H1033" s="16" t="s">
        <v>145</v>
      </c>
      <c r="I1033" s="22" t="s">
        <v>861</v>
      </c>
      <c r="J1033" s="16">
        <f>IFERROR(INDEX(Aux_HH!$J$4:$J$31,MATCH($H1033&amp;"|"&amp;$I1033,Aux_HH!$A$4:$A$31,0)),"")</f>
        <v>4</v>
      </c>
      <c r="K1033" s="16" t="s">
        <v>76</v>
      </c>
      <c r="L1033" s="16" t="str">
        <f>IF(COUNTIFS(Pessoas!$C$5:$C$44,$K1033,Pessoas!$G$5:$G$44,"Ativo")=0,"Equipe "&amp;$K1033,INDEX(Pessoas!$A$5:$A$44,_xludf.aggregate(15,6,(ROW(Pessoas!$A$5:$A$44)-4)/((Pessoas!$C$5:$C$44=$K1033)*(Pessoas!$G$5:$G$44="Ativo")),MOD(ROW()-6,MAX(1,COUNTIFS(Pessoas!$C$5:$C$44,$K1033,Pessoas!$G$5:$G$44,"Ativo")))+1)))</f>
        <v>Equipe Oficina Mecânica Central-Taisa</v>
      </c>
    </row>
    <row r="1034" spans="1:12" ht="15" customHeight="1" x14ac:dyDescent="0.4">
      <c r="A1034" s="25">
        <v>46401</v>
      </c>
      <c r="B1034" s="16">
        <v>20</v>
      </c>
      <c r="C1034" s="16">
        <v>2</v>
      </c>
      <c r="D1034" s="16">
        <v>1</v>
      </c>
      <c r="E1034" s="16" t="s">
        <v>980</v>
      </c>
      <c r="F1034" s="16" t="s">
        <v>997</v>
      </c>
      <c r="G1034" s="16" t="s">
        <v>688</v>
      </c>
      <c r="H1034" s="16" t="s">
        <v>145</v>
      </c>
      <c r="I1034" s="22" t="s">
        <v>861</v>
      </c>
      <c r="J1034" s="16">
        <f>IFERROR(INDEX(Aux_HH!$J$4:$J$31,MATCH($H1034&amp;"|"&amp;$I1034,Aux_HH!$A$4:$A$31,0)),"")</f>
        <v>4</v>
      </c>
      <c r="K1034" s="16" t="s">
        <v>76</v>
      </c>
      <c r="L1034" s="16" t="str">
        <f>IF(COUNTIFS(Pessoas!$C$5:$C$44,$K1034,Pessoas!$G$5:$G$44,"Ativo")=0,"Equipe "&amp;$K1034,INDEX(Pessoas!$A$5:$A$44,_xludf.aggregate(15,6,(ROW(Pessoas!$A$5:$A$44)-4)/((Pessoas!$C$5:$C$44=$K1034)*(Pessoas!$G$5:$G$44="Ativo")),MOD(ROW()-6,MAX(1,COUNTIFS(Pessoas!$C$5:$C$44,$K1034,Pessoas!$G$5:$G$44,"Ativo")))+1)))</f>
        <v>Equipe Oficina Mecânica Central-Taisa</v>
      </c>
    </row>
    <row r="1035" spans="1:12" ht="15" customHeight="1" x14ac:dyDescent="0.4">
      <c r="A1035" s="25">
        <v>46401</v>
      </c>
      <c r="B1035" s="16">
        <v>20</v>
      </c>
      <c r="C1035" s="16">
        <v>2</v>
      </c>
      <c r="D1035" s="16">
        <v>1</v>
      </c>
      <c r="E1035" s="16" t="s">
        <v>980</v>
      </c>
      <c r="F1035" s="16" t="s">
        <v>1209</v>
      </c>
      <c r="G1035" s="16" t="s">
        <v>158</v>
      </c>
      <c r="H1035" s="16" t="s">
        <v>141</v>
      </c>
      <c r="I1035" s="22" t="s">
        <v>856</v>
      </c>
      <c r="J1035" s="16">
        <f>IFERROR(INDEX(Aux_HH!$J$4:$J$31,MATCH($H1035&amp;"|"&amp;$I1035,Aux_HH!$A$4:$A$31,0)),"")</f>
        <v>2</v>
      </c>
      <c r="K1035" s="16" t="s">
        <v>76</v>
      </c>
      <c r="L1035" s="16" t="str">
        <f>IF(COUNTIFS(Pessoas!$C$5:$C$44,$K1035,Pessoas!$G$5:$G$44,"Ativo")=0,"Equipe "&amp;$K1035,INDEX(Pessoas!$A$5:$A$44,_xludf.aggregate(15,6,(ROW(Pessoas!$A$5:$A$44)-4)/((Pessoas!$C$5:$C$44=$K1035)*(Pessoas!$G$5:$G$44="Ativo")),MOD(ROW()-6,MAX(1,COUNTIFS(Pessoas!$C$5:$C$44,$K1035,Pessoas!$G$5:$G$44,"Ativo")))+1)))</f>
        <v>Equipe Oficina Mecânica Central-Taisa</v>
      </c>
    </row>
    <row r="1036" spans="1:12" ht="15" customHeight="1" x14ac:dyDescent="0.4">
      <c r="A1036" s="25">
        <v>46402</v>
      </c>
      <c r="B1036" s="16">
        <v>20</v>
      </c>
      <c r="C1036" s="16">
        <v>2</v>
      </c>
      <c r="D1036" s="16">
        <v>1</v>
      </c>
      <c r="E1036" s="16" t="s">
        <v>980</v>
      </c>
      <c r="F1036" s="16" t="s">
        <v>988</v>
      </c>
      <c r="G1036" s="16" t="s">
        <v>184</v>
      </c>
      <c r="H1036" s="16" t="s">
        <v>138</v>
      </c>
      <c r="I1036" s="22" t="s">
        <v>867</v>
      </c>
      <c r="J1036" s="16">
        <f>IFERROR(INDEX(Aux_HH!$J$4:$J$31,MATCH($H1036&amp;"|"&amp;$I1036,Aux_HH!$A$4:$A$31,0)),"")</f>
        <v>24</v>
      </c>
      <c r="K1036" s="16" t="s">
        <v>76</v>
      </c>
      <c r="L1036" s="16" t="str">
        <f>IF(COUNTIFS(Pessoas!$C$5:$C$44,$K1036,Pessoas!$G$5:$G$44,"Ativo")=0,"Equipe "&amp;$K1036,INDEX(Pessoas!$A$5:$A$44,_xludf.aggregate(15,6,(ROW(Pessoas!$A$5:$A$44)-4)/((Pessoas!$C$5:$C$44=$K1036)*(Pessoas!$G$5:$G$44="Ativo")),MOD(ROW()-6,MAX(1,COUNTIFS(Pessoas!$C$5:$C$44,$K1036,Pessoas!$G$5:$G$44,"Ativo")))+1)))</f>
        <v>Equipe Oficina Mecânica Central-Taisa</v>
      </c>
    </row>
    <row r="1037" spans="1:12" ht="15" customHeight="1" x14ac:dyDescent="0.4">
      <c r="A1037" s="25">
        <v>46402</v>
      </c>
      <c r="B1037" s="16">
        <v>20</v>
      </c>
      <c r="C1037" s="16">
        <v>2</v>
      </c>
      <c r="D1037" s="16">
        <v>1</v>
      </c>
      <c r="E1037" s="16" t="s">
        <v>980</v>
      </c>
      <c r="F1037" s="16" t="s">
        <v>990</v>
      </c>
      <c r="G1037" s="16" t="s">
        <v>526</v>
      </c>
      <c r="H1037" s="16" t="s">
        <v>138</v>
      </c>
      <c r="I1037" s="22" t="s">
        <v>867</v>
      </c>
      <c r="J1037" s="16">
        <f>IFERROR(INDEX(Aux_HH!$J$4:$J$31,MATCH($H1037&amp;"|"&amp;$I1037,Aux_HH!$A$4:$A$31,0)),"")</f>
        <v>24</v>
      </c>
      <c r="K1037" s="16" t="s">
        <v>76</v>
      </c>
      <c r="L1037" s="16" t="str">
        <f>IF(COUNTIFS(Pessoas!$C$5:$C$44,$K1037,Pessoas!$G$5:$G$44,"Ativo")=0,"Equipe "&amp;$K1037,INDEX(Pessoas!$A$5:$A$44,_xludf.aggregate(15,6,(ROW(Pessoas!$A$5:$A$44)-4)/((Pessoas!$C$5:$C$44=$K1037)*(Pessoas!$G$5:$G$44="Ativo")),MOD(ROW()-6,MAX(1,COUNTIFS(Pessoas!$C$5:$C$44,$K1037,Pessoas!$G$5:$G$44,"Ativo")))+1)))</f>
        <v>Equipe Oficina Mecânica Central-Taisa</v>
      </c>
    </row>
    <row r="1038" spans="1:12" ht="15" customHeight="1" x14ac:dyDescent="0.4">
      <c r="A1038" s="25">
        <v>46402</v>
      </c>
      <c r="B1038" s="16">
        <v>20</v>
      </c>
      <c r="C1038" s="16">
        <v>2</v>
      </c>
      <c r="D1038" s="16">
        <v>1</v>
      </c>
      <c r="E1038" s="16" t="s">
        <v>980</v>
      </c>
      <c r="F1038" s="16" t="s">
        <v>1228</v>
      </c>
      <c r="G1038" s="16" t="s">
        <v>158</v>
      </c>
      <c r="H1038" s="16" t="s">
        <v>141</v>
      </c>
      <c r="I1038" s="22" t="s">
        <v>856</v>
      </c>
      <c r="J1038" s="16">
        <f>IFERROR(INDEX(Aux_HH!$J$4:$J$31,MATCH($H1038&amp;"|"&amp;$I1038,Aux_HH!$A$4:$A$31,0)),"")</f>
        <v>2</v>
      </c>
      <c r="K1038" s="16" t="s">
        <v>76</v>
      </c>
      <c r="L1038" s="16" t="str">
        <f>IF(COUNTIFS(Pessoas!$C$5:$C$44,$K1038,Pessoas!$G$5:$G$44,"Ativo")=0,"Equipe "&amp;$K1038,INDEX(Pessoas!$A$5:$A$44,_xludf.aggregate(15,6,(ROW(Pessoas!$A$5:$A$44)-4)/((Pessoas!$C$5:$C$44=$K1038)*(Pessoas!$G$5:$G$44="Ativo")),MOD(ROW()-6,MAX(1,COUNTIFS(Pessoas!$C$5:$C$44,$K1038,Pessoas!$G$5:$G$44,"Ativo")))+1)))</f>
        <v>Equipe Oficina Mecânica Central-Taisa</v>
      </c>
    </row>
    <row r="1039" spans="1:12" ht="15" customHeight="1" x14ac:dyDescent="0.4">
      <c r="A1039" s="25">
        <v>46402</v>
      </c>
      <c r="B1039" s="16">
        <v>20</v>
      </c>
      <c r="C1039" s="16">
        <v>2</v>
      </c>
      <c r="D1039" s="16">
        <v>1</v>
      </c>
      <c r="E1039" s="16" t="s">
        <v>980</v>
      </c>
      <c r="F1039" s="16" t="s">
        <v>1229</v>
      </c>
      <c r="G1039" s="16" t="s">
        <v>158</v>
      </c>
      <c r="H1039" s="16" t="s">
        <v>141</v>
      </c>
      <c r="I1039" s="22" t="s">
        <v>856</v>
      </c>
      <c r="J1039" s="16">
        <f>IFERROR(INDEX(Aux_HH!$J$4:$J$31,MATCH($H1039&amp;"|"&amp;$I1039,Aux_HH!$A$4:$A$31,0)),"")</f>
        <v>2</v>
      </c>
      <c r="K1039" s="16" t="s">
        <v>76</v>
      </c>
      <c r="L1039" s="16" t="str">
        <f>IF(COUNTIFS(Pessoas!$C$5:$C$44,$K1039,Pessoas!$G$5:$G$44,"Ativo")=0,"Equipe "&amp;$K1039,INDEX(Pessoas!$A$5:$A$44,_xludf.aggregate(15,6,(ROW(Pessoas!$A$5:$A$44)-4)/((Pessoas!$C$5:$C$44=$K1039)*(Pessoas!$G$5:$G$44="Ativo")),MOD(ROW()-6,MAX(1,COUNTIFS(Pessoas!$C$5:$C$44,$K1039,Pessoas!$G$5:$G$44,"Ativo")))+1)))</f>
        <v>Equipe Oficina Mecânica Central-Taisa</v>
      </c>
    </row>
    <row r="1040" spans="1:12" ht="15" customHeight="1" x14ac:dyDescent="0.4">
      <c r="A1040" s="25">
        <v>46402</v>
      </c>
      <c r="B1040" s="16">
        <v>20</v>
      </c>
      <c r="C1040" s="16">
        <v>2</v>
      </c>
      <c r="D1040" s="16">
        <v>1</v>
      </c>
      <c r="E1040" s="16" t="s">
        <v>980</v>
      </c>
      <c r="F1040" s="16" t="s">
        <v>1230</v>
      </c>
      <c r="G1040" s="16" t="s">
        <v>158</v>
      </c>
      <c r="H1040" s="16" t="s">
        <v>141</v>
      </c>
      <c r="I1040" s="22" t="s">
        <v>856</v>
      </c>
      <c r="J1040" s="16">
        <f>IFERROR(INDEX(Aux_HH!$J$4:$J$31,MATCH($H1040&amp;"|"&amp;$I1040,Aux_HH!$A$4:$A$31,0)),"")</f>
        <v>2</v>
      </c>
      <c r="K1040" s="16" t="s">
        <v>76</v>
      </c>
      <c r="L1040" s="16" t="str">
        <f>IF(COUNTIFS(Pessoas!$C$5:$C$44,$K1040,Pessoas!$G$5:$G$44,"Ativo")=0,"Equipe "&amp;$K1040,INDEX(Pessoas!$A$5:$A$44,_xludf.aggregate(15,6,(ROW(Pessoas!$A$5:$A$44)-4)/((Pessoas!$C$5:$C$44=$K1040)*(Pessoas!$G$5:$G$44="Ativo")),MOD(ROW()-6,MAX(1,COUNTIFS(Pessoas!$C$5:$C$44,$K1040,Pessoas!$G$5:$G$44,"Ativo")))+1)))</f>
        <v>Equipe Oficina Mecânica Central-Taisa</v>
      </c>
    </row>
    <row r="1041" spans="1:12" ht="15" customHeight="1" x14ac:dyDescent="0.4">
      <c r="A1041" s="25">
        <v>46402</v>
      </c>
      <c r="B1041" s="16">
        <v>20</v>
      </c>
      <c r="C1041" s="16">
        <v>2</v>
      </c>
      <c r="D1041" s="16">
        <v>1</v>
      </c>
      <c r="E1041" s="16" t="s">
        <v>980</v>
      </c>
      <c r="F1041" s="16" t="s">
        <v>1231</v>
      </c>
      <c r="G1041" s="16" t="s">
        <v>158</v>
      </c>
      <c r="H1041" s="16" t="s">
        <v>141</v>
      </c>
      <c r="I1041" s="22" t="s">
        <v>856</v>
      </c>
      <c r="J1041" s="16">
        <f>IFERROR(INDEX(Aux_HH!$J$4:$J$31,MATCH($H1041&amp;"|"&amp;$I1041,Aux_HH!$A$4:$A$31,0)),"")</f>
        <v>2</v>
      </c>
      <c r="K1041" s="16" t="s">
        <v>76</v>
      </c>
      <c r="L1041" s="16" t="str">
        <f>IF(COUNTIFS(Pessoas!$C$5:$C$44,$K1041,Pessoas!$G$5:$G$44,"Ativo")=0,"Equipe "&amp;$K1041,INDEX(Pessoas!$A$5:$A$44,_xludf.aggregate(15,6,(ROW(Pessoas!$A$5:$A$44)-4)/((Pessoas!$C$5:$C$44=$K1041)*(Pessoas!$G$5:$G$44="Ativo")),MOD(ROW()-6,MAX(1,COUNTIFS(Pessoas!$C$5:$C$44,$K1041,Pessoas!$G$5:$G$44,"Ativo")))+1)))</f>
        <v>Equipe Oficina Mecânica Central-Taisa</v>
      </c>
    </row>
    <row r="1042" spans="1:12" ht="15" customHeight="1" x14ac:dyDescent="0.4">
      <c r="A1042" s="25">
        <v>46402</v>
      </c>
      <c r="B1042" s="16">
        <v>20</v>
      </c>
      <c r="C1042" s="16">
        <v>2</v>
      </c>
      <c r="D1042" s="16">
        <v>1</v>
      </c>
      <c r="E1042" s="16" t="s">
        <v>980</v>
      </c>
      <c r="F1042" s="16" t="s">
        <v>1232</v>
      </c>
      <c r="G1042" s="16" t="s">
        <v>158</v>
      </c>
      <c r="H1042" s="16" t="s">
        <v>141</v>
      </c>
      <c r="I1042" s="22" t="s">
        <v>856</v>
      </c>
      <c r="J1042" s="16">
        <f>IFERROR(INDEX(Aux_HH!$J$4:$J$31,MATCH($H1042&amp;"|"&amp;$I1042,Aux_HH!$A$4:$A$31,0)),"")</f>
        <v>2</v>
      </c>
      <c r="K1042" s="16" t="s">
        <v>76</v>
      </c>
      <c r="L1042" s="16" t="str">
        <f>IF(COUNTIFS(Pessoas!$C$5:$C$44,$K1042,Pessoas!$G$5:$G$44,"Ativo")=0,"Equipe "&amp;$K1042,INDEX(Pessoas!$A$5:$A$44,_xludf.aggregate(15,6,(ROW(Pessoas!$A$5:$A$44)-4)/((Pessoas!$C$5:$C$44=$K1042)*(Pessoas!$G$5:$G$44="Ativo")),MOD(ROW()-6,MAX(1,COUNTIFS(Pessoas!$C$5:$C$44,$K1042,Pessoas!$G$5:$G$44,"Ativo")))+1)))</f>
        <v>Equipe Oficina Mecânica Central-Taisa</v>
      </c>
    </row>
    <row r="1043" spans="1:12" ht="15" customHeight="1" x14ac:dyDescent="0.4">
      <c r="A1043" s="25">
        <v>46402</v>
      </c>
      <c r="B1043" s="16">
        <v>20</v>
      </c>
      <c r="C1043" s="16">
        <v>2</v>
      </c>
      <c r="D1043" s="16">
        <v>1</v>
      </c>
      <c r="E1043" s="16" t="s">
        <v>980</v>
      </c>
      <c r="F1043" s="16" t="s">
        <v>1233</v>
      </c>
      <c r="G1043" s="16" t="s">
        <v>158</v>
      </c>
      <c r="H1043" s="16" t="s">
        <v>141</v>
      </c>
      <c r="I1043" s="22" t="s">
        <v>856</v>
      </c>
      <c r="J1043" s="16">
        <f>IFERROR(INDEX(Aux_HH!$J$4:$J$31,MATCH($H1043&amp;"|"&amp;$I1043,Aux_HH!$A$4:$A$31,0)),"")</f>
        <v>2</v>
      </c>
      <c r="K1043" s="16" t="s">
        <v>76</v>
      </c>
      <c r="L1043" s="16" t="str">
        <f>IF(COUNTIFS(Pessoas!$C$5:$C$44,$K1043,Pessoas!$G$5:$G$44,"Ativo")=0,"Equipe "&amp;$K1043,INDEX(Pessoas!$A$5:$A$44,_xludf.aggregate(15,6,(ROW(Pessoas!$A$5:$A$44)-4)/((Pessoas!$C$5:$C$44=$K1043)*(Pessoas!$G$5:$G$44="Ativo")),MOD(ROW()-6,MAX(1,COUNTIFS(Pessoas!$C$5:$C$44,$K1043,Pessoas!$G$5:$G$44,"Ativo")))+1)))</f>
        <v>Equipe Oficina Mecânica Central-Taisa</v>
      </c>
    </row>
    <row r="1044" spans="1:12" ht="15" customHeight="1" x14ac:dyDescent="0.4">
      <c r="A1044" s="25">
        <v>46402</v>
      </c>
      <c r="B1044" s="16">
        <v>20</v>
      </c>
      <c r="C1044" s="16">
        <v>2</v>
      </c>
      <c r="D1044" s="16">
        <v>1</v>
      </c>
      <c r="E1044" s="16" t="s">
        <v>980</v>
      </c>
      <c r="F1044" s="16" t="s">
        <v>1234</v>
      </c>
      <c r="G1044" s="16" t="s">
        <v>158</v>
      </c>
      <c r="H1044" s="16" t="s">
        <v>141</v>
      </c>
      <c r="I1044" s="22" t="s">
        <v>856</v>
      </c>
      <c r="J1044" s="16">
        <f>IFERROR(INDEX(Aux_HH!$J$4:$J$31,MATCH($H1044&amp;"|"&amp;$I1044,Aux_HH!$A$4:$A$31,0)),"")</f>
        <v>2</v>
      </c>
      <c r="K1044" s="16" t="s">
        <v>76</v>
      </c>
      <c r="L1044" s="16" t="str">
        <f>IF(COUNTIFS(Pessoas!$C$5:$C$44,$K1044,Pessoas!$G$5:$G$44,"Ativo")=0,"Equipe "&amp;$K1044,INDEX(Pessoas!$A$5:$A$44,_xludf.aggregate(15,6,(ROW(Pessoas!$A$5:$A$44)-4)/((Pessoas!$C$5:$C$44=$K1044)*(Pessoas!$G$5:$G$44="Ativo")),MOD(ROW()-6,MAX(1,COUNTIFS(Pessoas!$C$5:$C$44,$K1044,Pessoas!$G$5:$G$44,"Ativo")))+1)))</f>
        <v>Equipe Oficina Mecânica Central-Taisa</v>
      </c>
    </row>
    <row r="1045" spans="1:12" ht="15" customHeight="1" x14ac:dyDescent="0.4">
      <c r="A1045" s="25">
        <v>46402</v>
      </c>
      <c r="B1045" s="16">
        <v>20</v>
      </c>
      <c r="C1045" s="16">
        <v>2</v>
      </c>
      <c r="D1045" s="16">
        <v>1</v>
      </c>
      <c r="E1045" s="16" t="s">
        <v>980</v>
      </c>
      <c r="F1045" s="16" t="s">
        <v>1235</v>
      </c>
      <c r="G1045" s="16" t="s">
        <v>158</v>
      </c>
      <c r="H1045" s="16" t="s">
        <v>141</v>
      </c>
      <c r="I1045" s="22" t="s">
        <v>856</v>
      </c>
      <c r="J1045" s="16">
        <f>IFERROR(INDEX(Aux_HH!$J$4:$J$31,MATCH($H1045&amp;"|"&amp;$I1045,Aux_HH!$A$4:$A$31,0)),"")</f>
        <v>2</v>
      </c>
      <c r="K1045" s="16" t="s">
        <v>76</v>
      </c>
      <c r="L1045" s="16" t="str">
        <f>IF(COUNTIFS(Pessoas!$C$5:$C$44,$K1045,Pessoas!$G$5:$G$44,"Ativo")=0,"Equipe "&amp;$K1045,INDEX(Pessoas!$A$5:$A$44,_xludf.aggregate(15,6,(ROW(Pessoas!$A$5:$A$44)-4)/((Pessoas!$C$5:$C$44=$K1045)*(Pessoas!$G$5:$G$44="Ativo")),MOD(ROW()-6,MAX(1,COUNTIFS(Pessoas!$C$5:$C$44,$K1045,Pessoas!$G$5:$G$44,"Ativo")))+1)))</f>
        <v>Equipe Oficina Mecânica Central-Taisa</v>
      </c>
    </row>
    <row r="1046" spans="1:12" ht="15" customHeight="1" x14ac:dyDescent="0.4">
      <c r="A1046" s="25">
        <v>46402</v>
      </c>
      <c r="B1046" s="16">
        <v>20</v>
      </c>
      <c r="C1046" s="16">
        <v>2</v>
      </c>
      <c r="D1046" s="16">
        <v>1</v>
      </c>
      <c r="E1046" s="16" t="s">
        <v>980</v>
      </c>
      <c r="F1046" s="16" t="s">
        <v>1236</v>
      </c>
      <c r="G1046" s="16" t="s">
        <v>158</v>
      </c>
      <c r="H1046" s="16" t="s">
        <v>141</v>
      </c>
      <c r="I1046" s="22" t="s">
        <v>856</v>
      </c>
      <c r="J1046" s="16">
        <f>IFERROR(INDEX(Aux_HH!$J$4:$J$31,MATCH($H1046&amp;"|"&amp;$I1046,Aux_HH!$A$4:$A$31,0)),"")</f>
        <v>2</v>
      </c>
      <c r="K1046" s="16" t="s">
        <v>76</v>
      </c>
      <c r="L1046" s="16" t="str">
        <f>IF(COUNTIFS(Pessoas!$C$5:$C$44,$K1046,Pessoas!$G$5:$G$44,"Ativo")=0,"Equipe "&amp;$K1046,INDEX(Pessoas!$A$5:$A$44,_xludf.aggregate(15,6,(ROW(Pessoas!$A$5:$A$44)-4)/((Pessoas!$C$5:$C$44=$K1046)*(Pessoas!$G$5:$G$44="Ativo")),MOD(ROW()-6,MAX(1,COUNTIFS(Pessoas!$C$5:$C$44,$K1046,Pessoas!$G$5:$G$44,"Ativo")))+1)))</f>
        <v>Equipe Oficina Mecânica Central-Taisa</v>
      </c>
    </row>
    <row r="1047" spans="1:12" ht="15" customHeight="1" x14ac:dyDescent="0.4">
      <c r="A1047" s="25">
        <v>46402</v>
      </c>
      <c r="B1047" s="16">
        <v>20</v>
      </c>
      <c r="C1047" s="16">
        <v>2</v>
      </c>
      <c r="D1047" s="16">
        <v>1</v>
      </c>
      <c r="E1047" s="16" t="s">
        <v>980</v>
      </c>
      <c r="F1047" s="16" t="s">
        <v>1237</v>
      </c>
      <c r="G1047" s="16" t="s">
        <v>158</v>
      </c>
      <c r="H1047" s="16" t="s">
        <v>141</v>
      </c>
      <c r="I1047" s="22" t="s">
        <v>856</v>
      </c>
      <c r="J1047" s="16">
        <f>IFERROR(INDEX(Aux_HH!$J$4:$J$31,MATCH($H1047&amp;"|"&amp;$I1047,Aux_HH!$A$4:$A$31,0)),"")</f>
        <v>2</v>
      </c>
      <c r="K1047" s="16" t="s">
        <v>76</v>
      </c>
      <c r="L1047" s="16" t="str">
        <f>IF(COUNTIFS(Pessoas!$C$5:$C$44,$K1047,Pessoas!$G$5:$G$44,"Ativo")=0,"Equipe "&amp;$K1047,INDEX(Pessoas!$A$5:$A$44,_xludf.aggregate(15,6,(ROW(Pessoas!$A$5:$A$44)-4)/((Pessoas!$C$5:$C$44=$K1047)*(Pessoas!$G$5:$G$44="Ativo")),MOD(ROW()-6,MAX(1,COUNTIFS(Pessoas!$C$5:$C$44,$K1047,Pessoas!$G$5:$G$44,"Ativo")))+1)))</f>
        <v>Equipe Oficina Mecânica Central-Taisa</v>
      </c>
    </row>
    <row r="1048" spans="1:12" ht="15" customHeight="1" x14ac:dyDescent="0.4">
      <c r="A1048" s="25">
        <v>46402</v>
      </c>
      <c r="B1048" s="16">
        <v>20</v>
      </c>
      <c r="C1048" s="16">
        <v>2</v>
      </c>
      <c r="D1048" s="16">
        <v>1</v>
      </c>
      <c r="E1048" s="16" t="s">
        <v>980</v>
      </c>
      <c r="F1048" s="16" t="s">
        <v>1238</v>
      </c>
      <c r="G1048" s="16" t="s">
        <v>158</v>
      </c>
      <c r="H1048" s="16" t="s">
        <v>141</v>
      </c>
      <c r="I1048" s="22" t="s">
        <v>856</v>
      </c>
      <c r="J1048" s="16">
        <f>IFERROR(INDEX(Aux_HH!$J$4:$J$31,MATCH($H1048&amp;"|"&amp;$I1048,Aux_HH!$A$4:$A$31,0)),"")</f>
        <v>2</v>
      </c>
      <c r="K1048" s="16" t="s">
        <v>76</v>
      </c>
      <c r="L1048" s="16" t="str">
        <f>IF(COUNTIFS(Pessoas!$C$5:$C$44,$K1048,Pessoas!$G$5:$G$44,"Ativo")=0,"Equipe "&amp;$K1048,INDEX(Pessoas!$A$5:$A$44,_xludf.aggregate(15,6,(ROW(Pessoas!$A$5:$A$44)-4)/((Pessoas!$C$5:$C$44=$K1048)*(Pessoas!$G$5:$G$44="Ativo")),MOD(ROW()-6,MAX(1,COUNTIFS(Pessoas!$C$5:$C$44,$K1048,Pessoas!$G$5:$G$44,"Ativo")))+1)))</f>
        <v>Equipe Oficina Mecânica Central-Taisa</v>
      </c>
    </row>
    <row r="1049" spans="1:12" ht="15" customHeight="1" x14ac:dyDescent="0.4">
      <c r="A1049" s="25">
        <v>46402</v>
      </c>
      <c r="B1049" s="16">
        <v>20</v>
      </c>
      <c r="C1049" s="16">
        <v>2</v>
      </c>
      <c r="D1049" s="16">
        <v>1</v>
      </c>
      <c r="E1049" s="16" t="s">
        <v>980</v>
      </c>
      <c r="F1049" s="16" t="s">
        <v>1239</v>
      </c>
      <c r="G1049" s="16" t="s">
        <v>158</v>
      </c>
      <c r="H1049" s="16" t="s">
        <v>141</v>
      </c>
      <c r="I1049" s="22" t="s">
        <v>856</v>
      </c>
      <c r="J1049" s="16">
        <f>IFERROR(INDEX(Aux_HH!$J$4:$J$31,MATCH($H1049&amp;"|"&amp;$I1049,Aux_HH!$A$4:$A$31,0)),"")</f>
        <v>2</v>
      </c>
      <c r="K1049" s="16" t="s">
        <v>76</v>
      </c>
      <c r="L1049" s="16" t="str">
        <f>IF(COUNTIFS(Pessoas!$C$5:$C$44,$K1049,Pessoas!$G$5:$G$44,"Ativo")=0,"Equipe "&amp;$K1049,INDEX(Pessoas!$A$5:$A$44,_xludf.aggregate(15,6,(ROW(Pessoas!$A$5:$A$44)-4)/((Pessoas!$C$5:$C$44=$K1049)*(Pessoas!$G$5:$G$44="Ativo")),MOD(ROW()-6,MAX(1,COUNTIFS(Pessoas!$C$5:$C$44,$K1049,Pessoas!$G$5:$G$44,"Ativo")))+1)))</f>
        <v>Equipe Oficina Mecânica Central-Taisa</v>
      </c>
    </row>
    <row r="1050" spans="1:12" ht="15" customHeight="1" x14ac:dyDescent="0.4">
      <c r="A1050" s="25">
        <v>46402</v>
      </c>
      <c r="B1050" s="16">
        <v>20</v>
      </c>
      <c r="C1050" s="16">
        <v>2</v>
      </c>
      <c r="D1050" s="16">
        <v>1</v>
      </c>
      <c r="E1050" s="16" t="s">
        <v>980</v>
      </c>
      <c r="F1050" s="16" t="s">
        <v>1240</v>
      </c>
      <c r="G1050" s="16" t="s">
        <v>184</v>
      </c>
      <c r="H1050" s="16" t="s">
        <v>141</v>
      </c>
      <c r="I1050" s="22" t="s">
        <v>856</v>
      </c>
      <c r="J1050" s="16">
        <f>IFERROR(INDEX(Aux_HH!$J$4:$J$31,MATCH($H1050&amp;"|"&amp;$I1050,Aux_HH!$A$4:$A$31,0)),"")</f>
        <v>2</v>
      </c>
      <c r="K1050" s="16" t="s">
        <v>76</v>
      </c>
      <c r="L1050" s="16" t="str">
        <f>IF(COUNTIFS(Pessoas!$C$5:$C$44,$K1050,Pessoas!$G$5:$G$44,"Ativo")=0,"Equipe "&amp;$K1050,INDEX(Pessoas!$A$5:$A$44,_xludf.aggregate(15,6,(ROW(Pessoas!$A$5:$A$44)-4)/((Pessoas!$C$5:$C$44=$K1050)*(Pessoas!$G$5:$G$44="Ativo")),MOD(ROW()-6,MAX(1,COUNTIFS(Pessoas!$C$5:$C$44,$K1050,Pessoas!$G$5:$G$44,"Ativo")))+1)))</f>
        <v>Equipe Oficina Mecânica Central-Taisa</v>
      </c>
    </row>
    <row r="1051" spans="1:12" ht="15" customHeight="1" x14ac:dyDescent="0.4">
      <c r="A1051" s="25">
        <v>46402</v>
      </c>
      <c r="B1051" s="16">
        <v>20</v>
      </c>
      <c r="C1051" s="16">
        <v>2</v>
      </c>
      <c r="D1051" s="16">
        <v>1</v>
      </c>
      <c r="E1051" s="16" t="s">
        <v>980</v>
      </c>
      <c r="F1051" s="16" t="s">
        <v>1241</v>
      </c>
      <c r="G1051" s="16" t="s">
        <v>184</v>
      </c>
      <c r="H1051" s="16" t="s">
        <v>141</v>
      </c>
      <c r="I1051" s="22" t="s">
        <v>856</v>
      </c>
      <c r="J1051" s="16">
        <f>IFERROR(INDEX(Aux_HH!$J$4:$J$31,MATCH($H1051&amp;"|"&amp;$I1051,Aux_HH!$A$4:$A$31,0)),"")</f>
        <v>2</v>
      </c>
      <c r="K1051" s="16" t="s">
        <v>76</v>
      </c>
      <c r="L1051" s="16" t="str">
        <f>IF(COUNTIFS(Pessoas!$C$5:$C$44,$K1051,Pessoas!$G$5:$G$44,"Ativo")=0,"Equipe "&amp;$K1051,INDEX(Pessoas!$A$5:$A$44,_xludf.aggregate(15,6,(ROW(Pessoas!$A$5:$A$44)-4)/((Pessoas!$C$5:$C$44=$K1051)*(Pessoas!$G$5:$G$44="Ativo")),MOD(ROW()-6,MAX(1,COUNTIFS(Pessoas!$C$5:$C$44,$K1051,Pessoas!$G$5:$G$44,"Ativo")))+1)))</f>
        <v>Equipe Oficina Mecânica Central-Taisa</v>
      </c>
    </row>
    <row r="1052" spans="1:12" ht="15" customHeight="1" x14ac:dyDescent="0.4">
      <c r="A1052" s="25">
        <v>46402</v>
      </c>
      <c r="B1052" s="16">
        <v>20</v>
      </c>
      <c r="C1052" s="16">
        <v>2</v>
      </c>
      <c r="D1052" s="16">
        <v>1</v>
      </c>
      <c r="E1052" s="16" t="s">
        <v>980</v>
      </c>
      <c r="F1052" s="16" t="s">
        <v>1242</v>
      </c>
      <c r="G1052" s="16" t="s">
        <v>184</v>
      </c>
      <c r="H1052" s="16" t="s">
        <v>141</v>
      </c>
      <c r="I1052" s="22" t="s">
        <v>856</v>
      </c>
      <c r="J1052" s="16">
        <f>IFERROR(INDEX(Aux_HH!$J$4:$J$31,MATCH($H1052&amp;"|"&amp;$I1052,Aux_HH!$A$4:$A$31,0)),"")</f>
        <v>2</v>
      </c>
      <c r="K1052" s="16" t="s">
        <v>76</v>
      </c>
      <c r="L1052" s="16" t="str">
        <f>IF(COUNTIFS(Pessoas!$C$5:$C$44,$K1052,Pessoas!$G$5:$G$44,"Ativo")=0,"Equipe "&amp;$K1052,INDEX(Pessoas!$A$5:$A$44,_xludf.aggregate(15,6,(ROW(Pessoas!$A$5:$A$44)-4)/((Pessoas!$C$5:$C$44=$K1052)*(Pessoas!$G$5:$G$44="Ativo")),MOD(ROW()-6,MAX(1,COUNTIFS(Pessoas!$C$5:$C$44,$K1052,Pessoas!$G$5:$G$44,"Ativo")))+1)))</f>
        <v>Equipe Oficina Mecânica Central-Taisa</v>
      </c>
    </row>
    <row r="1053" spans="1:12" ht="15" customHeight="1" x14ac:dyDescent="0.4">
      <c r="A1053" s="25">
        <v>46402</v>
      </c>
      <c r="B1053" s="16">
        <v>20</v>
      </c>
      <c r="C1053" s="16">
        <v>2</v>
      </c>
      <c r="D1053" s="16">
        <v>1</v>
      </c>
      <c r="E1053" s="16" t="s">
        <v>980</v>
      </c>
      <c r="F1053" s="16" t="s">
        <v>1243</v>
      </c>
      <c r="G1053" s="16" t="s">
        <v>184</v>
      </c>
      <c r="H1053" s="16" t="s">
        <v>141</v>
      </c>
      <c r="I1053" s="22" t="s">
        <v>856</v>
      </c>
      <c r="J1053" s="16">
        <f>IFERROR(INDEX(Aux_HH!$J$4:$J$31,MATCH($H1053&amp;"|"&amp;$I1053,Aux_HH!$A$4:$A$31,0)),"")</f>
        <v>2</v>
      </c>
      <c r="K1053" s="16" t="s">
        <v>76</v>
      </c>
      <c r="L1053" s="16" t="str">
        <f>IF(COUNTIFS(Pessoas!$C$5:$C$44,$K1053,Pessoas!$G$5:$G$44,"Ativo")=0,"Equipe "&amp;$K1053,INDEX(Pessoas!$A$5:$A$44,_xludf.aggregate(15,6,(ROW(Pessoas!$A$5:$A$44)-4)/((Pessoas!$C$5:$C$44=$K1053)*(Pessoas!$G$5:$G$44="Ativo")),MOD(ROW()-6,MAX(1,COUNTIFS(Pessoas!$C$5:$C$44,$K1053,Pessoas!$G$5:$G$44,"Ativo")))+1)))</f>
        <v>Equipe Oficina Mecânica Central-Taisa</v>
      </c>
    </row>
    <row r="1054" spans="1:12" ht="15" customHeight="1" x14ac:dyDescent="0.4">
      <c r="A1054" s="25">
        <v>46402</v>
      </c>
      <c r="B1054" s="16">
        <v>20</v>
      </c>
      <c r="C1054" s="16">
        <v>2</v>
      </c>
      <c r="D1054" s="16">
        <v>1</v>
      </c>
      <c r="E1054" s="16" t="s">
        <v>980</v>
      </c>
      <c r="F1054" s="16" t="s">
        <v>1244</v>
      </c>
      <c r="G1054" s="16" t="s">
        <v>184</v>
      </c>
      <c r="H1054" s="16" t="s">
        <v>141</v>
      </c>
      <c r="I1054" s="22" t="s">
        <v>856</v>
      </c>
      <c r="J1054" s="16">
        <f>IFERROR(INDEX(Aux_HH!$J$4:$J$31,MATCH($H1054&amp;"|"&amp;$I1054,Aux_HH!$A$4:$A$31,0)),"")</f>
        <v>2</v>
      </c>
      <c r="K1054" s="16" t="s">
        <v>76</v>
      </c>
      <c r="L1054" s="16" t="str">
        <f>IF(COUNTIFS(Pessoas!$C$5:$C$44,$K1054,Pessoas!$G$5:$G$44,"Ativo")=0,"Equipe "&amp;$K1054,INDEX(Pessoas!$A$5:$A$44,_xludf.aggregate(15,6,(ROW(Pessoas!$A$5:$A$44)-4)/((Pessoas!$C$5:$C$44=$K1054)*(Pessoas!$G$5:$G$44="Ativo")),MOD(ROW()-6,MAX(1,COUNTIFS(Pessoas!$C$5:$C$44,$K1054,Pessoas!$G$5:$G$44,"Ativo")))+1)))</f>
        <v>Equipe Oficina Mecânica Central-Taisa</v>
      </c>
    </row>
    <row r="1055" spans="1:12" ht="15" customHeight="1" x14ac:dyDescent="0.4">
      <c r="A1055" s="25">
        <v>46402</v>
      </c>
      <c r="B1055" s="16">
        <v>20</v>
      </c>
      <c r="C1055" s="16">
        <v>2</v>
      </c>
      <c r="D1055" s="16">
        <v>1</v>
      </c>
      <c r="E1055" s="16" t="s">
        <v>980</v>
      </c>
      <c r="F1055" s="16" t="s">
        <v>1245</v>
      </c>
      <c r="G1055" s="16" t="s">
        <v>184</v>
      </c>
      <c r="H1055" s="16" t="s">
        <v>141</v>
      </c>
      <c r="I1055" s="22" t="s">
        <v>856</v>
      </c>
      <c r="J1055" s="16">
        <f>IFERROR(INDEX(Aux_HH!$J$4:$J$31,MATCH($H1055&amp;"|"&amp;$I1055,Aux_HH!$A$4:$A$31,0)),"")</f>
        <v>2</v>
      </c>
      <c r="K1055" s="16" t="s">
        <v>76</v>
      </c>
      <c r="L1055" s="16" t="str">
        <f>IF(COUNTIFS(Pessoas!$C$5:$C$44,$K1055,Pessoas!$G$5:$G$44,"Ativo")=0,"Equipe "&amp;$K1055,INDEX(Pessoas!$A$5:$A$44,_xludf.aggregate(15,6,(ROW(Pessoas!$A$5:$A$44)-4)/((Pessoas!$C$5:$C$44=$K1055)*(Pessoas!$G$5:$G$44="Ativo")),MOD(ROW()-6,MAX(1,COUNTIFS(Pessoas!$C$5:$C$44,$K1055,Pessoas!$G$5:$G$44,"Ativo")))+1)))</f>
        <v>Equipe Oficina Mecânica Central-Taisa</v>
      </c>
    </row>
    <row r="1056" spans="1:12" ht="15" customHeight="1" x14ac:dyDescent="0.4">
      <c r="A1056" s="25">
        <v>46402</v>
      </c>
      <c r="B1056" s="16">
        <v>20</v>
      </c>
      <c r="C1056" s="16">
        <v>2</v>
      </c>
      <c r="D1056" s="16">
        <v>1</v>
      </c>
      <c r="E1056" s="16" t="s">
        <v>980</v>
      </c>
      <c r="F1056" s="16" t="s">
        <v>1246</v>
      </c>
      <c r="G1056" s="16" t="s">
        <v>184</v>
      </c>
      <c r="H1056" s="16" t="s">
        <v>141</v>
      </c>
      <c r="I1056" s="22" t="s">
        <v>856</v>
      </c>
      <c r="J1056" s="16">
        <f>IFERROR(INDEX(Aux_HH!$J$4:$J$31,MATCH($H1056&amp;"|"&amp;$I1056,Aux_HH!$A$4:$A$31,0)),"")</f>
        <v>2</v>
      </c>
      <c r="K1056" s="16" t="s">
        <v>76</v>
      </c>
      <c r="L1056" s="16" t="str">
        <f>IF(COUNTIFS(Pessoas!$C$5:$C$44,$K1056,Pessoas!$G$5:$G$44,"Ativo")=0,"Equipe "&amp;$K1056,INDEX(Pessoas!$A$5:$A$44,_xludf.aggregate(15,6,(ROW(Pessoas!$A$5:$A$44)-4)/((Pessoas!$C$5:$C$44=$K1056)*(Pessoas!$G$5:$G$44="Ativo")),MOD(ROW()-6,MAX(1,COUNTIFS(Pessoas!$C$5:$C$44,$K1056,Pessoas!$G$5:$G$44,"Ativo")))+1)))</f>
        <v>Equipe Oficina Mecânica Central-Taisa</v>
      </c>
    </row>
    <row r="1057" spans="1:12" ht="15" customHeight="1" x14ac:dyDescent="0.4">
      <c r="A1057" s="25">
        <v>46402</v>
      </c>
      <c r="B1057" s="16">
        <v>20</v>
      </c>
      <c r="C1057" s="16">
        <v>2</v>
      </c>
      <c r="D1057" s="16">
        <v>1</v>
      </c>
      <c r="E1057" s="16" t="s">
        <v>980</v>
      </c>
      <c r="F1057" s="16" t="s">
        <v>1247</v>
      </c>
      <c r="G1057" s="16" t="s">
        <v>184</v>
      </c>
      <c r="H1057" s="16" t="s">
        <v>141</v>
      </c>
      <c r="I1057" s="22" t="s">
        <v>856</v>
      </c>
      <c r="J1057" s="16">
        <f>IFERROR(INDEX(Aux_HH!$J$4:$J$31,MATCH($H1057&amp;"|"&amp;$I1057,Aux_HH!$A$4:$A$31,0)),"")</f>
        <v>2</v>
      </c>
      <c r="K1057" s="16" t="s">
        <v>76</v>
      </c>
      <c r="L1057" s="16" t="str">
        <f>IF(COUNTIFS(Pessoas!$C$5:$C$44,$K1057,Pessoas!$G$5:$G$44,"Ativo")=0,"Equipe "&amp;$K1057,INDEX(Pessoas!$A$5:$A$44,_xludf.aggregate(15,6,(ROW(Pessoas!$A$5:$A$44)-4)/((Pessoas!$C$5:$C$44=$K1057)*(Pessoas!$G$5:$G$44="Ativo")),MOD(ROW()-6,MAX(1,COUNTIFS(Pessoas!$C$5:$C$44,$K1057,Pessoas!$G$5:$G$44,"Ativo")))+1)))</f>
        <v>Equipe Oficina Mecânica Central-Taisa</v>
      </c>
    </row>
    <row r="1058" spans="1:12" ht="15" customHeight="1" x14ac:dyDescent="0.4">
      <c r="A1058" s="25">
        <v>46402</v>
      </c>
      <c r="B1058" s="16">
        <v>20</v>
      </c>
      <c r="C1058" s="16">
        <v>2</v>
      </c>
      <c r="D1058" s="16">
        <v>1</v>
      </c>
      <c r="E1058" s="16" t="s">
        <v>980</v>
      </c>
      <c r="F1058" s="16" t="s">
        <v>1248</v>
      </c>
      <c r="G1058" s="16" t="s">
        <v>184</v>
      </c>
      <c r="H1058" s="16" t="s">
        <v>141</v>
      </c>
      <c r="I1058" s="22" t="s">
        <v>856</v>
      </c>
      <c r="J1058" s="16">
        <f>IFERROR(INDEX(Aux_HH!$J$4:$J$31,MATCH($H1058&amp;"|"&amp;$I1058,Aux_HH!$A$4:$A$31,0)),"")</f>
        <v>2</v>
      </c>
      <c r="K1058" s="16" t="s">
        <v>76</v>
      </c>
      <c r="L1058" s="16" t="str">
        <f>IF(COUNTIFS(Pessoas!$C$5:$C$44,$K1058,Pessoas!$G$5:$G$44,"Ativo")=0,"Equipe "&amp;$K1058,INDEX(Pessoas!$A$5:$A$44,_xludf.aggregate(15,6,(ROW(Pessoas!$A$5:$A$44)-4)/((Pessoas!$C$5:$C$44=$K1058)*(Pessoas!$G$5:$G$44="Ativo")),MOD(ROW()-6,MAX(1,COUNTIFS(Pessoas!$C$5:$C$44,$K1058,Pessoas!$G$5:$G$44,"Ativo")))+1)))</f>
        <v>Equipe Oficina Mecânica Central-Taisa</v>
      </c>
    </row>
    <row r="1059" spans="1:12" ht="15" customHeight="1" x14ac:dyDescent="0.4">
      <c r="A1059" s="25">
        <v>46402</v>
      </c>
      <c r="B1059" s="16">
        <v>20</v>
      </c>
      <c r="C1059" s="16">
        <v>2</v>
      </c>
      <c r="D1059" s="16">
        <v>1</v>
      </c>
      <c r="E1059" s="16" t="s">
        <v>980</v>
      </c>
      <c r="F1059" s="16" t="s">
        <v>1249</v>
      </c>
      <c r="G1059" s="16" t="s">
        <v>184</v>
      </c>
      <c r="H1059" s="16" t="s">
        <v>141</v>
      </c>
      <c r="I1059" s="22" t="s">
        <v>856</v>
      </c>
      <c r="J1059" s="16">
        <f>IFERROR(INDEX(Aux_HH!$J$4:$J$31,MATCH($H1059&amp;"|"&amp;$I1059,Aux_HH!$A$4:$A$31,0)),"")</f>
        <v>2</v>
      </c>
      <c r="K1059" s="16" t="s">
        <v>76</v>
      </c>
      <c r="L1059" s="16" t="str">
        <f>IF(COUNTIFS(Pessoas!$C$5:$C$44,$K1059,Pessoas!$G$5:$G$44,"Ativo")=0,"Equipe "&amp;$K1059,INDEX(Pessoas!$A$5:$A$44,_xludf.aggregate(15,6,(ROW(Pessoas!$A$5:$A$44)-4)/((Pessoas!$C$5:$C$44=$K1059)*(Pessoas!$G$5:$G$44="Ativo")),MOD(ROW()-6,MAX(1,COUNTIFS(Pessoas!$C$5:$C$44,$K1059,Pessoas!$G$5:$G$44,"Ativo")))+1)))</f>
        <v>Equipe Oficina Mecânica Central-Taisa</v>
      </c>
    </row>
    <row r="1060" spans="1:12" ht="15" customHeight="1" x14ac:dyDescent="0.4">
      <c r="A1060" s="25">
        <v>46402</v>
      </c>
      <c r="B1060" s="16">
        <v>20</v>
      </c>
      <c r="C1060" s="16">
        <v>2</v>
      </c>
      <c r="D1060" s="16">
        <v>1</v>
      </c>
      <c r="E1060" s="16" t="s">
        <v>980</v>
      </c>
      <c r="F1060" s="16" t="s">
        <v>1250</v>
      </c>
      <c r="G1060" s="16" t="s">
        <v>184</v>
      </c>
      <c r="H1060" s="16" t="s">
        <v>141</v>
      </c>
      <c r="I1060" s="22" t="s">
        <v>856</v>
      </c>
      <c r="J1060" s="16">
        <f>IFERROR(INDEX(Aux_HH!$J$4:$J$31,MATCH($H1060&amp;"|"&amp;$I1060,Aux_HH!$A$4:$A$31,0)),"")</f>
        <v>2</v>
      </c>
      <c r="K1060" s="16" t="s">
        <v>76</v>
      </c>
      <c r="L1060" s="16" t="str">
        <f>IF(COUNTIFS(Pessoas!$C$5:$C$44,$K1060,Pessoas!$G$5:$G$44,"Ativo")=0,"Equipe "&amp;$K1060,INDEX(Pessoas!$A$5:$A$44,_xludf.aggregate(15,6,(ROW(Pessoas!$A$5:$A$44)-4)/((Pessoas!$C$5:$C$44=$K1060)*(Pessoas!$G$5:$G$44="Ativo")),MOD(ROW()-6,MAX(1,COUNTIFS(Pessoas!$C$5:$C$44,$K1060,Pessoas!$G$5:$G$44,"Ativo")))+1)))</f>
        <v>Equipe Oficina Mecânica Central-Taisa</v>
      </c>
    </row>
    <row r="1061" spans="1:12" ht="15" customHeight="1" x14ac:dyDescent="0.4">
      <c r="A1061" s="25">
        <v>46402</v>
      </c>
      <c r="B1061" s="16">
        <v>20</v>
      </c>
      <c r="C1061" s="16">
        <v>2</v>
      </c>
      <c r="D1061" s="16">
        <v>1</v>
      </c>
      <c r="E1061" s="16" t="s">
        <v>980</v>
      </c>
      <c r="F1061" s="16" t="s">
        <v>998</v>
      </c>
      <c r="G1061" s="16" t="s">
        <v>688</v>
      </c>
      <c r="H1061" s="16" t="s">
        <v>145</v>
      </c>
      <c r="I1061" s="22" t="s">
        <v>861</v>
      </c>
      <c r="J1061" s="16">
        <f>IFERROR(INDEX(Aux_HH!$J$4:$J$31,MATCH($H1061&amp;"|"&amp;$I1061,Aux_HH!$A$4:$A$31,0)),"")</f>
        <v>4</v>
      </c>
      <c r="K1061" s="16" t="s">
        <v>76</v>
      </c>
      <c r="L1061" s="16" t="str">
        <f>IF(COUNTIFS(Pessoas!$C$5:$C$44,$K1061,Pessoas!$G$5:$G$44,"Ativo")=0,"Equipe "&amp;$K1061,INDEX(Pessoas!$A$5:$A$44,_xludf.aggregate(15,6,(ROW(Pessoas!$A$5:$A$44)-4)/((Pessoas!$C$5:$C$44=$K1061)*(Pessoas!$G$5:$G$44="Ativo")),MOD(ROW()-6,MAX(1,COUNTIFS(Pessoas!$C$5:$C$44,$K1061,Pessoas!$G$5:$G$44,"Ativo")))+1)))</f>
        <v>Equipe Oficina Mecânica Central-Taisa</v>
      </c>
    </row>
    <row r="1062" spans="1:12" ht="15" customHeight="1" x14ac:dyDescent="0.4">
      <c r="A1062" s="25">
        <v>46402</v>
      </c>
      <c r="B1062" s="16">
        <v>20</v>
      </c>
      <c r="C1062" s="16">
        <v>2</v>
      </c>
      <c r="D1062" s="16">
        <v>1</v>
      </c>
      <c r="E1062" s="16" t="s">
        <v>980</v>
      </c>
      <c r="F1062" s="16" t="s">
        <v>1000</v>
      </c>
      <c r="G1062" s="16" t="s">
        <v>688</v>
      </c>
      <c r="H1062" s="16" t="s">
        <v>145</v>
      </c>
      <c r="I1062" s="22" t="s">
        <v>861</v>
      </c>
      <c r="J1062" s="16">
        <f>IFERROR(INDEX(Aux_HH!$J$4:$J$31,MATCH($H1062&amp;"|"&amp;$I1062,Aux_HH!$A$4:$A$31,0)),"")</f>
        <v>4</v>
      </c>
      <c r="K1062" s="16" t="s">
        <v>76</v>
      </c>
      <c r="L1062" s="16" t="str">
        <f>IF(COUNTIFS(Pessoas!$C$5:$C$44,$K1062,Pessoas!$G$5:$G$44,"Ativo")=0,"Equipe "&amp;$K1062,INDEX(Pessoas!$A$5:$A$44,_xludf.aggregate(15,6,(ROW(Pessoas!$A$5:$A$44)-4)/((Pessoas!$C$5:$C$44=$K1062)*(Pessoas!$G$5:$G$44="Ativo")),MOD(ROW()-6,MAX(1,COUNTIFS(Pessoas!$C$5:$C$44,$K1062,Pessoas!$G$5:$G$44,"Ativo")))+1)))</f>
        <v>Equipe Oficina Mecânica Central-Taisa</v>
      </c>
    </row>
    <row r="1063" spans="1:12" ht="15" customHeight="1" x14ac:dyDescent="0.4">
      <c r="A1063" s="25">
        <v>46402</v>
      </c>
      <c r="B1063" s="16">
        <v>20</v>
      </c>
      <c r="C1063" s="16">
        <v>2</v>
      </c>
      <c r="D1063" s="16">
        <v>1</v>
      </c>
      <c r="E1063" s="16" t="s">
        <v>980</v>
      </c>
      <c r="F1063" s="16" t="s">
        <v>1253</v>
      </c>
      <c r="G1063" s="16" t="s">
        <v>158</v>
      </c>
      <c r="H1063" s="16" t="s">
        <v>141</v>
      </c>
      <c r="I1063" s="22" t="s">
        <v>856</v>
      </c>
      <c r="J1063" s="16">
        <f>IFERROR(INDEX(Aux_HH!$J$4:$J$31,MATCH($H1063&amp;"|"&amp;$I1063,Aux_HH!$A$4:$A$31,0)),"")</f>
        <v>2</v>
      </c>
      <c r="K1063" s="16" t="s">
        <v>76</v>
      </c>
      <c r="L1063" s="16" t="str">
        <f>IF(COUNTIFS(Pessoas!$C$5:$C$44,$K1063,Pessoas!$G$5:$G$44,"Ativo")=0,"Equipe "&amp;$K1063,INDEX(Pessoas!$A$5:$A$44,_xludf.aggregate(15,6,(ROW(Pessoas!$A$5:$A$44)-4)/((Pessoas!$C$5:$C$44=$K1063)*(Pessoas!$G$5:$G$44="Ativo")),MOD(ROW()-6,MAX(1,COUNTIFS(Pessoas!$C$5:$C$44,$K1063,Pessoas!$G$5:$G$44,"Ativo")))+1)))</f>
        <v>Equipe Oficina Mecânica Central-Taisa</v>
      </c>
    </row>
    <row r="1064" spans="1:12" ht="15" customHeight="1" x14ac:dyDescent="0.4">
      <c r="A1064" s="25">
        <v>46405</v>
      </c>
      <c r="B1064" s="16">
        <v>20</v>
      </c>
      <c r="C1064" s="16">
        <v>2</v>
      </c>
      <c r="D1064" s="16">
        <v>1</v>
      </c>
      <c r="E1064" s="16" t="s">
        <v>980</v>
      </c>
      <c r="F1064" s="16" t="s">
        <v>992</v>
      </c>
      <c r="G1064" s="16" t="s">
        <v>184</v>
      </c>
      <c r="H1064" s="16" t="s">
        <v>138</v>
      </c>
      <c r="I1064" s="22" t="s">
        <v>867</v>
      </c>
      <c r="J1064" s="16">
        <f>IFERROR(INDEX(Aux_HH!$J$4:$J$31,MATCH($H1064&amp;"|"&amp;$I1064,Aux_HH!$A$4:$A$31,0)),"")</f>
        <v>24</v>
      </c>
      <c r="K1064" s="16" t="s">
        <v>76</v>
      </c>
      <c r="L1064" s="16" t="str">
        <f>IF(COUNTIFS(Pessoas!$C$5:$C$44,$K1064,Pessoas!$G$5:$G$44,"Ativo")=0,"Equipe "&amp;$K1064,INDEX(Pessoas!$A$5:$A$44,_xludf.aggregate(15,6,(ROW(Pessoas!$A$5:$A$44)-4)/((Pessoas!$C$5:$C$44=$K1064)*(Pessoas!$G$5:$G$44="Ativo")),MOD(ROW()-6,MAX(1,COUNTIFS(Pessoas!$C$5:$C$44,$K1064,Pessoas!$G$5:$G$44,"Ativo")))+1)))</f>
        <v>Equipe Oficina Mecânica Central-Taisa</v>
      </c>
    </row>
    <row r="1065" spans="1:12" ht="15" customHeight="1" x14ac:dyDescent="0.4">
      <c r="A1065" s="25">
        <v>46405</v>
      </c>
      <c r="B1065" s="16">
        <v>20</v>
      </c>
      <c r="C1065" s="16">
        <v>2</v>
      </c>
      <c r="D1065" s="16">
        <v>1</v>
      </c>
      <c r="E1065" s="16" t="s">
        <v>980</v>
      </c>
      <c r="F1065" s="16" t="s">
        <v>1272</v>
      </c>
      <c r="G1065" s="16" t="s">
        <v>158</v>
      </c>
      <c r="H1065" s="16" t="s">
        <v>141</v>
      </c>
      <c r="I1065" s="22" t="s">
        <v>856</v>
      </c>
      <c r="J1065" s="16">
        <f>IFERROR(INDEX(Aux_HH!$J$4:$J$31,MATCH($H1065&amp;"|"&amp;$I1065,Aux_HH!$A$4:$A$31,0)),"")</f>
        <v>2</v>
      </c>
      <c r="K1065" s="16" t="s">
        <v>76</v>
      </c>
      <c r="L1065" s="16" t="str">
        <f>IF(COUNTIFS(Pessoas!$C$5:$C$44,$K1065,Pessoas!$G$5:$G$44,"Ativo")=0,"Equipe "&amp;$K1065,INDEX(Pessoas!$A$5:$A$44,_xludf.aggregate(15,6,(ROW(Pessoas!$A$5:$A$44)-4)/((Pessoas!$C$5:$C$44=$K1065)*(Pessoas!$G$5:$G$44="Ativo")),MOD(ROW()-6,MAX(1,COUNTIFS(Pessoas!$C$5:$C$44,$K1065,Pessoas!$G$5:$G$44,"Ativo")))+1)))</f>
        <v>Equipe Oficina Mecânica Central-Taisa</v>
      </c>
    </row>
    <row r="1066" spans="1:12" ht="15" customHeight="1" x14ac:dyDescent="0.4">
      <c r="A1066" s="25">
        <v>46405</v>
      </c>
      <c r="B1066" s="16">
        <v>20</v>
      </c>
      <c r="C1066" s="16">
        <v>2</v>
      </c>
      <c r="D1066" s="16">
        <v>1</v>
      </c>
      <c r="E1066" s="16" t="s">
        <v>980</v>
      </c>
      <c r="F1066" s="16" t="s">
        <v>1273</v>
      </c>
      <c r="G1066" s="16" t="s">
        <v>158</v>
      </c>
      <c r="H1066" s="16" t="s">
        <v>141</v>
      </c>
      <c r="I1066" s="22" t="s">
        <v>856</v>
      </c>
      <c r="J1066" s="16">
        <f>IFERROR(INDEX(Aux_HH!$J$4:$J$31,MATCH($H1066&amp;"|"&amp;$I1066,Aux_HH!$A$4:$A$31,0)),"")</f>
        <v>2</v>
      </c>
      <c r="K1066" s="16" t="s">
        <v>76</v>
      </c>
      <c r="L1066" s="16" t="str">
        <f>IF(COUNTIFS(Pessoas!$C$5:$C$44,$K1066,Pessoas!$G$5:$G$44,"Ativo")=0,"Equipe "&amp;$K1066,INDEX(Pessoas!$A$5:$A$44,_xludf.aggregate(15,6,(ROW(Pessoas!$A$5:$A$44)-4)/((Pessoas!$C$5:$C$44=$K1066)*(Pessoas!$G$5:$G$44="Ativo")),MOD(ROW()-6,MAX(1,COUNTIFS(Pessoas!$C$5:$C$44,$K1066,Pessoas!$G$5:$G$44,"Ativo")))+1)))</f>
        <v>Equipe Oficina Mecânica Central-Taisa</v>
      </c>
    </row>
    <row r="1067" spans="1:12" ht="15" customHeight="1" x14ac:dyDescent="0.4">
      <c r="A1067" s="25">
        <v>46405</v>
      </c>
      <c r="B1067" s="16">
        <v>20</v>
      </c>
      <c r="C1067" s="16">
        <v>2</v>
      </c>
      <c r="D1067" s="16">
        <v>1</v>
      </c>
      <c r="E1067" s="16" t="s">
        <v>980</v>
      </c>
      <c r="F1067" s="16" t="s">
        <v>1274</v>
      </c>
      <c r="G1067" s="16" t="s">
        <v>158</v>
      </c>
      <c r="H1067" s="16" t="s">
        <v>141</v>
      </c>
      <c r="I1067" s="22" t="s">
        <v>856</v>
      </c>
      <c r="J1067" s="16">
        <f>IFERROR(INDEX(Aux_HH!$J$4:$J$31,MATCH($H1067&amp;"|"&amp;$I1067,Aux_HH!$A$4:$A$31,0)),"")</f>
        <v>2</v>
      </c>
      <c r="K1067" s="16" t="s">
        <v>76</v>
      </c>
      <c r="L1067" s="16" t="str">
        <f>IF(COUNTIFS(Pessoas!$C$5:$C$44,$K1067,Pessoas!$G$5:$G$44,"Ativo")=0,"Equipe "&amp;$K1067,INDEX(Pessoas!$A$5:$A$44,_xludf.aggregate(15,6,(ROW(Pessoas!$A$5:$A$44)-4)/((Pessoas!$C$5:$C$44=$K1067)*(Pessoas!$G$5:$G$44="Ativo")),MOD(ROW()-6,MAX(1,COUNTIFS(Pessoas!$C$5:$C$44,$K1067,Pessoas!$G$5:$G$44,"Ativo")))+1)))</f>
        <v>Equipe Oficina Mecânica Central-Taisa</v>
      </c>
    </row>
    <row r="1068" spans="1:12" ht="15" customHeight="1" x14ac:dyDescent="0.4">
      <c r="A1068" s="25">
        <v>46405</v>
      </c>
      <c r="B1068" s="16">
        <v>20</v>
      </c>
      <c r="C1068" s="16">
        <v>2</v>
      </c>
      <c r="D1068" s="16">
        <v>1</v>
      </c>
      <c r="E1068" s="16" t="s">
        <v>980</v>
      </c>
      <c r="F1068" s="16" t="s">
        <v>1275</v>
      </c>
      <c r="G1068" s="16" t="s">
        <v>158</v>
      </c>
      <c r="H1068" s="16" t="s">
        <v>141</v>
      </c>
      <c r="I1068" s="22" t="s">
        <v>856</v>
      </c>
      <c r="J1068" s="16">
        <f>IFERROR(INDEX(Aux_HH!$J$4:$J$31,MATCH($H1068&amp;"|"&amp;$I1068,Aux_HH!$A$4:$A$31,0)),"")</f>
        <v>2</v>
      </c>
      <c r="K1068" s="16" t="s">
        <v>76</v>
      </c>
      <c r="L1068" s="16" t="str">
        <f>IF(COUNTIFS(Pessoas!$C$5:$C$44,$K1068,Pessoas!$G$5:$G$44,"Ativo")=0,"Equipe "&amp;$K1068,INDEX(Pessoas!$A$5:$A$44,_xludf.aggregate(15,6,(ROW(Pessoas!$A$5:$A$44)-4)/((Pessoas!$C$5:$C$44=$K1068)*(Pessoas!$G$5:$G$44="Ativo")),MOD(ROW()-6,MAX(1,COUNTIFS(Pessoas!$C$5:$C$44,$K1068,Pessoas!$G$5:$G$44,"Ativo")))+1)))</f>
        <v>Equipe Oficina Mecânica Central-Taisa</v>
      </c>
    </row>
    <row r="1069" spans="1:12" ht="15" customHeight="1" x14ac:dyDescent="0.4">
      <c r="A1069" s="25">
        <v>46405</v>
      </c>
      <c r="B1069" s="16">
        <v>20</v>
      </c>
      <c r="C1069" s="16">
        <v>2</v>
      </c>
      <c r="D1069" s="16">
        <v>1</v>
      </c>
      <c r="E1069" s="16" t="s">
        <v>980</v>
      </c>
      <c r="F1069" s="16" t="s">
        <v>1276</v>
      </c>
      <c r="G1069" s="16" t="s">
        <v>158</v>
      </c>
      <c r="H1069" s="16" t="s">
        <v>141</v>
      </c>
      <c r="I1069" s="22" t="s">
        <v>856</v>
      </c>
      <c r="J1069" s="16">
        <f>IFERROR(INDEX(Aux_HH!$J$4:$J$31,MATCH($H1069&amp;"|"&amp;$I1069,Aux_HH!$A$4:$A$31,0)),"")</f>
        <v>2</v>
      </c>
      <c r="K1069" s="16" t="s">
        <v>76</v>
      </c>
      <c r="L1069" s="16" t="str">
        <f>IF(COUNTIFS(Pessoas!$C$5:$C$44,$K1069,Pessoas!$G$5:$G$44,"Ativo")=0,"Equipe "&amp;$K1069,INDEX(Pessoas!$A$5:$A$44,_xludf.aggregate(15,6,(ROW(Pessoas!$A$5:$A$44)-4)/((Pessoas!$C$5:$C$44=$K1069)*(Pessoas!$G$5:$G$44="Ativo")),MOD(ROW()-6,MAX(1,COUNTIFS(Pessoas!$C$5:$C$44,$K1069,Pessoas!$G$5:$G$44,"Ativo")))+1)))</f>
        <v>Equipe Oficina Mecânica Central-Taisa</v>
      </c>
    </row>
    <row r="1070" spans="1:12" ht="15" customHeight="1" x14ac:dyDescent="0.4">
      <c r="A1070" s="25">
        <v>46405</v>
      </c>
      <c r="B1070" s="16">
        <v>20</v>
      </c>
      <c r="C1070" s="16">
        <v>2</v>
      </c>
      <c r="D1070" s="16">
        <v>1</v>
      </c>
      <c r="E1070" s="16" t="s">
        <v>980</v>
      </c>
      <c r="F1070" s="16" t="s">
        <v>1277</v>
      </c>
      <c r="G1070" s="16" t="s">
        <v>158</v>
      </c>
      <c r="H1070" s="16" t="s">
        <v>141</v>
      </c>
      <c r="I1070" s="22" t="s">
        <v>856</v>
      </c>
      <c r="J1070" s="16">
        <f>IFERROR(INDEX(Aux_HH!$J$4:$J$31,MATCH($H1070&amp;"|"&amp;$I1070,Aux_HH!$A$4:$A$31,0)),"")</f>
        <v>2</v>
      </c>
      <c r="K1070" s="16" t="s">
        <v>76</v>
      </c>
      <c r="L1070" s="16" t="str">
        <f>IF(COUNTIFS(Pessoas!$C$5:$C$44,$K1070,Pessoas!$G$5:$G$44,"Ativo")=0,"Equipe "&amp;$K1070,INDEX(Pessoas!$A$5:$A$44,_xludf.aggregate(15,6,(ROW(Pessoas!$A$5:$A$44)-4)/((Pessoas!$C$5:$C$44=$K1070)*(Pessoas!$G$5:$G$44="Ativo")),MOD(ROW()-6,MAX(1,COUNTIFS(Pessoas!$C$5:$C$44,$K1070,Pessoas!$G$5:$G$44,"Ativo")))+1)))</f>
        <v>Equipe Oficina Mecânica Central-Taisa</v>
      </c>
    </row>
    <row r="1071" spans="1:12" ht="15" customHeight="1" x14ac:dyDescent="0.4">
      <c r="A1071" s="25">
        <v>46405</v>
      </c>
      <c r="B1071" s="16">
        <v>20</v>
      </c>
      <c r="C1071" s="16">
        <v>2</v>
      </c>
      <c r="D1071" s="16">
        <v>1</v>
      </c>
      <c r="E1071" s="16" t="s">
        <v>980</v>
      </c>
      <c r="F1071" s="16" t="s">
        <v>1278</v>
      </c>
      <c r="G1071" s="16" t="s">
        <v>158</v>
      </c>
      <c r="H1071" s="16" t="s">
        <v>141</v>
      </c>
      <c r="I1071" s="22" t="s">
        <v>856</v>
      </c>
      <c r="J1071" s="16">
        <f>IFERROR(INDEX(Aux_HH!$J$4:$J$31,MATCH($H1071&amp;"|"&amp;$I1071,Aux_HH!$A$4:$A$31,0)),"")</f>
        <v>2</v>
      </c>
      <c r="K1071" s="16" t="s">
        <v>76</v>
      </c>
      <c r="L1071" s="16" t="str">
        <f>IF(COUNTIFS(Pessoas!$C$5:$C$44,$K1071,Pessoas!$G$5:$G$44,"Ativo")=0,"Equipe "&amp;$K1071,INDEX(Pessoas!$A$5:$A$44,_xludf.aggregate(15,6,(ROW(Pessoas!$A$5:$A$44)-4)/((Pessoas!$C$5:$C$44=$K1071)*(Pessoas!$G$5:$G$44="Ativo")),MOD(ROW()-6,MAX(1,COUNTIFS(Pessoas!$C$5:$C$44,$K1071,Pessoas!$G$5:$G$44,"Ativo")))+1)))</f>
        <v>Equipe Oficina Mecânica Central-Taisa</v>
      </c>
    </row>
    <row r="1072" spans="1:12" ht="15" customHeight="1" x14ac:dyDescent="0.4">
      <c r="A1072" s="25">
        <v>46405</v>
      </c>
      <c r="B1072" s="16">
        <v>20</v>
      </c>
      <c r="C1072" s="16">
        <v>2</v>
      </c>
      <c r="D1072" s="16">
        <v>1</v>
      </c>
      <c r="E1072" s="16" t="s">
        <v>980</v>
      </c>
      <c r="F1072" s="16" t="s">
        <v>1279</v>
      </c>
      <c r="G1072" s="16" t="s">
        <v>158</v>
      </c>
      <c r="H1072" s="16" t="s">
        <v>141</v>
      </c>
      <c r="I1072" s="22" t="s">
        <v>856</v>
      </c>
      <c r="J1072" s="16">
        <f>IFERROR(INDEX(Aux_HH!$J$4:$J$31,MATCH($H1072&amp;"|"&amp;$I1072,Aux_HH!$A$4:$A$31,0)),"")</f>
        <v>2</v>
      </c>
      <c r="K1072" s="16" t="s">
        <v>76</v>
      </c>
      <c r="L1072" s="16" t="str">
        <f>IF(COUNTIFS(Pessoas!$C$5:$C$44,$K1072,Pessoas!$G$5:$G$44,"Ativo")=0,"Equipe "&amp;$K1072,INDEX(Pessoas!$A$5:$A$44,_xludf.aggregate(15,6,(ROW(Pessoas!$A$5:$A$44)-4)/((Pessoas!$C$5:$C$44=$K1072)*(Pessoas!$G$5:$G$44="Ativo")),MOD(ROW()-6,MAX(1,COUNTIFS(Pessoas!$C$5:$C$44,$K1072,Pessoas!$G$5:$G$44,"Ativo")))+1)))</f>
        <v>Equipe Oficina Mecânica Central-Taisa</v>
      </c>
    </row>
    <row r="1073" spans="1:12" ht="15" customHeight="1" x14ac:dyDescent="0.4">
      <c r="A1073" s="25">
        <v>46405</v>
      </c>
      <c r="B1073" s="16">
        <v>20</v>
      </c>
      <c r="C1073" s="16">
        <v>2</v>
      </c>
      <c r="D1073" s="16">
        <v>1</v>
      </c>
      <c r="E1073" s="16" t="s">
        <v>980</v>
      </c>
      <c r="F1073" s="16" t="s">
        <v>1280</v>
      </c>
      <c r="G1073" s="16" t="s">
        <v>158</v>
      </c>
      <c r="H1073" s="16" t="s">
        <v>141</v>
      </c>
      <c r="I1073" s="22" t="s">
        <v>856</v>
      </c>
      <c r="J1073" s="16">
        <f>IFERROR(INDEX(Aux_HH!$J$4:$J$31,MATCH($H1073&amp;"|"&amp;$I1073,Aux_HH!$A$4:$A$31,0)),"")</f>
        <v>2</v>
      </c>
      <c r="K1073" s="16" t="s">
        <v>76</v>
      </c>
      <c r="L1073" s="16" t="str">
        <f>IF(COUNTIFS(Pessoas!$C$5:$C$44,$K1073,Pessoas!$G$5:$G$44,"Ativo")=0,"Equipe "&amp;$K1073,INDEX(Pessoas!$A$5:$A$44,_xludf.aggregate(15,6,(ROW(Pessoas!$A$5:$A$44)-4)/((Pessoas!$C$5:$C$44=$K1073)*(Pessoas!$G$5:$G$44="Ativo")),MOD(ROW()-6,MAX(1,COUNTIFS(Pessoas!$C$5:$C$44,$K1073,Pessoas!$G$5:$G$44,"Ativo")))+1)))</f>
        <v>Equipe Oficina Mecânica Central-Taisa</v>
      </c>
    </row>
    <row r="1074" spans="1:12" ht="15" customHeight="1" x14ac:dyDescent="0.4">
      <c r="A1074" s="25">
        <v>46405</v>
      </c>
      <c r="B1074" s="16">
        <v>20</v>
      </c>
      <c r="C1074" s="16">
        <v>2</v>
      </c>
      <c r="D1074" s="16">
        <v>1</v>
      </c>
      <c r="E1074" s="16" t="s">
        <v>980</v>
      </c>
      <c r="F1074" s="16" t="s">
        <v>1281</v>
      </c>
      <c r="G1074" s="16" t="s">
        <v>158</v>
      </c>
      <c r="H1074" s="16" t="s">
        <v>141</v>
      </c>
      <c r="I1074" s="22" t="s">
        <v>856</v>
      </c>
      <c r="J1074" s="16">
        <f>IFERROR(INDEX(Aux_HH!$J$4:$J$31,MATCH($H1074&amp;"|"&amp;$I1074,Aux_HH!$A$4:$A$31,0)),"")</f>
        <v>2</v>
      </c>
      <c r="K1074" s="16" t="s">
        <v>76</v>
      </c>
      <c r="L1074" s="16" t="str">
        <f>IF(COUNTIFS(Pessoas!$C$5:$C$44,$K1074,Pessoas!$G$5:$G$44,"Ativo")=0,"Equipe "&amp;$K1074,INDEX(Pessoas!$A$5:$A$44,_xludf.aggregate(15,6,(ROW(Pessoas!$A$5:$A$44)-4)/((Pessoas!$C$5:$C$44=$K1074)*(Pessoas!$G$5:$G$44="Ativo")),MOD(ROW()-6,MAX(1,COUNTIFS(Pessoas!$C$5:$C$44,$K1074,Pessoas!$G$5:$G$44,"Ativo")))+1)))</f>
        <v>Equipe Oficina Mecânica Central-Taisa</v>
      </c>
    </row>
    <row r="1075" spans="1:12" ht="15" customHeight="1" x14ac:dyDescent="0.4">
      <c r="A1075" s="25">
        <v>46405</v>
      </c>
      <c r="B1075" s="16">
        <v>20</v>
      </c>
      <c r="C1075" s="16">
        <v>2</v>
      </c>
      <c r="D1075" s="16">
        <v>1</v>
      </c>
      <c r="E1075" s="16" t="s">
        <v>980</v>
      </c>
      <c r="F1075" s="16" t="s">
        <v>1282</v>
      </c>
      <c r="G1075" s="16" t="s">
        <v>158</v>
      </c>
      <c r="H1075" s="16" t="s">
        <v>141</v>
      </c>
      <c r="I1075" s="22" t="s">
        <v>856</v>
      </c>
      <c r="J1075" s="16">
        <f>IFERROR(INDEX(Aux_HH!$J$4:$J$31,MATCH($H1075&amp;"|"&amp;$I1075,Aux_HH!$A$4:$A$31,0)),"")</f>
        <v>2</v>
      </c>
      <c r="K1075" s="16" t="s">
        <v>76</v>
      </c>
      <c r="L1075" s="16" t="str">
        <f>IF(COUNTIFS(Pessoas!$C$5:$C$44,$K1075,Pessoas!$G$5:$G$44,"Ativo")=0,"Equipe "&amp;$K1075,INDEX(Pessoas!$A$5:$A$44,_xludf.aggregate(15,6,(ROW(Pessoas!$A$5:$A$44)-4)/((Pessoas!$C$5:$C$44=$K1075)*(Pessoas!$G$5:$G$44="Ativo")),MOD(ROW()-6,MAX(1,COUNTIFS(Pessoas!$C$5:$C$44,$K1075,Pessoas!$G$5:$G$44,"Ativo")))+1)))</f>
        <v>Equipe Oficina Mecânica Central-Taisa</v>
      </c>
    </row>
    <row r="1076" spans="1:12" ht="15" customHeight="1" x14ac:dyDescent="0.4">
      <c r="A1076" s="25">
        <v>46405</v>
      </c>
      <c r="B1076" s="16">
        <v>20</v>
      </c>
      <c r="C1076" s="16">
        <v>2</v>
      </c>
      <c r="D1076" s="16">
        <v>1</v>
      </c>
      <c r="E1076" s="16" t="s">
        <v>980</v>
      </c>
      <c r="F1076" s="16" t="s">
        <v>1283</v>
      </c>
      <c r="G1076" s="16" t="s">
        <v>158</v>
      </c>
      <c r="H1076" s="16" t="s">
        <v>141</v>
      </c>
      <c r="I1076" s="22" t="s">
        <v>856</v>
      </c>
      <c r="J1076" s="16">
        <f>IFERROR(INDEX(Aux_HH!$J$4:$J$31,MATCH($H1076&amp;"|"&amp;$I1076,Aux_HH!$A$4:$A$31,0)),"")</f>
        <v>2</v>
      </c>
      <c r="K1076" s="16" t="s">
        <v>76</v>
      </c>
      <c r="L1076" s="16" t="str">
        <f>IF(COUNTIFS(Pessoas!$C$5:$C$44,$K1076,Pessoas!$G$5:$G$44,"Ativo")=0,"Equipe "&amp;$K1076,INDEX(Pessoas!$A$5:$A$44,_xludf.aggregate(15,6,(ROW(Pessoas!$A$5:$A$44)-4)/((Pessoas!$C$5:$C$44=$K1076)*(Pessoas!$G$5:$G$44="Ativo")),MOD(ROW()-6,MAX(1,COUNTIFS(Pessoas!$C$5:$C$44,$K1076,Pessoas!$G$5:$G$44,"Ativo")))+1)))</f>
        <v>Equipe Oficina Mecânica Central-Taisa</v>
      </c>
    </row>
    <row r="1077" spans="1:12" ht="15" customHeight="1" x14ac:dyDescent="0.4">
      <c r="A1077" s="25">
        <v>46405</v>
      </c>
      <c r="B1077" s="16">
        <v>20</v>
      </c>
      <c r="C1077" s="16">
        <v>2</v>
      </c>
      <c r="D1077" s="16">
        <v>1</v>
      </c>
      <c r="E1077" s="16" t="s">
        <v>980</v>
      </c>
      <c r="F1077" s="16" t="s">
        <v>1284</v>
      </c>
      <c r="G1077" s="16" t="s">
        <v>184</v>
      </c>
      <c r="H1077" s="16" t="s">
        <v>141</v>
      </c>
      <c r="I1077" s="22" t="s">
        <v>856</v>
      </c>
      <c r="J1077" s="16">
        <f>IFERROR(INDEX(Aux_HH!$J$4:$J$31,MATCH($H1077&amp;"|"&amp;$I1077,Aux_HH!$A$4:$A$31,0)),"")</f>
        <v>2</v>
      </c>
      <c r="K1077" s="16" t="s">
        <v>76</v>
      </c>
      <c r="L1077" s="16" t="str">
        <f>IF(COUNTIFS(Pessoas!$C$5:$C$44,$K1077,Pessoas!$G$5:$G$44,"Ativo")=0,"Equipe "&amp;$K1077,INDEX(Pessoas!$A$5:$A$44,_xludf.aggregate(15,6,(ROW(Pessoas!$A$5:$A$44)-4)/((Pessoas!$C$5:$C$44=$K1077)*(Pessoas!$G$5:$G$44="Ativo")),MOD(ROW()-6,MAX(1,COUNTIFS(Pessoas!$C$5:$C$44,$K1077,Pessoas!$G$5:$G$44,"Ativo")))+1)))</f>
        <v>Equipe Oficina Mecânica Central-Taisa</v>
      </c>
    </row>
    <row r="1078" spans="1:12" ht="15" customHeight="1" x14ac:dyDescent="0.4">
      <c r="A1078" s="25">
        <v>46405</v>
      </c>
      <c r="B1078" s="16">
        <v>20</v>
      </c>
      <c r="C1078" s="16">
        <v>2</v>
      </c>
      <c r="D1078" s="16">
        <v>1</v>
      </c>
      <c r="E1078" s="16" t="s">
        <v>980</v>
      </c>
      <c r="F1078" s="16" t="s">
        <v>1285</v>
      </c>
      <c r="G1078" s="16" t="s">
        <v>184</v>
      </c>
      <c r="H1078" s="16" t="s">
        <v>141</v>
      </c>
      <c r="I1078" s="22" t="s">
        <v>856</v>
      </c>
      <c r="J1078" s="16">
        <f>IFERROR(INDEX(Aux_HH!$J$4:$J$31,MATCH($H1078&amp;"|"&amp;$I1078,Aux_HH!$A$4:$A$31,0)),"")</f>
        <v>2</v>
      </c>
      <c r="K1078" s="16" t="s">
        <v>76</v>
      </c>
      <c r="L1078" s="16" t="str">
        <f>IF(COUNTIFS(Pessoas!$C$5:$C$44,$K1078,Pessoas!$G$5:$G$44,"Ativo")=0,"Equipe "&amp;$K1078,INDEX(Pessoas!$A$5:$A$44,_xludf.aggregate(15,6,(ROW(Pessoas!$A$5:$A$44)-4)/((Pessoas!$C$5:$C$44=$K1078)*(Pessoas!$G$5:$G$44="Ativo")),MOD(ROW()-6,MAX(1,COUNTIFS(Pessoas!$C$5:$C$44,$K1078,Pessoas!$G$5:$G$44,"Ativo")))+1)))</f>
        <v>Equipe Oficina Mecânica Central-Taisa</v>
      </c>
    </row>
    <row r="1079" spans="1:12" ht="15" customHeight="1" x14ac:dyDescent="0.4">
      <c r="A1079" s="25">
        <v>46405</v>
      </c>
      <c r="B1079" s="16">
        <v>20</v>
      </c>
      <c r="C1079" s="16">
        <v>2</v>
      </c>
      <c r="D1079" s="16">
        <v>1</v>
      </c>
      <c r="E1079" s="16" t="s">
        <v>980</v>
      </c>
      <c r="F1079" s="16" t="s">
        <v>1286</v>
      </c>
      <c r="G1079" s="16" t="s">
        <v>184</v>
      </c>
      <c r="H1079" s="16" t="s">
        <v>141</v>
      </c>
      <c r="I1079" s="22" t="s">
        <v>856</v>
      </c>
      <c r="J1079" s="16">
        <f>IFERROR(INDEX(Aux_HH!$J$4:$J$31,MATCH($H1079&amp;"|"&amp;$I1079,Aux_HH!$A$4:$A$31,0)),"")</f>
        <v>2</v>
      </c>
      <c r="K1079" s="16" t="s">
        <v>76</v>
      </c>
      <c r="L1079" s="16" t="str">
        <f>IF(COUNTIFS(Pessoas!$C$5:$C$44,$K1079,Pessoas!$G$5:$G$44,"Ativo")=0,"Equipe "&amp;$K1079,INDEX(Pessoas!$A$5:$A$44,_xludf.aggregate(15,6,(ROW(Pessoas!$A$5:$A$44)-4)/((Pessoas!$C$5:$C$44=$K1079)*(Pessoas!$G$5:$G$44="Ativo")),MOD(ROW()-6,MAX(1,COUNTIFS(Pessoas!$C$5:$C$44,$K1079,Pessoas!$G$5:$G$44,"Ativo")))+1)))</f>
        <v>Equipe Oficina Mecânica Central-Taisa</v>
      </c>
    </row>
    <row r="1080" spans="1:12" ht="15" customHeight="1" x14ac:dyDescent="0.4">
      <c r="A1080" s="25">
        <v>46405</v>
      </c>
      <c r="B1080" s="16">
        <v>20</v>
      </c>
      <c r="C1080" s="16">
        <v>2</v>
      </c>
      <c r="D1080" s="16">
        <v>1</v>
      </c>
      <c r="E1080" s="16" t="s">
        <v>980</v>
      </c>
      <c r="F1080" s="16" t="s">
        <v>1287</v>
      </c>
      <c r="G1080" s="16" t="s">
        <v>184</v>
      </c>
      <c r="H1080" s="16" t="s">
        <v>141</v>
      </c>
      <c r="I1080" s="22" t="s">
        <v>856</v>
      </c>
      <c r="J1080" s="16">
        <f>IFERROR(INDEX(Aux_HH!$J$4:$J$31,MATCH($H1080&amp;"|"&amp;$I1080,Aux_HH!$A$4:$A$31,0)),"")</f>
        <v>2</v>
      </c>
      <c r="K1080" s="16" t="s">
        <v>76</v>
      </c>
      <c r="L1080" s="16" t="str">
        <f>IF(COUNTIFS(Pessoas!$C$5:$C$44,$K1080,Pessoas!$G$5:$G$44,"Ativo")=0,"Equipe "&amp;$K1080,INDEX(Pessoas!$A$5:$A$44,_xludf.aggregate(15,6,(ROW(Pessoas!$A$5:$A$44)-4)/((Pessoas!$C$5:$C$44=$K1080)*(Pessoas!$G$5:$G$44="Ativo")),MOD(ROW()-6,MAX(1,COUNTIFS(Pessoas!$C$5:$C$44,$K1080,Pessoas!$G$5:$G$44,"Ativo")))+1)))</f>
        <v>Equipe Oficina Mecânica Central-Taisa</v>
      </c>
    </row>
    <row r="1081" spans="1:12" ht="15" customHeight="1" x14ac:dyDescent="0.4">
      <c r="A1081" s="25">
        <v>46405</v>
      </c>
      <c r="B1081" s="16">
        <v>20</v>
      </c>
      <c r="C1081" s="16">
        <v>2</v>
      </c>
      <c r="D1081" s="16">
        <v>1</v>
      </c>
      <c r="E1081" s="16" t="s">
        <v>980</v>
      </c>
      <c r="F1081" s="16" t="s">
        <v>1288</v>
      </c>
      <c r="G1081" s="16" t="s">
        <v>184</v>
      </c>
      <c r="H1081" s="16" t="s">
        <v>141</v>
      </c>
      <c r="I1081" s="22" t="s">
        <v>856</v>
      </c>
      <c r="J1081" s="16">
        <f>IFERROR(INDEX(Aux_HH!$J$4:$J$31,MATCH($H1081&amp;"|"&amp;$I1081,Aux_HH!$A$4:$A$31,0)),"")</f>
        <v>2</v>
      </c>
      <c r="K1081" s="16" t="s">
        <v>76</v>
      </c>
      <c r="L1081" s="16" t="str">
        <f>IF(COUNTIFS(Pessoas!$C$5:$C$44,$K1081,Pessoas!$G$5:$G$44,"Ativo")=0,"Equipe "&amp;$K1081,INDEX(Pessoas!$A$5:$A$44,_xludf.aggregate(15,6,(ROW(Pessoas!$A$5:$A$44)-4)/((Pessoas!$C$5:$C$44=$K1081)*(Pessoas!$G$5:$G$44="Ativo")),MOD(ROW()-6,MAX(1,COUNTIFS(Pessoas!$C$5:$C$44,$K1081,Pessoas!$G$5:$G$44,"Ativo")))+1)))</f>
        <v>Equipe Oficina Mecânica Central-Taisa</v>
      </c>
    </row>
    <row r="1082" spans="1:12" ht="15" customHeight="1" x14ac:dyDescent="0.4">
      <c r="A1082" s="25">
        <v>46405</v>
      </c>
      <c r="B1082" s="16">
        <v>20</v>
      </c>
      <c r="C1082" s="16">
        <v>2</v>
      </c>
      <c r="D1082" s="16">
        <v>1</v>
      </c>
      <c r="E1082" s="16" t="s">
        <v>980</v>
      </c>
      <c r="F1082" s="16" t="s">
        <v>1289</v>
      </c>
      <c r="G1082" s="16" t="s">
        <v>184</v>
      </c>
      <c r="H1082" s="16" t="s">
        <v>141</v>
      </c>
      <c r="I1082" s="22" t="s">
        <v>856</v>
      </c>
      <c r="J1082" s="16">
        <f>IFERROR(INDEX(Aux_HH!$J$4:$J$31,MATCH($H1082&amp;"|"&amp;$I1082,Aux_HH!$A$4:$A$31,0)),"")</f>
        <v>2</v>
      </c>
      <c r="K1082" s="16" t="s">
        <v>76</v>
      </c>
      <c r="L1082" s="16" t="str">
        <f>IF(COUNTIFS(Pessoas!$C$5:$C$44,$K1082,Pessoas!$G$5:$G$44,"Ativo")=0,"Equipe "&amp;$K1082,INDEX(Pessoas!$A$5:$A$44,_xludf.aggregate(15,6,(ROW(Pessoas!$A$5:$A$44)-4)/((Pessoas!$C$5:$C$44=$K1082)*(Pessoas!$G$5:$G$44="Ativo")),MOD(ROW()-6,MAX(1,COUNTIFS(Pessoas!$C$5:$C$44,$K1082,Pessoas!$G$5:$G$44,"Ativo")))+1)))</f>
        <v>Equipe Oficina Mecânica Central-Taisa</v>
      </c>
    </row>
    <row r="1083" spans="1:12" ht="15" customHeight="1" x14ac:dyDescent="0.4">
      <c r="A1083" s="25">
        <v>46405</v>
      </c>
      <c r="B1083" s="16">
        <v>20</v>
      </c>
      <c r="C1083" s="16">
        <v>2</v>
      </c>
      <c r="D1083" s="16">
        <v>1</v>
      </c>
      <c r="E1083" s="16" t="s">
        <v>980</v>
      </c>
      <c r="F1083" s="16" t="s">
        <v>1290</v>
      </c>
      <c r="G1083" s="16" t="s">
        <v>184</v>
      </c>
      <c r="H1083" s="16" t="s">
        <v>141</v>
      </c>
      <c r="I1083" s="22" t="s">
        <v>856</v>
      </c>
      <c r="J1083" s="16">
        <f>IFERROR(INDEX(Aux_HH!$J$4:$J$31,MATCH($H1083&amp;"|"&amp;$I1083,Aux_HH!$A$4:$A$31,0)),"")</f>
        <v>2</v>
      </c>
      <c r="K1083" s="16" t="s">
        <v>76</v>
      </c>
      <c r="L1083" s="16" t="str">
        <f>IF(COUNTIFS(Pessoas!$C$5:$C$44,$K1083,Pessoas!$G$5:$G$44,"Ativo")=0,"Equipe "&amp;$K1083,INDEX(Pessoas!$A$5:$A$44,_xludf.aggregate(15,6,(ROW(Pessoas!$A$5:$A$44)-4)/((Pessoas!$C$5:$C$44=$K1083)*(Pessoas!$G$5:$G$44="Ativo")),MOD(ROW()-6,MAX(1,COUNTIFS(Pessoas!$C$5:$C$44,$K1083,Pessoas!$G$5:$G$44,"Ativo")))+1)))</f>
        <v>Equipe Oficina Mecânica Central-Taisa</v>
      </c>
    </row>
    <row r="1084" spans="1:12" ht="15" customHeight="1" x14ac:dyDescent="0.4">
      <c r="A1084" s="25">
        <v>46405</v>
      </c>
      <c r="B1084" s="16">
        <v>20</v>
      </c>
      <c r="C1084" s="16">
        <v>2</v>
      </c>
      <c r="D1084" s="16">
        <v>1</v>
      </c>
      <c r="E1084" s="16" t="s">
        <v>980</v>
      </c>
      <c r="F1084" s="16" t="s">
        <v>1291</v>
      </c>
      <c r="G1084" s="16" t="s">
        <v>184</v>
      </c>
      <c r="H1084" s="16" t="s">
        <v>141</v>
      </c>
      <c r="I1084" s="22" t="s">
        <v>856</v>
      </c>
      <c r="J1084" s="16">
        <f>IFERROR(INDEX(Aux_HH!$J$4:$J$31,MATCH($H1084&amp;"|"&amp;$I1084,Aux_HH!$A$4:$A$31,0)),"")</f>
        <v>2</v>
      </c>
      <c r="K1084" s="16" t="s">
        <v>76</v>
      </c>
      <c r="L1084" s="16" t="str">
        <f>IF(COUNTIFS(Pessoas!$C$5:$C$44,$K1084,Pessoas!$G$5:$G$44,"Ativo")=0,"Equipe "&amp;$K1084,INDEX(Pessoas!$A$5:$A$44,_xludf.aggregate(15,6,(ROW(Pessoas!$A$5:$A$44)-4)/((Pessoas!$C$5:$C$44=$K1084)*(Pessoas!$G$5:$G$44="Ativo")),MOD(ROW()-6,MAX(1,COUNTIFS(Pessoas!$C$5:$C$44,$K1084,Pessoas!$G$5:$G$44,"Ativo")))+1)))</f>
        <v>Equipe Oficina Mecânica Central-Taisa</v>
      </c>
    </row>
    <row r="1085" spans="1:12" ht="15" customHeight="1" x14ac:dyDescent="0.4">
      <c r="A1085" s="25">
        <v>46405</v>
      </c>
      <c r="B1085" s="16">
        <v>20</v>
      </c>
      <c r="C1085" s="16">
        <v>2</v>
      </c>
      <c r="D1085" s="16">
        <v>1</v>
      </c>
      <c r="E1085" s="16" t="s">
        <v>980</v>
      </c>
      <c r="F1085" s="16" t="s">
        <v>1292</v>
      </c>
      <c r="G1085" s="16" t="s">
        <v>184</v>
      </c>
      <c r="H1085" s="16" t="s">
        <v>141</v>
      </c>
      <c r="I1085" s="22" t="s">
        <v>856</v>
      </c>
      <c r="J1085" s="16">
        <f>IFERROR(INDEX(Aux_HH!$J$4:$J$31,MATCH($H1085&amp;"|"&amp;$I1085,Aux_HH!$A$4:$A$31,0)),"")</f>
        <v>2</v>
      </c>
      <c r="K1085" s="16" t="s">
        <v>76</v>
      </c>
      <c r="L1085" s="16" t="str">
        <f>IF(COUNTIFS(Pessoas!$C$5:$C$44,$K1085,Pessoas!$G$5:$G$44,"Ativo")=0,"Equipe "&amp;$K1085,INDEX(Pessoas!$A$5:$A$44,_xludf.aggregate(15,6,(ROW(Pessoas!$A$5:$A$44)-4)/((Pessoas!$C$5:$C$44=$K1085)*(Pessoas!$G$5:$G$44="Ativo")),MOD(ROW()-6,MAX(1,COUNTIFS(Pessoas!$C$5:$C$44,$K1085,Pessoas!$G$5:$G$44,"Ativo")))+1)))</f>
        <v>Equipe Oficina Mecânica Central-Taisa</v>
      </c>
    </row>
    <row r="1086" spans="1:12" ht="15" customHeight="1" x14ac:dyDescent="0.4">
      <c r="A1086" s="25">
        <v>46405</v>
      </c>
      <c r="B1086" s="16">
        <v>20</v>
      </c>
      <c r="C1086" s="16">
        <v>2</v>
      </c>
      <c r="D1086" s="16">
        <v>1</v>
      </c>
      <c r="E1086" s="16" t="s">
        <v>980</v>
      </c>
      <c r="F1086" s="16" t="s">
        <v>1293</v>
      </c>
      <c r="G1086" s="16" t="s">
        <v>184</v>
      </c>
      <c r="H1086" s="16" t="s">
        <v>141</v>
      </c>
      <c r="I1086" s="22" t="s">
        <v>856</v>
      </c>
      <c r="J1086" s="16">
        <f>IFERROR(INDEX(Aux_HH!$J$4:$J$31,MATCH($H1086&amp;"|"&amp;$I1086,Aux_HH!$A$4:$A$31,0)),"")</f>
        <v>2</v>
      </c>
      <c r="K1086" s="16" t="s">
        <v>76</v>
      </c>
      <c r="L1086" s="16" t="str">
        <f>IF(COUNTIFS(Pessoas!$C$5:$C$44,$K1086,Pessoas!$G$5:$G$44,"Ativo")=0,"Equipe "&amp;$K1086,INDEX(Pessoas!$A$5:$A$44,_xludf.aggregate(15,6,(ROW(Pessoas!$A$5:$A$44)-4)/((Pessoas!$C$5:$C$44=$K1086)*(Pessoas!$G$5:$G$44="Ativo")),MOD(ROW()-6,MAX(1,COUNTIFS(Pessoas!$C$5:$C$44,$K1086,Pessoas!$G$5:$G$44,"Ativo")))+1)))</f>
        <v>Equipe Oficina Mecânica Central-Taisa</v>
      </c>
    </row>
    <row r="1087" spans="1:12" ht="15" customHeight="1" x14ac:dyDescent="0.4">
      <c r="A1087" s="25">
        <v>46405</v>
      </c>
      <c r="B1087" s="16">
        <v>20</v>
      </c>
      <c r="C1087" s="16">
        <v>2</v>
      </c>
      <c r="D1087" s="16">
        <v>1</v>
      </c>
      <c r="E1087" s="16" t="s">
        <v>980</v>
      </c>
      <c r="F1087" s="16" t="s">
        <v>1294</v>
      </c>
      <c r="G1087" s="16" t="s">
        <v>184</v>
      </c>
      <c r="H1087" s="16" t="s">
        <v>141</v>
      </c>
      <c r="I1087" s="22" t="s">
        <v>856</v>
      </c>
      <c r="J1087" s="16">
        <f>IFERROR(INDEX(Aux_HH!$J$4:$J$31,MATCH($H1087&amp;"|"&amp;$I1087,Aux_HH!$A$4:$A$31,0)),"")</f>
        <v>2</v>
      </c>
      <c r="K1087" s="16" t="s">
        <v>76</v>
      </c>
      <c r="L1087" s="16" t="str">
        <f>IF(COUNTIFS(Pessoas!$C$5:$C$44,$K1087,Pessoas!$G$5:$G$44,"Ativo")=0,"Equipe "&amp;$K1087,INDEX(Pessoas!$A$5:$A$44,_xludf.aggregate(15,6,(ROW(Pessoas!$A$5:$A$44)-4)/((Pessoas!$C$5:$C$44=$K1087)*(Pessoas!$G$5:$G$44="Ativo")),MOD(ROW()-6,MAX(1,COUNTIFS(Pessoas!$C$5:$C$44,$K1087,Pessoas!$G$5:$G$44,"Ativo")))+1)))</f>
        <v>Equipe Oficina Mecânica Central-Taisa</v>
      </c>
    </row>
    <row r="1088" spans="1:12" ht="15" customHeight="1" x14ac:dyDescent="0.4">
      <c r="A1088" s="25">
        <v>46405</v>
      </c>
      <c r="B1088" s="16">
        <v>20</v>
      </c>
      <c r="C1088" s="16">
        <v>2</v>
      </c>
      <c r="D1088" s="16">
        <v>1</v>
      </c>
      <c r="E1088" s="16" t="s">
        <v>980</v>
      </c>
      <c r="F1088" s="16" t="s">
        <v>1295</v>
      </c>
      <c r="G1088" s="16" t="s">
        <v>184</v>
      </c>
      <c r="H1088" s="16" t="s">
        <v>141</v>
      </c>
      <c r="I1088" s="22" t="s">
        <v>856</v>
      </c>
      <c r="J1088" s="16">
        <f>IFERROR(INDEX(Aux_HH!$J$4:$J$31,MATCH($H1088&amp;"|"&amp;$I1088,Aux_HH!$A$4:$A$31,0)),"")</f>
        <v>2</v>
      </c>
      <c r="K1088" s="16" t="s">
        <v>76</v>
      </c>
      <c r="L1088" s="16" t="str">
        <f>IF(COUNTIFS(Pessoas!$C$5:$C$44,$K1088,Pessoas!$G$5:$G$44,"Ativo")=0,"Equipe "&amp;$K1088,INDEX(Pessoas!$A$5:$A$44,_xludf.aggregate(15,6,(ROW(Pessoas!$A$5:$A$44)-4)/((Pessoas!$C$5:$C$44=$K1088)*(Pessoas!$G$5:$G$44="Ativo")),MOD(ROW()-6,MAX(1,COUNTIFS(Pessoas!$C$5:$C$44,$K1088,Pessoas!$G$5:$G$44,"Ativo")))+1)))</f>
        <v>Equipe Oficina Mecânica Central-Taisa</v>
      </c>
    </row>
    <row r="1089" spans="1:12" ht="15" customHeight="1" x14ac:dyDescent="0.4">
      <c r="A1089" s="25">
        <v>46405</v>
      </c>
      <c r="B1089" s="16">
        <v>20</v>
      </c>
      <c r="C1089" s="16">
        <v>2</v>
      </c>
      <c r="D1089" s="16">
        <v>1</v>
      </c>
      <c r="E1089" s="16" t="s">
        <v>980</v>
      </c>
      <c r="F1089" s="16" t="s">
        <v>1001</v>
      </c>
      <c r="G1089" s="16" t="s">
        <v>688</v>
      </c>
      <c r="H1089" s="16" t="s">
        <v>145</v>
      </c>
      <c r="I1089" s="22" t="s">
        <v>861</v>
      </c>
      <c r="J1089" s="16">
        <f>IFERROR(INDEX(Aux_HH!$J$4:$J$31,MATCH($H1089&amp;"|"&amp;$I1089,Aux_HH!$A$4:$A$31,0)),"")</f>
        <v>4</v>
      </c>
      <c r="K1089" s="16" t="s">
        <v>76</v>
      </c>
      <c r="L1089" s="16" t="str">
        <f>IF(COUNTIFS(Pessoas!$C$5:$C$44,$K1089,Pessoas!$G$5:$G$44,"Ativo")=0,"Equipe "&amp;$K1089,INDEX(Pessoas!$A$5:$A$44,_xludf.aggregate(15,6,(ROW(Pessoas!$A$5:$A$44)-4)/((Pessoas!$C$5:$C$44=$K1089)*(Pessoas!$G$5:$G$44="Ativo")),MOD(ROW()-6,MAX(1,COUNTIFS(Pessoas!$C$5:$C$44,$K1089,Pessoas!$G$5:$G$44,"Ativo")))+1)))</f>
        <v>Equipe Oficina Mecânica Central-Taisa</v>
      </c>
    </row>
    <row r="1090" spans="1:12" ht="15" customHeight="1" x14ac:dyDescent="0.4">
      <c r="A1090" s="25">
        <v>46405</v>
      </c>
      <c r="B1090" s="16">
        <v>20</v>
      </c>
      <c r="C1090" s="16">
        <v>2</v>
      </c>
      <c r="D1090" s="16">
        <v>1</v>
      </c>
      <c r="E1090" s="16" t="s">
        <v>980</v>
      </c>
      <c r="F1090" s="16" t="s">
        <v>1002</v>
      </c>
      <c r="G1090" s="16" t="s">
        <v>688</v>
      </c>
      <c r="H1090" s="16" t="s">
        <v>145</v>
      </c>
      <c r="I1090" s="22" t="s">
        <v>861</v>
      </c>
      <c r="J1090" s="16">
        <f>IFERROR(INDEX(Aux_HH!$J$4:$J$31,MATCH($H1090&amp;"|"&amp;$I1090,Aux_HH!$A$4:$A$31,0)),"")</f>
        <v>4</v>
      </c>
      <c r="K1090" s="16" t="s">
        <v>76</v>
      </c>
      <c r="L1090" s="16" t="str">
        <f>IF(COUNTIFS(Pessoas!$C$5:$C$44,$K1090,Pessoas!$G$5:$G$44,"Ativo")=0,"Equipe "&amp;$K1090,INDEX(Pessoas!$A$5:$A$44,_xludf.aggregate(15,6,(ROW(Pessoas!$A$5:$A$44)-4)/((Pessoas!$C$5:$C$44=$K1090)*(Pessoas!$G$5:$G$44="Ativo")),MOD(ROW()-6,MAX(1,COUNTIFS(Pessoas!$C$5:$C$44,$K1090,Pessoas!$G$5:$G$44,"Ativo")))+1)))</f>
        <v>Equipe Oficina Mecânica Central-Taisa</v>
      </c>
    </row>
    <row r="1091" spans="1:12" ht="15" customHeight="1" x14ac:dyDescent="0.4">
      <c r="A1091" s="25">
        <v>46405</v>
      </c>
      <c r="B1091" s="16">
        <v>20</v>
      </c>
      <c r="C1091" s="16">
        <v>2</v>
      </c>
      <c r="D1091" s="16">
        <v>1</v>
      </c>
      <c r="E1091" s="16" t="s">
        <v>980</v>
      </c>
      <c r="F1091" s="16" t="s">
        <v>1003</v>
      </c>
      <c r="G1091" s="16" t="s">
        <v>688</v>
      </c>
      <c r="H1091" s="16" t="s">
        <v>145</v>
      </c>
      <c r="I1091" s="22" t="s">
        <v>861</v>
      </c>
      <c r="J1091" s="16">
        <f>IFERROR(INDEX(Aux_HH!$J$4:$J$31,MATCH($H1091&amp;"|"&amp;$I1091,Aux_HH!$A$4:$A$31,0)),"")</f>
        <v>4</v>
      </c>
      <c r="K1091" s="16" t="s">
        <v>76</v>
      </c>
      <c r="L1091" s="16" t="str">
        <f>IF(COUNTIFS(Pessoas!$C$5:$C$44,$K1091,Pessoas!$G$5:$G$44,"Ativo")=0,"Equipe "&amp;$K1091,INDEX(Pessoas!$A$5:$A$44,_xludf.aggregate(15,6,(ROW(Pessoas!$A$5:$A$44)-4)/((Pessoas!$C$5:$C$44=$K1091)*(Pessoas!$G$5:$G$44="Ativo")),MOD(ROW()-6,MAX(1,COUNTIFS(Pessoas!$C$5:$C$44,$K1091,Pessoas!$G$5:$G$44,"Ativo")))+1)))</f>
        <v>Equipe Oficina Mecânica Central-Taisa</v>
      </c>
    </row>
    <row r="1092" spans="1:12" ht="15" customHeight="1" x14ac:dyDescent="0.4">
      <c r="A1092" s="25">
        <v>46420</v>
      </c>
      <c r="B1092" s="16">
        <v>23</v>
      </c>
      <c r="C1092" s="16">
        <v>2</v>
      </c>
      <c r="D1092" s="16">
        <v>2</v>
      </c>
      <c r="E1092" s="16" t="s">
        <v>980</v>
      </c>
      <c r="F1092" s="16" t="s">
        <v>1007</v>
      </c>
      <c r="G1092" s="16" t="s">
        <v>526</v>
      </c>
      <c r="H1092" s="16" t="s">
        <v>143</v>
      </c>
      <c r="I1092" s="22" t="s">
        <v>864</v>
      </c>
      <c r="J1092" s="16">
        <f>IFERROR(INDEX(Aux_HH!$J$4:$J$31,MATCH($H1092&amp;"|"&amp;$I1092,Aux_HH!$A$4:$A$31,0)),"")</f>
        <v>8</v>
      </c>
      <c r="K1092" s="16" t="s">
        <v>76</v>
      </c>
      <c r="L1092" s="16" t="str">
        <f>IF(COUNTIFS(Pessoas!$C$5:$C$44,$K1092,Pessoas!$G$5:$G$44,"Ativo")=0,"Equipe "&amp;$K1092,INDEX(Pessoas!$A$5:$A$44,_xludf.aggregate(15,6,(ROW(Pessoas!$A$5:$A$44)-4)/((Pessoas!$C$5:$C$44=$K1092)*(Pessoas!$G$5:$G$44="Ativo")),MOD(ROW()-6,MAX(1,COUNTIFS(Pessoas!$C$5:$C$44,$K1092,Pessoas!$G$5:$G$44,"Ativo")))+1)))</f>
        <v>Equipe Oficina Mecânica Central-Taisa</v>
      </c>
    </row>
    <row r="1093" spans="1:12" ht="15" customHeight="1" x14ac:dyDescent="0.4">
      <c r="A1093" s="25">
        <v>46420</v>
      </c>
      <c r="B1093" s="16">
        <v>23</v>
      </c>
      <c r="C1093" s="16">
        <v>2</v>
      </c>
      <c r="D1093" s="16">
        <v>2</v>
      </c>
      <c r="E1093" s="16" t="s">
        <v>980</v>
      </c>
      <c r="F1093" s="16" t="s">
        <v>1037</v>
      </c>
      <c r="G1093" s="16" t="s">
        <v>184</v>
      </c>
      <c r="H1093" s="16" t="s">
        <v>143</v>
      </c>
      <c r="I1093" s="22" t="s">
        <v>864</v>
      </c>
      <c r="J1093" s="16">
        <f>IFERROR(INDEX(Aux_HH!$J$4:$J$31,MATCH($H1093&amp;"|"&amp;$I1093,Aux_HH!$A$4:$A$31,0)),"")</f>
        <v>8</v>
      </c>
      <c r="K1093" s="16" t="s">
        <v>76</v>
      </c>
      <c r="L1093" s="16" t="str">
        <f>IF(COUNTIFS(Pessoas!$C$5:$C$44,$K1093,Pessoas!$G$5:$G$44,"Ativo")=0,"Equipe "&amp;$K1093,INDEX(Pessoas!$A$5:$A$44,_xludf.aggregate(15,6,(ROW(Pessoas!$A$5:$A$44)-4)/((Pessoas!$C$5:$C$44=$K1093)*(Pessoas!$G$5:$G$44="Ativo")),MOD(ROW()-6,MAX(1,COUNTIFS(Pessoas!$C$5:$C$44,$K1093,Pessoas!$G$5:$G$44,"Ativo")))+1)))</f>
        <v>Equipe Oficina Mecânica Central-Taisa</v>
      </c>
    </row>
    <row r="1094" spans="1:12" ht="15" customHeight="1" x14ac:dyDescent="0.4">
      <c r="A1094" s="25">
        <v>46420</v>
      </c>
      <c r="B1094" s="16">
        <v>23</v>
      </c>
      <c r="C1094" s="16">
        <v>2</v>
      </c>
      <c r="D1094" s="16">
        <v>2</v>
      </c>
      <c r="E1094" s="16" t="s">
        <v>980</v>
      </c>
      <c r="F1094" s="16" t="s">
        <v>1038</v>
      </c>
      <c r="G1094" s="16" t="s">
        <v>184</v>
      </c>
      <c r="H1094" s="16" t="s">
        <v>143</v>
      </c>
      <c r="I1094" s="22" t="s">
        <v>864</v>
      </c>
      <c r="J1094" s="16">
        <f>IFERROR(INDEX(Aux_HH!$J$4:$J$31,MATCH($H1094&amp;"|"&amp;$I1094,Aux_HH!$A$4:$A$31,0)),"")</f>
        <v>8</v>
      </c>
      <c r="K1094" s="16" t="s">
        <v>76</v>
      </c>
      <c r="L1094" s="16" t="str">
        <f>IF(COUNTIFS(Pessoas!$C$5:$C$44,$K1094,Pessoas!$G$5:$G$44,"Ativo")=0,"Equipe "&amp;$K1094,INDEX(Pessoas!$A$5:$A$44,_xludf.aggregate(15,6,(ROW(Pessoas!$A$5:$A$44)-4)/((Pessoas!$C$5:$C$44=$K1094)*(Pessoas!$G$5:$G$44="Ativo")),MOD(ROW()-6,MAX(1,COUNTIFS(Pessoas!$C$5:$C$44,$K1094,Pessoas!$G$5:$G$44,"Ativo")))+1)))</f>
        <v>Equipe Oficina Mecânica Central-Taisa</v>
      </c>
    </row>
    <row r="1095" spans="1:12" ht="15" customHeight="1" x14ac:dyDescent="0.4">
      <c r="A1095" s="25">
        <v>46420</v>
      </c>
      <c r="B1095" s="16">
        <v>23</v>
      </c>
      <c r="C1095" s="16">
        <v>2</v>
      </c>
      <c r="D1095" s="16">
        <v>2</v>
      </c>
      <c r="E1095" s="16" t="s">
        <v>980</v>
      </c>
      <c r="F1095" s="16" t="s">
        <v>1039</v>
      </c>
      <c r="G1095" s="16" t="s">
        <v>184</v>
      </c>
      <c r="H1095" s="16" t="s">
        <v>143</v>
      </c>
      <c r="I1095" s="22" t="s">
        <v>864</v>
      </c>
      <c r="J1095" s="16">
        <f>IFERROR(INDEX(Aux_HH!$J$4:$J$31,MATCH($H1095&amp;"|"&amp;$I1095,Aux_HH!$A$4:$A$31,0)),"")</f>
        <v>8</v>
      </c>
      <c r="K1095" s="16" t="s">
        <v>76</v>
      </c>
      <c r="L1095" s="16" t="str">
        <f>IF(COUNTIFS(Pessoas!$C$5:$C$44,$K1095,Pessoas!$G$5:$G$44,"Ativo")=0,"Equipe "&amp;$K1095,INDEX(Pessoas!$A$5:$A$44,_xludf.aggregate(15,6,(ROW(Pessoas!$A$5:$A$44)-4)/((Pessoas!$C$5:$C$44=$K1095)*(Pessoas!$G$5:$G$44="Ativo")),MOD(ROW()-6,MAX(1,COUNTIFS(Pessoas!$C$5:$C$44,$K1095,Pessoas!$G$5:$G$44,"Ativo")))+1)))</f>
        <v>Equipe Oficina Mecânica Central-Taisa</v>
      </c>
    </row>
    <row r="1096" spans="1:12" ht="15" customHeight="1" x14ac:dyDescent="0.4">
      <c r="A1096" s="25">
        <v>46420</v>
      </c>
      <c r="B1096" s="16">
        <v>23</v>
      </c>
      <c r="C1096" s="16">
        <v>2</v>
      </c>
      <c r="D1096" s="16">
        <v>2</v>
      </c>
      <c r="E1096" s="16" t="s">
        <v>980</v>
      </c>
      <c r="F1096" s="16" t="s">
        <v>1040</v>
      </c>
      <c r="G1096" s="16" t="s">
        <v>184</v>
      </c>
      <c r="H1096" s="16" t="s">
        <v>143</v>
      </c>
      <c r="I1096" s="22" t="s">
        <v>864</v>
      </c>
      <c r="J1096" s="16">
        <f>IFERROR(INDEX(Aux_HH!$J$4:$J$31,MATCH($H1096&amp;"|"&amp;$I1096,Aux_HH!$A$4:$A$31,0)),"")</f>
        <v>8</v>
      </c>
      <c r="K1096" s="16" t="s">
        <v>76</v>
      </c>
      <c r="L1096" s="16" t="str">
        <f>IF(COUNTIFS(Pessoas!$C$5:$C$44,$K1096,Pessoas!$G$5:$G$44,"Ativo")=0,"Equipe "&amp;$K1096,INDEX(Pessoas!$A$5:$A$44,_xludf.aggregate(15,6,(ROW(Pessoas!$A$5:$A$44)-4)/((Pessoas!$C$5:$C$44=$K1096)*(Pessoas!$G$5:$G$44="Ativo")),MOD(ROW()-6,MAX(1,COUNTIFS(Pessoas!$C$5:$C$44,$K1096,Pessoas!$G$5:$G$44,"Ativo")))+1)))</f>
        <v>Equipe Oficina Mecânica Central-Taisa</v>
      </c>
    </row>
    <row r="1097" spans="1:12" ht="15" customHeight="1" x14ac:dyDescent="0.4">
      <c r="A1097" s="25">
        <v>46420</v>
      </c>
      <c r="B1097" s="16">
        <v>23</v>
      </c>
      <c r="C1097" s="16">
        <v>2</v>
      </c>
      <c r="D1097" s="16">
        <v>2</v>
      </c>
      <c r="E1097" s="16" t="s">
        <v>980</v>
      </c>
      <c r="F1097" s="16" t="s">
        <v>1041</v>
      </c>
      <c r="G1097" s="16" t="s">
        <v>184</v>
      </c>
      <c r="H1097" s="16" t="s">
        <v>143</v>
      </c>
      <c r="I1097" s="22" t="s">
        <v>864</v>
      </c>
      <c r="J1097" s="16">
        <f>IFERROR(INDEX(Aux_HH!$J$4:$J$31,MATCH($H1097&amp;"|"&amp;$I1097,Aux_HH!$A$4:$A$31,0)),"")</f>
        <v>8</v>
      </c>
      <c r="K1097" s="16" t="s">
        <v>76</v>
      </c>
      <c r="L1097" s="16" t="str">
        <f>IF(COUNTIFS(Pessoas!$C$5:$C$44,$K1097,Pessoas!$G$5:$G$44,"Ativo")=0,"Equipe "&amp;$K1097,INDEX(Pessoas!$A$5:$A$44,_xludf.aggregate(15,6,(ROW(Pessoas!$A$5:$A$44)-4)/((Pessoas!$C$5:$C$44=$K1097)*(Pessoas!$G$5:$G$44="Ativo")),MOD(ROW()-6,MAX(1,COUNTIFS(Pessoas!$C$5:$C$44,$K1097,Pessoas!$G$5:$G$44,"Ativo")))+1)))</f>
        <v>Equipe Oficina Mecânica Central-Taisa</v>
      </c>
    </row>
    <row r="1098" spans="1:12" ht="15" customHeight="1" x14ac:dyDescent="0.4">
      <c r="A1098" s="25">
        <v>46420</v>
      </c>
      <c r="B1098" s="16">
        <v>23</v>
      </c>
      <c r="C1098" s="16">
        <v>2</v>
      </c>
      <c r="D1098" s="16">
        <v>2</v>
      </c>
      <c r="E1098" s="16" t="s">
        <v>980</v>
      </c>
      <c r="F1098" s="16" t="s">
        <v>1042</v>
      </c>
      <c r="G1098" s="16" t="s">
        <v>184</v>
      </c>
      <c r="H1098" s="16" t="s">
        <v>143</v>
      </c>
      <c r="I1098" s="22" t="s">
        <v>864</v>
      </c>
      <c r="J1098" s="16">
        <f>IFERROR(INDEX(Aux_HH!$J$4:$J$31,MATCH($H1098&amp;"|"&amp;$I1098,Aux_HH!$A$4:$A$31,0)),"")</f>
        <v>8</v>
      </c>
      <c r="K1098" s="16" t="s">
        <v>76</v>
      </c>
      <c r="L1098" s="16" t="str">
        <f>IF(COUNTIFS(Pessoas!$C$5:$C$44,$K1098,Pessoas!$G$5:$G$44,"Ativo")=0,"Equipe "&amp;$K1098,INDEX(Pessoas!$A$5:$A$44,_xludf.aggregate(15,6,(ROW(Pessoas!$A$5:$A$44)-4)/((Pessoas!$C$5:$C$44=$K1098)*(Pessoas!$G$5:$G$44="Ativo")),MOD(ROW()-6,MAX(1,COUNTIFS(Pessoas!$C$5:$C$44,$K1098,Pessoas!$G$5:$G$44,"Ativo")))+1)))</f>
        <v>Equipe Oficina Mecânica Central-Taisa</v>
      </c>
    </row>
    <row r="1099" spans="1:12" ht="15" customHeight="1" x14ac:dyDescent="0.4">
      <c r="A1099" s="25">
        <v>46420</v>
      </c>
      <c r="B1099" s="16">
        <v>23</v>
      </c>
      <c r="C1099" s="16">
        <v>2</v>
      </c>
      <c r="D1099" s="16">
        <v>2</v>
      </c>
      <c r="E1099" s="16" t="s">
        <v>980</v>
      </c>
      <c r="F1099" s="16" t="s">
        <v>1043</v>
      </c>
      <c r="G1099" s="16" t="s">
        <v>184</v>
      </c>
      <c r="H1099" s="16" t="s">
        <v>143</v>
      </c>
      <c r="I1099" s="22" t="s">
        <v>864</v>
      </c>
      <c r="J1099" s="16">
        <f>IFERROR(INDEX(Aux_HH!$J$4:$J$31,MATCH($H1099&amp;"|"&amp;$I1099,Aux_HH!$A$4:$A$31,0)),"")</f>
        <v>8</v>
      </c>
      <c r="K1099" s="16" t="s">
        <v>76</v>
      </c>
      <c r="L1099" s="16" t="str">
        <f>IF(COUNTIFS(Pessoas!$C$5:$C$44,$K1099,Pessoas!$G$5:$G$44,"Ativo")=0,"Equipe "&amp;$K1099,INDEX(Pessoas!$A$5:$A$44,_xludf.aggregate(15,6,(ROW(Pessoas!$A$5:$A$44)-4)/((Pessoas!$C$5:$C$44=$K1099)*(Pessoas!$G$5:$G$44="Ativo")),MOD(ROW()-6,MAX(1,COUNTIFS(Pessoas!$C$5:$C$44,$K1099,Pessoas!$G$5:$G$44,"Ativo")))+1)))</f>
        <v>Equipe Oficina Mecânica Central-Taisa</v>
      </c>
    </row>
    <row r="1100" spans="1:12" ht="15" customHeight="1" x14ac:dyDescent="0.4">
      <c r="A1100" s="25">
        <v>46420</v>
      </c>
      <c r="B1100" s="16">
        <v>23</v>
      </c>
      <c r="C1100" s="16">
        <v>2</v>
      </c>
      <c r="D1100" s="16">
        <v>2</v>
      </c>
      <c r="E1100" s="16" t="s">
        <v>980</v>
      </c>
      <c r="F1100" s="16" t="s">
        <v>1044</v>
      </c>
      <c r="G1100" s="16" t="s">
        <v>184</v>
      </c>
      <c r="H1100" s="16" t="s">
        <v>143</v>
      </c>
      <c r="I1100" s="22" t="s">
        <v>864</v>
      </c>
      <c r="J1100" s="16">
        <f>IFERROR(INDEX(Aux_HH!$J$4:$J$31,MATCH($H1100&amp;"|"&amp;$I1100,Aux_HH!$A$4:$A$31,0)),"")</f>
        <v>8</v>
      </c>
      <c r="K1100" s="16" t="s">
        <v>76</v>
      </c>
      <c r="L1100" s="16" t="str">
        <f>IF(COUNTIFS(Pessoas!$C$5:$C$44,$K1100,Pessoas!$G$5:$G$44,"Ativo")=0,"Equipe "&amp;$K1100,INDEX(Pessoas!$A$5:$A$44,_xludf.aggregate(15,6,(ROW(Pessoas!$A$5:$A$44)-4)/((Pessoas!$C$5:$C$44=$K1100)*(Pessoas!$G$5:$G$44="Ativo")),MOD(ROW()-6,MAX(1,COUNTIFS(Pessoas!$C$5:$C$44,$K1100,Pessoas!$G$5:$G$44,"Ativo")))+1)))</f>
        <v>Equipe Oficina Mecânica Central-Taisa</v>
      </c>
    </row>
    <row r="1101" spans="1:12" ht="15" customHeight="1" x14ac:dyDescent="0.4">
      <c r="A1101" s="25">
        <v>46420</v>
      </c>
      <c r="B1101" s="16">
        <v>23</v>
      </c>
      <c r="C1101" s="16">
        <v>2</v>
      </c>
      <c r="D1101" s="16">
        <v>2</v>
      </c>
      <c r="E1101" s="16" t="s">
        <v>980</v>
      </c>
      <c r="F1101" s="16" t="s">
        <v>988</v>
      </c>
      <c r="G1101" s="16" t="s">
        <v>184</v>
      </c>
      <c r="H1101" s="16" t="s">
        <v>138</v>
      </c>
      <c r="I1101" s="22" t="s">
        <v>856</v>
      </c>
      <c r="J1101" s="16">
        <f>IFERROR(INDEX(Aux_HH!$J$4:$J$31,MATCH($H1101&amp;"|"&amp;$I1101,Aux_HH!$A$4:$A$31,0)),"")</f>
        <v>3</v>
      </c>
      <c r="K1101" s="16" t="s">
        <v>76</v>
      </c>
      <c r="L1101" s="16" t="str">
        <f>IF(COUNTIFS(Pessoas!$C$5:$C$44,$K1101,Pessoas!$G$5:$G$44,"Ativo")=0,"Equipe "&amp;$K1101,INDEX(Pessoas!$A$5:$A$44,_xludf.aggregate(15,6,(ROW(Pessoas!$A$5:$A$44)-4)/((Pessoas!$C$5:$C$44=$K1101)*(Pessoas!$G$5:$G$44="Ativo")),MOD(ROW()-6,MAX(1,COUNTIFS(Pessoas!$C$5:$C$44,$K1101,Pessoas!$G$5:$G$44,"Ativo")))+1)))</f>
        <v>Equipe Oficina Mecânica Central-Taisa</v>
      </c>
    </row>
    <row r="1102" spans="1:12" ht="15" customHeight="1" x14ac:dyDescent="0.4">
      <c r="A1102" s="25">
        <v>46420</v>
      </c>
      <c r="B1102" s="16">
        <v>23</v>
      </c>
      <c r="C1102" s="16">
        <v>2</v>
      </c>
      <c r="D1102" s="16">
        <v>2</v>
      </c>
      <c r="E1102" s="16" t="s">
        <v>980</v>
      </c>
      <c r="F1102" s="16" t="s">
        <v>990</v>
      </c>
      <c r="G1102" s="16" t="s">
        <v>526</v>
      </c>
      <c r="H1102" s="16" t="s">
        <v>138</v>
      </c>
      <c r="I1102" s="22" t="s">
        <v>856</v>
      </c>
      <c r="J1102" s="16">
        <f>IFERROR(INDEX(Aux_HH!$J$4:$J$31,MATCH($H1102&amp;"|"&amp;$I1102,Aux_HH!$A$4:$A$31,0)),"")</f>
        <v>3</v>
      </c>
      <c r="K1102" s="16" t="s">
        <v>76</v>
      </c>
      <c r="L1102" s="16" t="str">
        <f>IF(COUNTIFS(Pessoas!$C$5:$C$44,$K1102,Pessoas!$G$5:$G$44,"Ativo")=0,"Equipe "&amp;$K1102,INDEX(Pessoas!$A$5:$A$44,_xludf.aggregate(15,6,(ROW(Pessoas!$A$5:$A$44)-4)/((Pessoas!$C$5:$C$44=$K1102)*(Pessoas!$G$5:$G$44="Ativo")),MOD(ROW()-6,MAX(1,COUNTIFS(Pessoas!$C$5:$C$44,$K1102,Pessoas!$G$5:$G$44,"Ativo")))+1)))</f>
        <v>Equipe Oficina Mecânica Central-Taisa</v>
      </c>
    </row>
    <row r="1103" spans="1:12" ht="15" customHeight="1" x14ac:dyDescent="0.4">
      <c r="A1103" s="25">
        <v>46420</v>
      </c>
      <c r="B1103" s="16">
        <v>23</v>
      </c>
      <c r="C1103" s="16">
        <v>2</v>
      </c>
      <c r="D1103" s="16">
        <v>2</v>
      </c>
      <c r="E1103" s="16" t="s">
        <v>980</v>
      </c>
      <c r="F1103" s="16" t="s">
        <v>1016</v>
      </c>
      <c r="G1103" s="16" t="s">
        <v>526</v>
      </c>
      <c r="H1103" s="16" t="s">
        <v>143</v>
      </c>
      <c r="I1103" s="22" t="s">
        <v>864</v>
      </c>
      <c r="J1103" s="16">
        <f>IFERROR(INDEX(Aux_HH!$J$4:$J$31,MATCH($H1103&amp;"|"&amp;$I1103,Aux_HH!$A$4:$A$31,0)),"")</f>
        <v>8</v>
      </c>
      <c r="K1103" s="16" t="s">
        <v>76</v>
      </c>
      <c r="L1103" s="16" t="str">
        <f>IF(COUNTIFS(Pessoas!$C$5:$C$44,$K1103,Pessoas!$G$5:$G$44,"Ativo")=0,"Equipe "&amp;$K1103,INDEX(Pessoas!$A$5:$A$44,_xludf.aggregate(15,6,(ROW(Pessoas!$A$5:$A$44)-4)/((Pessoas!$C$5:$C$44=$K1103)*(Pessoas!$G$5:$G$44="Ativo")),MOD(ROW()-6,MAX(1,COUNTIFS(Pessoas!$C$5:$C$44,$K1103,Pessoas!$G$5:$G$44,"Ativo")))+1)))</f>
        <v>Equipe Oficina Mecânica Central-Taisa</v>
      </c>
    </row>
    <row r="1104" spans="1:12" ht="15" customHeight="1" x14ac:dyDescent="0.4">
      <c r="A1104" s="25">
        <v>46420</v>
      </c>
      <c r="B1104" s="16">
        <v>23</v>
      </c>
      <c r="C1104" s="16">
        <v>2</v>
      </c>
      <c r="D1104" s="16">
        <v>2</v>
      </c>
      <c r="E1104" s="16" t="s">
        <v>980</v>
      </c>
      <c r="F1104" s="16" t="s">
        <v>1017</v>
      </c>
      <c r="G1104" s="16" t="s">
        <v>688</v>
      </c>
      <c r="H1104" s="16" t="s">
        <v>143</v>
      </c>
      <c r="I1104" s="22" t="s">
        <v>864</v>
      </c>
      <c r="J1104" s="16">
        <f>IFERROR(INDEX(Aux_HH!$J$4:$J$31,MATCH($H1104&amp;"|"&amp;$I1104,Aux_HH!$A$4:$A$31,0)),"")</f>
        <v>8</v>
      </c>
      <c r="K1104" s="16" t="s">
        <v>76</v>
      </c>
      <c r="L1104" s="16" t="str">
        <f>IF(COUNTIFS(Pessoas!$C$5:$C$44,$K1104,Pessoas!$G$5:$G$44,"Ativo")=0,"Equipe "&amp;$K1104,INDEX(Pessoas!$A$5:$A$44,_xludf.aggregate(15,6,(ROW(Pessoas!$A$5:$A$44)-4)/((Pessoas!$C$5:$C$44=$K1104)*(Pessoas!$G$5:$G$44="Ativo")),MOD(ROW()-6,MAX(1,COUNTIFS(Pessoas!$C$5:$C$44,$K1104,Pessoas!$G$5:$G$44,"Ativo")))+1)))</f>
        <v>Equipe Oficina Mecânica Central-Taisa</v>
      </c>
    </row>
    <row r="1105" spans="1:12" ht="15" customHeight="1" x14ac:dyDescent="0.4">
      <c r="A1105" s="25">
        <v>46420</v>
      </c>
      <c r="B1105" s="16">
        <v>23</v>
      </c>
      <c r="C1105" s="16">
        <v>2</v>
      </c>
      <c r="D1105" s="16">
        <v>2</v>
      </c>
      <c r="E1105" s="16" t="s">
        <v>980</v>
      </c>
      <c r="F1105" s="16" t="s">
        <v>1018</v>
      </c>
      <c r="G1105" s="16" t="s">
        <v>526</v>
      </c>
      <c r="H1105" s="16" t="s">
        <v>143</v>
      </c>
      <c r="I1105" s="22" t="s">
        <v>864</v>
      </c>
      <c r="J1105" s="16">
        <f>IFERROR(INDEX(Aux_HH!$J$4:$J$31,MATCH($H1105&amp;"|"&amp;$I1105,Aux_HH!$A$4:$A$31,0)),"")</f>
        <v>8</v>
      </c>
      <c r="K1105" s="16" t="s">
        <v>76</v>
      </c>
      <c r="L1105" s="16" t="str">
        <f>IF(COUNTIFS(Pessoas!$C$5:$C$44,$K1105,Pessoas!$G$5:$G$44,"Ativo")=0,"Equipe "&amp;$K1105,INDEX(Pessoas!$A$5:$A$44,_xludf.aggregate(15,6,(ROW(Pessoas!$A$5:$A$44)-4)/((Pessoas!$C$5:$C$44=$K1105)*(Pessoas!$G$5:$G$44="Ativo")),MOD(ROW()-6,MAX(1,COUNTIFS(Pessoas!$C$5:$C$44,$K1105,Pessoas!$G$5:$G$44,"Ativo")))+1)))</f>
        <v>Equipe Oficina Mecânica Central-Taisa</v>
      </c>
    </row>
    <row r="1106" spans="1:12" ht="15" customHeight="1" x14ac:dyDescent="0.4">
      <c r="A1106" s="25">
        <v>46420</v>
      </c>
      <c r="B1106" s="16">
        <v>23</v>
      </c>
      <c r="C1106" s="16">
        <v>2</v>
      </c>
      <c r="D1106" s="16">
        <v>2</v>
      </c>
      <c r="E1106" s="16" t="s">
        <v>980</v>
      </c>
      <c r="F1106" s="16" t="s">
        <v>1019</v>
      </c>
      <c r="G1106" s="16" t="s">
        <v>526</v>
      </c>
      <c r="H1106" s="16" t="s">
        <v>143</v>
      </c>
      <c r="I1106" s="22" t="s">
        <v>864</v>
      </c>
      <c r="J1106" s="16">
        <f>IFERROR(INDEX(Aux_HH!$J$4:$J$31,MATCH($H1106&amp;"|"&amp;$I1106,Aux_HH!$A$4:$A$31,0)),"")</f>
        <v>8</v>
      </c>
      <c r="K1106" s="16" t="s">
        <v>76</v>
      </c>
      <c r="L1106" s="16" t="str">
        <f>IF(COUNTIFS(Pessoas!$C$5:$C$44,$K1106,Pessoas!$G$5:$G$44,"Ativo")=0,"Equipe "&amp;$K1106,INDEX(Pessoas!$A$5:$A$44,_xludf.aggregate(15,6,(ROW(Pessoas!$A$5:$A$44)-4)/((Pessoas!$C$5:$C$44=$K1106)*(Pessoas!$G$5:$G$44="Ativo")),MOD(ROW()-6,MAX(1,COUNTIFS(Pessoas!$C$5:$C$44,$K1106,Pessoas!$G$5:$G$44,"Ativo")))+1)))</f>
        <v>Equipe Oficina Mecânica Central-Taisa</v>
      </c>
    </row>
    <row r="1107" spans="1:12" ht="15" customHeight="1" x14ac:dyDescent="0.4">
      <c r="A1107" s="25">
        <v>46420</v>
      </c>
      <c r="B1107" s="16">
        <v>23</v>
      </c>
      <c r="C1107" s="16">
        <v>2</v>
      </c>
      <c r="D1107" s="16">
        <v>2</v>
      </c>
      <c r="E1107" s="16" t="s">
        <v>980</v>
      </c>
      <c r="F1107" s="16" t="s">
        <v>1020</v>
      </c>
      <c r="G1107" s="16" t="s">
        <v>526</v>
      </c>
      <c r="H1107" s="16" t="s">
        <v>143</v>
      </c>
      <c r="I1107" s="22" t="s">
        <v>864</v>
      </c>
      <c r="J1107" s="16">
        <f>IFERROR(INDEX(Aux_HH!$J$4:$J$31,MATCH($H1107&amp;"|"&amp;$I1107,Aux_HH!$A$4:$A$31,0)),"")</f>
        <v>8</v>
      </c>
      <c r="K1107" s="16" t="s">
        <v>76</v>
      </c>
      <c r="L1107" s="16" t="str">
        <f>IF(COUNTIFS(Pessoas!$C$5:$C$44,$K1107,Pessoas!$G$5:$G$44,"Ativo")=0,"Equipe "&amp;$K1107,INDEX(Pessoas!$A$5:$A$44,_xludf.aggregate(15,6,(ROW(Pessoas!$A$5:$A$44)-4)/((Pessoas!$C$5:$C$44=$K1107)*(Pessoas!$G$5:$G$44="Ativo")),MOD(ROW()-6,MAX(1,COUNTIFS(Pessoas!$C$5:$C$44,$K1107,Pessoas!$G$5:$G$44,"Ativo")))+1)))</f>
        <v>Equipe Oficina Mecânica Central-Taisa</v>
      </c>
    </row>
    <row r="1108" spans="1:12" ht="15" customHeight="1" x14ac:dyDescent="0.4">
      <c r="A1108" s="25">
        <v>46420</v>
      </c>
      <c r="B1108" s="16">
        <v>23</v>
      </c>
      <c r="C1108" s="16">
        <v>2</v>
      </c>
      <c r="D1108" s="16">
        <v>2</v>
      </c>
      <c r="E1108" s="16" t="s">
        <v>980</v>
      </c>
      <c r="F1108" s="16" t="s">
        <v>1021</v>
      </c>
      <c r="G1108" s="16" t="s">
        <v>184</v>
      </c>
      <c r="H1108" s="16" t="s">
        <v>143</v>
      </c>
      <c r="I1108" s="22" t="s">
        <v>864</v>
      </c>
      <c r="J1108" s="16">
        <f>IFERROR(INDEX(Aux_HH!$J$4:$J$31,MATCH($H1108&amp;"|"&amp;$I1108,Aux_HH!$A$4:$A$31,0)),"")</f>
        <v>8</v>
      </c>
      <c r="K1108" s="16" t="s">
        <v>76</v>
      </c>
      <c r="L1108" s="16" t="str">
        <f>IF(COUNTIFS(Pessoas!$C$5:$C$44,$K1108,Pessoas!$G$5:$G$44,"Ativo")=0,"Equipe "&amp;$K1108,INDEX(Pessoas!$A$5:$A$44,_xludf.aggregate(15,6,(ROW(Pessoas!$A$5:$A$44)-4)/((Pessoas!$C$5:$C$44=$K1108)*(Pessoas!$G$5:$G$44="Ativo")),MOD(ROW()-6,MAX(1,COUNTIFS(Pessoas!$C$5:$C$44,$K1108,Pessoas!$G$5:$G$44,"Ativo")))+1)))</f>
        <v>Equipe Oficina Mecânica Central-Taisa</v>
      </c>
    </row>
    <row r="1109" spans="1:12" ht="15" customHeight="1" x14ac:dyDescent="0.4">
      <c r="A1109" s="25">
        <v>46421</v>
      </c>
      <c r="B1109" s="16">
        <v>23</v>
      </c>
      <c r="C1109" s="16">
        <v>2</v>
      </c>
      <c r="D1109" s="16">
        <v>2</v>
      </c>
      <c r="E1109" s="16" t="s">
        <v>980</v>
      </c>
      <c r="F1109" s="16" t="s">
        <v>1052</v>
      </c>
      <c r="G1109" s="16" t="s">
        <v>184</v>
      </c>
      <c r="H1109" s="16" t="s">
        <v>143</v>
      </c>
      <c r="I1109" s="22" t="s">
        <v>864</v>
      </c>
      <c r="J1109" s="16">
        <f>IFERROR(INDEX(Aux_HH!$J$4:$J$31,MATCH($H1109&amp;"|"&amp;$I1109,Aux_HH!$A$4:$A$31,0)),"")</f>
        <v>8</v>
      </c>
      <c r="K1109" s="16" t="s">
        <v>76</v>
      </c>
      <c r="L1109" s="16" t="str">
        <f>IF(COUNTIFS(Pessoas!$C$5:$C$44,$K1109,Pessoas!$G$5:$G$44,"Ativo")=0,"Equipe "&amp;$K1109,INDEX(Pessoas!$A$5:$A$44,_xludf.aggregate(15,6,(ROW(Pessoas!$A$5:$A$44)-4)/((Pessoas!$C$5:$C$44=$K1109)*(Pessoas!$G$5:$G$44="Ativo")),MOD(ROW()-6,MAX(1,COUNTIFS(Pessoas!$C$5:$C$44,$K1109,Pessoas!$G$5:$G$44,"Ativo")))+1)))</f>
        <v>Equipe Oficina Mecânica Central-Taisa</v>
      </c>
    </row>
    <row r="1110" spans="1:12" ht="15" customHeight="1" x14ac:dyDescent="0.4">
      <c r="A1110" s="25">
        <v>46421</v>
      </c>
      <c r="B1110" s="16">
        <v>23</v>
      </c>
      <c r="C1110" s="16">
        <v>2</v>
      </c>
      <c r="D1110" s="16">
        <v>2</v>
      </c>
      <c r="E1110" s="16" t="s">
        <v>980</v>
      </c>
      <c r="F1110" s="16" t="s">
        <v>1053</v>
      </c>
      <c r="G1110" s="16" t="s">
        <v>184</v>
      </c>
      <c r="H1110" s="16" t="s">
        <v>143</v>
      </c>
      <c r="I1110" s="22" t="s">
        <v>864</v>
      </c>
      <c r="J1110" s="16">
        <f>IFERROR(INDEX(Aux_HH!$J$4:$J$31,MATCH($H1110&amp;"|"&amp;$I1110,Aux_HH!$A$4:$A$31,0)),"")</f>
        <v>8</v>
      </c>
      <c r="K1110" s="16" t="s">
        <v>76</v>
      </c>
      <c r="L1110" s="16" t="str">
        <f>IF(COUNTIFS(Pessoas!$C$5:$C$44,$K1110,Pessoas!$G$5:$G$44,"Ativo")=0,"Equipe "&amp;$K1110,INDEX(Pessoas!$A$5:$A$44,_xludf.aggregate(15,6,(ROW(Pessoas!$A$5:$A$44)-4)/((Pessoas!$C$5:$C$44=$K1110)*(Pessoas!$G$5:$G$44="Ativo")),MOD(ROW()-6,MAX(1,COUNTIFS(Pessoas!$C$5:$C$44,$K1110,Pessoas!$G$5:$G$44,"Ativo")))+1)))</f>
        <v>Equipe Oficina Mecânica Central-Taisa</v>
      </c>
    </row>
    <row r="1111" spans="1:12" ht="15" customHeight="1" x14ac:dyDescent="0.4">
      <c r="A1111" s="25">
        <v>46421</v>
      </c>
      <c r="B1111" s="16">
        <v>23</v>
      </c>
      <c r="C1111" s="16">
        <v>2</v>
      </c>
      <c r="D1111" s="16">
        <v>2</v>
      </c>
      <c r="E1111" s="16" t="s">
        <v>980</v>
      </c>
      <c r="F1111" s="16" t="s">
        <v>1054</v>
      </c>
      <c r="G1111" s="16" t="s">
        <v>184</v>
      </c>
      <c r="H1111" s="16" t="s">
        <v>143</v>
      </c>
      <c r="I1111" s="22" t="s">
        <v>864</v>
      </c>
      <c r="J1111" s="16">
        <f>IFERROR(INDEX(Aux_HH!$J$4:$J$31,MATCH($H1111&amp;"|"&amp;$I1111,Aux_HH!$A$4:$A$31,0)),"")</f>
        <v>8</v>
      </c>
      <c r="K1111" s="16" t="s">
        <v>76</v>
      </c>
      <c r="L1111" s="16" t="str">
        <f>IF(COUNTIFS(Pessoas!$C$5:$C$44,$K1111,Pessoas!$G$5:$G$44,"Ativo")=0,"Equipe "&amp;$K1111,INDEX(Pessoas!$A$5:$A$44,_xludf.aggregate(15,6,(ROW(Pessoas!$A$5:$A$44)-4)/((Pessoas!$C$5:$C$44=$K1111)*(Pessoas!$G$5:$G$44="Ativo")),MOD(ROW()-6,MAX(1,COUNTIFS(Pessoas!$C$5:$C$44,$K1111,Pessoas!$G$5:$G$44,"Ativo")))+1)))</f>
        <v>Equipe Oficina Mecânica Central-Taisa</v>
      </c>
    </row>
    <row r="1112" spans="1:12" ht="15" customHeight="1" x14ac:dyDescent="0.4">
      <c r="A1112" s="25">
        <v>46421</v>
      </c>
      <c r="B1112" s="16">
        <v>23</v>
      </c>
      <c r="C1112" s="16">
        <v>2</v>
      </c>
      <c r="D1112" s="16">
        <v>2</v>
      </c>
      <c r="E1112" s="16" t="s">
        <v>980</v>
      </c>
      <c r="F1112" s="16" t="s">
        <v>1055</v>
      </c>
      <c r="G1112" s="16" t="s">
        <v>184</v>
      </c>
      <c r="H1112" s="16" t="s">
        <v>143</v>
      </c>
      <c r="I1112" s="22" t="s">
        <v>864</v>
      </c>
      <c r="J1112" s="16">
        <f>IFERROR(INDEX(Aux_HH!$J$4:$J$31,MATCH($H1112&amp;"|"&amp;$I1112,Aux_HH!$A$4:$A$31,0)),"")</f>
        <v>8</v>
      </c>
      <c r="K1112" s="16" t="s">
        <v>76</v>
      </c>
      <c r="L1112" s="16" t="str">
        <f>IF(COUNTIFS(Pessoas!$C$5:$C$44,$K1112,Pessoas!$G$5:$G$44,"Ativo")=0,"Equipe "&amp;$K1112,INDEX(Pessoas!$A$5:$A$44,_xludf.aggregate(15,6,(ROW(Pessoas!$A$5:$A$44)-4)/((Pessoas!$C$5:$C$44=$K1112)*(Pessoas!$G$5:$G$44="Ativo")),MOD(ROW()-6,MAX(1,COUNTIFS(Pessoas!$C$5:$C$44,$K1112,Pessoas!$G$5:$G$44,"Ativo")))+1)))</f>
        <v>Equipe Oficina Mecânica Central-Taisa</v>
      </c>
    </row>
    <row r="1113" spans="1:12" ht="15" customHeight="1" x14ac:dyDescent="0.4">
      <c r="A1113" s="25">
        <v>46421</v>
      </c>
      <c r="B1113" s="16">
        <v>23</v>
      </c>
      <c r="C1113" s="16">
        <v>2</v>
      </c>
      <c r="D1113" s="16">
        <v>2</v>
      </c>
      <c r="E1113" s="16" t="s">
        <v>980</v>
      </c>
      <c r="F1113" s="16" t="s">
        <v>1056</v>
      </c>
      <c r="G1113" s="16" t="s">
        <v>184</v>
      </c>
      <c r="H1113" s="16" t="s">
        <v>143</v>
      </c>
      <c r="I1113" s="22" t="s">
        <v>864</v>
      </c>
      <c r="J1113" s="16">
        <f>IFERROR(INDEX(Aux_HH!$J$4:$J$31,MATCH($H1113&amp;"|"&amp;$I1113,Aux_HH!$A$4:$A$31,0)),"")</f>
        <v>8</v>
      </c>
      <c r="K1113" s="16" t="s">
        <v>76</v>
      </c>
      <c r="L1113" s="16" t="str">
        <f>IF(COUNTIFS(Pessoas!$C$5:$C$44,$K1113,Pessoas!$G$5:$G$44,"Ativo")=0,"Equipe "&amp;$K1113,INDEX(Pessoas!$A$5:$A$44,_xludf.aggregate(15,6,(ROW(Pessoas!$A$5:$A$44)-4)/((Pessoas!$C$5:$C$44=$K1113)*(Pessoas!$G$5:$G$44="Ativo")),MOD(ROW()-6,MAX(1,COUNTIFS(Pessoas!$C$5:$C$44,$K1113,Pessoas!$G$5:$G$44,"Ativo")))+1)))</f>
        <v>Equipe Oficina Mecânica Central-Taisa</v>
      </c>
    </row>
    <row r="1114" spans="1:12" ht="15" customHeight="1" x14ac:dyDescent="0.4">
      <c r="A1114" s="25">
        <v>46421</v>
      </c>
      <c r="B1114" s="16">
        <v>23</v>
      </c>
      <c r="C1114" s="16">
        <v>2</v>
      </c>
      <c r="D1114" s="16">
        <v>2</v>
      </c>
      <c r="E1114" s="16" t="s">
        <v>980</v>
      </c>
      <c r="F1114" s="16" t="s">
        <v>1057</v>
      </c>
      <c r="G1114" s="16" t="s">
        <v>184</v>
      </c>
      <c r="H1114" s="16" t="s">
        <v>143</v>
      </c>
      <c r="I1114" s="22" t="s">
        <v>864</v>
      </c>
      <c r="J1114" s="16">
        <f>IFERROR(INDEX(Aux_HH!$J$4:$J$31,MATCH($H1114&amp;"|"&amp;$I1114,Aux_HH!$A$4:$A$31,0)),"")</f>
        <v>8</v>
      </c>
      <c r="K1114" s="16" t="s">
        <v>76</v>
      </c>
      <c r="L1114" s="16" t="str">
        <f>IF(COUNTIFS(Pessoas!$C$5:$C$44,$K1114,Pessoas!$G$5:$G$44,"Ativo")=0,"Equipe "&amp;$K1114,INDEX(Pessoas!$A$5:$A$44,_xludf.aggregate(15,6,(ROW(Pessoas!$A$5:$A$44)-4)/((Pessoas!$C$5:$C$44=$K1114)*(Pessoas!$G$5:$G$44="Ativo")),MOD(ROW()-6,MAX(1,COUNTIFS(Pessoas!$C$5:$C$44,$K1114,Pessoas!$G$5:$G$44,"Ativo")))+1)))</f>
        <v>Equipe Oficina Mecânica Central-Taisa</v>
      </c>
    </row>
    <row r="1115" spans="1:12" ht="15" customHeight="1" x14ac:dyDescent="0.4">
      <c r="A1115" s="25">
        <v>46421</v>
      </c>
      <c r="B1115" s="16">
        <v>23</v>
      </c>
      <c r="C1115" s="16">
        <v>2</v>
      </c>
      <c r="D1115" s="16">
        <v>2</v>
      </c>
      <c r="E1115" s="16" t="s">
        <v>980</v>
      </c>
      <c r="F1115" s="16" t="s">
        <v>1058</v>
      </c>
      <c r="G1115" s="16" t="s">
        <v>184</v>
      </c>
      <c r="H1115" s="16" t="s">
        <v>143</v>
      </c>
      <c r="I1115" s="22" t="s">
        <v>864</v>
      </c>
      <c r="J1115" s="16">
        <f>IFERROR(INDEX(Aux_HH!$J$4:$J$31,MATCH($H1115&amp;"|"&amp;$I1115,Aux_HH!$A$4:$A$31,0)),"")</f>
        <v>8</v>
      </c>
      <c r="K1115" s="16" t="s">
        <v>76</v>
      </c>
      <c r="L1115" s="16" t="str">
        <f>IF(COUNTIFS(Pessoas!$C$5:$C$44,$K1115,Pessoas!$G$5:$G$44,"Ativo")=0,"Equipe "&amp;$K1115,INDEX(Pessoas!$A$5:$A$44,_xludf.aggregate(15,6,(ROW(Pessoas!$A$5:$A$44)-4)/((Pessoas!$C$5:$C$44=$K1115)*(Pessoas!$G$5:$G$44="Ativo")),MOD(ROW()-6,MAX(1,COUNTIFS(Pessoas!$C$5:$C$44,$K1115,Pessoas!$G$5:$G$44,"Ativo")))+1)))</f>
        <v>Equipe Oficina Mecânica Central-Taisa</v>
      </c>
    </row>
    <row r="1116" spans="1:12" ht="15" customHeight="1" x14ac:dyDescent="0.4">
      <c r="A1116" s="25">
        <v>46421</v>
      </c>
      <c r="B1116" s="16">
        <v>23</v>
      </c>
      <c r="C1116" s="16">
        <v>2</v>
      </c>
      <c r="D1116" s="16">
        <v>2</v>
      </c>
      <c r="E1116" s="16" t="s">
        <v>980</v>
      </c>
      <c r="F1116" s="16" t="s">
        <v>992</v>
      </c>
      <c r="G1116" s="16" t="s">
        <v>184</v>
      </c>
      <c r="H1116" s="16" t="s">
        <v>138</v>
      </c>
      <c r="I1116" s="22" t="s">
        <v>856</v>
      </c>
      <c r="J1116" s="16">
        <f>IFERROR(INDEX(Aux_HH!$J$4:$J$31,MATCH($H1116&amp;"|"&amp;$I1116,Aux_HH!$A$4:$A$31,0)),"")</f>
        <v>3</v>
      </c>
      <c r="K1116" s="16" t="s">
        <v>76</v>
      </c>
      <c r="L1116" s="16" t="str">
        <f>IF(COUNTIFS(Pessoas!$C$5:$C$44,$K1116,Pessoas!$G$5:$G$44,"Ativo")=0,"Equipe "&amp;$K1116,INDEX(Pessoas!$A$5:$A$44,_xludf.aggregate(15,6,(ROW(Pessoas!$A$5:$A$44)-4)/((Pessoas!$C$5:$C$44=$K1116)*(Pessoas!$G$5:$G$44="Ativo")),MOD(ROW()-6,MAX(1,COUNTIFS(Pessoas!$C$5:$C$44,$K1116,Pessoas!$G$5:$G$44,"Ativo")))+1)))</f>
        <v>Equipe Oficina Mecânica Central-Taisa</v>
      </c>
    </row>
    <row r="1117" spans="1:12" ht="15" customHeight="1" x14ac:dyDescent="0.4">
      <c r="A1117" s="25">
        <v>46421</v>
      </c>
      <c r="B1117" s="16">
        <v>23</v>
      </c>
      <c r="C1117" s="16">
        <v>2</v>
      </c>
      <c r="D1117" s="16">
        <v>2</v>
      </c>
      <c r="E1117" s="16" t="s">
        <v>980</v>
      </c>
      <c r="F1117" s="16" t="s">
        <v>1059</v>
      </c>
      <c r="G1117" s="16" t="s">
        <v>688</v>
      </c>
      <c r="H1117" s="16" t="s">
        <v>143</v>
      </c>
      <c r="I1117" s="22" t="s">
        <v>864</v>
      </c>
      <c r="J1117" s="16">
        <f>IFERROR(INDEX(Aux_HH!$J$4:$J$31,MATCH($H1117&amp;"|"&amp;$I1117,Aux_HH!$A$4:$A$31,0)),"")</f>
        <v>8</v>
      </c>
      <c r="K1117" s="16" t="s">
        <v>76</v>
      </c>
      <c r="L1117" s="16" t="str">
        <f>IF(COUNTIFS(Pessoas!$C$5:$C$44,$K1117,Pessoas!$G$5:$G$44,"Ativo")=0,"Equipe "&amp;$K1117,INDEX(Pessoas!$A$5:$A$44,_xludf.aggregate(15,6,(ROW(Pessoas!$A$5:$A$44)-4)/((Pessoas!$C$5:$C$44=$K1117)*(Pessoas!$G$5:$G$44="Ativo")),MOD(ROW()-6,MAX(1,COUNTIFS(Pessoas!$C$5:$C$44,$K1117,Pessoas!$G$5:$G$44,"Ativo")))+1)))</f>
        <v>Equipe Oficina Mecânica Central-Taisa</v>
      </c>
    </row>
    <row r="1118" spans="1:12" ht="15" customHeight="1" x14ac:dyDescent="0.4">
      <c r="A1118" s="25">
        <v>46421</v>
      </c>
      <c r="B1118" s="16">
        <v>23</v>
      </c>
      <c r="C1118" s="16">
        <v>2</v>
      </c>
      <c r="D1118" s="16">
        <v>2</v>
      </c>
      <c r="E1118" s="16" t="s">
        <v>980</v>
      </c>
      <c r="F1118" s="16" t="s">
        <v>1030</v>
      </c>
      <c r="G1118" s="16" t="s">
        <v>526</v>
      </c>
      <c r="H1118" s="16" t="s">
        <v>143</v>
      </c>
      <c r="I1118" s="22" t="s">
        <v>864</v>
      </c>
      <c r="J1118" s="16">
        <f>IFERROR(INDEX(Aux_HH!$J$4:$J$31,MATCH($H1118&amp;"|"&amp;$I1118,Aux_HH!$A$4:$A$31,0)),"")</f>
        <v>8</v>
      </c>
      <c r="K1118" s="16" t="s">
        <v>76</v>
      </c>
      <c r="L1118" s="16" t="str">
        <f>IF(COUNTIFS(Pessoas!$C$5:$C$44,$K1118,Pessoas!$G$5:$G$44,"Ativo")=0,"Equipe "&amp;$K1118,INDEX(Pessoas!$A$5:$A$44,_xludf.aggregate(15,6,(ROW(Pessoas!$A$5:$A$44)-4)/((Pessoas!$C$5:$C$44=$K1118)*(Pessoas!$G$5:$G$44="Ativo")),MOD(ROW()-6,MAX(1,COUNTIFS(Pessoas!$C$5:$C$44,$K1118,Pessoas!$G$5:$G$44,"Ativo")))+1)))</f>
        <v>Equipe Oficina Mecânica Central-Taisa</v>
      </c>
    </row>
    <row r="1119" spans="1:12" ht="15" customHeight="1" x14ac:dyDescent="0.4">
      <c r="A1119" s="25">
        <v>46421</v>
      </c>
      <c r="B1119" s="16">
        <v>23</v>
      </c>
      <c r="C1119" s="16">
        <v>2</v>
      </c>
      <c r="D1119" s="16">
        <v>2</v>
      </c>
      <c r="E1119" s="16" t="s">
        <v>980</v>
      </c>
      <c r="F1119" s="16" t="s">
        <v>1031</v>
      </c>
      <c r="G1119" s="16" t="s">
        <v>526</v>
      </c>
      <c r="H1119" s="16" t="s">
        <v>143</v>
      </c>
      <c r="I1119" s="22" t="s">
        <v>864</v>
      </c>
      <c r="J1119" s="16">
        <f>IFERROR(INDEX(Aux_HH!$J$4:$J$31,MATCH($H1119&amp;"|"&amp;$I1119,Aux_HH!$A$4:$A$31,0)),"")</f>
        <v>8</v>
      </c>
      <c r="K1119" s="16" t="s">
        <v>76</v>
      </c>
      <c r="L1119" s="16" t="str">
        <f>IF(COUNTIFS(Pessoas!$C$5:$C$44,$K1119,Pessoas!$G$5:$G$44,"Ativo")=0,"Equipe "&amp;$K1119,INDEX(Pessoas!$A$5:$A$44,_xludf.aggregate(15,6,(ROW(Pessoas!$A$5:$A$44)-4)/((Pessoas!$C$5:$C$44=$K1119)*(Pessoas!$G$5:$G$44="Ativo")),MOD(ROW()-6,MAX(1,COUNTIFS(Pessoas!$C$5:$C$44,$K1119,Pessoas!$G$5:$G$44,"Ativo")))+1)))</f>
        <v>Equipe Oficina Mecânica Central-Taisa</v>
      </c>
    </row>
    <row r="1120" spans="1:12" ht="15" customHeight="1" x14ac:dyDescent="0.4">
      <c r="A1120" s="25">
        <v>46421</v>
      </c>
      <c r="B1120" s="16">
        <v>23</v>
      </c>
      <c r="C1120" s="16">
        <v>2</v>
      </c>
      <c r="D1120" s="16">
        <v>2</v>
      </c>
      <c r="E1120" s="16" t="s">
        <v>980</v>
      </c>
      <c r="F1120" s="16" t="s">
        <v>1032</v>
      </c>
      <c r="G1120" s="16" t="s">
        <v>526</v>
      </c>
      <c r="H1120" s="16" t="s">
        <v>143</v>
      </c>
      <c r="I1120" s="22" t="s">
        <v>864</v>
      </c>
      <c r="J1120" s="16">
        <f>IFERROR(INDEX(Aux_HH!$J$4:$J$31,MATCH($H1120&amp;"|"&amp;$I1120,Aux_HH!$A$4:$A$31,0)),"")</f>
        <v>8</v>
      </c>
      <c r="K1120" s="16" t="s">
        <v>76</v>
      </c>
      <c r="L1120" s="16" t="str">
        <f>IF(COUNTIFS(Pessoas!$C$5:$C$44,$K1120,Pessoas!$G$5:$G$44,"Ativo")=0,"Equipe "&amp;$K1120,INDEX(Pessoas!$A$5:$A$44,_xludf.aggregate(15,6,(ROW(Pessoas!$A$5:$A$44)-4)/((Pessoas!$C$5:$C$44=$K1120)*(Pessoas!$G$5:$G$44="Ativo")),MOD(ROW()-6,MAX(1,COUNTIFS(Pessoas!$C$5:$C$44,$K1120,Pessoas!$G$5:$G$44,"Ativo")))+1)))</f>
        <v>Equipe Oficina Mecânica Central-Taisa</v>
      </c>
    </row>
    <row r="1121" spans="1:12" ht="15" customHeight="1" x14ac:dyDescent="0.4">
      <c r="A1121" s="25">
        <v>46421</v>
      </c>
      <c r="B1121" s="16">
        <v>23</v>
      </c>
      <c r="C1121" s="16">
        <v>2</v>
      </c>
      <c r="D1121" s="16">
        <v>2</v>
      </c>
      <c r="E1121" s="16" t="s">
        <v>980</v>
      </c>
      <c r="F1121" s="16" t="s">
        <v>1033</v>
      </c>
      <c r="G1121" s="16" t="s">
        <v>526</v>
      </c>
      <c r="H1121" s="16" t="s">
        <v>143</v>
      </c>
      <c r="I1121" s="22" t="s">
        <v>864</v>
      </c>
      <c r="J1121" s="16">
        <f>IFERROR(INDEX(Aux_HH!$J$4:$J$31,MATCH($H1121&amp;"|"&amp;$I1121,Aux_HH!$A$4:$A$31,0)),"")</f>
        <v>8</v>
      </c>
      <c r="K1121" s="16" t="s">
        <v>76</v>
      </c>
      <c r="L1121" s="16" t="str">
        <f>IF(COUNTIFS(Pessoas!$C$5:$C$44,$K1121,Pessoas!$G$5:$G$44,"Ativo")=0,"Equipe "&amp;$K1121,INDEX(Pessoas!$A$5:$A$44,_xludf.aggregate(15,6,(ROW(Pessoas!$A$5:$A$44)-4)/((Pessoas!$C$5:$C$44=$K1121)*(Pessoas!$G$5:$G$44="Ativo")),MOD(ROW()-6,MAX(1,COUNTIFS(Pessoas!$C$5:$C$44,$K1121,Pessoas!$G$5:$G$44,"Ativo")))+1)))</f>
        <v>Equipe Oficina Mecânica Central-Taisa</v>
      </c>
    </row>
    <row r="1122" spans="1:12" ht="15" customHeight="1" x14ac:dyDescent="0.4">
      <c r="A1122" s="25">
        <v>46421</v>
      </c>
      <c r="B1122" s="16">
        <v>23</v>
      </c>
      <c r="C1122" s="16">
        <v>2</v>
      </c>
      <c r="D1122" s="16">
        <v>2</v>
      </c>
      <c r="E1122" s="16" t="s">
        <v>980</v>
      </c>
      <c r="F1122" s="16" t="s">
        <v>1034</v>
      </c>
      <c r="G1122" s="16" t="s">
        <v>526</v>
      </c>
      <c r="H1122" s="16" t="s">
        <v>143</v>
      </c>
      <c r="I1122" s="22" t="s">
        <v>864</v>
      </c>
      <c r="J1122" s="16">
        <f>IFERROR(INDEX(Aux_HH!$J$4:$J$31,MATCH($H1122&amp;"|"&amp;$I1122,Aux_HH!$A$4:$A$31,0)),"")</f>
        <v>8</v>
      </c>
      <c r="K1122" s="16" t="s">
        <v>76</v>
      </c>
      <c r="L1122" s="16" t="str">
        <f>IF(COUNTIFS(Pessoas!$C$5:$C$44,$K1122,Pessoas!$G$5:$G$44,"Ativo")=0,"Equipe "&amp;$K1122,INDEX(Pessoas!$A$5:$A$44,_xludf.aggregate(15,6,(ROW(Pessoas!$A$5:$A$44)-4)/((Pessoas!$C$5:$C$44=$K1122)*(Pessoas!$G$5:$G$44="Ativo")),MOD(ROW()-6,MAX(1,COUNTIFS(Pessoas!$C$5:$C$44,$K1122,Pessoas!$G$5:$G$44,"Ativo")))+1)))</f>
        <v>Equipe Oficina Mecânica Central-Taisa</v>
      </c>
    </row>
    <row r="1123" spans="1:12" ht="15" customHeight="1" x14ac:dyDescent="0.4">
      <c r="A1123" s="25">
        <v>46421</v>
      </c>
      <c r="B1123" s="16">
        <v>23</v>
      </c>
      <c r="C1123" s="16">
        <v>2</v>
      </c>
      <c r="D1123" s="16">
        <v>2</v>
      </c>
      <c r="E1123" s="16" t="s">
        <v>980</v>
      </c>
      <c r="F1123" s="16" t="s">
        <v>1035</v>
      </c>
      <c r="G1123" s="16" t="s">
        <v>184</v>
      </c>
      <c r="H1123" s="16" t="s">
        <v>143</v>
      </c>
      <c r="I1123" s="22" t="s">
        <v>864</v>
      </c>
      <c r="J1123" s="16">
        <f>IFERROR(INDEX(Aux_HH!$J$4:$J$31,MATCH($H1123&amp;"|"&amp;$I1123,Aux_HH!$A$4:$A$31,0)),"")</f>
        <v>8</v>
      </c>
      <c r="K1123" s="16" t="s">
        <v>76</v>
      </c>
      <c r="L1123" s="16" t="str">
        <f>IF(COUNTIFS(Pessoas!$C$5:$C$44,$K1123,Pessoas!$G$5:$G$44,"Ativo")=0,"Equipe "&amp;$K1123,INDEX(Pessoas!$A$5:$A$44,_xludf.aggregate(15,6,(ROW(Pessoas!$A$5:$A$44)-4)/((Pessoas!$C$5:$C$44=$K1123)*(Pessoas!$G$5:$G$44="Ativo")),MOD(ROW()-6,MAX(1,COUNTIFS(Pessoas!$C$5:$C$44,$K1123,Pessoas!$G$5:$G$44,"Ativo")))+1)))</f>
        <v>Equipe Oficina Mecânica Central-Taisa</v>
      </c>
    </row>
    <row r="1124" spans="1:12" ht="15" customHeight="1" x14ac:dyDescent="0.4">
      <c r="A1124" s="25">
        <v>46421</v>
      </c>
      <c r="B1124" s="16">
        <v>23</v>
      </c>
      <c r="C1124" s="16">
        <v>2</v>
      </c>
      <c r="D1124" s="16">
        <v>2</v>
      </c>
      <c r="E1124" s="16" t="s">
        <v>980</v>
      </c>
      <c r="F1124" s="16" t="s">
        <v>1036</v>
      </c>
      <c r="G1124" s="16" t="s">
        <v>184</v>
      </c>
      <c r="H1124" s="16" t="s">
        <v>143</v>
      </c>
      <c r="I1124" s="22" t="s">
        <v>864</v>
      </c>
      <c r="J1124" s="16">
        <f>IFERROR(INDEX(Aux_HH!$J$4:$J$31,MATCH($H1124&amp;"|"&amp;$I1124,Aux_HH!$A$4:$A$31,0)),"")</f>
        <v>8</v>
      </c>
      <c r="K1124" s="16" t="s">
        <v>76</v>
      </c>
      <c r="L1124" s="16" t="str">
        <f>IF(COUNTIFS(Pessoas!$C$5:$C$44,$K1124,Pessoas!$G$5:$G$44,"Ativo")=0,"Equipe "&amp;$K1124,INDEX(Pessoas!$A$5:$A$44,_xludf.aggregate(15,6,(ROW(Pessoas!$A$5:$A$44)-4)/((Pessoas!$C$5:$C$44=$K1124)*(Pessoas!$G$5:$G$44="Ativo")),MOD(ROW()-6,MAX(1,COUNTIFS(Pessoas!$C$5:$C$44,$K1124,Pessoas!$G$5:$G$44,"Ativo")))+1)))</f>
        <v>Equipe Oficina Mecânica Central-Taisa</v>
      </c>
    </row>
    <row r="1125" spans="1:12" ht="15" customHeight="1" x14ac:dyDescent="0.4">
      <c r="A1125" s="25">
        <v>46422</v>
      </c>
      <c r="B1125" s="16">
        <v>23</v>
      </c>
      <c r="C1125" s="16">
        <v>2</v>
      </c>
      <c r="D1125" s="16">
        <v>2</v>
      </c>
      <c r="E1125" s="16" t="s">
        <v>980</v>
      </c>
      <c r="F1125" s="16" t="s">
        <v>1066</v>
      </c>
      <c r="G1125" s="16" t="s">
        <v>184</v>
      </c>
      <c r="H1125" s="16" t="s">
        <v>143</v>
      </c>
      <c r="I1125" s="22" t="s">
        <v>864</v>
      </c>
      <c r="J1125" s="16">
        <f>IFERROR(INDEX(Aux_HH!$J$4:$J$31,MATCH($H1125&amp;"|"&amp;$I1125,Aux_HH!$A$4:$A$31,0)),"")</f>
        <v>8</v>
      </c>
      <c r="K1125" s="16" t="s">
        <v>76</v>
      </c>
      <c r="L1125" s="16" t="str">
        <f>IF(COUNTIFS(Pessoas!$C$5:$C$44,$K1125,Pessoas!$G$5:$G$44,"Ativo")=0,"Equipe "&amp;$K1125,INDEX(Pessoas!$A$5:$A$44,_xludf.aggregate(15,6,(ROW(Pessoas!$A$5:$A$44)-4)/((Pessoas!$C$5:$C$44=$K1125)*(Pessoas!$G$5:$G$44="Ativo")),MOD(ROW()-6,MAX(1,COUNTIFS(Pessoas!$C$5:$C$44,$K1125,Pessoas!$G$5:$G$44,"Ativo")))+1)))</f>
        <v>Equipe Oficina Mecânica Central-Taisa</v>
      </c>
    </row>
    <row r="1126" spans="1:12" ht="15" customHeight="1" x14ac:dyDescent="0.4">
      <c r="A1126" s="25">
        <v>46422</v>
      </c>
      <c r="B1126" s="16">
        <v>23</v>
      </c>
      <c r="C1126" s="16">
        <v>2</v>
      </c>
      <c r="D1126" s="16">
        <v>2</v>
      </c>
      <c r="E1126" s="16" t="s">
        <v>980</v>
      </c>
      <c r="F1126" s="16" t="s">
        <v>1067</v>
      </c>
      <c r="G1126" s="16" t="s">
        <v>184</v>
      </c>
      <c r="H1126" s="16" t="s">
        <v>143</v>
      </c>
      <c r="I1126" s="22" t="s">
        <v>864</v>
      </c>
      <c r="J1126" s="16">
        <f>IFERROR(INDEX(Aux_HH!$J$4:$J$31,MATCH($H1126&amp;"|"&amp;$I1126,Aux_HH!$A$4:$A$31,0)),"")</f>
        <v>8</v>
      </c>
      <c r="K1126" s="16" t="s">
        <v>76</v>
      </c>
      <c r="L1126" s="16" t="str">
        <f>IF(COUNTIFS(Pessoas!$C$5:$C$44,$K1126,Pessoas!$G$5:$G$44,"Ativo")=0,"Equipe "&amp;$K1126,INDEX(Pessoas!$A$5:$A$44,_xludf.aggregate(15,6,(ROW(Pessoas!$A$5:$A$44)-4)/((Pessoas!$C$5:$C$44=$K1126)*(Pessoas!$G$5:$G$44="Ativo")),MOD(ROW()-6,MAX(1,COUNTIFS(Pessoas!$C$5:$C$44,$K1126,Pessoas!$G$5:$G$44,"Ativo")))+1)))</f>
        <v>Equipe Oficina Mecânica Central-Taisa</v>
      </c>
    </row>
    <row r="1127" spans="1:12" ht="15" customHeight="1" x14ac:dyDescent="0.4">
      <c r="A1127" s="25">
        <v>46422</v>
      </c>
      <c r="B1127" s="16">
        <v>23</v>
      </c>
      <c r="C1127" s="16">
        <v>2</v>
      </c>
      <c r="D1127" s="16">
        <v>2</v>
      </c>
      <c r="E1127" s="16" t="s">
        <v>980</v>
      </c>
      <c r="F1127" s="16" t="s">
        <v>1068</v>
      </c>
      <c r="G1127" s="16" t="s">
        <v>184</v>
      </c>
      <c r="H1127" s="16" t="s">
        <v>143</v>
      </c>
      <c r="I1127" s="22" t="s">
        <v>864</v>
      </c>
      <c r="J1127" s="16">
        <f>IFERROR(INDEX(Aux_HH!$J$4:$J$31,MATCH($H1127&amp;"|"&amp;$I1127,Aux_HH!$A$4:$A$31,0)),"")</f>
        <v>8</v>
      </c>
      <c r="K1127" s="16" t="s">
        <v>76</v>
      </c>
      <c r="L1127" s="16" t="str">
        <f>IF(COUNTIFS(Pessoas!$C$5:$C$44,$K1127,Pessoas!$G$5:$G$44,"Ativo")=0,"Equipe "&amp;$K1127,INDEX(Pessoas!$A$5:$A$44,_xludf.aggregate(15,6,(ROW(Pessoas!$A$5:$A$44)-4)/((Pessoas!$C$5:$C$44=$K1127)*(Pessoas!$G$5:$G$44="Ativo")),MOD(ROW()-6,MAX(1,COUNTIFS(Pessoas!$C$5:$C$44,$K1127,Pessoas!$G$5:$G$44,"Ativo")))+1)))</f>
        <v>Equipe Oficina Mecânica Central-Taisa</v>
      </c>
    </row>
    <row r="1128" spans="1:12" ht="15" customHeight="1" x14ac:dyDescent="0.4">
      <c r="A1128" s="25">
        <v>46422</v>
      </c>
      <c r="B1128" s="16">
        <v>23</v>
      </c>
      <c r="C1128" s="16">
        <v>2</v>
      </c>
      <c r="D1128" s="16">
        <v>2</v>
      </c>
      <c r="E1128" s="16" t="s">
        <v>980</v>
      </c>
      <c r="F1128" s="16" t="s">
        <v>1069</v>
      </c>
      <c r="G1128" s="16" t="s">
        <v>184</v>
      </c>
      <c r="H1128" s="16" t="s">
        <v>143</v>
      </c>
      <c r="I1128" s="22" t="s">
        <v>864</v>
      </c>
      <c r="J1128" s="16">
        <f>IFERROR(INDEX(Aux_HH!$J$4:$J$31,MATCH($H1128&amp;"|"&amp;$I1128,Aux_HH!$A$4:$A$31,0)),"")</f>
        <v>8</v>
      </c>
      <c r="K1128" s="16" t="s">
        <v>76</v>
      </c>
      <c r="L1128" s="16" t="str">
        <f>IF(COUNTIFS(Pessoas!$C$5:$C$44,$K1128,Pessoas!$G$5:$G$44,"Ativo")=0,"Equipe "&amp;$K1128,INDEX(Pessoas!$A$5:$A$44,_xludf.aggregate(15,6,(ROW(Pessoas!$A$5:$A$44)-4)/((Pessoas!$C$5:$C$44=$K1128)*(Pessoas!$G$5:$G$44="Ativo")),MOD(ROW()-6,MAX(1,COUNTIFS(Pessoas!$C$5:$C$44,$K1128,Pessoas!$G$5:$G$44,"Ativo")))+1)))</f>
        <v>Equipe Oficina Mecânica Central-Taisa</v>
      </c>
    </row>
    <row r="1129" spans="1:12" ht="15" customHeight="1" x14ac:dyDescent="0.4">
      <c r="A1129" s="25">
        <v>46422</v>
      </c>
      <c r="B1129" s="16">
        <v>23</v>
      </c>
      <c r="C1129" s="16">
        <v>2</v>
      </c>
      <c r="D1129" s="16">
        <v>2</v>
      </c>
      <c r="E1129" s="16" t="s">
        <v>980</v>
      </c>
      <c r="F1129" s="16" t="s">
        <v>1070</v>
      </c>
      <c r="G1129" s="16" t="s">
        <v>184</v>
      </c>
      <c r="H1129" s="16" t="s">
        <v>143</v>
      </c>
      <c r="I1129" s="22" t="s">
        <v>864</v>
      </c>
      <c r="J1129" s="16">
        <f>IFERROR(INDEX(Aux_HH!$J$4:$J$31,MATCH($H1129&amp;"|"&amp;$I1129,Aux_HH!$A$4:$A$31,0)),"")</f>
        <v>8</v>
      </c>
      <c r="K1129" s="16" t="s">
        <v>76</v>
      </c>
      <c r="L1129" s="16" t="str">
        <f>IF(COUNTIFS(Pessoas!$C$5:$C$44,$K1129,Pessoas!$G$5:$G$44,"Ativo")=0,"Equipe "&amp;$K1129,INDEX(Pessoas!$A$5:$A$44,_xludf.aggregate(15,6,(ROW(Pessoas!$A$5:$A$44)-4)/((Pessoas!$C$5:$C$44=$K1129)*(Pessoas!$G$5:$G$44="Ativo")),MOD(ROW()-6,MAX(1,COUNTIFS(Pessoas!$C$5:$C$44,$K1129,Pessoas!$G$5:$G$44,"Ativo")))+1)))</f>
        <v>Equipe Oficina Mecânica Central-Taisa</v>
      </c>
    </row>
    <row r="1130" spans="1:12" ht="15" customHeight="1" x14ac:dyDescent="0.4">
      <c r="A1130" s="25">
        <v>46422</v>
      </c>
      <c r="B1130" s="16">
        <v>23</v>
      </c>
      <c r="C1130" s="16">
        <v>2</v>
      </c>
      <c r="D1130" s="16">
        <v>2</v>
      </c>
      <c r="E1130" s="16" t="s">
        <v>980</v>
      </c>
      <c r="F1130" s="16" t="s">
        <v>1071</v>
      </c>
      <c r="G1130" s="16" t="s">
        <v>184</v>
      </c>
      <c r="H1130" s="16" t="s">
        <v>143</v>
      </c>
      <c r="I1130" s="22" t="s">
        <v>864</v>
      </c>
      <c r="J1130" s="16">
        <f>IFERROR(INDEX(Aux_HH!$J$4:$J$31,MATCH($H1130&amp;"|"&amp;$I1130,Aux_HH!$A$4:$A$31,0)),"")</f>
        <v>8</v>
      </c>
      <c r="K1130" s="16" t="s">
        <v>76</v>
      </c>
      <c r="L1130" s="16" t="str">
        <f>IF(COUNTIFS(Pessoas!$C$5:$C$44,$K1130,Pessoas!$G$5:$G$44,"Ativo")=0,"Equipe "&amp;$K1130,INDEX(Pessoas!$A$5:$A$44,_xludf.aggregate(15,6,(ROW(Pessoas!$A$5:$A$44)-4)/((Pessoas!$C$5:$C$44=$K1130)*(Pessoas!$G$5:$G$44="Ativo")),MOD(ROW()-6,MAX(1,COUNTIFS(Pessoas!$C$5:$C$44,$K1130,Pessoas!$G$5:$G$44,"Ativo")))+1)))</f>
        <v>Equipe Oficina Mecânica Central-Taisa</v>
      </c>
    </row>
    <row r="1131" spans="1:12" ht="15" customHeight="1" x14ac:dyDescent="0.4">
      <c r="A1131" s="25">
        <v>46422</v>
      </c>
      <c r="B1131" s="16">
        <v>23</v>
      </c>
      <c r="C1131" s="16">
        <v>2</v>
      </c>
      <c r="D1131" s="16">
        <v>2</v>
      </c>
      <c r="E1131" s="16" t="s">
        <v>980</v>
      </c>
      <c r="F1131" s="16" t="s">
        <v>1072</v>
      </c>
      <c r="G1131" s="16" t="s">
        <v>184</v>
      </c>
      <c r="H1131" s="16" t="s">
        <v>143</v>
      </c>
      <c r="I1131" s="22" t="s">
        <v>864</v>
      </c>
      <c r="J1131" s="16">
        <f>IFERROR(INDEX(Aux_HH!$J$4:$J$31,MATCH($H1131&amp;"|"&amp;$I1131,Aux_HH!$A$4:$A$31,0)),"")</f>
        <v>8</v>
      </c>
      <c r="K1131" s="16" t="s">
        <v>76</v>
      </c>
      <c r="L1131" s="16" t="str">
        <f>IF(COUNTIFS(Pessoas!$C$5:$C$44,$K1131,Pessoas!$G$5:$G$44,"Ativo")=0,"Equipe "&amp;$K1131,INDEX(Pessoas!$A$5:$A$44,_xludf.aggregate(15,6,(ROW(Pessoas!$A$5:$A$44)-4)/((Pessoas!$C$5:$C$44=$K1131)*(Pessoas!$G$5:$G$44="Ativo")),MOD(ROW()-6,MAX(1,COUNTIFS(Pessoas!$C$5:$C$44,$K1131,Pessoas!$G$5:$G$44,"Ativo")))+1)))</f>
        <v>Equipe Oficina Mecânica Central-Taisa</v>
      </c>
    </row>
    <row r="1132" spans="1:12" ht="15" customHeight="1" x14ac:dyDescent="0.4">
      <c r="A1132" s="25">
        <v>46422</v>
      </c>
      <c r="B1132" s="16">
        <v>23</v>
      </c>
      <c r="C1132" s="16">
        <v>2</v>
      </c>
      <c r="D1132" s="16">
        <v>2</v>
      </c>
      <c r="E1132" s="16" t="s">
        <v>980</v>
      </c>
      <c r="F1132" s="16" t="s">
        <v>1073</v>
      </c>
      <c r="G1132" s="16" t="s">
        <v>184</v>
      </c>
      <c r="H1132" s="16" t="s">
        <v>143</v>
      </c>
      <c r="I1132" s="22" t="s">
        <v>864</v>
      </c>
      <c r="J1132" s="16">
        <f>IFERROR(INDEX(Aux_HH!$J$4:$J$31,MATCH($H1132&amp;"|"&amp;$I1132,Aux_HH!$A$4:$A$31,0)),"")</f>
        <v>8</v>
      </c>
      <c r="K1132" s="16" t="s">
        <v>76</v>
      </c>
      <c r="L1132" s="16" t="str">
        <f>IF(COUNTIFS(Pessoas!$C$5:$C$44,$K1132,Pessoas!$G$5:$G$44,"Ativo")=0,"Equipe "&amp;$K1132,INDEX(Pessoas!$A$5:$A$44,_xludf.aggregate(15,6,(ROW(Pessoas!$A$5:$A$44)-4)/((Pessoas!$C$5:$C$44=$K1132)*(Pessoas!$G$5:$G$44="Ativo")),MOD(ROW()-6,MAX(1,COUNTIFS(Pessoas!$C$5:$C$44,$K1132,Pessoas!$G$5:$G$44,"Ativo")))+1)))</f>
        <v>Equipe Oficina Mecânica Central-Taisa</v>
      </c>
    </row>
    <row r="1133" spans="1:12" ht="15" customHeight="1" x14ac:dyDescent="0.4">
      <c r="A1133" s="25">
        <v>46422</v>
      </c>
      <c r="B1133" s="16">
        <v>23</v>
      </c>
      <c r="C1133" s="16">
        <v>2</v>
      </c>
      <c r="D1133" s="16">
        <v>2</v>
      </c>
      <c r="E1133" s="16" t="s">
        <v>980</v>
      </c>
      <c r="F1133" s="16" t="s">
        <v>993</v>
      </c>
      <c r="G1133" s="16" t="s">
        <v>184</v>
      </c>
      <c r="H1133" s="16" t="s">
        <v>138</v>
      </c>
      <c r="I1133" s="22" t="s">
        <v>856</v>
      </c>
      <c r="J1133" s="16">
        <f>IFERROR(INDEX(Aux_HH!$J$4:$J$31,MATCH($H1133&amp;"|"&amp;$I1133,Aux_HH!$A$4:$A$31,0)),"")</f>
        <v>3</v>
      </c>
      <c r="K1133" s="16" t="s">
        <v>76</v>
      </c>
      <c r="L1133" s="16" t="str">
        <f>IF(COUNTIFS(Pessoas!$C$5:$C$44,$K1133,Pessoas!$G$5:$G$44,"Ativo")=0,"Equipe "&amp;$K1133,INDEX(Pessoas!$A$5:$A$44,_xludf.aggregate(15,6,(ROW(Pessoas!$A$5:$A$44)-4)/((Pessoas!$C$5:$C$44=$K1133)*(Pessoas!$G$5:$G$44="Ativo")),MOD(ROW()-6,MAX(1,COUNTIFS(Pessoas!$C$5:$C$44,$K1133,Pessoas!$G$5:$G$44,"Ativo")))+1)))</f>
        <v>Equipe Oficina Mecânica Central-Taisa</v>
      </c>
    </row>
    <row r="1134" spans="1:12" ht="15" customHeight="1" x14ac:dyDescent="0.4">
      <c r="A1134" s="25">
        <v>46422</v>
      </c>
      <c r="B1134" s="16">
        <v>23</v>
      </c>
      <c r="C1134" s="16">
        <v>2</v>
      </c>
      <c r="D1134" s="16">
        <v>2</v>
      </c>
      <c r="E1134" s="16" t="s">
        <v>980</v>
      </c>
      <c r="F1134" s="16" t="s">
        <v>1045</v>
      </c>
      <c r="G1134" s="16" t="s">
        <v>526</v>
      </c>
      <c r="H1134" s="16" t="s">
        <v>143</v>
      </c>
      <c r="I1134" s="22" t="s">
        <v>864</v>
      </c>
      <c r="J1134" s="16">
        <f>IFERROR(INDEX(Aux_HH!$J$4:$J$31,MATCH($H1134&amp;"|"&amp;$I1134,Aux_HH!$A$4:$A$31,0)),"")</f>
        <v>8</v>
      </c>
      <c r="K1134" s="16" t="s">
        <v>76</v>
      </c>
      <c r="L1134" s="16" t="str">
        <f>IF(COUNTIFS(Pessoas!$C$5:$C$44,$K1134,Pessoas!$G$5:$G$44,"Ativo")=0,"Equipe "&amp;$K1134,INDEX(Pessoas!$A$5:$A$44,_xludf.aggregate(15,6,(ROW(Pessoas!$A$5:$A$44)-4)/((Pessoas!$C$5:$C$44=$K1134)*(Pessoas!$G$5:$G$44="Ativo")),MOD(ROW()-6,MAX(1,COUNTIFS(Pessoas!$C$5:$C$44,$K1134,Pessoas!$G$5:$G$44,"Ativo")))+1)))</f>
        <v>Equipe Oficina Mecânica Central-Taisa</v>
      </c>
    </row>
    <row r="1135" spans="1:12" ht="15" customHeight="1" x14ac:dyDescent="0.4">
      <c r="A1135" s="25">
        <v>46422</v>
      </c>
      <c r="B1135" s="16">
        <v>23</v>
      </c>
      <c r="C1135" s="16">
        <v>2</v>
      </c>
      <c r="D1135" s="16">
        <v>2</v>
      </c>
      <c r="E1135" s="16" t="s">
        <v>980</v>
      </c>
      <c r="F1135" s="16" t="s">
        <v>1046</v>
      </c>
      <c r="G1135" s="16" t="s">
        <v>526</v>
      </c>
      <c r="H1135" s="16" t="s">
        <v>143</v>
      </c>
      <c r="I1135" s="22" t="s">
        <v>864</v>
      </c>
      <c r="J1135" s="16">
        <f>IFERROR(INDEX(Aux_HH!$J$4:$J$31,MATCH($H1135&amp;"|"&amp;$I1135,Aux_HH!$A$4:$A$31,0)),"")</f>
        <v>8</v>
      </c>
      <c r="K1135" s="16" t="s">
        <v>76</v>
      </c>
      <c r="L1135" s="16" t="str">
        <f>IF(COUNTIFS(Pessoas!$C$5:$C$44,$K1135,Pessoas!$G$5:$G$44,"Ativo")=0,"Equipe "&amp;$K1135,INDEX(Pessoas!$A$5:$A$44,_xludf.aggregate(15,6,(ROW(Pessoas!$A$5:$A$44)-4)/((Pessoas!$C$5:$C$44=$K1135)*(Pessoas!$G$5:$G$44="Ativo")),MOD(ROW()-6,MAX(1,COUNTIFS(Pessoas!$C$5:$C$44,$K1135,Pessoas!$G$5:$G$44,"Ativo")))+1)))</f>
        <v>Equipe Oficina Mecânica Central-Taisa</v>
      </c>
    </row>
    <row r="1136" spans="1:12" ht="15" customHeight="1" x14ac:dyDescent="0.4">
      <c r="A1136" s="25">
        <v>46422</v>
      </c>
      <c r="B1136" s="16">
        <v>23</v>
      </c>
      <c r="C1136" s="16">
        <v>2</v>
      </c>
      <c r="D1136" s="16">
        <v>2</v>
      </c>
      <c r="E1136" s="16" t="s">
        <v>980</v>
      </c>
      <c r="F1136" s="16" t="s">
        <v>1047</v>
      </c>
      <c r="G1136" s="16" t="s">
        <v>526</v>
      </c>
      <c r="H1136" s="16" t="s">
        <v>143</v>
      </c>
      <c r="I1136" s="22" t="s">
        <v>864</v>
      </c>
      <c r="J1136" s="16">
        <f>IFERROR(INDEX(Aux_HH!$J$4:$J$31,MATCH($H1136&amp;"|"&amp;$I1136,Aux_HH!$A$4:$A$31,0)),"")</f>
        <v>8</v>
      </c>
      <c r="K1136" s="16" t="s">
        <v>76</v>
      </c>
      <c r="L1136" s="16" t="str">
        <f>IF(COUNTIFS(Pessoas!$C$5:$C$44,$K1136,Pessoas!$G$5:$G$44,"Ativo")=0,"Equipe "&amp;$K1136,INDEX(Pessoas!$A$5:$A$44,_xludf.aggregate(15,6,(ROW(Pessoas!$A$5:$A$44)-4)/((Pessoas!$C$5:$C$44=$K1136)*(Pessoas!$G$5:$G$44="Ativo")),MOD(ROW()-6,MAX(1,COUNTIFS(Pessoas!$C$5:$C$44,$K1136,Pessoas!$G$5:$G$44,"Ativo")))+1)))</f>
        <v>Equipe Oficina Mecânica Central-Taisa</v>
      </c>
    </row>
    <row r="1137" spans="1:12" ht="15" customHeight="1" x14ac:dyDescent="0.4">
      <c r="A1137" s="25">
        <v>46422</v>
      </c>
      <c r="B1137" s="16">
        <v>23</v>
      </c>
      <c r="C1137" s="16">
        <v>2</v>
      </c>
      <c r="D1137" s="16">
        <v>2</v>
      </c>
      <c r="E1137" s="16" t="s">
        <v>980</v>
      </c>
      <c r="F1137" s="16" t="s">
        <v>1048</v>
      </c>
      <c r="G1137" s="16" t="s">
        <v>526</v>
      </c>
      <c r="H1137" s="16" t="s">
        <v>143</v>
      </c>
      <c r="I1137" s="22" t="s">
        <v>864</v>
      </c>
      <c r="J1137" s="16">
        <f>IFERROR(INDEX(Aux_HH!$J$4:$J$31,MATCH($H1137&amp;"|"&amp;$I1137,Aux_HH!$A$4:$A$31,0)),"")</f>
        <v>8</v>
      </c>
      <c r="K1137" s="16" t="s">
        <v>76</v>
      </c>
      <c r="L1137" s="16" t="str">
        <f>IF(COUNTIFS(Pessoas!$C$5:$C$44,$K1137,Pessoas!$G$5:$G$44,"Ativo")=0,"Equipe "&amp;$K1137,INDEX(Pessoas!$A$5:$A$44,_xludf.aggregate(15,6,(ROW(Pessoas!$A$5:$A$44)-4)/((Pessoas!$C$5:$C$44=$K1137)*(Pessoas!$G$5:$G$44="Ativo")),MOD(ROW()-6,MAX(1,COUNTIFS(Pessoas!$C$5:$C$44,$K1137,Pessoas!$G$5:$G$44,"Ativo")))+1)))</f>
        <v>Equipe Oficina Mecânica Central-Taisa</v>
      </c>
    </row>
    <row r="1138" spans="1:12" ht="15" customHeight="1" x14ac:dyDescent="0.4">
      <c r="A1138" s="25">
        <v>46422</v>
      </c>
      <c r="B1138" s="16">
        <v>23</v>
      </c>
      <c r="C1138" s="16">
        <v>2</v>
      </c>
      <c r="D1138" s="16">
        <v>2</v>
      </c>
      <c r="E1138" s="16" t="s">
        <v>980</v>
      </c>
      <c r="F1138" s="16" t="s">
        <v>1049</v>
      </c>
      <c r="G1138" s="16" t="s">
        <v>526</v>
      </c>
      <c r="H1138" s="16" t="s">
        <v>143</v>
      </c>
      <c r="I1138" s="22" t="s">
        <v>864</v>
      </c>
      <c r="J1138" s="16">
        <f>IFERROR(INDEX(Aux_HH!$J$4:$J$31,MATCH($H1138&amp;"|"&amp;$I1138,Aux_HH!$A$4:$A$31,0)),"")</f>
        <v>8</v>
      </c>
      <c r="K1138" s="16" t="s">
        <v>76</v>
      </c>
      <c r="L1138" s="16" t="str">
        <f>IF(COUNTIFS(Pessoas!$C$5:$C$44,$K1138,Pessoas!$G$5:$G$44,"Ativo")=0,"Equipe "&amp;$K1138,INDEX(Pessoas!$A$5:$A$44,_xludf.aggregate(15,6,(ROW(Pessoas!$A$5:$A$44)-4)/((Pessoas!$C$5:$C$44=$K1138)*(Pessoas!$G$5:$G$44="Ativo")),MOD(ROW()-6,MAX(1,COUNTIFS(Pessoas!$C$5:$C$44,$K1138,Pessoas!$G$5:$G$44,"Ativo")))+1)))</f>
        <v>Equipe Oficina Mecânica Central-Taisa</v>
      </c>
    </row>
    <row r="1139" spans="1:12" ht="15" customHeight="1" x14ac:dyDescent="0.4">
      <c r="A1139" s="25">
        <v>46422</v>
      </c>
      <c r="B1139" s="16">
        <v>23</v>
      </c>
      <c r="C1139" s="16">
        <v>2</v>
      </c>
      <c r="D1139" s="16">
        <v>2</v>
      </c>
      <c r="E1139" s="16" t="s">
        <v>980</v>
      </c>
      <c r="F1139" s="16" t="s">
        <v>1050</v>
      </c>
      <c r="G1139" s="16" t="s">
        <v>526</v>
      </c>
      <c r="H1139" s="16" t="s">
        <v>143</v>
      </c>
      <c r="I1139" s="22" t="s">
        <v>864</v>
      </c>
      <c r="J1139" s="16">
        <f>IFERROR(INDEX(Aux_HH!$J$4:$J$31,MATCH($H1139&amp;"|"&amp;$I1139,Aux_HH!$A$4:$A$31,0)),"")</f>
        <v>8</v>
      </c>
      <c r="K1139" s="16" t="s">
        <v>76</v>
      </c>
      <c r="L1139" s="16" t="str">
        <f>IF(COUNTIFS(Pessoas!$C$5:$C$44,$K1139,Pessoas!$G$5:$G$44,"Ativo")=0,"Equipe "&amp;$K1139,INDEX(Pessoas!$A$5:$A$44,_xludf.aggregate(15,6,(ROW(Pessoas!$A$5:$A$44)-4)/((Pessoas!$C$5:$C$44=$K1139)*(Pessoas!$G$5:$G$44="Ativo")),MOD(ROW()-6,MAX(1,COUNTIFS(Pessoas!$C$5:$C$44,$K1139,Pessoas!$G$5:$G$44,"Ativo")))+1)))</f>
        <v>Equipe Oficina Mecânica Central-Taisa</v>
      </c>
    </row>
    <row r="1140" spans="1:12" ht="15" customHeight="1" x14ac:dyDescent="0.4">
      <c r="A1140" s="25">
        <v>46422</v>
      </c>
      <c r="B1140" s="16">
        <v>23</v>
      </c>
      <c r="C1140" s="16">
        <v>2</v>
      </c>
      <c r="D1140" s="16">
        <v>2</v>
      </c>
      <c r="E1140" s="16" t="s">
        <v>980</v>
      </c>
      <c r="F1140" s="16" t="s">
        <v>1051</v>
      </c>
      <c r="G1140" s="16" t="s">
        <v>184</v>
      </c>
      <c r="H1140" s="16" t="s">
        <v>143</v>
      </c>
      <c r="I1140" s="22" t="s">
        <v>864</v>
      </c>
      <c r="J1140" s="16">
        <f>IFERROR(INDEX(Aux_HH!$J$4:$J$31,MATCH($H1140&amp;"|"&amp;$I1140,Aux_HH!$A$4:$A$31,0)),"")</f>
        <v>8</v>
      </c>
      <c r="K1140" s="16" t="s">
        <v>76</v>
      </c>
      <c r="L1140" s="16" t="str">
        <f>IF(COUNTIFS(Pessoas!$C$5:$C$44,$K1140,Pessoas!$G$5:$G$44,"Ativo")=0,"Equipe "&amp;$K1140,INDEX(Pessoas!$A$5:$A$44,_xludf.aggregate(15,6,(ROW(Pessoas!$A$5:$A$44)-4)/((Pessoas!$C$5:$C$44=$K1140)*(Pessoas!$G$5:$G$44="Ativo")),MOD(ROW()-6,MAX(1,COUNTIFS(Pessoas!$C$5:$C$44,$K1140,Pessoas!$G$5:$G$44,"Ativo")))+1)))</f>
        <v>Equipe Oficina Mecânica Central-Taisa</v>
      </c>
    </row>
    <row r="1141" spans="1:12" ht="15" customHeight="1" x14ac:dyDescent="0.4">
      <c r="A1141" s="25">
        <v>46423</v>
      </c>
      <c r="B1141" s="16">
        <v>23</v>
      </c>
      <c r="C1141" s="16">
        <v>2</v>
      </c>
      <c r="D1141" s="16">
        <v>2</v>
      </c>
      <c r="E1141" s="16" t="s">
        <v>980</v>
      </c>
      <c r="F1141" s="16" t="s">
        <v>1008</v>
      </c>
      <c r="G1141" s="16" t="s">
        <v>184</v>
      </c>
      <c r="H1141" s="16" t="s">
        <v>143</v>
      </c>
      <c r="I1141" s="22" t="s">
        <v>864</v>
      </c>
      <c r="J1141" s="16">
        <f>IFERROR(INDEX(Aux_HH!$J$4:$J$31,MATCH($H1141&amp;"|"&amp;$I1141,Aux_HH!$A$4:$A$31,0)),"")</f>
        <v>8</v>
      </c>
      <c r="K1141" s="16" t="s">
        <v>76</v>
      </c>
      <c r="L1141" s="16" t="str">
        <f>IF(COUNTIFS(Pessoas!$C$5:$C$44,$K1141,Pessoas!$G$5:$G$44,"Ativo")=0,"Equipe "&amp;$K1141,INDEX(Pessoas!$A$5:$A$44,_xludf.aggregate(15,6,(ROW(Pessoas!$A$5:$A$44)-4)/((Pessoas!$C$5:$C$44=$K1141)*(Pessoas!$G$5:$G$44="Ativo")),MOD(ROW()-6,MAX(1,COUNTIFS(Pessoas!$C$5:$C$44,$K1141,Pessoas!$G$5:$G$44,"Ativo")))+1)))</f>
        <v>Equipe Oficina Mecânica Central-Taisa</v>
      </c>
    </row>
    <row r="1142" spans="1:12" ht="15" customHeight="1" x14ac:dyDescent="0.4">
      <c r="A1142" s="25">
        <v>46423</v>
      </c>
      <c r="B1142" s="16">
        <v>23</v>
      </c>
      <c r="C1142" s="16">
        <v>2</v>
      </c>
      <c r="D1142" s="16">
        <v>2</v>
      </c>
      <c r="E1142" s="16" t="s">
        <v>980</v>
      </c>
      <c r="F1142" s="16" t="s">
        <v>1009</v>
      </c>
      <c r="G1142" s="16" t="s">
        <v>184</v>
      </c>
      <c r="H1142" s="16" t="s">
        <v>143</v>
      </c>
      <c r="I1142" s="22" t="s">
        <v>864</v>
      </c>
      <c r="J1142" s="16">
        <f>IFERROR(INDEX(Aux_HH!$J$4:$J$31,MATCH($H1142&amp;"|"&amp;$I1142,Aux_HH!$A$4:$A$31,0)),"")</f>
        <v>8</v>
      </c>
      <c r="K1142" s="16" t="s">
        <v>76</v>
      </c>
      <c r="L1142" s="16" t="str">
        <f>IF(COUNTIFS(Pessoas!$C$5:$C$44,$K1142,Pessoas!$G$5:$G$44,"Ativo")=0,"Equipe "&amp;$K1142,INDEX(Pessoas!$A$5:$A$44,_xludf.aggregate(15,6,(ROW(Pessoas!$A$5:$A$44)-4)/((Pessoas!$C$5:$C$44=$K1142)*(Pessoas!$G$5:$G$44="Ativo")),MOD(ROW()-6,MAX(1,COUNTIFS(Pessoas!$C$5:$C$44,$K1142,Pessoas!$G$5:$G$44,"Ativo")))+1)))</f>
        <v>Equipe Oficina Mecânica Central-Taisa</v>
      </c>
    </row>
    <row r="1143" spans="1:12" ht="15" customHeight="1" x14ac:dyDescent="0.4">
      <c r="A1143" s="25">
        <v>46423</v>
      </c>
      <c r="B1143" s="16">
        <v>23</v>
      </c>
      <c r="C1143" s="16">
        <v>2</v>
      </c>
      <c r="D1143" s="16">
        <v>2</v>
      </c>
      <c r="E1143" s="16" t="s">
        <v>980</v>
      </c>
      <c r="F1143" s="16" t="s">
        <v>1010</v>
      </c>
      <c r="G1143" s="16" t="s">
        <v>184</v>
      </c>
      <c r="H1143" s="16" t="s">
        <v>143</v>
      </c>
      <c r="I1143" s="22" t="s">
        <v>864</v>
      </c>
      <c r="J1143" s="16">
        <f>IFERROR(INDEX(Aux_HH!$J$4:$J$31,MATCH($H1143&amp;"|"&amp;$I1143,Aux_HH!$A$4:$A$31,0)),"")</f>
        <v>8</v>
      </c>
      <c r="K1143" s="16" t="s">
        <v>76</v>
      </c>
      <c r="L1143" s="16" t="str">
        <f>IF(COUNTIFS(Pessoas!$C$5:$C$44,$K1143,Pessoas!$G$5:$G$44,"Ativo")=0,"Equipe "&amp;$K1143,INDEX(Pessoas!$A$5:$A$44,_xludf.aggregate(15,6,(ROW(Pessoas!$A$5:$A$44)-4)/((Pessoas!$C$5:$C$44=$K1143)*(Pessoas!$G$5:$G$44="Ativo")),MOD(ROW()-6,MAX(1,COUNTIFS(Pessoas!$C$5:$C$44,$K1143,Pessoas!$G$5:$G$44,"Ativo")))+1)))</f>
        <v>Equipe Oficina Mecânica Central-Taisa</v>
      </c>
    </row>
    <row r="1144" spans="1:12" ht="15" customHeight="1" x14ac:dyDescent="0.4">
      <c r="A1144" s="25">
        <v>46423</v>
      </c>
      <c r="B1144" s="16">
        <v>23</v>
      </c>
      <c r="C1144" s="16">
        <v>2</v>
      </c>
      <c r="D1144" s="16">
        <v>2</v>
      </c>
      <c r="E1144" s="16" t="s">
        <v>980</v>
      </c>
      <c r="F1144" s="16" t="s">
        <v>1011</v>
      </c>
      <c r="G1144" s="16" t="s">
        <v>184</v>
      </c>
      <c r="H1144" s="16" t="s">
        <v>143</v>
      </c>
      <c r="I1144" s="22" t="s">
        <v>864</v>
      </c>
      <c r="J1144" s="16">
        <f>IFERROR(INDEX(Aux_HH!$J$4:$J$31,MATCH($H1144&amp;"|"&amp;$I1144,Aux_HH!$A$4:$A$31,0)),"")</f>
        <v>8</v>
      </c>
      <c r="K1144" s="16" t="s">
        <v>76</v>
      </c>
      <c r="L1144" s="16" t="str">
        <f>IF(COUNTIFS(Pessoas!$C$5:$C$44,$K1144,Pessoas!$G$5:$G$44,"Ativo")=0,"Equipe "&amp;$K1144,INDEX(Pessoas!$A$5:$A$44,_xludf.aggregate(15,6,(ROW(Pessoas!$A$5:$A$44)-4)/((Pessoas!$C$5:$C$44=$K1144)*(Pessoas!$G$5:$G$44="Ativo")),MOD(ROW()-6,MAX(1,COUNTIFS(Pessoas!$C$5:$C$44,$K1144,Pessoas!$G$5:$G$44,"Ativo")))+1)))</f>
        <v>Equipe Oficina Mecânica Central-Taisa</v>
      </c>
    </row>
    <row r="1145" spans="1:12" ht="15" customHeight="1" x14ac:dyDescent="0.4">
      <c r="A1145" s="25">
        <v>46423</v>
      </c>
      <c r="B1145" s="16">
        <v>23</v>
      </c>
      <c r="C1145" s="16">
        <v>2</v>
      </c>
      <c r="D1145" s="16">
        <v>2</v>
      </c>
      <c r="E1145" s="16" t="s">
        <v>980</v>
      </c>
      <c r="F1145" s="16" t="s">
        <v>1012</v>
      </c>
      <c r="G1145" s="16" t="s">
        <v>184</v>
      </c>
      <c r="H1145" s="16" t="s">
        <v>143</v>
      </c>
      <c r="I1145" s="22" t="s">
        <v>864</v>
      </c>
      <c r="J1145" s="16">
        <f>IFERROR(INDEX(Aux_HH!$J$4:$J$31,MATCH($H1145&amp;"|"&amp;$I1145,Aux_HH!$A$4:$A$31,0)),"")</f>
        <v>8</v>
      </c>
      <c r="K1145" s="16" t="s">
        <v>76</v>
      </c>
      <c r="L1145" s="16" t="str">
        <f>IF(COUNTIFS(Pessoas!$C$5:$C$44,$K1145,Pessoas!$G$5:$G$44,"Ativo")=0,"Equipe "&amp;$K1145,INDEX(Pessoas!$A$5:$A$44,_xludf.aggregate(15,6,(ROW(Pessoas!$A$5:$A$44)-4)/((Pessoas!$C$5:$C$44=$K1145)*(Pessoas!$G$5:$G$44="Ativo")),MOD(ROW()-6,MAX(1,COUNTIFS(Pessoas!$C$5:$C$44,$K1145,Pessoas!$G$5:$G$44,"Ativo")))+1)))</f>
        <v>Equipe Oficina Mecânica Central-Taisa</v>
      </c>
    </row>
    <row r="1146" spans="1:12" ht="15" customHeight="1" x14ac:dyDescent="0.4">
      <c r="A1146" s="25">
        <v>46423</v>
      </c>
      <c r="B1146" s="16">
        <v>23</v>
      </c>
      <c r="C1146" s="16">
        <v>2</v>
      </c>
      <c r="D1146" s="16">
        <v>2</v>
      </c>
      <c r="E1146" s="16" t="s">
        <v>980</v>
      </c>
      <c r="F1146" s="16" t="s">
        <v>1013</v>
      </c>
      <c r="G1146" s="16" t="s">
        <v>184</v>
      </c>
      <c r="H1146" s="16" t="s">
        <v>143</v>
      </c>
      <c r="I1146" s="22" t="s">
        <v>864</v>
      </c>
      <c r="J1146" s="16">
        <f>IFERROR(INDEX(Aux_HH!$J$4:$J$31,MATCH($H1146&amp;"|"&amp;$I1146,Aux_HH!$A$4:$A$31,0)),"")</f>
        <v>8</v>
      </c>
      <c r="K1146" s="16" t="s">
        <v>76</v>
      </c>
      <c r="L1146" s="16" t="str">
        <f>IF(COUNTIFS(Pessoas!$C$5:$C$44,$K1146,Pessoas!$G$5:$G$44,"Ativo")=0,"Equipe "&amp;$K1146,INDEX(Pessoas!$A$5:$A$44,_xludf.aggregate(15,6,(ROW(Pessoas!$A$5:$A$44)-4)/((Pessoas!$C$5:$C$44=$K1146)*(Pessoas!$G$5:$G$44="Ativo")),MOD(ROW()-6,MAX(1,COUNTIFS(Pessoas!$C$5:$C$44,$K1146,Pessoas!$G$5:$G$44,"Ativo")))+1)))</f>
        <v>Equipe Oficina Mecânica Central-Taisa</v>
      </c>
    </row>
    <row r="1147" spans="1:12" ht="15" customHeight="1" x14ac:dyDescent="0.4">
      <c r="A1147" s="25">
        <v>46423</v>
      </c>
      <c r="B1147" s="16">
        <v>23</v>
      </c>
      <c r="C1147" s="16">
        <v>2</v>
      </c>
      <c r="D1147" s="16">
        <v>2</v>
      </c>
      <c r="E1147" s="16" t="s">
        <v>980</v>
      </c>
      <c r="F1147" s="16" t="s">
        <v>1014</v>
      </c>
      <c r="G1147" s="16" t="s">
        <v>184</v>
      </c>
      <c r="H1147" s="16" t="s">
        <v>143</v>
      </c>
      <c r="I1147" s="22" t="s">
        <v>864</v>
      </c>
      <c r="J1147" s="16">
        <f>IFERROR(INDEX(Aux_HH!$J$4:$J$31,MATCH($H1147&amp;"|"&amp;$I1147,Aux_HH!$A$4:$A$31,0)),"")</f>
        <v>8</v>
      </c>
      <c r="K1147" s="16" t="s">
        <v>76</v>
      </c>
      <c r="L1147" s="16" t="str">
        <f>IF(COUNTIFS(Pessoas!$C$5:$C$44,$K1147,Pessoas!$G$5:$G$44,"Ativo")=0,"Equipe "&amp;$K1147,INDEX(Pessoas!$A$5:$A$44,_xludf.aggregate(15,6,(ROW(Pessoas!$A$5:$A$44)-4)/((Pessoas!$C$5:$C$44=$K1147)*(Pessoas!$G$5:$G$44="Ativo")),MOD(ROW()-6,MAX(1,COUNTIFS(Pessoas!$C$5:$C$44,$K1147,Pessoas!$G$5:$G$44,"Ativo")))+1)))</f>
        <v>Equipe Oficina Mecânica Central-Taisa</v>
      </c>
    </row>
    <row r="1148" spans="1:12" ht="15" customHeight="1" x14ac:dyDescent="0.4">
      <c r="A1148" s="25">
        <v>46423</v>
      </c>
      <c r="B1148" s="16">
        <v>23</v>
      </c>
      <c r="C1148" s="16">
        <v>2</v>
      </c>
      <c r="D1148" s="16">
        <v>2</v>
      </c>
      <c r="E1148" s="16" t="s">
        <v>980</v>
      </c>
      <c r="F1148" s="16" t="s">
        <v>1015</v>
      </c>
      <c r="G1148" s="16" t="s">
        <v>184</v>
      </c>
      <c r="H1148" s="16" t="s">
        <v>143</v>
      </c>
      <c r="I1148" s="22" t="s">
        <v>864</v>
      </c>
      <c r="J1148" s="16">
        <f>IFERROR(INDEX(Aux_HH!$J$4:$J$31,MATCH($H1148&amp;"|"&amp;$I1148,Aux_HH!$A$4:$A$31,0)),"")</f>
        <v>8</v>
      </c>
      <c r="K1148" s="16" t="s">
        <v>76</v>
      </c>
      <c r="L1148" s="16" t="str">
        <f>IF(COUNTIFS(Pessoas!$C$5:$C$44,$K1148,Pessoas!$G$5:$G$44,"Ativo")=0,"Equipe "&amp;$K1148,INDEX(Pessoas!$A$5:$A$44,_xludf.aggregate(15,6,(ROW(Pessoas!$A$5:$A$44)-4)/((Pessoas!$C$5:$C$44=$K1148)*(Pessoas!$G$5:$G$44="Ativo")),MOD(ROW()-6,MAX(1,COUNTIFS(Pessoas!$C$5:$C$44,$K1148,Pessoas!$G$5:$G$44,"Ativo")))+1)))</f>
        <v>Equipe Oficina Mecânica Central-Taisa</v>
      </c>
    </row>
    <row r="1149" spans="1:12" ht="15" customHeight="1" x14ac:dyDescent="0.4">
      <c r="A1149" s="25">
        <v>46423</v>
      </c>
      <c r="B1149" s="16">
        <v>23</v>
      </c>
      <c r="C1149" s="16">
        <v>2</v>
      </c>
      <c r="D1149" s="16">
        <v>2</v>
      </c>
      <c r="E1149" s="16" t="s">
        <v>980</v>
      </c>
      <c r="F1149" s="16" t="s">
        <v>981</v>
      </c>
      <c r="G1149" s="16" t="s">
        <v>184</v>
      </c>
      <c r="H1149" s="16" t="s">
        <v>138</v>
      </c>
      <c r="I1149" s="22" t="s">
        <v>856</v>
      </c>
      <c r="J1149" s="16">
        <f>IFERROR(INDEX(Aux_HH!$J$4:$J$31,MATCH($H1149&amp;"|"&amp;$I1149,Aux_HH!$A$4:$A$31,0)),"")</f>
        <v>3</v>
      </c>
      <c r="K1149" s="16" t="s">
        <v>76</v>
      </c>
      <c r="L1149" s="16" t="str">
        <f>IF(COUNTIFS(Pessoas!$C$5:$C$44,$K1149,Pessoas!$G$5:$G$44,"Ativo")=0,"Equipe "&amp;$K1149,INDEX(Pessoas!$A$5:$A$44,_xludf.aggregate(15,6,(ROW(Pessoas!$A$5:$A$44)-4)/((Pessoas!$C$5:$C$44=$K1149)*(Pessoas!$G$5:$G$44="Ativo")),MOD(ROW()-6,MAX(1,COUNTIFS(Pessoas!$C$5:$C$44,$K1149,Pessoas!$G$5:$G$44,"Ativo")))+1)))</f>
        <v>Equipe Oficina Mecânica Central-Taisa</v>
      </c>
    </row>
    <row r="1150" spans="1:12" ht="15" customHeight="1" x14ac:dyDescent="0.4">
      <c r="A1150" s="25">
        <v>46423</v>
      </c>
      <c r="B1150" s="16">
        <v>23</v>
      </c>
      <c r="C1150" s="16">
        <v>2</v>
      </c>
      <c r="D1150" s="16">
        <v>2</v>
      </c>
      <c r="E1150" s="16" t="s">
        <v>980</v>
      </c>
      <c r="F1150" s="16" t="s">
        <v>983</v>
      </c>
      <c r="G1150" s="16" t="s">
        <v>184</v>
      </c>
      <c r="H1150" s="16" t="s">
        <v>138</v>
      </c>
      <c r="I1150" s="22" t="s">
        <v>856</v>
      </c>
      <c r="J1150" s="16">
        <f>IFERROR(INDEX(Aux_HH!$J$4:$J$31,MATCH($H1150&amp;"|"&amp;$I1150,Aux_HH!$A$4:$A$31,0)),"")</f>
        <v>3</v>
      </c>
      <c r="K1150" s="16" t="s">
        <v>76</v>
      </c>
      <c r="L1150" s="16" t="str">
        <f>IF(COUNTIFS(Pessoas!$C$5:$C$44,$K1150,Pessoas!$G$5:$G$44,"Ativo")=0,"Equipe "&amp;$K1150,INDEX(Pessoas!$A$5:$A$44,_xludf.aggregate(15,6,(ROW(Pessoas!$A$5:$A$44)-4)/((Pessoas!$C$5:$C$44=$K1150)*(Pessoas!$G$5:$G$44="Ativo")),MOD(ROW()-6,MAX(1,COUNTIFS(Pessoas!$C$5:$C$44,$K1150,Pessoas!$G$5:$G$44,"Ativo")))+1)))</f>
        <v>Equipe Oficina Mecânica Central-Taisa</v>
      </c>
    </row>
    <row r="1151" spans="1:12" ht="15" customHeight="1" x14ac:dyDescent="0.4">
      <c r="A1151" s="25">
        <v>46423</v>
      </c>
      <c r="B1151" s="16">
        <v>23</v>
      </c>
      <c r="C1151" s="16">
        <v>2</v>
      </c>
      <c r="D1151" s="16">
        <v>2</v>
      </c>
      <c r="E1151" s="16" t="s">
        <v>980</v>
      </c>
      <c r="F1151" s="16" t="s">
        <v>1060</v>
      </c>
      <c r="G1151" s="16" t="s">
        <v>526</v>
      </c>
      <c r="H1151" s="16" t="s">
        <v>143</v>
      </c>
      <c r="I1151" s="22" t="s">
        <v>864</v>
      </c>
      <c r="J1151" s="16">
        <f>IFERROR(INDEX(Aux_HH!$J$4:$J$31,MATCH($H1151&amp;"|"&amp;$I1151,Aux_HH!$A$4:$A$31,0)),"")</f>
        <v>8</v>
      </c>
      <c r="K1151" s="16" t="s">
        <v>76</v>
      </c>
      <c r="L1151" s="16" t="str">
        <f>IF(COUNTIFS(Pessoas!$C$5:$C$44,$K1151,Pessoas!$G$5:$G$44,"Ativo")=0,"Equipe "&amp;$K1151,INDEX(Pessoas!$A$5:$A$44,_xludf.aggregate(15,6,(ROW(Pessoas!$A$5:$A$44)-4)/((Pessoas!$C$5:$C$44=$K1151)*(Pessoas!$G$5:$G$44="Ativo")),MOD(ROW()-6,MAX(1,COUNTIFS(Pessoas!$C$5:$C$44,$K1151,Pessoas!$G$5:$G$44,"Ativo")))+1)))</f>
        <v>Equipe Oficina Mecânica Central-Taisa</v>
      </c>
    </row>
    <row r="1152" spans="1:12" ht="15" customHeight="1" x14ac:dyDescent="0.4">
      <c r="A1152" s="25">
        <v>46423</v>
      </c>
      <c r="B1152" s="16">
        <v>23</v>
      </c>
      <c r="C1152" s="16">
        <v>2</v>
      </c>
      <c r="D1152" s="16">
        <v>2</v>
      </c>
      <c r="E1152" s="16" t="s">
        <v>980</v>
      </c>
      <c r="F1152" s="16" t="s">
        <v>1061</v>
      </c>
      <c r="G1152" s="16" t="s">
        <v>526</v>
      </c>
      <c r="H1152" s="16" t="s">
        <v>143</v>
      </c>
      <c r="I1152" s="22" t="s">
        <v>864</v>
      </c>
      <c r="J1152" s="16">
        <f>IFERROR(INDEX(Aux_HH!$J$4:$J$31,MATCH($H1152&amp;"|"&amp;$I1152,Aux_HH!$A$4:$A$31,0)),"")</f>
        <v>8</v>
      </c>
      <c r="K1152" s="16" t="s">
        <v>76</v>
      </c>
      <c r="L1152" s="16" t="str">
        <f>IF(COUNTIFS(Pessoas!$C$5:$C$44,$K1152,Pessoas!$G$5:$G$44,"Ativo")=0,"Equipe "&amp;$K1152,INDEX(Pessoas!$A$5:$A$44,_xludf.aggregate(15,6,(ROW(Pessoas!$A$5:$A$44)-4)/((Pessoas!$C$5:$C$44=$K1152)*(Pessoas!$G$5:$G$44="Ativo")),MOD(ROW()-6,MAX(1,COUNTIFS(Pessoas!$C$5:$C$44,$K1152,Pessoas!$G$5:$G$44,"Ativo")))+1)))</f>
        <v>Equipe Oficina Mecânica Central-Taisa</v>
      </c>
    </row>
    <row r="1153" spans="1:12" ht="15" customHeight="1" x14ac:dyDescent="0.4">
      <c r="A1153" s="25">
        <v>46423</v>
      </c>
      <c r="B1153" s="16">
        <v>23</v>
      </c>
      <c r="C1153" s="16">
        <v>2</v>
      </c>
      <c r="D1153" s="16">
        <v>2</v>
      </c>
      <c r="E1153" s="16" t="s">
        <v>980</v>
      </c>
      <c r="F1153" s="16" t="s">
        <v>1062</v>
      </c>
      <c r="G1153" s="16" t="s">
        <v>688</v>
      </c>
      <c r="H1153" s="16" t="s">
        <v>143</v>
      </c>
      <c r="I1153" s="22" t="s">
        <v>864</v>
      </c>
      <c r="J1153" s="16">
        <f>IFERROR(INDEX(Aux_HH!$J$4:$J$31,MATCH($H1153&amp;"|"&amp;$I1153,Aux_HH!$A$4:$A$31,0)),"")</f>
        <v>8</v>
      </c>
      <c r="K1153" s="16" t="s">
        <v>76</v>
      </c>
      <c r="L1153" s="16" t="str">
        <f>IF(COUNTIFS(Pessoas!$C$5:$C$44,$K1153,Pessoas!$G$5:$G$44,"Ativo")=0,"Equipe "&amp;$K1153,INDEX(Pessoas!$A$5:$A$44,_xludf.aggregate(15,6,(ROW(Pessoas!$A$5:$A$44)-4)/((Pessoas!$C$5:$C$44=$K1153)*(Pessoas!$G$5:$G$44="Ativo")),MOD(ROW()-6,MAX(1,COUNTIFS(Pessoas!$C$5:$C$44,$K1153,Pessoas!$G$5:$G$44,"Ativo")))+1)))</f>
        <v>Equipe Oficina Mecânica Central-Taisa</v>
      </c>
    </row>
    <row r="1154" spans="1:12" ht="15" customHeight="1" x14ac:dyDescent="0.4">
      <c r="A1154" s="25">
        <v>46423</v>
      </c>
      <c r="B1154" s="16">
        <v>23</v>
      </c>
      <c r="C1154" s="16">
        <v>2</v>
      </c>
      <c r="D1154" s="16">
        <v>2</v>
      </c>
      <c r="E1154" s="16" t="s">
        <v>980</v>
      </c>
      <c r="F1154" s="16" t="s">
        <v>1063</v>
      </c>
      <c r="G1154" s="16" t="s">
        <v>526</v>
      </c>
      <c r="H1154" s="16" t="s">
        <v>143</v>
      </c>
      <c r="I1154" s="22" t="s">
        <v>864</v>
      </c>
      <c r="J1154" s="16">
        <f>IFERROR(INDEX(Aux_HH!$J$4:$J$31,MATCH($H1154&amp;"|"&amp;$I1154,Aux_HH!$A$4:$A$31,0)),"")</f>
        <v>8</v>
      </c>
      <c r="K1154" s="16" t="s">
        <v>76</v>
      </c>
      <c r="L1154" s="16" t="str">
        <f>IF(COUNTIFS(Pessoas!$C$5:$C$44,$K1154,Pessoas!$G$5:$G$44,"Ativo")=0,"Equipe "&amp;$K1154,INDEX(Pessoas!$A$5:$A$44,_xludf.aggregate(15,6,(ROW(Pessoas!$A$5:$A$44)-4)/((Pessoas!$C$5:$C$44=$K1154)*(Pessoas!$G$5:$G$44="Ativo")),MOD(ROW()-6,MAX(1,COUNTIFS(Pessoas!$C$5:$C$44,$K1154,Pessoas!$G$5:$G$44,"Ativo")))+1)))</f>
        <v>Equipe Oficina Mecânica Central-Taisa</v>
      </c>
    </row>
    <row r="1155" spans="1:12" ht="15" customHeight="1" x14ac:dyDescent="0.4">
      <c r="A1155" s="25">
        <v>46423</v>
      </c>
      <c r="B1155" s="16">
        <v>23</v>
      </c>
      <c r="C1155" s="16">
        <v>2</v>
      </c>
      <c r="D1155" s="16">
        <v>2</v>
      </c>
      <c r="E1155" s="16" t="s">
        <v>980</v>
      </c>
      <c r="F1155" s="16" t="s">
        <v>1064</v>
      </c>
      <c r="G1155" s="16" t="s">
        <v>526</v>
      </c>
      <c r="H1155" s="16" t="s">
        <v>143</v>
      </c>
      <c r="I1155" s="22" t="s">
        <v>864</v>
      </c>
      <c r="J1155" s="16">
        <f>IFERROR(INDEX(Aux_HH!$J$4:$J$31,MATCH($H1155&amp;"|"&amp;$I1155,Aux_HH!$A$4:$A$31,0)),"")</f>
        <v>8</v>
      </c>
      <c r="K1155" s="16" t="s">
        <v>76</v>
      </c>
      <c r="L1155" s="16" t="str">
        <f>IF(COUNTIFS(Pessoas!$C$5:$C$44,$K1155,Pessoas!$G$5:$G$44,"Ativo")=0,"Equipe "&amp;$K1155,INDEX(Pessoas!$A$5:$A$44,_xludf.aggregate(15,6,(ROW(Pessoas!$A$5:$A$44)-4)/((Pessoas!$C$5:$C$44=$K1155)*(Pessoas!$G$5:$G$44="Ativo")),MOD(ROW()-6,MAX(1,COUNTIFS(Pessoas!$C$5:$C$44,$K1155,Pessoas!$G$5:$G$44,"Ativo")))+1)))</f>
        <v>Equipe Oficina Mecânica Central-Taisa</v>
      </c>
    </row>
    <row r="1156" spans="1:12" ht="15" customHeight="1" x14ac:dyDescent="0.4">
      <c r="A1156" s="25">
        <v>46423</v>
      </c>
      <c r="B1156" s="16">
        <v>23</v>
      </c>
      <c r="C1156" s="16">
        <v>2</v>
      </c>
      <c r="D1156" s="16">
        <v>2</v>
      </c>
      <c r="E1156" s="16" t="s">
        <v>980</v>
      </c>
      <c r="F1156" s="16" t="s">
        <v>1065</v>
      </c>
      <c r="G1156" s="16" t="s">
        <v>526</v>
      </c>
      <c r="H1156" s="16" t="s">
        <v>143</v>
      </c>
      <c r="I1156" s="22" t="s">
        <v>864</v>
      </c>
      <c r="J1156" s="16">
        <f>IFERROR(INDEX(Aux_HH!$J$4:$J$31,MATCH($H1156&amp;"|"&amp;$I1156,Aux_HH!$A$4:$A$31,0)),"")</f>
        <v>8</v>
      </c>
      <c r="K1156" s="16" t="s">
        <v>76</v>
      </c>
      <c r="L1156" s="16" t="str">
        <f>IF(COUNTIFS(Pessoas!$C$5:$C$44,$K1156,Pessoas!$G$5:$G$44,"Ativo")=0,"Equipe "&amp;$K1156,INDEX(Pessoas!$A$5:$A$44,_xludf.aggregate(15,6,(ROW(Pessoas!$A$5:$A$44)-4)/((Pessoas!$C$5:$C$44=$K1156)*(Pessoas!$G$5:$G$44="Ativo")),MOD(ROW()-6,MAX(1,COUNTIFS(Pessoas!$C$5:$C$44,$K1156,Pessoas!$G$5:$G$44,"Ativo")))+1)))</f>
        <v>Equipe Oficina Mecânica Central-Taisa</v>
      </c>
    </row>
    <row r="1157" spans="1:12" ht="15" customHeight="1" x14ac:dyDescent="0.4">
      <c r="A1157" s="25">
        <v>46426</v>
      </c>
      <c r="B1157" s="16">
        <v>23</v>
      </c>
      <c r="C1157" s="16">
        <v>2</v>
      </c>
      <c r="D1157" s="16">
        <v>2</v>
      </c>
      <c r="E1157" s="16" t="s">
        <v>980</v>
      </c>
      <c r="F1157" s="16" t="s">
        <v>1022</v>
      </c>
      <c r="G1157" s="16" t="s">
        <v>184</v>
      </c>
      <c r="H1157" s="16" t="s">
        <v>143</v>
      </c>
      <c r="I1157" s="22" t="s">
        <v>864</v>
      </c>
      <c r="J1157" s="16">
        <f>IFERROR(INDEX(Aux_HH!$J$4:$J$31,MATCH($H1157&amp;"|"&amp;$I1157,Aux_HH!$A$4:$A$31,0)),"")</f>
        <v>8</v>
      </c>
      <c r="K1157" s="16" t="s">
        <v>76</v>
      </c>
      <c r="L1157" s="16" t="str">
        <f>IF(COUNTIFS(Pessoas!$C$5:$C$44,$K1157,Pessoas!$G$5:$G$44,"Ativo")=0,"Equipe "&amp;$K1157,INDEX(Pessoas!$A$5:$A$44,_xludf.aggregate(15,6,(ROW(Pessoas!$A$5:$A$44)-4)/((Pessoas!$C$5:$C$44=$K1157)*(Pessoas!$G$5:$G$44="Ativo")),MOD(ROW()-6,MAX(1,COUNTIFS(Pessoas!$C$5:$C$44,$K1157,Pessoas!$G$5:$G$44,"Ativo")))+1)))</f>
        <v>Equipe Oficina Mecânica Central-Taisa</v>
      </c>
    </row>
    <row r="1158" spans="1:12" ht="15" customHeight="1" x14ac:dyDescent="0.4">
      <c r="A1158" s="25">
        <v>46426</v>
      </c>
      <c r="B1158" s="16">
        <v>23</v>
      </c>
      <c r="C1158" s="16">
        <v>2</v>
      </c>
      <c r="D1158" s="16">
        <v>2</v>
      </c>
      <c r="E1158" s="16" t="s">
        <v>980</v>
      </c>
      <c r="F1158" s="16" t="s">
        <v>1023</v>
      </c>
      <c r="G1158" s="16" t="s">
        <v>184</v>
      </c>
      <c r="H1158" s="16" t="s">
        <v>143</v>
      </c>
      <c r="I1158" s="22" t="s">
        <v>864</v>
      </c>
      <c r="J1158" s="16">
        <f>IFERROR(INDEX(Aux_HH!$J$4:$J$31,MATCH($H1158&amp;"|"&amp;$I1158,Aux_HH!$A$4:$A$31,0)),"")</f>
        <v>8</v>
      </c>
      <c r="K1158" s="16" t="s">
        <v>76</v>
      </c>
      <c r="L1158" s="16" t="str">
        <f>IF(COUNTIFS(Pessoas!$C$5:$C$44,$K1158,Pessoas!$G$5:$G$44,"Ativo")=0,"Equipe "&amp;$K1158,INDEX(Pessoas!$A$5:$A$44,_xludf.aggregate(15,6,(ROW(Pessoas!$A$5:$A$44)-4)/((Pessoas!$C$5:$C$44=$K1158)*(Pessoas!$G$5:$G$44="Ativo")),MOD(ROW()-6,MAX(1,COUNTIFS(Pessoas!$C$5:$C$44,$K1158,Pessoas!$G$5:$G$44,"Ativo")))+1)))</f>
        <v>Equipe Oficina Mecânica Central-Taisa</v>
      </c>
    </row>
    <row r="1159" spans="1:12" ht="15" customHeight="1" x14ac:dyDescent="0.4">
      <c r="A1159" s="25">
        <v>46426</v>
      </c>
      <c r="B1159" s="16">
        <v>23</v>
      </c>
      <c r="C1159" s="16">
        <v>2</v>
      </c>
      <c r="D1159" s="16">
        <v>2</v>
      </c>
      <c r="E1159" s="16" t="s">
        <v>980</v>
      </c>
      <c r="F1159" s="16" t="s">
        <v>1024</v>
      </c>
      <c r="G1159" s="16" t="s">
        <v>184</v>
      </c>
      <c r="H1159" s="16" t="s">
        <v>143</v>
      </c>
      <c r="I1159" s="22" t="s">
        <v>864</v>
      </c>
      <c r="J1159" s="16">
        <f>IFERROR(INDEX(Aux_HH!$J$4:$J$31,MATCH($H1159&amp;"|"&amp;$I1159,Aux_HH!$A$4:$A$31,0)),"")</f>
        <v>8</v>
      </c>
      <c r="K1159" s="16" t="s">
        <v>76</v>
      </c>
      <c r="L1159" s="16" t="str">
        <f>IF(COUNTIFS(Pessoas!$C$5:$C$44,$K1159,Pessoas!$G$5:$G$44,"Ativo")=0,"Equipe "&amp;$K1159,INDEX(Pessoas!$A$5:$A$44,_xludf.aggregate(15,6,(ROW(Pessoas!$A$5:$A$44)-4)/((Pessoas!$C$5:$C$44=$K1159)*(Pessoas!$G$5:$G$44="Ativo")),MOD(ROW()-6,MAX(1,COUNTIFS(Pessoas!$C$5:$C$44,$K1159,Pessoas!$G$5:$G$44,"Ativo")))+1)))</f>
        <v>Equipe Oficina Mecânica Central-Taisa</v>
      </c>
    </row>
    <row r="1160" spans="1:12" ht="15" customHeight="1" x14ac:dyDescent="0.4">
      <c r="A1160" s="25">
        <v>46426</v>
      </c>
      <c r="B1160" s="16">
        <v>23</v>
      </c>
      <c r="C1160" s="16">
        <v>2</v>
      </c>
      <c r="D1160" s="16">
        <v>2</v>
      </c>
      <c r="E1160" s="16" t="s">
        <v>980</v>
      </c>
      <c r="F1160" s="16" t="s">
        <v>1025</v>
      </c>
      <c r="G1160" s="16" t="s">
        <v>184</v>
      </c>
      <c r="H1160" s="16" t="s">
        <v>143</v>
      </c>
      <c r="I1160" s="22" t="s">
        <v>864</v>
      </c>
      <c r="J1160" s="16">
        <f>IFERROR(INDEX(Aux_HH!$J$4:$J$31,MATCH($H1160&amp;"|"&amp;$I1160,Aux_HH!$A$4:$A$31,0)),"")</f>
        <v>8</v>
      </c>
      <c r="K1160" s="16" t="s">
        <v>76</v>
      </c>
      <c r="L1160" s="16" t="str">
        <f>IF(COUNTIFS(Pessoas!$C$5:$C$44,$K1160,Pessoas!$G$5:$G$44,"Ativo")=0,"Equipe "&amp;$K1160,INDEX(Pessoas!$A$5:$A$44,_xludf.aggregate(15,6,(ROW(Pessoas!$A$5:$A$44)-4)/((Pessoas!$C$5:$C$44=$K1160)*(Pessoas!$G$5:$G$44="Ativo")),MOD(ROW()-6,MAX(1,COUNTIFS(Pessoas!$C$5:$C$44,$K1160,Pessoas!$G$5:$G$44,"Ativo")))+1)))</f>
        <v>Equipe Oficina Mecânica Central-Taisa</v>
      </c>
    </row>
    <row r="1161" spans="1:12" ht="15" customHeight="1" x14ac:dyDescent="0.4">
      <c r="A1161" s="25">
        <v>46426</v>
      </c>
      <c r="B1161" s="16">
        <v>23</v>
      </c>
      <c r="C1161" s="16">
        <v>2</v>
      </c>
      <c r="D1161" s="16">
        <v>2</v>
      </c>
      <c r="E1161" s="16" t="s">
        <v>980</v>
      </c>
      <c r="F1161" s="16" t="s">
        <v>1026</v>
      </c>
      <c r="G1161" s="16" t="s">
        <v>184</v>
      </c>
      <c r="H1161" s="16" t="s">
        <v>143</v>
      </c>
      <c r="I1161" s="22" t="s">
        <v>864</v>
      </c>
      <c r="J1161" s="16">
        <f>IFERROR(INDEX(Aux_HH!$J$4:$J$31,MATCH($H1161&amp;"|"&amp;$I1161,Aux_HH!$A$4:$A$31,0)),"")</f>
        <v>8</v>
      </c>
      <c r="K1161" s="16" t="s">
        <v>76</v>
      </c>
      <c r="L1161" s="16" t="str">
        <f>IF(COUNTIFS(Pessoas!$C$5:$C$44,$K1161,Pessoas!$G$5:$G$44,"Ativo")=0,"Equipe "&amp;$K1161,INDEX(Pessoas!$A$5:$A$44,_xludf.aggregate(15,6,(ROW(Pessoas!$A$5:$A$44)-4)/((Pessoas!$C$5:$C$44=$K1161)*(Pessoas!$G$5:$G$44="Ativo")),MOD(ROW()-6,MAX(1,COUNTIFS(Pessoas!$C$5:$C$44,$K1161,Pessoas!$G$5:$G$44,"Ativo")))+1)))</f>
        <v>Equipe Oficina Mecânica Central-Taisa</v>
      </c>
    </row>
    <row r="1162" spans="1:12" ht="15" customHeight="1" x14ac:dyDescent="0.4">
      <c r="A1162" s="25">
        <v>46426</v>
      </c>
      <c r="B1162" s="16">
        <v>23</v>
      </c>
      <c r="C1162" s="16">
        <v>2</v>
      </c>
      <c r="D1162" s="16">
        <v>2</v>
      </c>
      <c r="E1162" s="16" t="s">
        <v>980</v>
      </c>
      <c r="F1162" s="16" t="s">
        <v>1027</v>
      </c>
      <c r="G1162" s="16" t="s">
        <v>184</v>
      </c>
      <c r="H1162" s="16" t="s">
        <v>143</v>
      </c>
      <c r="I1162" s="22" t="s">
        <v>864</v>
      </c>
      <c r="J1162" s="16">
        <f>IFERROR(INDEX(Aux_HH!$J$4:$J$31,MATCH($H1162&amp;"|"&amp;$I1162,Aux_HH!$A$4:$A$31,0)),"")</f>
        <v>8</v>
      </c>
      <c r="K1162" s="16" t="s">
        <v>76</v>
      </c>
      <c r="L1162" s="16" t="str">
        <f>IF(COUNTIFS(Pessoas!$C$5:$C$44,$K1162,Pessoas!$G$5:$G$44,"Ativo")=0,"Equipe "&amp;$K1162,INDEX(Pessoas!$A$5:$A$44,_xludf.aggregate(15,6,(ROW(Pessoas!$A$5:$A$44)-4)/((Pessoas!$C$5:$C$44=$K1162)*(Pessoas!$G$5:$G$44="Ativo")),MOD(ROW()-6,MAX(1,COUNTIFS(Pessoas!$C$5:$C$44,$K1162,Pessoas!$G$5:$G$44,"Ativo")))+1)))</f>
        <v>Equipe Oficina Mecânica Central-Taisa</v>
      </c>
    </row>
    <row r="1163" spans="1:12" ht="15" customHeight="1" x14ac:dyDescent="0.4">
      <c r="A1163" s="25">
        <v>46426</v>
      </c>
      <c r="B1163" s="16">
        <v>23</v>
      </c>
      <c r="C1163" s="16">
        <v>2</v>
      </c>
      <c r="D1163" s="16">
        <v>2</v>
      </c>
      <c r="E1163" s="16" t="s">
        <v>980</v>
      </c>
      <c r="F1163" s="16" t="s">
        <v>1028</v>
      </c>
      <c r="G1163" s="16" t="s">
        <v>184</v>
      </c>
      <c r="H1163" s="16" t="s">
        <v>143</v>
      </c>
      <c r="I1163" s="22" t="s">
        <v>864</v>
      </c>
      <c r="J1163" s="16">
        <f>IFERROR(INDEX(Aux_HH!$J$4:$J$31,MATCH($H1163&amp;"|"&amp;$I1163,Aux_HH!$A$4:$A$31,0)),"")</f>
        <v>8</v>
      </c>
      <c r="K1163" s="16" t="s">
        <v>76</v>
      </c>
      <c r="L1163" s="16" t="str">
        <f>IF(COUNTIFS(Pessoas!$C$5:$C$44,$K1163,Pessoas!$G$5:$G$44,"Ativo")=0,"Equipe "&amp;$K1163,INDEX(Pessoas!$A$5:$A$44,_xludf.aggregate(15,6,(ROW(Pessoas!$A$5:$A$44)-4)/((Pessoas!$C$5:$C$44=$K1163)*(Pessoas!$G$5:$G$44="Ativo")),MOD(ROW()-6,MAX(1,COUNTIFS(Pessoas!$C$5:$C$44,$K1163,Pessoas!$G$5:$G$44,"Ativo")))+1)))</f>
        <v>Equipe Oficina Mecânica Central-Taisa</v>
      </c>
    </row>
    <row r="1164" spans="1:12" ht="15" customHeight="1" x14ac:dyDescent="0.4">
      <c r="A1164" s="25">
        <v>46426</v>
      </c>
      <c r="B1164" s="16">
        <v>23</v>
      </c>
      <c r="C1164" s="16">
        <v>2</v>
      </c>
      <c r="D1164" s="16">
        <v>2</v>
      </c>
      <c r="E1164" s="16" t="s">
        <v>980</v>
      </c>
      <c r="F1164" s="16" t="s">
        <v>1029</v>
      </c>
      <c r="G1164" s="16" t="s">
        <v>184</v>
      </c>
      <c r="H1164" s="16" t="s">
        <v>143</v>
      </c>
      <c r="I1164" s="22" t="s">
        <v>864</v>
      </c>
      <c r="J1164" s="16">
        <f>IFERROR(INDEX(Aux_HH!$J$4:$J$31,MATCH($H1164&amp;"|"&amp;$I1164,Aux_HH!$A$4:$A$31,0)),"")</f>
        <v>8</v>
      </c>
      <c r="K1164" s="16" t="s">
        <v>76</v>
      </c>
      <c r="L1164" s="16" t="str">
        <f>IF(COUNTIFS(Pessoas!$C$5:$C$44,$K1164,Pessoas!$G$5:$G$44,"Ativo")=0,"Equipe "&amp;$K1164,INDEX(Pessoas!$A$5:$A$44,_xludf.aggregate(15,6,(ROW(Pessoas!$A$5:$A$44)-4)/((Pessoas!$C$5:$C$44=$K1164)*(Pessoas!$G$5:$G$44="Ativo")),MOD(ROW()-6,MAX(1,COUNTIFS(Pessoas!$C$5:$C$44,$K1164,Pessoas!$G$5:$G$44,"Ativo")))+1)))</f>
        <v>Equipe Oficina Mecânica Central-Taisa</v>
      </c>
    </row>
    <row r="1165" spans="1:12" ht="15" customHeight="1" x14ac:dyDescent="0.4">
      <c r="A1165" s="25">
        <v>46426</v>
      </c>
      <c r="B1165" s="16">
        <v>23</v>
      </c>
      <c r="C1165" s="16">
        <v>2</v>
      </c>
      <c r="D1165" s="16">
        <v>2</v>
      </c>
      <c r="E1165" s="16" t="s">
        <v>980</v>
      </c>
      <c r="F1165" s="16" t="s">
        <v>985</v>
      </c>
      <c r="G1165" s="16" t="s">
        <v>184</v>
      </c>
      <c r="H1165" s="16" t="s">
        <v>138</v>
      </c>
      <c r="I1165" s="22" t="s">
        <v>856</v>
      </c>
      <c r="J1165" s="16">
        <f>IFERROR(INDEX(Aux_HH!$J$4:$J$31,MATCH($H1165&amp;"|"&amp;$I1165,Aux_HH!$A$4:$A$31,0)),"")</f>
        <v>3</v>
      </c>
      <c r="K1165" s="16" t="s">
        <v>76</v>
      </c>
      <c r="L1165" s="16" t="str">
        <f>IF(COUNTIFS(Pessoas!$C$5:$C$44,$K1165,Pessoas!$G$5:$G$44,"Ativo")=0,"Equipe "&amp;$K1165,INDEX(Pessoas!$A$5:$A$44,_xludf.aggregate(15,6,(ROW(Pessoas!$A$5:$A$44)-4)/((Pessoas!$C$5:$C$44=$K1165)*(Pessoas!$G$5:$G$44="Ativo")),MOD(ROW()-6,MAX(1,COUNTIFS(Pessoas!$C$5:$C$44,$K1165,Pessoas!$G$5:$G$44,"Ativo")))+1)))</f>
        <v>Equipe Oficina Mecânica Central-Taisa</v>
      </c>
    </row>
    <row r="1166" spans="1:12" ht="15" customHeight="1" x14ac:dyDescent="0.4">
      <c r="A1166" s="25">
        <v>46426</v>
      </c>
      <c r="B1166" s="16">
        <v>23</v>
      </c>
      <c r="C1166" s="16">
        <v>2</v>
      </c>
      <c r="D1166" s="16">
        <v>2</v>
      </c>
      <c r="E1166" s="16" t="s">
        <v>980</v>
      </c>
      <c r="F1166" s="16" t="s">
        <v>987</v>
      </c>
      <c r="G1166" s="16" t="s">
        <v>526</v>
      </c>
      <c r="H1166" s="16" t="s">
        <v>138</v>
      </c>
      <c r="I1166" s="22" t="s">
        <v>856</v>
      </c>
      <c r="J1166" s="16">
        <f>IFERROR(INDEX(Aux_HH!$J$4:$J$31,MATCH($H1166&amp;"|"&amp;$I1166,Aux_HH!$A$4:$A$31,0)),"")</f>
        <v>3</v>
      </c>
      <c r="K1166" s="16" t="s">
        <v>76</v>
      </c>
      <c r="L1166" s="16" t="str">
        <f>IF(COUNTIFS(Pessoas!$C$5:$C$44,$K1166,Pessoas!$G$5:$G$44,"Ativo")=0,"Equipe "&amp;$K1166,INDEX(Pessoas!$A$5:$A$44,_xludf.aggregate(15,6,(ROW(Pessoas!$A$5:$A$44)-4)/((Pessoas!$C$5:$C$44=$K1166)*(Pessoas!$G$5:$G$44="Ativo")),MOD(ROW()-6,MAX(1,COUNTIFS(Pessoas!$C$5:$C$44,$K1166,Pessoas!$G$5:$G$44,"Ativo")))+1)))</f>
        <v>Equipe Oficina Mecânica Central-Taisa</v>
      </c>
    </row>
    <row r="1167" spans="1:12" ht="15" customHeight="1" x14ac:dyDescent="0.4">
      <c r="A1167" s="25">
        <v>46426</v>
      </c>
      <c r="B1167" s="16">
        <v>23</v>
      </c>
      <c r="C1167" s="16">
        <v>2</v>
      </c>
      <c r="D1167" s="16">
        <v>2</v>
      </c>
      <c r="E1167" s="16" t="s">
        <v>980</v>
      </c>
      <c r="F1167" s="16" t="s">
        <v>1074</v>
      </c>
      <c r="G1167" s="16" t="s">
        <v>526</v>
      </c>
      <c r="H1167" s="16" t="s">
        <v>143</v>
      </c>
      <c r="I1167" s="22" t="s">
        <v>864</v>
      </c>
      <c r="J1167" s="16">
        <f>IFERROR(INDEX(Aux_HH!$J$4:$J$31,MATCH($H1167&amp;"|"&amp;$I1167,Aux_HH!$A$4:$A$31,0)),"")</f>
        <v>8</v>
      </c>
      <c r="K1167" s="16" t="s">
        <v>76</v>
      </c>
      <c r="L1167" s="16" t="str">
        <f>IF(COUNTIFS(Pessoas!$C$5:$C$44,$K1167,Pessoas!$G$5:$G$44,"Ativo")=0,"Equipe "&amp;$K1167,INDEX(Pessoas!$A$5:$A$44,_xludf.aggregate(15,6,(ROW(Pessoas!$A$5:$A$44)-4)/((Pessoas!$C$5:$C$44=$K1167)*(Pessoas!$G$5:$G$44="Ativo")),MOD(ROW()-6,MAX(1,COUNTIFS(Pessoas!$C$5:$C$44,$K1167,Pessoas!$G$5:$G$44,"Ativo")))+1)))</f>
        <v>Equipe Oficina Mecânica Central-Taisa</v>
      </c>
    </row>
    <row r="1168" spans="1:12" ht="15" customHeight="1" x14ac:dyDescent="0.4">
      <c r="A1168" s="25">
        <v>46426</v>
      </c>
      <c r="B1168" s="16">
        <v>23</v>
      </c>
      <c r="C1168" s="16">
        <v>2</v>
      </c>
      <c r="D1168" s="16">
        <v>2</v>
      </c>
      <c r="E1168" s="16" t="s">
        <v>980</v>
      </c>
      <c r="F1168" s="16" t="s">
        <v>1075</v>
      </c>
      <c r="G1168" s="16" t="s">
        <v>526</v>
      </c>
      <c r="H1168" s="16" t="s">
        <v>143</v>
      </c>
      <c r="I1168" s="22" t="s">
        <v>864</v>
      </c>
      <c r="J1168" s="16">
        <f>IFERROR(INDEX(Aux_HH!$J$4:$J$31,MATCH($H1168&amp;"|"&amp;$I1168,Aux_HH!$A$4:$A$31,0)),"")</f>
        <v>8</v>
      </c>
      <c r="K1168" s="16" t="s">
        <v>76</v>
      </c>
      <c r="L1168" s="16" t="str">
        <f>IF(COUNTIFS(Pessoas!$C$5:$C$44,$K1168,Pessoas!$G$5:$G$44,"Ativo")=0,"Equipe "&amp;$K1168,INDEX(Pessoas!$A$5:$A$44,_xludf.aggregate(15,6,(ROW(Pessoas!$A$5:$A$44)-4)/((Pessoas!$C$5:$C$44=$K1168)*(Pessoas!$G$5:$G$44="Ativo")),MOD(ROW()-6,MAX(1,COUNTIFS(Pessoas!$C$5:$C$44,$K1168,Pessoas!$G$5:$G$44,"Ativo")))+1)))</f>
        <v>Equipe Oficina Mecânica Central-Taisa</v>
      </c>
    </row>
    <row r="1169" spans="1:12" ht="15" customHeight="1" x14ac:dyDescent="0.4">
      <c r="A1169" s="25">
        <v>46426</v>
      </c>
      <c r="B1169" s="16">
        <v>23</v>
      </c>
      <c r="C1169" s="16">
        <v>2</v>
      </c>
      <c r="D1169" s="16">
        <v>2</v>
      </c>
      <c r="E1169" s="16" t="s">
        <v>980</v>
      </c>
      <c r="F1169" s="16" t="s">
        <v>1076</v>
      </c>
      <c r="G1169" s="16" t="s">
        <v>688</v>
      </c>
      <c r="H1169" s="16" t="s">
        <v>143</v>
      </c>
      <c r="I1169" s="22" t="s">
        <v>864</v>
      </c>
      <c r="J1169" s="16">
        <f>IFERROR(INDEX(Aux_HH!$J$4:$J$31,MATCH($H1169&amp;"|"&amp;$I1169,Aux_HH!$A$4:$A$31,0)),"")</f>
        <v>8</v>
      </c>
      <c r="K1169" s="16" t="s">
        <v>76</v>
      </c>
      <c r="L1169" s="16" t="str">
        <f>IF(COUNTIFS(Pessoas!$C$5:$C$44,$K1169,Pessoas!$G$5:$G$44,"Ativo")=0,"Equipe "&amp;$K1169,INDEX(Pessoas!$A$5:$A$44,_xludf.aggregate(15,6,(ROW(Pessoas!$A$5:$A$44)-4)/((Pessoas!$C$5:$C$44=$K1169)*(Pessoas!$G$5:$G$44="Ativo")),MOD(ROW()-6,MAX(1,COUNTIFS(Pessoas!$C$5:$C$44,$K1169,Pessoas!$G$5:$G$44,"Ativo")))+1)))</f>
        <v>Equipe Oficina Mecânica Central-Taisa</v>
      </c>
    </row>
    <row r="1170" spans="1:12" ht="15" customHeight="1" x14ac:dyDescent="0.4">
      <c r="A1170" s="25">
        <v>46426</v>
      </c>
      <c r="B1170" s="16">
        <v>23</v>
      </c>
      <c r="C1170" s="16">
        <v>2</v>
      </c>
      <c r="D1170" s="16">
        <v>2</v>
      </c>
      <c r="E1170" s="16" t="s">
        <v>980</v>
      </c>
      <c r="F1170" s="16" t="s">
        <v>1077</v>
      </c>
      <c r="G1170" s="16" t="s">
        <v>184</v>
      </c>
      <c r="H1170" s="16" t="s">
        <v>143</v>
      </c>
      <c r="I1170" s="22" t="s">
        <v>864</v>
      </c>
      <c r="J1170" s="16">
        <f>IFERROR(INDEX(Aux_HH!$J$4:$J$31,MATCH($H1170&amp;"|"&amp;$I1170,Aux_HH!$A$4:$A$31,0)),"")</f>
        <v>8</v>
      </c>
      <c r="K1170" s="16" t="s">
        <v>76</v>
      </c>
      <c r="L1170" s="16" t="str">
        <f>IF(COUNTIFS(Pessoas!$C$5:$C$44,$K1170,Pessoas!$G$5:$G$44,"Ativo")=0,"Equipe "&amp;$K1170,INDEX(Pessoas!$A$5:$A$44,_xludf.aggregate(15,6,(ROW(Pessoas!$A$5:$A$44)-4)/((Pessoas!$C$5:$C$44=$K1170)*(Pessoas!$G$5:$G$44="Ativo")),MOD(ROW()-6,MAX(1,COUNTIFS(Pessoas!$C$5:$C$44,$K1170,Pessoas!$G$5:$G$44,"Ativo")))+1)))</f>
        <v>Equipe Oficina Mecânica Central-Taisa</v>
      </c>
    </row>
    <row r="1171" spans="1:12" ht="15" customHeight="1" x14ac:dyDescent="0.4">
      <c r="A1171" s="25">
        <v>46426</v>
      </c>
      <c r="B1171" s="16">
        <v>23</v>
      </c>
      <c r="C1171" s="16">
        <v>2</v>
      </c>
      <c r="D1171" s="16">
        <v>2</v>
      </c>
      <c r="E1171" s="16" t="s">
        <v>980</v>
      </c>
      <c r="F1171" s="16" t="s">
        <v>1078</v>
      </c>
      <c r="G1171" s="16" t="s">
        <v>526</v>
      </c>
      <c r="H1171" s="16" t="s">
        <v>143</v>
      </c>
      <c r="I1171" s="22" t="s">
        <v>864</v>
      </c>
      <c r="J1171" s="16">
        <f>IFERROR(INDEX(Aux_HH!$J$4:$J$31,MATCH($H1171&amp;"|"&amp;$I1171,Aux_HH!$A$4:$A$31,0)),"")</f>
        <v>8</v>
      </c>
      <c r="K1171" s="16" t="s">
        <v>76</v>
      </c>
      <c r="L1171" s="16" t="str">
        <f>IF(COUNTIFS(Pessoas!$C$5:$C$44,$K1171,Pessoas!$G$5:$G$44,"Ativo")=0,"Equipe "&amp;$K1171,INDEX(Pessoas!$A$5:$A$44,_xludf.aggregate(15,6,(ROW(Pessoas!$A$5:$A$44)-4)/((Pessoas!$C$5:$C$44=$K1171)*(Pessoas!$G$5:$G$44="Ativo")),MOD(ROW()-6,MAX(1,COUNTIFS(Pessoas!$C$5:$C$44,$K1171,Pessoas!$G$5:$G$44,"Ativo")))+1)))</f>
        <v>Equipe Oficina Mecânica Central-Taisa</v>
      </c>
    </row>
    <row r="1172" spans="1:12" ht="15" customHeight="1" x14ac:dyDescent="0.4">
      <c r="A1172" s="25">
        <v>46426</v>
      </c>
      <c r="B1172" s="16">
        <v>23</v>
      </c>
      <c r="C1172" s="16">
        <v>2</v>
      </c>
      <c r="D1172" s="16">
        <v>2</v>
      </c>
      <c r="E1172" s="16" t="s">
        <v>980</v>
      </c>
      <c r="F1172" s="16" t="s">
        <v>1079</v>
      </c>
      <c r="G1172" s="16" t="s">
        <v>526</v>
      </c>
      <c r="H1172" s="16" t="s">
        <v>143</v>
      </c>
      <c r="I1172" s="22" t="s">
        <v>864</v>
      </c>
      <c r="J1172" s="16">
        <f>IFERROR(INDEX(Aux_HH!$J$4:$J$31,MATCH($H1172&amp;"|"&amp;$I1172,Aux_HH!$A$4:$A$31,0)),"")</f>
        <v>8</v>
      </c>
      <c r="K1172" s="16" t="s">
        <v>76</v>
      </c>
      <c r="L1172" s="16" t="str">
        <f>IF(COUNTIFS(Pessoas!$C$5:$C$44,$K1172,Pessoas!$G$5:$G$44,"Ativo")=0,"Equipe "&amp;$K1172,INDEX(Pessoas!$A$5:$A$44,_xludf.aggregate(15,6,(ROW(Pessoas!$A$5:$A$44)-4)/((Pessoas!$C$5:$C$44=$K1172)*(Pessoas!$G$5:$G$44="Ativo")),MOD(ROW()-6,MAX(1,COUNTIFS(Pessoas!$C$5:$C$44,$K1172,Pessoas!$G$5:$G$44,"Ativo")))+1)))</f>
        <v>Equipe Oficina Mecânica Central-Taisa</v>
      </c>
    </row>
    <row r="1173" spans="1:12" ht="15" customHeight="1" x14ac:dyDescent="0.4">
      <c r="A1173" s="25">
        <v>46427</v>
      </c>
      <c r="B1173" s="16">
        <v>24</v>
      </c>
      <c r="C1173" s="16">
        <v>2</v>
      </c>
      <c r="D1173" s="16">
        <v>2</v>
      </c>
      <c r="E1173" s="16" t="s">
        <v>980</v>
      </c>
      <c r="F1173" s="16" t="s">
        <v>1313</v>
      </c>
      <c r="G1173" s="16" t="s">
        <v>688</v>
      </c>
      <c r="H1173" s="16" t="s">
        <v>146</v>
      </c>
      <c r="I1173" s="22" t="s">
        <v>856</v>
      </c>
      <c r="J1173" s="16">
        <f>IFERROR(INDEX(Aux_HH!$J$4:$J$31,MATCH($H1173&amp;"|"&amp;$I1173,Aux_HH!$A$4:$A$31,0)),"")</f>
        <v>1.5</v>
      </c>
      <c r="K1173" s="16" t="s">
        <v>76</v>
      </c>
      <c r="L1173" s="16" t="str">
        <f>IF(COUNTIFS(Pessoas!$C$5:$C$44,$K1173,Pessoas!$G$5:$G$44,"Ativo")=0,"Equipe "&amp;$K1173,INDEX(Pessoas!$A$5:$A$44,_xludf.aggregate(15,6,(ROW(Pessoas!$A$5:$A$44)-4)/((Pessoas!$C$5:$C$44=$K1173)*(Pessoas!$G$5:$G$44="Ativo")),MOD(ROW()-6,MAX(1,COUNTIFS(Pessoas!$C$5:$C$44,$K1173,Pessoas!$G$5:$G$44,"Ativo")))+1)))</f>
        <v>Equipe Oficina Mecânica Central-Taisa</v>
      </c>
    </row>
    <row r="1174" spans="1:12" ht="15" customHeight="1" x14ac:dyDescent="0.4">
      <c r="A1174" s="25">
        <v>46427</v>
      </c>
      <c r="B1174" s="16">
        <v>24</v>
      </c>
      <c r="C1174" s="16">
        <v>2</v>
      </c>
      <c r="D1174" s="16">
        <v>2</v>
      </c>
      <c r="E1174" s="16" t="s">
        <v>980</v>
      </c>
      <c r="F1174" s="16" t="s">
        <v>1314</v>
      </c>
      <c r="G1174" s="16" t="s">
        <v>688</v>
      </c>
      <c r="H1174" s="16" t="s">
        <v>146</v>
      </c>
      <c r="I1174" s="22" t="s">
        <v>856</v>
      </c>
      <c r="J1174" s="16">
        <f>IFERROR(INDEX(Aux_HH!$J$4:$J$31,MATCH($H1174&amp;"|"&amp;$I1174,Aux_HH!$A$4:$A$31,0)),"")</f>
        <v>1.5</v>
      </c>
      <c r="K1174" s="16" t="s">
        <v>76</v>
      </c>
      <c r="L1174" s="16" t="str">
        <f>IF(COUNTIFS(Pessoas!$C$5:$C$44,$K1174,Pessoas!$G$5:$G$44,"Ativo")=0,"Equipe "&amp;$K1174,INDEX(Pessoas!$A$5:$A$44,_xludf.aggregate(15,6,(ROW(Pessoas!$A$5:$A$44)-4)/((Pessoas!$C$5:$C$44=$K1174)*(Pessoas!$G$5:$G$44="Ativo")),MOD(ROW()-6,MAX(1,COUNTIFS(Pessoas!$C$5:$C$44,$K1174,Pessoas!$G$5:$G$44,"Ativo")))+1)))</f>
        <v>Equipe Oficina Mecânica Central-Taisa</v>
      </c>
    </row>
    <row r="1175" spans="1:12" ht="15" customHeight="1" x14ac:dyDescent="0.4">
      <c r="A1175" s="25">
        <v>46427</v>
      </c>
      <c r="B1175" s="16">
        <v>24</v>
      </c>
      <c r="C1175" s="16">
        <v>2</v>
      </c>
      <c r="D1175" s="16">
        <v>2</v>
      </c>
      <c r="E1175" s="16" t="s">
        <v>980</v>
      </c>
      <c r="F1175" s="16" t="s">
        <v>1315</v>
      </c>
      <c r="G1175" s="16" t="s">
        <v>688</v>
      </c>
      <c r="H1175" s="16" t="s">
        <v>146</v>
      </c>
      <c r="I1175" s="22" t="s">
        <v>856</v>
      </c>
      <c r="J1175" s="16">
        <f>IFERROR(INDEX(Aux_HH!$J$4:$J$31,MATCH($H1175&amp;"|"&amp;$I1175,Aux_HH!$A$4:$A$31,0)),"")</f>
        <v>1.5</v>
      </c>
      <c r="K1175" s="16" t="s">
        <v>76</v>
      </c>
      <c r="L1175" s="16" t="str">
        <f>IF(COUNTIFS(Pessoas!$C$5:$C$44,$K1175,Pessoas!$G$5:$G$44,"Ativo")=0,"Equipe "&amp;$K1175,INDEX(Pessoas!$A$5:$A$44,_xludf.aggregate(15,6,(ROW(Pessoas!$A$5:$A$44)-4)/((Pessoas!$C$5:$C$44=$K1175)*(Pessoas!$G$5:$G$44="Ativo")),MOD(ROW()-6,MAX(1,COUNTIFS(Pessoas!$C$5:$C$44,$K1175,Pessoas!$G$5:$G$44,"Ativo")))+1)))</f>
        <v>Equipe Oficina Mecânica Central-Taisa</v>
      </c>
    </row>
    <row r="1176" spans="1:12" ht="15" customHeight="1" x14ac:dyDescent="0.4">
      <c r="A1176" s="25">
        <v>46427</v>
      </c>
      <c r="B1176" s="16">
        <v>24</v>
      </c>
      <c r="C1176" s="16">
        <v>2</v>
      </c>
      <c r="D1176" s="16">
        <v>2</v>
      </c>
      <c r="E1176" s="16" t="s">
        <v>980</v>
      </c>
      <c r="F1176" s="16" t="s">
        <v>1316</v>
      </c>
      <c r="G1176" s="16" t="s">
        <v>688</v>
      </c>
      <c r="H1176" s="16" t="s">
        <v>146</v>
      </c>
      <c r="I1176" s="22" t="s">
        <v>856</v>
      </c>
      <c r="J1176" s="16">
        <f>IFERROR(INDEX(Aux_HH!$J$4:$J$31,MATCH($H1176&amp;"|"&amp;$I1176,Aux_HH!$A$4:$A$31,0)),"")</f>
        <v>1.5</v>
      </c>
      <c r="K1176" s="16" t="s">
        <v>76</v>
      </c>
      <c r="L1176" s="16" t="str">
        <f>IF(COUNTIFS(Pessoas!$C$5:$C$44,$K1176,Pessoas!$G$5:$G$44,"Ativo")=0,"Equipe "&amp;$K1176,INDEX(Pessoas!$A$5:$A$44,_xludf.aggregate(15,6,(ROW(Pessoas!$A$5:$A$44)-4)/((Pessoas!$C$5:$C$44=$K1176)*(Pessoas!$G$5:$G$44="Ativo")),MOD(ROW()-6,MAX(1,COUNTIFS(Pessoas!$C$5:$C$44,$K1176,Pessoas!$G$5:$G$44,"Ativo")))+1)))</f>
        <v>Equipe Oficina Mecânica Central-Taisa</v>
      </c>
    </row>
    <row r="1177" spans="1:12" ht="15" customHeight="1" x14ac:dyDescent="0.4">
      <c r="A1177" s="25">
        <v>46428</v>
      </c>
      <c r="B1177" s="16">
        <v>24</v>
      </c>
      <c r="C1177" s="16">
        <v>2</v>
      </c>
      <c r="D1177" s="16">
        <v>2</v>
      </c>
      <c r="E1177" s="16" t="s">
        <v>980</v>
      </c>
      <c r="F1177" s="16" t="s">
        <v>1317</v>
      </c>
      <c r="G1177" s="16" t="s">
        <v>688</v>
      </c>
      <c r="H1177" s="16" t="s">
        <v>146</v>
      </c>
      <c r="I1177" s="22" t="s">
        <v>856</v>
      </c>
      <c r="J1177" s="16">
        <f>IFERROR(INDEX(Aux_HH!$J$4:$J$31,MATCH($H1177&amp;"|"&amp;$I1177,Aux_HH!$A$4:$A$31,0)),"")</f>
        <v>1.5</v>
      </c>
      <c r="K1177" s="16" t="s">
        <v>76</v>
      </c>
      <c r="L1177" s="16" t="str">
        <f>IF(COUNTIFS(Pessoas!$C$5:$C$44,$K1177,Pessoas!$G$5:$G$44,"Ativo")=0,"Equipe "&amp;$K1177,INDEX(Pessoas!$A$5:$A$44,_xludf.aggregate(15,6,(ROW(Pessoas!$A$5:$A$44)-4)/((Pessoas!$C$5:$C$44=$K1177)*(Pessoas!$G$5:$G$44="Ativo")),MOD(ROW()-6,MAX(1,COUNTIFS(Pessoas!$C$5:$C$44,$K1177,Pessoas!$G$5:$G$44,"Ativo")))+1)))</f>
        <v>Equipe Oficina Mecânica Central-Taisa</v>
      </c>
    </row>
    <row r="1178" spans="1:12" ht="15" customHeight="1" x14ac:dyDescent="0.4">
      <c r="A1178" s="25">
        <v>46428</v>
      </c>
      <c r="B1178" s="16">
        <v>24</v>
      </c>
      <c r="C1178" s="16">
        <v>2</v>
      </c>
      <c r="D1178" s="16">
        <v>2</v>
      </c>
      <c r="E1178" s="16" t="s">
        <v>980</v>
      </c>
      <c r="F1178" s="16" t="s">
        <v>1318</v>
      </c>
      <c r="G1178" s="16" t="s">
        <v>688</v>
      </c>
      <c r="H1178" s="16" t="s">
        <v>146</v>
      </c>
      <c r="I1178" s="22" t="s">
        <v>856</v>
      </c>
      <c r="J1178" s="16">
        <f>IFERROR(INDEX(Aux_HH!$J$4:$J$31,MATCH($H1178&amp;"|"&amp;$I1178,Aux_HH!$A$4:$A$31,0)),"")</f>
        <v>1.5</v>
      </c>
      <c r="K1178" s="16" t="s">
        <v>76</v>
      </c>
      <c r="L1178" s="16" t="str">
        <f>IF(COUNTIFS(Pessoas!$C$5:$C$44,$K1178,Pessoas!$G$5:$G$44,"Ativo")=0,"Equipe "&amp;$K1178,INDEX(Pessoas!$A$5:$A$44,_xludf.aggregate(15,6,(ROW(Pessoas!$A$5:$A$44)-4)/((Pessoas!$C$5:$C$44=$K1178)*(Pessoas!$G$5:$G$44="Ativo")),MOD(ROW()-6,MAX(1,COUNTIFS(Pessoas!$C$5:$C$44,$K1178,Pessoas!$G$5:$G$44,"Ativo")))+1)))</f>
        <v>Equipe Oficina Mecânica Central-Taisa</v>
      </c>
    </row>
    <row r="1179" spans="1:12" ht="15" customHeight="1" x14ac:dyDescent="0.4">
      <c r="A1179" s="25">
        <v>46428</v>
      </c>
      <c r="B1179" s="16">
        <v>24</v>
      </c>
      <c r="C1179" s="16">
        <v>2</v>
      </c>
      <c r="D1179" s="16">
        <v>2</v>
      </c>
      <c r="E1179" s="16" t="s">
        <v>980</v>
      </c>
      <c r="F1179" s="16" t="s">
        <v>1319</v>
      </c>
      <c r="G1179" s="16" t="s">
        <v>688</v>
      </c>
      <c r="H1179" s="16" t="s">
        <v>146</v>
      </c>
      <c r="I1179" s="22" t="s">
        <v>856</v>
      </c>
      <c r="J1179" s="16">
        <f>IFERROR(INDEX(Aux_HH!$J$4:$J$31,MATCH($H1179&amp;"|"&amp;$I1179,Aux_HH!$A$4:$A$31,0)),"")</f>
        <v>1.5</v>
      </c>
      <c r="K1179" s="16" t="s">
        <v>76</v>
      </c>
      <c r="L1179" s="16" t="str">
        <f>IF(COUNTIFS(Pessoas!$C$5:$C$44,$K1179,Pessoas!$G$5:$G$44,"Ativo")=0,"Equipe "&amp;$K1179,INDEX(Pessoas!$A$5:$A$44,_xludf.aggregate(15,6,(ROW(Pessoas!$A$5:$A$44)-4)/((Pessoas!$C$5:$C$44=$K1179)*(Pessoas!$G$5:$G$44="Ativo")),MOD(ROW()-6,MAX(1,COUNTIFS(Pessoas!$C$5:$C$44,$K1179,Pessoas!$G$5:$G$44,"Ativo")))+1)))</f>
        <v>Equipe Oficina Mecânica Central-Taisa</v>
      </c>
    </row>
    <row r="1180" spans="1:12" ht="15" customHeight="1" x14ac:dyDescent="0.4">
      <c r="A1180" s="25">
        <v>46428</v>
      </c>
      <c r="B1180" s="16">
        <v>24</v>
      </c>
      <c r="C1180" s="16">
        <v>2</v>
      </c>
      <c r="D1180" s="16">
        <v>2</v>
      </c>
      <c r="E1180" s="16" t="s">
        <v>980</v>
      </c>
      <c r="F1180" s="16" t="s">
        <v>1320</v>
      </c>
      <c r="G1180" s="16" t="s">
        <v>688</v>
      </c>
      <c r="H1180" s="16" t="s">
        <v>146</v>
      </c>
      <c r="I1180" s="22" t="s">
        <v>856</v>
      </c>
      <c r="J1180" s="16">
        <f>IFERROR(INDEX(Aux_HH!$J$4:$J$31,MATCH($H1180&amp;"|"&amp;$I1180,Aux_HH!$A$4:$A$31,0)),"")</f>
        <v>1.5</v>
      </c>
      <c r="K1180" s="16" t="s">
        <v>76</v>
      </c>
      <c r="L1180" s="16" t="str">
        <f>IF(COUNTIFS(Pessoas!$C$5:$C$44,$K1180,Pessoas!$G$5:$G$44,"Ativo")=0,"Equipe "&amp;$K1180,INDEX(Pessoas!$A$5:$A$44,_xludf.aggregate(15,6,(ROW(Pessoas!$A$5:$A$44)-4)/((Pessoas!$C$5:$C$44=$K1180)*(Pessoas!$G$5:$G$44="Ativo")),MOD(ROW()-6,MAX(1,COUNTIFS(Pessoas!$C$5:$C$44,$K1180,Pessoas!$G$5:$G$44,"Ativo")))+1)))</f>
        <v>Equipe Oficina Mecânica Central-Taisa</v>
      </c>
    </row>
    <row r="1181" spans="1:12" ht="15" customHeight="1" x14ac:dyDescent="0.4">
      <c r="A1181" s="25">
        <v>46429</v>
      </c>
      <c r="B1181" s="16">
        <v>24</v>
      </c>
      <c r="C1181" s="16">
        <v>2</v>
      </c>
      <c r="D1181" s="16">
        <v>2</v>
      </c>
      <c r="E1181" s="16" t="s">
        <v>980</v>
      </c>
      <c r="F1181" s="16" t="s">
        <v>1303</v>
      </c>
      <c r="G1181" s="16" t="s">
        <v>688</v>
      </c>
      <c r="H1181" s="16" t="s">
        <v>146</v>
      </c>
      <c r="I1181" s="22" t="s">
        <v>856</v>
      </c>
      <c r="J1181" s="16">
        <f>IFERROR(INDEX(Aux_HH!$J$4:$J$31,MATCH($H1181&amp;"|"&amp;$I1181,Aux_HH!$A$4:$A$31,0)),"")</f>
        <v>1.5</v>
      </c>
      <c r="K1181" s="16" t="s">
        <v>76</v>
      </c>
      <c r="L1181" s="16" t="str">
        <f>IF(COUNTIFS(Pessoas!$C$5:$C$44,$K1181,Pessoas!$G$5:$G$44,"Ativo")=0,"Equipe "&amp;$K1181,INDEX(Pessoas!$A$5:$A$44,_xludf.aggregate(15,6,(ROW(Pessoas!$A$5:$A$44)-4)/((Pessoas!$C$5:$C$44=$K1181)*(Pessoas!$G$5:$G$44="Ativo")),MOD(ROW()-6,MAX(1,COUNTIFS(Pessoas!$C$5:$C$44,$K1181,Pessoas!$G$5:$G$44,"Ativo")))+1)))</f>
        <v>Equipe Oficina Mecânica Central-Taisa</v>
      </c>
    </row>
    <row r="1182" spans="1:12" ht="15" customHeight="1" x14ac:dyDescent="0.4">
      <c r="A1182" s="25">
        <v>46429</v>
      </c>
      <c r="B1182" s="16">
        <v>24</v>
      </c>
      <c r="C1182" s="16">
        <v>2</v>
      </c>
      <c r="D1182" s="16">
        <v>2</v>
      </c>
      <c r="E1182" s="16" t="s">
        <v>980</v>
      </c>
      <c r="F1182" s="16" t="s">
        <v>1304</v>
      </c>
      <c r="G1182" s="16" t="s">
        <v>688</v>
      </c>
      <c r="H1182" s="16" t="s">
        <v>146</v>
      </c>
      <c r="I1182" s="22" t="s">
        <v>856</v>
      </c>
      <c r="J1182" s="16">
        <f>IFERROR(INDEX(Aux_HH!$J$4:$J$31,MATCH($H1182&amp;"|"&amp;$I1182,Aux_HH!$A$4:$A$31,0)),"")</f>
        <v>1.5</v>
      </c>
      <c r="K1182" s="16" t="s">
        <v>76</v>
      </c>
      <c r="L1182" s="16" t="str">
        <f>IF(COUNTIFS(Pessoas!$C$5:$C$44,$K1182,Pessoas!$G$5:$G$44,"Ativo")=0,"Equipe "&amp;$K1182,INDEX(Pessoas!$A$5:$A$44,_xludf.aggregate(15,6,(ROW(Pessoas!$A$5:$A$44)-4)/((Pessoas!$C$5:$C$44=$K1182)*(Pessoas!$G$5:$G$44="Ativo")),MOD(ROW()-6,MAX(1,COUNTIFS(Pessoas!$C$5:$C$44,$K1182,Pessoas!$G$5:$G$44,"Ativo")))+1)))</f>
        <v>Equipe Oficina Mecânica Central-Taisa</v>
      </c>
    </row>
    <row r="1183" spans="1:12" ht="15" customHeight="1" x14ac:dyDescent="0.4">
      <c r="A1183" s="25">
        <v>46429</v>
      </c>
      <c r="B1183" s="16">
        <v>24</v>
      </c>
      <c r="C1183" s="16">
        <v>2</v>
      </c>
      <c r="D1183" s="16">
        <v>2</v>
      </c>
      <c r="E1183" s="16" t="s">
        <v>980</v>
      </c>
      <c r="F1183" s="16" t="s">
        <v>1305</v>
      </c>
      <c r="G1183" s="16" t="s">
        <v>688</v>
      </c>
      <c r="H1183" s="16" t="s">
        <v>146</v>
      </c>
      <c r="I1183" s="22" t="s">
        <v>856</v>
      </c>
      <c r="J1183" s="16">
        <f>IFERROR(INDEX(Aux_HH!$J$4:$J$31,MATCH($H1183&amp;"|"&amp;$I1183,Aux_HH!$A$4:$A$31,0)),"")</f>
        <v>1.5</v>
      </c>
      <c r="K1183" s="16" t="s">
        <v>76</v>
      </c>
      <c r="L1183" s="16" t="str">
        <f>IF(COUNTIFS(Pessoas!$C$5:$C$44,$K1183,Pessoas!$G$5:$G$44,"Ativo")=0,"Equipe "&amp;$K1183,INDEX(Pessoas!$A$5:$A$44,_xludf.aggregate(15,6,(ROW(Pessoas!$A$5:$A$44)-4)/((Pessoas!$C$5:$C$44=$K1183)*(Pessoas!$G$5:$G$44="Ativo")),MOD(ROW()-6,MAX(1,COUNTIFS(Pessoas!$C$5:$C$44,$K1183,Pessoas!$G$5:$G$44,"Ativo")))+1)))</f>
        <v>Equipe Oficina Mecânica Central-Taisa</v>
      </c>
    </row>
    <row r="1184" spans="1:12" ht="15" customHeight="1" x14ac:dyDescent="0.4">
      <c r="A1184" s="25">
        <v>46429</v>
      </c>
      <c r="B1184" s="16">
        <v>24</v>
      </c>
      <c r="C1184" s="16">
        <v>2</v>
      </c>
      <c r="D1184" s="16">
        <v>2</v>
      </c>
      <c r="E1184" s="16" t="s">
        <v>980</v>
      </c>
      <c r="F1184" s="16" t="s">
        <v>1306</v>
      </c>
      <c r="G1184" s="16" t="s">
        <v>688</v>
      </c>
      <c r="H1184" s="16" t="s">
        <v>146</v>
      </c>
      <c r="I1184" s="22" t="s">
        <v>856</v>
      </c>
      <c r="J1184" s="16">
        <f>IFERROR(INDEX(Aux_HH!$J$4:$J$31,MATCH($H1184&amp;"|"&amp;$I1184,Aux_HH!$A$4:$A$31,0)),"")</f>
        <v>1.5</v>
      </c>
      <c r="K1184" s="16" t="s">
        <v>76</v>
      </c>
      <c r="L1184" s="16" t="str">
        <f>IF(COUNTIFS(Pessoas!$C$5:$C$44,$K1184,Pessoas!$G$5:$G$44,"Ativo")=0,"Equipe "&amp;$K1184,INDEX(Pessoas!$A$5:$A$44,_xludf.aggregate(15,6,(ROW(Pessoas!$A$5:$A$44)-4)/((Pessoas!$C$5:$C$44=$K1184)*(Pessoas!$G$5:$G$44="Ativo")),MOD(ROW()-6,MAX(1,COUNTIFS(Pessoas!$C$5:$C$44,$K1184,Pessoas!$G$5:$G$44,"Ativo")))+1)))</f>
        <v>Equipe Oficina Mecânica Central-Taisa</v>
      </c>
    </row>
    <row r="1185" spans="1:12" ht="15" customHeight="1" x14ac:dyDescent="0.4">
      <c r="A1185" s="25">
        <v>46430</v>
      </c>
      <c r="B1185" s="16">
        <v>24</v>
      </c>
      <c r="C1185" s="16">
        <v>2</v>
      </c>
      <c r="D1185" s="16">
        <v>2</v>
      </c>
      <c r="E1185" s="16" t="s">
        <v>980</v>
      </c>
      <c r="F1185" s="16" t="s">
        <v>1307</v>
      </c>
      <c r="G1185" s="16" t="s">
        <v>688</v>
      </c>
      <c r="H1185" s="16" t="s">
        <v>146</v>
      </c>
      <c r="I1185" s="22" t="s">
        <v>856</v>
      </c>
      <c r="J1185" s="16">
        <f>IFERROR(INDEX(Aux_HH!$J$4:$J$31,MATCH($H1185&amp;"|"&amp;$I1185,Aux_HH!$A$4:$A$31,0)),"")</f>
        <v>1.5</v>
      </c>
      <c r="K1185" s="16" t="s">
        <v>76</v>
      </c>
      <c r="L1185" s="16" t="str">
        <f>IF(COUNTIFS(Pessoas!$C$5:$C$44,$K1185,Pessoas!$G$5:$G$44,"Ativo")=0,"Equipe "&amp;$K1185,INDEX(Pessoas!$A$5:$A$44,_xludf.aggregate(15,6,(ROW(Pessoas!$A$5:$A$44)-4)/((Pessoas!$C$5:$C$44=$K1185)*(Pessoas!$G$5:$G$44="Ativo")),MOD(ROW()-6,MAX(1,COUNTIFS(Pessoas!$C$5:$C$44,$K1185,Pessoas!$G$5:$G$44,"Ativo")))+1)))</f>
        <v>Equipe Oficina Mecânica Central-Taisa</v>
      </c>
    </row>
    <row r="1186" spans="1:12" ht="15" customHeight="1" x14ac:dyDescent="0.4">
      <c r="A1186" s="25">
        <v>46430</v>
      </c>
      <c r="B1186" s="16">
        <v>24</v>
      </c>
      <c r="C1186" s="16">
        <v>2</v>
      </c>
      <c r="D1186" s="16">
        <v>2</v>
      </c>
      <c r="E1186" s="16" t="s">
        <v>980</v>
      </c>
      <c r="F1186" s="16" t="s">
        <v>1308</v>
      </c>
      <c r="G1186" s="16" t="s">
        <v>688</v>
      </c>
      <c r="H1186" s="16" t="s">
        <v>146</v>
      </c>
      <c r="I1186" s="22" t="s">
        <v>856</v>
      </c>
      <c r="J1186" s="16">
        <f>IFERROR(INDEX(Aux_HH!$J$4:$J$31,MATCH($H1186&amp;"|"&amp;$I1186,Aux_HH!$A$4:$A$31,0)),"")</f>
        <v>1.5</v>
      </c>
      <c r="K1186" s="16" t="s">
        <v>76</v>
      </c>
      <c r="L1186" s="16" t="str">
        <f>IF(COUNTIFS(Pessoas!$C$5:$C$44,$K1186,Pessoas!$G$5:$G$44,"Ativo")=0,"Equipe "&amp;$K1186,INDEX(Pessoas!$A$5:$A$44,_xludf.aggregate(15,6,(ROW(Pessoas!$A$5:$A$44)-4)/((Pessoas!$C$5:$C$44=$K1186)*(Pessoas!$G$5:$G$44="Ativo")),MOD(ROW()-6,MAX(1,COUNTIFS(Pessoas!$C$5:$C$44,$K1186,Pessoas!$G$5:$G$44,"Ativo")))+1)))</f>
        <v>Equipe Oficina Mecânica Central-Taisa</v>
      </c>
    </row>
    <row r="1187" spans="1:12" ht="15" customHeight="1" x14ac:dyDescent="0.4">
      <c r="A1187" s="25">
        <v>46430</v>
      </c>
      <c r="B1187" s="16">
        <v>24</v>
      </c>
      <c r="C1187" s="16">
        <v>2</v>
      </c>
      <c r="D1187" s="16">
        <v>2</v>
      </c>
      <c r="E1187" s="16" t="s">
        <v>980</v>
      </c>
      <c r="F1187" s="16" t="s">
        <v>1309</v>
      </c>
      <c r="G1187" s="16" t="s">
        <v>688</v>
      </c>
      <c r="H1187" s="16" t="s">
        <v>146</v>
      </c>
      <c r="I1187" s="22" t="s">
        <v>856</v>
      </c>
      <c r="J1187" s="16">
        <f>IFERROR(INDEX(Aux_HH!$J$4:$J$31,MATCH($H1187&amp;"|"&amp;$I1187,Aux_HH!$A$4:$A$31,0)),"")</f>
        <v>1.5</v>
      </c>
      <c r="K1187" s="16" t="s">
        <v>76</v>
      </c>
      <c r="L1187" s="16" t="str">
        <f>IF(COUNTIFS(Pessoas!$C$5:$C$44,$K1187,Pessoas!$G$5:$G$44,"Ativo")=0,"Equipe "&amp;$K1187,INDEX(Pessoas!$A$5:$A$44,_xludf.aggregate(15,6,(ROW(Pessoas!$A$5:$A$44)-4)/((Pessoas!$C$5:$C$44=$K1187)*(Pessoas!$G$5:$G$44="Ativo")),MOD(ROW()-6,MAX(1,COUNTIFS(Pessoas!$C$5:$C$44,$K1187,Pessoas!$G$5:$G$44,"Ativo")))+1)))</f>
        <v>Equipe Oficina Mecânica Central-Taisa</v>
      </c>
    </row>
    <row r="1188" spans="1:12" ht="15" customHeight="1" x14ac:dyDescent="0.4">
      <c r="A1188" s="25">
        <v>46433</v>
      </c>
      <c r="B1188" s="16">
        <v>24</v>
      </c>
      <c r="C1188" s="16">
        <v>2</v>
      </c>
      <c r="D1188" s="16">
        <v>2</v>
      </c>
      <c r="E1188" s="16" t="s">
        <v>980</v>
      </c>
      <c r="F1188" s="16" t="s">
        <v>1310</v>
      </c>
      <c r="G1188" s="16" t="s">
        <v>688</v>
      </c>
      <c r="H1188" s="16" t="s">
        <v>146</v>
      </c>
      <c r="I1188" s="22" t="s">
        <v>856</v>
      </c>
      <c r="J1188" s="16">
        <f>IFERROR(INDEX(Aux_HH!$J$4:$J$31,MATCH($H1188&amp;"|"&amp;$I1188,Aux_HH!$A$4:$A$31,0)),"")</f>
        <v>1.5</v>
      </c>
      <c r="K1188" s="16" t="s">
        <v>76</v>
      </c>
      <c r="L1188" s="16" t="str">
        <f>IF(COUNTIFS(Pessoas!$C$5:$C$44,$K1188,Pessoas!$G$5:$G$44,"Ativo")=0,"Equipe "&amp;$K1188,INDEX(Pessoas!$A$5:$A$44,_xludf.aggregate(15,6,(ROW(Pessoas!$A$5:$A$44)-4)/((Pessoas!$C$5:$C$44=$K1188)*(Pessoas!$G$5:$G$44="Ativo")),MOD(ROW()-6,MAX(1,COUNTIFS(Pessoas!$C$5:$C$44,$K1188,Pessoas!$G$5:$G$44,"Ativo")))+1)))</f>
        <v>Equipe Oficina Mecânica Central-Taisa</v>
      </c>
    </row>
    <row r="1189" spans="1:12" ht="15" customHeight="1" x14ac:dyDescent="0.4">
      <c r="A1189" s="25">
        <v>46433</v>
      </c>
      <c r="B1189" s="16">
        <v>24</v>
      </c>
      <c r="C1189" s="16">
        <v>2</v>
      </c>
      <c r="D1189" s="16">
        <v>2</v>
      </c>
      <c r="E1189" s="16" t="s">
        <v>980</v>
      </c>
      <c r="F1189" s="16" t="s">
        <v>1311</v>
      </c>
      <c r="G1189" s="16" t="s">
        <v>688</v>
      </c>
      <c r="H1189" s="16" t="s">
        <v>146</v>
      </c>
      <c r="I1189" s="22" t="s">
        <v>856</v>
      </c>
      <c r="J1189" s="16">
        <f>IFERROR(INDEX(Aux_HH!$J$4:$J$31,MATCH($H1189&amp;"|"&amp;$I1189,Aux_HH!$A$4:$A$31,0)),"")</f>
        <v>1.5</v>
      </c>
      <c r="K1189" s="16" t="s">
        <v>76</v>
      </c>
      <c r="L1189" s="16" t="str">
        <f>IF(COUNTIFS(Pessoas!$C$5:$C$44,$K1189,Pessoas!$G$5:$G$44,"Ativo")=0,"Equipe "&amp;$K1189,INDEX(Pessoas!$A$5:$A$44,_xludf.aggregate(15,6,(ROW(Pessoas!$A$5:$A$44)-4)/((Pessoas!$C$5:$C$44=$K1189)*(Pessoas!$G$5:$G$44="Ativo")),MOD(ROW()-6,MAX(1,COUNTIFS(Pessoas!$C$5:$C$44,$K1189,Pessoas!$G$5:$G$44,"Ativo")))+1)))</f>
        <v>Equipe Oficina Mecânica Central-Taisa</v>
      </c>
    </row>
    <row r="1190" spans="1:12" ht="15" customHeight="1" x14ac:dyDescent="0.4">
      <c r="A1190" s="25">
        <v>46433</v>
      </c>
      <c r="B1190" s="16">
        <v>24</v>
      </c>
      <c r="C1190" s="16">
        <v>2</v>
      </c>
      <c r="D1190" s="16">
        <v>2</v>
      </c>
      <c r="E1190" s="16" t="s">
        <v>980</v>
      </c>
      <c r="F1190" s="16" t="s">
        <v>1312</v>
      </c>
      <c r="G1190" s="16" t="s">
        <v>688</v>
      </c>
      <c r="H1190" s="16" t="s">
        <v>146</v>
      </c>
      <c r="I1190" s="22" t="s">
        <v>856</v>
      </c>
      <c r="J1190" s="16">
        <f>IFERROR(INDEX(Aux_HH!$J$4:$J$31,MATCH($H1190&amp;"|"&amp;$I1190,Aux_HH!$A$4:$A$31,0)),"")</f>
        <v>1.5</v>
      </c>
      <c r="K1190" s="16" t="s">
        <v>76</v>
      </c>
      <c r="L1190" s="16" t="str">
        <f>IF(COUNTIFS(Pessoas!$C$5:$C$44,$K1190,Pessoas!$G$5:$G$44,"Ativo")=0,"Equipe "&amp;$K1190,INDEX(Pessoas!$A$5:$A$44,_xludf.aggregate(15,6,(ROW(Pessoas!$A$5:$A$44)-4)/((Pessoas!$C$5:$C$44=$K1190)*(Pessoas!$G$5:$G$44="Ativo")),MOD(ROW()-6,MAX(1,COUNTIFS(Pessoas!$C$5:$C$44,$K1190,Pessoas!$G$5:$G$44,"Ativo")))+1)))</f>
        <v>Equipe Oficina Mecânica Central-Taisa</v>
      </c>
    </row>
    <row r="1191" spans="1:12" ht="15" customHeight="1" x14ac:dyDescent="0.4">
      <c r="A1191" s="25">
        <v>46434</v>
      </c>
      <c r="B1191" s="16">
        <v>25</v>
      </c>
      <c r="C1191" s="16">
        <v>2</v>
      </c>
      <c r="D1191" s="16">
        <v>2</v>
      </c>
      <c r="E1191" s="16" t="s">
        <v>980</v>
      </c>
      <c r="F1191" s="16" t="s">
        <v>992</v>
      </c>
      <c r="G1191" s="16" t="s">
        <v>184</v>
      </c>
      <c r="H1191" s="16" t="s">
        <v>138</v>
      </c>
      <c r="I1191" s="22" t="s">
        <v>861</v>
      </c>
      <c r="J1191" s="16">
        <f>IFERROR(INDEX(Aux_HH!$J$4:$J$31,MATCH($H1191&amp;"|"&amp;$I1191,Aux_HH!$A$4:$A$31,0)),"")</f>
        <v>6</v>
      </c>
      <c r="K1191" s="16" t="s">
        <v>76</v>
      </c>
      <c r="L1191" s="16" t="str">
        <f>IF(COUNTIFS(Pessoas!$C$5:$C$44,$K1191,Pessoas!$G$5:$G$44,"Ativo")=0,"Equipe "&amp;$K1191,INDEX(Pessoas!$A$5:$A$44,_xludf.aggregate(15,6,(ROW(Pessoas!$A$5:$A$44)-4)/((Pessoas!$C$5:$C$44=$K1191)*(Pessoas!$G$5:$G$44="Ativo")),MOD(ROW()-6,MAX(1,COUNTIFS(Pessoas!$C$5:$C$44,$K1191,Pessoas!$G$5:$G$44,"Ativo")))+1)))</f>
        <v>Equipe Oficina Mecânica Central-Taisa</v>
      </c>
    </row>
    <row r="1192" spans="1:12" ht="15" customHeight="1" x14ac:dyDescent="0.4">
      <c r="A1192" s="25">
        <v>46434</v>
      </c>
      <c r="B1192" s="16">
        <v>25</v>
      </c>
      <c r="C1192" s="16">
        <v>2</v>
      </c>
      <c r="D1192" s="16">
        <v>2</v>
      </c>
      <c r="E1192" s="16" t="s">
        <v>980</v>
      </c>
      <c r="F1192" s="16" t="s">
        <v>1125</v>
      </c>
      <c r="G1192" s="16" t="s">
        <v>526</v>
      </c>
      <c r="H1192" s="16" t="s">
        <v>140</v>
      </c>
      <c r="I1192" s="22" t="s">
        <v>864</v>
      </c>
      <c r="J1192" s="16">
        <f>IFERROR(INDEX(Aux_HH!$J$4:$J$31,MATCH($H1192&amp;"|"&amp;$I1192,Aux_HH!$A$4:$A$31,0)),"")</f>
        <v>8</v>
      </c>
      <c r="K1192" s="16" t="s">
        <v>76</v>
      </c>
      <c r="L1192" s="16" t="str">
        <f>IF(COUNTIFS(Pessoas!$C$5:$C$44,$K1192,Pessoas!$G$5:$G$44,"Ativo")=0,"Equipe "&amp;$K1192,INDEX(Pessoas!$A$5:$A$44,_xludf.aggregate(15,6,(ROW(Pessoas!$A$5:$A$44)-4)/((Pessoas!$C$5:$C$44=$K1192)*(Pessoas!$G$5:$G$44="Ativo")),MOD(ROW()-6,MAX(1,COUNTIFS(Pessoas!$C$5:$C$44,$K1192,Pessoas!$G$5:$G$44,"Ativo")))+1)))</f>
        <v>Equipe Oficina Mecânica Central-Taisa</v>
      </c>
    </row>
    <row r="1193" spans="1:12" ht="15" customHeight="1" x14ac:dyDescent="0.4">
      <c r="A1193" s="25">
        <v>46434</v>
      </c>
      <c r="B1193" s="16">
        <v>25</v>
      </c>
      <c r="C1193" s="16">
        <v>2</v>
      </c>
      <c r="D1193" s="16">
        <v>2</v>
      </c>
      <c r="E1193" s="16" t="s">
        <v>980</v>
      </c>
      <c r="F1193" s="16" t="s">
        <v>1126</v>
      </c>
      <c r="G1193" s="16" t="s">
        <v>526</v>
      </c>
      <c r="H1193" s="16" t="s">
        <v>140</v>
      </c>
      <c r="I1193" s="22" t="s">
        <v>864</v>
      </c>
      <c r="J1193" s="16">
        <f>IFERROR(INDEX(Aux_HH!$J$4:$J$31,MATCH($H1193&amp;"|"&amp;$I1193,Aux_HH!$A$4:$A$31,0)),"")</f>
        <v>8</v>
      </c>
      <c r="K1193" s="16" t="s">
        <v>76</v>
      </c>
      <c r="L1193" s="16" t="str">
        <f>IF(COUNTIFS(Pessoas!$C$5:$C$44,$K1193,Pessoas!$G$5:$G$44,"Ativo")=0,"Equipe "&amp;$K1193,INDEX(Pessoas!$A$5:$A$44,_xludf.aggregate(15,6,(ROW(Pessoas!$A$5:$A$44)-4)/((Pessoas!$C$5:$C$44=$K1193)*(Pessoas!$G$5:$G$44="Ativo")),MOD(ROW()-6,MAX(1,COUNTIFS(Pessoas!$C$5:$C$44,$K1193,Pessoas!$G$5:$G$44,"Ativo")))+1)))</f>
        <v>Equipe Oficina Mecânica Central-Taisa</v>
      </c>
    </row>
    <row r="1194" spans="1:12" ht="15" customHeight="1" x14ac:dyDescent="0.4">
      <c r="A1194" s="25">
        <v>46434</v>
      </c>
      <c r="B1194" s="16">
        <v>25</v>
      </c>
      <c r="C1194" s="16">
        <v>2</v>
      </c>
      <c r="D1194" s="16">
        <v>2</v>
      </c>
      <c r="E1194" s="16" t="s">
        <v>980</v>
      </c>
      <c r="F1194" s="16" t="s">
        <v>1127</v>
      </c>
      <c r="G1194" s="16" t="s">
        <v>184</v>
      </c>
      <c r="H1194" s="16" t="s">
        <v>140</v>
      </c>
      <c r="I1194" s="22" t="s">
        <v>864</v>
      </c>
      <c r="J1194" s="16">
        <f>IFERROR(INDEX(Aux_HH!$J$4:$J$31,MATCH($H1194&amp;"|"&amp;$I1194,Aux_HH!$A$4:$A$31,0)),"")</f>
        <v>8</v>
      </c>
      <c r="K1194" s="16" t="s">
        <v>76</v>
      </c>
      <c r="L1194" s="16" t="str">
        <f>IF(COUNTIFS(Pessoas!$C$5:$C$44,$K1194,Pessoas!$G$5:$G$44,"Ativo")=0,"Equipe "&amp;$K1194,INDEX(Pessoas!$A$5:$A$44,_xludf.aggregate(15,6,(ROW(Pessoas!$A$5:$A$44)-4)/((Pessoas!$C$5:$C$44=$K1194)*(Pessoas!$G$5:$G$44="Ativo")),MOD(ROW()-6,MAX(1,COUNTIFS(Pessoas!$C$5:$C$44,$K1194,Pessoas!$G$5:$G$44,"Ativo")))+1)))</f>
        <v>Equipe Oficina Mecânica Central-Taisa</v>
      </c>
    </row>
    <row r="1195" spans="1:12" ht="15" customHeight="1" x14ac:dyDescent="0.4">
      <c r="A1195" s="25">
        <v>46434</v>
      </c>
      <c r="B1195" s="16">
        <v>25</v>
      </c>
      <c r="C1195" s="16">
        <v>2</v>
      </c>
      <c r="D1195" s="16">
        <v>2</v>
      </c>
      <c r="E1195" s="16" t="s">
        <v>980</v>
      </c>
      <c r="F1195" s="16" t="s">
        <v>1128</v>
      </c>
      <c r="G1195" s="16" t="s">
        <v>184</v>
      </c>
      <c r="H1195" s="16" t="s">
        <v>140</v>
      </c>
      <c r="I1195" s="22" t="s">
        <v>864</v>
      </c>
      <c r="J1195" s="16">
        <f>IFERROR(INDEX(Aux_HH!$J$4:$J$31,MATCH($H1195&amp;"|"&amp;$I1195,Aux_HH!$A$4:$A$31,0)),"")</f>
        <v>8</v>
      </c>
      <c r="K1195" s="16" t="s">
        <v>76</v>
      </c>
      <c r="L1195" s="16" t="str">
        <f>IF(COUNTIFS(Pessoas!$C$5:$C$44,$K1195,Pessoas!$G$5:$G$44,"Ativo")=0,"Equipe "&amp;$K1195,INDEX(Pessoas!$A$5:$A$44,_xludf.aggregate(15,6,(ROW(Pessoas!$A$5:$A$44)-4)/((Pessoas!$C$5:$C$44=$K1195)*(Pessoas!$G$5:$G$44="Ativo")),MOD(ROW()-6,MAX(1,COUNTIFS(Pessoas!$C$5:$C$44,$K1195,Pessoas!$G$5:$G$44,"Ativo")))+1)))</f>
        <v>Equipe Oficina Mecânica Central-Taisa</v>
      </c>
    </row>
    <row r="1196" spans="1:12" ht="15" customHeight="1" x14ac:dyDescent="0.4">
      <c r="A1196" s="25">
        <v>46434</v>
      </c>
      <c r="B1196" s="16">
        <v>25</v>
      </c>
      <c r="C1196" s="16">
        <v>2</v>
      </c>
      <c r="D1196" s="16">
        <v>2</v>
      </c>
      <c r="E1196" s="16" t="s">
        <v>980</v>
      </c>
      <c r="F1196" s="16" t="s">
        <v>1129</v>
      </c>
      <c r="G1196" s="16" t="s">
        <v>184</v>
      </c>
      <c r="H1196" s="16" t="s">
        <v>140</v>
      </c>
      <c r="I1196" s="22" t="s">
        <v>864</v>
      </c>
      <c r="J1196" s="16">
        <f>IFERROR(INDEX(Aux_HH!$J$4:$J$31,MATCH($H1196&amp;"|"&amp;$I1196,Aux_HH!$A$4:$A$31,0)),"")</f>
        <v>8</v>
      </c>
      <c r="K1196" s="16" t="s">
        <v>76</v>
      </c>
      <c r="L1196" s="16" t="str">
        <f>IF(COUNTIFS(Pessoas!$C$5:$C$44,$K1196,Pessoas!$G$5:$G$44,"Ativo")=0,"Equipe "&amp;$K1196,INDEX(Pessoas!$A$5:$A$44,_xludf.aggregate(15,6,(ROW(Pessoas!$A$5:$A$44)-4)/((Pessoas!$C$5:$C$44=$K1196)*(Pessoas!$G$5:$G$44="Ativo")),MOD(ROW()-6,MAX(1,COUNTIFS(Pessoas!$C$5:$C$44,$K1196,Pessoas!$G$5:$G$44,"Ativo")))+1)))</f>
        <v>Equipe Oficina Mecânica Central-Taisa</v>
      </c>
    </row>
    <row r="1197" spans="1:12" ht="15" customHeight="1" x14ac:dyDescent="0.4">
      <c r="A1197" s="25">
        <v>46434</v>
      </c>
      <c r="B1197" s="16">
        <v>25</v>
      </c>
      <c r="C1197" s="16">
        <v>2</v>
      </c>
      <c r="D1197" s="16">
        <v>2</v>
      </c>
      <c r="E1197" s="16" t="s">
        <v>980</v>
      </c>
      <c r="F1197" s="16" t="s">
        <v>1130</v>
      </c>
      <c r="G1197" s="16" t="s">
        <v>184</v>
      </c>
      <c r="H1197" s="16" t="s">
        <v>140</v>
      </c>
      <c r="I1197" s="22" t="s">
        <v>864</v>
      </c>
      <c r="J1197" s="16">
        <f>IFERROR(INDEX(Aux_HH!$J$4:$J$31,MATCH($H1197&amp;"|"&amp;$I1197,Aux_HH!$A$4:$A$31,0)),"")</f>
        <v>8</v>
      </c>
      <c r="K1197" s="16" t="s">
        <v>76</v>
      </c>
      <c r="L1197" s="16" t="str">
        <f>IF(COUNTIFS(Pessoas!$C$5:$C$44,$K1197,Pessoas!$G$5:$G$44,"Ativo")=0,"Equipe "&amp;$K1197,INDEX(Pessoas!$A$5:$A$44,_xludf.aggregate(15,6,(ROW(Pessoas!$A$5:$A$44)-4)/((Pessoas!$C$5:$C$44=$K1197)*(Pessoas!$G$5:$G$44="Ativo")),MOD(ROW()-6,MAX(1,COUNTIFS(Pessoas!$C$5:$C$44,$K1197,Pessoas!$G$5:$G$44,"Ativo")))+1)))</f>
        <v>Equipe Oficina Mecânica Central-Taisa</v>
      </c>
    </row>
    <row r="1198" spans="1:12" ht="15" customHeight="1" x14ac:dyDescent="0.4">
      <c r="A1198" s="25">
        <v>46434</v>
      </c>
      <c r="B1198" s="16">
        <v>25</v>
      </c>
      <c r="C1198" s="16">
        <v>2</v>
      </c>
      <c r="D1198" s="16">
        <v>2</v>
      </c>
      <c r="E1198" s="16" t="s">
        <v>980</v>
      </c>
      <c r="F1198" s="16" t="s">
        <v>1131</v>
      </c>
      <c r="G1198" s="16" t="s">
        <v>526</v>
      </c>
      <c r="H1198" s="16" t="s">
        <v>140</v>
      </c>
      <c r="I1198" s="22" t="s">
        <v>864</v>
      </c>
      <c r="J1198" s="16">
        <f>IFERROR(INDEX(Aux_HH!$J$4:$J$31,MATCH($H1198&amp;"|"&amp;$I1198,Aux_HH!$A$4:$A$31,0)),"")</f>
        <v>8</v>
      </c>
      <c r="K1198" s="16" t="s">
        <v>76</v>
      </c>
      <c r="L1198" s="16" t="str">
        <f>IF(COUNTIFS(Pessoas!$C$5:$C$44,$K1198,Pessoas!$G$5:$G$44,"Ativo")=0,"Equipe "&amp;$K1198,INDEX(Pessoas!$A$5:$A$44,_xludf.aggregate(15,6,(ROW(Pessoas!$A$5:$A$44)-4)/((Pessoas!$C$5:$C$44=$K1198)*(Pessoas!$G$5:$G$44="Ativo")),MOD(ROW()-6,MAX(1,COUNTIFS(Pessoas!$C$5:$C$44,$K1198,Pessoas!$G$5:$G$44,"Ativo")))+1)))</f>
        <v>Equipe Oficina Mecânica Central-Taisa</v>
      </c>
    </row>
    <row r="1199" spans="1:12" ht="15" customHeight="1" x14ac:dyDescent="0.4">
      <c r="A1199" s="25">
        <v>46434</v>
      </c>
      <c r="B1199" s="16">
        <v>25</v>
      </c>
      <c r="C1199" s="16">
        <v>2</v>
      </c>
      <c r="D1199" s="16">
        <v>2</v>
      </c>
      <c r="E1199" s="16" t="s">
        <v>980</v>
      </c>
      <c r="F1199" s="16" t="s">
        <v>1132</v>
      </c>
      <c r="G1199" s="16" t="s">
        <v>184</v>
      </c>
      <c r="H1199" s="16" t="s">
        <v>140</v>
      </c>
      <c r="I1199" s="22" t="s">
        <v>864</v>
      </c>
      <c r="J1199" s="16">
        <f>IFERROR(INDEX(Aux_HH!$J$4:$J$31,MATCH($H1199&amp;"|"&amp;$I1199,Aux_HH!$A$4:$A$31,0)),"")</f>
        <v>8</v>
      </c>
      <c r="K1199" s="16" t="s">
        <v>76</v>
      </c>
      <c r="L1199" s="16" t="str">
        <f>IF(COUNTIFS(Pessoas!$C$5:$C$44,$K1199,Pessoas!$G$5:$G$44,"Ativo")=0,"Equipe "&amp;$K1199,INDEX(Pessoas!$A$5:$A$44,_xludf.aggregate(15,6,(ROW(Pessoas!$A$5:$A$44)-4)/((Pessoas!$C$5:$C$44=$K1199)*(Pessoas!$G$5:$G$44="Ativo")),MOD(ROW()-6,MAX(1,COUNTIFS(Pessoas!$C$5:$C$44,$K1199,Pessoas!$G$5:$G$44,"Ativo")))+1)))</f>
        <v>Equipe Oficina Mecânica Central-Taisa</v>
      </c>
    </row>
    <row r="1200" spans="1:12" ht="15" customHeight="1" x14ac:dyDescent="0.4">
      <c r="A1200" s="25">
        <v>46434</v>
      </c>
      <c r="B1200" s="16">
        <v>25</v>
      </c>
      <c r="C1200" s="16">
        <v>2</v>
      </c>
      <c r="D1200" s="16">
        <v>2</v>
      </c>
      <c r="E1200" s="16" t="s">
        <v>980</v>
      </c>
      <c r="F1200" s="16" t="s">
        <v>1133</v>
      </c>
      <c r="G1200" s="16" t="s">
        <v>526</v>
      </c>
      <c r="H1200" s="16" t="s">
        <v>140</v>
      </c>
      <c r="I1200" s="22" t="s">
        <v>864</v>
      </c>
      <c r="J1200" s="16">
        <f>IFERROR(INDEX(Aux_HH!$J$4:$J$31,MATCH($H1200&amp;"|"&amp;$I1200,Aux_HH!$A$4:$A$31,0)),"")</f>
        <v>8</v>
      </c>
      <c r="K1200" s="16" t="s">
        <v>76</v>
      </c>
      <c r="L1200" s="16" t="str">
        <f>IF(COUNTIFS(Pessoas!$C$5:$C$44,$K1200,Pessoas!$G$5:$G$44,"Ativo")=0,"Equipe "&amp;$K1200,INDEX(Pessoas!$A$5:$A$44,_xludf.aggregate(15,6,(ROW(Pessoas!$A$5:$A$44)-4)/((Pessoas!$C$5:$C$44=$K1200)*(Pessoas!$G$5:$G$44="Ativo")),MOD(ROW()-6,MAX(1,COUNTIFS(Pessoas!$C$5:$C$44,$K1200,Pessoas!$G$5:$G$44,"Ativo")))+1)))</f>
        <v>Equipe Oficina Mecânica Central-Taisa</v>
      </c>
    </row>
    <row r="1201" spans="1:12" ht="15" customHeight="1" x14ac:dyDescent="0.4">
      <c r="A1201" s="25">
        <v>46434</v>
      </c>
      <c r="B1201" s="16">
        <v>25</v>
      </c>
      <c r="C1201" s="16">
        <v>2</v>
      </c>
      <c r="D1201" s="16">
        <v>2</v>
      </c>
      <c r="E1201" s="16" t="s">
        <v>980</v>
      </c>
      <c r="F1201" s="16" t="s">
        <v>1134</v>
      </c>
      <c r="G1201" s="16" t="s">
        <v>526</v>
      </c>
      <c r="H1201" s="16" t="s">
        <v>140</v>
      </c>
      <c r="I1201" s="22" t="s">
        <v>864</v>
      </c>
      <c r="J1201" s="16">
        <f>IFERROR(INDEX(Aux_HH!$J$4:$J$31,MATCH($H1201&amp;"|"&amp;$I1201,Aux_HH!$A$4:$A$31,0)),"")</f>
        <v>8</v>
      </c>
      <c r="K1201" s="16" t="s">
        <v>76</v>
      </c>
      <c r="L1201" s="16" t="str">
        <f>IF(COUNTIFS(Pessoas!$C$5:$C$44,$K1201,Pessoas!$G$5:$G$44,"Ativo")=0,"Equipe "&amp;$K1201,INDEX(Pessoas!$A$5:$A$44,_xludf.aggregate(15,6,(ROW(Pessoas!$A$5:$A$44)-4)/((Pessoas!$C$5:$C$44=$K1201)*(Pessoas!$G$5:$G$44="Ativo")),MOD(ROW()-6,MAX(1,COUNTIFS(Pessoas!$C$5:$C$44,$K1201,Pessoas!$G$5:$G$44,"Ativo")))+1)))</f>
        <v>Equipe Oficina Mecânica Central-Taisa</v>
      </c>
    </row>
    <row r="1202" spans="1:12" ht="15" customHeight="1" x14ac:dyDescent="0.4">
      <c r="A1202" s="25">
        <v>46434</v>
      </c>
      <c r="B1202" s="16">
        <v>25</v>
      </c>
      <c r="C1202" s="16">
        <v>2</v>
      </c>
      <c r="D1202" s="16">
        <v>2</v>
      </c>
      <c r="E1202" s="16" t="s">
        <v>980</v>
      </c>
      <c r="F1202" s="16" t="s">
        <v>1135</v>
      </c>
      <c r="G1202" s="16" t="s">
        <v>526</v>
      </c>
      <c r="H1202" s="16" t="s">
        <v>140</v>
      </c>
      <c r="I1202" s="22" t="s">
        <v>864</v>
      </c>
      <c r="J1202" s="16">
        <f>IFERROR(INDEX(Aux_HH!$J$4:$J$31,MATCH($H1202&amp;"|"&amp;$I1202,Aux_HH!$A$4:$A$31,0)),"")</f>
        <v>8</v>
      </c>
      <c r="K1202" s="16" t="s">
        <v>76</v>
      </c>
      <c r="L1202" s="16" t="str">
        <f>IF(COUNTIFS(Pessoas!$C$5:$C$44,$K1202,Pessoas!$G$5:$G$44,"Ativo")=0,"Equipe "&amp;$K1202,INDEX(Pessoas!$A$5:$A$44,_xludf.aggregate(15,6,(ROW(Pessoas!$A$5:$A$44)-4)/((Pessoas!$C$5:$C$44=$K1202)*(Pessoas!$G$5:$G$44="Ativo")),MOD(ROW()-6,MAX(1,COUNTIFS(Pessoas!$C$5:$C$44,$K1202,Pessoas!$G$5:$G$44,"Ativo")))+1)))</f>
        <v>Equipe Oficina Mecânica Central-Taisa</v>
      </c>
    </row>
    <row r="1203" spans="1:12" ht="15" customHeight="1" x14ac:dyDescent="0.4">
      <c r="A1203" s="25">
        <v>46434</v>
      </c>
      <c r="B1203" s="16">
        <v>25</v>
      </c>
      <c r="C1203" s="16">
        <v>2</v>
      </c>
      <c r="D1203" s="16">
        <v>2</v>
      </c>
      <c r="E1203" s="16" t="s">
        <v>980</v>
      </c>
      <c r="F1203" s="16" t="s">
        <v>1136</v>
      </c>
      <c r="G1203" s="16" t="s">
        <v>526</v>
      </c>
      <c r="H1203" s="16" t="s">
        <v>140</v>
      </c>
      <c r="I1203" s="22" t="s">
        <v>864</v>
      </c>
      <c r="J1203" s="16">
        <f>IFERROR(INDEX(Aux_HH!$J$4:$J$31,MATCH($H1203&amp;"|"&amp;$I1203,Aux_HH!$A$4:$A$31,0)),"")</f>
        <v>8</v>
      </c>
      <c r="K1203" s="16" t="s">
        <v>76</v>
      </c>
      <c r="L1203" s="16" t="str">
        <f>IF(COUNTIFS(Pessoas!$C$5:$C$44,$K1203,Pessoas!$G$5:$G$44,"Ativo")=0,"Equipe "&amp;$K1203,INDEX(Pessoas!$A$5:$A$44,_xludf.aggregate(15,6,(ROW(Pessoas!$A$5:$A$44)-4)/((Pessoas!$C$5:$C$44=$K1203)*(Pessoas!$G$5:$G$44="Ativo")),MOD(ROW()-6,MAX(1,COUNTIFS(Pessoas!$C$5:$C$44,$K1203,Pessoas!$G$5:$G$44,"Ativo")))+1)))</f>
        <v>Equipe Oficina Mecânica Central-Taisa</v>
      </c>
    </row>
    <row r="1204" spans="1:12" ht="15" customHeight="1" x14ac:dyDescent="0.4">
      <c r="A1204" s="25">
        <v>46434</v>
      </c>
      <c r="B1204" s="16">
        <v>25</v>
      </c>
      <c r="C1204" s="16">
        <v>2</v>
      </c>
      <c r="D1204" s="16">
        <v>2</v>
      </c>
      <c r="E1204" s="16" t="s">
        <v>980</v>
      </c>
      <c r="F1204" s="16" t="s">
        <v>1158</v>
      </c>
      <c r="G1204" s="16" t="s">
        <v>526</v>
      </c>
      <c r="H1204" s="16" t="s">
        <v>140</v>
      </c>
      <c r="I1204" s="22" t="s">
        <v>864</v>
      </c>
      <c r="J1204" s="16">
        <f>IFERROR(INDEX(Aux_HH!$J$4:$J$31,MATCH($H1204&amp;"|"&amp;$I1204,Aux_HH!$A$4:$A$31,0)),"")</f>
        <v>8</v>
      </c>
      <c r="K1204" s="16" t="s">
        <v>76</v>
      </c>
      <c r="L1204" s="16" t="str">
        <f>IF(COUNTIFS(Pessoas!$C$5:$C$44,$K1204,Pessoas!$G$5:$G$44,"Ativo")=0,"Equipe "&amp;$K1204,INDEX(Pessoas!$A$5:$A$44,_xludf.aggregate(15,6,(ROW(Pessoas!$A$5:$A$44)-4)/((Pessoas!$C$5:$C$44=$K1204)*(Pessoas!$G$5:$G$44="Ativo")),MOD(ROW()-6,MAX(1,COUNTIFS(Pessoas!$C$5:$C$44,$K1204,Pessoas!$G$5:$G$44,"Ativo")))+1)))</f>
        <v>Equipe Oficina Mecânica Central-Taisa</v>
      </c>
    </row>
    <row r="1205" spans="1:12" ht="15" customHeight="1" x14ac:dyDescent="0.4">
      <c r="A1205" s="25">
        <v>46434</v>
      </c>
      <c r="B1205" s="16">
        <v>25</v>
      </c>
      <c r="C1205" s="16">
        <v>2</v>
      </c>
      <c r="D1205" s="16">
        <v>2</v>
      </c>
      <c r="E1205" s="16" t="s">
        <v>980</v>
      </c>
      <c r="F1205" s="16" t="s">
        <v>1159</v>
      </c>
      <c r="G1205" s="16" t="s">
        <v>526</v>
      </c>
      <c r="H1205" s="16" t="s">
        <v>140</v>
      </c>
      <c r="I1205" s="22" t="s">
        <v>864</v>
      </c>
      <c r="J1205" s="16">
        <f>IFERROR(INDEX(Aux_HH!$J$4:$J$31,MATCH($H1205&amp;"|"&amp;$I1205,Aux_HH!$A$4:$A$31,0)),"")</f>
        <v>8</v>
      </c>
      <c r="K1205" s="16" t="s">
        <v>76</v>
      </c>
      <c r="L1205" s="16" t="str">
        <f>IF(COUNTIFS(Pessoas!$C$5:$C$44,$K1205,Pessoas!$G$5:$G$44,"Ativo")=0,"Equipe "&amp;$K1205,INDEX(Pessoas!$A$5:$A$44,_xludf.aggregate(15,6,(ROW(Pessoas!$A$5:$A$44)-4)/((Pessoas!$C$5:$C$44=$K1205)*(Pessoas!$G$5:$G$44="Ativo")),MOD(ROW()-6,MAX(1,COUNTIFS(Pessoas!$C$5:$C$44,$K1205,Pessoas!$G$5:$G$44,"Ativo")))+1)))</f>
        <v>Equipe Oficina Mecânica Central-Taisa</v>
      </c>
    </row>
    <row r="1206" spans="1:12" ht="15" customHeight="1" x14ac:dyDescent="0.4">
      <c r="A1206" s="25">
        <v>46434</v>
      </c>
      <c r="B1206" s="16">
        <v>25</v>
      </c>
      <c r="C1206" s="16">
        <v>2</v>
      </c>
      <c r="D1206" s="16">
        <v>2</v>
      </c>
      <c r="E1206" s="16" t="s">
        <v>980</v>
      </c>
      <c r="F1206" s="16" t="s">
        <v>1160</v>
      </c>
      <c r="G1206" s="16" t="s">
        <v>526</v>
      </c>
      <c r="H1206" s="16" t="s">
        <v>140</v>
      </c>
      <c r="I1206" s="22" t="s">
        <v>864</v>
      </c>
      <c r="J1206" s="16">
        <f>IFERROR(INDEX(Aux_HH!$J$4:$J$31,MATCH($H1206&amp;"|"&amp;$I1206,Aux_HH!$A$4:$A$31,0)),"")</f>
        <v>8</v>
      </c>
      <c r="K1206" s="16" t="s">
        <v>76</v>
      </c>
      <c r="L1206" s="16" t="str">
        <f>IF(COUNTIFS(Pessoas!$C$5:$C$44,$K1206,Pessoas!$G$5:$G$44,"Ativo")=0,"Equipe "&amp;$K1206,INDEX(Pessoas!$A$5:$A$44,_xludf.aggregate(15,6,(ROW(Pessoas!$A$5:$A$44)-4)/((Pessoas!$C$5:$C$44=$K1206)*(Pessoas!$G$5:$G$44="Ativo")),MOD(ROW()-6,MAX(1,COUNTIFS(Pessoas!$C$5:$C$44,$K1206,Pessoas!$G$5:$G$44,"Ativo")))+1)))</f>
        <v>Equipe Oficina Mecânica Central-Taisa</v>
      </c>
    </row>
    <row r="1207" spans="1:12" ht="15" customHeight="1" x14ac:dyDescent="0.4">
      <c r="A1207" s="25">
        <v>46434</v>
      </c>
      <c r="B1207" s="16">
        <v>25</v>
      </c>
      <c r="C1207" s="16">
        <v>2</v>
      </c>
      <c r="D1207" s="16">
        <v>2</v>
      </c>
      <c r="E1207" s="16" t="s">
        <v>980</v>
      </c>
      <c r="F1207" s="16" t="s">
        <v>1161</v>
      </c>
      <c r="G1207" s="16" t="s">
        <v>526</v>
      </c>
      <c r="H1207" s="16" t="s">
        <v>140</v>
      </c>
      <c r="I1207" s="22" t="s">
        <v>864</v>
      </c>
      <c r="J1207" s="16">
        <f>IFERROR(INDEX(Aux_HH!$J$4:$J$31,MATCH($H1207&amp;"|"&amp;$I1207,Aux_HH!$A$4:$A$31,0)),"")</f>
        <v>8</v>
      </c>
      <c r="K1207" s="16" t="s">
        <v>76</v>
      </c>
      <c r="L1207" s="16" t="str">
        <f>IF(COUNTIFS(Pessoas!$C$5:$C$44,$K1207,Pessoas!$G$5:$G$44,"Ativo")=0,"Equipe "&amp;$K1207,INDEX(Pessoas!$A$5:$A$44,_xludf.aggregate(15,6,(ROW(Pessoas!$A$5:$A$44)-4)/((Pessoas!$C$5:$C$44=$K1207)*(Pessoas!$G$5:$G$44="Ativo")),MOD(ROW()-6,MAX(1,COUNTIFS(Pessoas!$C$5:$C$44,$K1207,Pessoas!$G$5:$G$44,"Ativo")))+1)))</f>
        <v>Equipe Oficina Mecânica Central-Taisa</v>
      </c>
    </row>
    <row r="1208" spans="1:12" ht="15" customHeight="1" x14ac:dyDescent="0.4">
      <c r="A1208" s="25">
        <v>46434</v>
      </c>
      <c r="B1208" s="16">
        <v>25</v>
      </c>
      <c r="C1208" s="16">
        <v>2</v>
      </c>
      <c r="D1208" s="16">
        <v>2</v>
      </c>
      <c r="E1208" s="16" t="s">
        <v>980</v>
      </c>
      <c r="F1208" s="16" t="s">
        <v>1001</v>
      </c>
      <c r="G1208" s="16" t="s">
        <v>688</v>
      </c>
      <c r="H1208" s="16" t="s">
        <v>145</v>
      </c>
      <c r="I1208" s="22" t="s">
        <v>856</v>
      </c>
      <c r="J1208" s="16">
        <f>IFERROR(INDEX(Aux_HH!$J$4:$J$31,MATCH($H1208&amp;"|"&amp;$I1208,Aux_HH!$A$4:$A$31,0)),"")</f>
        <v>2</v>
      </c>
      <c r="K1208" s="16" t="s">
        <v>76</v>
      </c>
      <c r="L1208" s="16" t="str">
        <f>IF(COUNTIFS(Pessoas!$C$5:$C$44,$K1208,Pessoas!$G$5:$G$44,"Ativo")=0,"Equipe "&amp;$K1208,INDEX(Pessoas!$A$5:$A$44,_xludf.aggregate(15,6,(ROW(Pessoas!$A$5:$A$44)-4)/((Pessoas!$C$5:$C$44=$K1208)*(Pessoas!$G$5:$G$44="Ativo")),MOD(ROW()-6,MAX(1,COUNTIFS(Pessoas!$C$5:$C$44,$K1208,Pessoas!$G$5:$G$44,"Ativo")))+1)))</f>
        <v>Equipe Oficina Mecânica Central-Taisa</v>
      </c>
    </row>
    <row r="1209" spans="1:12" ht="15" customHeight="1" x14ac:dyDescent="0.4">
      <c r="A1209" s="25">
        <v>46434</v>
      </c>
      <c r="B1209" s="16">
        <v>25</v>
      </c>
      <c r="C1209" s="16">
        <v>2</v>
      </c>
      <c r="D1209" s="16">
        <v>2</v>
      </c>
      <c r="E1209" s="16" t="s">
        <v>980</v>
      </c>
      <c r="F1209" s="16" t="s">
        <v>1002</v>
      </c>
      <c r="G1209" s="16" t="s">
        <v>688</v>
      </c>
      <c r="H1209" s="16" t="s">
        <v>145</v>
      </c>
      <c r="I1209" s="22" t="s">
        <v>856</v>
      </c>
      <c r="J1209" s="16">
        <f>IFERROR(INDEX(Aux_HH!$J$4:$J$31,MATCH($H1209&amp;"|"&amp;$I1209,Aux_HH!$A$4:$A$31,0)),"")</f>
        <v>2</v>
      </c>
      <c r="K1209" s="16" t="s">
        <v>76</v>
      </c>
      <c r="L1209" s="16" t="str">
        <f>IF(COUNTIFS(Pessoas!$C$5:$C$44,$K1209,Pessoas!$G$5:$G$44,"Ativo")=0,"Equipe "&amp;$K1209,INDEX(Pessoas!$A$5:$A$44,_xludf.aggregate(15,6,(ROW(Pessoas!$A$5:$A$44)-4)/((Pessoas!$C$5:$C$44=$K1209)*(Pessoas!$G$5:$G$44="Ativo")),MOD(ROW()-6,MAX(1,COUNTIFS(Pessoas!$C$5:$C$44,$K1209,Pessoas!$G$5:$G$44,"Ativo")))+1)))</f>
        <v>Equipe Oficina Mecânica Central-Taisa</v>
      </c>
    </row>
    <row r="1210" spans="1:12" ht="15" customHeight="1" x14ac:dyDescent="0.4">
      <c r="A1210" s="25">
        <v>46434</v>
      </c>
      <c r="B1210" s="16">
        <v>25</v>
      </c>
      <c r="C1210" s="16">
        <v>2</v>
      </c>
      <c r="D1210" s="16">
        <v>2</v>
      </c>
      <c r="E1210" s="16" t="s">
        <v>980</v>
      </c>
      <c r="F1210" s="16" t="s">
        <v>1003</v>
      </c>
      <c r="G1210" s="16" t="s">
        <v>688</v>
      </c>
      <c r="H1210" s="16" t="s">
        <v>145</v>
      </c>
      <c r="I1210" s="22" t="s">
        <v>856</v>
      </c>
      <c r="J1210" s="16">
        <f>IFERROR(INDEX(Aux_HH!$J$4:$J$31,MATCH($H1210&amp;"|"&amp;$I1210,Aux_HH!$A$4:$A$31,0)),"")</f>
        <v>2</v>
      </c>
      <c r="K1210" s="16" t="s">
        <v>76</v>
      </c>
      <c r="L1210" s="16" t="str">
        <f>IF(COUNTIFS(Pessoas!$C$5:$C$44,$K1210,Pessoas!$G$5:$G$44,"Ativo")=0,"Equipe "&amp;$K1210,INDEX(Pessoas!$A$5:$A$44,_xludf.aggregate(15,6,(ROW(Pessoas!$A$5:$A$44)-4)/((Pessoas!$C$5:$C$44=$K1210)*(Pessoas!$G$5:$G$44="Ativo")),MOD(ROW()-6,MAX(1,COUNTIFS(Pessoas!$C$5:$C$44,$K1210,Pessoas!$G$5:$G$44,"Ativo")))+1)))</f>
        <v>Equipe Oficina Mecânica Central-Taisa</v>
      </c>
    </row>
    <row r="1211" spans="1:12" ht="15" customHeight="1" x14ac:dyDescent="0.4">
      <c r="A1211" s="25">
        <v>46434</v>
      </c>
      <c r="B1211" s="16">
        <v>25</v>
      </c>
      <c r="C1211" s="16">
        <v>2</v>
      </c>
      <c r="D1211" s="16">
        <v>2</v>
      </c>
      <c r="E1211" s="16" t="s">
        <v>980</v>
      </c>
      <c r="F1211" s="16" t="s">
        <v>1164</v>
      </c>
      <c r="G1211" s="16" t="s">
        <v>184</v>
      </c>
      <c r="H1211" s="16" t="s">
        <v>140</v>
      </c>
      <c r="I1211" s="22" t="s">
        <v>864</v>
      </c>
      <c r="J1211" s="16">
        <f>IFERROR(INDEX(Aux_HH!$J$4:$J$31,MATCH($H1211&amp;"|"&amp;$I1211,Aux_HH!$A$4:$A$31,0)),"")</f>
        <v>8</v>
      </c>
      <c r="K1211" s="16" t="s">
        <v>76</v>
      </c>
      <c r="L1211" s="16" t="str">
        <f>IF(COUNTIFS(Pessoas!$C$5:$C$44,$K1211,Pessoas!$G$5:$G$44,"Ativo")=0,"Equipe "&amp;$K1211,INDEX(Pessoas!$A$5:$A$44,_xludf.aggregate(15,6,(ROW(Pessoas!$A$5:$A$44)-4)/((Pessoas!$C$5:$C$44=$K1211)*(Pessoas!$G$5:$G$44="Ativo")),MOD(ROW()-6,MAX(1,COUNTIFS(Pessoas!$C$5:$C$44,$K1211,Pessoas!$G$5:$G$44,"Ativo")))+1)))</f>
        <v>Equipe Oficina Mecânica Central-Taisa</v>
      </c>
    </row>
    <row r="1212" spans="1:12" ht="15" customHeight="1" x14ac:dyDescent="0.4">
      <c r="A1212" s="25">
        <v>46434</v>
      </c>
      <c r="B1212" s="16">
        <v>25</v>
      </c>
      <c r="C1212" s="16">
        <v>2</v>
      </c>
      <c r="D1212" s="16">
        <v>2</v>
      </c>
      <c r="E1212" s="16" t="s">
        <v>980</v>
      </c>
      <c r="F1212" s="16" t="s">
        <v>1165</v>
      </c>
      <c r="G1212" s="16" t="s">
        <v>184</v>
      </c>
      <c r="H1212" s="16" t="s">
        <v>140</v>
      </c>
      <c r="I1212" s="22" t="s">
        <v>864</v>
      </c>
      <c r="J1212" s="16">
        <f>IFERROR(INDEX(Aux_HH!$J$4:$J$31,MATCH($H1212&amp;"|"&amp;$I1212,Aux_HH!$A$4:$A$31,0)),"")</f>
        <v>8</v>
      </c>
      <c r="K1212" s="16" t="s">
        <v>76</v>
      </c>
      <c r="L1212" s="16" t="str">
        <f>IF(COUNTIFS(Pessoas!$C$5:$C$44,$K1212,Pessoas!$G$5:$G$44,"Ativo")=0,"Equipe "&amp;$K1212,INDEX(Pessoas!$A$5:$A$44,_xludf.aggregate(15,6,(ROW(Pessoas!$A$5:$A$44)-4)/((Pessoas!$C$5:$C$44=$K1212)*(Pessoas!$G$5:$G$44="Ativo")),MOD(ROW()-6,MAX(1,COUNTIFS(Pessoas!$C$5:$C$44,$K1212,Pessoas!$G$5:$G$44,"Ativo")))+1)))</f>
        <v>Equipe Oficina Mecânica Central-Taisa</v>
      </c>
    </row>
    <row r="1213" spans="1:12" ht="15" customHeight="1" x14ac:dyDescent="0.4">
      <c r="A1213" s="25">
        <v>46434</v>
      </c>
      <c r="B1213" s="16">
        <v>25</v>
      </c>
      <c r="C1213" s="16">
        <v>2</v>
      </c>
      <c r="D1213" s="16">
        <v>2</v>
      </c>
      <c r="E1213" s="16" t="s">
        <v>980</v>
      </c>
      <c r="F1213" s="16" t="s">
        <v>1166</v>
      </c>
      <c r="G1213" s="16" t="s">
        <v>526</v>
      </c>
      <c r="H1213" s="16" t="s">
        <v>140</v>
      </c>
      <c r="I1213" s="22" t="s">
        <v>864</v>
      </c>
      <c r="J1213" s="16">
        <f>IFERROR(INDEX(Aux_HH!$J$4:$J$31,MATCH($H1213&amp;"|"&amp;$I1213,Aux_HH!$A$4:$A$31,0)),"")</f>
        <v>8</v>
      </c>
      <c r="K1213" s="16" t="s">
        <v>76</v>
      </c>
      <c r="L1213" s="16" t="str">
        <f>IF(COUNTIFS(Pessoas!$C$5:$C$44,$K1213,Pessoas!$G$5:$G$44,"Ativo")=0,"Equipe "&amp;$K1213,INDEX(Pessoas!$A$5:$A$44,_xludf.aggregate(15,6,(ROW(Pessoas!$A$5:$A$44)-4)/((Pessoas!$C$5:$C$44=$K1213)*(Pessoas!$G$5:$G$44="Ativo")),MOD(ROW()-6,MAX(1,COUNTIFS(Pessoas!$C$5:$C$44,$K1213,Pessoas!$G$5:$G$44,"Ativo")))+1)))</f>
        <v>Equipe Oficina Mecânica Central-Taisa</v>
      </c>
    </row>
    <row r="1214" spans="1:12" ht="15" customHeight="1" x14ac:dyDescent="0.4">
      <c r="A1214" s="25">
        <v>46434</v>
      </c>
      <c r="B1214" s="16">
        <v>25</v>
      </c>
      <c r="C1214" s="16">
        <v>2</v>
      </c>
      <c r="D1214" s="16">
        <v>2</v>
      </c>
      <c r="E1214" s="16" t="s">
        <v>980</v>
      </c>
      <c r="F1214" s="16" t="s">
        <v>1167</v>
      </c>
      <c r="G1214" s="16" t="s">
        <v>526</v>
      </c>
      <c r="H1214" s="16" t="s">
        <v>140</v>
      </c>
      <c r="I1214" s="22" t="s">
        <v>864</v>
      </c>
      <c r="J1214" s="16">
        <f>IFERROR(INDEX(Aux_HH!$J$4:$J$31,MATCH($H1214&amp;"|"&amp;$I1214,Aux_HH!$A$4:$A$31,0)),"")</f>
        <v>8</v>
      </c>
      <c r="K1214" s="16" t="s">
        <v>76</v>
      </c>
      <c r="L1214" s="16" t="str">
        <f>IF(COUNTIFS(Pessoas!$C$5:$C$44,$K1214,Pessoas!$G$5:$G$44,"Ativo")=0,"Equipe "&amp;$K1214,INDEX(Pessoas!$A$5:$A$44,_xludf.aggregate(15,6,(ROW(Pessoas!$A$5:$A$44)-4)/((Pessoas!$C$5:$C$44=$K1214)*(Pessoas!$G$5:$G$44="Ativo")),MOD(ROW()-6,MAX(1,COUNTIFS(Pessoas!$C$5:$C$44,$K1214,Pessoas!$G$5:$G$44,"Ativo")))+1)))</f>
        <v>Equipe Oficina Mecânica Central-Taisa</v>
      </c>
    </row>
    <row r="1215" spans="1:12" ht="15" customHeight="1" x14ac:dyDescent="0.4">
      <c r="A1215" s="25">
        <v>46434</v>
      </c>
      <c r="B1215" s="16">
        <v>25</v>
      </c>
      <c r="C1215" s="16">
        <v>2</v>
      </c>
      <c r="D1215" s="16">
        <v>2</v>
      </c>
      <c r="E1215" s="16" t="s">
        <v>980</v>
      </c>
      <c r="F1215" s="16" t="s">
        <v>1168</v>
      </c>
      <c r="G1215" s="16" t="s">
        <v>526</v>
      </c>
      <c r="H1215" s="16" t="s">
        <v>140</v>
      </c>
      <c r="I1215" s="22" t="s">
        <v>864</v>
      </c>
      <c r="J1215" s="16">
        <f>IFERROR(INDEX(Aux_HH!$J$4:$J$31,MATCH($H1215&amp;"|"&amp;$I1215,Aux_HH!$A$4:$A$31,0)),"")</f>
        <v>8</v>
      </c>
      <c r="K1215" s="16" t="s">
        <v>76</v>
      </c>
      <c r="L1215" s="16" t="str">
        <f>IF(COUNTIFS(Pessoas!$C$5:$C$44,$K1215,Pessoas!$G$5:$G$44,"Ativo")=0,"Equipe "&amp;$K1215,INDEX(Pessoas!$A$5:$A$44,_xludf.aggregate(15,6,(ROW(Pessoas!$A$5:$A$44)-4)/((Pessoas!$C$5:$C$44=$K1215)*(Pessoas!$G$5:$G$44="Ativo")),MOD(ROW()-6,MAX(1,COUNTIFS(Pessoas!$C$5:$C$44,$K1215,Pessoas!$G$5:$G$44,"Ativo")))+1)))</f>
        <v>Equipe Oficina Mecânica Central-Taisa</v>
      </c>
    </row>
    <row r="1216" spans="1:12" ht="15" customHeight="1" x14ac:dyDescent="0.4">
      <c r="A1216" s="25">
        <v>46435</v>
      </c>
      <c r="B1216" s="16">
        <v>25</v>
      </c>
      <c r="C1216" s="16">
        <v>2</v>
      </c>
      <c r="D1216" s="16">
        <v>2</v>
      </c>
      <c r="E1216" s="16" t="s">
        <v>980</v>
      </c>
      <c r="F1216" s="16" t="s">
        <v>993</v>
      </c>
      <c r="G1216" s="16" t="s">
        <v>184</v>
      </c>
      <c r="H1216" s="16" t="s">
        <v>138</v>
      </c>
      <c r="I1216" s="22" t="s">
        <v>861</v>
      </c>
      <c r="J1216" s="16">
        <f>IFERROR(INDEX(Aux_HH!$J$4:$J$31,MATCH($H1216&amp;"|"&amp;$I1216,Aux_HH!$A$4:$A$31,0)),"")</f>
        <v>6</v>
      </c>
      <c r="K1216" s="16" t="s">
        <v>76</v>
      </c>
      <c r="L1216" s="16" t="str">
        <f>IF(COUNTIFS(Pessoas!$C$5:$C$44,$K1216,Pessoas!$G$5:$G$44,"Ativo")=0,"Equipe "&amp;$K1216,INDEX(Pessoas!$A$5:$A$44,_xludf.aggregate(15,6,(ROW(Pessoas!$A$5:$A$44)-4)/((Pessoas!$C$5:$C$44=$K1216)*(Pessoas!$G$5:$G$44="Ativo")),MOD(ROW()-6,MAX(1,COUNTIFS(Pessoas!$C$5:$C$44,$K1216,Pessoas!$G$5:$G$44,"Ativo")))+1)))</f>
        <v>Equipe Oficina Mecânica Central-Taisa</v>
      </c>
    </row>
    <row r="1217" spans="1:12" ht="15" customHeight="1" x14ac:dyDescent="0.4">
      <c r="A1217" s="25">
        <v>46435</v>
      </c>
      <c r="B1217" s="16">
        <v>25</v>
      </c>
      <c r="C1217" s="16">
        <v>2</v>
      </c>
      <c r="D1217" s="16">
        <v>2</v>
      </c>
      <c r="E1217" s="16" t="s">
        <v>980</v>
      </c>
      <c r="F1217" s="16" t="s">
        <v>1170</v>
      </c>
      <c r="G1217" s="16" t="s">
        <v>526</v>
      </c>
      <c r="H1217" s="16" t="s">
        <v>140</v>
      </c>
      <c r="I1217" s="22" t="s">
        <v>864</v>
      </c>
      <c r="J1217" s="16">
        <f>IFERROR(INDEX(Aux_HH!$J$4:$J$31,MATCH($H1217&amp;"|"&amp;$I1217,Aux_HH!$A$4:$A$31,0)),"")</f>
        <v>8</v>
      </c>
      <c r="K1217" s="16" t="s">
        <v>76</v>
      </c>
      <c r="L1217" s="16" t="str">
        <f>IF(COUNTIFS(Pessoas!$C$5:$C$44,$K1217,Pessoas!$G$5:$G$44,"Ativo")=0,"Equipe "&amp;$K1217,INDEX(Pessoas!$A$5:$A$44,_xludf.aggregate(15,6,(ROW(Pessoas!$A$5:$A$44)-4)/((Pessoas!$C$5:$C$44=$K1217)*(Pessoas!$G$5:$G$44="Ativo")),MOD(ROW()-6,MAX(1,COUNTIFS(Pessoas!$C$5:$C$44,$K1217,Pessoas!$G$5:$G$44,"Ativo")))+1)))</f>
        <v>Equipe Oficina Mecânica Central-Taisa</v>
      </c>
    </row>
    <row r="1218" spans="1:12" ht="15" customHeight="1" x14ac:dyDescent="0.4">
      <c r="A1218" s="25">
        <v>46435</v>
      </c>
      <c r="B1218" s="16">
        <v>25</v>
      </c>
      <c r="C1218" s="16">
        <v>2</v>
      </c>
      <c r="D1218" s="16">
        <v>2</v>
      </c>
      <c r="E1218" s="16" t="s">
        <v>980</v>
      </c>
      <c r="F1218" s="16" t="s">
        <v>1171</v>
      </c>
      <c r="G1218" s="16" t="s">
        <v>526</v>
      </c>
      <c r="H1218" s="16" t="s">
        <v>140</v>
      </c>
      <c r="I1218" s="22" t="s">
        <v>864</v>
      </c>
      <c r="J1218" s="16">
        <f>IFERROR(INDEX(Aux_HH!$J$4:$J$31,MATCH($H1218&amp;"|"&amp;$I1218,Aux_HH!$A$4:$A$31,0)),"")</f>
        <v>8</v>
      </c>
      <c r="K1218" s="16" t="s">
        <v>76</v>
      </c>
      <c r="L1218" s="16" t="str">
        <f>IF(COUNTIFS(Pessoas!$C$5:$C$44,$K1218,Pessoas!$G$5:$G$44,"Ativo")=0,"Equipe "&amp;$K1218,INDEX(Pessoas!$A$5:$A$44,_xludf.aggregate(15,6,(ROW(Pessoas!$A$5:$A$44)-4)/((Pessoas!$C$5:$C$44=$K1218)*(Pessoas!$G$5:$G$44="Ativo")),MOD(ROW()-6,MAX(1,COUNTIFS(Pessoas!$C$5:$C$44,$K1218,Pessoas!$G$5:$G$44,"Ativo")))+1)))</f>
        <v>Equipe Oficina Mecânica Central-Taisa</v>
      </c>
    </row>
    <row r="1219" spans="1:12" ht="15" customHeight="1" x14ac:dyDescent="0.4">
      <c r="A1219" s="25">
        <v>46435</v>
      </c>
      <c r="B1219" s="16">
        <v>25</v>
      </c>
      <c r="C1219" s="16">
        <v>2</v>
      </c>
      <c r="D1219" s="16">
        <v>2</v>
      </c>
      <c r="E1219" s="16" t="s">
        <v>980</v>
      </c>
      <c r="F1219" s="16" t="s">
        <v>1172</v>
      </c>
      <c r="G1219" s="16" t="s">
        <v>526</v>
      </c>
      <c r="H1219" s="16" t="s">
        <v>140</v>
      </c>
      <c r="I1219" s="22" t="s">
        <v>864</v>
      </c>
      <c r="J1219" s="16">
        <f>IFERROR(INDEX(Aux_HH!$J$4:$J$31,MATCH($H1219&amp;"|"&amp;$I1219,Aux_HH!$A$4:$A$31,0)),"")</f>
        <v>8</v>
      </c>
      <c r="K1219" s="16" t="s">
        <v>76</v>
      </c>
      <c r="L1219" s="16" t="str">
        <f>IF(COUNTIFS(Pessoas!$C$5:$C$44,$K1219,Pessoas!$G$5:$G$44,"Ativo")=0,"Equipe "&amp;$K1219,INDEX(Pessoas!$A$5:$A$44,_xludf.aggregate(15,6,(ROW(Pessoas!$A$5:$A$44)-4)/((Pessoas!$C$5:$C$44=$K1219)*(Pessoas!$G$5:$G$44="Ativo")),MOD(ROW()-6,MAX(1,COUNTIFS(Pessoas!$C$5:$C$44,$K1219,Pessoas!$G$5:$G$44,"Ativo")))+1)))</f>
        <v>Equipe Oficina Mecânica Central-Taisa</v>
      </c>
    </row>
    <row r="1220" spans="1:12" ht="15" customHeight="1" x14ac:dyDescent="0.4">
      <c r="A1220" s="25">
        <v>46435</v>
      </c>
      <c r="B1220" s="16">
        <v>25</v>
      </c>
      <c r="C1220" s="16">
        <v>2</v>
      </c>
      <c r="D1220" s="16">
        <v>2</v>
      </c>
      <c r="E1220" s="16" t="s">
        <v>980</v>
      </c>
      <c r="F1220" s="16" t="s">
        <v>1173</v>
      </c>
      <c r="G1220" s="16" t="s">
        <v>184</v>
      </c>
      <c r="H1220" s="16" t="s">
        <v>140</v>
      </c>
      <c r="I1220" s="22" t="s">
        <v>864</v>
      </c>
      <c r="J1220" s="16">
        <f>IFERROR(INDEX(Aux_HH!$J$4:$J$31,MATCH($H1220&amp;"|"&amp;$I1220,Aux_HH!$A$4:$A$31,0)),"")</f>
        <v>8</v>
      </c>
      <c r="K1220" s="16" t="s">
        <v>76</v>
      </c>
      <c r="L1220" s="16" t="str">
        <f>IF(COUNTIFS(Pessoas!$C$5:$C$44,$K1220,Pessoas!$G$5:$G$44,"Ativo")=0,"Equipe "&amp;$K1220,INDEX(Pessoas!$A$5:$A$44,_xludf.aggregate(15,6,(ROW(Pessoas!$A$5:$A$44)-4)/((Pessoas!$C$5:$C$44=$K1220)*(Pessoas!$G$5:$G$44="Ativo")),MOD(ROW()-6,MAX(1,COUNTIFS(Pessoas!$C$5:$C$44,$K1220,Pessoas!$G$5:$G$44,"Ativo")))+1)))</f>
        <v>Equipe Oficina Mecânica Central-Taisa</v>
      </c>
    </row>
    <row r="1221" spans="1:12" ht="15" customHeight="1" x14ac:dyDescent="0.4">
      <c r="A1221" s="25">
        <v>46435</v>
      </c>
      <c r="B1221" s="16">
        <v>25</v>
      </c>
      <c r="C1221" s="16">
        <v>2</v>
      </c>
      <c r="D1221" s="16">
        <v>2</v>
      </c>
      <c r="E1221" s="16" t="s">
        <v>980</v>
      </c>
      <c r="F1221" s="16" t="s">
        <v>1174</v>
      </c>
      <c r="G1221" s="16" t="s">
        <v>526</v>
      </c>
      <c r="H1221" s="16" t="s">
        <v>140</v>
      </c>
      <c r="I1221" s="22" t="s">
        <v>864</v>
      </c>
      <c r="J1221" s="16">
        <f>IFERROR(INDEX(Aux_HH!$J$4:$J$31,MATCH($H1221&amp;"|"&amp;$I1221,Aux_HH!$A$4:$A$31,0)),"")</f>
        <v>8</v>
      </c>
      <c r="K1221" s="16" t="s">
        <v>76</v>
      </c>
      <c r="L1221" s="16" t="str">
        <f>IF(COUNTIFS(Pessoas!$C$5:$C$44,$K1221,Pessoas!$G$5:$G$44,"Ativo")=0,"Equipe "&amp;$K1221,INDEX(Pessoas!$A$5:$A$44,_xludf.aggregate(15,6,(ROW(Pessoas!$A$5:$A$44)-4)/((Pessoas!$C$5:$C$44=$K1221)*(Pessoas!$G$5:$G$44="Ativo")),MOD(ROW()-6,MAX(1,COUNTIFS(Pessoas!$C$5:$C$44,$K1221,Pessoas!$G$5:$G$44,"Ativo")))+1)))</f>
        <v>Equipe Oficina Mecânica Central-Taisa</v>
      </c>
    </row>
    <row r="1222" spans="1:12" ht="15" customHeight="1" x14ac:dyDescent="0.4">
      <c r="A1222" s="25">
        <v>46435</v>
      </c>
      <c r="B1222" s="16">
        <v>25</v>
      </c>
      <c r="C1222" s="16">
        <v>2</v>
      </c>
      <c r="D1222" s="16">
        <v>2</v>
      </c>
      <c r="E1222" s="16" t="s">
        <v>980</v>
      </c>
      <c r="F1222" s="16" t="s">
        <v>1175</v>
      </c>
      <c r="G1222" s="16" t="s">
        <v>184</v>
      </c>
      <c r="H1222" s="16" t="s">
        <v>140</v>
      </c>
      <c r="I1222" s="22" t="s">
        <v>864</v>
      </c>
      <c r="J1222" s="16">
        <f>IFERROR(INDEX(Aux_HH!$J$4:$J$31,MATCH($H1222&amp;"|"&amp;$I1222,Aux_HH!$A$4:$A$31,0)),"")</f>
        <v>8</v>
      </c>
      <c r="K1222" s="16" t="s">
        <v>76</v>
      </c>
      <c r="L1222" s="16" t="str">
        <f>IF(COUNTIFS(Pessoas!$C$5:$C$44,$K1222,Pessoas!$G$5:$G$44,"Ativo")=0,"Equipe "&amp;$K1222,INDEX(Pessoas!$A$5:$A$44,_xludf.aggregate(15,6,(ROW(Pessoas!$A$5:$A$44)-4)/((Pessoas!$C$5:$C$44=$K1222)*(Pessoas!$G$5:$G$44="Ativo")),MOD(ROW()-6,MAX(1,COUNTIFS(Pessoas!$C$5:$C$44,$K1222,Pessoas!$G$5:$G$44,"Ativo")))+1)))</f>
        <v>Equipe Oficina Mecânica Central-Taisa</v>
      </c>
    </row>
    <row r="1223" spans="1:12" ht="15" customHeight="1" x14ac:dyDescent="0.4">
      <c r="A1223" s="25">
        <v>46435</v>
      </c>
      <c r="B1223" s="16">
        <v>25</v>
      </c>
      <c r="C1223" s="16">
        <v>2</v>
      </c>
      <c r="D1223" s="16">
        <v>2</v>
      </c>
      <c r="E1223" s="16" t="s">
        <v>980</v>
      </c>
      <c r="F1223" s="16" t="s">
        <v>1176</v>
      </c>
      <c r="G1223" s="16" t="s">
        <v>526</v>
      </c>
      <c r="H1223" s="16" t="s">
        <v>140</v>
      </c>
      <c r="I1223" s="22" t="s">
        <v>864</v>
      </c>
      <c r="J1223" s="16">
        <f>IFERROR(INDEX(Aux_HH!$J$4:$J$31,MATCH($H1223&amp;"|"&amp;$I1223,Aux_HH!$A$4:$A$31,0)),"")</f>
        <v>8</v>
      </c>
      <c r="K1223" s="16" t="s">
        <v>76</v>
      </c>
      <c r="L1223" s="16" t="str">
        <f>IF(COUNTIFS(Pessoas!$C$5:$C$44,$K1223,Pessoas!$G$5:$G$44,"Ativo")=0,"Equipe "&amp;$K1223,INDEX(Pessoas!$A$5:$A$44,_xludf.aggregate(15,6,(ROW(Pessoas!$A$5:$A$44)-4)/((Pessoas!$C$5:$C$44=$K1223)*(Pessoas!$G$5:$G$44="Ativo")),MOD(ROW()-6,MAX(1,COUNTIFS(Pessoas!$C$5:$C$44,$K1223,Pessoas!$G$5:$G$44,"Ativo")))+1)))</f>
        <v>Equipe Oficina Mecânica Central-Taisa</v>
      </c>
    </row>
    <row r="1224" spans="1:12" ht="15" customHeight="1" x14ac:dyDescent="0.4">
      <c r="A1224" s="25">
        <v>46435</v>
      </c>
      <c r="B1224" s="16">
        <v>25</v>
      </c>
      <c r="C1224" s="16">
        <v>2</v>
      </c>
      <c r="D1224" s="16">
        <v>2</v>
      </c>
      <c r="E1224" s="16" t="s">
        <v>980</v>
      </c>
      <c r="F1224" s="16" t="s">
        <v>1177</v>
      </c>
      <c r="G1224" s="16" t="s">
        <v>526</v>
      </c>
      <c r="H1224" s="16" t="s">
        <v>140</v>
      </c>
      <c r="I1224" s="22" t="s">
        <v>864</v>
      </c>
      <c r="J1224" s="16">
        <f>IFERROR(INDEX(Aux_HH!$J$4:$J$31,MATCH($H1224&amp;"|"&amp;$I1224,Aux_HH!$A$4:$A$31,0)),"")</f>
        <v>8</v>
      </c>
      <c r="K1224" s="16" t="s">
        <v>76</v>
      </c>
      <c r="L1224" s="16" t="str">
        <f>IF(COUNTIFS(Pessoas!$C$5:$C$44,$K1224,Pessoas!$G$5:$G$44,"Ativo")=0,"Equipe "&amp;$K1224,INDEX(Pessoas!$A$5:$A$44,_xludf.aggregate(15,6,(ROW(Pessoas!$A$5:$A$44)-4)/((Pessoas!$C$5:$C$44=$K1224)*(Pessoas!$G$5:$G$44="Ativo")),MOD(ROW()-6,MAX(1,COUNTIFS(Pessoas!$C$5:$C$44,$K1224,Pessoas!$G$5:$G$44,"Ativo")))+1)))</f>
        <v>Equipe Oficina Mecânica Central-Taisa</v>
      </c>
    </row>
    <row r="1225" spans="1:12" ht="15" customHeight="1" x14ac:dyDescent="0.4">
      <c r="A1225" s="25">
        <v>46435</v>
      </c>
      <c r="B1225" s="16">
        <v>25</v>
      </c>
      <c r="C1225" s="16">
        <v>2</v>
      </c>
      <c r="D1225" s="16">
        <v>2</v>
      </c>
      <c r="E1225" s="16" t="s">
        <v>980</v>
      </c>
      <c r="F1225" s="16" t="s">
        <v>1178</v>
      </c>
      <c r="G1225" s="16" t="s">
        <v>526</v>
      </c>
      <c r="H1225" s="16" t="s">
        <v>140</v>
      </c>
      <c r="I1225" s="22" t="s">
        <v>864</v>
      </c>
      <c r="J1225" s="16">
        <f>IFERROR(INDEX(Aux_HH!$J$4:$J$31,MATCH($H1225&amp;"|"&amp;$I1225,Aux_HH!$A$4:$A$31,0)),"")</f>
        <v>8</v>
      </c>
      <c r="K1225" s="16" t="s">
        <v>76</v>
      </c>
      <c r="L1225" s="16" t="str">
        <f>IF(COUNTIFS(Pessoas!$C$5:$C$44,$K1225,Pessoas!$G$5:$G$44,"Ativo")=0,"Equipe "&amp;$K1225,INDEX(Pessoas!$A$5:$A$44,_xludf.aggregate(15,6,(ROW(Pessoas!$A$5:$A$44)-4)/((Pessoas!$C$5:$C$44=$K1225)*(Pessoas!$G$5:$G$44="Ativo")),MOD(ROW()-6,MAX(1,COUNTIFS(Pessoas!$C$5:$C$44,$K1225,Pessoas!$G$5:$G$44,"Ativo")))+1)))</f>
        <v>Equipe Oficina Mecânica Central-Taisa</v>
      </c>
    </row>
    <row r="1226" spans="1:12" ht="15" customHeight="1" x14ac:dyDescent="0.4">
      <c r="A1226" s="25">
        <v>46435</v>
      </c>
      <c r="B1226" s="16">
        <v>25</v>
      </c>
      <c r="C1226" s="16">
        <v>2</v>
      </c>
      <c r="D1226" s="16">
        <v>2</v>
      </c>
      <c r="E1226" s="16" t="s">
        <v>980</v>
      </c>
      <c r="F1226" s="16" t="s">
        <v>1179</v>
      </c>
      <c r="G1226" s="16" t="s">
        <v>526</v>
      </c>
      <c r="H1226" s="16" t="s">
        <v>140</v>
      </c>
      <c r="I1226" s="22" t="s">
        <v>864</v>
      </c>
      <c r="J1226" s="16">
        <f>IFERROR(INDEX(Aux_HH!$J$4:$J$31,MATCH($H1226&amp;"|"&amp;$I1226,Aux_HH!$A$4:$A$31,0)),"")</f>
        <v>8</v>
      </c>
      <c r="K1226" s="16" t="s">
        <v>76</v>
      </c>
      <c r="L1226" s="16" t="str">
        <f>IF(COUNTIFS(Pessoas!$C$5:$C$44,$K1226,Pessoas!$G$5:$G$44,"Ativo")=0,"Equipe "&amp;$K1226,INDEX(Pessoas!$A$5:$A$44,_xludf.aggregate(15,6,(ROW(Pessoas!$A$5:$A$44)-4)/((Pessoas!$C$5:$C$44=$K1226)*(Pessoas!$G$5:$G$44="Ativo")),MOD(ROW()-6,MAX(1,COUNTIFS(Pessoas!$C$5:$C$44,$K1226,Pessoas!$G$5:$G$44,"Ativo")))+1)))</f>
        <v>Equipe Oficina Mecânica Central-Taisa</v>
      </c>
    </row>
    <row r="1227" spans="1:12" ht="15" customHeight="1" x14ac:dyDescent="0.4">
      <c r="A1227" s="25">
        <v>46435</v>
      </c>
      <c r="B1227" s="16">
        <v>25</v>
      </c>
      <c r="C1227" s="16">
        <v>2</v>
      </c>
      <c r="D1227" s="16">
        <v>2</v>
      </c>
      <c r="E1227" s="16" t="s">
        <v>980</v>
      </c>
      <c r="F1227" s="16" t="s">
        <v>1180</v>
      </c>
      <c r="G1227" s="16" t="s">
        <v>526</v>
      </c>
      <c r="H1227" s="16" t="s">
        <v>140</v>
      </c>
      <c r="I1227" s="22" t="s">
        <v>864</v>
      </c>
      <c r="J1227" s="16">
        <f>IFERROR(INDEX(Aux_HH!$J$4:$J$31,MATCH($H1227&amp;"|"&amp;$I1227,Aux_HH!$A$4:$A$31,0)),"")</f>
        <v>8</v>
      </c>
      <c r="K1227" s="16" t="s">
        <v>76</v>
      </c>
      <c r="L1227" s="16" t="str">
        <f>IF(COUNTIFS(Pessoas!$C$5:$C$44,$K1227,Pessoas!$G$5:$G$44,"Ativo")=0,"Equipe "&amp;$K1227,INDEX(Pessoas!$A$5:$A$44,_xludf.aggregate(15,6,(ROW(Pessoas!$A$5:$A$44)-4)/((Pessoas!$C$5:$C$44=$K1227)*(Pessoas!$G$5:$G$44="Ativo")),MOD(ROW()-6,MAX(1,COUNTIFS(Pessoas!$C$5:$C$44,$K1227,Pessoas!$G$5:$G$44,"Ativo")))+1)))</f>
        <v>Equipe Oficina Mecânica Central-Taisa</v>
      </c>
    </row>
    <row r="1228" spans="1:12" ht="15" customHeight="1" x14ac:dyDescent="0.4">
      <c r="A1228" s="25">
        <v>46435</v>
      </c>
      <c r="B1228" s="16">
        <v>25</v>
      </c>
      <c r="C1228" s="16">
        <v>2</v>
      </c>
      <c r="D1228" s="16">
        <v>2</v>
      </c>
      <c r="E1228" s="16" t="s">
        <v>980</v>
      </c>
      <c r="F1228" s="16" t="s">
        <v>1181</v>
      </c>
      <c r="G1228" s="16" t="s">
        <v>526</v>
      </c>
      <c r="H1228" s="16" t="s">
        <v>140</v>
      </c>
      <c r="I1228" s="22" t="s">
        <v>864</v>
      </c>
      <c r="J1228" s="16">
        <f>IFERROR(INDEX(Aux_HH!$J$4:$J$31,MATCH($H1228&amp;"|"&amp;$I1228,Aux_HH!$A$4:$A$31,0)),"")</f>
        <v>8</v>
      </c>
      <c r="K1228" s="16" t="s">
        <v>76</v>
      </c>
      <c r="L1228" s="16" t="str">
        <f>IF(COUNTIFS(Pessoas!$C$5:$C$44,$K1228,Pessoas!$G$5:$G$44,"Ativo")=0,"Equipe "&amp;$K1228,INDEX(Pessoas!$A$5:$A$44,_xludf.aggregate(15,6,(ROW(Pessoas!$A$5:$A$44)-4)/((Pessoas!$C$5:$C$44=$K1228)*(Pessoas!$G$5:$G$44="Ativo")),MOD(ROW()-6,MAX(1,COUNTIFS(Pessoas!$C$5:$C$44,$K1228,Pessoas!$G$5:$G$44,"Ativo")))+1)))</f>
        <v>Equipe Oficina Mecânica Central-Taisa</v>
      </c>
    </row>
    <row r="1229" spans="1:12" ht="15" customHeight="1" x14ac:dyDescent="0.4">
      <c r="A1229" s="25">
        <v>46435</v>
      </c>
      <c r="B1229" s="16">
        <v>25</v>
      </c>
      <c r="C1229" s="16">
        <v>2</v>
      </c>
      <c r="D1229" s="16">
        <v>2</v>
      </c>
      <c r="E1229" s="16" t="s">
        <v>980</v>
      </c>
      <c r="F1229" s="16" t="s">
        <v>1205</v>
      </c>
      <c r="G1229" s="16" t="s">
        <v>526</v>
      </c>
      <c r="H1229" s="16" t="s">
        <v>140</v>
      </c>
      <c r="I1229" s="22" t="s">
        <v>864</v>
      </c>
      <c r="J1229" s="16">
        <f>IFERROR(INDEX(Aux_HH!$J$4:$J$31,MATCH($H1229&amp;"|"&amp;$I1229,Aux_HH!$A$4:$A$31,0)),"")</f>
        <v>8</v>
      </c>
      <c r="K1229" s="16" t="s">
        <v>76</v>
      </c>
      <c r="L1229" s="16" t="str">
        <f>IF(COUNTIFS(Pessoas!$C$5:$C$44,$K1229,Pessoas!$G$5:$G$44,"Ativo")=0,"Equipe "&amp;$K1229,INDEX(Pessoas!$A$5:$A$44,_xludf.aggregate(15,6,(ROW(Pessoas!$A$5:$A$44)-4)/((Pessoas!$C$5:$C$44=$K1229)*(Pessoas!$G$5:$G$44="Ativo")),MOD(ROW()-6,MAX(1,COUNTIFS(Pessoas!$C$5:$C$44,$K1229,Pessoas!$G$5:$G$44,"Ativo")))+1)))</f>
        <v>Equipe Oficina Mecânica Central-Taisa</v>
      </c>
    </row>
    <row r="1230" spans="1:12" ht="15" customHeight="1" x14ac:dyDescent="0.4">
      <c r="A1230" s="25">
        <v>46435</v>
      </c>
      <c r="B1230" s="16">
        <v>25</v>
      </c>
      <c r="C1230" s="16">
        <v>2</v>
      </c>
      <c r="D1230" s="16">
        <v>2</v>
      </c>
      <c r="E1230" s="16" t="s">
        <v>980</v>
      </c>
      <c r="F1230" s="16" t="s">
        <v>1206</v>
      </c>
      <c r="G1230" s="16" t="s">
        <v>526</v>
      </c>
      <c r="H1230" s="16" t="s">
        <v>140</v>
      </c>
      <c r="I1230" s="22" t="s">
        <v>864</v>
      </c>
      <c r="J1230" s="16">
        <f>IFERROR(INDEX(Aux_HH!$J$4:$J$31,MATCH($H1230&amp;"|"&amp;$I1230,Aux_HH!$A$4:$A$31,0)),"")</f>
        <v>8</v>
      </c>
      <c r="K1230" s="16" t="s">
        <v>76</v>
      </c>
      <c r="L1230" s="16" t="str">
        <f>IF(COUNTIFS(Pessoas!$C$5:$C$44,$K1230,Pessoas!$G$5:$G$44,"Ativo")=0,"Equipe "&amp;$K1230,INDEX(Pessoas!$A$5:$A$44,_xludf.aggregate(15,6,(ROW(Pessoas!$A$5:$A$44)-4)/((Pessoas!$C$5:$C$44=$K1230)*(Pessoas!$G$5:$G$44="Ativo")),MOD(ROW()-6,MAX(1,COUNTIFS(Pessoas!$C$5:$C$44,$K1230,Pessoas!$G$5:$G$44,"Ativo")))+1)))</f>
        <v>Equipe Oficina Mecânica Central-Taisa</v>
      </c>
    </row>
    <row r="1231" spans="1:12" ht="15" customHeight="1" x14ac:dyDescent="0.4">
      <c r="A1231" s="25">
        <v>46435</v>
      </c>
      <c r="B1231" s="16">
        <v>25</v>
      </c>
      <c r="C1231" s="16">
        <v>2</v>
      </c>
      <c r="D1231" s="16">
        <v>2</v>
      </c>
      <c r="E1231" s="16" t="s">
        <v>980</v>
      </c>
      <c r="F1231" s="16" t="s">
        <v>1207</v>
      </c>
      <c r="G1231" s="16" t="s">
        <v>526</v>
      </c>
      <c r="H1231" s="16" t="s">
        <v>140</v>
      </c>
      <c r="I1231" s="22" t="s">
        <v>864</v>
      </c>
      <c r="J1231" s="16">
        <f>IFERROR(INDEX(Aux_HH!$J$4:$J$31,MATCH($H1231&amp;"|"&amp;$I1231,Aux_HH!$A$4:$A$31,0)),"")</f>
        <v>8</v>
      </c>
      <c r="K1231" s="16" t="s">
        <v>76</v>
      </c>
      <c r="L1231" s="16" t="str">
        <f>IF(COUNTIFS(Pessoas!$C$5:$C$44,$K1231,Pessoas!$G$5:$G$44,"Ativo")=0,"Equipe "&amp;$K1231,INDEX(Pessoas!$A$5:$A$44,_xludf.aggregate(15,6,(ROW(Pessoas!$A$5:$A$44)-4)/((Pessoas!$C$5:$C$44=$K1231)*(Pessoas!$G$5:$G$44="Ativo")),MOD(ROW()-6,MAX(1,COUNTIFS(Pessoas!$C$5:$C$44,$K1231,Pessoas!$G$5:$G$44,"Ativo")))+1)))</f>
        <v>Equipe Oficina Mecânica Central-Taisa</v>
      </c>
    </row>
    <row r="1232" spans="1:12" ht="15" customHeight="1" x14ac:dyDescent="0.4">
      <c r="A1232" s="25">
        <v>46435</v>
      </c>
      <c r="B1232" s="16">
        <v>25</v>
      </c>
      <c r="C1232" s="16">
        <v>2</v>
      </c>
      <c r="D1232" s="16">
        <v>2</v>
      </c>
      <c r="E1232" s="16" t="s">
        <v>980</v>
      </c>
      <c r="F1232" s="16" t="s">
        <v>1004</v>
      </c>
      <c r="G1232" s="16" t="s">
        <v>688</v>
      </c>
      <c r="H1232" s="16" t="s">
        <v>145</v>
      </c>
      <c r="I1232" s="22" t="s">
        <v>856</v>
      </c>
      <c r="J1232" s="16">
        <f>IFERROR(INDEX(Aux_HH!$J$4:$J$31,MATCH($H1232&amp;"|"&amp;$I1232,Aux_HH!$A$4:$A$31,0)),"")</f>
        <v>2</v>
      </c>
      <c r="K1232" s="16" t="s">
        <v>76</v>
      </c>
      <c r="L1232" s="16" t="str">
        <f>IF(COUNTIFS(Pessoas!$C$5:$C$44,$K1232,Pessoas!$G$5:$G$44,"Ativo")=0,"Equipe "&amp;$K1232,INDEX(Pessoas!$A$5:$A$44,_xludf.aggregate(15,6,(ROW(Pessoas!$A$5:$A$44)-4)/((Pessoas!$C$5:$C$44=$K1232)*(Pessoas!$G$5:$G$44="Ativo")),MOD(ROW()-6,MAX(1,COUNTIFS(Pessoas!$C$5:$C$44,$K1232,Pessoas!$G$5:$G$44,"Ativo")))+1)))</f>
        <v>Equipe Oficina Mecânica Central-Taisa</v>
      </c>
    </row>
    <row r="1233" spans="1:12" ht="15" customHeight="1" x14ac:dyDescent="0.4">
      <c r="A1233" s="25">
        <v>46435</v>
      </c>
      <c r="B1233" s="16">
        <v>25</v>
      </c>
      <c r="C1233" s="16">
        <v>2</v>
      </c>
      <c r="D1233" s="16">
        <v>2</v>
      </c>
      <c r="E1233" s="16" t="s">
        <v>980</v>
      </c>
      <c r="F1233" s="16" t="s">
        <v>1005</v>
      </c>
      <c r="G1233" s="16" t="s">
        <v>688</v>
      </c>
      <c r="H1233" s="16" t="s">
        <v>145</v>
      </c>
      <c r="I1233" s="22" t="s">
        <v>856</v>
      </c>
      <c r="J1233" s="16">
        <f>IFERROR(INDEX(Aux_HH!$J$4:$J$31,MATCH($H1233&amp;"|"&amp;$I1233,Aux_HH!$A$4:$A$31,0)),"")</f>
        <v>2</v>
      </c>
      <c r="K1233" s="16" t="s">
        <v>76</v>
      </c>
      <c r="L1233" s="16" t="str">
        <f>IF(COUNTIFS(Pessoas!$C$5:$C$44,$K1233,Pessoas!$G$5:$G$44,"Ativo")=0,"Equipe "&amp;$K1233,INDEX(Pessoas!$A$5:$A$44,_xludf.aggregate(15,6,(ROW(Pessoas!$A$5:$A$44)-4)/((Pessoas!$C$5:$C$44=$K1233)*(Pessoas!$G$5:$G$44="Ativo")),MOD(ROW()-6,MAX(1,COUNTIFS(Pessoas!$C$5:$C$44,$K1233,Pessoas!$G$5:$G$44,"Ativo")))+1)))</f>
        <v>Equipe Oficina Mecânica Central-Taisa</v>
      </c>
    </row>
    <row r="1234" spans="1:12" ht="15" customHeight="1" x14ac:dyDescent="0.4">
      <c r="A1234" s="25">
        <v>46435</v>
      </c>
      <c r="B1234" s="16">
        <v>25</v>
      </c>
      <c r="C1234" s="16">
        <v>2</v>
      </c>
      <c r="D1234" s="16">
        <v>2</v>
      </c>
      <c r="E1234" s="16" t="s">
        <v>980</v>
      </c>
      <c r="F1234" s="16" t="s">
        <v>1006</v>
      </c>
      <c r="G1234" s="16" t="s">
        <v>688</v>
      </c>
      <c r="H1234" s="16" t="s">
        <v>145</v>
      </c>
      <c r="I1234" s="22" t="s">
        <v>856</v>
      </c>
      <c r="J1234" s="16">
        <f>IFERROR(INDEX(Aux_HH!$J$4:$J$31,MATCH($H1234&amp;"|"&amp;$I1234,Aux_HH!$A$4:$A$31,0)),"")</f>
        <v>2</v>
      </c>
      <c r="K1234" s="16" t="s">
        <v>76</v>
      </c>
      <c r="L1234" s="16" t="str">
        <f>IF(COUNTIFS(Pessoas!$C$5:$C$44,$K1234,Pessoas!$G$5:$G$44,"Ativo")=0,"Equipe "&amp;$K1234,INDEX(Pessoas!$A$5:$A$44,_xludf.aggregate(15,6,(ROW(Pessoas!$A$5:$A$44)-4)/((Pessoas!$C$5:$C$44=$K1234)*(Pessoas!$G$5:$G$44="Ativo")),MOD(ROW()-6,MAX(1,COUNTIFS(Pessoas!$C$5:$C$44,$K1234,Pessoas!$G$5:$G$44,"Ativo")))+1)))</f>
        <v>Equipe Oficina Mecânica Central-Taisa</v>
      </c>
    </row>
    <row r="1235" spans="1:12" ht="15" customHeight="1" x14ac:dyDescent="0.4">
      <c r="A1235" s="25">
        <v>46435</v>
      </c>
      <c r="B1235" s="16">
        <v>25</v>
      </c>
      <c r="C1235" s="16">
        <v>2</v>
      </c>
      <c r="D1235" s="16">
        <v>2</v>
      </c>
      <c r="E1235" s="16" t="s">
        <v>980</v>
      </c>
      <c r="F1235" s="16" t="s">
        <v>1208</v>
      </c>
      <c r="G1235" s="16" t="s">
        <v>526</v>
      </c>
      <c r="H1235" s="16" t="s">
        <v>140</v>
      </c>
      <c r="I1235" s="22" t="s">
        <v>864</v>
      </c>
      <c r="J1235" s="16">
        <f>IFERROR(INDEX(Aux_HH!$J$4:$J$31,MATCH($H1235&amp;"|"&amp;$I1235,Aux_HH!$A$4:$A$31,0)),"")</f>
        <v>8</v>
      </c>
      <c r="K1235" s="16" t="s">
        <v>76</v>
      </c>
      <c r="L1235" s="16" t="str">
        <f>IF(COUNTIFS(Pessoas!$C$5:$C$44,$K1235,Pessoas!$G$5:$G$44,"Ativo")=0,"Equipe "&amp;$K1235,INDEX(Pessoas!$A$5:$A$44,_xludf.aggregate(15,6,(ROW(Pessoas!$A$5:$A$44)-4)/((Pessoas!$C$5:$C$44=$K1235)*(Pessoas!$G$5:$G$44="Ativo")),MOD(ROW()-6,MAX(1,COUNTIFS(Pessoas!$C$5:$C$44,$K1235,Pessoas!$G$5:$G$44,"Ativo")))+1)))</f>
        <v>Equipe Oficina Mecânica Central-Taisa</v>
      </c>
    </row>
    <row r="1236" spans="1:12" ht="15" customHeight="1" x14ac:dyDescent="0.4">
      <c r="A1236" s="25">
        <v>46435</v>
      </c>
      <c r="B1236" s="16">
        <v>25</v>
      </c>
      <c r="C1236" s="16">
        <v>2</v>
      </c>
      <c r="D1236" s="16">
        <v>2</v>
      </c>
      <c r="E1236" s="16" t="s">
        <v>980</v>
      </c>
      <c r="F1236" s="16" t="s">
        <v>1210</v>
      </c>
      <c r="G1236" s="16" t="s">
        <v>184</v>
      </c>
      <c r="H1236" s="16" t="s">
        <v>140</v>
      </c>
      <c r="I1236" s="22" t="s">
        <v>864</v>
      </c>
      <c r="J1236" s="16">
        <f>IFERROR(INDEX(Aux_HH!$J$4:$J$31,MATCH($H1236&amp;"|"&amp;$I1236,Aux_HH!$A$4:$A$31,0)),"")</f>
        <v>8</v>
      </c>
      <c r="K1236" s="16" t="s">
        <v>76</v>
      </c>
      <c r="L1236" s="16" t="str">
        <f>IF(COUNTIFS(Pessoas!$C$5:$C$44,$K1236,Pessoas!$G$5:$G$44,"Ativo")=0,"Equipe "&amp;$K1236,INDEX(Pessoas!$A$5:$A$44,_xludf.aggregate(15,6,(ROW(Pessoas!$A$5:$A$44)-4)/((Pessoas!$C$5:$C$44=$K1236)*(Pessoas!$G$5:$G$44="Ativo")),MOD(ROW()-6,MAX(1,COUNTIFS(Pessoas!$C$5:$C$44,$K1236,Pessoas!$G$5:$G$44,"Ativo")))+1)))</f>
        <v>Equipe Oficina Mecânica Central-Taisa</v>
      </c>
    </row>
    <row r="1237" spans="1:12" ht="15" customHeight="1" x14ac:dyDescent="0.4">
      <c r="A1237" s="25">
        <v>46435</v>
      </c>
      <c r="B1237" s="16">
        <v>25</v>
      </c>
      <c r="C1237" s="16">
        <v>2</v>
      </c>
      <c r="D1237" s="16">
        <v>2</v>
      </c>
      <c r="E1237" s="16" t="s">
        <v>980</v>
      </c>
      <c r="F1237" s="16" t="s">
        <v>1211</v>
      </c>
      <c r="G1237" s="16" t="s">
        <v>184</v>
      </c>
      <c r="H1237" s="16" t="s">
        <v>140</v>
      </c>
      <c r="I1237" s="22" t="s">
        <v>864</v>
      </c>
      <c r="J1237" s="16">
        <f>IFERROR(INDEX(Aux_HH!$J$4:$J$31,MATCH($H1237&amp;"|"&amp;$I1237,Aux_HH!$A$4:$A$31,0)),"")</f>
        <v>8</v>
      </c>
      <c r="K1237" s="16" t="s">
        <v>76</v>
      </c>
      <c r="L1237" s="16" t="str">
        <f>IF(COUNTIFS(Pessoas!$C$5:$C$44,$K1237,Pessoas!$G$5:$G$44,"Ativo")=0,"Equipe "&amp;$K1237,INDEX(Pessoas!$A$5:$A$44,_xludf.aggregate(15,6,(ROW(Pessoas!$A$5:$A$44)-4)/((Pessoas!$C$5:$C$44=$K1237)*(Pessoas!$G$5:$G$44="Ativo")),MOD(ROW()-6,MAX(1,COUNTIFS(Pessoas!$C$5:$C$44,$K1237,Pessoas!$G$5:$G$44,"Ativo")))+1)))</f>
        <v>Equipe Oficina Mecânica Central-Taisa</v>
      </c>
    </row>
    <row r="1238" spans="1:12" ht="15" customHeight="1" x14ac:dyDescent="0.4">
      <c r="A1238" s="25">
        <v>46435</v>
      </c>
      <c r="B1238" s="16">
        <v>25</v>
      </c>
      <c r="C1238" s="16">
        <v>2</v>
      </c>
      <c r="D1238" s="16">
        <v>2</v>
      </c>
      <c r="E1238" s="16" t="s">
        <v>980</v>
      </c>
      <c r="F1238" s="16" t="s">
        <v>1212</v>
      </c>
      <c r="G1238" s="16" t="s">
        <v>526</v>
      </c>
      <c r="H1238" s="16" t="s">
        <v>140</v>
      </c>
      <c r="I1238" s="22" t="s">
        <v>864</v>
      </c>
      <c r="J1238" s="16">
        <f>IFERROR(INDEX(Aux_HH!$J$4:$J$31,MATCH($H1238&amp;"|"&amp;$I1238,Aux_HH!$A$4:$A$31,0)),"")</f>
        <v>8</v>
      </c>
      <c r="K1238" s="16" t="s">
        <v>76</v>
      </c>
      <c r="L1238" s="16" t="str">
        <f>IF(COUNTIFS(Pessoas!$C$5:$C$44,$K1238,Pessoas!$G$5:$G$44,"Ativo")=0,"Equipe "&amp;$K1238,INDEX(Pessoas!$A$5:$A$44,_xludf.aggregate(15,6,(ROW(Pessoas!$A$5:$A$44)-4)/((Pessoas!$C$5:$C$44=$K1238)*(Pessoas!$G$5:$G$44="Ativo")),MOD(ROW()-6,MAX(1,COUNTIFS(Pessoas!$C$5:$C$44,$K1238,Pessoas!$G$5:$G$44,"Ativo")))+1)))</f>
        <v>Equipe Oficina Mecânica Central-Taisa</v>
      </c>
    </row>
    <row r="1239" spans="1:12" ht="15" customHeight="1" x14ac:dyDescent="0.4">
      <c r="A1239" s="25">
        <v>46435</v>
      </c>
      <c r="B1239" s="16">
        <v>25</v>
      </c>
      <c r="C1239" s="16">
        <v>2</v>
      </c>
      <c r="D1239" s="16">
        <v>2</v>
      </c>
      <c r="E1239" s="16" t="s">
        <v>980</v>
      </c>
      <c r="F1239" s="16" t="s">
        <v>1213</v>
      </c>
      <c r="G1239" s="16" t="s">
        <v>526</v>
      </c>
      <c r="H1239" s="16" t="s">
        <v>140</v>
      </c>
      <c r="I1239" s="22" t="s">
        <v>864</v>
      </c>
      <c r="J1239" s="16">
        <f>IFERROR(INDEX(Aux_HH!$J$4:$J$31,MATCH($H1239&amp;"|"&amp;$I1239,Aux_HH!$A$4:$A$31,0)),"")</f>
        <v>8</v>
      </c>
      <c r="K1239" s="16" t="s">
        <v>76</v>
      </c>
      <c r="L1239" s="16" t="str">
        <f>IF(COUNTIFS(Pessoas!$C$5:$C$44,$K1239,Pessoas!$G$5:$G$44,"Ativo")=0,"Equipe "&amp;$K1239,INDEX(Pessoas!$A$5:$A$44,_xludf.aggregate(15,6,(ROW(Pessoas!$A$5:$A$44)-4)/((Pessoas!$C$5:$C$44=$K1239)*(Pessoas!$G$5:$G$44="Ativo")),MOD(ROW()-6,MAX(1,COUNTIFS(Pessoas!$C$5:$C$44,$K1239,Pessoas!$G$5:$G$44,"Ativo")))+1)))</f>
        <v>Equipe Oficina Mecânica Central-Taisa</v>
      </c>
    </row>
    <row r="1240" spans="1:12" ht="15" customHeight="1" x14ac:dyDescent="0.4">
      <c r="A1240" s="25">
        <v>46435</v>
      </c>
      <c r="B1240" s="16">
        <v>25</v>
      </c>
      <c r="C1240" s="16">
        <v>2</v>
      </c>
      <c r="D1240" s="16">
        <v>2</v>
      </c>
      <c r="E1240" s="16" t="s">
        <v>980</v>
      </c>
      <c r="F1240" s="16" t="s">
        <v>1214</v>
      </c>
      <c r="G1240" s="16" t="s">
        <v>526</v>
      </c>
      <c r="H1240" s="16" t="s">
        <v>140</v>
      </c>
      <c r="I1240" s="22" t="s">
        <v>864</v>
      </c>
      <c r="J1240" s="16">
        <f>IFERROR(INDEX(Aux_HH!$J$4:$J$31,MATCH($H1240&amp;"|"&amp;$I1240,Aux_HH!$A$4:$A$31,0)),"")</f>
        <v>8</v>
      </c>
      <c r="K1240" s="16" t="s">
        <v>76</v>
      </c>
      <c r="L1240" s="16" t="str">
        <f>IF(COUNTIFS(Pessoas!$C$5:$C$44,$K1240,Pessoas!$G$5:$G$44,"Ativo")=0,"Equipe "&amp;$K1240,INDEX(Pessoas!$A$5:$A$44,_xludf.aggregate(15,6,(ROW(Pessoas!$A$5:$A$44)-4)/((Pessoas!$C$5:$C$44=$K1240)*(Pessoas!$G$5:$G$44="Ativo")),MOD(ROW()-6,MAX(1,COUNTIFS(Pessoas!$C$5:$C$44,$K1240,Pessoas!$G$5:$G$44,"Ativo")))+1)))</f>
        <v>Equipe Oficina Mecânica Central-Taisa</v>
      </c>
    </row>
    <row r="1241" spans="1:12" ht="15" customHeight="1" x14ac:dyDescent="0.4">
      <c r="A1241" s="25">
        <v>46436</v>
      </c>
      <c r="B1241" s="16">
        <v>25</v>
      </c>
      <c r="C1241" s="16">
        <v>2</v>
      </c>
      <c r="D1241" s="16">
        <v>2</v>
      </c>
      <c r="E1241" s="16" t="s">
        <v>980</v>
      </c>
      <c r="F1241" s="16" t="s">
        <v>981</v>
      </c>
      <c r="G1241" s="16" t="s">
        <v>184</v>
      </c>
      <c r="H1241" s="16" t="s">
        <v>138</v>
      </c>
      <c r="I1241" s="22" t="s">
        <v>861</v>
      </c>
      <c r="J1241" s="16">
        <f>IFERROR(INDEX(Aux_HH!$J$4:$J$31,MATCH($H1241&amp;"|"&amp;$I1241,Aux_HH!$A$4:$A$31,0)),"")</f>
        <v>6</v>
      </c>
      <c r="K1241" s="16" t="s">
        <v>76</v>
      </c>
      <c r="L1241" s="16" t="str">
        <f>IF(COUNTIFS(Pessoas!$C$5:$C$44,$K1241,Pessoas!$G$5:$G$44,"Ativo")=0,"Equipe "&amp;$K1241,INDEX(Pessoas!$A$5:$A$44,_xludf.aggregate(15,6,(ROW(Pessoas!$A$5:$A$44)-4)/((Pessoas!$C$5:$C$44=$K1241)*(Pessoas!$G$5:$G$44="Ativo")),MOD(ROW()-6,MAX(1,COUNTIFS(Pessoas!$C$5:$C$44,$K1241,Pessoas!$G$5:$G$44,"Ativo")))+1)))</f>
        <v>Equipe Oficina Mecânica Central-Taisa</v>
      </c>
    </row>
    <row r="1242" spans="1:12" ht="15" customHeight="1" x14ac:dyDescent="0.4">
      <c r="A1242" s="25">
        <v>46436</v>
      </c>
      <c r="B1242" s="16">
        <v>25</v>
      </c>
      <c r="C1242" s="16">
        <v>2</v>
      </c>
      <c r="D1242" s="16">
        <v>2</v>
      </c>
      <c r="E1242" s="16" t="s">
        <v>980</v>
      </c>
      <c r="F1242" s="16" t="s">
        <v>983</v>
      </c>
      <c r="G1242" s="16" t="s">
        <v>184</v>
      </c>
      <c r="H1242" s="16" t="s">
        <v>138</v>
      </c>
      <c r="I1242" s="22" t="s">
        <v>861</v>
      </c>
      <c r="J1242" s="16">
        <f>IFERROR(INDEX(Aux_HH!$J$4:$J$31,MATCH($H1242&amp;"|"&amp;$I1242,Aux_HH!$A$4:$A$31,0)),"")</f>
        <v>6</v>
      </c>
      <c r="K1242" s="16" t="s">
        <v>76</v>
      </c>
      <c r="L1242" s="16" t="str">
        <f>IF(COUNTIFS(Pessoas!$C$5:$C$44,$K1242,Pessoas!$G$5:$G$44,"Ativo")=0,"Equipe "&amp;$K1242,INDEX(Pessoas!$A$5:$A$44,_xludf.aggregate(15,6,(ROW(Pessoas!$A$5:$A$44)-4)/((Pessoas!$C$5:$C$44=$K1242)*(Pessoas!$G$5:$G$44="Ativo")),MOD(ROW()-6,MAX(1,COUNTIFS(Pessoas!$C$5:$C$44,$K1242,Pessoas!$G$5:$G$44,"Ativo")))+1)))</f>
        <v>Equipe Oficina Mecânica Central-Taisa</v>
      </c>
    </row>
    <row r="1243" spans="1:12" ht="15" customHeight="1" x14ac:dyDescent="0.4">
      <c r="A1243" s="25">
        <v>46436</v>
      </c>
      <c r="B1243" s="16">
        <v>25</v>
      </c>
      <c r="C1243" s="16">
        <v>2</v>
      </c>
      <c r="D1243" s="16">
        <v>2</v>
      </c>
      <c r="E1243" s="16" t="s">
        <v>980</v>
      </c>
      <c r="F1243" s="16" t="s">
        <v>1215</v>
      </c>
      <c r="G1243" s="16" t="s">
        <v>526</v>
      </c>
      <c r="H1243" s="16" t="s">
        <v>140</v>
      </c>
      <c r="I1243" s="22" t="s">
        <v>864</v>
      </c>
      <c r="J1243" s="16">
        <f>IFERROR(INDEX(Aux_HH!$J$4:$J$31,MATCH($H1243&amp;"|"&amp;$I1243,Aux_HH!$A$4:$A$31,0)),"")</f>
        <v>8</v>
      </c>
      <c r="K1243" s="16" t="s">
        <v>76</v>
      </c>
      <c r="L1243" s="16" t="str">
        <f>IF(COUNTIFS(Pessoas!$C$5:$C$44,$K1243,Pessoas!$G$5:$G$44,"Ativo")=0,"Equipe "&amp;$K1243,INDEX(Pessoas!$A$5:$A$44,_xludf.aggregate(15,6,(ROW(Pessoas!$A$5:$A$44)-4)/((Pessoas!$C$5:$C$44=$K1243)*(Pessoas!$G$5:$G$44="Ativo")),MOD(ROW()-6,MAX(1,COUNTIFS(Pessoas!$C$5:$C$44,$K1243,Pessoas!$G$5:$G$44,"Ativo")))+1)))</f>
        <v>Equipe Oficina Mecânica Central-Taisa</v>
      </c>
    </row>
    <row r="1244" spans="1:12" ht="15" customHeight="1" x14ac:dyDescent="0.4">
      <c r="A1244" s="25">
        <v>46436</v>
      </c>
      <c r="B1244" s="16">
        <v>25</v>
      </c>
      <c r="C1244" s="16">
        <v>2</v>
      </c>
      <c r="D1244" s="16">
        <v>2</v>
      </c>
      <c r="E1244" s="16" t="s">
        <v>980</v>
      </c>
      <c r="F1244" s="16" t="s">
        <v>1216</v>
      </c>
      <c r="G1244" s="16" t="s">
        <v>526</v>
      </c>
      <c r="H1244" s="16" t="s">
        <v>140</v>
      </c>
      <c r="I1244" s="22" t="s">
        <v>864</v>
      </c>
      <c r="J1244" s="16">
        <f>IFERROR(INDEX(Aux_HH!$J$4:$J$31,MATCH($H1244&amp;"|"&amp;$I1244,Aux_HH!$A$4:$A$31,0)),"")</f>
        <v>8</v>
      </c>
      <c r="K1244" s="16" t="s">
        <v>76</v>
      </c>
      <c r="L1244" s="16" t="str">
        <f>IF(COUNTIFS(Pessoas!$C$5:$C$44,$K1244,Pessoas!$G$5:$G$44,"Ativo")=0,"Equipe "&amp;$K1244,INDEX(Pessoas!$A$5:$A$44,_xludf.aggregate(15,6,(ROW(Pessoas!$A$5:$A$44)-4)/((Pessoas!$C$5:$C$44=$K1244)*(Pessoas!$G$5:$G$44="Ativo")),MOD(ROW()-6,MAX(1,COUNTIFS(Pessoas!$C$5:$C$44,$K1244,Pessoas!$G$5:$G$44,"Ativo")))+1)))</f>
        <v>Equipe Oficina Mecânica Central-Taisa</v>
      </c>
    </row>
    <row r="1245" spans="1:12" ht="15" customHeight="1" x14ac:dyDescent="0.4">
      <c r="A1245" s="25">
        <v>46436</v>
      </c>
      <c r="B1245" s="16">
        <v>25</v>
      </c>
      <c r="C1245" s="16">
        <v>2</v>
      </c>
      <c r="D1245" s="16">
        <v>2</v>
      </c>
      <c r="E1245" s="16" t="s">
        <v>980</v>
      </c>
      <c r="F1245" s="16" t="s">
        <v>1217</v>
      </c>
      <c r="G1245" s="16" t="s">
        <v>526</v>
      </c>
      <c r="H1245" s="16" t="s">
        <v>140</v>
      </c>
      <c r="I1245" s="22" t="s">
        <v>864</v>
      </c>
      <c r="J1245" s="16">
        <f>IFERROR(INDEX(Aux_HH!$J$4:$J$31,MATCH($H1245&amp;"|"&amp;$I1245,Aux_HH!$A$4:$A$31,0)),"")</f>
        <v>8</v>
      </c>
      <c r="K1245" s="16" t="s">
        <v>76</v>
      </c>
      <c r="L1245" s="16" t="str">
        <f>IF(COUNTIFS(Pessoas!$C$5:$C$44,$K1245,Pessoas!$G$5:$G$44,"Ativo")=0,"Equipe "&amp;$K1245,INDEX(Pessoas!$A$5:$A$44,_xludf.aggregate(15,6,(ROW(Pessoas!$A$5:$A$44)-4)/((Pessoas!$C$5:$C$44=$K1245)*(Pessoas!$G$5:$G$44="Ativo")),MOD(ROW()-6,MAX(1,COUNTIFS(Pessoas!$C$5:$C$44,$K1245,Pessoas!$G$5:$G$44,"Ativo")))+1)))</f>
        <v>Equipe Oficina Mecânica Central-Taisa</v>
      </c>
    </row>
    <row r="1246" spans="1:12" ht="15" customHeight="1" x14ac:dyDescent="0.4">
      <c r="A1246" s="25">
        <v>46436</v>
      </c>
      <c r="B1246" s="16">
        <v>25</v>
      </c>
      <c r="C1246" s="16">
        <v>2</v>
      </c>
      <c r="D1246" s="16">
        <v>2</v>
      </c>
      <c r="E1246" s="16" t="s">
        <v>980</v>
      </c>
      <c r="F1246" s="16" t="s">
        <v>1218</v>
      </c>
      <c r="G1246" s="16" t="s">
        <v>184</v>
      </c>
      <c r="H1246" s="16" t="s">
        <v>140</v>
      </c>
      <c r="I1246" s="22" t="s">
        <v>864</v>
      </c>
      <c r="J1246" s="16">
        <f>IFERROR(INDEX(Aux_HH!$J$4:$J$31,MATCH($H1246&amp;"|"&amp;$I1246,Aux_HH!$A$4:$A$31,0)),"")</f>
        <v>8</v>
      </c>
      <c r="K1246" s="16" t="s">
        <v>76</v>
      </c>
      <c r="L1246" s="16" t="str">
        <f>IF(COUNTIFS(Pessoas!$C$5:$C$44,$K1246,Pessoas!$G$5:$G$44,"Ativo")=0,"Equipe "&amp;$K1246,INDEX(Pessoas!$A$5:$A$44,_xludf.aggregate(15,6,(ROW(Pessoas!$A$5:$A$44)-4)/((Pessoas!$C$5:$C$44=$K1246)*(Pessoas!$G$5:$G$44="Ativo")),MOD(ROW()-6,MAX(1,COUNTIFS(Pessoas!$C$5:$C$44,$K1246,Pessoas!$G$5:$G$44,"Ativo")))+1)))</f>
        <v>Equipe Oficina Mecânica Central-Taisa</v>
      </c>
    </row>
    <row r="1247" spans="1:12" ht="15" customHeight="1" x14ac:dyDescent="0.4">
      <c r="A1247" s="25">
        <v>46436</v>
      </c>
      <c r="B1247" s="16">
        <v>25</v>
      </c>
      <c r="C1247" s="16">
        <v>2</v>
      </c>
      <c r="D1247" s="16">
        <v>2</v>
      </c>
      <c r="E1247" s="16" t="s">
        <v>980</v>
      </c>
      <c r="F1247" s="16" t="s">
        <v>1219</v>
      </c>
      <c r="G1247" s="16" t="s">
        <v>184</v>
      </c>
      <c r="H1247" s="16" t="s">
        <v>140</v>
      </c>
      <c r="I1247" s="22" t="s">
        <v>864</v>
      </c>
      <c r="J1247" s="16">
        <f>IFERROR(INDEX(Aux_HH!$J$4:$J$31,MATCH($H1247&amp;"|"&amp;$I1247,Aux_HH!$A$4:$A$31,0)),"")</f>
        <v>8</v>
      </c>
      <c r="K1247" s="16" t="s">
        <v>76</v>
      </c>
      <c r="L1247" s="16" t="str">
        <f>IF(COUNTIFS(Pessoas!$C$5:$C$44,$K1247,Pessoas!$G$5:$G$44,"Ativo")=0,"Equipe "&amp;$K1247,INDEX(Pessoas!$A$5:$A$44,_xludf.aggregate(15,6,(ROW(Pessoas!$A$5:$A$44)-4)/((Pessoas!$C$5:$C$44=$K1247)*(Pessoas!$G$5:$G$44="Ativo")),MOD(ROW()-6,MAX(1,COUNTIFS(Pessoas!$C$5:$C$44,$K1247,Pessoas!$G$5:$G$44,"Ativo")))+1)))</f>
        <v>Equipe Oficina Mecânica Central-Taisa</v>
      </c>
    </row>
    <row r="1248" spans="1:12" ht="15" customHeight="1" x14ac:dyDescent="0.4">
      <c r="A1248" s="25">
        <v>46436</v>
      </c>
      <c r="B1248" s="16">
        <v>25</v>
      </c>
      <c r="C1248" s="16">
        <v>2</v>
      </c>
      <c r="D1248" s="16">
        <v>2</v>
      </c>
      <c r="E1248" s="16" t="s">
        <v>980</v>
      </c>
      <c r="F1248" s="16" t="s">
        <v>1220</v>
      </c>
      <c r="G1248" s="16" t="s">
        <v>184</v>
      </c>
      <c r="H1248" s="16" t="s">
        <v>140</v>
      </c>
      <c r="I1248" s="22" t="s">
        <v>864</v>
      </c>
      <c r="J1248" s="16">
        <f>IFERROR(INDEX(Aux_HH!$J$4:$J$31,MATCH($H1248&amp;"|"&amp;$I1248,Aux_HH!$A$4:$A$31,0)),"")</f>
        <v>8</v>
      </c>
      <c r="K1248" s="16" t="s">
        <v>76</v>
      </c>
      <c r="L1248" s="16" t="str">
        <f>IF(COUNTIFS(Pessoas!$C$5:$C$44,$K1248,Pessoas!$G$5:$G$44,"Ativo")=0,"Equipe "&amp;$K1248,INDEX(Pessoas!$A$5:$A$44,_xludf.aggregate(15,6,(ROW(Pessoas!$A$5:$A$44)-4)/((Pessoas!$C$5:$C$44=$K1248)*(Pessoas!$G$5:$G$44="Ativo")),MOD(ROW()-6,MAX(1,COUNTIFS(Pessoas!$C$5:$C$44,$K1248,Pessoas!$G$5:$G$44,"Ativo")))+1)))</f>
        <v>Equipe Oficina Mecânica Central-Taisa</v>
      </c>
    </row>
    <row r="1249" spans="1:12" ht="15" customHeight="1" x14ac:dyDescent="0.4">
      <c r="A1249" s="25">
        <v>46436</v>
      </c>
      <c r="B1249" s="16">
        <v>25</v>
      </c>
      <c r="C1249" s="16">
        <v>2</v>
      </c>
      <c r="D1249" s="16">
        <v>2</v>
      </c>
      <c r="E1249" s="16" t="s">
        <v>980</v>
      </c>
      <c r="F1249" s="16" t="s">
        <v>1221</v>
      </c>
      <c r="G1249" s="16" t="s">
        <v>184</v>
      </c>
      <c r="H1249" s="16" t="s">
        <v>140</v>
      </c>
      <c r="I1249" s="22" t="s">
        <v>864</v>
      </c>
      <c r="J1249" s="16">
        <f>IFERROR(INDEX(Aux_HH!$J$4:$J$31,MATCH($H1249&amp;"|"&amp;$I1249,Aux_HH!$A$4:$A$31,0)),"")</f>
        <v>8</v>
      </c>
      <c r="K1249" s="16" t="s">
        <v>76</v>
      </c>
      <c r="L1249" s="16" t="str">
        <f>IF(COUNTIFS(Pessoas!$C$5:$C$44,$K1249,Pessoas!$G$5:$G$44,"Ativo")=0,"Equipe "&amp;$K1249,INDEX(Pessoas!$A$5:$A$44,_xludf.aggregate(15,6,(ROW(Pessoas!$A$5:$A$44)-4)/((Pessoas!$C$5:$C$44=$K1249)*(Pessoas!$G$5:$G$44="Ativo")),MOD(ROW()-6,MAX(1,COUNTIFS(Pessoas!$C$5:$C$44,$K1249,Pessoas!$G$5:$G$44,"Ativo")))+1)))</f>
        <v>Equipe Oficina Mecânica Central-Taisa</v>
      </c>
    </row>
    <row r="1250" spans="1:12" ht="15" customHeight="1" x14ac:dyDescent="0.4">
      <c r="A1250" s="25">
        <v>46436</v>
      </c>
      <c r="B1250" s="16">
        <v>25</v>
      </c>
      <c r="C1250" s="16">
        <v>2</v>
      </c>
      <c r="D1250" s="16">
        <v>2</v>
      </c>
      <c r="E1250" s="16" t="s">
        <v>980</v>
      </c>
      <c r="F1250" s="16" t="s">
        <v>1222</v>
      </c>
      <c r="G1250" s="16" t="s">
        <v>526</v>
      </c>
      <c r="H1250" s="16" t="s">
        <v>140</v>
      </c>
      <c r="I1250" s="22" t="s">
        <v>864</v>
      </c>
      <c r="J1250" s="16">
        <f>IFERROR(INDEX(Aux_HH!$J$4:$J$31,MATCH($H1250&amp;"|"&amp;$I1250,Aux_HH!$A$4:$A$31,0)),"")</f>
        <v>8</v>
      </c>
      <c r="K1250" s="16" t="s">
        <v>76</v>
      </c>
      <c r="L1250" s="16" t="str">
        <f>IF(COUNTIFS(Pessoas!$C$5:$C$44,$K1250,Pessoas!$G$5:$G$44,"Ativo")=0,"Equipe "&amp;$K1250,INDEX(Pessoas!$A$5:$A$44,_xludf.aggregate(15,6,(ROW(Pessoas!$A$5:$A$44)-4)/((Pessoas!$C$5:$C$44=$K1250)*(Pessoas!$G$5:$G$44="Ativo")),MOD(ROW()-6,MAX(1,COUNTIFS(Pessoas!$C$5:$C$44,$K1250,Pessoas!$G$5:$G$44,"Ativo")))+1)))</f>
        <v>Equipe Oficina Mecânica Central-Taisa</v>
      </c>
    </row>
    <row r="1251" spans="1:12" ht="15" customHeight="1" x14ac:dyDescent="0.4">
      <c r="A1251" s="25">
        <v>46436</v>
      </c>
      <c r="B1251" s="16">
        <v>25</v>
      </c>
      <c r="C1251" s="16">
        <v>2</v>
      </c>
      <c r="D1251" s="16">
        <v>2</v>
      </c>
      <c r="E1251" s="16" t="s">
        <v>980</v>
      </c>
      <c r="F1251" s="16" t="s">
        <v>1223</v>
      </c>
      <c r="G1251" s="16" t="s">
        <v>526</v>
      </c>
      <c r="H1251" s="16" t="s">
        <v>140</v>
      </c>
      <c r="I1251" s="22" t="s">
        <v>864</v>
      </c>
      <c r="J1251" s="16">
        <f>IFERROR(INDEX(Aux_HH!$J$4:$J$31,MATCH($H1251&amp;"|"&amp;$I1251,Aux_HH!$A$4:$A$31,0)),"")</f>
        <v>8</v>
      </c>
      <c r="K1251" s="16" t="s">
        <v>76</v>
      </c>
      <c r="L1251" s="16" t="str">
        <f>IF(COUNTIFS(Pessoas!$C$5:$C$44,$K1251,Pessoas!$G$5:$G$44,"Ativo")=0,"Equipe "&amp;$K1251,INDEX(Pessoas!$A$5:$A$44,_xludf.aggregate(15,6,(ROW(Pessoas!$A$5:$A$44)-4)/((Pessoas!$C$5:$C$44=$K1251)*(Pessoas!$G$5:$G$44="Ativo")),MOD(ROW()-6,MAX(1,COUNTIFS(Pessoas!$C$5:$C$44,$K1251,Pessoas!$G$5:$G$44,"Ativo")))+1)))</f>
        <v>Equipe Oficina Mecânica Central-Taisa</v>
      </c>
    </row>
    <row r="1252" spans="1:12" ht="15" customHeight="1" x14ac:dyDescent="0.4">
      <c r="A1252" s="25">
        <v>46436</v>
      </c>
      <c r="B1252" s="16">
        <v>25</v>
      </c>
      <c r="C1252" s="16">
        <v>2</v>
      </c>
      <c r="D1252" s="16">
        <v>2</v>
      </c>
      <c r="E1252" s="16" t="s">
        <v>980</v>
      </c>
      <c r="F1252" s="16" t="s">
        <v>1224</v>
      </c>
      <c r="G1252" s="16" t="s">
        <v>526</v>
      </c>
      <c r="H1252" s="16" t="s">
        <v>140</v>
      </c>
      <c r="I1252" s="22" t="s">
        <v>864</v>
      </c>
      <c r="J1252" s="16">
        <f>IFERROR(INDEX(Aux_HH!$J$4:$J$31,MATCH($H1252&amp;"|"&amp;$I1252,Aux_HH!$A$4:$A$31,0)),"")</f>
        <v>8</v>
      </c>
      <c r="K1252" s="16" t="s">
        <v>76</v>
      </c>
      <c r="L1252" s="16" t="str">
        <f>IF(COUNTIFS(Pessoas!$C$5:$C$44,$K1252,Pessoas!$G$5:$G$44,"Ativo")=0,"Equipe "&amp;$K1252,INDEX(Pessoas!$A$5:$A$44,_xludf.aggregate(15,6,(ROW(Pessoas!$A$5:$A$44)-4)/((Pessoas!$C$5:$C$44=$K1252)*(Pessoas!$G$5:$G$44="Ativo")),MOD(ROW()-6,MAX(1,COUNTIFS(Pessoas!$C$5:$C$44,$K1252,Pessoas!$G$5:$G$44,"Ativo")))+1)))</f>
        <v>Equipe Oficina Mecânica Central-Taisa</v>
      </c>
    </row>
    <row r="1253" spans="1:12" ht="15" customHeight="1" x14ac:dyDescent="0.4">
      <c r="A1253" s="25">
        <v>46436</v>
      </c>
      <c r="B1253" s="16">
        <v>25</v>
      </c>
      <c r="C1253" s="16">
        <v>2</v>
      </c>
      <c r="D1253" s="16">
        <v>2</v>
      </c>
      <c r="E1253" s="16" t="s">
        <v>980</v>
      </c>
      <c r="F1253" s="16" t="s">
        <v>1225</v>
      </c>
      <c r="G1253" s="16" t="s">
        <v>526</v>
      </c>
      <c r="H1253" s="16" t="s">
        <v>140</v>
      </c>
      <c r="I1253" s="22" t="s">
        <v>864</v>
      </c>
      <c r="J1253" s="16">
        <f>IFERROR(INDEX(Aux_HH!$J$4:$J$31,MATCH($H1253&amp;"|"&amp;$I1253,Aux_HH!$A$4:$A$31,0)),"")</f>
        <v>8</v>
      </c>
      <c r="K1253" s="16" t="s">
        <v>76</v>
      </c>
      <c r="L1253" s="16" t="str">
        <f>IF(COUNTIFS(Pessoas!$C$5:$C$44,$K1253,Pessoas!$G$5:$G$44,"Ativo")=0,"Equipe "&amp;$K1253,INDEX(Pessoas!$A$5:$A$44,_xludf.aggregate(15,6,(ROW(Pessoas!$A$5:$A$44)-4)/((Pessoas!$C$5:$C$44=$K1253)*(Pessoas!$G$5:$G$44="Ativo")),MOD(ROW()-6,MAX(1,COUNTIFS(Pessoas!$C$5:$C$44,$K1253,Pessoas!$G$5:$G$44,"Ativo")))+1)))</f>
        <v>Equipe Oficina Mecânica Central-Taisa</v>
      </c>
    </row>
    <row r="1254" spans="1:12" ht="15" customHeight="1" x14ac:dyDescent="0.4">
      <c r="A1254" s="25">
        <v>46436</v>
      </c>
      <c r="B1254" s="16">
        <v>25</v>
      </c>
      <c r="C1254" s="16">
        <v>2</v>
      </c>
      <c r="D1254" s="16">
        <v>2</v>
      </c>
      <c r="E1254" s="16" t="s">
        <v>980</v>
      </c>
      <c r="F1254" s="16" t="s">
        <v>1226</v>
      </c>
      <c r="G1254" s="16" t="s">
        <v>526</v>
      </c>
      <c r="H1254" s="16" t="s">
        <v>140</v>
      </c>
      <c r="I1254" s="22" t="s">
        <v>864</v>
      </c>
      <c r="J1254" s="16">
        <f>IFERROR(INDEX(Aux_HH!$J$4:$J$31,MATCH($H1254&amp;"|"&amp;$I1254,Aux_HH!$A$4:$A$31,0)),"")</f>
        <v>8</v>
      </c>
      <c r="K1254" s="16" t="s">
        <v>76</v>
      </c>
      <c r="L1254" s="16" t="str">
        <f>IF(COUNTIFS(Pessoas!$C$5:$C$44,$K1254,Pessoas!$G$5:$G$44,"Ativo")=0,"Equipe "&amp;$K1254,INDEX(Pessoas!$A$5:$A$44,_xludf.aggregate(15,6,(ROW(Pessoas!$A$5:$A$44)-4)/((Pessoas!$C$5:$C$44=$K1254)*(Pessoas!$G$5:$G$44="Ativo")),MOD(ROW()-6,MAX(1,COUNTIFS(Pessoas!$C$5:$C$44,$K1254,Pessoas!$G$5:$G$44,"Ativo")))+1)))</f>
        <v>Equipe Oficina Mecânica Central-Taisa</v>
      </c>
    </row>
    <row r="1255" spans="1:12" ht="15" customHeight="1" x14ac:dyDescent="0.4">
      <c r="A1255" s="25">
        <v>46436</v>
      </c>
      <c r="B1255" s="16">
        <v>25</v>
      </c>
      <c r="C1255" s="16">
        <v>2</v>
      </c>
      <c r="D1255" s="16">
        <v>2</v>
      </c>
      <c r="E1255" s="16" t="s">
        <v>980</v>
      </c>
      <c r="F1255" s="16" t="s">
        <v>1227</v>
      </c>
      <c r="G1255" s="16" t="s">
        <v>526</v>
      </c>
      <c r="H1255" s="16" t="s">
        <v>140</v>
      </c>
      <c r="I1255" s="22" t="s">
        <v>864</v>
      </c>
      <c r="J1255" s="16">
        <f>IFERROR(INDEX(Aux_HH!$J$4:$J$31,MATCH($H1255&amp;"|"&amp;$I1255,Aux_HH!$A$4:$A$31,0)),"")</f>
        <v>8</v>
      </c>
      <c r="K1255" s="16" t="s">
        <v>76</v>
      </c>
      <c r="L1255" s="16" t="str">
        <f>IF(COUNTIFS(Pessoas!$C$5:$C$44,$K1255,Pessoas!$G$5:$G$44,"Ativo")=0,"Equipe "&amp;$K1255,INDEX(Pessoas!$A$5:$A$44,_xludf.aggregate(15,6,(ROW(Pessoas!$A$5:$A$44)-4)/((Pessoas!$C$5:$C$44=$K1255)*(Pessoas!$G$5:$G$44="Ativo")),MOD(ROW()-6,MAX(1,COUNTIFS(Pessoas!$C$5:$C$44,$K1255,Pessoas!$G$5:$G$44,"Ativo")))+1)))</f>
        <v>Equipe Oficina Mecânica Central-Taisa</v>
      </c>
    </row>
    <row r="1256" spans="1:12" ht="15" customHeight="1" x14ac:dyDescent="0.4">
      <c r="A1256" s="25">
        <v>46436</v>
      </c>
      <c r="B1256" s="16">
        <v>25</v>
      </c>
      <c r="C1256" s="16">
        <v>2</v>
      </c>
      <c r="D1256" s="16">
        <v>2</v>
      </c>
      <c r="E1256" s="16" t="s">
        <v>980</v>
      </c>
      <c r="F1256" s="16" t="s">
        <v>1251</v>
      </c>
      <c r="G1256" s="16" t="s">
        <v>526</v>
      </c>
      <c r="H1256" s="16" t="s">
        <v>140</v>
      </c>
      <c r="I1256" s="22" t="s">
        <v>864</v>
      </c>
      <c r="J1256" s="16">
        <f>IFERROR(INDEX(Aux_HH!$J$4:$J$31,MATCH($H1256&amp;"|"&amp;$I1256,Aux_HH!$A$4:$A$31,0)),"")</f>
        <v>8</v>
      </c>
      <c r="K1256" s="16" t="s">
        <v>76</v>
      </c>
      <c r="L1256" s="16" t="str">
        <f>IF(COUNTIFS(Pessoas!$C$5:$C$44,$K1256,Pessoas!$G$5:$G$44,"Ativo")=0,"Equipe "&amp;$K1256,INDEX(Pessoas!$A$5:$A$44,_xludf.aggregate(15,6,(ROW(Pessoas!$A$5:$A$44)-4)/((Pessoas!$C$5:$C$44=$K1256)*(Pessoas!$G$5:$G$44="Ativo")),MOD(ROW()-6,MAX(1,COUNTIFS(Pessoas!$C$5:$C$44,$K1256,Pessoas!$G$5:$G$44,"Ativo")))+1)))</f>
        <v>Equipe Oficina Mecânica Central-Taisa</v>
      </c>
    </row>
    <row r="1257" spans="1:12" ht="15" customHeight="1" x14ac:dyDescent="0.4">
      <c r="A1257" s="25">
        <v>46436</v>
      </c>
      <c r="B1257" s="16">
        <v>25</v>
      </c>
      <c r="C1257" s="16">
        <v>2</v>
      </c>
      <c r="D1257" s="16">
        <v>2</v>
      </c>
      <c r="E1257" s="16" t="s">
        <v>980</v>
      </c>
      <c r="F1257" s="16" t="s">
        <v>1252</v>
      </c>
      <c r="G1257" s="16" t="s">
        <v>526</v>
      </c>
      <c r="H1257" s="16" t="s">
        <v>140</v>
      </c>
      <c r="I1257" s="22" t="s">
        <v>864</v>
      </c>
      <c r="J1257" s="16">
        <f>IFERROR(INDEX(Aux_HH!$J$4:$J$31,MATCH($H1257&amp;"|"&amp;$I1257,Aux_HH!$A$4:$A$31,0)),"")</f>
        <v>8</v>
      </c>
      <c r="K1257" s="16" t="s">
        <v>76</v>
      </c>
      <c r="L1257" s="16" t="str">
        <f>IF(COUNTIFS(Pessoas!$C$5:$C$44,$K1257,Pessoas!$G$5:$G$44,"Ativo")=0,"Equipe "&amp;$K1257,INDEX(Pessoas!$A$5:$A$44,_xludf.aggregate(15,6,(ROW(Pessoas!$A$5:$A$44)-4)/((Pessoas!$C$5:$C$44=$K1257)*(Pessoas!$G$5:$G$44="Ativo")),MOD(ROW()-6,MAX(1,COUNTIFS(Pessoas!$C$5:$C$44,$K1257,Pessoas!$G$5:$G$44,"Ativo")))+1)))</f>
        <v>Equipe Oficina Mecânica Central-Taisa</v>
      </c>
    </row>
    <row r="1258" spans="1:12" ht="15" customHeight="1" x14ac:dyDescent="0.4">
      <c r="A1258" s="25">
        <v>46436</v>
      </c>
      <c r="B1258" s="16">
        <v>25</v>
      </c>
      <c r="C1258" s="16">
        <v>2</v>
      </c>
      <c r="D1258" s="16">
        <v>2</v>
      </c>
      <c r="E1258" s="16" t="s">
        <v>980</v>
      </c>
      <c r="F1258" s="16" t="s">
        <v>994</v>
      </c>
      <c r="G1258" s="16" t="s">
        <v>688</v>
      </c>
      <c r="H1258" s="16" t="s">
        <v>145</v>
      </c>
      <c r="I1258" s="22" t="s">
        <v>856</v>
      </c>
      <c r="J1258" s="16">
        <f>IFERROR(INDEX(Aux_HH!$J$4:$J$31,MATCH($H1258&amp;"|"&amp;$I1258,Aux_HH!$A$4:$A$31,0)),"")</f>
        <v>2</v>
      </c>
      <c r="K1258" s="16" t="s">
        <v>76</v>
      </c>
      <c r="L1258" s="16" t="str">
        <f>IF(COUNTIFS(Pessoas!$C$5:$C$44,$K1258,Pessoas!$G$5:$G$44,"Ativo")=0,"Equipe "&amp;$K1258,INDEX(Pessoas!$A$5:$A$44,_xludf.aggregate(15,6,(ROW(Pessoas!$A$5:$A$44)-4)/((Pessoas!$C$5:$C$44=$K1258)*(Pessoas!$G$5:$G$44="Ativo")),MOD(ROW()-6,MAX(1,COUNTIFS(Pessoas!$C$5:$C$44,$K1258,Pessoas!$G$5:$G$44,"Ativo")))+1)))</f>
        <v>Equipe Oficina Mecânica Central-Taisa</v>
      </c>
    </row>
    <row r="1259" spans="1:12" ht="15" customHeight="1" x14ac:dyDescent="0.4">
      <c r="A1259" s="25">
        <v>46436</v>
      </c>
      <c r="B1259" s="16">
        <v>25</v>
      </c>
      <c r="C1259" s="16">
        <v>2</v>
      </c>
      <c r="D1259" s="16">
        <v>2</v>
      </c>
      <c r="E1259" s="16" t="s">
        <v>980</v>
      </c>
      <c r="F1259" s="16" t="s">
        <v>995</v>
      </c>
      <c r="G1259" s="16" t="s">
        <v>688</v>
      </c>
      <c r="H1259" s="16" t="s">
        <v>145</v>
      </c>
      <c r="I1259" s="22" t="s">
        <v>856</v>
      </c>
      <c r="J1259" s="16">
        <f>IFERROR(INDEX(Aux_HH!$J$4:$J$31,MATCH($H1259&amp;"|"&amp;$I1259,Aux_HH!$A$4:$A$31,0)),"")</f>
        <v>2</v>
      </c>
      <c r="K1259" s="16" t="s">
        <v>76</v>
      </c>
      <c r="L1259" s="16" t="str">
        <f>IF(COUNTIFS(Pessoas!$C$5:$C$44,$K1259,Pessoas!$G$5:$G$44,"Ativo")=0,"Equipe "&amp;$K1259,INDEX(Pessoas!$A$5:$A$44,_xludf.aggregate(15,6,(ROW(Pessoas!$A$5:$A$44)-4)/((Pessoas!$C$5:$C$44=$K1259)*(Pessoas!$G$5:$G$44="Ativo")),MOD(ROW()-6,MAX(1,COUNTIFS(Pessoas!$C$5:$C$44,$K1259,Pessoas!$G$5:$G$44,"Ativo")))+1)))</f>
        <v>Equipe Oficina Mecânica Central-Taisa</v>
      </c>
    </row>
    <row r="1260" spans="1:12" ht="15" customHeight="1" x14ac:dyDescent="0.4">
      <c r="A1260" s="25">
        <v>46436</v>
      </c>
      <c r="B1260" s="16">
        <v>25</v>
      </c>
      <c r="C1260" s="16">
        <v>2</v>
      </c>
      <c r="D1260" s="16">
        <v>2</v>
      </c>
      <c r="E1260" s="16" t="s">
        <v>980</v>
      </c>
      <c r="F1260" s="16" t="s">
        <v>1254</v>
      </c>
      <c r="G1260" s="16" t="s">
        <v>184</v>
      </c>
      <c r="H1260" s="16" t="s">
        <v>140</v>
      </c>
      <c r="I1260" s="22" t="s">
        <v>864</v>
      </c>
      <c r="J1260" s="16">
        <f>IFERROR(INDEX(Aux_HH!$J$4:$J$31,MATCH($H1260&amp;"|"&amp;$I1260,Aux_HH!$A$4:$A$31,0)),"")</f>
        <v>8</v>
      </c>
      <c r="K1260" s="16" t="s">
        <v>76</v>
      </c>
      <c r="L1260" s="16" t="str">
        <f>IF(COUNTIFS(Pessoas!$C$5:$C$44,$K1260,Pessoas!$G$5:$G$44,"Ativo")=0,"Equipe "&amp;$K1260,INDEX(Pessoas!$A$5:$A$44,_xludf.aggregate(15,6,(ROW(Pessoas!$A$5:$A$44)-4)/((Pessoas!$C$5:$C$44=$K1260)*(Pessoas!$G$5:$G$44="Ativo")),MOD(ROW()-6,MAX(1,COUNTIFS(Pessoas!$C$5:$C$44,$K1260,Pessoas!$G$5:$G$44,"Ativo")))+1)))</f>
        <v>Equipe Oficina Mecânica Central-Taisa</v>
      </c>
    </row>
    <row r="1261" spans="1:12" ht="15" customHeight="1" x14ac:dyDescent="0.4">
      <c r="A1261" s="25">
        <v>46436</v>
      </c>
      <c r="B1261" s="16">
        <v>25</v>
      </c>
      <c r="C1261" s="16">
        <v>2</v>
      </c>
      <c r="D1261" s="16">
        <v>2</v>
      </c>
      <c r="E1261" s="16" t="s">
        <v>980</v>
      </c>
      <c r="F1261" s="16" t="s">
        <v>1255</v>
      </c>
      <c r="G1261" s="16" t="s">
        <v>184</v>
      </c>
      <c r="H1261" s="16" t="s">
        <v>140</v>
      </c>
      <c r="I1261" s="22" t="s">
        <v>864</v>
      </c>
      <c r="J1261" s="16">
        <f>IFERROR(INDEX(Aux_HH!$J$4:$J$31,MATCH($H1261&amp;"|"&amp;$I1261,Aux_HH!$A$4:$A$31,0)),"")</f>
        <v>8</v>
      </c>
      <c r="K1261" s="16" t="s">
        <v>76</v>
      </c>
      <c r="L1261" s="16" t="str">
        <f>IF(COUNTIFS(Pessoas!$C$5:$C$44,$K1261,Pessoas!$G$5:$G$44,"Ativo")=0,"Equipe "&amp;$K1261,INDEX(Pessoas!$A$5:$A$44,_xludf.aggregate(15,6,(ROW(Pessoas!$A$5:$A$44)-4)/((Pessoas!$C$5:$C$44=$K1261)*(Pessoas!$G$5:$G$44="Ativo")),MOD(ROW()-6,MAX(1,COUNTIFS(Pessoas!$C$5:$C$44,$K1261,Pessoas!$G$5:$G$44,"Ativo")))+1)))</f>
        <v>Equipe Oficina Mecânica Central-Taisa</v>
      </c>
    </row>
    <row r="1262" spans="1:12" ht="15" customHeight="1" x14ac:dyDescent="0.4">
      <c r="A1262" s="25">
        <v>46436</v>
      </c>
      <c r="B1262" s="16">
        <v>25</v>
      </c>
      <c r="C1262" s="16">
        <v>2</v>
      </c>
      <c r="D1262" s="16">
        <v>2</v>
      </c>
      <c r="E1262" s="16" t="s">
        <v>980</v>
      </c>
      <c r="F1262" s="16" t="s">
        <v>1256</v>
      </c>
      <c r="G1262" s="16" t="s">
        <v>184</v>
      </c>
      <c r="H1262" s="16" t="s">
        <v>140</v>
      </c>
      <c r="I1262" s="22" t="s">
        <v>864</v>
      </c>
      <c r="J1262" s="16">
        <f>IFERROR(INDEX(Aux_HH!$J$4:$J$31,MATCH($H1262&amp;"|"&amp;$I1262,Aux_HH!$A$4:$A$31,0)),"")</f>
        <v>8</v>
      </c>
      <c r="K1262" s="16" t="s">
        <v>76</v>
      </c>
      <c r="L1262" s="16" t="str">
        <f>IF(COUNTIFS(Pessoas!$C$5:$C$44,$K1262,Pessoas!$G$5:$G$44,"Ativo")=0,"Equipe "&amp;$K1262,INDEX(Pessoas!$A$5:$A$44,_xludf.aggregate(15,6,(ROW(Pessoas!$A$5:$A$44)-4)/((Pessoas!$C$5:$C$44=$K1262)*(Pessoas!$G$5:$G$44="Ativo")),MOD(ROW()-6,MAX(1,COUNTIFS(Pessoas!$C$5:$C$44,$K1262,Pessoas!$G$5:$G$44,"Ativo")))+1)))</f>
        <v>Equipe Oficina Mecânica Central-Taisa</v>
      </c>
    </row>
    <row r="1263" spans="1:12" ht="15" customHeight="1" x14ac:dyDescent="0.4">
      <c r="A1263" s="25">
        <v>46436</v>
      </c>
      <c r="B1263" s="16">
        <v>25</v>
      </c>
      <c r="C1263" s="16">
        <v>2</v>
      </c>
      <c r="D1263" s="16">
        <v>2</v>
      </c>
      <c r="E1263" s="16" t="s">
        <v>980</v>
      </c>
      <c r="F1263" s="16" t="s">
        <v>1257</v>
      </c>
      <c r="G1263" s="16" t="s">
        <v>526</v>
      </c>
      <c r="H1263" s="16" t="s">
        <v>140</v>
      </c>
      <c r="I1263" s="22" t="s">
        <v>864</v>
      </c>
      <c r="J1263" s="16">
        <f>IFERROR(INDEX(Aux_HH!$J$4:$J$31,MATCH($H1263&amp;"|"&amp;$I1263,Aux_HH!$A$4:$A$31,0)),"")</f>
        <v>8</v>
      </c>
      <c r="K1263" s="16" t="s">
        <v>76</v>
      </c>
      <c r="L1263" s="16" t="str">
        <f>IF(COUNTIFS(Pessoas!$C$5:$C$44,$K1263,Pessoas!$G$5:$G$44,"Ativo")=0,"Equipe "&amp;$K1263,INDEX(Pessoas!$A$5:$A$44,_xludf.aggregate(15,6,(ROW(Pessoas!$A$5:$A$44)-4)/((Pessoas!$C$5:$C$44=$K1263)*(Pessoas!$G$5:$G$44="Ativo")),MOD(ROW()-6,MAX(1,COUNTIFS(Pessoas!$C$5:$C$44,$K1263,Pessoas!$G$5:$G$44,"Ativo")))+1)))</f>
        <v>Equipe Oficina Mecânica Central-Taisa</v>
      </c>
    </row>
    <row r="1264" spans="1:12" ht="15" customHeight="1" x14ac:dyDescent="0.4">
      <c r="A1264" s="25">
        <v>46436</v>
      </c>
      <c r="B1264" s="16">
        <v>25</v>
      </c>
      <c r="C1264" s="16">
        <v>2</v>
      </c>
      <c r="D1264" s="16">
        <v>2</v>
      </c>
      <c r="E1264" s="16" t="s">
        <v>980</v>
      </c>
      <c r="F1264" s="16" t="s">
        <v>1258</v>
      </c>
      <c r="G1264" s="16" t="s">
        <v>526</v>
      </c>
      <c r="H1264" s="16" t="s">
        <v>140</v>
      </c>
      <c r="I1264" s="22" t="s">
        <v>864</v>
      </c>
      <c r="J1264" s="16">
        <f>IFERROR(INDEX(Aux_HH!$J$4:$J$31,MATCH($H1264&amp;"|"&amp;$I1264,Aux_HH!$A$4:$A$31,0)),"")</f>
        <v>8</v>
      </c>
      <c r="K1264" s="16" t="s">
        <v>76</v>
      </c>
      <c r="L1264" s="16" t="str">
        <f>IF(COUNTIFS(Pessoas!$C$5:$C$44,$K1264,Pessoas!$G$5:$G$44,"Ativo")=0,"Equipe "&amp;$K1264,INDEX(Pessoas!$A$5:$A$44,_xludf.aggregate(15,6,(ROW(Pessoas!$A$5:$A$44)-4)/((Pessoas!$C$5:$C$44=$K1264)*(Pessoas!$G$5:$G$44="Ativo")),MOD(ROW()-6,MAX(1,COUNTIFS(Pessoas!$C$5:$C$44,$K1264,Pessoas!$G$5:$G$44,"Ativo")))+1)))</f>
        <v>Equipe Oficina Mecânica Central-Taisa</v>
      </c>
    </row>
    <row r="1265" spans="1:12" ht="15" customHeight="1" x14ac:dyDescent="0.4">
      <c r="A1265" s="25">
        <v>46437</v>
      </c>
      <c r="B1265" s="16">
        <v>25</v>
      </c>
      <c r="C1265" s="16">
        <v>2</v>
      </c>
      <c r="D1265" s="16">
        <v>2</v>
      </c>
      <c r="E1265" s="16" t="s">
        <v>980</v>
      </c>
      <c r="F1265" s="16" t="s">
        <v>985</v>
      </c>
      <c r="G1265" s="16" t="s">
        <v>184</v>
      </c>
      <c r="H1265" s="16" t="s">
        <v>138</v>
      </c>
      <c r="I1265" s="22" t="s">
        <v>861</v>
      </c>
      <c r="J1265" s="16">
        <f>IFERROR(INDEX(Aux_HH!$J$4:$J$31,MATCH($H1265&amp;"|"&amp;$I1265,Aux_HH!$A$4:$A$31,0)),"")</f>
        <v>6</v>
      </c>
      <c r="K1265" s="16" t="s">
        <v>76</v>
      </c>
      <c r="L1265" s="16" t="str">
        <f>IF(COUNTIFS(Pessoas!$C$5:$C$44,$K1265,Pessoas!$G$5:$G$44,"Ativo")=0,"Equipe "&amp;$K1265,INDEX(Pessoas!$A$5:$A$44,_xludf.aggregate(15,6,(ROW(Pessoas!$A$5:$A$44)-4)/((Pessoas!$C$5:$C$44=$K1265)*(Pessoas!$G$5:$G$44="Ativo")),MOD(ROW()-6,MAX(1,COUNTIFS(Pessoas!$C$5:$C$44,$K1265,Pessoas!$G$5:$G$44,"Ativo")))+1)))</f>
        <v>Equipe Oficina Mecânica Central-Taisa</v>
      </c>
    </row>
    <row r="1266" spans="1:12" ht="15" customHeight="1" x14ac:dyDescent="0.4">
      <c r="A1266" s="25">
        <v>46437</v>
      </c>
      <c r="B1266" s="16">
        <v>25</v>
      </c>
      <c r="C1266" s="16">
        <v>2</v>
      </c>
      <c r="D1266" s="16">
        <v>2</v>
      </c>
      <c r="E1266" s="16" t="s">
        <v>980</v>
      </c>
      <c r="F1266" s="16" t="s">
        <v>987</v>
      </c>
      <c r="G1266" s="16" t="s">
        <v>526</v>
      </c>
      <c r="H1266" s="16" t="s">
        <v>138</v>
      </c>
      <c r="I1266" s="22" t="s">
        <v>861</v>
      </c>
      <c r="J1266" s="16">
        <f>IFERROR(INDEX(Aux_HH!$J$4:$J$31,MATCH($H1266&amp;"|"&amp;$I1266,Aux_HH!$A$4:$A$31,0)),"")</f>
        <v>6</v>
      </c>
      <c r="K1266" s="16" t="s">
        <v>76</v>
      </c>
      <c r="L1266" s="16" t="str">
        <f>IF(COUNTIFS(Pessoas!$C$5:$C$44,$K1266,Pessoas!$G$5:$G$44,"Ativo")=0,"Equipe "&amp;$K1266,INDEX(Pessoas!$A$5:$A$44,_xludf.aggregate(15,6,(ROW(Pessoas!$A$5:$A$44)-4)/((Pessoas!$C$5:$C$44=$K1266)*(Pessoas!$G$5:$G$44="Ativo")),MOD(ROW()-6,MAX(1,COUNTIFS(Pessoas!$C$5:$C$44,$K1266,Pessoas!$G$5:$G$44,"Ativo")))+1)))</f>
        <v>Equipe Oficina Mecânica Central-Taisa</v>
      </c>
    </row>
    <row r="1267" spans="1:12" ht="15" customHeight="1" x14ac:dyDescent="0.4">
      <c r="A1267" s="25">
        <v>46437</v>
      </c>
      <c r="B1267" s="16">
        <v>25</v>
      </c>
      <c r="C1267" s="16">
        <v>2</v>
      </c>
      <c r="D1267" s="16">
        <v>2</v>
      </c>
      <c r="E1267" s="16" t="s">
        <v>980</v>
      </c>
      <c r="F1267" s="16" t="s">
        <v>1259</v>
      </c>
      <c r="G1267" s="16" t="s">
        <v>526</v>
      </c>
      <c r="H1267" s="16" t="s">
        <v>140</v>
      </c>
      <c r="I1267" s="22" t="s">
        <v>864</v>
      </c>
      <c r="J1267" s="16">
        <f>IFERROR(INDEX(Aux_HH!$J$4:$J$31,MATCH($H1267&amp;"|"&amp;$I1267,Aux_HH!$A$4:$A$31,0)),"")</f>
        <v>8</v>
      </c>
      <c r="K1267" s="16" t="s">
        <v>76</v>
      </c>
      <c r="L1267" s="16" t="str">
        <f>IF(COUNTIFS(Pessoas!$C$5:$C$44,$K1267,Pessoas!$G$5:$G$44,"Ativo")=0,"Equipe "&amp;$K1267,INDEX(Pessoas!$A$5:$A$44,_xludf.aggregate(15,6,(ROW(Pessoas!$A$5:$A$44)-4)/((Pessoas!$C$5:$C$44=$K1267)*(Pessoas!$G$5:$G$44="Ativo")),MOD(ROW()-6,MAX(1,COUNTIFS(Pessoas!$C$5:$C$44,$K1267,Pessoas!$G$5:$G$44,"Ativo")))+1)))</f>
        <v>Equipe Oficina Mecânica Central-Taisa</v>
      </c>
    </row>
    <row r="1268" spans="1:12" ht="15" customHeight="1" x14ac:dyDescent="0.4">
      <c r="A1268" s="25">
        <v>46437</v>
      </c>
      <c r="B1268" s="16">
        <v>25</v>
      </c>
      <c r="C1268" s="16">
        <v>2</v>
      </c>
      <c r="D1268" s="16">
        <v>2</v>
      </c>
      <c r="E1268" s="16" t="s">
        <v>980</v>
      </c>
      <c r="F1268" s="16" t="s">
        <v>1260</v>
      </c>
      <c r="G1268" s="16" t="s">
        <v>526</v>
      </c>
      <c r="H1268" s="16" t="s">
        <v>140</v>
      </c>
      <c r="I1268" s="22" t="s">
        <v>864</v>
      </c>
      <c r="J1268" s="16">
        <f>IFERROR(INDEX(Aux_HH!$J$4:$J$31,MATCH($H1268&amp;"|"&amp;$I1268,Aux_HH!$A$4:$A$31,0)),"")</f>
        <v>8</v>
      </c>
      <c r="K1268" s="16" t="s">
        <v>76</v>
      </c>
      <c r="L1268" s="16" t="str">
        <f>IF(COUNTIFS(Pessoas!$C$5:$C$44,$K1268,Pessoas!$G$5:$G$44,"Ativo")=0,"Equipe "&amp;$K1268,INDEX(Pessoas!$A$5:$A$44,_xludf.aggregate(15,6,(ROW(Pessoas!$A$5:$A$44)-4)/((Pessoas!$C$5:$C$44=$K1268)*(Pessoas!$G$5:$G$44="Ativo")),MOD(ROW()-6,MAX(1,COUNTIFS(Pessoas!$C$5:$C$44,$K1268,Pessoas!$G$5:$G$44,"Ativo")))+1)))</f>
        <v>Equipe Oficina Mecânica Central-Taisa</v>
      </c>
    </row>
    <row r="1269" spans="1:12" ht="15" customHeight="1" x14ac:dyDescent="0.4">
      <c r="A1269" s="25">
        <v>46437</v>
      </c>
      <c r="B1269" s="16">
        <v>25</v>
      </c>
      <c r="C1269" s="16">
        <v>2</v>
      </c>
      <c r="D1269" s="16">
        <v>2</v>
      </c>
      <c r="E1269" s="16" t="s">
        <v>980</v>
      </c>
      <c r="F1269" s="16" t="s">
        <v>1261</v>
      </c>
      <c r="G1269" s="16" t="s">
        <v>526</v>
      </c>
      <c r="H1269" s="16" t="s">
        <v>140</v>
      </c>
      <c r="I1269" s="22" t="s">
        <v>864</v>
      </c>
      <c r="J1269" s="16">
        <f>IFERROR(INDEX(Aux_HH!$J$4:$J$31,MATCH($H1269&amp;"|"&amp;$I1269,Aux_HH!$A$4:$A$31,0)),"")</f>
        <v>8</v>
      </c>
      <c r="K1269" s="16" t="s">
        <v>76</v>
      </c>
      <c r="L1269" s="16" t="str">
        <f>IF(COUNTIFS(Pessoas!$C$5:$C$44,$K1269,Pessoas!$G$5:$G$44,"Ativo")=0,"Equipe "&amp;$K1269,INDEX(Pessoas!$A$5:$A$44,_xludf.aggregate(15,6,(ROW(Pessoas!$A$5:$A$44)-4)/((Pessoas!$C$5:$C$44=$K1269)*(Pessoas!$G$5:$G$44="Ativo")),MOD(ROW()-6,MAX(1,COUNTIFS(Pessoas!$C$5:$C$44,$K1269,Pessoas!$G$5:$G$44,"Ativo")))+1)))</f>
        <v>Equipe Oficina Mecânica Central-Taisa</v>
      </c>
    </row>
    <row r="1270" spans="1:12" ht="15" customHeight="1" x14ac:dyDescent="0.4">
      <c r="A1270" s="25">
        <v>46437</v>
      </c>
      <c r="B1270" s="16">
        <v>25</v>
      </c>
      <c r="C1270" s="16">
        <v>2</v>
      </c>
      <c r="D1270" s="16">
        <v>2</v>
      </c>
      <c r="E1270" s="16" t="s">
        <v>980</v>
      </c>
      <c r="F1270" s="16" t="s">
        <v>1262</v>
      </c>
      <c r="G1270" s="16" t="s">
        <v>184</v>
      </c>
      <c r="H1270" s="16" t="s">
        <v>140</v>
      </c>
      <c r="I1270" s="22" t="s">
        <v>864</v>
      </c>
      <c r="J1270" s="16">
        <f>IFERROR(INDEX(Aux_HH!$J$4:$J$31,MATCH($H1270&amp;"|"&amp;$I1270,Aux_HH!$A$4:$A$31,0)),"")</f>
        <v>8</v>
      </c>
      <c r="K1270" s="16" t="s">
        <v>76</v>
      </c>
      <c r="L1270" s="16" t="str">
        <f>IF(COUNTIFS(Pessoas!$C$5:$C$44,$K1270,Pessoas!$G$5:$G$44,"Ativo")=0,"Equipe "&amp;$K1270,INDEX(Pessoas!$A$5:$A$44,_xludf.aggregate(15,6,(ROW(Pessoas!$A$5:$A$44)-4)/((Pessoas!$C$5:$C$44=$K1270)*(Pessoas!$G$5:$G$44="Ativo")),MOD(ROW()-6,MAX(1,COUNTIFS(Pessoas!$C$5:$C$44,$K1270,Pessoas!$G$5:$G$44,"Ativo")))+1)))</f>
        <v>Equipe Oficina Mecânica Central-Taisa</v>
      </c>
    </row>
    <row r="1271" spans="1:12" ht="15" customHeight="1" x14ac:dyDescent="0.4">
      <c r="A1271" s="25">
        <v>46437</v>
      </c>
      <c r="B1271" s="16">
        <v>25</v>
      </c>
      <c r="C1271" s="16">
        <v>2</v>
      </c>
      <c r="D1271" s="16">
        <v>2</v>
      </c>
      <c r="E1271" s="16" t="s">
        <v>980</v>
      </c>
      <c r="F1271" s="16" t="s">
        <v>1263</v>
      </c>
      <c r="G1271" s="16" t="s">
        <v>184</v>
      </c>
      <c r="H1271" s="16" t="s">
        <v>140</v>
      </c>
      <c r="I1271" s="22" t="s">
        <v>864</v>
      </c>
      <c r="J1271" s="16">
        <f>IFERROR(INDEX(Aux_HH!$J$4:$J$31,MATCH($H1271&amp;"|"&amp;$I1271,Aux_HH!$A$4:$A$31,0)),"")</f>
        <v>8</v>
      </c>
      <c r="K1271" s="16" t="s">
        <v>76</v>
      </c>
      <c r="L1271" s="16" t="str">
        <f>IF(COUNTIFS(Pessoas!$C$5:$C$44,$K1271,Pessoas!$G$5:$G$44,"Ativo")=0,"Equipe "&amp;$K1271,INDEX(Pessoas!$A$5:$A$44,_xludf.aggregate(15,6,(ROW(Pessoas!$A$5:$A$44)-4)/((Pessoas!$C$5:$C$44=$K1271)*(Pessoas!$G$5:$G$44="Ativo")),MOD(ROW()-6,MAX(1,COUNTIFS(Pessoas!$C$5:$C$44,$K1271,Pessoas!$G$5:$G$44,"Ativo")))+1)))</f>
        <v>Equipe Oficina Mecânica Central-Taisa</v>
      </c>
    </row>
    <row r="1272" spans="1:12" ht="15" customHeight="1" x14ac:dyDescent="0.4">
      <c r="A1272" s="25">
        <v>46437</v>
      </c>
      <c r="B1272" s="16">
        <v>25</v>
      </c>
      <c r="C1272" s="16">
        <v>2</v>
      </c>
      <c r="D1272" s="16">
        <v>2</v>
      </c>
      <c r="E1272" s="16" t="s">
        <v>980</v>
      </c>
      <c r="F1272" s="16" t="s">
        <v>1264</v>
      </c>
      <c r="G1272" s="16" t="s">
        <v>184</v>
      </c>
      <c r="H1272" s="16" t="s">
        <v>140</v>
      </c>
      <c r="I1272" s="22" t="s">
        <v>864</v>
      </c>
      <c r="J1272" s="16">
        <f>IFERROR(INDEX(Aux_HH!$J$4:$J$31,MATCH($H1272&amp;"|"&amp;$I1272,Aux_HH!$A$4:$A$31,0)),"")</f>
        <v>8</v>
      </c>
      <c r="K1272" s="16" t="s">
        <v>76</v>
      </c>
      <c r="L1272" s="16" t="str">
        <f>IF(COUNTIFS(Pessoas!$C$5:$C$44,$K1272,Pessoas!$G$5:$G$44,"Ativo")=0,"Equipe "&amp;$K1272,INDEX(Pessoas!$A$5:$A$44,_xludf.aggregate(15,6,(ROW(Pessoas!$A$5:$A$44)-4)/((Pessoas!$C$5:$C$44=$K1272)*(Pessoas!$G$5:$G$44="Ativo")),MOD(ROW()-6,MAX(1,COUNTIFS(Pessoas!$C$5:$C$44,$K1272,Pessoas!$G$5:$G$44,"Ativo")))+1)))</f>
        <v>Equipe Oficina Mecânica Central-Taisa</v>
      </c>
    </row>
    <row r="1273" spans="1:12" ht="15" customHeight="1" x14ac:dyDescent="0.4">
      <c r="A1273" s="25">
        <v>46437</v>
      </c>
      <c r="B1273" s="16">
        <v>25</v>
      </c>
      <c r="C1273" s="16">
        <v>2</v>
      </c>
      <c r="D1273" s="16">
        <v>2</v>
      </c>
      <c r="E1273" s="16" t="s">
        <v>980</v>
      </c>
      <c r="F1273" s="16" t="s">
        <v>1265</v>
      </c>
      <c r="G1273" s="16" t="s">
        <v>184</v>
      </c>
      <c r="H1273" s="16" t="s">
        <v>140</v>
      </c>
      <c r="I1273" s="22" t="s">
        <v>864</v>
      </c>
      <c r="J1273" s="16">
        <f>IFERROR(INDEX(Aux_HH!$J$4:$J$31,MATCH($H1273&amp;"|"&amp;$I1273,Aux_HH!$A$4:$A$31,0)),"")</f>
        <v>8</v>
      </c>
      <c r="K1273" s="16" t="s">
        <v>76</v>
      </c>
      <c r="L1273" s="16" t="str">
        <f>IF(COUNTIFS(Pessoas!$C$5:$C$44,$K1273,Pessoas!$G$5:$G$44,"Ativo")=0,"Equipe "&amp;$K1273,INDEX(Pessoas!$A$5:$A$44,_xludf.aggregate(15,6,(ROW(Pessoas!$A$5:$A$44)-4)/((Pessoas!$C$5:$C$44=$K1273)*(Pessoas!$G$5:$G$44="Ativo")),MOD(ROW()-6,MAX(1,COUNTIFS(Pessoas!$C$5:$C$44,$K1273,Pessoas!$G$5:$G$44,"Ativo")))+1)))</f>
        <v>Equipe Oficina Mecânica Central-Taisa</v>
      </c>
    </row>
    <row r="1274" spans="1:12" ht="15" customHeight="1" x14ac:dyDescent="0.4">
      <c r="A1274" s="25">
        <v>46437</v>
      </c>
      <c r="B1274" s="16">
        <v>25</v>
      </c>
      <c r="C1274" s="16">
        <v>2</v>
      </c>
      <c r="D1274" s="16">
        <v>2</v>
      </c>
      <c r="E1274" s="16" t="s">
        <v>980</v>
      </c>
      <c r="F1274" s="16" t="s">
        <v>1266</v>
      </c>
      <c r="G1274" s="16" t="s">
        <v>526</v>
      </c>
      <c r="H1274" s="16" t="s">
        <v>140</v>
      </c>
      <c r="I1274" s="22" t="s">
        <v>864</v>
      </c>
      <c r="J1274" s="16">
        <f>IFERROR(INDEX(Aux_HH!$J$4:$J$31,MATCH($H1274&amp;"|"&amp;$I1274,Aux_HH!$A$4:$A$31,0)),"")</f>
        <v>8</v>
      </c>
      <c r="K1274" s="16" t="s">
        <v>76</v>
      </c>
      <c r="L1274" s="16" t="str">
        <f>IF(COUNTIFS(Pessoas!$C$5:$C$44,$K1274,Pessoas!$G$5:$G$44,"Ativo")=0,"Equipe "&amp;$K1274,INDEX(Pessoas!$A$5:$A$44,_xludf.aggregate(15,6,(ROW(Pessoas!$A$5:$A$44)-4)/((Pessoas!$C$5:$C$44=$K1274)*(Pessoas!$G$5:$G$44="Ativo")),MOD(ROW()-6,MAX(1,COUNTIFS(Pessoas!$C$5:$C$44,$K1274,Pessoas!$G$5:$G$44,"Ativo")))+1)))</f>
        <v>Equipe Oficina Mecânica Central-Taisa</v>
      </c>
    </row>
    <row r="1275" spans="1:12" ht="15" customHeight="1" x14ac:dyDescent="0.4">
      <c r="A1275" s="25">
        <v>46437</v>
      </c>
      <c r="B1275" s="16">
        <v>25</v>
      </c>
      <c r="C1275" s="16">
        <v>2</v>
      </c>
      <c r="D1275" s="16">
        <v>2</v>
      </c>
      <c r="E1275" s="16" t="s">
        <v>980</v>
      </c>
      <c r="F1275" s="16" t="s">
        <v>1267</v>
      </c>
      <c r="G1275" s="16" t="s">
        <v>526</v>
      </c>
      <c r="H1275" s="16" t="s">
        <v>140</v>
      </c>
      <c r="I1275" s="22" t="s">
        <v>864</v>
      </c>
      <c r="J1275" s="16">
        <f>IFERROR(INDEX(Aux_HH!$J$4:$J$31,MATCH($H1275&amp;"|"&amp;$I1275,Aux_HH!$A$4:$A$31,0)),"")</f>
        <v>8</v>
      </c>
      <c r="K1275" s="16" t="s">
        <v>76</v>
      </c>
      <c r="L1275" s="16" t="str">
        <f>IF(COUNTIFS(Pessoas!$C$5:$C$44,$K1275,Pessoas!$G$5:$G$44,"Ativo")=0,"Equipe "&amp;$K1275,INDEX(Pessoas!$A$5:$A$44,_xludf.aggregate(15,6,(ROW(Pessoas!$A$5:$A$44)-4)/((Pessoas!$C$5:$C$44=$K1275)*(Pessoas!$G$5:$G$44="Ativo")),MOD(ROW()-6,MAX(1,COUNTIFS(Pessoas!$C$5:$C$44,$K1275,Pessoas!$G$5:$G$44,"Ativo")))+1)))</f>
        <v>Equipe Oficina Mecânica Central-Taisa</v>
      </c>
    </row>
    <row r="1276" spans="1:12" ht="15" customHeight="1" x14ac:dyDescent="0.4">
      <c r="A1276" s="25">
        <v>46437</v>
      </c>
      <c r="B1276" s="16">
        <v>25</v>
      </c>
      <c r="C1276" s="16">
        <v>2</v>
      </c>
      <c r="D1276" s="16">
        <v>2</v>
      </c>
      <c r="E1276" s="16" t="s">
        <v>980</v>
      </c>
      <c r="F1276" s="16" t="s">
        <v>1268</v>
      </c>
      <c r="G1276" s="16" t="s">
        <v>526</v>
      </c>
      <c r="H1276" s="16" t="s">
        <v>140</v>
      </c>
      <c r="I1276" s="22" t="s">
        <v>864</v>
      </c>
      <c r="J1276" s="16">
        <f>IFERROR(INDEX(Aux_HH!$J$4:$J$31,MATCH($H1276&amp;"|"&amp;$I1276,Aux_HH!$A$4:$A$31,0)),"")</f>
        <v>8</v>
      </c>
      <c r="K1276" s="16" t="s">
        <v>76</v>
      </c>
      <c r="L1276" s="16" t="str">
        <f>IF(COUNTIFS(Pessoas!$C$5:$C$44,$K1276,Pessoas!$G$5:$G$44,"Ativo")=0,"Equipe "&amp;$K1276,INDEX(Pessoas!$A$5:$A$44,_xludf.aggregate(15,6,(ROW(Pessoas!$A$5:$A$44)-4)/((Pessoas!$C$5:$C$44=$K1276)*(Pessoas!$G$5:$G$44="Ativo")),MOD(ROW()-6,MAX(1,COUNTIFS(Pessoas!$C$5:$C$44,$K1276,Pessoas!$G$5:$G$44,"Ativo")))+1)))</f>
        <v>Equipe Oficina Mecânica Central-Taisa</v>
      </c>
    </row>
    <row r="1277" spans="1:12" ht="15" customHeight="1" x14ac:dyDescent="0.4">
      <c r="A1277" s="25">
        <v>46437</v>
      </c>
      <c r="B1277" s="16">
        <v>25</v>
      </c>
      <c r="C1277" s="16">
        <v>2</v>
      </c>
      <c r="D1277" s="16">
        <v>2</v>
      </c>
      <c r="E1277" s="16" t="s">
        <v>980</v>
      </c>
      <c r="F1277" s="16" t="s">
        <v>1269</v>
      </c>
      <c r="G1277" s="16" t="s">
        <v>526</v>
      </c>
      <c r="H1277" s="16" t="s">
        <v>140</v>
      </c>
      <c r="I1277" s="22" t="s">
        <v>864</v>
      </c>
      <c r="J1277" s="16">
        <f>IFERROR(INDEX(Aux_HH!$J$4:$J$31,MATCH($H1277&amp;"|"&amp;$I1277,Aux_HH!$A$4:$A$31,0)),"")</f>
        <v>8</v>
      </c>
      <c r="K1277" s="16" t="s">
        <v>76</v>
      </c>
      <c r="L1277" s="16" t="str">
        <f>IF(COUNTIFS(Pessoas!$C$5:$C$44,$K1277,Pessoas!$G$5:$G$44,"Ativo")=0,"Equipe "&amp;$K1277,INDEX(Pessoas!$A$5:$A$44,_xludf.aggregate(15,6,(ROW(Pessoas!$A$5:$A$44)-4)/((Pessoas!$C$5:$C$44=$K1277)*(Pessoas!$G$5:$G$44="Ativo")),MOD(ROW()-6,MAX(1,COUNTIFS(Pessoas!$C$5:$C$44,$K1277,Pessoas!$G$5:$G$44,"Ativo")))+1)))</f>
        <v>Equipe Oficina Mecânica Central-Taisa</v>
      </c>
    </row>
    <row r="1278" spans="1:12" ht="15" customHeight="1" x14ac:dyDescent="0.4">
      <c r="A1278" s="25">
        <v>46437</v>
      </c>
      <c r="B1278" s="16">
        <v>25</v>
      </c>
      <c r="C1278" s="16">
        <v>2</v>
      </c>
      <c r="D1278" s="16">
        <v>2</v>
      </c>
      <c r="E1278" s="16" t="s">
        <v>980</v>
      </c>
      <c r="F1278" s="16" t="s">
        <v>1270</v>
      </c>
      <c r="G1278" s="16" t="s">
        <v>526</v>
      </c>
      <c r="H1278" s="16" t="s">
        <v>140</v>
      </c>
      <c r="I1278" s="22" t="s">
        <v>864</v>
      </c>
      <c r="J1278" s="16">
        <f>IFERROR(INDEX(Aux_HH!$J$4:$J$31,MATCH($H1278&amp;"|"&amp;$I1278,Aux_HH!$A$4:$A$31,0)),"")</f>
        <v>8</v>
      </c>
      <c r="K1278" s="16" t="s">
        <v>76</v>
      </c>
      <c r="L1278" s="16" t="str">
        <f>IF(COUNTIFS(Pessoas!$C$5:$C$44,$K1278,Pessoas!$G$5:$G$44,"Ativo")=0,"Equipe "&amp;$K1278,INDEX(Pessoas!$A$5:$A$44,_xludf.aggregate(15,6,(ROW(Pessoas!$A$5:$A$44)-4)/((Pessoas!$C$5:$C$44=$K1278)*(Pessoas!$G$5:$G$44="Ativo")),MOD(ROW()-6,MAX(1,COUNTIFS(Pessoas!$C$5:$C$44,$K1278,Pessoas!$G$5:$G$44,"Ativo")))+1)))</f>
        <v>Equipe Oficina Mecânica Central-Taisa</v>
      </c>
    </row>
    <row r="1279" spans="1:12" ht="15" customHeight="1" x14ac:dyDescent="0.4">
      <c r="A1279" s="25">
        <v>46437</v>
      </c>
      <c r="B1279" s="16">
        <v>25</v>
      </c>
      <c r="C1279" s="16">
        <v>2</v>
      </c>
      <c r="D1279" s="16">
        <v>2</v>
      </c>
      <c r="E1279" s="16" t="s">
        <v>980</v>
      </c>
      <c r="F1279" s="16" t="s">
        <v>1271</v>
      </c>
      <c r="G1279" s="16" t="s">
        <v>526</v>
      </c>
      <c r="H1279" s="16" t="s">
        <v>140</v>
      </c>
      <c r="I1279" s="22" t="s">
        <v>864</v>
      </c>
      <c r="J1279" s="16">
        <f>IFERROR(INDEX(Aux_HH!$J$4:$J$31,MATCH($H1279&amp;"|"&amp;$I1279,Aux_HH!$A$4:$A$31,0)),"")</f>
        <v>8</v>
      </c>
      <c r="K1279" s="16" t="s">
        <v>76</v>
      </c>
      <c r="L1279" s="16" t="str">
        <f>IF(COUNTIFS(Pessoas!$C$5:$C$44,$K1279,Pessoas!$G$5:$G$44,"Ativo")=0,"Equipe "&amp;$K1279,INDEX(Pessoas!$A$5:$A$44,_xludf.aggregate(15,6,(ROW(Pessoas!$A$5:$A$44)-4)/((Pessoas!$C$5:$C$44=$K1279)*(Pessoas!$G$5:$G$44="Ativo")),MOD(ROW()-6,MAX(1,COUNTIFS(Pessoas!$C$5:$C$44,$K1279,Pessoas!$G$5:$G$44,"Ativo")))+1)))</f>
        <v>Equipe Oficina Mecânica Central-Taisa</v>
      </c>
    </row>
    <row r="1280" spans="1:12" ht="15" customHeight="1" x14ac:dyDescent="0.4">
      <c r="A1280" s="25">
        <v>46437</v>
      </c>
      <c r="B1280" s="16">
        <v>25</v>
      </c>
      <c r="C1280" s="16">
        <v>2</v>
      </c>
      <c r="D1280" s="16">
        <v>2</v>
      </c>
      <c r="E1280" s="16" t="s">
        <v>980</v>
      </c>
      <c r="F1280" s="16" t="s">
        <v>1296</v>
      </c>
      <c r="G1280" s="16" t="s">
        <v>526</v>
      </c>
      <c r="H1280" s="16" t="s">
        <v>140</v>
      </c>
      <c r="I1280" s="22" t="s">
        <v>864</v>
      </c>
      <c r="J1280" s="16">
        <f>IFERROR(INDEX(Aux_HH!$J$4:$J$31,MATCH($H1280&amp;"|"&amp;$I1280,Aux_HH!$A$4:$A$31,0)),"")</f>
        <v>8</v>
      </c>
      <c r="K1280" s="16" t="s">
        <v>76</v>
      </c>
      <c r="L1280" s="16" t="str">
        <f>IF(COUNTIFS(Pessoas!$C$5:$C$44,$K1280,Pessoas!$G$5:$G$44,"Ativo")=0,"Equipe "&amp;$K1280,INDEX(Pessoas!$A$5:$A$44,_xludf.aggregate(15,6,(ROW(Pessoas!$A$5:$A$44)-4)/((Pessoas!$C$5:$C$44=$K1280)*(Pessoas!$G$5:$G$44="Ativo")),MOD(ROW()-6,MAX(1,COUNTIFS(Pessoas!$C$5:$C$44,$K1280,Pessoas!$G$5:$G$44,"Ativo")))+1)))</f>
        <v>Equipe Oficina Mecânica Central-Taisa</v>
      </c>
    </row>
    <row r="1281" spans="1:12" ht="15" customHeight="1" x14ac:dyDescent="0.4">
      <c r="A1281" s="25">
        <v>46437</v>
      </c>
      <c r="B1281" s="16">
        <v>25</v>
      </c>
      <c r="C1281" s="16">
        <v>2</v>
      </c>
      <c r="D1281" s="16">
        <v>2</v>
      </c>
      <c r="E1281" s="16" t="s">
        <v>980</v>
      </c>
      <c r="F1281" s="16" t="s">
        <v>1297</v>
      </c>
      <c r="G1281" s="16" t="s">
        <v>526</v>
      </c>
      <c r="H1281" s="16" t="s">
        <v>140</v>
      </c>
      <c r="I1281" s="22" t="s">
        <v>864</v>
      </c>
      <c r="J1281" s="16">
        <f>IFERROR(INDEX(Aux_HH!$J$4:$J$31,MATCH($H1281&amp;"|"&amp;$I1281,Aux_HH!$A$4:$A$31,0)),"")</f>
        <v>8</v>
      </c>
      <c r="K1281" s="16" t="s">
        <v>76</v>
      </c>
      <c r="L1281" s="16" t="str">
        <f>IF(COUNTIFS(Pessoas!$C$5:$C$44,$K1281,Pessoas!$G$5:$G$44,"Ativo")=0,"Equipe "&amp;$K1281,INDEX(Pessoas!$A$5:$A$44,_xludf.aggregate(15,6,(ROW(Pessoas!$A$5:$A$44)-4)/((Pessoas!$C$5:$C$44=$K1281)*(Pessoas!$G$5:$G$44="Ativo")),MOD(ROW()-6,MAX(1,COUNTIFS(Pessoas!$C$5:$C$44,$K1281,Pessoas!$G$5:$G$44,"Ativo")))+1)))</f>
        <v>Equipe Oficina Mecânica Central-Taisa</v>
      </c>
    </row>
    <row r="1282" spans="1:12" ht="15" customHeight="1" x14ac:dyDescent="0.4">
      <c r="A1282" s="25">
        <v>46437</v>
      </c>
      <c r="B1282" s="16">
        <v>25</v>
      </c>
      <c r="C1282" s="16">
        <v>2</v>
      </c>
      <c r="D1282" s="16">
        <v>2</v>
      </c>
      <c r="E1282" s="16" t="s">
        <v>980</v>
      </c>
      <c r="F1282" s="16" t="s">
        <v>996</v>
      </c>
      <c r="G1282" s="16" t="s">
        <v>688</v>
      </c>
      <c r="H1282" s="16" t="s">
        <v>145</v>
      </c>
      <c r="I1282" s="22" t="s">
        <v>856</v>
      </c>
      <c r="J1282" s="16">
        <f>IFERROR(INDEX(Aux_HH!$J$4:$J$31,MATCH($H1282&amp;"|"&amp;$I1282,Aux_HH!$A$4:$A$31,0)),"")</f>
        <v>2</v>
      </c>
      <c r="K1282" s="16" t="s">
        <v>76</v>
      </c>
      <c r="L1282" s="16" t="str">
        <f>IF(COUNTIFS(Pessoas!$C$5:$C$44,$K1282,Pessoas!$G$5:$G$44,"Ativo")=0,"Equipe "&amp;$K1282,INDEX(Pessoas!$A$5:$A$44,_xludf.aggregate(15,6,(ROW(Pessoas!$A$5:$A$44)-4)/((Pessoas!$C$5:$C$44=$K1282)*(Pessoas!$G$5:$G$44="Ativo")),MOD(ROW()-6,MAX(1,COUNTIFS(Pessoas!$C$5:$C$44,$K1282,Pessoas!$G$5:$G$44,"Ativo")))+1)))</f>
        <v>Equipe Oficina Mecânica Central-Taisa</v>
      </c>
    </row>
    <row r="1283" spans="1:12" ht="15" customHeight="1" x14ac:dyDescent="0.4">
      <c r="A1283" s="25">
        <v>46437</v>
      </c>
      <c r="B1283" s="16">
        <v>25</v>
      </c>
      <c r="C1283" s="16">
        <v>2</v>
      </c>
      <c r="D1283" s="16">
        <v>2</v>
      </c>
      <c r="E1283" s="16" t="s">
        <v>980</v>
      </c>
      <c r="F1283" s="16" t="s">
        <v>997</v>
      </c>
      <c r="G1283" s="16" t="s">
        <v>688</v>
      </c>
      <c r="H1283" s="16" t="s">
        <v>145</v>
      </c>
      <c r="I1283" s="22" t="s">
        <v>856</v>
      </c>
      <c r="J1283" s="16">
        <f>IFERROR(INDEX(Aux_HH!$J$4:$J$31,MATCH($H1283&amp;"|"&amp;$I1283,Aux_HH!$A$4:$A$31,0)),"")</f>
        <v>2</v>
      </c>
      <c r="K1283" s="16" t="s">
        <v>76</v>
      </c>
      <c r="L1283" s="16" t="str">
        <f>IF(COUNTIFS(Pessoas!$C$5:$C$44,$K1283,Pessoas!$G$5:$G$44,"Ativo")=0,"Equipe "&amp;$K1283,INDEX(Pessoas!$A$5:$A$44,_xludf.aggregate(15,6,(ROW(Pessoas!$A$5:$A$44)-4)/((Pessoas!$C$5:$C$44=$K1283)*(Pessoas!$G$5:$G$44="Ativo")),MOD(ROW()-6,MAX(1,COUNTIFS(Pessoas!$C$5:$C$44,$K1283,Pessoas!$G$5:$G$44,"Ativo")))+1)))</f>
        <v>Equipe Oficina Mecânica Central-Taisa</v>
      </c>
    </row>
    <row r="1284" spans="1:12" ht="15" customHeight="1" x14ac:dyDescent="0.4">
      <c r="A1284" s="25">
        <v>46437</v>
      </c>
      <c r="B1284" s="16">
        <v>25</v>
      </c>
      <c r="C1284" s="16">
        <v>2</v>
      </c>
      <c r="D1284" s="16">
        <v>2</v>
      </c>
      <c r="E1284" s="16" t="s">
        <v>980</v>
      </c>
      <c r="F1284" s="16" t="s">
        <v>1298</v>
      </c>
      <c r="G1284" s="16" t="s">
        <v>184</v>
      </c>
      <c r="H1284" s="16" t="s">
        <v>140</v>
      </c>
      <c r="I1284" s="22" t="s">
        <v>864</v>
      </c>
      <c r="J1284" s="16">
        <f>IFERROR(INDEX(Aux_HH!$J$4:$J$31,MATCH($H1284&amp;"|"&amp;$I1284,Aux_HH!$A$4:$A$31,0)),"")</f>
        <v>8</v>
      </c>
      <c r="K1284" s="16" t="s">
        <v>76</v>
      </c>
      <c r="L1284" s="16" t="str">
        <f>IF(COUNTIFS(Pessoas!$C$5:$C$44,$K1284,Pessoas!$G$5:$G$44,"Ativo")=0,"Equipe "&amp;$K1284,INDEX(Pessoas!$A$5:$A$44,_xludf.aggregate(15,6,(ROW(Pessoas!$A$5:$A$44)-4)/((Pessoas!$C$5:$C$44=$K1284)*(Pessoas!$G$5:$G$44="Ativo")),MOD(ROW()-6,MAX(1,COUNTIFS(Pessoas!$C$5:$C$44,$K1284,Pessoas!$G$5:$G$44,"Ativo")))+1)))</f>
        <v>Equipe Oficina Mecânica Central-Taisa</v>
      </c>
    </row>
    <row r="1285" spans="1:12" ht="15" customHeight="1" x14ac:dyDescent="0.4">
      <c r="A1285" s="25">
        <v>46437</v>
      </c>
      <c r="B1285" s="16">
        <v>25</v>
      </c>
      <c r="C1285" s="16">
        <v>2</v>
      </c>
      <c r="D1285" s="16">
        <v>2</v>
      </c>
      <c r="E1285" s="16" t="s">
        <v>980</v>
      </c>
      <c r="F1285" s="16" t="s">
        <v>1299</v>
      </c>
      <c r="G1285" s="16" t="s">
        <v>184</v>
      </c>
      <c r="H1285" s="16" t="s">
        <v>140</v>
      </c>
      <c r="I1285" s="22" t="s">
        <v>864</v>
      </c>
      <c r="J1285" s="16">
        <f>IFERROR(INDEX(Aux_HH!$J$4:$J$31,MATCH($H1285&amp;"|"&amp;$I1285,Aux_HH!$A$4:$A$31,0)),"")</f>
        <v>8</v>
      </c>
      <c r="K1285" s="16" t="s">
        <v>76</v>
      </c>
      <c r="L1285" s="16" t="str">
        <f>IF(COUNTIFS(Pessoas!$C$5:$C$44,$K1285,Pessoas!$G$5:$G$44,"Ativo")=0,"Equipe "&amp;$K1285,INDEX(Pessoas!$A$5:$A$44,_xludf.aggregate(15,6,(ROW(Pessoas!$A$5:$A$44)-4)/((Pessoas!$C$5:$C$44=$K1285)*(Pessoas!$G$5:$G$44="Ativo")),MOD(ROW()-6,MAX(1,COUNTIFS(Pessoas!$C$5:$C$44,$K1285,Pessoas!$G$5:$G$44,"Ativo")))+1)))</f>
        <v>Equipe Oficina Mecânica Central-Taisa</v>
      </c>
    </row>
    <row r="1286" spans="1:12" ht="15" customHeight="1" x14ac:dyDescent="0.4">
      <c r="A1286" s="25">
        <v>46437</v>
      </c>
      <c r="B1286" s="16">
        <v>25</v>
      </c>
      <c r="C1286" s="16">
        <v>2</v>
      </c>
      <c r="D1286" s="16">
        <v>2</v>
      </c>
      <c r="E1286" s="16" t="s">
        <v>980</v>
      </c>
      <c r="F1286" s="16" t="s">
        <v>1300</v>
      </c>
      <c r="G1286" s="16" t="s">
        <v>526</v>
      </c>
      <c r="H1286" s="16" t="s">
        <v>140</v>
      </c>
      <c r="I1286" s="22" t="s">
        <v>864</v>
      </c>
      <c r="J1286" s="16">
        <f>IFERROR(INDEX(Aux_HH!$J$4:$J$31,MATCH($H1286&amp;"|"&amp;$I1286,Aux_HH!$A$4:$A$31,0)),"")</f>
        <v>8</v>
      </c>
      <c r="K1286" s="16" t="s">
        <v>76</v>
      </c>
      <c r="L1286" s="16" t="str">
        <f>IF(COUNTIFS(Pessoas!$C$5:$C$44,$K1286,Pessoas!$G$5:$G$44,"Ativo")=0,"Equipe "&amp;$K1286,INDEX(Pessoas!$A$5:$A$44,_xludf.aggregate(15,6,(ROW(Pessoas!$A$5:$A$44)-4)/((Pessoas!$C$5:$C$44=$K1286)*(Pessoas!$G$5:$G$44="Ativo")),MOD(ROW()-6,MAX(1,COUNTIFS(Pessoas!$C$5:$C$44,$K1286,Pessoas!$G$5:$G$44,"Ativo")))+1)))</f>
        <v>Equipe Oficina Mecânica Central-Taisa</v>
      </c>
    </row>
    <row r="1287" spans="1:12" ht="15" customHeight="1" x14ac:dyDescent="0.4">
      <c r="A1287" s="25">
        <v>46437</v>
      </c>
      <c r="B1287" s="16">
        <v>25</v>
      </c>
      <c r="C1287" s="16">
        <v>2</v>
      </c>
      <c r="D1287" s="16">
        <v>2</v>
      </c>
      <c r="E1287" s="16" t="s">
        <v>980</v>
      </c>
      <c r="F1287" s="16" t="s">
        <v>1301</v>
      </c>
      <c r="G1287" s="16" t="s">
        <v>526</v>
      </c>
      <c r="H1287" s="16" t="s">
        <v>140</v>
      </c>
      <c r="I1287" s="22" t="s">
        <v>864</v>
      </c>
      <c r="J1287" s="16">
        <f>IFERROR(INDEX(Aux_HH!$J$4:$J$31,MATCH($H1287&amp;"|"&amp;$I1287,Aux_HH!$A$4:$A$31,0)),"")</f>
        <v>8</v>
      </c>
      <c r="K1287" s="16" t="s">
        <v>76</v>
      </c>
      <c r="L1287" s="16" t="str">
        <f>IF(COUNTIFS(Pessoas!$C$5:$C$44,$K1287,Pessoas!$G$5:$G$44,"Ativo")=0,"Equipe "&amp;$K1287,INDEX(Pessoas!$A$5:$A$44,_xludf.aggregate(15,6,(ROW(Pessoas!$A$5:$A$44)-4)/((Pessoas!$C$5:$C$44=$K1287)*(Pessoas!$G$5:$G$44="Ativo")),MOD(ROW()-6,MAX(1,COUNTIFS(Pessoas!$C$5:$C$44,$K1287,Pessoas!$G$5:$G$44,"Ativo")))+1)))</f>
        <v>Equipe Oficina Mecânica Central-Taisa</v>
      </c>
    </row>
    <row r="1288" spans="1:12" ht="15" customHeight="1" x14ac:dyDescent="0.4">
      <c r="A1288" s="25">
        <v>46437</v>
      </c>
      <c r="B1288" s="16">
        <v>25</v>
      </c>
      <c r="C1288" s="16">
        <v>2</v>
      </c>
      <c r="D1288" s="16">
        <v>2</v>
      </c>
      <c r="E1288" s="16" t="s">
        <v>980</v>
      </c>
      <c r="F1288" s="16" t="s">
        <v>1302</v>
      </c>
      <c r="G1288" s="16" t="s">
        <v>526</v>
      </c>
      <c r="H1288" s="16" t="s">
        <v>140</v>
      </c>
      <c r="I1288" s="22" t="s">
        <v>864</v>
      </c>
      <c r="J1288" s="16">
        <f>IFERROR(INDEX(Aux_HH!$J$4:$J$31,MATCH($H1288&amp;"|"&amp;$I1288,Aux_HH!$A$4:$A$31,0)),"")</f>
        <v>8</v>
      </c>
      <c r="K1288" s="16" t="s">
        <v>76</v>
      </c>
      <c r="L1288" s="16" t="str">
        <f>IF(COUNTIFS(Pessoas!$C$5:$C$44,$K1288,Pessoas!$G$5:$G$44,"Ativo")=0,"Equipe "&amp;$K1288,INDEX(Pessoas!$A$5:$A$44,_xludf.aggregate(15,6,(ROW(Pessoas!$A$5:$A$44)-4)/((Pessoas!$C$5:$C$44=$K1288)*(Pessoas!$G$5:$G$44="Ativo")),MOD(ROW()-6,MAX(1,COUNTIFS(Pessoas!$C$5:$C$44,$K1288,Pessoas!$G$5:$G$44,"Ativo")))+1)))</f>
        <v>Equipe Oficina Mecânica Central-Taisa</v>
      </c>
    </row>
    <row r="1289" spans="1:12" ht="15" customHeight="1" x14ac:dyDescent="0.4">
      <c r="A1289" s="25">
        <v>46440</v>
      </c>
      <c r="B1289" s="16">
        <v>25</v>
      </c>
      <c r="C1289" s="16">
        <v>2</v>
      </c>
      <c r="D1289" s="16">
        <v>2</v>
      </c>
      <c r="E1289" s="16" t="s">
        <v>980</v>
      </c>
      <c r="F1289" s="16" t="s">
        <v>988</v>
      </c>
      <c r="G1289" s="16" t="s">
        <v>184</v>
      </c>
      <c r="H1289" s="16" t="s">
        <v>138</v>
      </c>
      <c r="I1289" s="22" t="s">
        <v>861</v>
      </c>
      <c r="J1289" s="16">
        <f>IFERROR(INDEX(Aux_HH!$J$4:$J$31,MATCH($H1289&amp;"|"&amp;$I1289,Aux_HH!$A$4:$A$31,0)),"")</f>
        <v>6</v>
      </c>
      <c r="K1289" s="16" t="s">
        <v>76</v>
      </c>
      <c r="L1289" s="16" t="str">
        <f>IF(COUNTIFS(Pessoas!$C$5:$C$44,$K1289,Pessoas!$G$5:$G$44,"Ativo")=0,"Equipe "&amp;$K1289,INDEX(Pessoas!$A$5:$A$44,_xludf.aggregate(15,6,(ROW(Pessoas!$A$5:$A$44)-4)/((Pessoas!$C$5:$C$44=$K1289)*(Pessoas!$G$5:$G$44="Ativo")),MOD(ROW()-6,MAX(1,COUNTIFS(Pessoas!$C$5:$C$44,$K1289,Pessoas!$G$5:$G$44,"Ativo")))+1)))</f>
        <v>Equipe Oficina Mecânica Central-Taisa</v>
      </c>
    </row>
    <row r="1290" spans="1:12" ht="15" customHeight="1" x14ac:dyDescent="0.4">
      <c r="A1290" s="25">
        <v>46440</v>
      </c>
      <c r="B1290" s="16">
        <v>25</v>
      </c>
      <c r="C1290" s="16">
        <v>2</v>
      </c>
      <c r="D1290" s="16">
        <v>2</v>
      </c>
      <c r="E1290" s="16" t="s">
        <v>980</v>
      </c>
      <c r="F1290" s="16" t="s">
        <v>990</v>
      </c>
      <c r="G1290" s="16" t="s">
        <v>526</v>
      </c>
      <c r="H1290" s="16" t="s">
        <v>138</v>
      </c>
      <c r="I1290" s="22" t="s">
        <v>861</v>
      </c>
      <c r="J1290" s="16">
        <f>IFERROR(INDEX(Aux_HH!$J$4:$J$31,MATCH($H1290&amp;"|"&amp;$I1290,Aux_HH!$A$4:$A$31,0)),"")</f>
        <v>6</v>
      </c>
      <c r="K1290" s="16" t="s">
        <v>76</v>
      </c>
      <c r="L1290" s="16" t="str">
        <f>IF(COUNTIFS(Pessoas!$C$5:$C$44,$K1290,Pessoas!$G$5:$G$44,"Ativo")=0,"Equipe "&amp;$K1290,INDEX(Pessoas!$A$5:$A$44,_xludf.aggregate(15,6,(ROW(Pessoas!$A$5:$A$44)-4)/((Pessoas!$C$5:$C$44=$K1290)*(Pessoas!$G$5:$G$44="Ativo")),MOD(ROW()-6,MAX(1,COUNTIFS(Pessoas!$C$5:$C$44,$K1290,Pessoas!$G$5:$G$44,"Ativo")))+1)))</f>
        <v>Equipe Oficina Mecânica Central-Taisa</v>
      </c>
    </row>
    <row r="1291" spans="1:12" ht="15" customHeight="1" x14ac:dyDescent="0.4">
      <c r="A1291" s="25">
        <v>46440</v>
      </c>
      <c r="B1291" s="16">
        <v>25</v>
      </c>
      <c r="C1291" s="16">
        <v>2</v>
      </c>
      <c r="D1291" s="16">
        <v>2</v>
      </c>
      <c r="E1291" s="16" t="s">
        <v>980</v>
      </c>
      <c r="F1291" s="16" t="s">
        <v>1081</v>
      </c>
      <c r="G1291" s="16" t="s">
        <v>526</v>
      </c>
      <c r="H1291" s="16" t="s">
        <v>140</v>
      </c>
      <c r="I1291" s="22" t="s">
        <v>864</v>
      </c>
      <c r="J1291" s="16">
        <f>IFERROR(INDEX(Aux_HH!$J$4:$J$31,MATCH($H1291&amp;"|"&amp;$I1291,Aux_HH!$A$4:$A$31,0)),"")</f>
        <v>8</v>
      </c>
      <c r="K1291" s="16" t="s">
        <v>76</v>
      </c>
      <c r="L1291" s="16" t="str">
        <f>IF(COUNTIFS(Pessoas!$C$5:$C$44,$K1291,Pessoas!$G$5:$G$44,"Ativo")=0,"Equipe "&amp;$K1291,INDEX(Pessoas!$A$5:$A$44,_xludf.aggregate(15,6,(ROW(Pessoas!$A$5:$A$44)-4)/((Pessoas!$C$5:$C$44=$K1291)*(Pessoas!$G$5:$G$44="Ativo")),MOD(ROW()-6,MAX(1,COUNTIFS(Pessoas!$C$5:$C$44,$K1291,Pessoas!$G$5:$G$44,"Ativo")))+1)))</f>
        <v>Equipe Oficina Mecânica Central-Taisa</v>
      </c>
    </row>
    <row r="1292" spans="1:12" ht="15" customHeight="1" x14ac:dyDescent="0.4">
      <c r="A1292" s="25">
        <v>46440</v>
      </c>
      <c r="B1292" s="16">
        <v>25</v>
      </c>
      <c r="C1292" s="16">
        <v>2</v>
      </c>
      <c r="D1292" s="16">
        <v>2</v>
      </c>
      <c r="E1292" s="16" t="s">
        <v>980</v>
      </c>
      <c r="F1292" s="16" t="s">
        <v>1082</v>
      </c>
      <c r="G1292" s="16" t="s">
        <v>184</v>
      </c>
      <c r="H1292" s="16" t="s">
        <v>140</v>
      </c>
      <c r="I1292" s="22" t="s">
        <v>864</v>
      </c>
      <c r="J1292" s="16">
        <f>IFERROR(INDEX(Aux_HH!$J$4:$J$31,MATCH($H1292&amp;"|"&amp;$I1292,Aux_HH!$A$4:$A$31,0)),"")</f>
        <v>8</v>
      </c>
      <c r="K1292" s="16" t="s">
        <v>76</v>
      </c>
      <c r="L1292" s="16" t="str">
        <f>IF(COUNTIFS(Pessoas!$C$5:$C$44,$K1292,Pessoas!$G$5:$G$44,"Ativo")=0,"Equipe "&amp;$K1292,INDEX(Pessoas!$A$5:$A$44,_xludf.aggregate(15,6,(ROW(Pessoas!$A$5:$A$44)-4)/((Pessoas!$C$5:$C$44=$K1292)*(Pessoas!$G$5:$G$44="Ativo")),MOD(ROW()-6,MAX(1,COUNTIFS(Pessoas!$C$5:$C$44,$K1292,Pessoas!$G$5:$G$44,"Ativo")))+1)))</f>
        <v>Equipe Oficina Mecânica Central-Taisa</v>
      </c>
    </row>
    <row r="1293" spans="1:12" ht="15" customHeight="1" x14ac:dyDescent="0.4">
      <c r="A1293" s="25">
        <v>46440</v>
      </c>
      <c r="B1293" s="16">
        <v>25</v>
      </c>
      <c r="C1293" s="16">
        <v>2</v>
      </c>
      <c r="D1293" s="16">
        <v>2</v>
      </c>
      <c r="E1293" s="16" t="s">
        <v>980</v>
      </c>
      <c r="F1293" s="16" t="s">
        <v>1083</v>
      </c>
      <c r="G1293" s="16" t="s">
        <v>184</v>
      </c>
      <c r="H1293" s="16" t="s">
        <v>140</v>
      </c>
      <c r="I1293" s="22" t="s">
        <v>864</v>
      </c>
      <c r="J1293" s="16">
        <f>IFERROR(INDEX(Aux_HH!$J$4:$J$31,MATCH($H1293&amp;"|"&amp;$I1293,Aux_HH!$A$4:$A$31,0)),"")</f>
        <v>8</v>
      </c>
      <c r="K1293" s="16" t="s">
        <v>76</v>
      </c>
      <c r="L1293" s="16" t="str">
        <f>IF(COUNTIFS(Pessoas!$C$5:$C$44,$K1293,Pessoas!$G$5:$G$44,"Ativo")=0,"Equipe "&amp;$K1293,INDEX(Pessoas!$A$5:$A$44,_xludf.aggregate(15,6,(ROW(Pessoas!$A$5:$A$44)-4)/((Pessoas!$C$5:$C$44=$K1293)*(Pessoas!$G$5:$G$44="Ativo")),MOD(ROW()-6,MAX(1,COUNTIFS(Pessoas!$C$5:$C$44,$K1293,Pessoas!$G$5:$G$44,"Ativo")))+1)))</f>
        <v>Equipe Oficina Mecânica Central-Taisa</v>
      </c>
    </row>
    <row r="1294" spans="1:12" ht="15" customHeight="1" x14ac:dyDescent="0.4">
      <c r="A1294" s="25">
        <v>46440</v>
      </c>
      <c r="B1294" s="16">
        <v>25</v>
      </c>
      <c r="C1294" s="16">
        <v>2</v>
      </c>
      <c r="D1294" s="16">
        <v>2</v>
      </c>
      <c r="E1294" s="16" t="s">
        <v>980</v>
      </c>
      <c r="F1294" s="16" t="s">
        <v>1084</v>
      </c>
      <c r="G1294" s="16" t="s">
        <v>184</v>
      </c>
      <c r="H1294" s="16" t="s">
        <v>140</v>
      </c>
      <c r="I1294" s="22" t="s">
        <v>864</v>
      </c>
      <c r="J1294" s="16">
        <f>IFERROR(INDEX(Aux_HH!$J$4:$J$31,MATCH($H1294&amp;"|"&amp;$I1294,Aux_HH!$A$4:$A$31,0)),"")</f>
        <v>8</v>
      </c>
      <c r="K1294" s="16" t="s">
        <v>76</v>
      </c>
      <c r="L1294" s="16" t="str">
        <f>IF(COUNTIFS(Pessoas!$C$5:$C$44,$K1294,Pessoas!$G$5:$G$44,"Ativo")=0,"Equipe "&amp;$K1294,INDEX(Pessoas!$A$5:$A$44,_xludf.aggregate(15,6,(ROW(Pessoas!$A$5:$A$44)-4)/((Pessoas!$C$5:$C$44=$K1294)*(Pessoas!$G$5:$G$44="Ativo")),MOD(ROW()-6,MAX(1,COUNTIFS(Pessoas!$C$5:$C$44,$K1294,Pessoas!$G$5:$G$44,"Ativo")))+1)))</f>
        <v>Equipe Oficina Mecânica Central-Taisa</v>
      </c>
    </row>
    <row r="1295" spans="1:12" ht="15" customHeight="1" x14ac:dyDescent="0.4">
      <c r="A1295" s="25">
        <v>46440</v>
      </c>
      <c r="B1295" s="16">
        <v>25</v>
      </c>
      <c r="C1295" s="16">
        <v>2</v>
      </c>
      <c r="D1295" s="16">
        <v>2</v>
      </c>
      <c r="E1295" s="16" t="s">
        <v>980</v>
      </c>
      <c r="F1295" s="16" t="s">
        <v>1085</v>
      </c>
      <c r="G1295" s="16" t="s">
        <v>184</v>
      </c>
      <c r="H1295" s="16" t="s">
        <v>140</v>
      </c>
      <c r="I1295" s="22" t="s">
        <v>864</v>
      </c>
      <c r="J1295" s="16">
        <f>IFERROR(INDEX(Aux_HH!$J$4:$J$31,MATCH($H1295&amp;"|"&amp;$I1295,Aux_HH!$A$4:$A$31,0)),"")</f>
        <v>8</v>
      </c>
      <c r="K1295" s="16" t="s">
        <v>76</v>
      </c>
      <c r="L1295" s="16" t="str">
        <f>IF(COUNTIFS(Pessoas!$C$5:$C$44,$K1295,Pessoas!$G$5:$G$44,"Ativo")=0,"Equipe "&amp;$K1295,INDEX(Pessoas!$A$5:$A$44,_xludf.aggregate(15,6,(ROW(Pessoas!$A$5:$A$44)-4)/((Pessoas!$C$5:$C$44=$K1295)*(Pessoas!$G$5:$G$44="Ativo")),MOD(ROW()-6,MAX(1,COUNTIFS(Pessoas!$C$5:$C$44,$K1295,Pessoas!$G$5:$G$44,"Ativo")))+1)))</f>
        <v>Equipe Oficina Mecânica Central-Taisa</v>
      </c>
    </row>
    <row r="1296" spans="1:12" ht="15" customHeight="1" x14ac:dyDescent="0.4">
      <c r="A1296" s="25">
        <v>46440</v>
      </c>
      <c r="B1296" s="16">
        <v>25</v>
      </c>
      <c r="C1296" s="16">
        <v>2</v>
      </c>
      <c r="D1296" s="16">
        <v>2</v>
      </c>
      <c r="E1296" s="16" t="s">
        <v>980</v>
      </c>
      <c r="F1296" s="16" t="s">
        <v>1086</v>
      </c>
      <c r="G1296" s="16" t="s">
        <v>184</v>
      </c>
      <c r="H1296" s="16" t="s">
        <v>140</v>
      </c>
      <c r="I1296" s="22" t="s">
        <v>864</v>
      </c>
      <c r="J1296" s="16">
        <f>IFERROR(INDEX(Aux_HH!$J$4:$J$31,MATCH($H1296&amp;"|"&amp;$I1296,Aux_HH!$A$4:$A$31,0)),"")</f>
        <v>8</v>
      </c>
      <c r="K1296" s="16" t="s">
        <v>76</v>
      </c>
      <c r="L1296" s="16" t="str">
        <f>IF(COUNTIFS(Pessoas!$C$5:$C$44,$K1296,Pessoas!$G$5:$G$44,"Ativo")=0,"Equipe "&amp;$K1296,INDEX(Pessoas!$A$5:$A$44,_xludf.aggregate(15,6,(ROW(Pessoas!$A$5:$A$44)-4)/((Pessoas!$C$5:$C$44=$K1296)*(Pessoas!$G$5:$G$44="Ativo")),MOD(ROW()-6,MAX(1,COUNTIFS(Pessoas!$C$5:$C$44,$K1296,Pessoas!$G$5:$G$44,"Ativo")))+1)))</f>
        <v>Equipe Oficina Mecânica Central-Taisa</v>
      </c>
    </row>
    <row r="1297" spans="1:12" ht="15" customHeight="1" x14ac:dyDescent="0.4">
      <c r="A1297" s="25">
        <v>46440</v>
      </c>
      <c r="B1297" s="16">
        <v>25</v>
      </c>
      <c r="C1297" s="16">
        <v>2</v>
      </c>
      <c r="D1297" s="16">
        <v>2</v>
      </c>
      <c r="E1297" s="16" t="s">
        <v>980</v>
      </c>
      <c r="F1297" s="16" t="s">
        <v>1087</v>
      </c>
      <c r="G1297" s="16" t="s">
        <v>526</v>
      </c>
      <c r="H1297" s="16" t="s">
        <v>140</v>
      </c>
      <c r="I1297" s="22" t="s">
        <v>864</v>
      </c>
      <c r="J1297" s="16">
        <f>IFERROR(INDEX(Aux_HH!$J$4:$J$31,MATCH($H1297&amp;"|"&amp;$I1297,Aux_HH!$A$4:$A$31,0)),"")</f>
        <v>8</v>
      </c>
      <c r="K1297" s="16" t="s">
        <v>76</v>
      </c>
      <c r="L1297" s="16" t="str">
        <f>IF(COUNTIFS(Pessoas!$C$5:$C$44,$K1297,Pessoas!$G$5:$G$44,"Ativo")=0,"Equipe "&amp;$K1297,INDEX(Pessoas!$A$5:$A$44,_xludf.aggregate(15,6,(ROW(Pessoas!$A$5:$A$44)-4)/((Pessoas!$C$5:$C$44=$K1297)*(Pessoas!$G$5:$G$44="Ativo")),MOD(ROW()-6,MAX(1,COUNTIFS(Pessoas!$C$5:$C$44,$K1297,Pessoas!$G$5:$G$44,"Ativo")))+1)))</f>
        <v>Equipe Oficina Mecânica Central-Taisa</v>
      </c>
    </row>
    <row r="1298" spans="1:12" ht="15" customHeight="1" x14ac:dyDescent="0.4">
      <c r="A1298" s="25">
        <v>46440</v>
      </c>
      <c r="B1298" s="16">
        <v>25</v>
      </c>
      <c r="C1298" s="16">
        <v>2</v>
      </c>
      <c r="D1298" s="16">
        <v>2</v>
      </c>
      <c r="E1298" s="16" t="s">
        <v>980</v>
      </c>
      <c r="F1298" s="16" t="s">
        <v>1088</v>
      </c>
      <c r="G1298" s="16" t="s">
        <v>526</v>
      </c>
      <c r="H1298" s="16" t="s">
        <v>140</v>
      </c>
      <c r="I1298" s="22" t="s">
        <v>864</v>
      </c>
      <c r="J1298" s="16">
        <f>IFERROR(INDEX(Aux_HH!$J$4:$J$31,MATCH($H1298&amp;"|"&amp;$I1298,Aux_HH!$A$4:$A$31,0)),"")</f>
        <v>8</v>
      </c>
      <c r="K1298" s="16" t="s">
        <v>76</v>
      </c>
      <c r="L1298" s="16" t="str">
        <f>IF(COUNTIFS(Pessoas!$C$5:$C$44,$K1298,Pessoas!$G$5:$G$44,"Ativo")=0,"Equipe "&amp;$K1298,INDEX(Pessoas!$A$5:$A$44,_xludf.aggregate(15,6,(ROW(Pessoas!$A$5:$A$44)-4)/((Pessoas!$C$5:$C$44=$K1298)*(Pessoas!$G$5:$G$44="Ativo")),MOD(ROW()-6,MAX(1,COUNTIFS(Pessoas!$C$5:$C$44,$K1298,Pessoas!$G$5:$G$44,"Ativo")))+1)))</f>
        <v>Equipe Oficina Mecânica Central-Taisa</v>
      </c>
    </row>
    <row r="1299" spans="1:12" ht="15" customHeight="1" x14ac:dyDescent="0.4">
      <c r="A1299" s="25">
        <v>46440</v>
      </c>
      <c r="B1299" s="16">
        <v>25</v>
      </c>
      <c r="C1299" s="16">
        <v>2</v>
      </c>
      <c r="D1299" s="16">
        <v>2</v>
      </c>
      <c r="E1299" s="16" t="s">
        <v>980</v>
      </c>
      <c r="F1299" s="16" t="s">
        <v>1089</v>
      </c>
      <c r="G1299" s="16" t="s">
        <v>184</v>
      </c>
      <c r="H1299" s="16" t="s">
        <v>140</v>
      </c>
      <c r="I1299" s="22" t="s">
        <v>864</v>
      </c>
      <c r="J1299" s="16">
        <f>IFERROR(INDEX(Aux_HH!$J$4:$J$31,MATCH($H1299&amp;"|"&amp;$I1299,Aux_HH!$A$4:$A$31,0)),"")</f>
        <v>8</v>
      </c>
      <c r="K1299" s="16" t="s">
        <v>76</v>
      </c>
      <c r="L1299" s="16" t="str">
        <f>IF(COUNTIFS(Pessoas!$C$5:$C$44,$K1299,Pessoas!$G$5:$G$44,"Ativo")=0,"Equipe "&amp;$K1299,INDEX(Pessoas!$A$5:$A$44,_xludf.aggregate(15,6,(ROW(Pessoas!$A$5:$A$44)-4)/((Pessoas!$C$5:$C$44=$K1299)*(Pessoas!$G$5:$G$44="Ativo")),MOD(ROW()-6,MAX(1,COUNTIFS(Pessoas!$C$5:$C$44,$K1299,Pessoas!$G$5:$G$44,"Ativo")))+1)))</f>
        <v>Equipe Oficina Mecânica Central-Taisa</v>
      </c>
    </row>
    <row r="1300" spans="1:12" ht="15" customHeight="1" x14ac:dyDescent="0.4">
      <c r="A1300" s="25">
        <v>46440</v>
      </c>
      <c r="B1300" s="16">
        <v>25</v>
      </c>
      <c r="C1300" s="16">
        <v>2</v>
      </c>
      <c r="D1300" s="16">
        <v>2</v>
      </c>
      <c r="E1300" s="16" t="s">
        <v>980</v>
      </c>
      <c r="F1300" s="16" t="s">
        <v>1090</v>
      </c>
      <c r="G1300" s="16" t="s">
        <v>526</v>
      </c>
      <c r="H1300" s="16" t="s">
        <v>140</v>
      </c>
      <c r="I1300" s="22" t="s">
        <v>864</v>
      </c>
      <c r="J1300" s="16">
        <f>IFERROR(INDEX(Aux_HH!$J$4:$J$31,MATCH($H1300&amp;"|"&amp;$I1300,Aux_HH!$A$4:$A$31,0)),"")</f>
        <v>8</v>
      </c>
      <c r="K1300" s="16" t="s">
        <v>76</v>
      </c>
      <c r="L1300" s="16" t="str">
        <f>IF(COUNTIFS(Pessoas!$C$5:$C$44,$K1300,Pessoas!$G$5:$G$44,"Ativo")=0,"Equipe "&amp;$K1300,INDEX(Pessoas!$A$5:$A$44,_xludf.aggregate(15,6,(ROW(Pessoas!$A$5:$A$44)-4)/((Pessoas!$C$5:$C$44=$K1300)*(Pessoas!$G$5:$G$44="Ativo")),MOD(ROW()-6,MAX(1,COUNTIFS(Pessoas!$C$5:$C$44,$K1300,Pessoas!$G$5:$G$44,"Ativo")))+1)))</f>
        <v>Equipe Oficina Mecânica Central-Taisa</v>
      </c>
    </row>
    <row r="1301" spans="1:12" ht="15" customHeight="1" x14ac:dyDescent="0.4">
      <c r="A1301" s="25">
        <v>46440</v>
      </c>
      <c r="B1301" s="16">
        <v>25</v>
      </c>
      <c r="C1301" s="16">
        <v>2</v>
      </c>
      <c r="D1301" s="16">
        <v>2</v>
      </c>
      <c r="E1301" s="16" t="s">
        <v>980</v>
      </c>
      <c r="F1301" s="16" t="s">
        <v>1091</v>
      </c>
      <c r="G1301" s="16" t="s">
        <v>526</v>
      </c>
      <c r="H1301" s="16" t="s">
        <v>140</v>
      </c>
      <c r="I1301" s="22" t="s">
        <v>864</v>
      </c>
      <c r="J1301" s="16">
        <f>IFERROR(INDEX(Aux_HH!$J$4:$J$31,MATCH($H1301&amp;"|"&amp;$I1301,Aux_HH!$A$4:$A$31,0)),"")</f>
        <v>8</v>
      </c>
      <c r="K1301" s="16" t="s">
        <v>76</v>
      </c>
      <c r="L1301" s="16" t="str">
        <f>IF(COUNTIFS(Pessoas!$C$5:$C$44,$K1301,Pessoas!$G$5:$G$44,"Ativo")=0,"Equipe "&amp;$K1301,INDEX(Pessoas!$A$5:$A$44,_xludf.aggregate(15,6,(ROW(Pessoas!$A$5:$A$44)-4)/((Pessoas!$C$5:$C$44=$K1301)*(Pessoas!$G$5:$G$44="Ativo")),MOD(ROW()-6,MAX(1,COUNTIFS(Pessoas!$C$5:$C$44,$K1301,Pessoas!$G$5:$G$44,"Ativo")))+1)))</f>
        <v>Equipe Oficina Mecânica Central-Taisa</v>
      </c>
    </row>
    <row r="1302" spans="1:12" ht="15" customHeight="1" x14ac:dyDescent="0.4">
      <c r="A1302" s="25">
        <v>46440</v>
      </c>
      <c r="B1302" s="16">
        <v>25</v>
      </c>
      <c r="C1302" s="16">
        <v>2</v>
      </c>
      <c r="D1302" s="16">
        <v>2</v>
      </c>
      <c r="E1302" s="16" t="s">
        <v>980</v>
      </c>
      <c r="F1302" s="16" t="s">
        <v>1092</v>
      </c>
      <c r="G1302" s="16" t="s">
        <v>526</v>
      </c>
      <c r="H1302" s="16" t="s">
        <v>140</v>
      </c>
      <c r="I1302" s="22" t="s">
        <v>864</v>
      </c>
      <c r="J1302" s="16">
        <f>IFERROR(INDEX(Aux_HH!$J$4:$J$31,MATCH($H1302&amp;"|"&amp;$I1302,Aux_HH!$A$4:$A$31,0)),"")</f>
        <v>8</v>
      </c>
      <c r="K1302" s="16" t="s">
        <v>76</v>
      </c>
      <c r="L1302" s="16" t="str">
        <f>IF(COUNTIFS(Pessoas!$C$5:$C$44,$K1302,Pessoas!$G$5:$G$44,"Ativo")=0,"Equipe "&amp;$K1302,INDEX(Pessoas!$A$5:$A$44,_xludf.aggregate(15,6,(ROW(Pessoas!$A$5:$A$44)-4)/((Pessoas!$C$5:$C$44=$K1302)*(Pessoas!$G$5:$G$44="Ativo")),MOD(ROW()-6,MAX(1,COUNTIFS(Pessoas!$C$5:$C$44,$K1302,Pessoas!$G$5:$G$44,"Ativo")))+1)))</f>
        <v>Equipe Oficina Mecânica Central-Taisa</v>
      </c>
    </row>
    <row r="1303" spans="1:12" ht="15" customHeight="1" x14ac:dyDescent="0.4">
      <c r="A1303" s="25">
        <v>46440</v>
      </c>
      <c r="B1303" s="16">
        <v>25</v>
      </c>
      <c r="C1303" s="16">
        <v>2</v>
      </c>
      <c r="D1303" s="16">
        <v>2</v>
      </c>
      <c r="E1303" s="16" t="s">
        <v>980</v>
      </c>
      <c r="F1303" s="16" t="s">
        <v>1093</v>
      </c>
      <c r="G1303" s="16" t="s">
        <v>526</v>
      </c>
      <c r="H1303" s="16" t="s">
        <v>140</v>
      </c>
      <c r="I1303" s="22" t="s">
        <v>864</v>
      </c>
      <c r="J1303" s="16">
        <f>IFERROR(INDEX(Aux_HH!$J$4:$J$31,MATCH($H1303&amp;"|"&amp;$I1303,Aux_HH!$A$4:$A$31,0)),"")</f>
        <v>8</v>
      </c>
      <c r="K1303" s="16" t="s">
        <v>76</v>
      </c>
      <c r="L1303" s="16" t="str">
        <f>IF(COUNTIFS(Pessoas!$C$5:$C$44,$K1303,Pessoas!$G$5:$G$44,"Ativo")=0,"Equipe "&amp;$K1303,INDEX(Pessoas!$A$5:$A$44,_xludf.aggregate(15,6,(ROW(Pessoas!$A$5:$A$44)-4)/((Pessoas!$C$5:$C$44=$K1303)*(Pessoas!$G$5:$G$44="Ativo")),MOD(ROW()-6,MAX(1,COUNTIFS(Pessoas!$C$5:$C$44,$K1303,Pessoas!$G$5:$G$44,"Ativo")))+1)))</f>
        <v>Equipe Oficina Mecânica Central-Taisa</v>
      </c>
    </row>
    <row r="1304" spans="1:12" ht="15" customHeight="1" x14ac:dyDescent="0.4">
      <c r="A1304" s="25">
        <v>46440</v>
      </c>
      <c r="B1304" s="16">
        <v>25</v>
      </c>
      <c r="C1304" s="16">
        <v>2</v>
      </c>
      <c r="D1304" s="16">
        <v>2</v>
      </c>
      <c r="E1304" s="16" t="s">
        <v>980</v>
      </c>
      <c r="F1304" s="16" t="s">
        <v>1117</v>
      </c>
      <c r="G1304" s="16" t="s">
        <v>526</v>
      </c>
      <c r="H1304" s="16" t="s">
        <v>140</v>
      </c>
      <c r="I1304" s="22" t="s">
        <v>864</v>
      </c>
      <c r="J1304" s="16">
        <f>IFERROR(INDEX(Aux_HH!$J$4:$J$31,MATCH($H1304&amp;"|"&amp;$I1304,Aux_HH!$A$4:$A$31,0)),"")</f>
        <v>8</v>
      </c>
      <c r="K1304" s="16" t="s">
        <v>76</v>
      </c>
      <c r="L1304" s="16" t="str">
        <f>IF(COUNTIFS(Pessoas!$C$5:$C$44,$K1304,Pessoas!$G$5:$G$44,"Ativo")=0,"Equipe "&amp;$K1304,INDEX(Pessoas!$A$5:$A$44,_xludf.aggregate(15,6,(ROW(Pessoas!$A$5:$A$44)-4)/((Pessoas!$C$5:$C$44=$K1304)*(Pessoas!$G$5:$G$44="Ativo")),MOD(ROW()-6,MAX(1,COUNTIFS(Pessoas!$C$5:$C$44,$K1304,Pessoas!$G$5:$G$44,"Ativo")))+1)))</f>
        <v>Equipe Oficina Mecânica Central-Taisa</v>
      </c>
    </row>
    <row r="1305" spans="1:12" ht="15" customHeight="1" x14ac:dyDescent="0.4">
      <c r="A1305" s="25">
        <v>46440</v>
      </c>
      <c r="B1305" s="16">
        <v>25</v>
      </c>
      <c r="C1305" s="16">
        <v>2</v>
      </c>
      <c r="D1305" s="16">
        <v>2</v>
      </c>
      <c r="E1305" s="16" t="s">
        <v>980</v>
      </c>
      <c r="F1305" s="16" t="s">
        <v>1118</v>
      </c>
      <c r="G1305" s="16" t="s">
        <v>526</v>
      </c>
      <c r="H1305" s="16" t="s">
        <v>140</v>
      </c>
      <c r="I1305" s="22" t="s">
        <v>864</v>
      </c>
      <c r="J1305" s="16">
        <f>IFERROR(INDEX(Aux_HH!$J$4:$J$31,MATCH($H1305&amp;"|"&amp;$I1305,Aux_HH!$A$4:$A$31,0)),"")</f>
        <v>8</v>
      </c>
      <c r="K1305" s="16" t="s">
        <v>76</v>
      </c>
      <c r="L1305" s="16" t="str">
        <f>IF(COUNTIFS(Pessoas!$C$5:$C$44,$K1305,Pessoas!$G$5:$G$44,"Ativo")=0,"Equipe "&amp;$K1305,INDEX(Pessoas!$A$5:$A$44,_xludf.aggregate(15,6,(ROW(Pessoas!$A$5:$A$44)-4)/((Pessoas!$C$5:$C$44=$K1305)*(Pessoas!$G$5:$G$44="Ativo")),MOD(ROW()-6,MAX(1,COUNTIFS(Pessoas!$C$5:$C$44,$K1305,Pessoas!$G$5:$G$44,"Ativo")))+1)))</f>
        <v>Equipe Oficina Mecânica Central-Taisa</v>
      </c>
    </row>
    <row r="1306" spans="1:12" ht="15" customHeight="1" x14ac:dyDescent="0.4">
      <c r="A1306" s="25">
        <v>46440</v>
      </c>
      <c r="B1306" s="16">
        <v>25</v>
      </c>
      <c r="C1306" s="16">
        <v>2</v>
      </c>
      <c r="D1306" s="16">
        <v>2</v>
      </c>
      <c r="E1306" s="16" t="s">
        <v>980</v>
      </c>
      <c r="F1306" s="16" t="s">
        <v>998</v>
      </c>
      <c r="G1306" s="16" t="s">
        <v>688</v>
      </c>
      <c r="H1306" s="16" t="s">
        <v>145</v>
      </c>
      <c r="I1306" s="22" t="s">
        <v>856</v>
      </c>
      <c r="J1306" s="16">
        <f>IFERROR(INDEX(Aux_HH!$J$4:$J$31,MATCH($H1306&amp;"|"&amp;$I1306,Aux_HH!$A$4:$A$31,0)),"")</f>
        <v>2</v>
      </c>
      <c r="K1306" s="16" t="s">
        <v>76</v>
      </c>
      <c r="L1306" s="16" t="str">
        <f>IF(COUNTIFS(Pessoas!$C$5:$C$44,$K1306,Pessoas!$G$5:$G$44,"Ativo")=0,"Equipe "&amp;$K1306,INDEX(Pessoas!$A$5:$A$44,_xludf.aggregate(15,6,(ROW(Pessoas!$A$5:$A$44)-4)/((Pessoas!$C$5:$C$44=$K1306)*(Pessoas!$G$5:$G$44="Ativo")),MOD(ROW()-6,MAX(1,COUNTIFS(Pessoas!$C$5:$C$44,$K1306,Pessoas!$G$5:$G$44,"Ativo")))+1)))</f>
        <v>Equipe Oficina Mecânica Central-Taisa</v>
      </c>
    </row>
    <row r="1307" spans="1:12" ht="15" customHeight="1" x14ac:dyDescent="0.4">
      <c r="A1307" s="25">
        <v>46440</v>
      </c>
      <c r="B1307" s="16">
        <v>25</v>
      </c>
      <c r="C1307" s="16">
        <v>2</v>
      </c>
      <c r="D1307" s="16">
        <v>2</v>
      </c>
      <c r="E1307" s="16" t="s">
        <v>980</v>
      </c>
      <c r="F1307" s="16" t="s">
        <v>1000</v>
      </c>
      <c r="G1307" s="16" t="s">
        <v>688</v>
      </c>
      <c r="H1307" s="16" t="s">
        <v>145</v>
      </c>
      <c r="I1307" s="22" t="s">
        <v>856</v>
      </c>
      <c r="J1307" s="16">
        <f>IFERROR(INDEX(Aux_HH!$J$4:$J$31,MATCH($H1307&amp;"|"&amp;$I1307,Aux_HH!$A$4:$A$31,0)),"")</f>
        <v>2</v>
      </c>
      <c r="K1307" s="16" t="s">
        <v>76</v>
      </c>
      <c r="L1307" s="16" t="str">
        <f>IF(COUNTIFS(Pessoas!$C$5:$C$44,$K1307,Pessoas!$G$5:$G$44,"Ativo")=0,"Equipe "&amp;$K1307,INDEX(Pessoas!$A$5:$A$44,_xludf.aggregate(15,6,(ROW(Pessoas!$A$5:$A$44)-4)/((Pessoas!$C$5:$C$44=$K1307)*(Pessoas!$G$5:$G$44="Ativo")),MOD(ROW()-6,MAX(1,COUNTIFS(Pessoas!$C$5:$C$44,$K1307,Pessoas!$G$5:$G$44,"Ativo")))+1)))</f>
        <v>Equipe Oficina Mecânica Central-Taisa</v>
      </c>
    </row>
    <row r="1308" spans="1:12" ht="15" customHeight="1" x14ac:dyDescent="0.4">
      <c r="A1308" s="25">
        <v>46440</v>
      </c>
      <c r="B1308" s="16">
        <v>25</v>
      </c>
      <c r="C1308" s="16">
        <v>2</v>
      </c>
      <c r="D1308" s="16">
        <v>2</v>
      </c>
      <c r="E1308" s="16" t="s">
        <v>980</v>
      </c>
      <c r="F1308" s="16" t="s">
        <v>1119</v>
      </c>
      <c r="G1308" s="16" t="s">
        <v>184</v>
      </c>
      <c r="H1308" s="16" t="s">
        <v>140</v>
      </c>
      <c r="I1308" s="22" t="s">
        <v>864</v>
      </c>
      <c r="J1308" s="16">
        <f>IFERROR(INDEX(Aux_HH!$J$4:$J$31,MATCH($H1308&amp;"|"&amp;$I1308,Aux_HH!$A$4:$A$31,0)),"")</f>
        <v>8</v>
      </c>
      <c r="K1308" s="16" t="s">
        <v>76</v>
      </c>
      <c r="L1308" s="16" t="str">
        <f>IF(COUNTIFS(Pessoas!$C$5:$C$44,$K1308,Pessoas!$G$5:$G$44,"Ativo")=0,"Equipe "&amp;$K1308,INDEX(Pessoas!$A$5:$A$44,_xludf.aggregate(15,6,(ROW(Pessoas!$A$5:$A$44)-4)/((Pessoas!$C$5:$C$44=$K1308)*(Pessoas!$G$5:$G$44="Ativo")),MOD(ROW()-6,MAX(1,COUNTIFS(Pessoas!$C$5:$C$44,$K1308,Pessoas!$G$5:$G$44,"Ativo")))+1)))</f>
        <v>Equipe Oficina Mecânica Central-Taisa</v>
      </c>
    </row>
    <row r="1309" spans="1:12" ht="15" customHeight="1" x14ac:dyDescent="0.4">
      <c r="A1309" s="25">
        <v>46440</v>
      </c>
      <c r="B1309" s="16">
        <v>25</v>
      </c>
      <c r="C1309" s="16">
        <v>2</v>
      </c>
      <c r="D1309" s="16">
        <v>2</v>
      </c>
      <c r="E1309" s="16" t="s">
        <v>980</v>
      </c>
      <c r="F1309" s="16" t="s">
        <v>1120</v>
      </c>
      <c r="G1309" s="16" t="s">
        <v>184</v>
      </c>
      <c r="H1309" s="16" t="s">
        <v>140</v>
      </c>
      <c r="I1309" s="22" t="s">
        <v>864</v>
      </c>
      <c r="J1309" s="16">
        <f>IFERROR(INDEX(Aux_HH!$J$4:$J$31,MATCH($H1309&amp;"|"&amp;$I1309,Aux_HH!$A$4:$A$31,0)),"")</f>
        <v>8</v>
      </c>
      <c r="K1309" s="16" t="s">
        <v>76</v>
      </c>
      <c r="L1309" s="16" t="str">
        <f>IF(COUNTIFS(Pessoas!$C$5:$C$44,$K1309,Pessoas!$G$5:$G$44,"Ativo")=0,"Equipe "&amp;$K1309,INDEX(Pessoas!$A$5:$A$44,_xludf.aggregate(15,6,(ROW(Pessoas!$A$5:$A$44)-4)/((Pessoas!$C$5:$C$44=$K1309)*(Pessoas!$G$5:$G$44="Ativo")),MOD(ROW()-6,MAX(1,COUNTIFS(Pessoas!$C$5:$C$44,$K1309,Pessoas!$G$5:$G$44,"Ativo")))+1)))</f>
        <v>Equipe Oficina Mecânica Central-Taisa</v>
      </c>
    </row>
    <row r="1310" spans="1:12" ht="15" customHeight="1" x14ac:dyDescent="0.4">
      <c r="A1310" s="25">
        <v>46440</v>
      </c>
      <c r="B1310" s="16">
        <v>25</v>
      </c>
      <c r="C1310" s="16">
        <v>2</v>
      </c>
      <c r="D1310" s="16">
        <v>2</v>
      </c>
      <c r="E1310" s="16" t="s">
        <v>980</v>
      </c>
      <c r="F1310" s="16" t="s">
        <v>1121</v>
      </c>
      <c r="G1310" s="16" t="s">
        <v>526</v>
      </c>
      <c r="H1310" s="16" t="s">
        <v>140</v>
      </c>
      <c r="I1310" s="22" t="s">
        <v>864</v>
      </c>
      <c r="J1310" s="16">
        <f>IFERROR(INDEX(Aux_HH!$J$4:$J$31,MATCH($H1310&amp;"|"&amp;$I1310,Aux_HH!$A$4:$A$31,0)),"")</f>
        <v>8</v>
      </c>
      <c r="K1310" s="16" t="s">
        <v>76</v>
      </c>
      <c r="L1310" s="16" t="str">
        <f>IF(COUNTIFS(Pessoas!$C$5:$C$44,$K1310,Pessoas!$G$5:$G$44,"Ativo")=0,"Equipe "&amp;$K1310,INDEX(Pessoas!$A$5:$A$44,_xludf.aggregate(15,6,(ROW(Pessoas!$A$5:$A$44)-4)/((Pessoas!$C$5:$C$44=$K1310)*(Pessoas!$G$5:$G$44="Ativo")),MOD(ROW()-6,MAX(1,COUNTIFS(Pessoas!$C$5:$C$44,$K1310,Pessoas!$G$5:$G$44,"Ativo")))+1)))</f>
        <v>Equipe Oficina Mecânica Central-Taisa</v>
      </c>
    </row>
    <row r="1311" spans="1:12" ht="15" customHeight="1" x14ac:dyDescent="0.4">
      <c r="A1311" s="25">
        <v>46440</v>
      </c>
      <c r="B1311" s="16">
        <v>25</v>
      </c>
      <c r="C1311" s="16">
        <v>2</v>
      </c>
      <c r="D1311" s="16">
        <v>2</v>
      </c>
      <c r="E1311" s="16" t="s">
        <v>980</v>
      </c>
      <c r="F1311" s="16" t="s">
        <v>1122</v>
      </c>
      <c r="G1311" s="16" t="s">
        <v>526</v>
      </c>
      <c r="H1311" s="16" t="s">
        <v>140</v>
      </c>
      <c r="I1311" s="22" t="s">
        <v>864</v>
      </c>
      <c r="J1311" s="16">
        <f>IFERROR(INDEX(Aux_HH!$J$4:$J$31,MATCH($H1311&amp;"|"&amp;$I1311,Aux_HH!$A$4:$A$31,0)),"")</f>
        <v>8</v>
      </c>
      <c r="K1311" s="16" t="s">
        <v>76</v>
      </c>
      <c r="L1311" s="16" t="str">
        <f>IF(COUNTIFS(Pessoas!$C$5:$C$44,$K1311,Pessoas!$G$5:$G$44,"Ativo")=0,"Equipe "&amp;$K1311,INDEX(Pessoas!$A$5:$A$44,_xludf.aggregate(15,6,(ROW(Pessoas!$A$5:$A$44)-4)/((Pessoas!$C$5:$C$44=$K1311)*(Pessoas!$G$5:$G$44="Ativo")),MOD(ROW()-6,MAX(1,COUNTIFS(Pessoas!$C$5:$C$44,$K1311,Pessoas!$G$5:$G$44,"Ativo")))+1)))</f>
        <v>Equipe Oficina Mecânica Central-Taisa</v>
      </c>
    </row>
    <row r="1312" spans="1:12" ht="15" customHeight="1" x14ac:dyDescent="0.4">
      <c r="A1312" s="25">
        <v>46440</v>
      </c>
      <c r="B1312" s="16">
        <v>25</v>
      </c>
      <c r="C1312" s="16">
        <v>2</v>
      </c>
      <c r="D1312" s="16">
        <v>2</v>
      </c>
      <c r="E1312" s="16" t="s">
        <v>980</v>
      </c>
      <c r="F1312" s="16" t="s">
        <v>1123</v>
      </c>
      <c r="G1312" s="16" t="s">
        <v>526</v>
      </c>
      <c r="H1312" s="16" t="s">
        <v>140</v>
      </c>
      <c r="I1312" s="22" t="s">
        <v>864</v>
      </c>
      <c r="J1312" s="16">
        <f>IFERROR(INDEX(Aux_HH!$J$4:$J$31,MATCH($H1312&amp;"|"&amp;$I1312,Aux_HH!$A$4:$A$31,0)),"")</f>
        <v>8</v>
      </c>
      <c r="K1312" s="16" t="s">
        <v>76</v>
      </c>
      <c r="L1312" s="16" t="str">
        <f>IF(COUNTIFS(Pessoas!$C$5:$C$44,$K1312,Pessoas!$G$5:$G$44,"Ativo")=0,"Equipe "&amp;$K1312,INDEX(Pessoas!$A$5:$A$44,_xludf.aggregate(15,6,(ROW(Pessoas!$A$5:$A$44)-4)/((Pessoas!$C$5:$C$44=$K1312)*(Pessoas!$G$5:$G$44="Ativo")),MOD(ROW()-6,MAX(1,COUNTIFS(Pessoas!$C$5:$C$44,$K1312,Pessoas!$G$5:$G$44,"Ativo")))+1)))</f>
        <v>Equipe Oficina Mecânica Central-Taisa</v>
      </c>
    </row>
    <row r="1313" spans="1:12" ht="15" customHeight="1" x14ac:dyDescent="0.4">
      <c r="A1313" s="25">
        <v>46448</v>
      </c>
      <c r="B1313" s="16">
        <v>27</v>
      </c>
      <c r="C1313" s="16">
        <v>3</v>
      </c>
      <c r="D1313" s="16">
        <v>3</v>
      </c>
      <c r="E1313" s="16" t="s">
        <v>980</v>
      </c>
      <c r="F1313" s="16" t="s">
        <v>1080</v>
      </c>
      <c r="G1313" s="16" t="s">
        <v>158</v>
      </c>
      <c r="H1313" s="16" t="s">
        <v>141</v>
      </c>
      <c r="I1313" s="22" t="s">
        <v>864</v>
      </c>
      <c r="J1313" s="16">
        <f>IFERROR(INDEX(Aux_HH!$J$4:$J$31,MATCH($H1313&amp;"|"&amp;$I1313,Aux_HH!$A$4:$A$31,0)),"")</f>
        <v>8</v>
      </c>
      <c r="K1313" s="16" t="s">
        <v>76</v>
      </c>
      <c r="L1313" s="16" t="str">
        <f>IF(COUNTIFS(Pessoas!$C$5:$C$44,$K1313,Pessoas!$G$5:$G$44,"Ativo")=0,"Equipe "&amp;$K1313,INDEX(Pessoas!$A$5:$A$44,_xludf.aggregate(15,6,(ROW(Pessoas!$A$5:$A$44)-4)/((Pessoas!$C$5:$C$44=$K1313)*(Pessoas!$G$5:$G$44="Ativo")),MOD(ROW()-6,MAX(1,COUNTIFS(Pessoas!$C$5:$C$44,$K1313,Pessoas!$G$5:$G$44,"Ativo")))+1)))</f>
        <v>Equipe Oficina Mecânica Central-Taisa</v>
      </c>
    </row>
    <row r="1314" spans="1:12" ht="15" customHeight="1" x14ac:dyDescent="0.4">
      <c r="A1314" s="25">
        <v>46448</v>
      </c>
      <c r="B1314" s="16">
        <v>27</v>
      </c>
      <c r="C1314" s="16">
        <v>3</v>
      </c>
      <c r="D1314" s="16">
        <v>3</v>
      </c>
      <c r="E1314" s="16" t="s">
        <v>980</v>
      </c>
      <c r="F1314" s="16" t="s">
        <v>1094</v>
      </c>
      <c r="G1314" s="16" t="s">
        <v>158</v>
      </c>
      <c r="H1314" s="16" t="s">
        <v>141</v>
      </c>
      <c r="I1314" s="22" t="s">
        <v>864</v>
      </c>
      <c r="J1314" s="16">
        <f>IFERROR(INDEX(Aux_HH!$J$4:$J$31,MATCH($H1314&amp;"|"&amp;$I1314,Aux_HH!$A$4:$A$31,0)),"")</f>
        <v>8</v>
      </c>
      <c r="K1314" s="16" t="s">
        <v>76</v>
      </c>
      <c r="L1314" s="16" t="str">
        <f>IF(COUNTIFS(Pessoas!$C$5:$C$44,$K1314,Pessoas!$G$5:$G$44,"Ativo")=0,"Equipe "&amp;$K1314,INDEX(Pessoas!$A$5:$A$44,_xludf.aggregate(15,6,(ROW(Pessoas!$A$5:$A$44)-4)/((Pessoas!$C$5:$C$44=$K1314)*(Pessoas!$G$5:$G$44="Ativo")),MOD(ROW()-6,MAX(1,COUNTIFS(Pessoas!$C$5:$C$44,$K1314,Pessoas!$G$5:$G$44,"Ativo")))+1)))</f>
        <v>Equipe Oficina Mecânica Central-Taisa</v>
      </c>
    </row>
    <row r="1315" spans="1:12" ht="15" customHeight="1" x14ac:dyDescent="0.4">
      <c r="A1315" s="25">
        <v>46448</v>
      </c>
      <c r="B1315" s="16">
        <v>27</v>
      </c>
      <c r="C1315" s="16">
        <v>3</v>
      </c>
      <c r="D1315" s="16">
        <v>3</v>
      </c>
      <c r="E1315" s="16" t="s">
        <v>980</v>
      </c>
      <c r="F1315" s="16" t="s">
        <v>1095</v>
      </c>
      <c r="G1315" s="16" t="s">
        <v>158</v>
      </c>
      <c r="H1315" s="16" t="s">
        <v>141</v>
      </c>
      <c r="I1315" s="22" t="s">
        <v>864</v>
      </c>
      <c r="J1315" s="16">
        <f>IFERROR(INDEX(Aux_HH!$J$4:$J$31,MATCH($H1315&amp;"|"&amp;$I1315,Aux_HH!$A$4:$A$31,0)),"")</f>
        <v>8</v>
      </c>
      <c r="K1315" s="16" t="s">
        <v>76</v>
      </c>
      <c r="L1315" s="16" t="str">
        <f>IF(COUNTIFS(Pessoas!$C$5:$C$44,$K1315,Pessoas!$G$5:$G$44,"Ativo")=0,"Equipe "&amp;$K1315,INDEX(Pessoas!$A$5:$A$44,_xludf.aggregate(15,6,(ROW(Pessoas!$A$5:$A$44)-4)/((Pessoas!$C$5:$C$44=$K1315)*(Pessoas!$G$5:$G$44="Ativo")),MOD(ROW()-6,MAX(1,COUNTIFS(Pessoas!$C$5:$C$44,$K1315,Pessoas!$G$5:$G$44,"Ativo")))+1)))</f>
        <v>Equipe Oficina Mecânica Central-Taisa</v>
      </c>
    </row>
    <row r="1316" spans="1:12" ht="15" customHeight="1" x14ac:dyDescent="0.4">
      <c r="A1316" s="25">
        <v>46448</v>
      </c>
      <c r="B1316" s="16">
        <v>27</v>
      </c>
      <c r="C1316" s="16">
        <v>3</v>
      </c>
      <c r="D1316" s="16">
        <v>3</v>
      </c>
      <c r="E1316" s="16" t="s">
        <v>980</v>
      </c>
      <c r="F1316" s="16" t="s">
        <v>1096</v>
      </c>
      <c r="G1316" s="16" t="s">
        <v>158</v>
      </c>
      <c r="H1316" s="16" t="s">
        <v>141</v>
      </c>
      <c r="I1316" s="22" t="s">
        <v>864</v>
      </c>
      <c r="J1316" s="16">
        <f>IFERROR(INDEX(Aux_HH!$J$4:$J$31,MATCH($H1316&amp;"|"&amp;$I1316,Aux_HH!$A$4:$A$31,0)),"")</f>
        <v>8</v>
      </c>
      <c r="K1316" s="16" t="s">
        <v>76</v>
      </c>
      <c r="L1316" s="16" t="str">
        <f>IF(COUNTIFS(Pessoas!$C$5:$C$44,$K1316,Pessoas!$G$5:$G$44,"Ativo")=0,"Equipe "&amp;$K1316,INDEX(Pessoas!$A$5:$A$44,_xludf.aggregate(15,6,(ROW(Pessoas!$A$5:$A$44)-4)/((Pessoas!$C$5:$C$44=$K1316)*(Pessoas!$G$5:$G$44="Ativo")),MOD(ROW()-6,MAX(1,COUNTIFS(Pessoas!$C$5:$C$44,$K1316,Pessoas!$G$5:$G$44,"Ativo")))+1)))</f>
        <v>Equipe Oficina Mecânica Central-Taisa</v>
      </c>
    </row>
    <row r="1317" spans="1:12" ht="15" customHeight="1" x14ac:dyDescent="0.4">
      <c r="A1317" s="25">
        <v>46448</v>
      </c>
      <c r="B1317" s="16">
        <v>27</v>
      </c>
      <c r="C1317" s="16">
        <v>3</v>
      </c>
      <c r="D1317" s="16">
        <v>3</v>
      </c>
      <c r="E1317" s="16" t="s">
        <v>980</v>
      </c>
      <c r="F1317" s="16" t="s">
        <v>1097</v>
      </c>
      <c r="G1317" s="16" t="s">
        <v>158</v>
      </c>
      <c r="H1317" s="16" t="s">
        <v>141</v>
      </c>
      <c r="I1317" s="22" t="s">
        <v>864</v>
      </c>
      <c r="J1317" s="16">
        <f>IFERROR(INDEX(Aux_HH!$J$4:$J$31,MATCH($H1317&amp;"|"&amp;$I1317,Aux_HH!$A$4:$A$31,0)),"")</f>
        <v>8</v>
      </c>
      <c r="K1317" s="16" t="s">
        <v>76</v>
      </c>
      <c r="L1317" s="16" t="str">
        <f>IF(COUNTIFS(Pessoas!$C$5:$C$44,$K1317,Pessoas!$G$5:$G$44,"Ativo")=0,"Equipe "&amp;$K1317,INDEX(Pessoas!$A$5:$A$44,_xludf.aggregate(15,6,(ROW(Pessoas!$A$5:$A$44)-4)/((Pessoas!$C$5:$C$44=$K1317)*(Pessoas!$G$5:$G$44="Ativo")),MOD(ROW()-6,MAX(1,COUNTIFS(Pessoas!$C$5:$C$44,$K1317,Pessoas!$G$5:$G$44,"Ativo")))+1)))</f>
        <v>Equipe Oficina Mecânica Central-Taisa</v>
      </c>
    </row>
    <row r="1318" spans="1:12" ht="15" customHeight="1" x14ac:dyDescent="0.4">
      <c r="A1318" s="25">
        <v>46448</v>
      </c>
      <c r="B1318" s="16">
        <v>27</v>
      </c>
      <c r="C1318" s="16">
        <v>3</v>
      </c>
      <c r="D1318" s="16">
        <v>3</v>
      </c>
      <c r="E1318" s="16" t="s">
        <v>980</v>
      </c>
      <c r="F1318" s="16" t="s">
        <v>1098</v>
      </c>
      <c r="G1318" s="16" t="s">
        <v>158</v>
      </c>
      <c r="H1318" s="16" t="s">
        <v>141</v>
      </c>
      <c r="I1318" s="22" t="s">
        <v>864</v>
      </c>
      <c r="J1318" s="16">
        <f>IFERROR(INDEX(Aux_HH!$J$4:$J$31,MATCH($H1318&amp;"|"&amp;$I1318,Aux_HH!$A$4:$A$31,0)),"")</f>
        <v>8</v>
      </c>
      <c r="K1318" s="16" t="s">
        <v>76</v>
      </c>
      <c r="L1318" s="16" t="str">
        <f>IF(COUNTIFS(Pessoas!$C$5:$C$44,$K1318,Pessoas!$G$5:$G$44,"Ativo")=0,"Equipe "&amp;$K1318,INDEX(Pessoas!$A$5:$A$44,_xludf.aggregate(15,6,(ROW(Pessoas!$A$5:$A$44)-4)/((Pessoas!$C$5:$C$44=$K1318)*(Pessoas!$G$5:$G$44="Ativo")),MOD(ROW()-6,MAX(1,COUNTIFS(Pessoas!$C$5:$C$44,$K1318,Pessoas!$G$5:$G$44,"Ativo")))+1)))</f>
        <v>Equipe Oficina Mecânica Central-Taisa</v>
      </c>
    </row>
    <row r="1319" spans="1:12" ht="15" customHeight="1" x14ac:dyDescent="0.4">
      <c r="A1319" s="25">
        <v>46448</v>
      </c>
      <c r="B1319" s="16">
        <v>27</v>
      </c>
      <c r="C1319" s="16">
        <v>3</v>
      </c>
      <c r="D1319" s="16">
        <v>3</v>
      </c>
      <c r="E1319" s="16" t="s">
        <v>980</v>
      </c>
      <c r="F1319" s="16" t="s">
        <v>1099</v>
      </c>
      <c r="G1319" s="16" t="s">
        <v>158</v>
      </c>
      <c r="H1319" s="16" t="s">
        <v>141</v>
      </c>
      <c r="I1319" s="22" t="s">
        <v>864</v>
      </c>
      <c r="J1319" s="16">
        <f>IFERROR(INDEX(Aux_HH!$J$4:$J$31,MATCH($H1319&amp;"|"&amp;$I1319,Aux_HH!$A$4:$A$31,0)),"")</f>
        <v>8</v>
      </c>
      <c r="K1319" s="16" t="s">
        <v>76</v>
      </c>
      <c r="L1319" s="16" t="str">
        <f>IF(COUNTIFS(Pessoas!$C$5:$C$44,$K1319,Pessoas!$G$5:$G$44,"Ativo")=0,"Equipe "&amp;$K1319,INDEX(Pessoas!$A$5:$A$44,_xludf.aggregate(15,6,(ROW(Pessoas!$A$5:$A$44)-4)/((Pessoas!$C$5:$C$44=$K1319)*(Pessoas!$G$5:$G$44="Ativo")),MOD(ROW()-6,MAX(1,COUNTIFS(Pessoas!$C$5:$C$44,$K1319,Pessoas!$G$5:$G$44,"Ativo")))+1)))</f>
        <v>Equipe Oficina Mecânica Central-Taisa</v>
      </c>
    </row>
    <row r="1320" spans="1:12" ht="15" customHeight="1" x14ac:dyDescent="0.4">
      <c r="A1320" s="25">
        <v>46448</v>
      </c>
      <c r="B1320" s="16">
        <v>27</v>
      </c>
      <c r="C1320" s="16">
        <v>3</v>
      </c>
      <c r="D1320" s="16">
        <v>3</v>
      </c>
      <c r="E1320" s="16" t="s">
        <v>980</v>
      </c>
      <c r="F1320" s="16" t="s">
        <v>1100</v>
      </c>
      <c r="G1320" s="16" t="s">
        <v>158</v>
      </c>
      <c r="H1320" s="16" t="s">
        <v>141</v>
      </c>
      <c r="I1320" s="22" t="s">
        <v>864</v>
      </c>
      <c r="J1320" s="16">
        <f>IFERROR(INDEX(Aux_HH!$J$4:$J$31,MATCH($H1320&amp;"|"&amp;$I1320,Aux_HH!$A$4:$A$31,0)),"")</f>
        <v>8</v>
      </c>
      <c r="K1320" s="16" t="s">
        <v>76</v>
      </c>
      <c r="L1320" s="16" t="str">
        <f>IF(COUNTIFS(Pessoas!$C$5:$C$44,$K1320,Pessoas!$G$5:$G$44,"Ativo")=0,"Equipe "&amp;$K1320,INDEX(Pessoas!$A$5:$A$44,_xludf.aggregate(15,6,(ROW(Pessoas!$A$5:$A$44)-4)/((Pessoas!$C$5:$C$44=$K1320)*(Pessoas!$G$5:$G$44="Ativo")),MOD(ROW()-6,MAX(1,COUNTIFS(Pessoas!$C$5:$C$44,$K1320,Pessoas!$G$5:$G$44,"Ativo")))+1)))</f>
        <v>Equipe Oficina Mecânica Central-Taisa</v>
      </c>
    </row>
    <row r="1321" spans="1:12" ht="15" customHeight="1" x14ac:dyDescent="0.4">
      <c r="A1321" s="25">
        <v>46448</v>
      </c>
      <c r="B1321" s="16">
        <v>27</v>
      </c>
      <c r="C1321" s="16">
        <v>3</v>
      </c>
      <c r="D1321" s="16">
        <v>3</v>
      </c>
      <c r="E1321" s="16" t="s">
        <v>980</v>
      </c>
      <c r="F1321" s="16" t="s">
        <v>1101</v>
      </c>
      <c r="G1321" s="16" t="s">
        <v>158</v>
      </c>
      <c r="H1321" s="16" t="s">
        <v>141</v>
      </c>
      <c r="I1321" s="22" t="s">
        <v>864</v>
      </c>
      <c r="J1321" s="16">
        <f>IFERROR(INDEX(Aux_HH!$J$4:$J$31,MATCH($H1321&amp;"|"&amp;$I1321,Aux_HH!$A$4:$A$31,0)),"")</f>
        <v>8</v>
      </c>
      <c r="K1321" s="16" t="s">
        <v>76</v>
      </c>
      <c r="L1321" s="16" t="str">
        <f>IF(COUNTIFS(Pessoas!$C$5:$C$44,$K1321,Pessoas!$G$5:$G$44,"Ativo")=0,"Equipe "&amp;$K1321,INDEX(Pessoas!$A$5:$A$44,_xludf.aggregate(15,6,(ROW(Pessoas!$A$5:$A$44)-4)/((Pessoas!$C$5:$C$44=$K1321)*(Pessoas!$G$5:$G$44="Ativo")),MOD(ROW()-6,MAX(1,COUNTIFS(Pessoas!$C$5:$C$44,$K1321,Pessoas!$G$5:$G$44,"Ativo")))+1)))</f>
        <v>Equipe Oficina Mecânica Central-Taisa</v>
      </c>
    </row>
    <row r="1322" spans="1:12" ht="15" customHeight="1" x14ac:dyDescent="0.4">
      <c r="A1322" s="25">
        <v>46448</v>
      </c>
      <c r="B1322" s="16">
        <v>27</v>
      </c>
      <c r="C1322" s="16">
        <v>3</v>
      </c>
      <c r="D1322" s="16">
        <v>3</v>
      </c>
      <c r="E1322" s="16" t="s">
        <v>980</v>
      </c>
      <c r="F1322" s="16" t="s">
        <v>1102</v>
      </c>
      <c r="G1322" s="16" t="s">
        <v>158</v>
      </c>
      <c r="H1322" s="16" t="s">
        <v>141</v>
      </c>
      <c r="I1322" s="22" t="s">
        <v>864</v>
      </c>
      <c r="J1322" s="16">
        <f>IFERROR(INDEX(Aux_HH!$J$4:$J$31,MATCH($H1322&amp;"|"&amp;$I1322,Aux_HH!$A$4:$A$31,0)),"")</f>
        <v>8</v>
      </c>
      <c r="K1322" s="16" t="s">
        <v>76</v>
      </c>
      <c r="L1322" s="16" t="str">
        <f>IF(COUNTIFS(Pessoas!$C$5:$C$44,$K1322,Pessoas!$G$5:$G$44,"Ativo")=0,"Equipe "&amp;$K1322,INDEX(Pessoas!$A$5:$A$44,_xludf.aggregate(15,6,(ROW(Pessoas!$A$5:$A$44)-4)/((Pessoas!$C$5:$C$44=$K1322)*(Pessoas!$G$5:$G$44="Ativo")),MOD(ROW()-6,MAX(1,COUNTIFS(Pessoas!$C$5:$C$44,$K1322,Pessoas!$G$5:$G$44,"Ativo")))+1)))</f>
        <v>Equipe Oficina Mecânica Central-Taisa</v>
      </c>
    </row>
    <row r="1323" spans="1:12" ht="15" customHeight="1" x14ac:dyDescent="0.4">
      <c r="A1323" s="25">
        <v>46448</v>
      </c>
      <c r="B1323" s="16">
        <v>27</v>
      </c>
      <c r="C1323" s="16">
        <v>3</v>
      </c>
      <c r="D1323" s="16">
        <v>3</v>
      </c>
      <c r="E1323" s="16" t="s">
        <v>980</v>
      </c>
      <c r="F1323" s="16" t="s">
        <v>1103</v>
      </c>
      <c r="G1323" s="16" t="s">
        <v>158</v>
      </c>
      <c r="H1323" s="16" t="s">
        <v>141</v>
      </c>
      <c r="I1323" s="22" t="s">
        <v>864</v>
      </c>
      <c r="J1323" s="16">
        <f>IFERROR(INDEX(Aux_HH!$J$4:$J$31,MATCH($H1323&amp;"|"&amp;$I1323,Aux_HH!$A$4:$A$31,0)),"")</f>
        <v>8</v>
      </c>
      <c r="K1323" s="16" t="s">
        <v>76</v>
      </c>
      <c r="L1323" s="16" t="str">
        <f>IF(COUNTIFS(Pessoas!$C$5:$C$44,$K1323,Pessoas!$G$5:$G$44,"Ativo")=0,"Equipe "&amp;$K1323,INDEX(Pessoas!$A$5:$A$44,_xludf.aggregate(15,6,(ROW(Pessoas!$A$5:$A$44)-4)/((Pessoas!$C$5:$C$44=$K1323)*(Pessoas!$G$5:$G$44="Ativo")),MOD(ROW()-6,MAX(1,COUNTIFS(Pessoas!$C$5:$C$44,$K1323,Pessoas!$G$5:$G$44,"Ativo")))+1)))</f>
        <v>Equipe Oficina Mecânica Central-Taisa</v>
      </c>
    </row>
    <row r="1324" spans="1:12" ht="15" customHeight="1" x14ac:dyDescent="0.4">
      <c r="A1324" s="25">
        <v>46448</v>
      </c>
      <c r="B1324" s="16">
        <v>27</v>
      </c>
      <c r="C1324" s="16">
        <v>3</v>
      </c>
      <c r="D1324" s="16">
        <v>3</v>
      </c>
      <c r="E1324" s="16" t="s">
        <v>980</v>
      </c>
      <c r="F1324" s="16" t="s">
        <v>1104</v>
      </c>
      <c r="G1324" s="16" t="s">
        <v>158</v>
      </c>
      <c r="H1324" s="16" t="s">
        <v>141</v>
      </c>
      <c r="I1324" s="22" t="s">
        <v>864</v>
      </c>
      <c r="J1324" s="16">
        <f>IFERROR(INDEX(Aux_HH!$J$4:$J$31,MATCH($H1324&amp;"|"&amp;$I1324,Aux_HH!$A$4:$A$31,0)),"")</f>
        <v>8</v>
      </c>
      <c r="K1324" s="16" t="s">
        <v>76</v>
      </c>
      <c r="L1324" s="16" t="str">
        <f>IF(COUNTIFS(Pessoas!$C$5:$C$44,$K1324,Pessoas!$G$5:$G$44,"Ativo")=0,"Equipe "&amp;$K1324,INDEX(Pessoas!$A$5:$A$44,_xludf.aggregate(15,6,(ROW(Pessoas!$A$5:$A$44)-4)/((Pessoas!$C$5:$C$44=$K1324)*(Pessoas!$G$5:$G$44="Ativo")),MOD(ROW()-6,MAX(1,COUNTIFS(Pessoas!$C$5:$C$44,$K1324,Pessoas!$G$5:$G$44,"Ativo")))+1)))</f>
        <v>Equipe Oficina Mecânica Central-Taisa</v>
      </c>
    </row>
    <row r="1325" spans="1:12" ht="15" customHeight="1" x14ac:dyDescent="0.4">
      <c r="A1325" s="25">
        <v>46448</v>
      </c>
      <c r="B1325" s="16">
        <v>27</v>
      </c>
      <c r="C1325" s="16">
        <v>3</v>
      </c>
      <c r="D1325" s="16">
        <v>3</v>
      </c>
      <c r="E1325" s="16" t="s">
        <v>980</v>
      </c>
      <c r="F1325" s="16" t="s">
        <v>1105</v>
      </c>
      <c r="G1325" s="16" t="s">
        <v>158</v>
      </c>
      <c r="H1325" s="16" t="s">
        <v>141</v>
      </c>
      <c r="I1325" s="22" t="s">
        <v>864</v>
      </c>
      <c r="J1325" s="16">
        <f>IFERROR(INDEX(Aux_HH!$J$4:$J$31,MATCH($H1325&amp;"|"&amp;$I1325,Aux_HH!$A$4:$A$31,0)),"")</f>
        <v>8</v>
      </c>
      <c r="K1325" s="16" t="s">
        <v>76</v>
      </c>
      <c r="L1325" s="16" t="str">
        <f>IF(COUNTIFS(Pessoas!$C$5:$C$44,$K1325,Pessoas!$G$5:$G$44,"Ativo")=0,"Equipe "&amp;$K1325,INDEX(Pessoas!$A$5:$A$44,_xludf.aggregate(15,6,(ROW(Pessoas!$A$5:$A$44)-4)/((Pessoas!$C$5:$C$44=$K1325)*(Pessoas!$G$5:$G$44="Ativo")),MOD(ROW()-6,MAX(1,COUNTIFS(Pessoas!$C$5:$C$44,$K1325,Pessoas!$G$5:$G$44,"Ativo")))+1)))</f>
        <v>Equipe Oficina Mecânica Central-Taisa</v>
      </c>
    </row>
    <row r="1326" spans="1:12" ht="15" customHeight="1" x14ac:dyDescent="0.4">
      <c r="A1326" s="25">
        <v>46448</v>
      </c>
      <c r="B1326" s="16">
        <v>27</v>
      </c>
      <c r="C1326" s="16">
        <v>3</v>
      </c>
      <c r="D1326" s="16">
        <v>3</v>
      </c>
      <c r="E1326" s="16" t="s">
        <v>980</v>
      </c>
      <c r="F1326" s="16" t="s">
        <v>1106</v>
      </c>
      <c r="G1326" s="16" t="s">
        <v>158</v>
      </c>
      <c r="H1326" s="16" t="s">
        <v>141</v>
      </c>
      <c r="I1326" s="22" t="s">
        <v>864</v>
      </c>
      <c r="J1326" s="16">
        <f>IFERROR(INDEX(Aux_HH!$J$4:$J$31,MATCH($H1326&amp;"|"&amp;$I1326,Aux_HH!$A$4:$A$31,0)),"")</f>
        <v>8</v>
      </c>
      <c r="K1326" s="16" t="s">
        <v>76</v>
      </c>
      <c r="L1326" s="16" t="str">
        <f>IF(COUNTIFS(Pessoas!$C$5:$C$44,$K1326,Pessoas!$G$5:$G$44,"Ativo")=0,"Equipe "&amp;$K1326,INDEX(Pessoas!$A$5:$A$44,_xludf.aggregate(15,6,(ROW(Pessoas!$A$5:$A$44)-4)/((Pessoas!$C$5:$C$44=$K1326)*(Pessoas!$G$5:$G$44="Ativo")),MOD(ROW()-6,MAX(1,COUNTIFS(Pessoas!$C$5:$C$44,$K1326,Pessoas!$G$5:$G$44,"Ativo")))+1)))</f>
        <v>Equipe Oficina Mecânica Central-Taisa</v>
      </c>
    </row>
    <row r="1327" spans="1:12" ht="15" customHeight="1" x14ac:dyDescent="0.4">
      <c r="A1327" s="25">
        <v>46448</v>
      </c>
      <c r="B1327" s="16">
        <v>27</v>
      </c>
      <c r="C1327" s="16">
        <v>3</v>
      </c>
      <c r="D1327" s="16">
        <v>3</v>
      </c>
      <c r="E1327" s="16" t="s">
        <v>980</v>
      </c>
      <c r="F1327" s="16" t="s">
        <v>1107</v>
      </c>
      <c r="G1327" s="16" t="s">
        <v>184</v>
      </c>
      <c r="H1327" s="16" t="s">
        <v>141</v>
      </c>
      <c r="I1327" s="22" t="s">
        <v>864</v>
      </c>
      <c r="J1327" s="16">
        <f>IFERROR(INDEX(Aux_HH!$J$4:$J$31,MATCH($H1327&amp;"|"&amp;$I1327,Aux_HH!$A$4:$A$31,0)),"")</f>
        <v>8</v>
      </c>
      <c r="K1327" s="16" t="s">
        <v>76</v>
      </c>
      <c r="L1327" s="16" t="str">
        <f>IF(COUNTIFS(Pessoas!$C$5:$C$44,$K1327,Pessoas!$G$5:$G$44,"Ativo")=0,"Equipe "&amp;$K1327,INDEX(Pessoas!$A$5:$A$44,_xludf.aggregate(15,6,(ROW(Pessoas!$A$5:$A$44)-4)/((Pessoas!$C$5:$C$44=$K1327)*(Pessoas!$G$5:$G$44="Ativo")),MOD(ROW()-6,MAX(1,COUNTIFS(Pessoas!$C$5:$C$44,$K1327,Pessoas!$G$5:$G$44,"Ativo")))+1)))</f>
        <v>Equipe Oficina Mecânica Central-Taisa</v>
      </c>
    </row>
    <row r="1328" spans="1:12" ht="15" customHeight="1" x14ac:dyDescent="0.4">
      <c r="A1328" s="25">
        <v>46448</v>
      </c>
      <c r="B1328" s="16">
        <v>27</v>
      </c>
      <c r="C1328" s="16">
        <v>3</v>
      </c>
      <c r="D1328" s="16">
        <v>3</v>
      </c>
      <c r="E1328" s="16" t="s">
        <v>980</v>
      </c>
      <c r="F1328" s="16" t="s">
        <v>1108</v>
      </c>
      <c r="G1328" s="16" t="s">
        <v>184</v>
      </c>
      <c r="H1328" s="16" t="s">
        <v>141</v>
      </c>
      <c r="I1328" s="22" t="s">
        <v>864</v>
      </c>
      <c r="J1328" s="16">
        <f>IFERROR(INDEX(Aux_HH!$J$4:$J$31,MATCH($H1328&amp;"|"&amp;$I1328,Aux_HH!$A$4:$A$31,0)),"")</f>
        <v>8</v>
      </c>
      <c r="K1328" s="16" t="s">
        <v>76</v>
      </c>
      <c r="L1328" s="16" t="str">
        <f>IF(COUNTIFS(Pessoas!$C$5:$C$44,$K1328,Pessoas!$G$5:$G$44,"Ativo")=0,"Equipe "&amp;$K1328,INDEX(Pessoas!$A$5:$A$44,_xludf.aggregate(15,6,(ROW(Pessoas!$A$5:$A$44)-4)/((Pessoas!$C$5:$C$44=$K1328)*(Pessoas!$G$5:$G$44="Ativo")),MOD(ROW()-6,MAX(1,COUNTIFS(Pessoas!$C$5:$C$44,$K1328,Pessoas!$G$5:$G$44,"Ativo")))+1)))</f>
        <v>Equipe Oficina Mecânica Central-Taisa</v>
      </c>
    </row>
    <row r="1329" spans="1:12" ht="15" customHeight="1" x14ac:dyDescent="0.4">
      <c r="A1329" s="25">
        <v>46448</v>
      </c>
      <c r="B1329" s="16">
        <v>27</v>
      </c>
      <c r="C1329" s="16">
        <v>3</v>
      </c>
      <c r="D1329" s="16">
        <v>3</v>
      </c>
      <c r="E1329" s="16" t="s">
        <v>980</v>
      </c>
      <c r="F1329" s="16" t="s">
        <v>1109</v>
      </c>
      <c r="G1329" s="16" t="s">
        <v>184</v>
      </c>
      <c r="H1329" s="16" t="s">
        <v>141</v>
      </c>
      <c r="I1329" s="22" t="s">
        <v>864</v>
      </c>
      <c r="J1329" s="16">
        <f>IFERROR(INDEX(Aux_HH!$J$4:$J$31,MATCH($H1329&amp;"|"&amp;$I1329,Aux_HH!$A$4:$A$31,0)),"")</f>
        <v>8</v>
      </c>
      <c r="K1329" s="16" t="s">
        <v>76</v>
      </c>
      <c r="L1329" s="16" t="str">
        <f>IF(COUNTIFS(Pessoas!$C$5:$C$44,$K1329,Pessoas!$G$5:$G$44,"Ativo")=0,"Equipe "&amp;$K1329,INDEX(Pessoas!$A$5:$A$44,_xludf.aggregate(15,6,(ROW(Pessoas!$A$5:$A$44)-4)/((Pessoas!$C$5:$C$44=$K1329)*(Pessoas!$G$5:$G$44="Ativo")),MOD(ROW()-6,MAX(1,COUNTIFS(Pessoas!$C$5:$C$44,$K1329,Pessoas!$G$5:$G$44,"Ativo")))+1)))</f>
        <v>Equipe Oficina Mecânica Central-Taisa</v>
      </c>
    </row>
    <row r="1330" spans="1:12" ht="15" customHeight="1" x14ac:dyDescent="0.4">
      <c r="A1330" s="25">
        <v>46448</v>
      </c>
      <c r="B1330" s="16">
        <v>27</v>
      </c>
      <c r="C1330" s="16">
        <v>3</v>
      </c>
      <c r="D1330" s="16">
        <v>3</v>
      </c>
      <c r="E1330" s="16" t="s">
        <v>980</v>
      </c>
      <c r="F1330" s="16" t="s">
        <v>1110</v>
      </c>
      <c r="G1330" s="16" t="s">
        <v>184</v>
      </c>
      <c r="H1330" s="16" t="s">
        <v>141</v>
      </c>
      <c r="I1330" s="22" t="s">
        <v>864</v>
      </c>
      <c r="J1330" s="16">
        <f>IFERROR(INDEX(Aux_HH!$J$4:$J$31,MATCH($H1330&amp;"|"&amp;$I1330,Aux_HH!$A$4:$A$31,0)),"")</f>
        <v>8</v>
      </c>
      <c r="K1330" s="16" t="s">
        <v>76</v>
      </c>
      <c r="L1330" s="16" t="str">
        <f>IF(COUNTIFS(Pessoas!$C$5:$C$44,$K1330,Pessoas!$G$5:$G$44,"Ativo")=0,"Equipe "&amp;$K1330,INDEX(Pessoas!$A$5:$A$44,_xludf.aggregate(15,6,(ROW(Pessoas!$A$5:$A$44)-4)/((Pessoas!$C$5:$C$44=$K1330)*(Pessoas!$G$5:$G$44="Ativo")),MOD(ROW()-6,MAX(1,COUNTIFS(Pessoas!$C$5:$C$44,$K1330,Pessoas!$G$5:$G$44,"Ativo")))+1)))</f>
        <v>Equipe Oficina Mecânica Central-Taisa</v>
      </c>
    </row>
    <row r="1331" spans="1:12" ht="15" customHeight="1" x14ac:dyDescent="0.4">
      <c r="A1331" s="25">
        <v>46448</v>
      </c>
      <c r="B1331" s="16">
        <v>27</v>
      </c>
      <c r="C1331" s="16">
        <v>3</v>
      </c>
      <c r="D1331" s="16">
        <v>3</v>
      </c>
      <c r="E1331" s="16" t="s">
        <v>980</v>
      </c>
      <c r="F1331" s="16" t="s">
        <v>1111</v>
      </c>
      <c r="G1331" s="16" t="s">
        <v>184</v>
      </c>
      <c r="H1331" s="16" t="s">
        <v>141</v>
      </c>
      <c r="I1331" s="22" t="s">
        <v>864</v>
      </c>
      <c r="J1331" s="16">
        <f>IFERROR(INDEX(Aux_HH!$J$4:$J$31,MATCH($H1331&amp;"|"&amp;$I1331,Aux_HH!$A$4:$A$31,0)),"")</f>
        <v>8</v>
      </c>
      <c r="K1331" s="16" t="s">
        <v>76</v>
      </c>
      <c r="L1331" s="16" t="str">
        <f>IF(COUNTIFS(Pessoas!$C$5:$C$44,$K1331,Pessoas!$G$5:$G$44,"Ativo")=0,"Equipe "&amp;$K1331,INDEX(Pessoas!$A$5:$A$44,_xludf.aggregate(15,6,(ROW(Pessoas!$A$5:$A$44)-4)/((Pessoas!$C$5:$C$44=$K1331)*(Pessoas!$G$5:$G$44="Ativo")),MOD(ROW()-6,MAX(1,COUNTIFS(Pessoas!$C$5:$C$44,$K1331,Pessoas!$G$5:$G$44,"Ativo")))+1)))</f>
        <v>Equipe Oficina Mecânica Central-Taisa</v>
      </c>
    </row>
    <row r="1332" spans="1:12" ht="15" customHeight="1" x14ac:dyDescent="0.4">
      <c r="A1332" s="25">
        <v>46448</v>
      </c>
      <c r="B1332" s="16">
        <v>27</v>
      </c>
      <c r="C1332" s="16">
        <v>3</v>
      </c>
      <c r="D1332" s="16">
        <v>3</v>
      </c>
      <c r="E1332" s="16" t="s">
        <v>980</v>
      </c>
      <c r="F1332" s="16" t="s">
        <v>1112</v>
      </c>
      <c r="G1332" s="16" t="s">
        <v>184</v>
      </c>
      <c r="H1332" s="16" t="s">
        <v>141</v>
      </c>
      <c r="I1332" s="22" t="s">
        <v>864</v>
      </c>
      <c r="J1332" s="16">
        <f>IFERROR(INDEX(Aux_HH!$J$4:$J$31,MATCH($H1332&amp;"|"&amp;$I1332,Aux_HH!$A$4:$A$31,0)),"")</f>
        <v>8</v>
      </c>
      <c r="K1332" s="16" t="s">
        <v>76</v>
      </c>
      <c r="L1332" s="16" t="str">
        <f>IF(COUNTIFS(Pessoas!$C$5:$C$44,$K1332,Pessoas!$G$5:$G$44,"Ativo")=0,"Equipe "&amp;$K1332,INDEX(Pessoas!$A$5:$A$44,_xludf.aggregate(15,6,(ROW(Pessoas!$A$5:$A$44)-4)/((Pessoas!$C$5:$C$44=$K1332)*(Pessoas!$G$5:$G$44="Ativo")),MOD(ROW()-6,MAX(1,COUNTIFS(Pessoas!$C$5:$C$44,$K1332,Pessoas!$G$5:$G$44,"Ativo")))+1)))</f>
        <v>Equipe Oficina Mecânica Central-Taisa</v>
      </c>
    </row>
    <row r="1333" spans="1:12" ht="15" customHeight="1" x14ac:dyDescent="0.4">
      <c r="A1333" s="25">
        <v>46448</v>
      </c>
      <c r="B1333" s="16">
        <v>27</v>
      </c>
      <c r="C1333" s="16">
        <v>3</v>
      </c>
      <c r="D1333" s="16">
        <v>3</v>
      </c>
      <c r="E1333" s="16" t="s">
        <v>980</v>
      </c>
      <c r="F1333" s="16" t="s">
        <v>1113</v>
      </c>
      <c r="G1333" s="16" t="s">
        <v>184</v>
      </c>
      <c r="H1333" s="16" t="s">
        <v>141</v>
      </c>
      <c r="I1333" s="22" t="s">
        <v>864</v>
      </c>
      <c r="J1333" s="16">
        <f>IFERROR(INDEX(Aux_HH!$J$4:$J$31,MATCH($H1333&amp;"|"&amp;$I1333,Aux_HH!$A$4:$A$31,0)),"")</f>
        <v>8</v>
      </c>
      <c r="K1333" s="16" t="s">
        <v>76</v>
      </c>
      <c r="L1333" s="16" t="str">
        <f>IF(COUNTIFS(Pessoas!$C$5:$C$44,$K1333,Pessoas!$G$5:$G$44,"Ativo")=0,"Equipe "&amp;$K1333,INDEX(Pessoas!$A$5:$A$44,_xludf.aggregate(15,6,(ROW(Pessoas!$A$5:$A$44)-4)/((Pessoas!$C$5:$C$44=$K1333)*(Pessoas!$G$5:$G$44="Ativo")),MOD(ROW()-6,MAX(1,COUNTIFS(Pessoas!$C$5:$C$44,$K1333,Pessoas!$G$5:$G$44,"Ativo")))+1)))</f>
        <v>Equipe Oficina Mecânica Central-Taisa</v>
      </c>
    </row>
    <row r="1334" spans="1:12" ht="15" customHeight="1" x14ac:dyDescent="0.4">
      <c r="A1334" s="25">
        <v>46448</v>
      </c>
      <c r="B1334" s="16">
        <v>27</v>
      </c>
      <c r="C1334" s="16">
        <v>3</v>
      </c>
      <c r="D1334" s="16">
        <v>3</v>
      </c>
      <c r="E1334" s="16" t="s">
        <v>980</v>
      </c>
      <c r="F1334" s="16" t="s">
        <v>1114</v>
      </c>
      <c r="G1334" s="16" t="s">
        <v>184</v>
      </c>
      <c r="H1334" s="16" t="s">
        <v>141</v>
      </c>
      <c r="I1334" s="22" t="s">
        <v>864</v>
      </c>
      <c r="J1334" s="16">
        <f>IFERROR(INDEX(Aux_HH!$J$4:$J$31,MATCH($H1334&amp;"|"&amp;$I1334,Aux_HH!$A$4:$A$31,0)),"")</f>
        <v>8</v>
      </c>
      <c r="K1334" s="16" t="s">
        <v>76</v>
      </c>
      <c r="L1334" s="16" t="str">
        <f>IF(COUNTIFS(Pessoas!$C$5:$C$44,$K1334,Pessoas!$G$5:$G$44,"Ativo")=0,"Equipe "&amp;$K1334,INDEX(Pessoas!$A$5:$A$44,_xludf.aggregate(15,6,(ROW(Pessoas!$A$5:$A$44)-4)/((Pessoas!$C$5:$C$44=$K1334)*(Pessoas!$G$5:$G$44="Ativo")),MOD(ROW()-6,MAX(1,COUNTIFS(Pessoas!$C$5:$C$44,$K1334,Pessoas!$G$5:$G$44,"Ativo")))+1)))</f>
        <v>Equipe Oficina Mecânica Central-Taisa</v>
      </c>
    </row>
    <row r="1335" spans="1:12" ht="15" customHeight="1" x14ac:dyDescent="0.4">
      <c r="A1335" s="25">
        <v>46448</v>
      </c>
      <c r="B1335" s="16">
        <v>27</v>
      </c>
      <c r="C1335" s="16">
        <v>3</v>
      </c>
      <c r="D1335" s="16">
        <v>3</v>
      </c>
      <c r="E1335" s="16" t="s">
        <v>980</v>
      </c>
      <c r="F1335" s="16" t="s">
        <v>1115</v>
      </c>
      <c r="G1335" s="16" t="s">
        <v>184</v>
      </c>
      <c r="H1335" s="16" t="s">
        <v>141</v>
      </c>
      <c r="I1335" s="22" t="s">
        <v>864</v>
      </c>
      <c r="J1335" s="16">
        <f>IFERROR(INDEX(Aux_HH!$J$4:$J$31,MATCH($H1335&amp;"|"&amp;$I1335,Aux_HH!$A$4:$A$31,0)),"")</f>
        <v>8</v>
      </c>
      <c r="K1335" s="16" t="s">
        <v>76</v>
      </c>
      <c r="L1335" s="16" t="str">
        <f>IF(COUNTIFS(Pessoas!$C$5:$C$44,$K1335,Pessoas!$G$5:$G$44,"Ativo")=0,"Equipe "&amp;$K1335,INDEX(Pessoas!$A$5:$A$44,_xludf.aggregate(15,6,(ROW(Pessoas!$A$5:$A$44)-4)/((Pessoas!$C$5:$C$44=$K1335)*(Pessoas!$G$5:$G$44="Ativo")),MOD(ROW()-6,MAX(1,COUNTIFS(Pessoas!$C$5:$C$44,$K1335,Pessoas!$G$5:$G$44,"Ativo")))+1)))</f>
        <v>Equipe Oficina Mecânica Central-Taisa</v>
      </c>
    </row>
    <row r="1336" spans="1:12" ht="15" customHeight="1" x14ac:dyDescent="0.4">
      <c r="A1336" s="25">
        <v>46448</v>
      </c>
      <c r="B1336" s="16">
        <v>27</v>
      </c>
      <c r="C1336" s="16">
        <v>3</v>
      </c>
      <c r="D1336" s="16">
        <v>3</v>
      </c>
      <c r="E1336" s="16" t="s">
        <v>980</v>
      </c>
      <c r="F1336" s="16" t="s">
        <v>1116</v>
      </c>
      <c r="G1336" s="16" t="s">
        <v>184</v>
      </c>
      <c r="H1336" s="16" t="s">
        <v>141</v>
      </c>
      <c r="I1336" s="22" t="s">
        <v>864</v>
      </c>
      <c r="J1336" s="16">
        <f>IFERROR(INDEX(Aux_HH!$J$4:$J$31,MATCH($H1336&amp;"|"&amp;$I1336,Aux_HH!$A$4:$A$31,0)),"")</f>
        <v>8</v>
      </c>
      <c r="K1336" s="16" t="s">
        <v>76</v>
      </c>
      <c r="L1336" s="16" t="str">
        <f>IF(COUNTIFS(Pessoas!$C$5:$C$44,$K1336,Pessoas!$G$5:$G$44,"Ativo")=0,"Equipe "&amp;$K1336,INDEX(Pessoas!$A$5:$A$44,_xludf.aggregate(15,6,(ROW(Pessoas!$A$5:$A$44)-4)/((Pessoas!$C$5:$C$44=$K1336)*(Pessoas!$G$5:$G$44="Ativo")),MOD(ROW()-6,MAX(1,COUNTIFS(Pessoas!$C$5:$C$44,$K1336,Pessoas!$G$5:$G$44,"Ativo")))+1)))</f>
        <v>Equipe Oficina Mecânica Central-Taisa</v>
      </c>
    </row>
    <row r="1337" spans="1:12" ht="15" customHeight="1" x14ac:dyDescent="0.4">
      <c r="A1337" s="25">
        <v>46448</v>
      </c>
      <c r="B1337" s="16">
        <v>27</v>
      </c>
      <c r="C1337" s="16">
        <v>3</v>
      </c>
      <c r="D1337" s="16">
        <v>3</v>
      </c>
      <c r="E1337" s="16" t="s">
        <v>980</v>
      </c>
      <c r="F1337" s="16" t="s">
        <v>1124</v>
      </c>
      <c r="G1337" s="16" t="s">
        <v>184</v>
      </c>
      <c r="H1337" s="16" t="s">
        <v>141</v>
      </c>
      <c r="I1337" s="22" t="s">
        <v>864</v>
      </c>
      <c r="J1337" s="16">
        <f>IFERROR(INDEX(Aux_HH!$J$4:$J$31,MATCH($H1337&amp;"|"&amp;$I1337,Aux_HH!$A$4:$A$31,0)),"")</f>
        <v>8</v>
      </c>
      <c r="K1337" s="16" t="s">
        <v>76</v>
      </c>
      <c r="L1337" s="16" t="str">
        <f>IF(COUNTIFS(Pessoas!$C$5:$C$44,$K1337,Pessoas!$G$5:$G$44,"Ativo")=0,"Equipe "&amp;$K1337,INDEX(Pessoas!$A$5:$A$44,_xludf.aggregate(15,6,(ROW(Pessoas!$A$5:$A$44)-4)/((Pessoas!$C$5:$C$44=$K1337)*(Pessoas!$G$5:$G$44="Ativo")),MOD(ROW()-6,MAX(1,COUNTIFS(Pessoas!$C$5:$C$44,$K1337,Pessoas!$G$5:$G$44,"Ativo")))+1)))</f>
        <v>Equipe Oficina Mecânica Central-Taisa</v>
      </c>
    </row>
    <row r="1338" spans="1:12" ht="15" customHeight="1" x14ac:dyDescent="0.4">
      <c r="A1338" s="25">
        <v>46449</v>
      </c>
      <c r="B1338" s="16">
        <v>27</v>
      </c>
      <c r="C1338" s="16">
        <v>3</v>
      </c>
      <c r="D1338" s="16">
        <v>3</v>
      </c>
      <c r="E1338" s="16" t="s">
        <v>980</v>
      </c>
      <c r="F1338" s="16" t="s">
        <v>1137</v>
      </c>
      <c r="G1338" s="16" t="s">
        <v>158</v>
      </c>
      <c r="H1338" s="16" t="s">
        <v>141</v>
      </c>
      <c r="I1338" s="22" t="s">
        <v>864</v>
      </c>
      <c r="J1338" s="16">
        <f>IFERROR(INDEX(Aux_HH!$J$4:$J$31,MATCH($H1338&amp;"|"&amp;$I1338,Aux_HH!$A$4:$A$31,0)),"")</f>
        <v>8</v>
      </c>
      <c r="K1338" s="16" t="s">
        <v>76</v>
      </c>
      <c r="L1338" s="16" t="str">
        <f>IF(COUNTIFS(Pessoas!$C$5:$C$44,$K1338,Pessoas!$G$5:$G$44,"Ativo")=0,"Equipe "&amp;$K1338,INDEX(Pessoas!$A$5:$A$44,_xludf.aggregate(15,6,(ROW(Pessoas!$A$5:$A$44)-4)/((Pessoas!$C$5:$C$44=$K1338)*(Pessoas!$G$5:$G$44="Ativo")),MOD(ROW()-6,MAX(1,COUNTIFS(Pessoas!$C$5:$C$44,$K1338,Pessoas!$G$5:$G$44,"Ativo")))+1)))</f>
        <v>Equipe Oficina Mecânica Central-Taisa</v>
      </c>
    </row>
    <row r="1339" spans="1:12" ht="15" customHeight="1" x14ac:dyDescent="0.4">
      <c r="A1339" s="25">
        <v>46449</v>
      </c>
      <c r="B1339" s="16">
        <v>27</v>
      </c>
      <c r="C1339" s="16">
        <v>3</v>
      </c>
      <c r="D1339" s="16">
        <v>3</v>
      </c>
      <c r="E1339" s="16" t="s">
        <v>980</v>
      </c>
      <c r="F1339" s="16" t="s">
        <v>1138</v>
      </c>
      <c r="G1339" s="16" t="s">
        <v>158</v>
      </c>
      <c r="H1339" s="16" t="s">
        <v>141</v>
      </c>
      <c r="I1339" s="22" t="s">
        <v>864</v>
      </c>
      <c r="J1339" s="16">
        <f>IFERROR(INDEX(Aux_HH!$J$4:$J$31,MATCH($H1339&amp;"|"&amp;$I1339,Aux_HH!$A$4:$A$31,0)),"")</f>
        <v>8</v>
      </c>
      <c r="K1339" s="16" t="s">
        <v>76</v>
      </c>
      <c r="L1339" s="16" t="str">
        <f>IF(COUNTIFS(Pessoas!$C$5:$C$44,$K1339,Pessoas!$G$5:$G$44,"Ativo")=0,"Equipe "&amp;$K1339,INDEX(Pessoas!$A$5:$A$44,_xludf.aggregate(15,6,(ROW(Pessoas!$A$5:$A$44)-4)/((Pessoas!$C$5:$C$44=$K1339)*(Pessoas!$G$5:$G$44="Ativo")),MOD(ROW()-6,MAX(1,COUNTIFS(Pessoas!$C$5:$C$44,$K1339,Pessoas!$G$5:$G$44,"Ativo")))+1)))</f>
        <v>Equipe Oficina Mecânica Central-Taisa</v>
      </c>
    </row>
    <row r="1340" spans="1:12" ht="15" customHeight="1" x14ac:dyDescent="0.4">
      <c r="A1340" s="25">
        <v>46449</v>
      </c>
      <c r="B1340" s="16">
        <v>27</v>
      </c>
      <c r="C1340" s="16">
        <v>3</v>
      </c>
      <c r="D1340" s="16">
        <v>3</v>
      </c>
      <c r="E1340" s="16" t="s">
        <v>980</v>
      </c>
      <c r="F1340" s="16" t="s">
        <v>1139</v>
      </c>
      <c r="G1340" s="16" t="s">
        <v>158</v>
      </c>
      <c r="H1340" s="16" t="s">
        <v>141</v>
      </c>
      <c r="I1340" s="22" t="s">
        <v>864</v>
      </c>
      <c r="J1340" s="16">
        <f>IFERROR(INDEX(Aux_HH!$J$4:$J$31,MATCH($H1340&amp;"|"&amp;$I1340,Aux_HH!$A$4:$A$31,0)),"")</f>
        <v>8</v>
      </c>
      <c r="K1340" s="16" t="s">
        <v>76</v>
      </c>
      <c r="L1340" s="16" t="str">
        <f>IF(COUNTIFS(Pessoas!$C$5:$C$44,$K1340,Pessoas!$G$5:$G$44,"Ativo")=0,"Equipe "&amp;$K1340,INDEX(Pessoas!$A$5:$A$44,_xludf.aggregate(15,6,(ROW(Pessoas!$A$5:$A$44)-4)/((Pessoas!$C$5:$C$44=$K1340)*(Pessoas!$G$5:$G$44="Ativo")),MOD(ROW()-6,MAX(1,COUNTIFS(Pessoas!$C$5:$C$44,$K1340,Pessoas!$G$5:$G$44,"Ativo")))+1)))</f>
        <v>Equipe Oficina Mecânica Central-Taisa</v>
      </c>
    </row>
    <row r="1341" spans="1:12" ht="15" customHeight="1" x14ac:dyDescent="0.4">
      <c r="A1341" s="25">
        <v>46449</v>
      </c>
      <c r="B1341" s="16">
        <v>27</v>
      </c>
      <c r="C1341" s="16">
        <v>3</v>
      </c>
      <c r="D1341" s="16">
        <v>3</v>
      </c>
      <c r="E1341" s="16" t="s">
        <v>980</v>
      </c>
      <c r="F1341" s="16" t="s">
        <v>1140</v>
      </c>
      <c r="G1341" s="16" t="s">
        <v>158</v>
      </c>
      <c r="H1341" s="16" t="s">
        <v>141</v>
      </c>
      <c r="I1341" s="22" t="s">
        <v>864</v>
      </c>
      <c r="J1341" s="16">
        <f>IFERROR(INDEX(Aux_HH!$J$4:$J$31,MATCH($H1341&amp;"|"&amp;$I1341,Aux_HH!$A$4:$A$31,0)),"")</f>
        <v>8</v>
      </c>
      <c r="K1341" s="16" t="s">
        <v>76</v>
      </c>
      <c r="L1341" s="16" t="str">
        <f>IF(COUNTIFS(Pessoas!$C$5:$C$44,$K1341,Pessoas!$G$5:$G$44,"Ativo")=0,"Equipe "&amp;$K1341,INDEX(Pessoas!$A$5:$A$44,_xludf.aggregate(15,6,(ROW(Pessoas!$A$5:$A$44)-4)/((Pessoas!$C$5:$C$44=$K1341)*(Pessoas!$G$5:$G$44="Ativo")),MOD(ROW()-6,MAX(1,COUNTIFS(Pessoas!$C$5:$C$44,$K1341,Pessoas!$G$5:$G$44,"Ativo")))+1)))</f>
        <v>Equipe Oficina Mecânica Central-Taisa</v>
      </c>
    </row>
    <row r="1342" spans="1:12" ht="15" customHeight="1" x14ac:dyDescent="0.4">
      <c r="A1342" s="25">
        <v>46449</v>
      </c>
      <c r="B1342" s="16">
        <v>27</v>
      </c>
      <c r="C1342" s="16">
        <v>3</v>
      </c>
      <c r="D1342" s="16">
        <v>3</v>
      </c>
      <c r="E1342" s="16" t="s">
        <v>980</v>
      </c>
      <c r="F1342" s="16" t="s">
        <v>1141</v>
      </c>
      <c r="G1342" s="16" t="s">
        <v>158</v>
      </c>
      <c r="H1342" s="16" t="s">
        <v>141</v>
      </c>
      <c r="I1342" s="22" t="s">
        <v>864</v>
      </c>
      <c r="J1342" s="16">
        <f>IFERROR(INDEX(Aux_HH!$J$4:$J$31,MATCH($H1342&amp;"|"&amp;$I1342,Aux_HH!$A$4:$A$31,0)),"")</f>
        <v>8</v>
      </c>
      <c r="K1342" s="16" t="s">
        <v>76</v>
      </c>
      <c r="L1342" s="16" t="str">
        <f>IF(COUNTIFS(Pessoas!$C$5:$C$44,$K1342,Pessoas!$G$5:$G$44,"Ativo")=0,"Equipe "&amp;$K1342,INDEX(Pessoas!$A$5:$A$44,_xludf.aggregate(15,6,(ROW(Pessoas!$A$5:$A$44)-4)/((Pessoas!$C$5:$C$44=$K1342)*(Pessoas!$G$5:$G$44="Ativo")),MOD(ROW()-6,MAX(1,COUNTIFS(Pessoas!$C$5:$C$44,$K1342,Pessoas!$G$5:$G$44,"Ativo")))+1)))</f>
        <v>Equipe Oficina Mecânica Central-Taisa</v>
      </c>
    </row>
    <row r="1343" spans="1:12" ht="15" customHeight="1" x14ac:dyDescent="0.4">
      <c r="A1343" s="25">
        <v>46449</v>
      </c>
      <c r="B1343" s="16">
        <v>27</v>
      </c>
      <c r="C1343" s="16">
        <v>3</v>
      </c>
      <c r="D1343" s="16">
        <v>3</v>
      </c>
      <c r="E1343" s="16" t="s">
        <v>980</v>
      </c>
      <c r="F1343" s="16" t="s">
        <v>1142</v>
      </c>
      <c r="G1343" s="16" t="s">
        <v>158</v>
      </c>
      <c r="H1343" s="16" t="s">
        <v>141</v>
      </c>
      <c r="I1343" s="22" t="s">
        <v>864</v>
      </c>
      <c r="J1343" s="16">
        <f>IFERROR(INDEX(Aux_HH!$J$4:$J$31,MATCH($H1343&amp;"|"&amp;$I1343,Aux_HH!$A$4:$A$31,0)),"")</f>
        <v>8</v>
      </c>
      <c r="K1343" s="16" t="s">
        <v>76</v>
      </c>
      <c r="L1343" s="16" t="str">
        <f>IF(COUNTIFS(Pessoas!$C$5:$C$44,$K1343,Pessoas!$G$5:$G$44,"Ativo")=0,"Equipe "&amp;$K1343,INDEX(Pessoas!$A$5:$A$44,_xludf.aggregate(15,6,(ROW(Pessoas!$A$5:$A$44)-4)/((Pessoas!$C$5:$C$44=$K1343)*(Pessoas!$G$5:$G$44="Ativo")),MOD(ROW()-6,MAX(1,COUNTIFS(Pessoas!$C$5:$C$44,$K1343,Pessoas!$G$5:$G$44,"Ativo")))+1)))</f>
        <v>Equipe Oficina Mecânica Central-Taisa</v>
      </c>
    </row>
    <row r="1344" spans="1:12" ht="15" customHeight="1" x14ac:dyDescent="0.4">
      <c r="A1344" s="25">
        <v>46449</v>
      </c>
      <c r="B1344" s="16">
        <v>27</v>
      </c>
      <c r="C1344" s="16">
        <v>3</v>
      </c>
      <c r="D1344" s="16">
        <v>3</v>
      </c>
      <c r="E1344" s="16" t="s">
        <v>980</v>
      </c>
      <c r="F1344" s="16" t="s">
        <v>1143</v>
      </c>
      <c r="G1344" s="16" t="s">
        <v>158</v>
      </c>
      <c r="H1344" s="16" t="s">
        <v>141</v>
      </c>
      <c r="I1344" s="22" t="s">
        <v>864</v>
      </c>
      <c r="J1344" s="16">
        <f>IFERROR(INDEX(Aux_HH!$J$4:$J$31,MATCH($H1344&amp;"|"&amp;$I1344,Aux_HH!$A$4:$A$31,0)),"")</f>
        <v>8</v>
      </c>
      <c r="K1344" s="16" t="s">
        <v>76</v>
      </c>
      <c r="L1344" s="16" t="str">
        <f>IF(COUNTIFS(Pessoas!$C$5:$C$44,$K1344,Pessoas!$G$5:$G$44,"Ativo")=0,"Equipe "&amp;$K1344,INDEX(Pessoas!$A$5:$A$44,_xludf.aggregate(15,6,(ROW(Pessoas!$A$5:$A$44)-4)/((Pessoas!$C$5:$C$44=$K1344)*(Pessoas!$G$5:$G$44="Ativo")),MOD(ROW()-6,MAX(1,COUNTIFS(Pessoas!$C$5:$C$44,$K1344,Pessoas!$G$5:$G$44,"Ativo")))+1)))</f>
        <v>Equipe Oficina Mecânica Central-Taisa</v>
      </c>
    </row>
    <row r="1345" spans="1:12" ht="15" customHeight="1" x14ac:dyDescent="0.4">
      <c r="A1345" s="25">
        <v>46449</v>
      </c>
      <c r="B1345" s="16">
        <v>27</v>
      </c>
      <c r="C1345" s="16">
        <v>3</v>
      </c>
      <c r="D1345" s="16">
        <v>3</v>
      </c>
      <c r="E1345" s="16" t="s">
        <v>980</v>
      </c>
      <c r="F1345" s="16" t="s">
        <v>1144</v>
      </c>
      <c r="G1345" s="16" t="s">
        <v>158</v>
      </c>
      <c r="H1345" s="16" t="s">
        <v>141</v>
      </c>
      <c r="I1345" s="22" t="s">
        <v>864</v>
      </c>
      <c r="J1345" s="16">
        <f>IFERROR(INDEX(Aux_HH!$J$4:$J$31,MATCH($H1345&amp;"|"&amp;$I1345,Aux_HH!$A$4:$A$31,0)),"")</f>
        <v>8</v>
      </c>
      <c r="K1345" s="16" t="s">
        <v>76</v>
      </c>
      <c r="L1345" s="16" t="str">
        <f>IF(COUNTIFS(Pessoas!$C$5:$C$44,$K1345,Pessoas!$G$5:$G$44,"Ativo")=0,"Equipe "&amp;$K1345,INDEX(Pessoas!$A$5:$A$44,_xludf.aggregate(15,6,(ROW(Pessoas!$A$5:$A$44)-4)/((Pessoas!$C$5:$C$44=$K1345)*(Pessoas!$G$5:$G$44="Ativo")),MOD(ROW()-6,MAX(1,COUNTIFS(Pessoas!$C$5:$C$44,$K1345,Pessoas!$G$5:$G$44,"Ativo")))+1)))</f>
        <v>Equipe Oficina Mecânica Central-Taisa</v>
      </c>
    </row>
    <row r="1346" spans="1:12" ht="15" customHeight="1" x14ac:dyDescent="0.4">
      <c r="A1346" s="25">
        <v>46449</v>
      </c>
      <c r="B1346" s="16">
        <v>27</v>
      </c>
      <c r="C1346" s="16">
        <v>3</v>
      </c>
      <c r="D1346" s="16">
        <v>3</v>
      </c>
      <c r="E1346" s="16" t="s">
        <v>980</v>
      </c>
      <c r="F1346" s="16" t="s">
        <v>1145</v>
      </c>
      <c r="G1346" s="16" t="s">
        <v>158</v>
      </c>
      <c r="H1346" s="16" t="s">
        <v>141</v>
      </c>
      <c r="I1346" s="22" t="s">
        <v>864</v>
      </c>
      <c r="J1346" s="16">
        <f>IFERROR(INDEX(Aux_HH!$J$4:$J$31,MATCH($H1346&amp;"|"&amp;$I1346,Aux_HH!$A$4:$A$31,0)),"")</f>
        <v>8</v>
      </c>
      <c r="K1346" s="16" t="s">
        <v>76</v>
      </c>
      <c r="L1346" s="16" t="str">
        <f>IF(COUNTIFS(Pessoas!$C$5:$C$44,$K1346,Pessoas!$G$5:$G$44,"Ativo")=0,"Equipe "&amp;$K1346,INDEX(Pessoas!$A$5:$A$44,_xludf.aggregate(15,6,(ROW(Pessoas!$A$5:$A$44)-4)/((Pessoas!$C$5:$C$44=$K1346)*(Pessoas!$G$5:$G$44="Ativo")),MOD(ROW()-6,MAX(1,COUNTIFS(Pessoas!$C$5:$C$44,$K1346,Pessoas!$G$5:$G$44,"Ativo")))+1)))</f>
        <v>Equipe Oficina Mecânica Central-Taisa</v>
      </c>
    </row>
    <row r="1347" spans="1:12" ht="15" customHeight="1" x14ac:dyDescent="0.4">
      <c r="A1347" s="25">
        <v>46449</v>
      </c>
      <c r="B1347" s="16">
        <v>27</v>
      </c>
      <c r="C1347" s="16">
        <v>3</v>
      </c>
      <c r="D1347" s="16">
        <v>3</v>
      </c>
      <c r="E1347" s="16" t="s">
        <v>980</v>
      </c>
      <c r="F1347" s="16" t="s">
        <v>1146</v>
      </c>
      <c r="G1347" s="16" t="s">
        <v>158</v>
      </c>
      <c r="H1347" s="16" t="s">
        <v>141</v>
      </c>
      <c r="I1347" s="22" t="s">
        <v>864</v>
      </c>
      <c r="J1347" s="16">
        <f>IFERROR(INDEX(Aux_HH!$J$4:$J$31,MATCH($H1347&amp;"|"&amp;$I1347,Aux_HH!$A$4:$A$31,0)),"")</f>
        <v>8</v>
      </c>
      <c r="K1347" s="16" t="s">
        <v>76</v>
      </c>
      <c r="L1347" s="16" t="str">
        <f>IF(COUNTIFS(Pessoas!$C$5:$C$44,$K1347,Pessoas!$G$5:$G$44,"Ativo")=0,"Equipe "&amp;$K1347,INDEX(Pessoas!$A$5:$A$44,_xludf.aggregate(15,6,(ROW(Pessoas!$A$5:$A$44)-4)/((Pessoas!$C$5:$C$44=$K1347)*(Pessoas!$G$5:$G$44="Ativo")),MOD(ROW()-6,MAX(1,COUNTIFS(Pessoas!$C$5:$C$44,$K1347,Pessoas!$G$5:$G$44,"Ativo")))+1)))</f>
        <v>Equipe Oficina Mecânica Central-Taisa</v>
      </c>
    </row>
    <row r="1348" spans="1:12" ht="15" customHeight="1" x14ac:dyDescent="0.4">
      <c r="A1348" s="25">
        <v>46449</v>
      </c>
      <c r="B1348" s="16">
        <v>27</v>
      </c>
      <c r="C1348" s="16">
        <v>3</v>
      </c>
      <c r="D1348" s="16">
        <v>3</v>
      </c>
      <c r="E1348" s="16" t="s">
        <v>980</v>
      </c>
      <c r="F1348" s="16" t="s">
        <v>1147</v>
      </c>
      <c r="G1348" s="16" t="s">
        <v>184</v>
      </c>
      <c r="H1348" s="16" t="s">
        <v>141</v>
      </c>
      <c r="I1348" s="22" t="s">
        <v>864</v>
      </c>
      <c r="J1348" s="16">
        <f>IFERROR(INDEX(Aux_HH!$J$4:$J$31,MATCH($H1348&amp;"|"&amp;$I1348,Aux_HH!$A$4:$A$31,0)),"")</f>
        <v>8</v>
      </c>
      <c r="K1348" s="16" t="s">
        <v>76</v>
      </c>
      <c r="L1348" s="16" t="str">
        <f>IF(COUNTIFS(Pessoas!$C$5:$C$44,$K1348,Pessoas!$G$5:$G$44,"Ativo")=0,"Equipe "&amp;$K1348,INDEX(Pessoas!$A$5:$A$44,_xludf.aggregate(15,6,(ROW(Pessoas!$A$5:$A$44)-4)/((Pessoas!$C$5:$C$44=$K1348)*(Pessoas!$G$5:$G$44="Ativo")),MOD(ROW()-6,MAX(1,COUNTIFS(Pessoas!$C$5:$C$44,$K1348,Pessoas!$G$5:$G$44,"Ativo")))+1)))</f>
        <v>Equipe Oficina Mecânica Central-Taisa</v>
      </c>
    </row>
    <row r="1349" spans="1:12" ht="15" customHeight="1" x14ac:dyDescent="0.4">
      <c r="A1349" s="25">
        <v>46449</v>
      </c>
      <c r="B1349" s="16">
        <v>27</v>
      </c>
      <c r="C1349" s="16">
        <v>3</v>
      </c>
      <c r="D1349" s="16">
        <v>3</v>
      </c>
      <c r="E1349" s="16" t="s">
        <v>980</v>
      </c>
      <c r="F1349" s="16" t="s">
        <v>1148</v>
      </c>
      <c r="G1349" s="16" t="s">
        <v>184</v>
      </c>
      <c r="H1349" s="16" t="s">
        <v>141</v>
      </c>
      <c r="I1349" s="22" t="s">
        <v>864</v>
      </c>
      <c r="J1349" s="16">
        <f>IFERROR(INDEX(Aux_HH!$J$4:$J$31,MATCH($H1349&amp;"|"&amp;$I1349,Aux_HH!$A$4:$A$31,0)),"")</f>
        <v>8</v>
      </c>
      <c r="K1349" s="16" t="s">
        <v>76</v>
      </c>
      <c r="L1349" s="16" t="str">
        <f>IF(COUNTIFS(Pessoas!$C$5:$C$44,$K1349,Pessoas!$G$5:$G$44,"Ativo")=0,"Equipe "&amp;$K1349,INDEX(Pessoas!$A$5:$A$44,_xludf.aggregate(15,6,(ROW(Pessoas!$A$5:$A$44)-4)/((Pessoas!$C$5:$C$44=$K1349)*(Pessoas!$G$5:$G$44="Ativo")),MOD(ROW()-6,MAX(1,COUNTIFS(Pessoas!$C$5:$C$44,$K1349,Pessoas!$G$5:$G$44,"Ativo")))+1)))</f>
        <v>Equipe Oficina Mecânica Central-Taisa</v>
      </c>
    </row>
    <row r="1350" spans="1:12" ht="15" customHeight="1" x14ac:dyDescent="0.4">
      <c r="A1350" s="25">
        <v>46449</v>
      </c>
      <c r="B1350" s="16">
        <v>27</v>
      </c>
      <c r="C1350" s="16">
        <v>3</v>
      </c>
      <c r="D1350" s="16">
        <v>3</v>
      </c>
      <c r="E1350" s="16" t="s">
        <v>980</v>
      </c>
      <c r="F1350" s="16" t="s">
        <v>1149</v>
      </c>
      <c r="G1350" s="16" t="s">
        <v>184</v>
      </c>
      <c r="H1350" s="16" t="s">
        <v>141</v>
      </c>
      <c r="I1350" s="22" t="s">
        <v>864</v>
      </c>
      <c r="J1350" s="16">
        <f>IFERROR(INDEX(Aux_HH!$J$4:$J$31,MATCH($H1350&amp;"|"&amp;$I1350,Aux_HH!$A$4:$A$31,0)),"")</f>
        <v>8</v>
      </c>
      <c r="K1350" s="16" t="s">
        <v>76</v>
      </c>
      <c r="L1350" s="16" t="str">
        <f>IF(COUNTIFS(Pessoas!$C$5:$C$44,$K1350,Pessoas!$G$5:$G$44,"Ativo")=0,"Equipe "&amp;$K1350,INDEX(Pessoas!$A$5:$A$44,_xludf.aggregate(15,6,(ROW(Pessoas!$A$5:$A$44)-4)/((Pessoas!$C$5:$C$44=$K1350)*(Pessoas!$G$5:$G$44="Ativo")),MOD(ROW()-6,MAX(1,COUNTIFS(Pessoas!$C$5:$C$44,$K1350,Pessoas!$G$5:$G$44,"Ativo")))+1)))</f>
        <v>Equipe Oficina Mecânica Central-Taisa</v>
      </c>
    </row>
    <row r="1351" spans="1:12" ht="15" customHeight="1" x14ac:dyDescent="0.4">
      <c r="A1351" s="25">
        <v>46449</v>
      </c>
      <c r="B1351" s="16">
        <v>27</v>
      </c>
      <c r="C1351" s="16">
        <v>3</v>
      </c>
      <c r="D1351" s="16">
        <v>3</v>
      </c>
      <c r="E1351" s="16" t="s">
        <v>980</v>
      </c>
      <c r="F1351" s="16" t="s">
        <v>1150</v>
      </c>
      <c r="G1351" s="16" t="s">
        <v>184</v>
      </c>
      <c r="H1351" s="16" t="s">
        <v>141</v>
      </c>
      <c r="I1351" s="22" t="s">
        <v>864</v>
      </c>
      <c r="J1351" s="16">
        <f>IFERROR(INDEX(Aux_HH!$J$4:$J$31,MATCH($H1351&amp;"|"&amp;$I1351,Aux_HH!$A$4:$A$31,0)),"")</f>
        <v>8</v>
      </c>
      <c r="K1351" s="16" t="s">
        <v>76</v>
      </c>
      <c r="L1351" s="16" t="str">
        <f>IF(COUNTIFS(Pessoas!$C$5:$C$44,$K1351,Pessoas!$G$5:$G$44,"Ativo")=0,"Equipe "&amp;$K1351,INDEX(Pessoas!$A$5:$A$44,_xludf.aggregate(15,6,(ROW(Pessoas!$A$5:$A$44)-4)/((Pessoas!$C$5:$C$44=$K1351)*(Pessoas!$G$5:$G$44="Ativo")),MOD(ROW()-6,MAX(1,COUNTIFS(Pessoas!$C$5:$C$44,$K1351,Pessoas!$G$5:$G$44,"Ativo")))+1)))</f>
        <v>Equipe Oficina Mecânica Central-Taisa</v>
      </c>
    </row>
    <row r="1352" spans="1:12" ht="15" customHeight="1" x14ac:dyDescent="0.4">
      <c r="A1352" s="25">
        <v>46449</v>
      </c>
      <c r="B1352" s="16">
        <v>27</v>
      </c>
      <c r="C1352" s="16">
        <v>3</v>
      </c>
      <c r="D1352" s="16">
        <v>3</v>
      </c>
      <c r="E1352" s="16" t="s">
        <v>980</v>
      </c>
      <c r="F1352" s="16" t="s">
        <v>1151</v>
      </c>
      <c r="G1352" s="16" t="s">
        <v>184</v>
      </c>
      <c r="H1352" s="16" t="s">
        <v>141</v>
      </c>
      <c r="I1352" s="22" t="s">
        <v>864</v>
      </c>
      <c r="J1352" s="16">
        <f>IFERROR(INDEX(Aux_HH!$J$4:$J$31,MATCH($H1352&amp;"|"&amp;$I1352,Aux_HH!$A$4:$A$31,0)),"")</f>
        <v>8</v>
      </c>
      <c r="K1352" s="16" t="s">
        <v>76</v>
      </c>
      <c r="L1352" s="16" t="str">
        <f>IF(COUNTIFS(Pessoas!$C$5:$C$44,$K1352,Pessoas!$G$5:$G$44,"Ativo")=0,"Equipe "&amp;$K1352,INDEX(Pessoas!$A$5:$A$44,_xludf.aggregate(15,6,(ROW(Pessoas!$A$5:$A$44)-4)/((Pessoas!$C$5:$C$44=$K1352)*(Pessoas!$G$5:$G$44="Ativo")),MOD(ROW()-6,MAX(1,COUNTIFS(Pessoas!$C$5:$C$44,$K1352,Pessoas!$G$5:$G$44,"Ativo")))+1)))</f>
        <v>Equipe Oficina Mecânica Central-Taisa</v>
      </c>
    </row>
    <row r="1353" spans="1:12" ht="15" customHeight="1" x14ac:dyDescent="0.4">
      <c r="A1353" s="25">
        <v>46449</v>
      </c>
      <c r="B1353" s="16">
        <v>27</v>
      </c>
      <c r="C1353" s="16">
        <v>3</v>
      </c>
      <c r="D1353" s="16">
        <v>3</v>
      </c>
      <c r="E1353" s="16" t="s">
        <v>980</v>
      </c>
      <c r="F1353" s="16" t="s">
        <v>1152</v>
      </c>
      <c r="G1353" s="16" t="s">
        <v>184</v>
      </c>
      <c r="H1353" s="16" t="s">
        <v>141</v>
      </c>
      <c r="I1353" s="22" t="s">
        <v>864</v>
      </c>
      <c r="J1353" s="16">
        <f>IFERROR(INDEX(Aux_HH!$J$4:$J$31,MATCH($H1353&amp;"|"&amp;$I1353,Aux_HH!$A$4:$A$31,0)),"")</f>
        <v>8</v>
      </c>
      <c r="K1353" s="16" t="s">
        <v>76</v>
      </c>
      <c r="L1353" s="16" t="str">
        <f>IF(COUNTIFS(Pessoas!$C$5:$C$44,$K1353,Pessoas!$G$5:$G$44,"Ativo")=0,"Equipe "&amp;$K1353,INDEX(Pessoas!$A$5:$A$44,_xludf.aggregate(15,6,(ROW(Pessoas!$A$5:$A$44)-4)/((Pessoas!$C$5:$C$44=$K1353)*(Pessoas!$G$5:$G$44="Ativo")),MOD(ROW()-6,MAX(1,COUNTIFS(Pessoas!$C$5:$C$44,$K1353,Pessoas!$G$5:$G$44,"Ativo")))+1)))</f>
        <v>Equipe Oficina Mecânica Central-Taisa</v>
      </c>
    </row>
    <row r="1354" spans="1:12" ht="15" customHeight="1" x14ac:dyDescent="0.4">
      <c r="A1354" s="25">
        <v>46449</v>
      </c>
      <c r="B1354" s="16">
        <v>27</v>
      </c>
      <c r="C1354" s="16">
        <v>3</v>
      </c>
      <c r="D1354" s="16">
        <v>3</v>
      </c>
      <c r="E1354" s="16" t="s">
        <v>980</v>
      </c>
      <c r="F1354" s="16" t="s">
        <v>1153</v>
      </c>
      <c r="G1354" s="16" t="s">
        <v>184</v>
      </c>
      <c r="H1354" s="16" t="s">
        <v>141</v>
      </c>
      <c r="I1354" s="22" t="s">
        <v>864</v>
      </c>
      <c r="J1354" s="16">
        <f>IFERROR(INDEX(Aux_HH!$J$4:$J$31,MATCH($H1354&amp;"|"&amp;$I1354,Aux_HH!$A$4:$A$31,0)),"")</f>
        <v>8</v>
      </c>
      <c r="K1354" s="16" t="s">
        <v>76</v>
      </c>
      <c r="L1354" s="16" t="str">
        <f>IF(COUNTIFS(Pessoas!$C$5:$C$44,$K1354,Pessoas!$G$5:$G$44,"Ativo")=0,"Equipe "&amp;$K1354,INDEX(Pessoas!$A$5:$A$44,_xludf.aggregate(15,6,(ROW(Pessoas!$A$5:$A$44)-4)/((Pessoas!$C$5:$C$44=$K1354)*(Pessoas!$G$5:$G$44="Ativo")),MOD(ROW()-6,MAX(1,COUNTIFS(Pessoas!$C$5:$C$44,$K1354,Pessoas!$G$5:$G$44,"Ativo")))+1)))</f>
        <v>Equipe Oficina Mecânica Central-Taisa</v>
      </c>
    </row>
    <row r="1355" spans="1:12" ht="15" customHeight="1" x14ac:dyDescent="0.4">
      <c r="A1355" s="25">
        <v>46449</v>
      </c>
      <c r="B1355" s="16">
        <v>27</v>
      </c>
      <c r="C1355" s="16">
        <v>3</v>
      </c>
      <c r="D1355" s="16">
        <v>3</v>
      </c>
      <c r="E1355" s="16" t="s">
        <v>980</v>
      </c>
      <c r="F1355" s="16" t="s">
        <v>1154</v>
      </c>
      <c r="G1355" s="16" t="s">
        <v>184</v>
      </c>
      <c r="H1355" s="16" t="s">
        <v>141</v>
      </c>
      <c r="I1355" s="22" t="s">
        <v>864</v>
      </c>
      <c r="J1355" s="16">
        <f>IFERROR(INDEX(Aux_HH!$J$4:$J$31,MATCH($H1355&amp;"|"&amp;$I1355,Aux_HH!$A$4:$A$31,0)),"")</f>
        <v>8</v>
      </c>
      <c r="K1355" s="16" t="s">
        <v>76</v>
      </c>
      <c r="L1355" s="16" t="str">
        <f>IF(COUNTIFS(Pessoas!$C$5:$C$44,$K1355,Pessoas!$G$5:$G$44,"Ativo")=0,"Equipe "&amp;$K1355,INDEX(Pessoas!$A$5:$A$44,_xludf.aggregate(15,6,(ROW(Pessoas!$A$5:$A$44)-4)/((Pessoas!$C$5:$C$44=$K1355)*(Pessoas!$G$5:$G$44="Ativo")),MOD(ROW()-6,MAX(1,COUNTIFS(Pessoas!$C$5:$C$44,$K1355,Pessoas!$G$5:$G$44,"Ativo")))+1)))</f>
        <v>Equipe Oficina Mecânica Central-Taisa</v>
      </c>
    </row>
    <row r="1356" spans="1:12" ht="15" customHeight="1" x14ac:dyDescent="0.4">
      <c r="A1356" s="25">
        <v>46449</v>
      </c>
      <c r="B1356" s="16">
        <v>27</v>
      </c>
      <c r="C1356" s="16">
        <v>3</v>
      </c>
      <c r="D1356" s="16">
        <v>3</v>
      </c>
      <c r="E1356" s="16" t="s">
        <v>980</v>
      </c>
      <c r="F1356" s="16" t="s">
        <v>1155</v>
      </c>
      <c r="G1356" s="16" t="s">
        <v>184</v>
      </c>
      <c r="H1356" s="16" t="s">
        <v>141</v>
      </c>
      <c r="I1356" s="22" t="s">
        <v>864</v>
      </c>
      <c r="J1356" s="16">
        <f>IFERROR(INDEX(Aux_HH!$J$4:$J$31,MATCH($H1356&amp;"|"&amp;$I1356,Aux_HH!$A$4:$A$31,0)),"")</f>
        <v>8</v>
      </c>
      <c r="K1356" s="16" t="s">
        <v>76</v>
      </c>
      <c r="L1356" s="16" t="str">
        <f>IF(COUNTIFS(Pessoas!$C$5:$C$44,$K1356,Pessoas!$G$5:$G$44,"Ativo")=0,"Equipe "&amp;$K1356,INDEX(Pessoas!$A$5:$A$44,_xludf.aggregate(15,6,(ROW(Pessoas!$A$5:$A$44)-4)/((Pessoas!$C$5:$C$44=$K1356)*(Pessoas!$G$5:$G$44="Ativo")),MOD(ROW()-6,MAX(1,COUNTIFS(Pessoas!$C$5:$C$44,$K1356,Pessoas!$G$5:$G$44,"Ativo")))+1)))</f>
        <v>Equipe Oficina Mecânica Central-Taisa</v>
      </c>
    </row>
    <row r="1357" spans="1:12" ht="15" customHeight="1" x14ac:dyDescent="0.4">
      <c r="A1357" s="25">
        <v>46449</v>
      </c>
      <c r="B1357" s="16">
        <v>27</v>
      </c>
      <c r="C1357" s="16">
        <v>3</v>
      </c>
      <c r="D1357" s="16">
        <v>3</v>
      </c>
      <c r="E1357" s="16" t="s">
        <v>980</v>
      </c>
      <c r="F1357" s="16" t="s">
        <v>1156</v>
      </c>
      <c r="G1357" s="16" t="s">
        <v>184</v>
      </c>
      <c r="H1357" s="16" t="s">
        <v>141</v>
      </c>
      <c r="I1357" s="22" t="s">
        <v>864</v>
      </c>
      <c r="J1357" s="16">
        <f>IFERROR(INDEX(Aux_HH!$J$4:$J$31,MATCH($H1357&amp;"|"&amp;$I1357,Aux_HH!$A$4:$A$31,0)),"")</f>
        <v>8</v>
      </c>
      <c r="K1357" s="16" t="s">
        <v>76</v>
      </c>
      <c r="L1357" s="16" t="str">
        <f>IF(COUNTIFS(Pessoas!$C$5:$C$44,$K1357,Pessoas!$G$5:$G$44,"Ativo")=0,"Equipe "&amp;$K1357,INDEX(Pessoas!$A$5:$A$44,_xludf.aggregate(15,6,(ROW(Pessoas!$A$5:$A$44)-4)/((Pessoas!$C$5:$C$44=$K1357)*(Pessoas!$G$5:$G$44="Ativo")),MOD(ROW()-6,MAX(1,COUNTIFS(Pessoas!$C$5:$C$44,$K1357,Pessoas!$G$5:$G$44,"Ativo")))+1)))</f>
        <v>Equipe Oficina Mecânica Central-Taisa</v>
      </c>
    </row>
    <row r="1358" spans="1:12" ht="15" customHeight="1" x14ac:dyDescent="0.4">
      <c r="A1358" s="25">
        <v>46449</v>
      </c>
      <c r="B1358" s="16">
        <v>27</v>
      </c>
      <c r="C1358" s="16">
        <v>3</v>
      </c>
      <c r="D1358" s="16">
        <v>3</v>
      </c>
      <c r="E1358" s="16" t="s">
        <v>980</v>
      </c>
      <c r="F1358" s="16" t="s">
        <v>1157</v>
      </c>
      <c r="G1358" s="16" t="s">
        <v>158</v>
      </c>
      <c r="H1358" s="16" t="s">
        <v>141</v>
      </c>
      <c r="I1358" s="22" t="s">
        <v>864</v>
      </c>
      <c r="J1358" s="16">
        <f>IFERROR(INDEX(Aux_HH!$J$4:$J$31,MATCH($H1358&amp;"|"&amp;$I1358,Aux_HH!$A$4:$A$31,0)),"")</f>
        <v>8</v>
      </c>
      <c r="K1358" s="16" t="s">
        <v>76</v>
      </c>
      <c r="L1358" s="16" t="str">
        <f>IF(COUNTIFS(Pessoas!$C$5:$C$44,$K1358,Pessoas!$G$5:$G$44,"Ativo")=0,"Equipe "&amp;$K1358,INDEX(Pessoas!$A$5:$A$44,_xludf.aggregate(15,6,(ROW(Pessoas!$A$5:$A$44)-4)/((Pessoas!$C$5:$C$44=$K1358)*(Pessoas!$G$5:$G$44="Ativo")),MOD(ROW()-6,MAX(1,COUNTIFS(Pessoas!$C$5:$C$44,$K1358,Pessoas!$G$5:$G$44,"Ativo")))+1)))</f>
        <v>Equipe Oficina Mecânica Central-Taisa</v>
      </c>
    </row>
    <row r="1359" spans="1:12" ht="15" customHeight="1" x14ac:dyDescent="0.4">
      <c r="A1359" s="25">
        <v>46449</v>
      </c>
      <c r="B1359" s="16">
        <v>27</v>
      </c>
      <c r="C1359" s="16">
        <v>3</v>
      </c>
      <c r="D1359" s="16">
        <v>3</v>
      </c>
      <c r="E1359" s="16" t="s">
        <v>980</v>
      </c>
      <c r="F1359" s="16" t="s">
        <v>1162</v>
      </c>
      <c r="G1359" s="16" t="s">
        <v>158</v>
      </c>
      <c r="H1359" s="16" t="s">
        <v>141</v>
      </c>
      <c r="I1359" s="22" t="s">
        <v>864</v>
      </c>
      <c r="J1359" s="16">
        <f>IFERROR(INDEX(Aux_HH!$J$4:$J$31,MATCH($H1359&amp;"|"&amp;$I1359,Aux_HH!$A$4:$A$31,0)),"")</f>
        <v>8</v>
      </c>
      <c r="K1359" s="16" t="s">
        <v>76</v>
      </c>
      <c r="L1359" s="16" t="str">
        <f>IF(COUNTIFS(Pessoas!$C$5:$C$44,$K1359,Pessoas!$G$5:$G$44,"Ativo")=0,"Equipe "&amp;$K1359,INDEX(Pessoas!$A$5:$A$44,_xludf.aggregate(15,6,(ROW(Pessoas!$A$5:$A$44)-4)/((Pessoas!$C$5:$C$44=$K1359)*(Pessoas!$G$5:$G$44="Ativo")),MOD(ROW()-6,MAX(1,COUNTIFS(Pessoas!$C$5:$C$44,$K1359,Pessoas!$G$5:$G$44,"Ativo")))+1)))</f>
        <v>Equipe Oficina Mecânica Central-Taisa</v>
      </c>
    </row>
    <row r="1360" spans="1:12" ht="15" customHeight="1" x14ac:dyDescent="0.4">
      <c r="A1360" s="25">
        <v>46449</v>
      </c>
      <c r="B1360" s="16">
        <v>27</v>
      </c>
      <c r="C1360" s="16">
        <v>3</v>
      </c>
      <c r="D1360" s="16">
        <v>3</v>
      </c>
      <c r="E1360" s="16" t="s">
        <v>980</v>
      </c>
      <c r="F1360" s="16" t="s">
        <v>1163</v>
      </c>
      <c r="G1360" s="16" t="s">
        <v>158</v>
      </c>
      <c r="H1360" s="16" t="s">
        <v>141</v>
      </c>
      <c r="I1360" s="22" t="s">
        <v>864</v>
      </c>
      <c r="J1360" s="16">
        <f>IFERROR(INDEX(Aux_HH!$J$4:$J$31,MATCH($H1360&amp;"|"&amp;$I1360,Aux_HH!$A$4:$A$31,0)),"")</f>
        <v>8</v>
      </c>
      <c r="K1360" s="16" t="s">
        <v>76</v>
      </c>
      <c r="L1360" s="16" t="str">
        <f>IF(COUNTIFS(Pessoas!$C$5:$C$44,$K1360,Pessoas!$G$5:$G$44,"Ativo")=0,"Equipe "&amp;$K1360,INDEX(Pessoas!$A$5:$A$44,_xludf.aggregate(15,6,(ROW(Pessoas!$A$5:$A$44)-4)/((Pessoas!$C$5:$C$44=$K1360)*(Pessoas!$G$5:$G$44="Ativo")),MOD(ROW()-6,MAX(1,COUNTIFS(Pessoas!$C$5:$C$44,$K1360,Pessoas!$G$5:$G$44,"Ativo")))+1)))</f>
        <v>Equipe Oficina Mecânica Central-Taisa</v>
      </c>
    </row>
    <row r="1361" spans="1:12" ht="15" customHeight="1" x14ac:dyDescent="0.4">
      <c r="A1361" s="25">
        <v>46449</v>
      </c>
      <c r="B1361" s="16">
        <v>27</v>
      </c>
      <c r="C1361" s="16">
        <v>3</v>
      </c>
      <c r="D1361" s="16">
        <v>3</v>
      </c>
      <c r="E1361" s="16" t="s">
        <v>980</v>
      </c>
      <c r="F1361" s="16" t="s">
        <v>1169</v>
      </c>
      <c r="G1361" s="16" t="s">
        <v>184</v>
      </c>
      <c r="H1361" s="16" t="s">
        <v>141</v>
      </c>
      <c r="I1361" s="22" t="s">
        <v>864</v>
      </c>
      <c r="J1361" s="16">
        <f>IFERROR(INDEX(Aux_HH!$J$4:$J$31,MATCH($H1361&amp;"|"&amp;$I1361,Aux_HH!$A$4:$A$31,0)),"")</f>
        <v>8</v>
      </c>
      <c r="K1361" s="16" t="s">
        <v>76</v>
      </c>
      <c r="L1361" s="16" t="str">
        <f>IF(COUNTIFS(Pessoas!$C$5:$C$44,$K1361,Pessoas!$G$5:$G$44,"Ativo")=0,"Equipe "&amp;$K1361,INDEX(Pessoas!$A$5:$A$44,_xludf.aggregate(15,6,(ROW(Pessoas!$A$5:$A$44)-4)/((Pessoas!$C$5:$C$44=$K1361)*(Pessoas!$G$5:$G$44="Ativo")),MOD(ROW()-6,MAX(1,COUNTIFS(Pessoas!$C$5:$C$44,$K1361,Pessoas!$G$5:$G$44,"Ativo")))+1)))</f>
        <v>Equipe Oficina Mecânica Central-Taisa</v>
      </c>
    </row>
    <row r="1362" spans="1:12" ht="15" customHeight="1" x14ac:dyDescent="0.4">
      <c r="A1362" s="25">
        <v>46450</v>
      </c>
      <c r="B1362" s="16">
        <v>27</v>
      </c>
      <c r="C1362" s="16">
        <v>3</v>
      </c>
      <c r="D1362" s="16">
        <v>3</v>
      </c>
      <c r="E1362" s="16" t="s">
        <v>980</v>
      </c>
      <c r="F1362" s="16" t="s">
        <v>1182</v>
      </c>
      <c r="G1362" s="16" t="s">
        <v>158</v>
      </c>
      <c r="H1362" s="16" t="s">
        <v>141</v>
      </c>
      <c r="I1362" s="22" t="s">
        <v>864</v>
      </c>
      <c r="J1362" s="16">
        <f>IFERROR(INDEX(Aux_HH!$J$4:$J$31,MATCH($H1362&amp;"|"&amp;$I1362,Aux_HH!$A$4:$A$31,0)),"")</f>
        <v>8</v>
      </c>
      <c r="K1362" s="16" t="s">
        <v>76</v>
      </c>
      <c r="L1362" s="16" t="str">
        <f>IF(COUNTIFS(Pessoas!$C$5:$C$44,$K1362,Pessoas!$G$5:$G$44,"Ativo")=0,"Equipe "&amp;$K1362,INDEX(Pessoas!$A$5:$A$44,_xludf.aggregate(15,6,(ROW(Pessoas!$A$5:$A$44)-4)/((Pessoas!$C$5:$C$44=$K1362)*(Pessoas!$G$5:$G$44="Ativo")),MOD(ROW()-6,MAX(1,COUNTIFS(Pessoas!$C$5:$C$44,$K1362,Pessoas!$G$5:$G$44,"Ativo")))+1)))</f>
        <v>Equipe Oficina Mecânica Central-Taisa</v>
      </c>
    </row>
    <row r="1363" spans="1:12" ht="15" customHeight="1" x14ac:dyDescent="0.4">
      <c r="A1363" s="25">
        <v>46450</v>
      </c>
      <c r="B1363" s="16">
        <v>27</v>
      </c>
      <c r="C1363" s="16">
        <v>3</v>
      </c>
      <c r="D1363" s="16">
        <v>3</v>
      </c>
      <c r="E1363" s="16" t="s">
        <v>980</v>
      </c>
      <c r="F1363" s="16" t="s">
        <v>1183</v>
      </c>
      <c r="G1363" s="16" t="s">
        <v>158</v>
      </c>
      <c r="H1363" s="16" t="s">
        <v>141</v>
      </c>
      <c r="I1363" s="22" t="s">
        <v>864</v>
      </c>
      <c r="J1363" s="16">
        <f>IFERROR(INDEX(Aux_HH!$J$4:$J$31,MATCH($H1363&amp;"|"&amp;$I1363,Aux_HH!$A$4:$A$31,0)),"")</f>
        <v>8</v>
      </c>
      <c r="K1363" s="16" t="s">
        <v>76</v>
      </c>
      <c r="L1363" s="16" t="str">
        <f>IF(COUNTIFS(Pessoas!$C$5:$C$44,$K1363,Pessoas!$G$5:$G$44,"Ativo")=0,"Equipe "&amp;$K1363,INDEX(Pessoas!$A$5:$A$44,_xludf.aggregate(15,6,(ROW(Pessoas!$A$5:$A$44)-4)/((Pessoas!$C$5:$C$44=$K1363)*(Pessoas!$G$5:$G$44="Ativo")),MOD(ROW()-6,MAX(1,COUNTIFS(Pessoas!$C$5:$C$44,$K1363,Pessoas!$G$5:$G$44,"Ativo")))+1)))</f>
        <v>Equipe Oficina Mecânica Central-Taisa</v>
      </c>
    </row>
    <row r="1364" spans="1:12" ht="15" customHeight="1" x14ac:dyDescent="0.4">
      <c r="A1364" s="25">
        <v>46450</v>
      </c>
      <c r="B1364" s="16">
        <v>27</v>
      </c>
      <c r="C1364" s="16">
        <v>3</v>
      </c>
      <c r="D1364" s="16">
        <v>3</v>
      </c>
      <c r="E1364" s="16" t="s">
        <v>980</v>
      </c>
      <c r="F1364" s="16" t="s">
        <v>1184</v>
      </c>
      <c r="G1364" s="16" t="s">
        <v>158</v>
      </c>
      <c r="H1364" s="16" t="s">
        <v>141</v>
      </c>
      <c r="I1364" s="22" t="s">
        <v>864</v>
      </c>
      <c r="J1364" s="16">
        <f>IFERROR(INDEX(Aux_HH!$J$4:$J$31,MATCH($H1364&amp;"|"&amp;$I1364,Aux_HH!$A$4:$A$31,0)),"")</f>
        <v>8</v>
      </c>
      <c r="K1364" s="16" t="s">
        <v>76</v>
      </c>
      <c r="L1364" s="16" t="str">
        <f>IF(COUNTIFS(Pessoas!$C$5:$C$44,$K1364,Pessoas!$G$5:$G$44,"Ativo")=0,"Equipe "&amp;$K1364,INDEX(Pessoas!$A$5:$A$44,_xludf.aggregate(15,6,(ROW(Pessoas!$A$5:$A$44)-4)/((Pessoas!$C$5:$C$44=$K1364)*(Pessoas!$G$5:$G$44="Ativo")),MOD(ROW()-6,MAX(1,COUNTIFS(Pessoas!$C$5:$C$44,$K1364,Pessoas!$G$5:$G$44,"Ativo")))+1)))</f>
        <v>Equipe Oficina Mecânica Central-Taisa</v>
      </c>
    </row>
    <row r="1365" spans="1:12" ht="15" customHeight="1" x14ac:dyDescent="0.4">
      <c r="A1365" s="25">
        <v>46450</v>
      </c>
      <c r="B1365" s="16">
        <v>27</v>
      </c>
      <c r="C1365" s="16">
        <v>3</v>
      </c>
      <c r="D1365" s="16">
        <v>3</v>
      </c>
      <c r="E1365" s="16" t="s">
        <v>980</v>
      </c>
      <c r="F1365" s="16" t="s">
        <v>1185</v>
      </c>
      <c r="G1365" s="16" t="s">
        <v>158</v>
      </c>
      <c r="H1365" s="16" t="s">
        <v>141</v>
      </c>
      <c r="I1365" s="22" t="s">
        <v>864</v>
      </c>
      <c r="J1365" s="16">
        <f>IFERROR(INDEX(Aux_HH!$J$4:$J$31,MATCH($H1365&amp;"|"&amp;$I1365,Aux_HH!$A$4:$A$31,0)),"")</f>
        <v>8</v>
      </c>
      <c r="K1365" s="16" t="s">
        <v>76</v>
      </c>
      <c r="L1365" s="16" t="str">
        <f>IF(COUNTIFS(Pessoas!$C$5:$C$44,$K1365,Pessoas!$G$5:$G$44,"Ativo")=0,"Equipe "&amp;$K1365,INDEX(Pessoas!$A$5:$A$44,_xludf.aggregate(15,6,(ROW(Pessoas!$A$5:$A$44)-4)/((Pessoas!$C$5:$C$44=$K1365)*(Pessoas!$G$5:$G$44="Ativo")),MOD(ROW()-6,MAX(1,COUNTIFS(Pessoas!$C$5:$C$44,$K1365,Pessoas!$G$5:$G$44,"Ativo")))+1)))</f>
        <v>Equipe Oficina Mecânica Central-Taisa</v>
      </c>
    </row>
    <row r="1366" spans="1:12" ht="15" customHeight="1" x14ac:dyDescent="0.4">
      <c r="A1366" s="25">
        <v>46450</v>
      </c>
      <c r="B1366" s="16">
        <v>27</v>
      </c>
      <c r="C1366" s="16">
        <v>3</v>
      </c>
      <c r="D1366" s="16">
        <v>3</v>
      </c>
      <c r="E1366" s="16" t="s">
        <v>980</v>
      </c>
      <c r="F1366" s="16" t="s">
        <v>1186</v>
      </c>
      <c r="G1366" s="16" t="s">
        <v>158</v>
      </c>
      <c r="H1366" s="16" t="s">
        <v>141</v>
      </c>
      <c r="I1366" s="22" t="s">
        <v>864</v>
      </c>
      <c r="J1366" s="16">
        <f>IFERROR(INDEX(Aux_HH!$J$4:$J$31,MATCH($H1366&amp;"|"&amp;$I1366,Aux_HH!$A$4:$A$31,0)),"")</f>
        <v>8</v>
      </c>
      <c r="K1366" s="16" t="s">
        <v>76</v>
      </c>
      <c r="L1366" s="16" t="str">
        <f>IF(COUNTIFS(Pessoas!$C$5:$C$44,$K1366,Pessoas!$G$5:$G$44,"Ativo")=0,"Equipe "&amp;$K1366,INDEX(Pessoas!$A$5:$A$44,_xludf.aggregate(15,6,(ROW(Pessoas!$A$5:$A$44)-4)/((Pessoas!$C$5:$C$44=$K1366)*(Pessoas!$G$5:$G$44="Ativo")),MOD(ROW()-6,MAX(1,COUNTIFS(Pessoas!$C$5:$C$44,$K1366,Pessoas!$G$5:$G$44,"Ativo")))+1)))</f>
        <v>Equipe Oficina Mecânica Central-Taisa</v>
      </c>
    </row>
    <row r="1367" spans="1:12" ht="15" customHeight="1" x14ac:dyDescent="0.4">
      <c r="A1367" s="25">
        <v>46450</v>
      </c>
      <c r="B1367" s="16">
        <v>27</v>
      </c>
      <c r="C1367" s="16">
        <v>3</v>
      </c>
      <c r="D1367" s="16">
        <v>3</v>
      </c>
      <c r="E1367" s="16" t="s">
        <v>980</v>
      </c>
      <c r="F1367" s="16" t="s">
        <v>1187</v>
      </c>
      <c r="G1367" s="16" t="s">
        <v>158</v>
      </c>
      <c r="H1367" s="16" t="s">
        <v>141</v>
      </c>
      <c r="I1367" s="22" t="s">
        <v>864</v>
      </c>
      <c r="J1367" s="16">
        <f>IFERROR(INDEX(Aux_HH!$J$4:$J$31,MATCH($H1367&amp;"|"&amp;$I1367,Aux_HH!$A$4:$A$31,0)),"")</f>
        <v>8</v>
      </c>
      <c r="K1367" s="16" t="s">
        <v>76</v>
      </c>
      <c r="L1367" s="16" t="str">
        <f>IF(COUNTIFS(Pessoas!$C$5:$C$44,$K1367,Pessoas!$G$5:$G$44,"Ativo")=0,"Equipe "&amp;$K1367,INDEX(Pessoas!$A$5:$A$44,_xludf.aggregate(15,6,(ROW(Pessoas!$A$5:$A$44)-4)/((Pessoas!$C$5:$C$44=$K1367)*(Pessoas!$G$5:$G$44="Ativo")),MOD(ROW()-6,MAX(1,COUNTIFS(Pessoas!$C$5:$C$44,$K1367,Pessoas!$G$5:$G$44,"Ativo")))+1)))</f>
        <v>Equipe Oficina Mecânica Central-Taisa</v>
      </c>
    </row>
    <row r="1368" spans="1:12" ht="15" customHeight="1" x14ac:dyDescent="0.4">
      <c r="A1368" s="25">
        <v>46450</v>
      </c>
      <c r="B1368" s="16">
        <v>27</v>
      </c>
      <c r="C1368" s="16">
        <v>3</v>
      </c>
      <c r="D1368" s="16">
        <v>3</v>
      </c>
      <c r="E1368" s="16" t="s">
        <v>980</v>
      </c>
      <c r="F1368" s="16" t="s">
        <v>1188</v>
      </c>
      <c r="G1368" s="16" t="s">
        <v>158</v>
      </c>
      <c r="H1368" s="16" t="s">
        <v>141</v>
      </c>
      <c r="I1368" s="22" t="s">
        <v>864</v>
      </c>
      <c r="J1368" s="16">
        <f>IFERROR(INDEX(Aux_HH!$J$4:$J$31,MATCH($H1368&amp;"|"&amp;$I1368,Aux_HH!$A$4:$A$31,0)),"")</f>
        <v>8</v>
      </c>
      <c r="K1368" s="16" t="s">
        <v>76</v>
      </c>
      <c r="L1368" s="16" t="str">
        <f>IF(COUNTIFS(Pessoas!$C$5:$C$44,$K1368,Pessoas!$G$5:$G$44,"Ativo")=0,"Equipe "&amp;$K1368,INDEX(Pessoas!$A$5:$A$44,_xludf.aggregate(15,6,(ROW(Pessoas!$A$5:$A$44)-4)/((Pessoas!$C$5:$C$44=$K1368)*(Pessoas!$G$5:$G$44="Ativo")),MOD(ROW()-6,MAX(1,COUNTIFS(Pessoas!$C$5:$C$44,$K1368,Pessoas!$G$5:$G$44,"Ativo")))+1)))</f>
        <v>Equipe Oficina Mecânica Central-Taisa</v>
      </c>
    </row>
    <row r="1369" spans="1:12" ht="15" customHeight="1" x14ac:dyDescent="0.4">
      <c r="A1369" s="25">
        <v>46450</v>
      </c>
      <c r="B1369" s="16">
        <v>27</v>
      </c>
      <c r="C1369" s="16">
        <v>3</v>
      </c>
      <c r="D1369" s="16">
        <v>3</v>
      </c>
      <c r="E1369" s="16" t="s">
        <v>980</v>
      </c>
      <c r="F1369" s="16" t="s">
        <v>1189</v>
      </c>
      <c r="G1369" s="16" t="s">
        <v>158</v>
      </c>
      <c r="H1369" s="16" t="s">
        <v>141</v>
      </c>
      <c r="I1369" s="22" t="s">
        <v>864</v>
      </c>
      <c r="J1369" s="16">
        <f>IFERROR(INDEX(Aux_HH!$J$4:$J$31,MATCH($H1369&amp;"|"&amp;$I1369,Aux_HH!$A$4:$A$31,0)),"")</f>
        <v>8</v>
      </c>
      <c r="K1369" s="16" t="s">
        <v>76</v>
      </c>
      <c r="L1369" s="16" t="str">
        <f>IF(COUNTIFS(Pessoas!$C$5:$C$44,$K1369,Pessoas!$G$5:$G$44,"Ativo")=0,"Equipe "&amp;$K1369,INDEX(Pessoas!$A$5:$A$44,_xludf.aggregate(15,6,(ROW(Pessoas!$A$5:$A$44)-4)/((Pessoas!$C$5:$C$44=$K1369)*(Pessoas!$G$5:$G$44="Ativo")),MOD(ROW()-6,MAX(1,COUNTIFS(Pessoas!$C$5:$C$44,$K1369,Pessoas!$G$5:$G$44,"Ativo")))+1)))</f>
        <v>Equipe Oficina Mecânica Central-Taisa</v>
      </c>
    </row>
    <row r="1370" spans="1:12" ht="15" customHeight="1" x14ac:dyDescent="0.4">
      <c r="A1370" s="25">
        <v>46450</v>
      </c>
      <c r="B1370" s="16">
        <v>27</v>
      </c>
      <c r="C1370" s="16">
        <v>3</v>
      </c>
      <c r="D1370" s="16">
        <v>3</v>
      </c>
      <c r="E1370" s="16" t="s">
        <v>980</v>
      </c>
      <c r="F1370" s="16" t="s">
        <v>1190</v>
      </c>
      <c r="G1370" s="16" t="s">
        <v>158</v>
      </c>
      <c r="H1370" s="16" t="s">
        <v>141</v>
      </c>
      <c r="I1370" s="22" t="s">
        <v>864</v>
      </c>
      <c r="J1370" s="16">
        <f>IFERROR(INDEX(Aux_HH!$J$4:$J$31,MATCH($H1370&amp;"|"&amp;$I1370,Aux_HH!$A$4:$A$31,0)),"")</f>
        <v>8</v>
      </c>
      <c r="K1370" s="16" t="s">
        <v>76</v>
      </c>
      <c r="L1370" s="16" t="str">
        <f>IF(COUNTIFS(Pessoas!$C$5:$C$44,$K1370,Pessoas!$G$5:$G$44,"Ativo")=0,"Equipe "&amp;$K1370,INDEX(Pessoas!$A$5:$A$44,_xludf.aggregate(15,6,(ROW(Pessoas!$A$5:$A$44)-4)/((Pessoas!$C$5:$C$44=$K1370)*(Pessoas!$G$5:$G$44="Ativo")),MOD(ROW()-6,MAX(1,COUNTIFS(Pessoas!$C$5:$C$44,$K1370,Pessoas!$G$5:$G$44,"Ativo")))+1)))</f>
        <v>Equipe Oficina Mecânica Central-Taisa</v>
      </c>
    </row>
    <row r="1371" spans="1:12" ht="15" customHeight="1" x14ac:dyDescent="0.4">
      <c r="A1371" s="25">
        <v>46450</v>
      </c>
      <c r="B1371" s="16">
        <v>27</v>
      </c>
      <c r="C1371" s="16">
        <v>3</v>
      </c>
      <c r="D1371" s="16">
        <v>3</v>
      </c>
      <c r="E1371" s="16" t="s">
        <v>980</v>
      </c>
      <c r="F1371" s="16" t="s">
        <v>1191</v>
      </c>
      <c r="G1371" s="16" t="s">
        <v>158</v>
      </c>
      <c r="H1371" s="16" t="s">
        <v>141</v>
      </c>
      <c r="I1371" s="22" t="s">
        <v>864</v>
      </c>
      <c r="J1371" s="16">
        <f>IFERROR(INDEX(Aux_HH!$J$4:$J$31,MATCH($H1371&amp;"|"&amp;$I1371,Aux_HH!$A$4:$A$31,0)),"")</f>
        <v>8</v>
      </c>
      <c r="K1371" s="16" t="s">
        <v>76</v>
      </c>
      <c r="L1371" s="16" t="str">
        <f>IF(COUNTIFS(Pessoas!$C$5:$C$44,$K1371,Pessoas!$G$5:$G$44,"Ativo")=0,"Equipe "&amp;$K1371,INDEX(Pessoas!$A$5:$A$44,_xludf.aggregate(15,6,(ROW(Pessoas!$A$5:$A$44)-4)/((Pessoas!$C$5:$C$44=$K1371)*(Pessoas!$G$5:$G$44="Ativo")),MOD(ROW()-6,MAX(1,COUNTIFS(Pessoas!$C$5:$C$44,$K1371,Pessoas!$G$5:$G$44,"Ativo")))+1)))</f>
        <v>Equipe Oficina Mecânica Central-Taisa</v>
      </c>
    </row>
    <row r="1372" spans="1:12" ht="15" customHeight="1" x14ac:dyDescent="0.4">
      <c r="A1372" s="25">
        <v>46450</v>
      </c>
      <c r="B1372" s="16">
        <v>27</v>
      </c>
      <c r="C1372" s="16">
        <v>3</v>
      </c>
      <c r="D1372" s="16">
        <v>3</v>
      </c>
      <c r="E1372" s="16" t="s">
        <v>980</v>
      </c>
      <c r="F1372" s="16" t="s">
        <v>1192</v>
      </c>
      <c r="G1372" s="16" t="s">
        <v>158</v>
      </c>
      <c r="H1372" s="16" t="s">
        <v>141</v>
      </c>
      <c r="I1372" s="22" t="s">
        <v>864</v>
      </c>
      <c r="J1372" s="16">
        <f>IFERROR(INDEX(Aux_HH!$J$4:$J$31,MATCH($H1372&amp;"|"&amp;$I1372,Aux_HH!$A$4:$A$31,0)),"")</f>
        <v>8</v>
      </c>
      <c r="K1372" s="16" t="s">
        <v>76</v>
      </c>
      <c r="L1372" s="16" t="str">
        <f>IF(COUNTIFS(Pessoas!$C$5:$C$44,$K1372,Pessoas!$G$5:$G$44,"Ativo")=0,"Equipe "&amp;$K1372,INDEX(Pessoas!$A$5:$A$44,_xludf.aggregate(15,6,(ROW(Pessoas!$A$5:$A$44)-4)/((Pessoas!$C$5:$C$44=$K1372)*(Pessoas!$G$5:$G$44="Ativo")),MOD(ROW()-6,MAX(1,COUNTIFS(Pessoas!$C$5:$C$44,$K1372,Pessoas!$G$5:$G$44,"Ativo")))+1)))</f>
        <v>Equipe Oficina Mecânica Central-Taisa</v>
      </c>
    </row>
    <row r="1373" spans="1:12" ht="15" customHeight="1" x14ac:dyDescent="0.4">
      <c r="A1373" s="25">
        <v>46450</v>
      </c>
      <c r="B1373" s="16">
        <v>27</v>
      </c>
      <c r="C1373" s="16">
        <v>3</v>
      </c>
      <c r="D1373" s="16">
        <v>3</v>
      </c>
      <c r="E1373" s="16" t="s">
        <v>980</v>
      </c>
      <c r="F1373" s="16" t="s">
        <v>1193</v>
      </c>
      <c r="G1373" s="16" t="s">
        <v>158</v>
      </c>
      <c r="H1373" s="16" t="s">
        <v>141</v>
      </c>
      <c r="I1373" s="22" t="s">
        <v>864</v>
      </c>
      <c r="J1373" s="16">
        <f>IFERROR(INDEX(Aux_HH!$J$4:$J$31,MATCH($H1373&amp;"|"&amp;$I1373,Aux_HH!$A$4:$A$31,0)),"")</f>
        <v>8</v>
      </c>
      <c r="K1373" s="16" t="s">
        <v>76</v>
      </c>
      <c r="L1373" s="16" t="str">
        <f>IF(COUNTIFS(Pessoas!$C$5:$C$44,$K1373,Pessoas!$G$5:$G$44,"Ativo")=0,"Equipe "&amp;$K1373,INDEX(Pessoas!$A$5:$A$44,_xludf.aggregate(15,6,(ROW(Pessoas!$A$5:$A$44)-4)/((Pessoas!$C$5:$C$44=$K1373)*(Pessoas!$G$5:$G$44="Ativo")),MOD(ROW()-6,MAX(1,COUNTIFS(Pessoas!$C$5:$C$44,$K1373,Pessoas!$G$5:$G$44,"Ativo")))+1)))</f>
        <v>Equipe Oficina Mecânica Central-Taisa</v>
      </c>
    </row>
    <row r="1374" spans="1:12" ht="15" customHeight="1" x14ac:dyDescent="0.4">
      <c r="A1374" s="25">
        <v>46450</v>
      </c>
      <c r="B1374" s="16">
        <v>27</v>
      </c>
      <c r="C1374" s="16">
        <v>3</v>
      </c>
      <c r="D1374" s="16">
        <v>3</v>
      </c>
      <c r="E1374" s="16" t="s">
        <v>980</v>
      </c>
      <c r="F1374" s="16" t="s">
        <v>1194</v>
      </c>
      <c r="G1374" s="16" t="s">
        <v>184</v>
      </c>
      <c r="H1374" s="16" t="s">
        <v>141</v>
      </c>
      <c r="I1374" s="22" t="s">
        <v>864</v>
      </c>
      <c r="J1374" s="16">
        <f>IFERROR(INDEX(Aux_HH!$J$4:$J$31,MATCH($H1374&amp;"|"&amp;$I1374,Aux_HH!$A$4:$A$31,0)),"")</f>
        <v>8</v>
      </c>
      <c r="K1374" s="16" t="s">
        <v>76</v>
      </c>
      <c r="L1374" s="16" t="str">
        <f>IF(COUNTIFS(Pessoas!$C$5:$C$44,$K1374,Pessoas!$G$5:$G$44,"Ativo")=0,"Equipe "&amp;$K1374,INDEX(Pessoas!$A$5:$A$44,_xludf.aggregate(15,6,(ROW(Pessoas!$A$5:$A$44)-4)/((Pessoas!$C$5:$C$44=$K1374)*(Pessoas!$G$5:$G$44="Ativo")),MOD(ROW()-6,MAX(1,COUNTIFS(Pessoas!$C$5:$C$44,$K1374,Pessoas!$G$5:$G$44,"Ativo")))+1)))</f>
        <v>Equipe Oficina Mecânica Central-Taisa</v>
      </c>
    </row>
    <row r="1375" spans="1:12" ht="15" customHeight="1" x14ac:dyDescent="0.4">
      <c r="A1375" s="25">
        <v>46450</v>
      </c>
      <c r="B1375" s="16">
        <v>27</v>
      </c>
      <c r="C1375" s="16">
        <v>3</v>
      </c>
      <c r="D1375" s="16">
        <v>3</v>
      </c>
      <c r="E1375" s="16" t="s">
        <v>980</v>
      </c>
      <c r="F1375" s="16" t="s">
        <v>1195</v>
      </c>
      <c r="G1375" s="16" t="s">
        <v>184</v>
      </c>
      <c r="H1375" s="16" t="s">
        <v>141</v>
      </c>
      <c r="I1375" s="22" t="s">
        <v>864</v>
      </c>
      <c r="J1375" s="16">
        <f>IFERROR(INDEX(Aux_HH!$J$4:$J$31,MATCH($H1375&amp;"|"&amp;$I1375,Aux_HH!$A$4:$A$31,0)),"")</f>
        <v>8</v>
      </c>
      <c r="K1375" s="16" t="s">
        <v>76</v>
      </c>
      <c r="L1375" s="16" t="str">
        <f>IF(COUNTIFS(Pessoas!$C$5:$C$44,$K1375,Pessoas!$G$5:$G$44,"Ativo")=0,"Equipe "&amp;$K1375,INDEX(Pessoas!$A$5:$A$44,_xludf.aggregate(15,6,(ROW(Pessoas!$A$5:$A$44)-4)/((Pessoas!$C$5:$C$44=$K1375)*(Pessoas!$G$5:$G$44="Ativo")),MOD(ROW()-6,MAX(1,COUNTIFS(Pessoas!$C$5:$C$44,$K1375,Pessoas!$G$5:$G$44,"Ativo")))+1)))</f>
        <v>Equipe Oficina Mecânica Central-Taisa</v>
      </c>
    </row>
    <row r="1376" spans="1:12" ht="15" customHeight="1" x14ac:dyDescent="0.4">
      <c r="A1376" s="25">
        <v>46450</v>
      </c>
      <c r="B1376" s="16">
        <v>27</v>
      </c>
      <c r="C1376" s="16">
        <v>3</v>
      </c>
      <c r="D1376" s="16">
        <v>3</v>
      </c>
      <c r="E1376" s="16" t="s">
        <v>980</v>
      </c>
      <c r="F1376" s="16" t="s">
        <v>1196</v>
      </c>
      <c r="G1376" s="16" t="s">
        <v>184</v>
      </c>
      <c r="H1376" s="16" t="s">
        <v>141</v>
      </c>
      <c r="I1376" s="22" t="s">
        <v>864</v>
      </c>
      <c r="J1376" s="16">
        <f>IFERROR(INDEX(Aux_HH!$J$4:$J$31,MATCH($H1376&amp;"|"&amp;$I1376,Aux_HH!$A$4:$A$31,0)),"")</f>
        <v>8</v>
      </c>
      <c r="K1376" s="16" t="s">
        <v>76</v>
      </c>
      <c r="L1376" s="16" t="str">
        <f>IF(COUNTIFS(Pessoas!$C$5:$C$44,$K1376,Pessoas!$G$5:$G$44,"Ativo")=0,"Equipe "&amp;$K1376,INDEX(Pessoas!$A$5:$A$44,_xludf.aggregate(15,6,(ROW(Pessoas!$A$5:$A$44)-4)/((Pessoas!$C$5:$C$44=$K1376)*(Pessoas!$G$5:$G$44="Ativo")),MOD(ROW()-6,MAX(1,COUNTIFS(Pessoas!$C$5:$C$44,$K1376,Pessoas!$G$5:$G$44,"Ativo")))+1)))</f>
        <v>Equipe Oficina Mecânica Central-Taisa</v>
      </c>
    </row>
    <row r="1377" spans="1:12" ht="15" customHeight="1" x14ac:dyDescent="0.4">
      <c r="A1377" s="25">
        <v>46450</v>
      </c>
      <c r="B1377" s="16">
        <v>27</v>
      </c>
      <c r="C1377" s="16">
        <v>3</v>
      </c>
      <c r="D1377" s="16">
        <v>3</v>
      </c>
      <c r="E1377" s="16" t="s">
        <v>980</v>
      </c>
      <c r="F1377" s="16" t="s">
        <v>1197</v>
      </c>
      <c r="G1377" s="16" t="s">
        <v>184</v>
      </c>
      <c r="H1377" s="16" t="s">
        <v>141</v>
      </c>
      <c r="I1377" s="22" t="s">
        <v>864</v>
      </c>
      <c r="J1377" s="16">
        <f>IFERROR(INDEX(Aux_HH!$J$4:$J$31,MATCH($H1377&amp;"|"&amp;$I1377,Aux_HH!$A$4:$A$31,0)),"")</f>
        <v>8</v>
      </c>
      <c r="K1377" s="16" t="s">
        <v>76</v>
      </c>
      <c r="L1377" s="16" t="str">
        <f>IF(COUNTIFS(Pessoas!$C$5:$C$44,$K1377,Pessoas!$G$5:$G$44,"Ativo")=0,"Equipe "&amp;$K1377,INDEX(Pessoas!$A$5:$A$44,_xludf.aggregate(15,6,(ROW(Pessoas!$A$5:$A$44)-4)/((Pessoas!$C$5:$C$44=$K1377)*(Pessoas!$G$5:$G$44="Ativo")),MOD(ROW()-6,MAX(1,COUNTIFS(Pessoas!$C$5:$C$44,$K1377,Pessoas!$G$5:$G$44,"Ativo")))+1)))</f>
        <v>Equipe Oficina Mecânica Central-Taisa</v>
      </c>
    </row>
    <row r="1378" spans="1:12" ht="15" customHeight="1" x14ac:dyDescent="0.4">
      <c r="A1378" s="25">
        <v>46450</v>
      </c>
      <c r="B1378" s="16">
        <v>27</v>
      </c>
      <c r="C1378" s="16">
        <v>3</v>
      </c>
      <c r="D1378" s="16">
        <v>3</v>
      </c>
      <c r="E1378" s="16" t="s">
        <v>980</v>
      </c>
      <c r="F1378" s="16" t="s">
        <v>1198</v>
      </c>
      <c r="G1378" s="16" t="s">
        <v>184</v>
      </c>
      <c r="H1378" s="16" t="s">
        <v>141</v>
      </c>
      <c r="I1378" s="22" t="s">
        <v>864</v>
      </c>
      <c r="J1378" s="16">
        <f>IFERROR(INDEX(Aux_HH!$J$4:$J$31,MATCH($H1378&amp;"|"&amp;$I1378,Aux_HH!$A$4:$A$31,0)),"")</f>
        <v>8</v>
      </c>
      <c r="K1378" s="16" t="s">
        <v>76</v>
      </c>
      <c r="L1378" s="16" t="str">
        <f>IF(COUNTIFS(Pessoas!$C$5:$C$44,$K1378,Pessoas!$G$5:$G$44,"Ativo")=0,"Equipe "&amp;$K1378,INDEX(Pessoas!$A$5:$A$44,_xludf.aggregate(15,6,(ROW(Pessoas!$A$5:$A$44)-4)/((Pessoas!$C$5:$C$44=$K1378)*(Pessoas!$G$5:$G$44="Ativo")),MOD(ROW()-6,MAX(1,COUNTIFS(Pessoas!$C$5:$C$44,$K1378,Pessoas!$G$5:$G$44,"Ativo")))+1)))</f>
        <v>Equipe Oficina Mecânica Central-Taisa</v>
      </c>
    </row>
    <row r="1379" spans="1:12" ht="15" customHeight="1" x14ac:dyDescent="0.4">
      <c r="A1379" s="25">
        <v>46450</v>
      </c>
      <c r="B1379" s="16">
        <v>27</v>
      </c>
      <c r="C1379" s="16">
        <v>3</v>
      </c>
      <c r="D1379" s="16">
        <v>3</v>
      </c>
      <c r="E1379" s="16" t="s">
        <v>980</v>
      </c>
      <c r="F1379" s="16" t="s">
        <v>1199</v>
      </c>
      <c r="G1379" s="16" t="s">
        <v>184</v>
      </c>
      <c r="H1379" s="16" t="s">
        <v>141</v>
      </c>
      <c r="I1379" s="22" t="s">
        <v>864</v>
      </c>
      <c r="J1379" s="16">
        <f>IFERROR(INDEX(Aux_HH!$J$4:$J$31,MATCH($H1379&amp;"|"&amp;$I1379,Aux_HH!$A$4:$A$31,0)),"")</f>
        <v>8</v>
      </c>
      <c r="K1379" s="16" t="s">
        <v>76</v>
      </c>
      <c r="L1379" s="16" t="str">
        <f>IF(COUNTIFS(Pessoas!$C$5:$C$44,$K1379,Pessoas!$G$5:$G$44,"Ativo")=0,"Equipe "&amp;$K1379,INDEX(Pessoas!$A$5:$A$44,_xludf.aggregate(15,6,(ROW(Pessoas!$A$5:$A$44)-4)/((Pessoas!$C$5:$C$44=$K1379)*(Pessoas!$G$5:$G$44="Ativo")),MOD(ROW()-6,MAX(1,COUNTIFS(Pessoas!$C$5:$C$44,$K1379,Pessoas!$G$5:$G$44,"Ativo")))+1)))</f>
        <v>Equipe Oficina Mecânica Central-Taisa</v>
      </c>
    </row>
    <row r="1380" spans="1:12" ht="15" customHeight="1" x14ac:dyDescent="0.4">
      <c r="A1380" s="25">
        <v>46450</v>
      </c>
      <c r="B1380" s="16">
        <v>27</v>
      </c>
      <c r="C1380" s="16">
        <v>3</v>
      </c>
      <c r="D1380" s="16">
        <v>3</v>
      </c>
      <c r="E1380" s="16" t="s">
        <v>980</v>
      </c>
      <c r="F1380" s="16" t="s">
        <v>1200</v>
      </c>
      <c r="G1380" s="16" t="s">
        <v>184</v>
      </c>
      <c r="H1380" s="16" t="s">
        <v>141</v>
      </c>
      <c r="I1380" s="22" t="s">
        <v>864</v>
      </c>
      <c r="J1380" s="16">
        <f>IFERROR(INDEX(Aux_HH!$J$4:$J$31,MATCH($H1380&amp;"|"&amp;$I1380,Aux_HH!$A$4:$A$31,0)),"")</f>
        <v>8</v>
      </c>
      <c r="K1380" s="16" t="s">
        <v>76</v>
      </c>
      <c r="L1380" s="16" t="str">
        <f>IF(COUNTIFS(Pessoas!$C$5:$C$44,$K1380,Pessoas!$G$5:$G$44,"Ativo")=0,"Equipe "&amp;$K1380,INDEX(Pessoas!$A$5:$A$44,_xludf.aggregate(15,6,(ROW(Pessoas!$A$5:$A$44)-4)/((Pessoas!$C$5:$C$44=$K1380)*(Pessoas!$G$5:$G$44="Ativo")),MOD(ROW()-6,MAX(1,COUNTIFS(Pessoas!$C$5:$C$44,$K1380,Pessoas!$G$5:$G$44,"Ativo")))+1)))</f>
        <v>Equipe Oficina Mecânica Central-Taisa</v>
      </c>
    </row>
    <row r="1381" spans="1:12" ht="15" customHeight="1" x14ac:dyDescent="0.4">
      <c r="A1381" s="25">
        <v>46450</v>
      </c>
      <c r="B1381" s="16">
        <v>27</v>
      </c>
      <c r="C1381" s="16">
        <v>3</v>
      </c>
      <c r="D1381" s="16">
        <v>3</v>
      </c>
      <c r="E1381" s="16" t="s">
        <v>980</v>
      </c>
      <c r="F1381" s="16" t="s">
        <v>1201</v>
      </c>
      <c r="G1381" s="16" t="s">
        <v>184</v>
      </c>
      <c r="H1381" s="16" t="s">
        <v>141</v>
      </c>
      <c r="I1381" s="22" t="s">
        <v>864</v>
      </c>
      <c r="J1381" s="16">
        <f>IFERROR(INDEX(Aux_HH!$J$4:$J$31,MATCH($H1381&amp;"|"&amp;$I1381,Aux_HH!$A$4:$A$31,0)),"")</f>
        <v>8</v>
      </c>
      <c r="K1381" s="16" t="s">
        <v>76</v>
      </c>
      <c r="L1381" s="16" t="str">
        <f>IF(COUNTIFS(Pessoas!$C$5:$C$44,$K1381,Pessoas!$G$5:$G$44,"Ativo")=0,"Equipe "&amp;$K1381,INDEX(Pessoas!$A$5:$A$44,_xludf.aggregate(15,6,(ROW(Pessoas!$A$5:$A$44)-4)/((Pessoas!$C$5:$C$44=$K1381)*(Pessoas!$G$5:$G$44="Ativo")),MOD(ROW()-6,MAX(1,COUNTIFS(Pessoas!$C$5:$C$44,$K1381,Pessoas!$G$5:$G$44,"Ativo")))+1)))</f>
        <v>Equipe Oficina Mecânica Central-Taisa</v>
      </c>
    </row>
    <row r="1382" spans="1:12" ht="15" customHeight="1" x14ac:dyDescent="0.4">
      <c r="A1382" s="25">
        <v>46450</v>
      </c>
      <c r="B1382" s="16">
        <v>27</v>
      </c>
      <c r="C1382" s="16">
        <v>3</v>
      </c>
      <c r="D1382" s="16">
        <v>3</v>
      </c>
      <c r="E1382" s="16" t="s">
        <v>980</v>
      </c>
      <c r="F1382" s="16" t="s">
        <v>1202</v>
      </c>
      <c r="G1382" s="16" t="s">
        <v>184</v>
      </c>
      <c r="H1382" s="16" t="s">
        <v>141</v>
      </c>
      <c r="I1382" s="22" t="s">
        <v>864</v>
      </c>
      <c r="J1382" s="16">
        <f>IFERROR(INDEX(Aux_HH!$J$4:$J$31,MATCH($H1382&amp;"|"&amp;$I1382,Aux_HH!$A$4:$A$31,0)),"")</f>
        <v>8</v>
      </c>
      <c r="K1382" s="16" t="s">
        <v>76</v>
      </c>
      <c r="L1382" s="16" t="str">
        <f>IF(COUNTIFS(Pessoas!$C$5:$C$44,$K1382,Pessoas!$G$5:$G$44,"Ativo")=0,"Equipe "&amp;$K1382,INDEX(Pessoas!$A$5:$A$44,_xludf.aggregate(15,6,(ROW(Pessoas!$A$5:$A$44)-4)/((Pessoas!$C$5:$C$44=$K1382)*(Pessoas!$G$5:$G$44="Ativo")),MOD(ROW()-6,MAX(1,COUNTIFS(Pessoas!$C$5:$C$44,$K1382,Pessoas!$G$5:$G$44,"Ativo")))+1)))</f>
        <v>Equipe Oficina Mecânica Central-Taisa</v>
      </c>
    </row>
    <row r="1383" spans="1:12" ht="15" customHeight="1" x14ac:dyDescent="0.4">
      <c r="A1383" s="25">
        <v>46450</v>
      </c>
      <c r="B1383" s="16">
        <v>27</v>
      </c>
      <c r="C1383" s="16">
        <v>3</v>
      </c>
      <c r="D1383" s="16">
        <v>3</v>
      </c>
      <c r="E1383" s="16" t="s">
        <v>980</v>
      </c>
      <c r="F1383" s="16" t="s">
        <v>1203</v>
      </c>
      <c r="G1383" s="16" t="s">
        <v>184</v>
      </c>
      <c r="H1383" s="16" t="s">
        <v>141</v>
      </c>
      <c r="I1383" s="22" t="s">
        <v>864</v>
      </c>
      <c r="J1383" s="16">
        <f>IFERROR(INDEX(Aux_HH!$J$4:$J$31,MATCH($H1383&amp;"|"&amp;$I1383,Aux_HH!$A$4:$A$31,0)),"")</f>
        <v>8</v>
      </c>
      <c r="K1383" s="16" t="s">
        <v>76</v>
      </c>
      <c r="L1383" s="16" t="str">
        <f>IF(COUNTIFS(Pessoas!$C$5:$C$44,$K1383,Pessoas!$G$5:$G$44,"Ativo")=0,"Equipe "&amp;$K1383,INDEX(Pessoas!$A$5:$A$44,_xludf.aggregate(15,6,(ROW(Pessoas!$A$5:$A$44)-4)/((Pessoas!$C$5:$C$44=$K1383)*(Pessoas!$G$5:$G$44="Ativo")),MOD(ROW()-6,MAX(1,COUNTIFS(Pessoas!$C$5:$C$44,$K1383,Pessoas!$G$5:$G$44,"Ativo")))+1)))</f>
        <v>Equipe Oficina Mecânica Central-Taisa</v>
      </c>
    </row>
    <row r="1384" spans="1:12" ht="15" customHeight="1" x14ac:dyDescent="0.4">
      <c r="A1384" s="25">
        <v>46450</v>
      </c>
      <c r="B1384" s="16">
        <v>27</v>
      </c>
      <c r="C1384" s="16">
        <v>3</v>
      </c>
      <c r="D1384" s="16">
        <v>3</v>
      </c>
      <c r="E1384" s="16" t="s">
        <v>980</v>
      </c>
      <c r="F1384" s="16" t="s">
        <v>1204</v>
      </c>
      <c r="G1384" s="16" t="s">
        <v>184</v>
      </c>
      <c r="H1384" s="16" t="s">
        <v>141</v>
      </c>
      <c r="I1384" s="22" t="s">
        <v>864</v>
      </c>
      <c r="J1384" s="16">
        <f>IFERROR(INDEX(Aux_HH!$J$4:$J$31,MATCH($H1384&amp;"|"&amp;$I1384,Aux_HH!$A$4:$A$31,0)),"")</f>
        <v>8</v>
      </c>
      <c r="K1384" s="16" t="s">
        <v>76</v>
      </c>
      <c r="L1384" s="16" t="str">
        <f>IF(COUNTIFS(Pessoas!$C$5:$C$44,$K1384,Pessoas!$G$5:$G$44,"Ativo")=0,"Equipe "&amp;$K1384,INDEX(Pessoas!$A$5:$A$44,_xludf.aggregate(15,6,(ROW(Pessoas!$A$5:$A$44)-4)/((Pessoas!$C$5:$C$44=$K1384)*(Pessoas!$G$5:$G$44="Ativo")),MOD(ROW()-6,MAX(1,COUNTIFS(Pessoas!$C$5:$C$44,$K1384,Pessoas!$G$5:$G$44,"Ativo")))+1)))</f>
        <v>Equipe Oficina Mecânica Central-Taisa</v>
      </c>
    </row>
    <row r="1385" spans="1:12" ht="15" customHeight="1" x14ac:dyDescent="0.4">
      <c r="A1385" s="25">
        <v>46450</v>
      </c>
      <c r="B1385" s="16">
        <v>27</v>
      </c>
      <c r="C1385" s="16">
        <v>3</v>
      </c>
      <c r="D1385" s="16">
        <v>3</v>
      </c>
      <c r="E1385" s="16" t="s">
        <v>980</v>
      </c>
      <c r="F1385" s="16" t="s">
        <v>1209</v>
      </c>
      <c r="G1385" s="16" t="s">
        <v>158</v>
      </c>
      <c r="H1385" s="16" t="s">
        <v>141</v>
      </c>
      <c r="I1385" s="22" t="s">
        <v>864</v>
      </c>
      <c r="J1385" s="16">
        <f>IFERROR(INDEX(Aux_HH!$J$4:$J$31,MATCH($H1385&amp;"|"&amp;$I1385,Aux_HH!$A$4:$A$31,0)),"")</f>
        <v>8</v>
      </c>
      <c r="K1385" s="16" t="s">
        <v>76</v>
      </c>
      <c r="L1385" s="16" t="str">
        <f>IF(COUNTIFS(Pessoas!$C$5:$C$44,$K1385,Pessoas!$G$5:$G$44,"Ativo")=0,"Equipe "&amp;$K1385,INDEX(Pessoas!$A$5:$A$44,_xludf.aggregate(15,6,(ROW(Pessoas!$A$5:$A$44)-4)/((Pessoas!$C$5:$C$44=$K1385)*(Pessoas!$G$5:$G$44="Ativo")),MOD(ROW()-6,MAX(1,COUNTIFS(Pessoas!$C$5:$C$44,$K1385,Pessoas!$G$5:$G$44,"Ativo")))+1)))</f>
        <v>Equipe Oficina Mecânica Central-Taisa</v>
      </c>
    </row>
    <row r="1386" spans="1:12" ht="15" customHeight="1" x14ac:dyDescent="0.4">
      <c r="A1386" s="25">
        <v>46451</v>
      </c>
      <c r="B1386" s="16">
        <v>27</v>
      </c>
      <c r="C1386" s="16">
        <v>3</v>
      </c>
      <c r="D1386" s="16">
        <v>3</v>
      </c>
      <c r="E1386" s="16" t="s">
        <v>980</v>
      </c>
      <c r="F1386" s="16" t="s">
        <v>1228</v>
      </c>
      <c r="G1386" s="16" t="s">
        <v>158</v>
      </c>
      <c r="H1386" s="16" t="s">
        <v>141</v>
      </c>
      <c r="I1386" s="22" t="s">
        <v>864</v>
      </c>
      <c r="J1386" s="16">
        <f>IFERROR(INDEX(Aux_HH!$J$4:$J$31,MATCH($H1386&amp;"|"&amp;$I1386,Aux_HH!$A$4:$A$31,0)),"")</f>
        <v>8</v>
      </c>
      <c r="K1386" s="16" t="s">
        <v>76</v>
      </c>
      <c r="L1386" s="16" t="str">
        <f>IF(COUNTIFS(Pessoas!$C$5:$C$44,$K1386,Pessoas!$G$5:$G$44,"Ativo")=0,"Equipe "&amp;$K1386,INDEX(Pessoas!$A$5:$A$44,_xludf.aggregate(15,6,(ROW(Pessoas!$A$5:$A$44)-4)/((Pessoas!$C$5:$C$44=$K1386)*(Pessoas!$G$5:$G$44="Ativo")),MOD(ROW()-6,MAX(1,COUNTIFS(Pessoas!$C$5:$C$44,$K1386,Pessoas!$G$5:$G$44,"Ativo")))+1)))</f>
        <v>Equipe Oficina Mecânica Central-Taisa</v>
      </c>
    </row>
    <row r="1387" spans="1:12" ht="15" customHeight="1" x14ac:dyDescent="0.4">
      <c r="A1387" s="25">
        <v>46451</v>
      </c>
      <c r="B1387" s="16">
        <v>27</v>
      </c>
      <c r="C1387" s="16">
        <v>3</v>
      </c>
      <c r="D1387" s="16">
        <v>3</v>
      </c>
      <c r="E1387" s="16" t="s">
        <v>980</v>
      </c>
      <c r="F1387" s="16" t="s">
        <v>1229</v>
      </c>
      <c r="G1387" s="16" t="s">
        <v>158</v>
      </c>
      <c r="H1387" s="16" t="s">
        <v>141</v>
      </c>
      <c r="I1387" s="22" t="s">
        <v>864</v>
      </c>
      <c r="J1387" s="16">
        <f>IFERROR(INDEX(Aux_HH!$J$4:$J$31,MATCH($H1387&amp;"|"&amp;$I1387,Aux_HH!$A$4:$A$31,0)),"")</f>
        <v>8</v>
      </c>
      <c r="K1387" s="16" t="s">
        <v>76</v>
      </c>
      <c r="L1387" s="16" t="str">
        <f>IF(COUNTIFS(Pessoas!$C$5:$C$44,$K1387,Pessoas!$G$5:$G$44,"Ativo")=0,"Equipe "&amp;$K1387,INDEX(Pessoas!$A$5:$A$44,_xludf.aggregate(15,6,(ROW(Pessoas!$A$5:$A$44)-4)/((Pessoas!$C$5:$C$44=$K1387)*(Pessoas!$G$5:$G$44="Ativo")),MOD(ROW()-6,MAX(1,COUNTIFS(Pessoas!$C$5:$C$44,$K1387,Pessoas!$G$5:$G$44,"Ativo")))+1)))</f>
        <v>Equipe Oficina Mecânica Central-Taisa</v>
      </c>
    </row>
    <row r="1388" spans="1:12" ht="15" customHeight="1" x14ac:dyDescent="0.4">
      <c r="A1388" s="25">
        <v>46451</v>
      </c>
      <c r="B1388" s="16">
        <v>27</v>
      </c>
      <c r="C1388" s="16">
        <v>3</v>
      </c>
      <c r="D1388" s="16">
        <v>3</v>
      </c>
      <c r="E1388" s="16" t="s">
        <v>980</v>
      </c>
      <c r="F1388" s="16" t="s">
        <v>1230</v>
      </c>
      <c r="G1388" s="16" t="s">
        <v>158</v>
      </c>
      <c r="H1388" s="16" t="s">
        <v>141</v>
      </c>
      <c r="I1388" s="22" t="s">
        <v>864</v>
      </c>
      <c r="J1388" s="16">
        <f>IFERROR(INDEX(Aux_HH!$J$4:$J$31,MATCH($H1388&amp;"|"&amp;$I1388,Aux_HH!$A$4:$A$31,0)),"")</f>
        <v>8</v>
      </c>
      <c r="K1388" s="16" t="s">
        <v>76</v>
      </c>
      <c r="L1388" s="16" t="str">
        <f>IF(COUNTIFS(Pessoas!$C$5:$C$44,$K1388,Pessoas!$G$5:$G$44,"Ativo")=0,"Equipe "&amp;$K1388,INDEX(Pessoas!$A$5:$A$44,_xludf.aggregate(15,6,(ROW(Pessoas!$A$5:$A$44)-4)/((Pessoas!$C$5:$C$44=$K1388)*(Pessoas!$G$5:$G$44="Ativo")),MOD(ROW()-6,MAX(1,COUNTIFS(Pessoas!$C$5:$C$44,$K1388,Pessoas!$G$5:$G$44,"Ativo")))+1)))</f>
        <v>Equipe Oficina Mecânica Central-Taisa</v>
      </c>
    </row>
    <row r="1389" spans="1:12" ht="15" customHeight="1" x14ac:dyDescent="0.4">
      <c r="A1389" s="25">
        <v>46451</v>
      </c>
      <c r="B1389" s="16">
        <v>27</v>
      </c>
      <c r="C1389" s="16">
        <v>3</v>
      </c>
      <c r="D1389" s="16">
        <v>3</v>
      </c>
      <c r="E1389" s="16" t="s">
        <v>980</v>
      </c>
      <c r="F1389" s="16" t="s">
        <v>1231</v>
      </c>
      <c r="G1389" s="16" t="s">
        <v>158</v>
      </c>
      <c r="H1389" s="16" t="s">
        <v>141</v>
      </c>
      <c r="I1389" s="22" t="s">
        <v>864</v>
      </c>
      <c r="J1389" s="16">
        <f>IFERROR(INDEX(Aux_HH!$J$4:$J$31,MATCH($H1389&amp;"|"&amp;$I1389,Aux_HH!$A$4:$A$31,0)),"")</f>
        <v>8</v>
      </c>
      <c r="K1389" s="16" t="s">
        <v>76</v>
      </c>
      <c r="L1389" s="16" t="str">
        <f>IF(COUNTIFS(Pessoas!$C$5:$C$44,$K1389,Pessoas!$G$5:$G$44,"Ativo")=0,"Equipe "&amp;$K1389,INDEX(Pessoas!$A$5:$A$44,_xludf.aggregate(15,6,(ROW(Pessoas!$A$5:$A$44)-4)/((Pessoas!$C$5:$C$44=$K1389)*(Pessoas!$G$5:$G$44="Ativo")),MOD(ROW()-6,MAX(1,COUNTIFS(Pessoas!$C$5:$C$44,$K1389,Pessoas!$G$5:$G$44,"Ativo")))+1)))</f>
        <v>Equipe Oficina Mecânica Central-Taisa</v>
      </c>
    </row>
    <row r="1390" spans="1:12" ht="15" customHeight="1" x14ac:dyDescent="0.4">
      <c r="A1390" s="25">
        <v>46451</v>
      </c>
      <c r="B1390" s="16">
        <v>27</v>
      </c>
      <c r="C1390" s="16">
        <v>3</v>
      </c>
      <c r="D1390" s="16">
        <v>3</v>
      </c>
      <c r="E1390" s="16" t="s">
        <v>980</v>
      </c>
      <c r="F1390" s="16" t="s">
        <v>1232</v>
      </c>
      <c r="G1390" s="16" t="s">
        <v>158</v>
      </c>
      <c r="H1390" s="16" t="s">
        <v>141</v>
      </c>
      <c r="I1390" s="22" t="s">
        <v>864</v>
      </c>
      <c r="J1390" s="16">
        <f>IFERROR(INDEX(Aux_HH!$J$4:$J$31,MATCH($H1390&amp;"|"&amp;$I1390,Aux_HH!$A$4:$A$31,0)),"")</f>
        <v>8</v>
      </c>
      <c r="K1390" s="16" t="s">
        <v>76</v>
      </c>
      <c r="L1390" s="16" t="str">
        <f>IF(COUNTIFS(Pessoas!$C$5:$C$44,$K1390,Pessoas!$G$5:$G$44,"Ativo")=0,"Equipe "&amp;$K1390,INDEX(Pessoas!$A$5:$A$44,_xludf.aggregate(15,6,(ROW(Pessoas!$A$5:$A$44)-4)/((Pessoas!$C$5:$C$44=$K1390)*(Pessoas!$G$5:$G$44="Ativo")),MOD(ROW()-6,MAX(1,COUNTIFS(Pessoas!$C$5:$C$44,$K1390,Pessoas!$G$5:$G$44,"Ativo")))+1)))</f>
        <v>Equipe Oficina Mecânica Central-Taisa</v>
      </c>
    </row>
    <row r="1391" spans="1:12" ht="15" customHeight="1" x14ac:dyDescent="0.4">
      <c r="A1391" s="25">
        <v>46451</v>
      </c>
      <c r="B1391" s="16">
        <v>27</v>
      </c>
      <c r="C1391" s="16">
        <v>3</v>
      </c>
      <c r="D1391" s="16">
        <v>3</v>
      </c>
      <c r="E1391" s="16" t="s">
        <v>980</v>
      </c>
      <c r="F1391" s="16" t="s">
        <v>1233</v>
      </c>
      <c r="G1391" s="16" t="s">
        <v>158</v>
      </c>
      <c r="H1391" s="16" t="s">
        <v>141</v>
      </c>
      <c r="I1391" s="22" t="s">
        <v>864</v>
      </c>
      <c r="J1391" s="16">
        <f>IFERROR(INDEX(Aux_HH!$J$4:$J$31,MATCH($H1391&amp;"|"&amp;$I1391,Aux_HH!$A$4:$A$31,0)),"")</f>
        <v>8</v>
      </c>
      <c r="K1391" s="16" t="s">
        <v>76</v>
      </c>
      <c r="L1391" s="16" t="str">
        <f>IF(COUNTIFS(Pessoas!$C$5:$C$44,$K1391,Pessoas!$G$5:$G$44,"Ativo")=0,"Equipe "&amp;$K1391,INDEX(Pessoas!$A$5:$A$44,_xludf.aggregate(15,6,(ROW(Pessoas!$A$5:$A$44)-4)/((Pessoas!$C$5:$C$44=$K1391)*(Pessoas!$G$5:$G$44="Ativo")),MOD(ROW()-6,MAX(1,COUNTIFS(Pessoas!$C$5:$C$44,$K1391,Pessoas!$G$5:$G$44,"Ativo")))+1)))</f>
        <v>Equipe Oficina Mecânica Central-Taisa</v>
      </c>
    </row>
    <row r="1392" spans="1:12" ht="15" customHeight="1" x14ac:dyDescent="0.4">
      <c r="A1392" s="25">
        <v>46451</v>
      </c>
      <c r="B1392" s="16">
        <v>27</v>
      </c>
      <c r="C1392" s="16">
        <v>3</v>
      </c>
      <c r="D1392" s="16">
        <v>3</v>
      </c>
      <c r="E1392" s="16" t="s">
        <v>980</v>
      </c>
      <c r="F1392" s="16" t="s">
        <v>1234</v>
      </c>
      <c r="G1392" s="16" t="s">
        <v>158</v>
      </c>
      <c r="H1392" s="16" t="s">
        <v>141</v>
      </c>
      <c r="I1392" s="22" t="s">
        <v>864</v>
      </c>
      <c r="J1392" s="16">
        <f>IFERROR(INDEX(Aux_HH!$J$4:$J$31,MATCH($H1392&amp;"|"&amp;$I1392,Aux_HH!$A$4:$A$31,0)),"")</f>
        <v>8</v>
      </c>
      <c r="K1392" s="16" t="s">
        <v>76</v>
      </c>
      <c r="L1392" s="16" t="str">
        <f>IF(COUNTIFS(Pessoas!$C$5:$C$44,$K1392,Pessoas!$G$5:$G$44,"Ativo")=0,"Equipe "&amp;$K1392,INDEX(Pessoas!$A$5:$A$44,_xludf.aggregate(15,6,(ROW(Pessoas!$A$5:$A$44)-4)/((Pessoas!$C$5:$C$44=$K1392)*(Pessoas!$G$5:$G$44="Ativo")),MOD(ROW()-6,MAX(1,COUNTIFS(Pessoas!$C$5:$C$44,$K1392,Pessoas!$G$5:$G$44,"Ativo")))+1)))</f>
        <v>Equipe Oficina Mecânica Central-Taisa</v>
      </c>
    </row>
    <row r="1393" spans="1:12" ht="15" customHeight="1" x14ac:dyDescent="0.4">
      <c r="A1393" s="25">
        <v>46451</v>
      </c>
      <c r="B1393" s="16">
        <v>27</v>
      </c>
      <c r="C1393" s="16">
        <v>3</v>
      </c>
      <c r="D1393" s="16">
        <v>3</v>
      </c>
      <c r="E1393" s="16" t="s">
        <v>980</v>
      </c>
      <c r="F1393" s="16" t="s">
        <v>1235</v>
      </c>
      <c r="G1393" s="16" t="s">
        <v>158</v>
      </c>
      <c r="H1393" s="16" t="s">
        <v>141</v>
      </c>
      <c r="I1393" s="22" t="s">
        <v>864</v>
      </c>
      <c r="J1393" s="16">
        <f>IFERROR(INDEX(Aux_HH!$J$4:$J$31,MATCH($H1393&amp;"|"&amp;$I1393,Aux_HH!$A$4:$A$31,0)),"")</f>
        <v>8</v>
      </c>
      <c r="K1393" s="16" t="s">
        <v>76</v>
      </c>
      <c r="L1393" s="16" t="str">
        <f>IF(COUNTIFS(Pessoas!$C$5:$C$44,$K1393,Pessoas!$G$5:$G$44,"Ativo")=0,"Equipe "&amp;$K1393,INDEX(Pessoas!$A$5:$A$44,_xludf.aggregate(15,6,(ROW(Pessoas!$A$5:$A$44)-4)/((Pessoas!$C$5:$C$44=$K1393)*(Pessoas!$G$5:$G$44="Ativo")),MOD(ROW()-6,MAX(1,COUNTIFS(Pessoas!$C$5:$C$44,$K1393,Pessoas!$G$5:$G$44,"Ativo")))+1)))</f>
        <v>Equipe Oficina Mecânica Central-Taisa</v>
      </c>
    </row>
    <row r="1394" spans="1:12" ht="15" customHeight="1" x14ac:dyDescent="0.4">
      <c r="A1394" s="25">
        <v>46451</v>
      </c>
      <c r="B1394" s="16">
        <v>27</v>
      </c>
      <c r="C1394" s="16">
        <v>3</v>
      </c>
      <c r="D1394" s="16">
        <v>3</v>
      </c>
      <c r="E1394" s="16" t="s">
        <v>980</v>
      </c>
      <c r="F1394" s="16" t="s">
        <v>1236</v>
      </c>
      <c r="G1394" s="16" t="s">
        <v>158</v>
      </c>
      <c r="H1394" s="16" t="s">
        <v>141</v>
      </c>
      <c r="I1394" s="22" t="s">
        <v>864</v>
      </c>
      <c r="J1394" s="16">
        <f>IFERROR(INDEX(Aux_HH!$J$4:$J$31,MATCH($H1394&amp;"|"&amp;$I1394,Aux_HH!$A$4:$A$31,0)),"")</f>
        <v>8</v>
      </c>
      <c r="K1394" s="16" t="s">
        <v>76</v>
      </c>
      <c r="L1394" s="16" t="str">
        <f>IF(COUNTIFS(Pessoas!$C$5:$C$44,$K1394,Pessoas!$G$5:$G$44,"Ativo")=0,"Equipe "&amp;$K1394,INDEX(Pessoas!$A$5:$A$44,_xludf.aggregate(15,6,(ROW(Pessoas!$A$5:$A$44)-4)/((Pessoas!$C$5:$C$44=$K1394)*(Pessoas!$G$5:$G$44="Ativo")),MOD(ROW()-6,MAX(1,COUNTIFS(Pessoas!$C$5:$C$44,$K1394,Pessoas!$G$5:$G$44,"Ativo")))+1)))</f>
        <v>Equipe Oficina Mecânica Central-Taisa</v>
      </c>
    </row>
    <row r="1395" spans="1:12" ht="15" customHeight="1" x14ac:dyDescent="0.4">
      <c r="A1395" s="25">
        <v>46451</v>
      </c>
      <c r="B1395" s="16">
        <v>27</v>
      </c>
      <c r="C1395" s="16">
        <v>3</v>
      </c>
      <c r="D1395" s="16">
        <v>3</v>
      </c>
      <c r="E1395" s="16" t="s">
        <v>980</v>
      </c>
      <c r="F1395" s="16" t="s">
        <v>1237</v>
      </c>
      <c r="G1395" s="16" t="s">
        <v>158</v>
      </c>
      <c r="H1395" s="16" t="s">
        <v>141</v>
      </c>
      <c r="I1395" s="22" t="s">
        <v>864</v>
      </c>
      <c r="J1395" s="16">
        <f>IFERROR(INDEX(Aux_HH!$J$4:$J$31,MATCH($H1395&amp;"|"&amp;$I1395,Aux_HH!$A$4:$A$31,0)),"")</f>
        <v>8</v>
      </c>
      <c r="K1395" s="16" t="s">
        <v>76</v>
      </c>
      <c r="L1395" s="16" t="str">
        <f>IF(COUNTIFS(Pessoas!$C$5:$C$44,$K1395,Pessoas!$G$5:$G$44,"Ativo")=0,"Equipe "&amp;$K1395,INDEX(Pessoas!$A$5:$A$44,_xludf.aggregate(15,6,(ROW(Pessoas!$A$5:$A$44)-4)/((Pessoas!$C$5:$C$44=$K1395)*(Pessoas!$G$5:$G$44="Ativo")),MOD(ROW()-6,MAX(1,COUNTIFS(Pessoas!$C$5:$C$44,$K1395,Pessoas!$G$5:$G$44,"Ativo")))+1)))</f>
        <v>Equipe Oficina Mecânica Central-Taisa</v>
      </c>
    </row>
    <row r="1396" spans="1:12" ht="15" customHeight="1" x14ac:dyDescent="0.4">
      <c r="A1396" s="25">
        <v>46451</v>
      </c>
      <c r="B1396" s="16">
        <v>27</v>
      </c>
      <c r="C1396" s="16">
        <v>3</v>
      </c>
      <c r="D1396" s="16">
        <v>3</v>
      </c>
      <c r="E1396" s="16" t="s">
        <v>980</v>
      </c>
      <c r="F1396" s="16" t="s">
        <v>1238</v>
      </c>
      <c r="G1396" s="16" t="s">
        <v>158</v>
      </c>
      <c r="H1396" s="16" t="s">
        <v>141</v>
      </c>
      <c r="I1396" s="22" t="s">
        <v>864</v>
      </c>
      <c r="J1396" s="16">
        <f>IFERROR(INDEX(Aux_HH!$J$4:$J$31,MATCH($H1396&amp;"|"&amp;$I1396,Aux_HH!$A$4:$A$31,0)),"")</f>
        <v>8</v>
      </c>
      <c r="K1396" s="16" t="s">
        <v>76</v>
      </c>
      <c r="L1396" s="16" t="str">
        <f>IF(COUNTIFS(Pessoas!$C$5:$C$44,$K1396,Pessoas!$G$5:$G$44,"Ativo")=0,"Equipe "&amp;$K1396,INDEX(Pessoas!$A$5:$A$44,_xludf.aggregate(15,6,(ROW(Pessoas!$A$5:$A$44)-4)/((Pessoas!$C$5:$C$44=$K1396)*(Pessoas!$G$5:$G$44="Ativo")),MOD(ROW()-6,MAX(1,COUNTIFS(Pessoas!$C$5:$C$44,$K1396,Pessoas!$G$5:$G$44,"Ativo")))+1)))</f>
        <v>Equipe Oficina Mecânica Central-Taisa</v>
      </c>
    </row>
    <row r="1397" spans="1:12" ht="15" customHeight="1" x14ac:dyDescent="0.4">
      <c r="A1397" s="25">
        <v>46451</v>
      </c>
      <c r="B1397" s="16">
        <v>27</v>
      </c>
      <c r="C1397" s="16">
        <v>3</v>
      </c>
      <c r="D1397" s="16">
        <v>3</v>
      </c>
      <c r="E1397" s="16" t="s">
        <v>980</v>
      </c>
      <c r="F1397" s="16" t="s">
        <v>1239</v>
      </c>
      <c r="G1397" s="16" t="s">
        <v>158</v>
      </c>
      <c r="H1397" s="16" t="s">
        <v>141</v>
      </c>
      <c r="I1397" s="22" t="s">
        <v>864</v>
      </c>
      <c r="J1397" s="16">
        <f>IFERROR(INDEX(Aux_HH!$J$4:$J$31,MATCH($H1397&amp;"|"&amp;$I1397,Aux_HH!$A$4:$A$31,0)),"")</f>
        <v>8</v>
      </c>
      <c r="K1397" s="16" t="s">
        <v>76</v>
      </c>
      <c r="L1397" s="16" t="str">
        <f>IF(COUNTIFS(Pessoas!$C$5:$C$44,$K1397,Pessoas!$G$5:$G$44,"Ativo")=0,"Equipe "&amp;$K1397,INDEX(Pessoas!$A$5:$A$44,_xludf.aggregate(15,6,(ROW(Pessoas!$A$5:$A$44)-4)/((Pessoas!$C$5:$C$44=$K1397)*(Pessoas!$G$5:$G$44="Ativo")),MOD(ROW()-6,MAX(1,COUNTIFS(Pessoas!$C$5:$C$44,$K1397,Pessoas!$G$5:$G$44,"Ativo")))+1)))</f>
        <v>Equipe Oficina Mecânica Central-Taisa</v>
      </c>
    </row>
    <row r="1398" spans="1:12" ht="15" customHeight="1" x14ac:dyDescent="0.4">
      <c r="A1398" s="25">
        <v>46451</v>
      </c>
      <c r="B1398" s="16">
        <v>27</v>
      </c>
      <c r="C1398" s="16">
        <v>3</v>
      </c>
      <c r="D1398" s="16">
        <v>3</v>
      </c>
      <c r="E1398" s="16" t="s">
        <v>980</v>
      </c>
      <c r="F1398" s="16" t="s">
        <v>1240</v>
      </c>
      <c r="G1398" s="16" t="s">
        <v>184</v>
      </c>
      <c r="H1398" s="16" t="s">
        <v>141</v>
      </c>
      <c r="I1398" s="22" t="s">
        <v>864</v>
      </c>
      <c r="J1398" s="16">
        <f>IFERROR(INDEX(Aux_HH!$J$4:$J$31,MATCH($H1398&amp;"|"&amp;$I1398,Aux_HH!$A$4:$A$31,0)),"")</f>
        <v>8</v>
      </c>
      <c r="K1398" s="16" t="s">
        <v>76</v>
      </c>
      <c r="L1398" s="16" t="str">
        <f>IF(COUNTIFS(Pessoas!$C$5:$C$44,$K1398,Pessoas!$G$5:$G$44,"Ativo")=0,"Equipe "&amp;$K1398,INDEX(Pessoas!$A$5:$A$44,_xludf.aggregate(15,6,(ROW(Pessoas!$A$5:$A$44)-4)/((Pessoas!$C$5:$C$44=$K1398)*(Pessoas!$G$5:$G$44="Ativo")),MOD(ROW()-6,MAX(1,COUNTIFS(Pessoas!$C$5:$C$44,$K1398,Pessoas!$G$5:$G$44,"Ativo")))+1)))</f>
        <v>Equipe Oficina Mecânica Central-Taisa</v>
      </c>
    </row>
    <row r="1399" spans="1:12" ht="15" customHeight="1" x14ac:dyDescent="0.4">
      <c r="A1399" s="25">
        <v>46451</v>
      </c>
      <c r="B1399" s="16">
        <v>27</v>
      </c>
      <c r="C1399" s="16">
        <v>3</v>
      </c>
      <c r="D1399" s="16">
        <v>3</v>
      </c>
      <c r="E1399" s="16" t="s">
        <v>980</v>
      </c>
      <c r="F1399" s="16" t="s">
        <v>1241</v>
      </c>
      <c r="G1399" s="16" t="s">
        <v>184</v>
      </c>
      <c r="H1399" s="16" t="s">
        <v>141</v>
      </c>
      <c r="I1399" s="22" t="s">
        <v>864</v>
      </c>
      <c r="J1399" s="16">
        <f>IFERROR(INDEX(Aux_HH!$J$4:$J$31,MATCH($H1399&amp;"|"&amp;$I1399,Aux_HH!$A$4:$A$31,0)),"")</f>
        <v>8</v>
      </c>
      <c r="K1399" s="16" t="s">
        <v>76</v>
      </c>
      <c r="L1399" s="16" t="str">
        <f>IF(COUNTIFS(Pessoas!$C$5:$C$44,$K1399,Pessoas!$G$5:$G$44,"Ativo")=0,"Equipe "&amp;$K1399,INDEX(Pessoas!$A$5:$A$44,_xludf.aggregate(15,6,(ROW(Pessoas!$A$5:$A$44)-4)/((Pessoas!$C$5:$C$44=$K1399)*(Pessoas!$G$5:$G$44="Ativo")),MOD(ROW()-6,MAX(1,COUNTIFS(Pessoas!$C$5:$C$44,$K1399,Pessoas!$G$5:$G$44,"Ativo")))+1)))</f>
        <v>Equipe Oficina Mecânica Central-Taisa</v>
      </c>
    </row>
    <row r="1400" spans="1:12" ht="15" customHeight="1" x14ac:dyDescent="0.4">
      <c r="A1400" s="25">
        <v>46451</v>
      </c>
      <c r="B1400" s="16">
        <v>27</v>
      </c>
      <c r="C1400" s="16">
        <v>3</v>
      </c>
      <c r="D1400" s="16">
        <v>3</v>
      </c>
      <c r="E1400" s="16" t="s">
        <v>980</v>
      </c>
      <c r="F1400" s="16" t="s">
        <v>1242</v>
      </c>
      <c r="G1400" s="16" t="s">
        <v>184</v>
      </c>
      <c r="H1400" s="16" t="s">
        <v>141</v>
      </c>
      <c r="I1400" s="22" t="s">
        <v>864</v>
      </c>
      <c r="J1400" s="16">
        <f>IFERROR(INDEX(Aux_HH!$J$4:$J$31,MATCH($H1400&amp;"|"&amp;$I1400,Aux_HH!$A$4:$A$31,0)),"")</f>
        <v>8</v>
      </c>
      <c r="K1400" s="16" t="s">
        <v>76</v>
      </c>
      <c r="L1400" s="16" t="str">
        <f>IF(COUNTIFS(Pessoas!$C$5:$C$44,$K1400,Pessoas!$G$5:$G$44,"Ativo")=0,"Equipe "&amp;$K1400,INDEX(Pessoas!$A$5:$A$44,_xludf.aggregate(15,6,(ROW(Pessoas!$A$5:$A$44)-4)/((Pessoas!$C$5:$C$44=$K1400)*(Pessoas!$G$5:$G$44="Ativo")),MOD(ROW()-6,MAX(1,COUNTIFS(Pessoas!$C$5:$C$44,$K1400,Pessoas!$G$5:$G$44,"Ativo")))+1)))</f>
        <v>Equipe Oficina Mecânica Central-Taisa</v>
      </c>
    </row>
    <row r="1401" spans="1:12" ht="15" customHeight="1" x14ac:dyDescent="0.4">
      <c r="A1401" s="25">
        <v>46451</v>
      </c>
      <c r="B1401" s="16">
        <v>27</v>
      </c>
      <c r="C1401" s="16">
        <v>3</v>
      </c>
      <c r="D1401" s="16">
        <v>3</v>
      </c>
      <c r="E1401" s="16" t="s">
        <v>980</v>
      </c>
      <c r="F1401" s="16" t="s">
        <v>1243</v>
      </c>
      <c r="G1401" s="16" t="s">
        <v>184</v>
      </c>
      <c r="H1401" s="16" t="s">
        <v>141</v>
      </c>
      <c r="I1401" s="22" t="s">
        <v>864</v>
      </c>
      <c r="J1401" s="16">
        <f>IFERROR(INDEX(Aux_HH!$J$4:$J$31,MATCH($H1401&amp;"|"&amp;$I1401,Aux_HH!$A$4:$A$31,0)),"")</f>
        <v>8</v>
      </c>
      <c r="K1401" s="16" t="s">
        <v>76</v>
      </c>
      <c r="L1401" s="16" t="str">
        <f>IF(COUNTIFS(Pessoas!$C$5:$C$44,$K1401,Pessoas!$G$5:$G$44,"Ativo")=0,"Equipe "&amp;$K1401,INDEX(Pessoas!$A$5:$A$44,_xludf.aggregate(15,6,(ROW(Pessoas!$A$5:$A$44)-4)/((Pessoas!$C$5:$C$44=$K1401)*(Pessoas!$G$5:$G$44="Ativo")),MOD(ROW()-6,MAX(1,COUNTIFS(Pessoas!$C$5:$C$44,$K1401,Pessoas!$G$5:$G$44,"Ativo")))+1)))</f>
        <v>Equipe Oficina Mecânica Central-Taisa</v>
      </c>
    </row>
    <row r="1402" spans="1:12" ht="15" customHeight="1" x14ac:dyDescent="0.4">
      <c r="A1402" s="25">
        <v>46451</v>
      </c>
      <c r="B1402" s="16">
        <v>27</v>
      </c>
      <c r="C1402" s="16">
        <v>3</v>
      </c>
      <c r="D1402" s="16">
        <v>3</v>
      </c>
      <c r="E1402" s="16" t="s">
        <v>980</v>
      </c>
      <c r="F1402" s="16" t="s">
        <v>1244</v>
      </c>
      <c r="G1402" s="16" t="s">
        <v>184</v>
      </c>
      <c r="H1402" s="16" t="s">
        <v>141</v>
      </c>
      <c r="I1402" s="22" t="s">
        <v>864</v>
      </c>
      <c r="J1402" s="16">
        <f>IFERROR(INDEX(Aux_HH!$J$4:$J$31,MATCH($H1402&amp;"|"&amp;$I1402,Aux_HH!$A$4:$A$31,0)),"")</f>
        <v>8</v>
      </c>
      <c r="K1402" s="16" t="s">
        <v>76</v>
      </c>
      <c r="L1402" s="16" t="str">
        <f>IF(COUNTIFS(Pessoas!$C$5:$C$44,$K1402,Pessoas!$G$5:$G$44,"Ativo")=0,"Equipe "&amp;$K1402,INDEX(Pessoas!$A$5:$A$44,_xludf.aggregate(15,6,(ROW(Pessoas!$A$5:$A$44)-4)/((Pessoas!$C$5:$C$44=$K1402)*(Pessoas!$G$5:$G$44="Ativo")),MOD(ROW()-6,MAX(1,COUNTIFS(Pessoas!$C$5:$C$44,$K1402,Pessoas!$G$5:$G$44,"Ativo")))+1)))</f>
        <v>Equipe Oficina Mecânica Central-Taisa</v>
      </c>
    </row>
    <row r="1403" spans="1:12" ht="15" customHeight="1" x14ac:dyDescent="0.4">
      <c r="A1403" s="25">
        <v>46451</v>
      </c>
      <c r="B1403" s="16">
        <v>27</v>
      </c>
      <c r="C1403" s="16">
        <v>3</v>
      </c>
      <c r="D1403" s="16">
        <v>3</v>
      </c>
      <c r="E1403" s="16" t="s">
        <v>980</v>
      </c>
      <c r="F1403" s="16" t="s">
        <v>1245</v>
      </c>
      <c r="G1403" s="16" t="s">
        <v>184</v>
      </c>
      <c r="H1403" s="16" t="s">
        <v>141</v>
      </c>
      <c r="I1403" s="22" t="s">
        <v>864</v>
      </c>
      <c r="J1403" s="16">
        <f>IFERROR(INDEX(Aux_HH!$J$4:$J$31,MATCH($H1403&amp;"|"&amp;$I1403,Aux_HH!$A$4:$A$31,0)),"")</f>
        <v>8</v>
      </c>
      <c r="K1403" s="16" t="s">
        <v>76</v>
      </c>
      <c r="L1403" s="16" t="str">
        <f>IF(COUNTIFS(Pessoas!$C$5:$C$44,$K1403,Pessoas!$G$5:$G$44,"Ativo")=0,"Equipe "&amp;$K1403,INDEX(Pessoas!$A$5:$A$44,_xludf.aggregate(15,6,(ROW(Pessoas!$A$5:$A$44)-4)/((Pessoas!$C$5:$C$44=$K1403)*(Pessoas!$G$5:$G$44="Ativo")),MOD(ROW()-6,MAX(1,COUNTIFS(Pessoas!$C$5:$C$44,$K1403,Pessoas!$G$5:$G$44,"Ativo")))+1)))</f>
        <v>Equipe Oficina Mecânica Central-Taisa</v>
      </c>
    </row>
    <row r="1404" spans="1:12" ht="15" customHeight="1" x14ac:dyDescent="0.4">
      <c r="A1404" s="25">
        <v>46451</v>
      </c>
      <c r="B1404" s="16">
        <v>27</v>
      </c>
      <c r="C1404" s="16">
        <v>3</v>
      </c>
      <c r="D1404" s="16">
        <v>3</v>
      </c>
      <c r="E1404" s="16" t="s">
        <v>980</v>
      </c>
      <c r="F1404" s="16" t="s">
        <v>1246</v>
      </c>
      <c r="G1404" s="16" t="s">
        <v>184</v>
      </c>
      <c r="H1404" s="16" t="s">
        <v>141</v>
      </c>
      <c r="I1404" s="22" t="s">
        <v>864</v>
      </c>
      <c r="J1404" s="16">
        <f>IFERROR(INDEX(Aux_HH!$J$4:$J$31,MATCH($H1404&amp;"|"&amp;$I1404,Aux_HH!$A$4:$A$31,0)),"")</f>
        <v>8</v>
      </c>
      <c r="K1404" s="16" t="s">
        <v>76</v>
      </c>
      <c r="L1404" s="16" t="str">
        <f>IF(COUNTIFS(Pessoas!$C$5:$C$44,$K1404,Pessoas!$G$5:$G$44,"Ativo")=0,"Equipe "&amp;$K1404,INDEX(Pessoas!$A$5:$A$44,_xludf.aggregate(15,6,(ROW(Pessoas!$A$5:$A$44)-4)/((Pessoas!$C$5:$C$44=$K1404)*(Pessoas!$G$5:$G$44="Ativo")),MOD(ROW()-6,MAX(1,COUNTIFS(Pessoas!$C$5:$C$44,$K1404,Pessoas!$G$5:$G$44,"Ativo")))+1)))</f>
        <v>Equipe Oficina Mecânica Central-Taisa</v>
      </c>
    </row>
    <row r="1405" spans="1:12" ht="15" customHeight="1" x14ac:dyDescent="0.4">
      <c r="A1405" s="25">
        <v>46451</v>
      </c>
      <c r="B1405" s="16">
        <v>27</v>
      </c>
      <c r="C1405" s="16">
        <v>3</v>
      </c>
      <c r="D1405" s="16">
        <v>3</v>
      </c>
      <c r="E1405" s="16" t="s">
        <v>980</v>
      </c>
      <c r="F1405" s="16" t="s">
        <v>1247</v>
      </c>
      <c r="G1405" s="16" t="s">
        <v>184</v>
      </c>
      <c r="H1405" s="16" t="s">
        <v>141</v>
      </c>
      <c r="I1405" s="22" t="s">
        <v>864</v>
      </c>
      <c r="J1405" s="16">
        <f>IFERROR(INDEX(Aux_HH!$J$4:$J$31,MATCH($H1405&amp;"|"&amp;$I1405,Aux_HH!$A$4:$A$31,0)),"")</f>
        <v>8</v>
      </c>
      <c r="K1405" s="16" t="s">
        <v>76</v>
      </c>
      <c r="L1405" s="16" t="str">
        <f>IF(COUNTIFS(Pessoas!$C$5:$C$44,$K1405,Pessoas!$G$5:$G$44,"Ativo")=0,"Equipe "&amp;$K1405,INDEX(Pessoas!$A$5:$A$44,_xludf.aggregate(15,6,(ROW(Pessoas!$A$5:$A$44)-4)/((Pessoas!$C$5:$C$44=$K1405)*(Pessoas!$G$5:$G$44="Ativo")),MOD(ROW()-6,MAX(1,COUNTIFS(Pessoas!$C$5:$C$44,$K1405,Pessoas!$G$5:$G$44,"Ativo")))+1)))</f>
        <v>Equipe Oficina Mecânica Central-Taisa</v>
      </c>
    </row>
    <row r="1406" spans="1:12" ht="15" customHeight="1" x14ac:dyDescent="0.4">
      <c r="A1406" s="25">
        <v>46451</v>
      </c>
      <c r="B1406" s="16">
        <v>27</v>
      </c>
      <c r="C1406" s="16">
        <v>3</v>
      </c>
      <c r="D1406" s="16">
        <v>3</v>
      </c>
      <c r="E1406" s="16" t="s">
        <v>980</v>
      </c>
      <c r="F1406" s="16" t="s">
        <v>1248</v>
      </c>
      <c r="G1406" s="16" t="s">
        <v>184</v>
      </c>
      <c r="H1406" s="16" t="s">
        <v>141</v>
      </c>
      <c r="I1406" s="22" t="s">
        <v>864</v>
      </c>
      <c r="J1406" s="16">
        <f>IFERROR(INDEX(Aux_HH!$J$4:$J$31,MATCH($H1406&amp;"|"&amp;$I1406,Aux_HH!$A$4:$A$31,0)),"")</f>
        <v>8</v>
      </c>
      <c r="K1406" s="16" t="s">
        <v>76</v>
      </c>
      <c r="L1406" s="16" t="str">
        <f>IF(COUNTIFS(Pessoas!$C$5:$C$44,$K1406,Pessoas!$G$5:$G$44,"Ativo")=0,"Equipe "&amp;$K1406,INDEX(Pessoas!$A$5:$A$44,_xludf.aggregate(15,6,(ROW(Pessoas!$A$5:$A$44)-4)/((Pessoas!$C$5:$C$44=$K1406)*(Pessoas!$G$5:$G$44="Ativo")),MOD(ROW()-6,MAX(1,COUNTIFS(Pessoas!$C$5:$C$44,$K1406,Pessoas!$G$5:$G$44,"Ativo")))+1)))</f>
        <v>Equipe Oficina Mecânica Central-Taisa</v>
      </c>
    </row>
    <row r="1407" spans="1:12" ht="15" customHeight="1" x14ac:dyDescent="0.4">
      <c r="A1407" s="25">
        <v>46451</v>
      </c>
      <c r="B1407" s="16">
        <v>27</v>
      </c>
      <c r="C1407" s="16">
        <v>3</v>
      </c>
      <c r="D1407" s="16">
        <v>3</v>
      </c>
      <c r="E1407" s="16" t="s">
        <v>980</v>
      </c>
      <c r="F1407" s="16" t="s">
        <v>1249</v>
      </c>
      <c r="G1407" s="16" t="s">
        <v>184</v>
      </c>
      <c r="H1407" s="16" t="s">
        <v>141</v>
      </c>
      <c r="I1407" s="22" t="s">
        <v>864</v>
      </c>
      <c r="J1407" s="16">
        <f>IFERROR(INDEX(Aux_HH!$J$4:$J$31,MATCH($H1407&amp;"|"&amp;$I1407,Aux_HH!$A$4:$A$31,0)),"")</f>
        <v>8</v>
      </c>
      <c r="K1407" s="16" t="s">
        <v>76</v>
      </c>
      <c r="L1407" s="16" t="str">
        <f>IF(COUNTIFS(Pessoas!$C$5:$C$44,$K1407,Pessoas!$G$5:$G$44,"Ativo")=0,"Equipe "&amp;$K1407,INDEX(Pessoas!$A$5:$A$44,_xludf.aggregate(15,6,(ROW(Pessoas!$A$5:$A$44)-4)/((Pessoas!$C$5:$C$44=$K1407)*(Pessoas!$G$5:$G$44="Ativo")),MOD(ROW()-6,MAX(1,COUNTIFS(Pessoas!$C$5:$C$44,$K1407,Pessoas!$G$5:$G$44,"Ativo")))+1)))</f>
        <v>Equipe Oficina Mecânica Central-Taisa</v>
      </c>
    </row>
    <row r="1408" spans="1:12" ht="15" customHeight="1" x14ac:dyDescent="0.4">
      <c r="A1408" s="25">
        <v>46451</v>
      </c>
      <c r="B1408" s="16">
        <v>27</v>
      </c>
      <c r="C1408" s="16">
        <v>3</v>
      </c>
      <c r="D1408" s="16">
        <v>3</v>
      </c>
      <c r="E1408" s="16" t="s">
        <v>980</v>
      </c>
      <c r="F1408" s="16" t="s">
        <v>1250</v>
      </c>
      <c r="G1408" s="16" t="s">
        <v>184</v>
      </c>
      <c r="H1408" s="16" t="s">
        <v>141</v>
      </c>
      <c r="I1408" s="22" t="s">
        <v>864</v>
      </c>
      <c r="J1408" s="16">
        <f>IFERROR(INDEX(Aux_HH!$J$4:$J$31,MATCH($H1408&amp;"|"&amp;$I1408,Aux_HH!$A$4:$A$31,0)),"")</f>
        <v>8</v>
      </c>
      <c r="K1408" s="16" t="s">
        <v>76</v>
      </c>
      <c r="L1408" s="16" t="str">
        <f>IF(COUNTIFS(Pessoas!$C$5:$C$44,$K1408,Pessoas!$G$5:$G$44,"Ativo")=0,"Equipe "&amp;$K1408,INDEX(Pessoas!$A$5:$A$44,_xludf.aggregate(15,6,(ROW(Pessoas!$A$5:$A$44)-4)/((Pessoas!$C$5:$C$44=$K1408)*(Pessoas!$G$5:$G$44="Ativo")),MOD(ROW()-6,MAX(1,COUNTIFS(Pessoas!$C$5:$C$44,$K1408,Pessoas!$G$5:$G$44,"Ativo")))+1)))</f>
        <v>Equipe Oficina Mecânica Central-Taisa</v>
      </c>
    </row>
    <row r="1409" spans="1:12" ht="15" customHeight="1" x14ac:dyDescent="0.4">
      <c r="A1409" s="25">
        <v>46451</v>
      </c>
      <c r="B1409" s="16">
        <v>27</v>
      </c>
      <c r="C1409" s="16">
        <v>3</v>
      </c>
      <c r="D1409" s="16">
        <v>3</v>
      </c>
      <c r="E1409" s="16" t="s">
        <v>980</v>
      </c>
      <c r="F1409" s="16" t="s">
        <v>1253</v>
      </c>
      <c r="G1409" s="16" t="s">
        <v>158</v>
      </c>
      <c r="H1409" s="16" t="s">
        <v>141</v>
      </c>
      <c r="I1409" s="22" t="s">
        <v>864</v>
      </c>
      <c r="J1409" s="16">
        <f>IFERROR(INDEX(Aux_HH!$J$4:$J$31,MATCH($H1409&amp;"|"&amp;$I1409,Aux_HH!$A$4:$A$31,0)),"")</f>
        <v>8</v>
      </c>
      <c r="K1409" s="16" t="s">
        <v>76</v>
      </c>
      <c r="L1409" s="16" t="str">
        <f>IF(COUNTIFS(Pessoas!$C$5:$C$44,$K1409,Pessoas!$G$5:$G$44,"Ativo")=0,"Equipe "&amp;$K1409,INDEX(Pessoas!$A$5:$A$44,_xludf.aggregate(15,6,(ROW(Pessoas!$A$5:$A$44)-4)/((Pessoas!$C$5:$C$44=$K1409)*(Pessoas!$G$5:$G$44="Ativo")),MOD(ROW()-6,MAX(1,COUNTIFS(Pessoas!$C$5:$C$44,$K1409,Pessoas!$G$5:$G$44,"Ativo")))+1)))</f>
        <v>Equipe Oficina Mecânica Central-Taisa</v>
      </c>
    </row>
    <row r="1410" spans="1:12" ht="15" customHeight="1" x14ac:dyDescent="0.4">
      <c r="A1410" s="25">
        <v>46454</v>
      </c>
      <c r="B1410" s="16">
        <v>27</v>
      </c>
      <c r="C1410" s="16">
        <v>3</v>
      </c>
      <c r="D1410" s="16">
        <v>3</v>
      </c>
      <c r="E1410" s="16" t="s">
        <v>980</v>
      </c>
      <c r="F1410" s="16" t="s">
        <v>1272</v>
      </c>
      <c r="G1410" s="16" t="s">
        <v>158</v>
      </c>
      <c r="H1410" s="16" t="s">
        <v>141</v>
      </c>
      <c r="I1410" s="22" t="s">
        <v>864</v>
      </c>
      <c r="J1410" s="16">
        <f>IFERROR(INDEX(Aux_HH!$J$4:$J$31,MATCH($H1410&amp;"|"&amp;$I1410,Aux_HH!$A$4:$A$31,0)),"")</f>
        <v>8</v>
      </c>
      <c r="K1410" s="16" t="s">
        <v>76</v>
      </c>
      <c r="L1410" s="16" t="str">
        <f>IF(COUNTIFS(Pessoas!$C$5:$C$44,$K1410,Pessoas!$G$5:$G$44,"Ativo")=0,"Equipe "&amp;$K1410,INDEX(Pessoas!$A$5:$A$44,_xludf.aggregate(15,6,(ROW(Pessoas!$A$5:$A$44)-4)/((Pessoas!$C$5:$C$44=$K1410)*(Pessoas!$G$5:$G$44="Ativo")),MOD(ROW()-6,MAX(1,COUNTIFS(Pessoas!$C$5:$C$44,$K1410,Pessoas!$G$5:$G$44,"Ativo")))+1)))</f>
        <v>Equipe Oficina Mecânica Central-Taisa</v>
      </c>
    </row>
    <row r="1411" spans="1:12" ht="15" customHeight="1" x14ac:dyDescent="0.4">
      <c r="A1411" s="25">
        <v>46454</v>
      </c>
      <c r="B1411" s="16">
        <v>27</v>
      </c>
      <c r="C1411" s="16">
        <v>3</v>
      </c>
      <c r="D1411" s="16">
        <v>3</v>
      </c>
      <c r="E1411" s="16" t="s">
        <v>980</v>
      </c>
      <c r="F1411" s="16" t="s">
        <v>1273</v>
      </c>
      <c r="G1411" s="16" t="s">
        <v>158</v>
      </c>
      <c r="H1411" s="16" t="s">
        <v>141</v>
      </c>
      <c r="I1411" s="22" t="s">
        <v>864</v>
      </c>
      <c r="J1411" s="16">
        <f>IFERROR(INDEX(Aux_HH!$J$4:$J$31,MATCH($H1411&amp;"|"&amp;$I1411,Aux_HH!$A$4:$A$31,0)),"")</f>
        <v>8</v>
      </c>
      <c r="K1411" s="16" t="s">
        <v>76</v>
      </c>
      <c r="L1411" s="16" t="str">
        <f>IF(COUNTIFS(Pessoas!$C$5:$C$44,$K1411,Pessoas!$G$5:$G$44,"Ativo")=0,"Equipe "&amp;$K1411,INDEX(Pessoas!$A$5:$A$44,_xludf.aggregate(15,6,(ROW(Pessoas!$A$5:$A$44)-4)/((Pessoas!$C$5:$C$44=$K1411)*(Pessoas!$G$5:$G$44="Ativo")),MOD(ROW()-6,MAX(1,COUNTIFS(Pessoas!$C$5:$C$44,$K1411,Pessoas!$G$5:$G$44,"Ativo")))+1)))</f>
        <v>Equipe Oficina Mecânica Central-Taisa</v>
      </c>
    </row>
    <row r="1412" spans="1:12" ht="15" customHeight="1" x14ac:dyDescent="0.4">
      <c r="A1412" s="25">
        <v>46454</v>
      </c>
      <c r="B1412" s="16">
        <v>27</v>
      </c>
      <c r="C1412" s="16">
        <v>3</v>
      </c>
      <c r="D1412" s="16">
        <v>3</v>
      </c>
      <c r="E1412" s="16" t="s">
        <v>980</v>
      </c>
      <c r="F1412" s="16" t="s">
        <v>1274</v>
      </c>
      <c r="G1412" s="16" t="s">
        <v>158</v>
      </c>
      <c r="H1412" s="16" t="s">
        <v>141</v>
      </c>
      <c r="I1412" s="22" t="s">
        <v>864</v>
      </c>
      <c r="J1412" s="16">
        <f>IFERROR(INDEX(Aux_HH!$J$4:$J$31,MATCH($H1412&amp;"|"&amp;$I1412,Aux_HH!$A$4:$A$31,0)),"")</f>
        <v>8</v>
      </c>
      <c r="K1412" s="16" t="s">
        <v>76</v>
      </c>
      <c r="L1412" s="16" t="str">
        <f>IF(COUNTIFS(Pessoas!$C$5:$C$44,$K1412,Pessoas!$G$5:$G$44,"Ativo")=0,"Equipe "&amp;$K1412,INDEX(Pessoas!$A$5:$A$44,_xludf.aggregate(15,6,(ROW(Pessoas!$A$5:$A$44)-4)/((Pessoas!$C$5:$C$44=$K1412)*(Pessoas!$G$5:$G$44="Ativo")),MOD(ROW()-6,MAX(1,COUNTIFS(Pessoas!$C$5:$C$44,$K1412,Pessoas!$G$5:$G$44,"Ativo")))+1)))</f>
        <v>Equipe Oficina Mecânica Central-Taisa</v>
      </c>
    </row>
    <row r="1413" spans="1:12" ht="15" customHeight="1" x14ac:dyDescent="0.4">
      <c r="A1413" s="25">
        <v>46454</v>
      </c>
      <c r="B1413" s="16">
        <v>27</v>
      </c>
      <c r="C1413" s="16">
        <v>3</v>
      </c>
      <c r="D1413" s="16">
        <v>3</v>
      </c>
      <c r="E1413" s="16" t="s">
        <v>980</v>
      </c>
      <c r="F1413" s="16" t="s">
        <v>1275</v>
      </c>
      <c r="G1413" s="16" t="s">
        <v>158</v>
      </c>
      <c r="H1413" s="16" t="s">
        <v>141</v>
      </c>
      <c r="I1413" s="22" t="s">
        <v>864</v>
      </c>
      <c r="J1413" s="16">
        <f>IFERROR(INDEX(Aux_HH!$J$4:$J$31,MATCH($H1413&amp;"|"&amp;$I1413,Aux_HH!$A$4:$A$31,0)),"")</f>
        <v>8</v>
      </c>
      <c r="K1413" s="16" t="s">
        <v>76</v>
      </c>
      <c r="L1413" s="16" t="str">
        <f>IF(COUNTIFS(Pessoas!$C$5:$C$44,$K1413,Pessoas!$G$5:$G$44,"Ativo")=0,"Equipe "&amp;$K1413,INDEX(Pessoas!$A$5:$A$44,_xludf.aggregate(15,6,(ROW(Pessoas!$A$5:$A$44)-4)/((Pessoas!$C$5:$C$44=$K1413)*(Pessoas!$G$5:$G$44="Ativo")),MOD(ROW()-6,MAX(1,COUNTIFS(Pessoas!$C$5:$C$44,$K1413,Pessoas!$G$5:$G$44,"Ativo")))+1)))</f>
        <v>Equipe Oficina Mecânica Central-Taisa</v>
      </c>
    </row>
    <row r="1414" spans="1:12" ht="15" customHeight="1" x14ac:dyDescent="0.4">
      <c r="A1414" s="25">
        <v>46454</v>
      </c>
      <c r="B1414" s="16">
        <v>27</v>
      </c>
      <c r="C1414" s="16">
        <v>3</v>
      </c>
      <c r="D1414" s="16">
        <v>3</v>
      </c>
      <c r="E1414" s="16" t="s">
        <v>980</v>
      </c>
      <c r="F1414" s="16" t="s">
        <v>1276</v>
      </c>
      <c r="G1414" s="16" t="s">
        <v>158</v>
      </c>
      <c r="H1414" s="16" t="s">
        <v>141</v>
      </c>
      <c r="I1414" s="22" t="s">
        <v>864</v>
      </c>
      <c r="J1414" s="16">
        <f>IFERROR(INDEX(Aux_HH!$J$4:$J$31,MATCH($H1414&amp;"|"&amp;$I1414,Aux_HH!$A$4:$A$31,0)),"")</f>
        <v>8</v>
      </c>
      <c r="K1414" s="16" t="s">
        <v>76</v>
      </c>
      <c r="L1414" s="16" t="str">
        <f>IF(COUNTIFS(Pessoas!$C$5:$C$44,$K1414,Pessoas!$G$5:$G$44,"Ativo")=0,"Equipe "&amp;$K1414,INDEX(Pessoas!$A$5:$A$44,_xludf.aggregate(15,6,(ROW(Pessoas!$A$5:$A$44)-4)/((Pessoas!$C$5:$C$44=$K1414)*(Pessoas!$G$5:$G$44="Ativo")),MOD(ROW()-6,MAX(1,COUNTIFS(Pessoas!$C$5:$C$44,$K1414,Pessoas!$G$5:$G$44,"Ativo")))+1)))</f>
        <v>Equipe Oficina Mecânica Central-Taisa</v>
      </c>
    </row>
    <row r="1415" spans="1:12" ht="15" customHeight="1" x14ac:dyDescent="0.4">
      <c r="A1415" s="25">
        <v>46454</v>
      </c>
      <c r="B1415" s="16">
        <v>27</v>
      </c>
      <c r="C1415" s="16">
        <v>3</v>
      </c>
      <c r="D1415" s="16">
        <v>3</v>
      </c>
      <c r="E1415" s="16" t="s">
        <v>980</v>
      </c>
      <c r="F1415" s="16" t="s">
        <v>1277</v>
      </c>
      <c r="G1415" s="16" t="s">
        <v>158</v>
      </c>
      <c r="H1415" s="16" t="s">
        <v>141</v>
      </c>
      <c r="I1415" s="22" t="s">
        <v>864</v>
      </c>
      <c r="J1415" s="16">
        <f>IFERROR(INDEX(Aux_HH!$J$4:$J$31,MATCH($H1415&amp;"|"&amp;$I1415,Aux_HH!$A$4:$A$31,0)),"")</f>
        <v>8</v>
      </c>
      <c r="K1415" s="16" t="s">
        <v>76</v>
      </c>
      <c r="L1415" s="16" t="str">
        <f>IF(COUNTIFS(Pessoas!$C$5:$C$44,$K1415,Pessoas!$G$5:$G$44,"Ativo")=0,"Equipe "&amp;$K1415,INDEX(Pessoas!$A$5:$A$44,_xludf.aggregate(15,6,(ROW(Pessoas!$A$5:$A$44)-4)/((Pessoas!$C$5:$C$44=$K1415)*(Pessoas!$G$5:$G$44="Ativo")),MOD(ROW()-6,MAX(1,COUNTIFS(Pessoas!$C$5:$C$44,$K1415,Pessoas!$G$5:$G$44,"Ativo")))+1)))</f>
        <v>Equipe Oficina Mecânica Central-Taisa</v>
      </c>
    </row>
    <row r="1416" spans="1:12" ht="15" customHeight="1" x14ac:dyDescent="0.4">
      <c r="A1416" s="25">
        <v>46454</v>
      </c>
      <c r="B1416" s="16">
        <v>27</v>
      </c>
      <c r="C1416" s="16">
        <v>3</v>
      </c>
      <c r="D1416" s="16">
        <v>3</v>
      </c>
      <c r="E1416" s="16" t="s">
        <v>980</v>
      </c>
      <c r="F1416" s="16" t="s">
        <v>1278</v>
      </c>
      <c r="G1416" s="16" t="s">
        <v>158</v>
      </c>
      <c r="H1416" s="16" t="s">
        <v>141</v>
      </c>
      <c r="I1416" s="22" t="s">
        <v>864</v>
      </c>
      <c r="J1416" s="16">
        <f>IFERROR(INDEX(Aux_HH!$J$4:$J$31,MATCH($H1416&amp;"|"&amp;$I1416,Aux_HH!$A$4:$A$31,0)),"")</f>
        <v>8</v>
      </c>
      <c r="K1416" s="16" t="s">
        <v>76</v>
      </c>
      <c r="L1416" s="16" t="str">
        <f>IF(COUNTIFS(Pessoas!$C$5:$C$44,$K1416,Pessoas!$G$5:$G$44,"Ativo")=0,"Equipe "&amp;$K1416,INDEX(Pessoas!$A$5:$A$44,_xludf.aggregate(15,6,(ROW(Pessoas!$A$5:$A$44)-4)/((Pessoas!$C$5:$C$44=$K1416)*(Pessoas!$G$5:$G$44="Ativo")),MOD(ROW()-6,MAX(1,COUNTIFS(Pessoas!$C$5:$C$44,$K1416,Pessoas!$G$5:$G$44,"Ativo")))+1)))</f>
        <v>Equipe Oficina Mecânica Central-Taisa</v>
      </c>
    </row>
    <row r="1417" spans="1:12" ht="15" customHeight="1" x14ac:dyDescent="0.4">
      <c r="A1417" s="25">
        <v>46454</v>
      </c>
      <c r="B1417" s="16">
        <v>27</v>
      </c>
      <c r="C1417" s="16">
        <v>3</v>
      </c>
      <c r="D1417" s="16">
        <v>3</v>
      </c>
      <c r="E1417" s="16" t="s">
        <v>980</v>
      </c>
      <c r="F1417" s="16" t="s">
        <v>1279</v>
      </c>
      <c r="G1417" s="16" t="s">
        <v>158</v>
      </c>
      <c r="H1417" s="16" t="s">
        <v>141</v>
      </c>
      <c r="I1417" s="22" t="s">
        <v>864</v>
      </c>
      <c r="J1417" s="16">
        <f>IFERROR(INDEX(Aux_HH!$J$4:$J$31,MATCH($H1417&amp;"|"&amp;$I1417,Aux_HH!$A$4:$A$31,0)),"")</f>
        <v>8</v>
      </c>
      <c r="K1417" s="16" t="s">
        <v>76</v>
      </c>
      <c r="L1417" s="16" t="str">
        <f>IF(COUNTIFS(Pessoas!$C$5:$C$44,$K1417,Pessoas!$G$5:$G$44,"Ativo")=0,"Equipe "&amp;$K1417,INDEX(Pessoas!$A$5:$A$44,_xludf.aggregate(15,6,(ROW(Pessoas!$A$5:$A$44)-4)/((Pessoas!$C$5:$C$44=$K1417)*(Pessoas!$G$5:$G$44="Ativo")),MOD(ROW()-6,MAX(1,COUNTIFS(Pessoas!$C$5:$C$44,$K1417,Pessoas!$G$5:$G$44,"Ativo")))+1)))</f>
        <v>Equipe Oficina Mecânica Central-Taisa</v>
      </c>
    </row>
    <row r="1418" spans="1:12" ht="15" customHeight="1" x14ac:dyDescent="0.4">
      <c r="A1418" s="25">
        <v>46454</v>
      </c>
      <c r="B1418" s="16">
        <v>27</v>
      </c>
      <c r="C1418" s="16">
        <v>3</v>
      </c>
      <c r="D1418" s="16">
        <v>3</v>
      </c>
      <c r="E1418" s="16" t="s">
        <v>980</v>
      </c>
      <c r="F1418" s="16" t="s">
        <v>1280</v>
      </c>
      <c r="G1418" s="16" t="s">
        <v>158</v>
      </c>
      <c r="H1418" s="16" t="s">
        <v>141</v>
      </c>
      <c r="I1418" s="22" t="s">
        <v>864</v>
      </c>
      <c r="J1418" s="16">
        <f>IFERROR(INDEX(Aux_HH!$J$4:$J$31,MATCH($H1418&amp;"|"&amp;$I1418,Aux_HH!$A$4:$A$31,0)),"")</f>
        <v>8</v>
      </c>
      <c r="K1418" s="16" t="s">
        <v>76</v>
      </c>
      <c r="L1418" s="16" t="str">
        <f>IF(COUNTIFS(Pessoas!$C$5:$C$44,$K1418,Pessoas!$G$5:$G$44,"Ativo")=0,"Equipe "&amp;$K1418,INDEX(Pessoas!$A$5:$A$44,_xludf.aggregate(15,6,(ROW(Pessoas!$A$5:$A$44)-4)/((Pessoas!$C$5:$C$44=$K1418)*(Pessoas!$G$5:$G$44="Ativo")),MOD(ROW()-6,MAX(1,COUNTIFS(Pessoas!$C$5:$C$44,$K1418,Pessoas!$G$5:$G$44,"Ativo")))+1)))</f>
        <v>Equipe Oficina Mecânica Central-Taisa</v>
      </c>
    </row>
    <row r="1419" spans="1:12" ht="15" customHeight="1" x14ac:dyDescent="0.4">
      <c r="A1419" s="25">
        <v>46454</v>
      </c>
      <c r="B1419" s="16">
        <v>27</v>
      </c>
      <c r="C1419" s="16">
        <v>3</v>
      </c>
      <c r="D1419" s="16">
        <v>3</v>
      </c>
      <c r="E1419" s="16" t="s">
        <v>980</v>
      </c>
      <c r="F1419" s="16" t="s">
        <v>1281</v>
      </c>
      <c r="G1419" s="16" t="s">
        <v>158</v>
      </c>
      <c r="H1419" s="16" t="s">
        <v>141</v>
      </c>
      <c r="I1419" s="22" t="s">
        <v>864</v>
      </c>
      <c r="J1419" s="16">
        <f>IFERROR(INDEX(Aux_HH!$J$4:$J$31,MATCH($H1419&amp;"|"&amp;$I1419,Aux_HH!$A$4:$A$31,0)),"")</f>
        <v>8</v>
      </c>
      <c r="K1419" s="16" t="s">
        <v>76</v>
      </c>
      <c r="L1419" s="16" t="str">
        <f>IF(COUNTIFS(Pessoas!$C$5:$C$44,$K1419,Pessoas!$G$5:$G$44,"Ativo")=0,"Equipe "&amp;$K1419,INDEX(Pessoas!$A$5:$A$44,_xludf.aggregate(15,6,(ROW(Pessoas!$A$5:$A$44)-4)/((Pessoas!$C$5:$C$44=$K1419)*(Pessoas!$G$5:$G$44="Ativo")),MOD(ROW()-6,MAX(1,COUNTIFS(Pessoas!$C$5:$C$44,$K1419,Pessoas!$G$5:$G$44,"Ativo")))+1)))</f>
        <v>Equipe Oficina Mecânica Central-Taisa</v>
      </c>
    </row>
    <row r="1420" spans="1:12" ht="15" customHeight="1" x14ac:dyDescent="0.4">
      <c r="A1420" s="25">
        <v>46454</v>
      </c>
      <c r="B1420" s="16">
        <v>27</v>
      </c>
      <c r="C1420" s="16">
        <v>3</v>
      </c>
      <c r="D1420" s="16">
        <v>3</v>
      </c>
      <c r="E1420" s="16" t="s">
        <v>980</v>
      </c>
      <c r="F1420" s="16" t="s">
        <v>1282</v>
      </c>
      <c r="G1420" s="16" t="s">
        <v>158</v>
      </c>
      <c r="H1420" s="16" t="s">
        <v>141</v>
      </c>
      <c r="I1420" s="22" t="s">
        <v>864</v>
      </c>
      <c r="J1420" s="16">
        <f>IFERROR(INDEX(Aux_HH!$J$4:$J$31,MATCH($H1420&amp;"|"&amp;$I1420,Aux_HH!$A$4:$A$31,0)),"")</f>
        <v>8</v>
      </c>
      <c r="K1420" s="16" t="s">
        <v>76</v>
      </c>
      <c r="L1420" s="16" t="str">
        <f>IF(COUNTIFS(Pessoas!$C$5:$C$44,$K1420,Pessoas!$G$5:$G$44,"Ativo")=0,"Equipe "&amp;$K1420,INDEX(Pessoas!$A$5:$A$44,_xludf.aggregate(15,6,(ROW(Pessoas!$A$5:$A$44)-4)/((Pessoas!$C$5:$C$44=$K1420)*(Pessoas!$G$5:$G$44="Ativo")),MOD(ROW()-6,MAX(1,COUNTIFS(Pessoas!$C$5:$C$44,$K1420,Pessoas!$G$5:$G$44,"Ativo")))+1)))</f>
        <v>Equipe Oficina Mecânica Central-Taisa</v>
      </c>
    </row>
    <row r="1421" spans="1:12" ht="15" customHeight="1" x14ac:dyDescent="0.4">
      <c r="A1421" s="25">
        <v>46454</v>
      </c>
      <c r="B1421" s="16">
        <v>27</v>
      </c>
      <c r="C1421" s="16">
        <v>3</v>
      </c>
      <c r="D1421" s="16">
        <v>3</v>
      </c>
      <c r="E1421" s="16" t="s">
        <v>980</v>
      </c>
      <c r="F1421" s="16" t="s">
        <v>1283</v>
      </c>
      <c r="G1421" s="16" t="s">
        <v>158</v>
      </c>
      <c r="H1421" s="16" t="s">
        <v>141</v>
      </c>
      <c r="I1421" s="22" t="s">
        <v>864</v>
      </c>
      <c r="J1421" s="16">
        <f>IFERROR(INDEX(Aux_HH!$J$4:$J$31,MATCH($H1421&amp;"|"&amp;$I1421,Aux_HH!$A$4:$A$31,0)),"")</f>
        <v>8</v>
      </c>
      <c r="K1421" s="16" t="s">
        <v>76</v>
      </c>
      <c r="L1421" s="16" t="str">
        <f>IF(COUNTIFS(Pessoas!$C$5:$C$44,$K1421,Pessoas!$G$5:$G$44,"Ativo")=0,"Equipe "&amp;$K1421,INDEX(Pessoas!$A$5:$A$44,_xludf.aggregate(15,6,(ROW(Pessoas!$A$5:$A$44)-4)/((Pessoas!$C$5:$C$44=$K1421)*(Pessoas!$G$5:$G$44="Ativo")),MOD(ROW()-6,MAX(1,COUNTIFS(Pessoas!$C$5:$C$44,$K1421,Pessoas!$G$5:$G$44,"Ativo")))+1)))</f>
        <v>Equipe Oficina Mecânica Central-Taisa</v>
      </c>
    </row>
    <row r="1422" spans="1:12" ht="15" customHeight="1" x14ac:dyDescent="0.4">
      <c r="A1422" s="25">
        <v>46454</v>
      </c>
      <c r="B1422" s="16">
        <v>27</v>
      </c>
      <c r="C1422" s="16">
        <v>3</v>
      </c>
      <c r="D1422" s="16">
        <v>3</v>
      </c>
      <c r="E1422" s="16" t="s">
        <v>980</v>
      </c>
      <c r="F1422" s="16" t="s">
        <v>1284</v>
      </c>
      <c r="G1422" s="16" t="s">
        <v>184</v>
      </c>
      <c r="H1422" s="16" t="s">
        <v>141</v>
      </c>
      <c r="I1422" s="22" t="s">
        <v>864</v>
      </c>
      <c r="J1422" s="16">
        <f>IFERROR(INDEX(Aux_HH!$J$4:$J$31,MATCH($H1422&amp;"|"&amp;$I1422,Aux_HH!$A$4:$A$31,0)),"")</f>
        <v>8</v>
      </c>
      <c r="K1422" s="16" t="s">
        <v>76</v>
      </c>
      <c r="L1422" s="16" t="str">
        <f>IF(COUNTIFS(Pessoas!$C$5:$C$44,$K1422,Pessoas!$G$5:$G$44,"Ativo")=0,"Equipe "&amp;$K1422,INDEX(Pessoas!$A$5:$A$44,_xludf.aggregate(15,6,(ROW(Pessoas!$A$5:$A$44)-4)/((Pessoas!$C$5:$C$44=$K1422)*(Pessoas!$G$5:$G$44="Ativo")),MOD(ROW()-6,MAX(1,COUNTIFS(Pessoas!$C$5:$C$44,$K1422,Pessoas!$G$5:$G$44,"Ativo")))+1)))</f>
        <v>Equipe Oficina Mecânica Central-Taisa</v>
      </c>
    </row>
    <row r="1423" spans="1:12" ht="15" customHeight="1" x14ac:dyDescent="0.4">
      <c r="A1423" s="25">
        <v>46454</v>
      </c>
      <c r="B1423" s="16">
        <v>27</v>
      </c>
      <c r="C1423" s="16">
        <v>3</v>
      </c>
      <c r="D1423" s="16">
        <v>3</v>
      </c>
      <c r="E1423" s="16" t="s">
        <v>980</v>
      </c>
      <c r="F1423" s="16" t="s">
        <v>1285</v>
      </c>
      <c r="G1423" s="16" t="s">
        <v>184</v>
      </c>
      <c r="H1423" s="16" t="s">
        <v>141</v>
      </c>
      <c r="I1423" s="22" t="s">
        <v>864</v>
      </c>
      <c r="J1423" s="16">
        <f>IFERROR(INDEX(Aux_HH!$J$4:$J$31,MATCH($H1423&amp;"|"&amp;$I1423,Aux_HH!$A$4:$A$31,0)),"")</f>
        <v>8</v>
      </c>
      <c r="K1423" s="16" t="s">
        <v>76</v>
      </c>
      <c r="L1423" s="16" t="str">
        <f>IF(COUNTIFS(Pessoas!$C$5:$C$44,$K1423,Pessoas!$G$5:$G$44,"Ativo")=0,"Equipe "&amp;$K1423,INDEX(Pessoas!$A$5:$A$44,_xludf.aggregate(15,6,(ROW(Pessoas!$A$5:$A$44)-4)/((Pessoas!$C$5:$C$44=$K1423)*(Pessoas!$G$5:$G$44="Ativo")),MOD(ROW()-6,MAX(1,COUNTIFS(Pessoas!$C$5:$C$44,$K1423,Pessoas!$G$5:$G$44,"Ativo")))+1)))</f>
        <v>Equipe Oficina Mecânica Central-Taisa</v>
      </c>
    </row>
    <row r="1424" spans="1:12" ht="15" customHeight="1" x14ac:dyDescent="0.4">
      <c r="A1424" s="25">
        <v>46454</v>
      </c>
      <c r="B1424" s="16">
        <v>27</v>
      </c>
      <c r="C1424" s="16">
        <v>3</v>
      </c>
      <c r="D1424" s="16">
        <v>3</v>
      </c>
      <c r="E1424" s="16" t="s">
        <v>980</v>
      </c>
      <c r="F1424" s="16" t="s">
        <v>1286</v>
      </c>
      <c r="G1424" s="16" t="s">
        <v>184</v>
      </c>
      <c r="H1424" s="16" t="s">
        <v>141</v>
      </c>
      <c r="I1424" s="22" t="s">
        <v>864</v>
      </c>
      <c r="J1424" s="16">
        <f>IFERROR(INDEX(Aux_HH!$J$4:$J$31,MATCH($H1424&amp;"|"&amp;$I1424,Aux_HH!$A$4:$A$31,0)),"")</f>
        <v>8</v>
      </c>
      <c r="K1424" s="16" t="s">
        <v>76</v>
      </c>
      <c r="L1424" s="16" t="str">
        <f>IF(COUNTIFS(Pessoas!$C$5:$C$44,$K1424,Pessoas!$G$5:$G$44,"Ativo")=0,"Equipe "&amp;$K1424,INDEX(Pessoas!$A$5:$A$44,_xludf.aggregate(15,6,(ROW(Pessoas!$A$5:$A$44)-4)/((Pessoas!$C$5:$C$44=$K1424)*(Pessoas!$G$5:$G$44="Ativo")),MOD(ROW()-6,MAX(1,COUNTIFS(Pessoas!$C$5:$C$44,$K1424,Pessoas!$G$5:$G$44,"Ativo")))+1)))</f>
        <v>Equipe Oficina Mecânica Central-Taisa</v>
      </c>
    </row>
    <row r="1425" spans="1:12" ht="15" customHeight="1" x14ac:dyDescent="0.4">
      <c r="A1425" s="25">
        <v>46454</v>
      </c>
      <c r="B1425" s="16">
        <v>27</v>
      </c>
      <c r="C1425" s="16">
        <v>3</v>
      </c>
      <c r="D1425" s="16">
        <v>3</v>
      </c>
      <c r="E1425" s="16" t="s">
        <v>980</v>
      </c>
      <c r="F1425" s="16" t="s">
        <v>1287</v>
      </c>
      <c r="G1425" s="16" t="s">
        <v>184</v>
      </c>
      <c r="H1425" s="16" t="s">
        <v>141</v>
      </c>
      <c r="I1425" s="22" t="s">
        <v>864</v>
      </c>
      <c r="J1425" s="16">
        <f>IFERROR(INDEX(Aux_HH!$J$4:$J$31,MATCH($H1425&amp;"|"&amp;$I1425,Aux_HH!$A$4:$A$31,0)),"")</f>
        <v>8</v>
      </c>
      <c r="K1425" s="16" t="s">
        <v>76</v>
      </c>
      <c r="L1425" s="16" t="str">
        <f>IF(COUNTIFS(Pessoas!$C$5:$C$44,$K1425,Pessoas!$G$5:$G$44,"Ativo")=0,"Equipe "&amp;$K1425,INDEX(Pessoas!$A$5:$A$44,_xludf.aggregate(15,6,(ROW(Pessoas!$A$5:$A$44)-4)/((Pessoas!$C$5:$C$44=$K1425)*(Pessoas!$G$5:$G$44="Ativo")),MOD(ROW()-6,MAX(1,COUNTIFS(Pessoas!$C$5:$C$44,$K1425,Pessoas!$G$5:$G$44,"Ativo")))+1)))</f>
        <v>Equipe Oficina Mecânica Central-Taisa</v>
      </c>
    </row>
    <row r="1426" spans="1:12" ht="15" customHeight="1" x14ac:dyDescent="0.4">
      <c r="A1426" s="25">
        <v>46454</v>
      </c>
      <c r="B1426" s="16">
        <v>27</v>
      </c>
      <c r="C1426" s="16">
        <v>3</v>
      </c>
      <c r="D1426" s="16">
        <v>3</v>
      </c>
      <c r="E1426" s="16" t="s">
        <v>980</v>
      </c>
      <c r="F1426" s="16" t="s">
        <v>1288</v>
      </c>
      <c r="G1426" s="16" t="s">
        <v>184</v>
      </c>
      <c r="H1426" s="16" t="s">
        <v>141</v>
      </c>
      <c r="I1426" s="22" t="s">
        <v>864</v>
      </c>
      <c r="J1426" s="16">
        <f>IFERROR(INDEX(Aux_HH!$J$4:$J$31,MATCH($H1426&amp;"|"&amp;$I1426,Aux_HH!$A$4:$A$31,0)),"")</f>
        <v>8</v>
      </c>
      <c r="K1426" s="16" t="s">
        <v>76</v>
      </c>
      <c r="L1426" s="16" t="str">
        <f>IF(COUNTIFS(Pessoas!$C$5:$C$44,$K1426,Pessoas!$G$5:$G$44,"Ativo")=0,"Equipe "&amp;$K1426,INDEX(Pessoas!$A$5:$A$44,_xludf.aggregate(15,6,(ROW(Pessoas!$A$5:$A$44)-4)/((Pessoas!$C$5:$C$44=$K1426)*(Pessoas!$G$5:$G$44="Ativo")),MOD(ROW()-6,MAX(1,COUNTIFS(Pessoas!$C$5:$C$44,$K1426,Pessoas!$G$5:$G$44,"Ativo")))+1)))</f>
        <v>Equipe Oficina Mecânica Central-Taisa</v>
      </c>
    </row>
    <row r="1427" spans="1:12" ht="15" customHeight="1" x14ac:dyDescent="0.4">
      <c r="A1427" s="25">
        <v>46454</v>
      </c>
      <c r="B1427" s="16">
        <v>27</v>
      </c>
      <c r="C1427" s="16">
        <v>3</v>
      </c>
      <c r="D1427" s="16">
        <v>3</v>
      </c>
      <c r="E1427" s="16" t="s">
        <v>980</v>
      </c>
      <c r="F1427" s="16" t="s">
        <v>1289</v>
      </c>
      <c r="G1427" s="16" t="s">
        <v>184</v>
      </c>
      <c r="H1427" s="16" t="s">
        <v>141</v>
      </c>
      <c r="I1427" s="22" t="s">
        <v>864</v>
      </c>
      <c r="J1427" s="16">
        <f>IFERROR(INDEX(Aux_HH!$J$4:$J$31,MATCH($H1427&amp;"|"&amp;$I1427,Aux_HH!$A$4:$A$31,0)),"")</f>
        <v>8</v>
      </c>
      <c r="K1427" s="16" t="s">
        <v>76</v>
      </c>
      <c r="L1427" s="16" t="str">
        <f>IF(COUNTIFS(Pessoas!$C$5:$C$44,$K1427,Pessoas!$G$5:$G$44,"Ativo")=0,"Equipe "&amp;$K1427,INDEX(Pessoas!$A$5:$A$44,_xludf.aggregate(15,6,(ROW(Pessoas!$A$5:$A$44)-4)/((Pessoas!$C$5:$C$44=$K1427)*(Pessoas!$G$5:$G$44="Ativo")),MOD(ROW()-6,MAX(1,COUNTIFS(Pessoas!$C$5:$C$44,$K1427,Pessoas!$G$5:$G$44,"Ativo")))+1)))</f>
        <v>Equipe Oficina Mecânica Central-Taisa</v>
      </c>
    </row>
    <row r="1428" spans="1:12" ht="15" customHeight="1" x14ac:dyDescent="0.4">
      <c r="A1428" s="25">
        <v>46454</v>
      </c>
      <c r="B1428" s="16">
        <v>27</v>
      </c>
      <c r="C1428" s="16">
        <v>3</v>
      </c>
      <c r="D1428" s="16">
        <v>3</v>
      </c>
      <c r="E1428" s="16" t="s">
        <v>980</v>
      </c>
      <c r="F1428" s="16" t="s">
        <v>1290</v>
      </c>
      <c r="G1428" s="16" t="s">
        <v>184</v>
      </c>
      <c r="H1428" s="16" t="s">
        <v>141</v>
      </c>
      <c r="I1428" s="22" t="s">
        <v>864</v>
      </c>
      <c r="J1428" s="16">
        <f>IFERROR(INDEX(Aux_HH!$J$4:$J$31,MATCH($H1428&amp;"|"&amp;$I1428,Aux_HH!$A$4:$A$31,0)),"")</f>
        <v>8</v>
      </c>
      <c r="K1428" s="16" t="s">
        <v>76</v>
      </c>
      <c r="L1428" s="16" t="str">
        <f>IF(COUNTIFS(Pessoas!$C$5:$C$44,$K1428,Pessoas!$G$5:$G$44,"Ativo")=0,"Equipe "&amp;$K1428,INDEX(Pessoas!$A$5:$A$44,_xludf.aggregate(15,6,(ROW(Pessoas!$A$5:$A$44)-4)/((Pessoas!$C$5:$C$44=$K1428)*(Pessoas!$G$5:$G$44="Ativo")),MOD(ROW()-6,MAX(1,COUNTIFS(Pessoas!$C$5:$C$44,$K1428,Pessoas!$G$5:$G$44,"Ativo")))+1)))</f>
        <v>Equipe Oficina Mecânica Central-Taisa</v>
      </c>
    </row>
    <row r="1429" spans="1:12" ht="15" customHeight="1" x14ac:dyDescent="0.4">
      <c r="A1429" s="25">
        <v>46454</v>
      </c>
      <c r="B1429" s="16">
        <v>27</v>
      </c>
      <c r="C1429" s="16">
        <v>3</v>
      </c>
      <c r="D1429" s="16">
        <v>3</v>
      </c>
      <c r="E1429" s="16" t="s">
        <v>980</v>
      </c>
      <c r="F1429" s="16" t="s">
        <v>1291</v>
      </c>
      <c r="G1429" s="16" t="s">
        <v>184</v>
      </c>
      <c r="H1429" s="16" t="s">
        <v>141</v>
      </c>
      <c r="I1429" s="22" t="s">
        <v>864</v>
      </c>
      <c r="J1429" s="16">
        <f>IFERROR(INDEX(Aux_HH!$J$4:$J$31,MATCH($H1429&amp;"|"&amp;$I1429,Aux_HH!$A$4:$A$31,0)),"")</f>
        <v>8</v>
      </c>
      <c r="K1429" s="16" t="s">
        <v>76</v>
      </c>
      <c r="L1429" s="16" t="str">
        <f>IF(COUNTIFS(Pessoas!$C$5:$C$44,$K1429,Pessoas!$G$5:$G$44,"Ativo")=0,"Equipe "&amp;$K1429,INDEX(Pessoas!$A$5:$A$44,_xludf.aggregate(15,6,(ROW(Pessoas!$A$5:$A$44)-4)/((Pessoas!$C$5:$C$44=$K1429)*(Pessoas!$G$5:$G$44="Ativo")),MOD(ROW()-6,MAX(1,COUNTIFS(Pessoas!$C$5:$C$44,$K1429,Pessoas!$G$5:$G$44,"Ativo")))+1)))</f>
        <v>Equipe Oficina Mecânica Central-Taisa</v>
      </c>
    </row>
    <row r="1430" spans="1:12" ht="15" customHeight="1" x14ac:dyDescent="0.4">
      <c r="A1430" s="25">
        <v>46454</v>
      </c>
      <c r="B1430" s="16">
        <v>27</v>
      </c>
      <c r="C1430" s="16">
        <v>3</v>
      </c>
      <c r="D1430" s="16">
        <v>3</v>
      </c>
      <c r="E1430" s="16" t="s">
        <v>980</v>
      </c>
      <c r="F1430" s="16" t="s">
        <v>1292</v>
      </c>
      <c r="G1430" s="16" t="s">
        <v>184</v>
      </c>
      <c r="H1430" s="16" t="s">
        <v>141</v>
      </c>
      <c r="I1430" s="22" t="s">
        <v>864</v>
      </c>
      <c r="J1430" s="16">
        <f>IFERROR(INDEX(Aux_HH!$J$4:$J$31,MATCH($H1430&amp;"|"&amp;$I1430,Aux_HH!$A$4:$A$31,0)),"")</f>
        <v>8</v>
      </c>
      <c r="K1430" s="16" t="s">
        <v>76</v>
      </c>
      <c r="L1430" s="16" t="str">
        <f>IF(COUNTIFS(Pessoas!$C$5:$C$44,$K1430,Pessoas!$G$5:$G$44,"Ativo")=0,"Equipe "&amp;$K1430,INDEX(Pessoas!$A$5:$A$44,_xludf.aggregate(15,6,(ROW(Pessoas!$A$5:$A$44)-4)/((Pessoas!$C$5:$C$44=$K1430)*(Pessoas!$G$5:$G$44="Ativo")),MOD(ROW()-6,MAX(1,COUNTIFS(Pessoas!$C$5:$C$44,$K1430,Pessoas!$G$5:$G$44,"Ativo")))+1)))</f>
        <v>Equipe Oficina Mecânica Central-Taisa</v>
      </c>
    </row>
    <row r="1431" spans="1:12" ht="15" customHeight="1" x14ac:dyDescent="0.4">
      <c r="A1431" s="25">
        <v>46454</v>
      </c>
      <c r="B1431" s="16">
        <v>27</v>
      </c>
      <c r="C1431" s="16">
        <v>3</v>
      </c>
      <c r="D1431" s="16">
        <v>3</v>
      </c>
      <c r="E1431" s="16" t="s">
        <v>980</v>
      </c>
      <c r="F1431" s="16" t="s">
        <v>1293</v>
      </c>
      <c r="G1431" s="16" t="s">
        <v>184</v>
      </c>
      <c r="H1431" s="16" t="s">
        <v>141</v>
      </c>
      <c r="I1431" s="22" t="s">
        <v>864</v>
      </c>
      <c r="J1431" s="16">
        <f>IFERROR(INDEX(Aux_HH!$J$4:$J$31,MATCH($H1431&amp;"|"&amp;$I1431,Aux_HH!$A$4:$A$31,0)),"")</f>
        <v>8</v>
      </c>
      <c r="K1431" s="16" t="s">
        <v>76</v>
      </c>
      <c r="L1431" s="16" t="str">
        <f>IF(COUNTIFS(Pessoas!$C$5:$C$44,$K1431,Pessoas!$G$5:$G$44,"Ativo")=0,"Equipe "&amp;$K1431,INDEX(Pessoas!$A$5:$A$44,_xludf.aggregate(15,6,(ROW(Pessoas!$A$5:$A$44)-4)/((Pessoas!$C$5:$C$44=$K1431)*(Pessoas!$G$5:$G$44="Ativo")),MOD(ROW()-6,MAX(1,COUNTIFS(Pessoas!$C$5:$C$44,$K1431,Pessoas!$G$5:$G$44,"Ativo")))+1)))</f>
        <v>Equipe Oficina Mecânica Central-Taisa</v>
      </c>
    </row>
    <row r="1432" spans="1:12" ht="15" customHeight="1" x14ac:dyDescent="0.4">
      <c r="A1432" s="25">
        <v>46454</v>
      </c>
      <c r="B1432" s="16">
        <v>27</v>
      </c>
      <c r="C1432" s="16">
        <v>3</v>
      </c>
      <c r="D1432" s="16">
        <v>3</v>
      </c>
      <c r="E1432" s="16" t="s">
        <v>980</v>
      </c>
      <c r="F1432" s="16" t="s">
        <v>1294</v>
      </c>
      <c r="G1432" s="16" t="s">
        <v>184</v>
      </c>
      <c r="H1432" s="16" t="s">
        <v>141</v>
      </c>
      <c r="I1432" s="22" t="s">
        <v>864</v>
      </c>
      <c r="J1432" s="16">
        <f>IFERROR(INDEX(Aux_HH!$J$4:$J$31,MATCH($H1432&amp;"|"&amp;$I1432,Aux_HH!$A$4:$A$31,0)),"")</f>
        <v>8</v>
      </c>
      <c r="K1432" s="16" t="s">
        <v>76</v>
      </c>
      <c r="L1432" s="16" t="str">
        <f>IF(COUNTIFS(Pessoas!$C$5:$C$44,$K1432,Pessoas!$G$5:$G$44,"Ativo")=0,"Equipe "&amp;$K1432,INDEX(Pessoas!$A$5:$A$44,_xludf.aggregate(15,6,(ROW(Pessoas!$A$5:$A$44)-4)/((Pessoas!$C$5:$C$44=$K1432)*(Pessoas!$G$5:$G$44="Ativo")),MOD(ROW()-6,MAX(1,COUNTIFS(Pessoas!$C$5:$C$44,$K1432,Pessoas!$G$5:$G$44,"Ativo")))+1)))</f>
        <v>Equipe Oficina Mecânica Central-Taisa</v>
      </c>
    </row>
    <row r="1433" spans="1:12" ht="15" customHeight="1" x14ac:dyDescent="0.4">
      <c r="A1433" s="25">
        <v>46454</v>
      </c>
      <c r="B1433" s="16">
        <v>27</v>
      </c>
      <c r="C1433" s="16">
        <v>3</v>
      </c>
      <c r="D1433" s="16">
        <v>3</v>
      </c>
      <c r="E1433" s="16" t="s">
        <v>980</v>
      </c>
      <c r="F1433" s="16" t="s">
        <v>1295</v>
      </c>
      <c r="G1433" s="16" t="s">
        <v>184</v>
      </c>
      <c r="H1433" s="16" t="s">
        <v>141</v>
      </c>
      <c r="I1433" s="22" t="s">
        <v>864</v>
      </c>
      <c r="J1433" s="16">
        <f>IFERROR(INDEX(Aux_HH!$J$4:$J$31,MATCH($H1433&amp;"|"&amp;$I1433,Aux_HH!$A$4:$A$31,0)),"")</f>
        <v>8</v>
      </c>
      <c r="K1433" s="16" t="s">
        <v>76</v>
      </c>
      <c r="L1433" s="16" t="str">
        <f>IF(COUNTIFS(Pessoas!$C$5:$C$44,$K1433,Pessoas!$G$5:$G$44,"Ativo")=0,"Equipe "&amp;$K1433,INDEX(Pessoas!$A$5:$A$44,_xludf.aggregate(15,6,(ROW(Pessoas!$A$5:$A$44)-4)/((Pessoas!$C$5:$C$44=$K1433)*(Pessoas!$G$5:$G$44="Ativo")),MOD(ROW()-6,MAX(1,COUNTIFS(Pessoas!$C$5:$C$44,$K1433,Pessoas!$G$5:$G$44,"Ativo")))+1)))</f>
        <v>Equipe Oficina Mecânica Central-Taisa</v>
      </c>
    </row>
    <row r="1434" spans="1:12" ht="15" customHeight="1" x14ac:dyDescent="0.4">
      <c r="A1434" s="25">
        <v>46455</v>
      </c>
      <c r="B1434" s="16">
        <v>28</v>
      </c>
      <c r="C1434" s="16">
        <v>3</v>
      </c>
      <c r="D1434" s="16">
        <v>3</v>
      </c>
      <c r="E1434" s="16" t="s">
        <v>980</v>
      </c>
      <c r="F1434" s="16" t="s">
        <v>1007</v>
      </c>
      <c r="G1434" s="16" t="s">
        <v>526</v>
      </c>
      <c r="H1434" s="16" t="s">
        <v>143</v>
      </c>
      <c r="I1434" s="22" t="s">
        <v>856</v>
      </c>
      <c r="J1434" s="16">
        <f>IFERROR(INDEX(Aux_HH!$J$4:$J$31,MATCH($H1434&amp;"|"&amp;$I1434,Aux_HH!$A$4:$A$31,0)),"")</f>
        <v>2.5</v>
      </c>
      <c r="K1434" s="16" t="s">
        <v>76</v>
      </c>
      <c r="L1434" s="16" t="str">
        <f>IF(COUNTIFS(Pessoas!$C$5:$C$44,$K1434,Pessoas!$G$5:$G$44,"Ativo")=0,"Equipe "&amp;$K1434,INDEX(Pessoas!$A$5:$A$44,_xludf.aggregate(15,6,(ROW(Pessoas!$A$5:$A$44)-4)/((Pessoas!$C$5:$C$44=$K1434)*(Pessoas!$G$5:$G$44="Ativo")),MOD(ROW()-6,MAX(1,COUNTIFS(Pessoas!$C$5:$C$44,$K1434,Pessoas!$G$5:$G$44,"Ativo")))+1)))</f>
        <v>Equipe Oficina Mecânica Central-Taisa</v>
      </c>
    </row>
    <row r="1435" spans="1:12" ht="15" customHeight="1" x14ac:dyDescent="0.4">
      <c r="A1435" s="25">
        <v>46455</v>
      </c>
      <c r="B1435" s="16">
        <v>28</v>
      </c>
      <c r="C1435" s="16">
        <v>3</v>
      </c>
      <c r="D1435" s="16">
        <v>3</v>
      </c>
      <c r="E1435" s="16" t="s">
        <v>980</v>
      </c>
      <c r="F1435" s="16" t="s">
        <v>1037</v>
      </c>
      <c r="G1435" s="16" t="s">
        <v>184</v>
      </c>
      <c r="H1435" s="16" t="s">
        <v>143</v>
      </c>
      <c r="I1435" s="22" t="s">
        <v>856</v>
      </c>
      <c r="J1435" s="16">
        <f>IFERROR(INDEX(Aux_HH!$J$4:$J$31,MATCH($H1435&amp;"|"&amp;$I1435,Aux_HH!$A$4:$A$31,0)),"")</f>
        <v>2.5</v>
      </c>
      <c r="K1435" s="16" t="s">
        <v>76</v>
      </c>
      <c r="L1435" s="16" t="str">
        <f>IF(COUNTIFS(Pessoas!$C$5:$C$44,$K1435,Pessoas!$G$5:$G$44,"Ativo")=0,"Equipe "&amp;$K1435,INDEX(Pessoas!$A$5:$A$44,_xludf.aggregate(15,6,(ROW(Pessoas!$A$5:$A$44)-4)/((Pessoas!$C$5:$C$44=$K1435)*(Pessoas!$G$5:$G$44="Ativo")),MOD(ROW()-6,MAX(1,COUNTIFS(Pessoas!$C$5:$C$44,$K1435,Pessoas!$G$5:$G$44,"Ativo")))+1)))</f>
        <v>Equipe Oficina Mecânica Central-Taisa</v>
      </c>
    </row>
    <row r="1436" spans="1:12" ht="15" customHeight="1" x14ac:dyDescent="0.4">
      <c r="A1436" s="25">
        <v>46455</v>
      </c>
      <c r="B1436" s="16">
        <v>28</v>
      </c>
      <c r="C1436" s="16">
        <v>3</v>
      </c>
      <c r="D1436" s="16">
        <v>3</v>
      </c>
      <c r="E1436" s="16" t="s">
        <v>980</v>
      </c>
      <c r="F1436" s="16" t="s">
        <v>1038</v>
      </c>
      <c r="G1436" s="16" t="s">
        <v>184</v>
      </c>
      <c r="H1436" s="16" t="s">
        <v>143</v>
      </c>
      <c r="I1436" s="22" t="s">
        <v>856</v>
      </c>
      <c r="J1436" s="16">
        <f>IFERROR(INDEX(Aux_HH!$J$4:$J$31,MATCH($H1436&amp;"|"&amp;$I1436,Aux_HH!$A$4:$A$31,0)),"")</f>
        <v>2.5</v>
      </c>
      <c r="K1436" s="16" t="s">
        <v>76</v>
      </c>
      <c r="L1436" s="16" t="str">
        <f>IF(COUNTIFS(Pessoas!$C$5:$C$44,$K1436,Pessoas!$G$5:$G$44,"Ativo")=0,"Equipe "&amp;$K1436,INDEX(Pessoas!$A$5:$A$44,_xludf.aggregate(15,6,(ROW(Pessoas!$A$5:$A$44)-4)/((Pessoas!$C$5:$C$44=$K1436)*(Pessoas!$G$5:$G$44="Ativo")),MOD(ROW()-6,MAX(1,COUNTIFS(Pessoas!$C$5:$C$44,$K1436,Pessoas!$G$5:$G$44,"Ativo")))+1)))</f>
        <v>Equipe Oficina Mecânica Central-Taisa</v>
      </c>
    </row>
    <row r="1437" spans="1:12" ht="15" customHeight="1" x14ac:dyDescent="0.4">
      <c r="A1437" s="25">
        <v>46455</v>
      </c>
      <c r="B1437" s="16">
        <v>28</v>
      </c>
      <c r="C1437" s="16">
        <v>3</v>
      </c>
      <c r="D1437" s="16">
        <v>3</v>
      </c>
      <c r="E1437" s="16" t="s">
        <v>980</v>
      </c>
      <c r="F1437" s="16" t="s">
        <v>1039</v>
      </c>
      <c r="G1437" s="16" t="s">
        <v>184</v>
      </c>
      <c r="H1437" s="16" t="s">
        <v>143</v>
      </c>
      <c r="I1437" s="22" t="s">
        <v>856</v>
      </c>
      <c r="J1437" s="16">
        <f>IFERROR(INDEX(Aux_HH!$J$4:$J$31,MATCH($H1437&amp;"|"&amp;$I1437,Aux_HH!$A$4:$A$31,0)),"")</f>
        <v>2.5</v>
      </c>
      <c r="K1437" s="16" t="s">
        <v>76</v>
      </c>
      <c r="L1437" s="16" t="str">
        <f>IF(COUNTIFS(Pessoas!$C$5:$C$44,$K1437,Pessoas!$G$5:$G$44,"Ativo")=0,"Equipe "&amp;$K1437,INDEX(Pessoas!$A$5:$A$44,_xludf.aggregate(15,6,(ROW(Pessoas!$A$5:$A$44)-4)/((Pessoas!$C$5:$C$44=$K1437)*(Pessoas!$G$5:$G$44="Ativo")),MOD(ROW()-6,MAX(1,COUNTIFS(Pessoas!$C$5:$C$44,$K1437,Pessoas!$G$5:$G$44,"Ativo")))+1)))</f>
        <v>Equipe Oficina Mecânica Central-Taisa</v>
      </c>
    </row>
    <row r="1438" spans="1:12" ht="15" customHeight="1" x14ac:dyDescent="0.4">
      <c r="A1438" s="25">
        <v>46455</v>
      </c>
      <c r="B1438" s="16">
        <v>28</v>
      </c>
      <c r="C1438" s="16">
        <v>3</v>
      </c>
      <c r="D1438" s="16">
        <v>3</v>
      </c>
      <c r="E1438" s="16" t="s">
        <v>980</v>
      </c>
      <c r="F1438" s="16" t="s">
        <v>1040</v>
      </c>
      <c r="G1438" s="16" t="s">
        <v>184</v>
      </c>
      <c r="H1438" s="16" t="s">
        <v>143</v>
      </c>
      <c r="I1438" s="22" t="s">
        <v>856</v>
      </c>
      <c r="J1438" s="16">
        <f>IFERROR(INDEX(Aux_HH!$J$4:$J$31,MATCH($H1438&amp;"|"&amp;$I1438,Aux_HH!$A$4:$A$31,0)),"")</f>
        <v>2.5</v>
      </c>
      <c r="K1438" s="16" t="s">
        <v>76</v>
      </c>
      <c r="L1438" s="16" t="str">
        <f>IF(COUNTIFS(Pessoas!$C$5:$C$44,$K1438,Pessoas!$G$5:$G$44,"Ativo")=0,"Equipe "&amp;$K1438,INDEX(Pessoas!$A$5:$A$44,_xludf.aggregate(15,6,(ROW(Pessoas!$A$5:$A$44)-4)/((Pessoas!$C$5:$C$44=$K1438)*(Pessoas!$G$5:$G$44="Ativo")),MOD(ROW()-6,MAX(1,COUNTIFS(Pessoas!$C$5:$C$44,$K1438,Pessoas!$G$5:$G$44,"Ativo")))+1)))</f>
        <v>Equipe Oficina Mecânica Central-Taisa</v>
      </c>
    </row>
    <row r="1439" spans="1:12" ht="15" customHeight="1" x14ac:dyDescent="0.4">
      <c r="A1439" s="25">
        <v>46455</v>
      </c>
      <c r="B1439" s="16">
        <v>28</v>
      </c>
      <c r="C1439" s="16">
        <v>3</v>
      </c>
      <c r="D1439" s="16">
        <v>3</v>
      </c>
      <c r="E1439" s="16" t="s">
        <v>980</v>
      </c>
      <c r="F1439" s="16" t="s">
        <v>1041</v>
      </c>
      <c r="G1439" s="16" t="s">
        <v>184</v>
      </c>
      <c r="H1439" s="16" t="s">
        <v>143</v>
      </c>
      <c r="I1439" s="22" t="s">
        <v>856</v>
      </c>
      <c r="J1439" s="16">
        <f>IFERROR(INDEX(Aux_HH!$J$4:$J$31,MATCH($H1439&amp;"|"&amp;$I1439,Aux_HH!$A$4:$A$31,0)),"")</f>
        <v>2.5</v>
      </c>
      <c r="K1439" s="16" t="s">
        <v>76</v>
      </c>
      <c r="L1439" s="16" t="str">
        <f>IF(COUNTIFS(Pessoas!$C$5:$C$44,$K1439,Pessoas!$G$5:$G$44,"Ativo")=0,"Equipe "&amp;$K1439,INDEX(Pessoas!$A$5:$A$44,_xludf.aggregate(15,6,(ROW(Pessoas!$A$5:$A$44)-4)/((Pessoas!$C$5:$C$44=$K1439)*(Pessoas!$G$5:$G$44="Ativo")),MOD(ROW()-6,MAX(1,COUNTIFS(Pessoas!$C$5:$C$44,$K1439,Pessoas!$G$5:$G$44,"Ativo")))+1)))</f>
        <v>Equipe Oficina Mecânica Central-Taisa</v>
      </c>
    </row>
    <row r="1440" spans="1:12" ht="15" customHeight="1" x14ac:dyDescent="0.4">
      <c r="A1440" s="25">
        <v>46455</v>
      </c>
      <c r="B1440" s="16">
        <v>28</v>
      </c>
      <c r="C1440" s="16">
        <v>3</v>
      </c>
      <c r="D1440" s="16">
        <v>3</v>
      </c>
      <c r="E1440" s="16" t="s">
        <v>980</v>
      </c>
      <c r="F1440" s="16" t="s">
        <v>1042</v>
      </c>
      <c r="G1440" s="16" t="s">
        <v>184</v>
      </c>
      <c r="H1440" s="16" t="s">
        <v>143</v>
      </c>
      <c r="I1440" s="22" t="s">
        <v>856</v>
      </c>
      <c r="J1440" s="16">
        <f>IFERROR(INDEX(Aux_HH!$J$4:$J$31,MATCH($H1440&amp;"|"&amp;$I1440,Aux_HH!$A$4:$A$31,0)),"")</f>
        <v>2.5</v>
      </c>
      <c r="K1440" s="16" t="s">
        <v>76</v>
      </c>
      <c r="L1440" s="16" t="str">
        <f>IF(COUNTIFS(Pessoas!$C$5:$C$44,$K1440,Pessoas!$G$5:$G$44,"Ativo")=0,"Equipe "&amp;$K1440,INDEX(Pessoas!$A$5:$A$44,_xludf.aggregate(15,6,(ROW(Pessoas!$A$5:$A$44)-4)/((Pessoas!$C$5:$C$44=$K1440)*(Pessoas!$G$5:$G$44="Ativo")),MOD(ROW()-6,MAX(1,COUNTIFS(Pessoas!$C$5:$C$44,$K1440,Pessoas!$G$5:$G$44,"Ativo")))+1)))</f>
        <v>Equipe Oficina Mecânica Central-Taisa</v>
      </c>
    </row>
    <row r="1441" spans="1:12" ht="15" customHeight="1" x14ac:dyDescent="0.4">
      <c r="A1441" s="25">
        <v>46455</v>
      </c>
      <c r="B1441" s="16">
        <v>28</v>
      </c>
      <c r="C1441" s="16">
        <v>3</v>
      </c>
      <c r="D1441" s="16">
        <v>3</v>
      </c>
      <c r="E1441" s="16" t="s">
        <v>980</v>
      </c>
      <c r="F1441" s="16" t="s">
        <v>1043</v>
      </c>
      <c r="G1441" s="16" t="s">
        <v>184</v>
      </c>
      <c r="H1441" s="16" t="s">
        <v>143</v>
      </c>
      <c r="I1441" s="22" t="s">
        <v>856</v>
      </c>
      <c r="J1441" s="16">
        <f>IFERROR(INDEX(Aux_HH!$J$4:$J$31,MATCH($H1441&amp;"|"&amp;$I1441,Aux_HH!$A$4:$A$31,0)),"")</f>
        <v>2.5</v>
      </c>
      <c r="K1441" s="16" t="s">
        <v>76</v>
      </c>
      <c r="L1441" s="16" t="str">
        <f>IF(COUNTIFS(Pessoas!$C$5:$C$44,$K1441,Pessoas!$G$5:$G$44,"Ativo")=0,"Equipe "&amp;$K1441,INDEX(Pessoas!$A$5:$A$44,_xludf.aggregate(15,6,(ROW(Pessoas!$A$5:$A$44)-4)/((Pessoas!$C$5:$C$44=$K1441)*(Pessoas!$G$5:$G$44="Ativo")),MOD(ROW()-6,MAX(1,COUNTIFS(Pessoas!$C$5:$C$44,$K1441,Pessoas!$G$5:$G$44,"Ativo")))+1)))</f>
        <v>Equipe Oficina Mecânica Central-Taisa</v>
      </c>
    </row>
    <row r="1442" spans="1:12" ht="15" customHeight="1" x14ac:dyDescent="0.4">
      <c r="A1442" s="25">
        <v>46455</v>
      </c>
      <c r="B1442" s="16">
        <v>28</v>
      </c>
      <c r="C1442" s="16">
        <v>3</v>
      </c>
      <c r="D1442" s="16">
        <v>3</v>
      </c>
      <c r="E1442" s="16" t="s">
        <v>980</v>
      </c>
      <c r="F1442" s="16" t="s">
        <v>1044</v>
      </c>
      <c r="G1442" s="16" t="s">
        <v>184</v>
      </c>
      <c r="H1442" s="16" t="s">
        <v>143</v>
      </c>
      <c r="I1442" s="22" t="s">
        <v>856</v>
      </c>
      <c r="J1442" s="16">
        <f>IFERROR(INDEX(Aux_HH!$J$4:$J$31,MATCH($H1442&amp;"|"&amp;$I1442,Aux_HH!$A$4:$A$31,0)),"")</f>
        <v>2.5</v>
      </c>
      <c r="K1442" s="16" t="s">
        <v>76</v>
      </c>
      <c r="L1442" s="16" t="str">
        <f>IF(COUNTIFS(Pessoas!$C$5:$C$44,$K1442,Pessoas!$G$5:$G$44,"Ativo")=0,"Equipe "&amp;$K1442,INDEX(Pessoas!$A$5:$A$44,_xludf.aggregate(15,6,(ROW(Pessoas!$A$5:$A$44)-4)/((Pessoas!$C$5:$C$44=$K1442)*(Pessoas!$G$5:$G$44="Ativo")),MOD(ROW()-6,MAX(1,COUNTIFS(Pessoas!$C$5:$C$44,$K1442,Pessoas!$G$5:$G$44,"Ativo")))+1)))</f>
        <v>Equipe Oficina Mecânica Central-Taisa</v>
      </c>
    </row>
    <row r="1443" spans="1:12" ht="15" customHeight="1" x14ac:dyDescent="0.4">
      <c r="A1443" s="25">
        <v>46455</v>
      </c>
      <c r="B1443" s="16">
        <v>28</v>
      </c>
      <c r="C1443" s="16">
        <v>3</v>
      </c>
      <c r="D1443" s="16">
        <v>3</v>
      </c>
      <c r="E1443" s="16" t="s">
        <v>980</v>
      </c>
      <c r="F1443" s="16" t="s">
        <v>988</v>
      </c>
      <c r="G1443" s="16" t="s">
        <v>184</v>
      </c>
      <c r="H1443" s="16" t="s">
        <v>138</v>
      </c>
      <c r="I1443" s="22" t="s">
        <v>856</v>
      </c>
      <c r="J1443" s="16">
        <f>IFERROR(INDEX(Aux_HH!$J$4:$J$31,MATCH($H1443&amp;"|"&amp;$I1443,Aux_HH!$A$4:$A$31,0)),"")</f>
        <v>3</v>
      </c>
      <c r="K1443" s="16" t="s">
        <v>76</v>
      </c>
      <c r="L1443" s="16" t="str">
        <f>IF(COUNTIFS(Pessoas!$C$5:$C$44,$K1443,Pessoas!$G$5:$G$44,"Ativo")=0,"Equipe "&amp;$K1443,INDEX(Pessoas!$A$5:$A$44,_xludf.aggregate(15,6,(ROW(Pessoas!$A$5:$A$44)-4)/((Pessoas!$C$5:$C$44=$K1443)*(Pessoas!$G$5:$G$44="Ativo")),MOD(ROW()-6,MAX(1,COUNTIFS(Pessoas!$C$5:$C$44,$K1443,Pessoas!$G$5:$G$44,"Ativo")))+1)))</f>
        <v>Equipe Oficina Mecânica Central-Taisa</v>
      </c>
    </row>
    <row r="1444" spans="1:12" ht="15" customHeight="1" x14ac:dyDescent="0.4">
      <c r="A1444" s="25">
        <v>46455</v>
      </c>
      <c r="B1444" s="16">
        <v>28</v>
      </c>
      <c r="C1444" s="16">
        <v>3</v>
      </c>
      <c r="D1444" s="16">
        <v>3</v>
      </c>
      <c r="E1444" s="16" t="s">
        <v>980</v>
      </c>
      <c r="F1444" s="16" t="s">
        <v>990</v>
      </c>
      <c r="G1444" s="16" t="s">
        <v>526</v>
      </c>
      <c r="H1444" s="16" t="s">
        <v>138</v>
      </c>
      <c r="I1444" s="22" t="s">
        <v>856</v>
      </c>
      <c r="J1444" s="16">
        <f>IFERROR(INDEX(Aux_HH!$J$4:$J$31,MATCH($H1444&amp;"|"&amp;$I1444,Aux_HH!$A$4:$A$31,0)),"")</f>
        <v>3</v>
      </c>
      <c r="K1444" s="16" t="s">
        <v>76</v>
      </c>
      <c r="L1444" s="16" t="str">
        <f>IF(COUNTIFS(Pessoas!$C$5:$C$44,$K1444,Pessoas!$G$5:$G$44,"Ativo")=0,"Equipe "&amp;$K1444,INDEX(Pessoas!$A$5:$A$44,_xludf.aggregate(15,6,(ROW(Pessoas!$A$5:$A$44)-4)/((Pessoas!$C$5:$C$44=$K1444)*(Pessoas!$G$5:$G$44="Ativo")),MOD(ROW()-6,MAX(1,COUNTIFS(Pessoas!$C$5:$C$44,$K1444,Pessoas!$G$5:$G$44,"Ativo")))+1)))</f>
        <v>Equipe Oficina Mecânica Central-Taisa</v>
      </c>
    </row>
    <row r="1445" spans="1:12" ht="15" customHeight="1" x14ac:dyDescent="0.4">
      <c r="A1445" s="25">
        <v>46455</v>
      </c>
      <c r="B1445" s="16">
        <v>28</v>
      </c>
      <c r="C1445" s="16">
        <v>3</v>
      </c>
      <c r="D1445" s="16">
        <v>3</v>
      </c>
      <c r="E1445" s="16" t="s">
        <v>980</v>
      </c>
      <c r="F1445" s="16" t="s">
        <v>1016</v>
      </c>
      <c r="G1445" s="16" t="s">
        <v>526</v>
      </c>
      <c r="H1445" s="16" t="s">
        <v>143</v>
      </c>
      <c r="I1445" s="22" t="s">
        <v>856</v>
      </c>
      <c r="J1445" s="16">
        <f>IFERROR(INDEX(Aux_HH!$J$4:$J$31,MATCH($H1445&amp;"|"&amp;$I1445,Aux_HH!$A$4:$A$31,0)),"")</f>
        <v>2.5</v>
      </c>
      <c r="K1445" s="16" t="s">
        <v>76</v>
      </c>
      <c r="L1445" s="16" t="str">
        <f>IF(COUNTIFS(Pessoas!$C$5:$C$44,$K1445,Pessoas!$G$5:$G$44,"Ativo")=0,"Equipe "&amp;$K1445,INDEX(Pessoas!$A$5:$A$44,_xludf.aggregate(15,6,(ROW(Pessoas!$A$5:$A$44)-4)/((Pessoas!$C$5:$C$44=$K1445)*(Pessoas!$G$5:$G$44="Ativo")),MOD(ROW()-6,MAX(1,COUNTIFS(Pessoas!$C$5:$C$44,$K1445,Pessoas!$G$5:$G$44,"Ativo")))+1)))</f>
        <v>Equipe Oficina Mecânica Central-Taisa</v>
      </c>
    </row>
    <row r="1446" spans="1:12" ht="15" customHeight="1" x14ac:dyDescent="0.4">
      <c r="A1446" s="25">
        <v>46455</v>
      </c>
      <c r="B1446" s="16">
        <v>28</v>
      </c>
      <c r="C1446" s="16">
        <v>3</v>
      </c>
      <c r="D1446" s="16">
        <v>3</v>
      </c>
      <c r="E1446" s="16" t="s">
        <v>980</v>
      </c>
      <c r="F1446" s="16" t="s">
        <v>1017</v>
      </c>
      <c r="G1446" s="16" t="s">
        <v>688</v>
      </c>
      <c r="H1446" s="16" t="s">
        <v>143</v>
      </c>
      <c r="I1446" s="22" t="s">
        <v>856</v>
      </c>
      <c r="J1446" s="16">
        <f>IFERROR(INDEX(Aux_HH!$J$4:$J$31,MATCH($H1446&amp;"|"&amp;$I1446,Aux_HH!$A$4:$A$31,0)),"")</f>
        <v>2.5</v>
      </c>
      <c r="K1446" s="16" t="s">
        <v>76</v>
      </c>
      <c r="L1446" s="16" t="str">
        <f>IF(COUNTIFS(Pessoas!$C$5:$C$44,$K1446,Pessoas!$G$5:$G$44,"Ativo")=0,"Equipe "&amp;$K1446,INDEX(Pessoas!$A$5:$A$44,_xludf.aggregate(15,6,(ROW(Pessoas!$A$5:$A$44)-4)/((Pessoas!$C$5:$C$44=$K1446)*(Pessoas!$G$5:$G$44="Ativo")),MOD(ROW()-6,MAX(1,COUNTIFS(Pessoas!$C$5:$C$44,$K1446,Pessoas!$G$5:$G$44,"Ativo")))+1)))</f>
        <v>Equipe Oficina Mecânica Central-Taisa</v>
      </c>
    </row>
    <row r="1447" spans="1:12" ht="15" customHeight="1" x14ac:dyDescent="0.4">
      <c r="A1447" s="25">
        <v>46455</v>
      </c>
      <c r="B1447" s="16">
        <v>28</v>
      </c>
      <c r="C1447" s="16">
        <v>3</v>
      </c>
      <c r="D1447" s="16">
        <v>3</v>
      </c>
      <c r="E1447" s="16" t="s">
        <v>980</v>
      </c>
      <c r="F1447" s="16" t="s">
        <v>1018</v>
      </c>
      <c r="G1447" s="16" t="s">
        <v>526</v>
      </c>
      <c r="H1447" s="16" t="s">
        <v>143</v>
      </c>
      <c r="I1447" s="22" t="s">
        <v>856</v>
      </c>
      <c r="J1447" s="16">
        <f>IFERROR(INDEX(Aux_HH!$J$4:$J$31,MATCH($H1447&amp;"|"&amp;$I1447,Aux_HH!$A$4:$A$31,0)),"")</f>
        <v>2.5</v>
      </c>
      <c r="K1447" s="16" t="s">
        <v>76</v>
      </c>
      <c r="L1447" s="16" t="str">
        <f>IF(COUNTIFS(Pessoas!$C$5:$C$44,$K1447,Pessoas!$G$5:$G$44,"Ativo")=0,"Equipe "&amp;$K1447,INDEX(Pessoas!$A$5:$A$44,_xludf.aggregate(15,6,(ROW(Pessoas!$A$5:$A$44)-4)/((Pessoas!$C$5:$C$44=$K1447)*(Pessoas!$G$5:$G$44="Ativo")),MOD(ROW()-6,MAX(1,COUNTIFS(Pessoas!$C$5:$C$44,$K1447,Pessoas!$G$5:$G$44,"Ativo")))+1)))</f>
        <v>Equipe Oficina Mecânica Central-Taisa</v>
      </c>
    </row>
    <row r="1448" spans="1:12" ht="15" customHeight="1" x14ac:dyDescent="0.4">
      <c r="A1448" s="25">
        <v>46455</v>
      </c>
      <c r="B1448" s="16">
        <v>28</v>
      </c>
      <c r="C1448" s="16">
        <v>3</v>
      </c>
      <c r="D1448" s="16">
        <v>3</v>
      </c>
      <c r="E1448" s="16" t="s">
        <v>980</v>
      </c>
      <c r="F1448" s="16" t="s">
        <v>1019</v>
      </c>
      <c r="G1448" s="16" t="s">
        <v>526</v>
      </c>
      <c r="H1448" s="16" t="s">
        <v>143</v>
      </c>
      <c r="I1448" s="22" t="s">
        <v>856</v>
      </c>
      <c r="J1448" s="16">
        <f>IFERROR(INDEX(Aux_HH!$J$4:$J$31,MATCH($H1448&amp;"|"&amp;$I1448,Aux_HH!$A$4:$A$31,0)),"")</f>
        <v>2.5</v>
      </c>
      <c r="K1448" s="16" t="s">
        <v>76</v>
      </c>
      <c r="L1448" s="16" t="str">
        <f>IF(COUNTIFS(Pessoas!$C$5:$C$44,$K1448,Pessoas!$G$5:$G$44,"Ativo")=0,"Equipe "&amp;$K1448,INDEX(Pessoas!$A$5:$A$44,_xludf.aggregate(15,6,(ROW(Pessoas!$A$5:$A$44)-4)/((Pessoas!$C$5:$C$44=$K1448)*(Pessoas!$G$5:$G$44="Ativo")),MOD(ROW()-6,MAX(1,COUNTIFS(Pessoas!$C$5:$C$44,$K1448,Pessoas!$G$5:$G$44,"Ativo")))+1)))</f>
        <v>Equipe Oficina Mecânica Central-Taisa</v>
      </c>
    </row>
    <row r="1449" spans="1:12" ht="15" customHeight="1" x14ac:dyDescent="0.4">
      <c r="A1449" s="25">
        <v>46455</v>
      </c>
      <c r="B1449" s="16">
        <v>28</v>
      </c>
      <c r="C1449" s="16">
        <v>3</v>
      </c>
      <c r="D1449" s="16">
        <v>3</v>
      </c>
      <c r="E1449" s="16" t="s">
        <v>980</v>
      </c>
      <c r="F1449" s="16" t="s">
        <v>1020</v>
      </c>
      <c r="G1449" s="16" t="s">
        <v>526</v>
      </c>
      <c r="H1449" s="16" t="s">
        <v>143</v>
      </c>
      <c r="I1449" s="22" t="s">
        <v>856</v>
      </c>
      <c r="J1449" s="16">
        <f>IFERROR(INDEX(Aux_HH!$J$4:$J$31,MATCH($H1449&amp;"|"&amp;$I1449,Aux_HH!$A$4:$A$31,0)),"")</f>
        <v>2.5</v>
      </c>
      <c r="K1449" s="16" t="s">
        <v>76</v>
      </c>
      <c r="L1449" s="16" t="str">
        <f>IF(COUNTIFS(Pessoas!$C$5:$C$44,$K1449,Pessoas!$G$5:$G$44,"Ativo")=0,"Equipe "&amp;$K1449,INDEX(Pessoas!$A$5:$A$44,_xludf.aggregate(15,6,(ROW(Pessoas!$A$5:$A$44)-4)/((Pessoas!$C$5:$C$44=$K1449)*(Pessoas!$G$5:$G$44="Ativo")),MOD(ROW()-6,MAX(1,COUNTIFS(Pessoas!$C$5:$C$44,$K1449,Pessoas!$G$5:$G$44,"Ativo")))+1)))</f>
        <v>Equipe Oficina Mecânica Central-Taisa</v>
      </c>
    </row>
    <row r="1450" spans="1:12" ht="15" customHeight="1" x14ac:dyDescent="0.4">
      <c r="A1450" s="25">
        <v>46455</v>
      </c>
      <c r="B1450" s="16">
        <v>28</v>
      </c>
      <c r="C1450" s="16">
        <v>3</v>
      </c>
      <c r="D1450" s="16">
        <v>3</v>
      </c>
      <c r="E1450" s="16" t="s">
        <v>980</v>
      </c>
      <c r="F1450" s="16" t="s">
        <v>1021</v>
      </c>
      <c r="G1450" s="16" t="s">
        <v>184</v>
      </c>
      <c r="H1450" s="16" t="s">
        <v>143</v>
      </c>
      <c r="I1450" s="22" t="s">
        <v>856</v>
      </c>
      <c r="J1450" s="16">
        <f>IFERROR(INDEX(Aux_HH!$J$4:$J$31,MATCH($H1450&amp;"|"&amp;$I1450,Aux_HH!$A$4:$A$31,0)),"")</f>
        <v>2.5</v>
      </c>
      <c r="K1450" s="16" t="s">
        <v>76</v>
      </c>
      <c r="L1450" s="16" t="str">
        <f>IF(COUNTIFS(Pessoas!$C$5:$C$44,$K1450,Pessoas!$G$5:$G$44,"Ativo")=0,"Equipe "&amp;$K1450,INDEX(Pessoas!$A$5:$A$44,_xludf.aggregate(15,6,(ROW(Pessoas!$A$5:$A$44)-4)/((Pessoas!$C$5:$C$44=$K1450)*(Pessoas!$G$5:$G$44="Ativo")),MOD(ROW()-6,MAX(1,COUNTIFS(Pessoas!$C$5:$C$44,$K1450,Pessoas!$G$5:$G$44,"Ativo")))+1)))</f>
        <v>Equipe Oficina Mecânica Central-Taisa</v>
      </c>
    </row>
    <row r="1451" spans="1:12" ht="15" customHeight="1" x14ac:dyDescent="0.4">
      <c r="A1451" s="25">
        <v>46456</v>
      </c>
      <c r="B1451" s="16">
        <v>28</v>
      </c>
      <c r="C1451" s="16">
        <v>3</v>
      </c>
      <c r="D1451" s="16">
        <v>3</v>
      </c>
      <c r="E1451" s="16" t="s">
        <v>980</v>
      </c>
      <c r="F1451" s="16" t="s">
        <v>1052</v>
      </c>
      <c r="G1451" s="16" t="s">
        <v>184</v>
      </c>
      <c r="H1451" s="16" t="s">
        <v>143</v>
      </c>
      <c r="I1451" s="22" t="s">
        <v>856</v>
      </c>
      <c r="J1451" s="16">
        <f>IFERROR(INDEX(Aux_HH!$J$4:$J$31,MATCH($H1451&amp;"|"&amp;$I1451,Aux_HH!$A$4:$A$31,0)),"")</f>
        <v>2.5</v>
      </c>
      <c r="K1451" s="16" t="s">
        <v>76</v>
      </c>
      <c r="L1451" s="16" t="str">
        <f>IF(COUNTIFS(Pessoas!$C$5:$C$44,$K1451,Pessoas!$G$5:$G$44,"Ativo")=0,"Equipe "&amp;$K1451,INDEX(Pessoas!$A$5:$A$44,_xludf.aggregate(15,6,(ROW(Pessoas!$A$5:$A$44)-4)/((Pessoas!$C$5:$C$44=$K1451)*(Pessoas!$G$5:$G$44="Ativo")),MOD(ROW()-6,MAX(1,COUNTIFS(Pessoas!$C$5:$C$44,$K1451,Pessoas!$G$5:$G$44,"Ativo")))+1)))</f>
        <v>Equipe Oficina Mecânica Central-Taisa</v>
      </c>
    </row>
    <row r="1452" spans="1:12" ht="15" customHeight="1" x14ac:dyDescent="0.4">
      <c r="A1452" s="25">
        <v>46456</v>
      </c>
      <c r="B1452" s="16">
        <v>28</v>
      </c>
      <c r="C1452" s="16">
        <v>3</v>
      </c>
      <c r="D1452" s="16">
        <v>3</v>
      </c>
      <c r="E1452" s="16" t="s">
        <v>980</v>
      </c>
      <c r="F1452" s="16" t="s">
        <v>1053</v>
      </c>
      <c r="G1452" s="16" t="s">
        <v>184</v>
      </c>
      <c r="H1452" s="16" t="s">
        <v>143</v>
      </c>
      <c r="I1452" s="22" t="s">
        <v>856</v>
      </c>
      <c r="J1452" s="16">
        <f>IFERROR(INDEX(Aux_HH!$J$4:$J$31,MATCH($H1452&amp;"|"&amp;$I1452,Aux_HH!$A$4:$A$31,0)),"")</f>
        <v>2.5</v>
      </c>
      <c r="K1452" s="16" t="s">
        <v>76</v>
      </c>
      <c r="L1452" s="16" t="str">
        <f>IF(COUNTIFS(Pessoas!$C$5:$C$44,$K1452,Pessoas!$G$5:$G$44,"Ativo")=0,"Equipe "&amp;$K1452,INDEX(Pessoas!$A$5:$A$44,_xludf.aggregate(15,6,(ROW(Pessoas!$A$5:$A$44)-4)/((Pessoas!$C$5:$C$44=$K1452)*(Pessoas!$G$5:$G$44="Ativo")),MOD(ROW()-6,MAX(1,COUNTIFS(Pessoas!$C$5:$C$44,$K1452,Pessoas!$G$5:$G$44,"Ativo")))+1)))</f>
        <v>Equipe Oficina Mecânica Central-Taisa</v>
      </c>
    </row>
    <row r="1453" spans="1:12" ht="15" customHeight="1" x14ac:dyDescent="0.4">
      <c r="A1453" s="25">
        <v>46456</v>
      </c>
      <c r="B1453" s="16">
        <v>28</v>
      </c>
      <c r="C1453" s="16">
        <v>3</v>
      </c>
      <c r="D1453" s="16">
        <v>3</v>
      </c>
      <c r="E1453" s="16" t="s">
        <v>980</v>
      </c>
      <c r="F1453" s="16" t="s">
        <v>1054</v>
      </c>
      <c r="G1453" s="16" t="s">
        <v>184</v>
      </c>
      <c r="H1453" s="16" t="s">
        <v>143</v>
      </c>
      <c r="I1453" s="22" t="s">
        <v>856</v>
      </c>
      <c r="J1453" s="16">
        <f>IFERROR(INDEX(Aux_HH!$J$4:$J$31,MATCH($H1453&amp;"|"&amp;$I1453,Aux_HH!$A$4:$A$31,0)),"")</f>
        <v>2.5</v>
      </c>
      <c r="K1453" s="16" t="s">
        <v>76</v>
      </c>
      <c r="L1453" s="16" t="str">
        <f>IF(COUNTIFS(Pessoas!$C$5:$C$44,$K1453,Pessoas!$G$5:$G$44,"Ativo")=0,"Equipe "&amp;$K1453,INDEX(Pessoas!$A$5:$A$44,_xludf.aggregate(15,6,(ROW(Pessoas!$A$5:$A$44)-4)/((Pessoas!$C$5:$C$44=$K1453)*(Pessoas!$G$5:$G$44="Ativo")),MOD(ROW()-6,MAX(1,COUNTIFS(Pessoas!$C$5:$C$44,$K1453,Pessoas!$G$5:$G$44,"Ativo")))+1)))</f>
        <v>Equipe Oficina Mecânica Central-Taisa</v>
      </c>
    </row>
    <row r="1454" spans="1:12" ht="15" customHeight="1" x14ac:dyDescent="0.4">
      <c r="A1454" s="25">
        <v>46456</v>
      </c>
      <c r="B1454" s="16">
        <v>28</v>
      </c>
      <c r="C1454" s="16">
        <v>3</v>
      </c>
      <c r="D1454" s="16">
        <v>3</v>
      </c>
      <c r="E1454" s="16" t="s">
        <v>980</v>
      </c>
      <c r="F1454" s="16" t="s">
        <v>1055</v>
      </c>
      <c r="G1454" s="16" t="s">
        <v>184</v>
      </c>
      <c r="H1454" s="16" t="s">
        <v>143</v>
      </c>
      <c r="I1454" s="22" t="s">
        <v>856</v>
      </c>
      <c r="J1454" s="16">
        <f>IFERROR(INDEX(Aux_HH!$J$4:$J$31,MATCH($H1454&amp;"|"&amp;$I1454,Aux_HH!$A$4:$A$31,0)),"")</f>
        <v>2.5</v>
      </c>
      <c r="K1454" s="16" t="s">
        <v>76</v>
      </c>
      <c r="L1454" s="16" t="str">
        <f>IF(COUNTIFS(Pessoas!$C$5:$C$44,$K1454,Pessoas!$G$5:$G$44,"Ativo")=0,"Equipe "&amp;$K1454,INDEX(Pessoas!$A$5:$A$44,_xludf.aggregate(15,6,(ROW(Pessoas!$A$5:$A$44)-4)/((Pessoas!$C$5:$C$44=$K1454)*(Pessoas!$G$5:$G$44="Ativo")),MOD(ROW()-6,MAX(1,COUNTIFS(Pessoas!$C$5:$C$44,$K1454,Pessoas!$G$5:$G$44,"Ativo")))+1)))</f>
        <v>Equipe Oficina Mecânica Central-Taisa</v>
      </c>
    </row>
    <row r="1455" spans="1:12" ht="15" customHeight="1" x14ac:dyDescent="0.4">
      <c r="A1455" s="25">
        <v>46456</v>
      </c>
      <c r="B1455" s="16">
        <v>28</v>
      </c>
      <c r="C1455" s="16">
        <v>3</v>
      </c>
      <c r="D1455" s="16">
        <v>3</v>
      </c>
      <c r="E1455" s="16" t="s">
        <v>980</v>
      </c>
      <c r="F1455" s="16" t="s">
        <v>1056</v>
      </c>
      <c r="G1455" s="16" t="s">
        <v>184</v>
      </c>
      <c r="H1455" s="16" t="s">
        <v>143</v>
      </c>
      <c r="I1455" s="22" t="s">
        <v>856</v>
      </c>
      <c r="J1455" s="16">
        <f>IFERROR(INDEX(Aux_HH!$J$4:$J$31,MATCH($H1455&amp;"|"&amp;$I1455,Aux_HH!$A$4:$A$31,0)),"")</f>
        <v>2.5</v>
      </c>
      <c r="K1455" s="16" t="s">
        <v>76</v>
      </c>
      <c r="L1455" s="16" t="str">
        <f>IF(COUNTIFS(Pessoas!$C$5:$C$44,$K1455,Pessoas!$G$5:$G$44,"Ativo")=0,"Equipe "&amp;$K1455,INDEX(Pessoas!$A$5:$A$44,_xludf.aggregate(15,6,(ROW(Pessoas!$A$5:$A$44)-4)/((Pessoas!$C$5:$C$44=$K1455)*(Pessoas!$G$5:$G$44="Ativo")),MOD(ROW()-6,MAX(1,COUNTIFS(Pessoas!$C$5:$C$44,$K1455,Pessoas!$G$5:$G$44,"Ativo")))+1)))</f>
        <v>Equipe Oficina Mecânica Central-Taisa</v>
      </c>
    </row>
    <row r="1456" spans="1:12" ht="15" customHeight="1" x14ac:dyDescent="0.4">
      <c r="A1456" s="25">
        <v>46456</v>
      </c>
      <c r="B1456" s="16">
        <v>28</v>
      </c>
      <c r="C1456" s="16">
        <v>3</v>
      </c>
      <c r="D1456" s="16">
        <v>3</v>
      </c>
      <c r="E1456" s="16" t="s">
        <v>980</v>
      </c>
      <c r="F1456" s="16" t="s">
        <v>1057</v>
      </c>
      <c r="G1456" s="16" t="s">
        <v>184</v>
      </c>
      <c r="H1456" s="16" t="s">
        <v>143</v>
      </c>
      <c r="I1456" s="22" t="s">
        <v>856</v>
      </c>
      <c r="J1456" s="16">
        <f>IFERROR(INDEX(Aux_HH!$J$4:$J$31,MATCH($H1456&amp;"|"&amp;$I1456,Aux_HH!$A$4:$A$31,0)),"")</f>
        <v>2.5</v>
      </c>
      <c r="K1456" s="16" t="s">
        <v>76</v>
      </c>
      <c r="L1456" s="16" t="str">
        <f>IF(COUNTIFS(Pessoas!$C$5:$C$44,$K1456,Pessoas!$G$5:$G$44,"Ativo")=0,"Equipe "&amp;$K1456,INDEX(Pessoas!$A$5:$A$44,_xludf.aggregate(15,6,(ROW(Pessoas!$A$5:$A$44)-4)/((Pessoas!$C$5:$C$44=$K1456)*(Pessoas!$G$5:$G$44="Ativo")),MOD(ROW()-6,MAX(1,COUNTIFS(Pessoas!$C$5:$C$44,$K1456,Pessoas!$G$5:$G$44,"Ativo")))+1)))</f>
        <v>Equipe Oficina Mecânica Central-Taisa</v>
      </c>
    </row>
    <row r="1457" spans="1:12" ht="15" customHeight="1" x14ac:dyDescent="0.4">
      <c r="A1457" s="25">
        <v>46456</v>
      </c>
      <c r="B1457" s="16">
        <v>28</v>
      </c>
      <c r="C1457" s="16">
        <v>3</v>
      </c>
      <c r="D1457" s="16">
        <v>3</v>
      </c>
      <c r="E1457" s="16" t="s">
        <v>980</v>
      </c>
      <c r="F1457" s="16" t="s">
        <v>1058</v>
      </c>
      <c r="G1457" s="16" t="s">
        <v>184</v>
      </c>
      <c r="H1457" s="16" t="s">
        <v>143</v>
      </c>
      <c r="I1457" s="22" t="s">
        <v>856</v>
      </c>
      <c r="J1457" s="16">
        <f>IFERROR(INDEX(Aux_HH!$J$4:$J$31,MATCH($H1457&amp;"|"&amp;$I1457,Aux_HH!$A$4:$A$31,0)),"")</f>
        <v>2.5</v>
      </c>
      <c r="K1457" s="16" t="s">
        <v>76</v>
      </c>
      <c r="L1457" s="16" t="str">
        <f>IF(COUNTIFS(Pessoas!$C$5:$C$44,$K1457,Pessoas!$G$5:$G$44,"Ativo")=0,"Equipe "&amp;$K1457,INDEX(Pessoas!$A$5:$A$44,_xludf.aggregate(15,6,(ROW(Pessoas!$A$5:$A$44)-4)/((Pessoas!$C$5:$C$44=$K1457)*(Pessoas!$G$5:$G$44="Ativo")),MOD(ROW()-6,MAX(1,COUNTIFS(Pessoas!$C$5:$C$44,$K1457,Pessoas!$G$5:$G$44,"Ativo")))+1)))</f>
        <v>Equipe Oficina Mecânica Central-Taisa</v>
      </c>
    </row>
    <row r="1458" spans="1:12" ht="15" customHeight="1" x14ac:dyDescent="0.4">
      <c r="A1458" s="25">
        <v>46456</v>
      </c>
      <c r="B1458" s="16">
        <v>28</v>
      </c>
      <c r="C1458" s="16">
        <v>3</v>
      </c>
      <c r="D1458" s="16">
        <v>3</v>
      </c>
      <c r="E1458" s="16" t="s">
        <v>980</v>
      </c>
      <c r="F1458" s="16" t="s">
        <v>992</v>
      </c>
      <c r="G1458" s="16" t="s">
        <v>184</v>
      </c>
      <c r="H1458" s="16" t="s">
        <v>138</v>
      </c>
      <c r="I1458" s="22" t="s">
        <v>856</v>
      </c>
      <c r="J1458" s="16">
        <f>IFERROR(INDEX(Aux_HH!$J$4:$J$31,MATCH($H1458&amp;"|"&amp;$I1458,Aux_HH!$A$4:$A$31,0)),"")</f>
        <v>3</v>
      </c>
      <c r="K1458" s="16" t="s">
        <v>76</v>
      </c>
      <c r="L1458" s="16" t="str">
        <f>IF(COUNTIFS(Pessoas!$C$5:$C$44,$K1458,Pessoas!$G$5:$G$44,"Ativo")=0,"Equipe "&amp;$K1458,INDEX(Pessoas!$A$5:$A$44,_xludf.aggregate(15,6,(ROW(Pessoas!$A$5:$A$44)-4)/((Pessoas!$C$5:$C$44=$K1458)*(Pessoas!$G$5:$G$44="Ativo")),MOD(ROW()-6,MAX(1,COUNTIFS(Pessoas!$C$5:$C$44,$K1458,Pessoas!$G$5:$G$44,"Ativo")))+1)))</f>
        <v>Equipe Oficina Mecânica Central-Taisa</v>
      </c>
    </row>
    <row r="1459" spans="1:12" ht="15" customHeight="1" x14ac:dyDescent="0.4">
      <c r="A1459" s="25">
        <v>46456</v>
      </c>
      <c r="B1459" s="16">
        <v>28</v>
      </c>
      <c r="C1459" s="16">
        <v>3</v>
      </c>
      <c r="D1459" s="16">
        <v>3</v>
      </c>
      <c r="E1459" s="16" t="s">
        <v>980</v>
      </c>
      <c r="F1459" s="16" t="s">
        <v>1059</v>
      </c>
      <c r="G1459" s="16" t="s">
        <v>688</v>
      </c>
      <c r="H1459" s="16" t="s">
        <v>143</v>
      </c>
      <c r="I1459" s="22" t="s">
        <v>856</v>
      </c>
      <c r="J1459" s="16">
        <f>IFERROR(INDEX(Aux_HH!$J$4:$J$31,MATCH($H1459&amp;"|"&amp;$I1459,Aux_HH!$A$4:$A$31,0)),"")</f>
        <v>2.5</v>
      </c>
      <c r="K1459" s="16" t="s">
        <v>76</v>
      </c>
      <c r="L1459" s="16" t="str">
        <f>IF(COUNTIFS(Pessoas!$C$5:$C$44,$K1459,Pessoas!$G$5:$G$44,"Ativo")=0,"Equipe "&amp;$K1459,INDEX(Pessoas!$A$5:$A$44,_xludf.aggregate(15,6,(ROW(Pessoas!$A$5:$A$44)-4)/((Pessoas!$C$5:$C$44=$K1459)*(Pessoas!$G$5:$G$44="Ativo")),MOD(ROW()-6,MAX(1,COUNTIFS(Pessoas!$C$5:$C$44,$K1459,Pessoas!$G$5:$G$44,"Ativo")))+1)))</f>
        <v>Equipe Oficina Mecânica Central-Taisa</v>
      </c>
    </row>
    <row r="1460" spans="1:12" ht="15" customHeight="1" x14ac:dyDescent="0.4">
      <c r="A1460" s="25">
        <v>46456</v>
      </c>
      <c r="B1460" s="16">
        <v>28</v>
      </c>
      <c r="C1460" s="16">
        <v>3</v>
      </c>
      <c r="D1460" s="16">
        <v>3</v>
      </c>
      <c r="E1460" s="16" t="s">
        <v>980</v>
      </c>
      <c r="F1460" s="16" t="s">
        <v>1030</v>
      </c>
      <c r="G1460" s="16" t="s">
        <v>526</v>
      </c>
      <c r="H1460" s="16" t="s">
        <v>143</v>
      </c>
      <c r="I1460" s="22" t="s">
        <v>856</v>
      </c>
      <c r="J1460" s="16">
        <f>IFERROR(INDEX(Aux_HH!$J$4:$J$31,MATCH($H1460&amp;"|"&amp;$I1460,Aux_HH!$A$4:$A$31,0)),"")</f>
        <v>2.5</v>
      </c>
      <c r="K1460" s="16" t="s">
        <v>76</v>
      </c>
      <c r="L1460" s="16" t="str">
        <f>IF(COUNTIFS(Pessoas!$C$5:$C$44,$K1460,Pessoas!$G$5:$G$44,"Ativo")=0,"Equipe "&amp;$K1460,INDEX(Pessoas!$A$5:$A$44,_xludf.aggregate(15,6,(ROW(Pessoas!$A$5:$A$44)-4)/((Pessoas!$C$5:$C$44=$K1460)*(Pessoas!$G$5:$G$44="Ativo")),MOD(ROW()-6,MAX(1,COUNTIFS(Pessoas!$C$5:$C$44,$K1460,Pessoas!$G$5:$G$44,"Ativo")))+1)))</f>
        <v>Equipe Oficina Mecânica Central-Taisa</v>
      </c>
    </row>
    <row r="1461" spans="1:12" ht="15" customHeight="1" x14ac:dyDescent="0.4">
      <c r="A1461" s="25">
        <v>46456</v>
      </c>
      <c r="B1461" s="16">
        <v>28</v>
      </c>
      <c r="C1461" s="16">
        <v>3</v>
      </c>
      <c r="D1461" s="16">
        <v>3</v>
      </c>
      <c r="E1461" s="16" t="s">
        <v>980</v>
      </c>
      <c r="F1461" s="16" t="s">
        <v>1031</v>
      </c>
      <c r="G1461" s="16" t="s">
        <v>526</v>
      </c>
      <c r="H1461" s="16" t="s">
        <v>143</v>
      </c>
      <c r="I1461" s="22" t="s">
        <v>856</v>
      </c>
      <c r="J1461" s="16">
        <f>IFERROR(INDEX(Aux_HH!$J$4:$J$31,MATCH($H1461&amp;"|"&amp;$I1461,Aux_HH!$A$4:$A$31,0)),"")</f>
        <v>2.5</v>
      </c>
      <c r="K1461" s="16" t="s">
        <v>76</v>
      </c>
      <c r="L1461" s="16" t="str">
        <f>IF(COUNTIFS(Pessoas!$C$5:$C$44,$K1461,Pessoas!$G$5:$G$44,"Ativo")=0,"Equipe "&amp;$K1461,INDEX(Pessoas!$A$5:$A$44,_xludf.aggregate(15,6,(ROW(Pessoas!$A$5:$A$44)-4)/((Pessoas!$C$5:$C$44=$K1461)*(Pessoas!$G$5:$G$44="Ativo")),MOD(ROW()-6,MAX(1,COUNTIFS(Pessoas!$C$5:$C$44,$K1461,Pessoas!$G$5:$G$44,"Ativo")))+1)))</f>
        <v>Equipe Oficina Mecânica Central-Taisa</v>
      </c>
    </row>
    <row r="1462" spans="1:12" ht="15" customHeight="1" x14ac:dyDescent="0.4">
      <c r="A1462" s="25">
        <v>46456</v>
      </c>
      <c r="B1462" s="16">
        <v>28</v>
      </c>
      <c r="C1462" s="16">
        <v>3</v>
      </c>
      <c r="D1462" s="16">
        <v>3</v>
      </c>
      <c r="E1462" s="16" t="s">
        <v>980</v>
      </c>
      <c r="F1462" s="16" t="s">
        <v>1032</v>
      </c>
      <c r="G1462" s="16" t="s">
        <v>526</v>
      </c>
      <c r="H1462" s="16" t="s">
        <v>143</v>
      </c>
      <c r="I1462" s="22" t="s">
        <v>856</v>
      </c>
      <c r="J1462" s="16">
        <f>IFERROR(INDEX(Aux_HH!$J$4:$J$31,MATCH($H1462&amp;"|"&amp;$I1462,Aux_HH!$A$4:$A$31,0)),"")</f>
        <v>2.5</v>
      </c>
      <c r="K1462" s="16" t="s">
        <v>76</v>
      </c>
      <c r="L1462" s="16" t="str">
        <f>IF(COUNTIFS(Pessoas!$C$5:$C$44,$K1462,Pessoas!$G$5:$G$44,"Ativo")=0,"Equipe "&amp;$K1462,INDEX(Pessoas!$A$5:$A$44,_xludf.aggregate(15,6,(ROW(Pessoas!$A$5:$A$44)-4)/((Pessoas!$C$5:$C$44=$K1462)*(Pessoas!$G$5:$G$44="Ativo")),MOD(ROW()-6,MAX(1,COUNTIFS(Pessoas!$C$5:$C$44,$K1462,Pessoas!$G$5:$G$44,"Ativo")))+1)))</f>
        <v>Equipe Oficina Mecânica Central-Taisa</v>
      </c>
    </row>
    <row r="1463" spans="1:12" ht="15" customHeight="1" x14ac:dyDescent="0.4">
      <c r="A1463" s="25">
        <v>46456</v>
      </c>
      <c r="B1463" s="16">
        <v>28</v>
      </c>
      <c r="C1463" s="16">
        <v>3</v>
      </c>
      <c r="D1463" s="16">
        <v>3</v>
      </c>
      <c r="E1463" s="16" t="s">
        <v>980</v>
      </c>
      <c r="F1463" s="16" t="s">
        <v>1033</v>
      </c>
      <c r="G1463" s="16" t="s">
        <v>526</v>
      </c>
      <c r="H1463" s="16" t="s">
        <v>143</v>
      </c>
      <c r="I1463" s="22" t="s">
        <v>856</v>
      </c>
      <c r="J1463" s="16">
        <f>IFERROR(INDEX(Aux_HH!$J$4:$J$31,MATCH($H1463&amp;"|"&amp;$I1463,Aux_HH!$A$4:$A$31,0)),"")</f>
        <v>2.5</v>
      </c>
      <c r="K1463" s="16" t="s">
        <v>76</v>
      </c>
      <c r="L1463" s="16" t="str">
        <f>IF(COUNTIFS(Pessoas!$C$5:$C$44,$K1463,Pessoas!$G$5:$G$44,"Ativo")=0,"Equipe "&amp;$K1463,INDEX(Pessoas!$A$5:$A$44,_xludf.aggregate(15,6,(ROW(Pessoas!$A$5:$A$44)-4)/((Pessoas!$C$5:$C$44=$K1463)*(Pessoas!$G$5:$G$44="Ativo")),MOD(ROW()-6,MAX(1,COUNTIFS(Pessoas!$C$5:$C$44,$K1463,Pessoas!$G$5:$G$44,"Ativo")))+1)))</f>
        <v>Equipe Oficina Mecânica Central-Taisa</v>
      </c>
    </row>
    <row r="1464" spans="1:12" ht="15" customHeight="1" x14ac:dyDescent="0.4">
      <c r="A1464" s="25">
        <v>46456</v>
      </c>
      <c r="B1464" s="16">
        <v>28</v>
      </c>
      <c r="C1464" s="16">
        <v>3</v>
      </c>
      <c r="D1464" s="16">
        <v>3</v>
      </c>
      <c r="E1464" s="16" t="s">
        <v>980</v>
      </c>
      <c r="F1464" s="16" t="s">
        <v>1034</v>
      </c>
      <c r="G1464" s="16" t="s">
        <v>526</v>
      </c>
      <c r="H1464" s="16" t="s">
        <v>143</v>
      </c>
      <c r="I1464" s="22" t="s">
        <v>856</v>
      </c>
      <c r="J1464" s="16">
        <f>IFERROR(INDEX(Aux_HH!$J$4:$J$31,MATCH($H1464&amp;"|"&amp;$I1464,Aux_HH!$A$4:$A$31,0)),"")</f>
        <v>2.5</v>
      </c>
      <c r="K1464" s="16" t="s">
        <v>76</v>
      </c>
      <c r="L1464" s="16" t="str">
        <f>IF(COUNTIFS(Pessoas!$C$5:$C$44,$K1464,Pessoas!$G$5:$G$44,"Ativo")=0,"Equipe "&amp;$K1464,INDEX(Pessoas!$A$5:$A$44,_xludf.aggregate(15,6,(ROW(Pessoas!$A$5:$A$44)-4)/((Pessoas!$C$5:$C$44=$K1464)*(Pessoas!$G$5:$G$44="Ativo")),MOD(ROW()-6,MAX(1,COUNTIFS(Pessoas!$C$5:$C$44,$K1464,Pessoas!$G$5:$G$44,"Ativo")))+1)))</f>
        <v>Equipe Oficina Mecânica Central-Taisa</v>
      </c>
    </row>
    <row r="1465" spans="1:12" ht="15" customHeight="1" x14ac:dyDescent="0.4">
      <c r="A1465" s="25">
        <v>46456</v>
      </c>
      <c r="B1465" s="16">
        <v>28</v>
      </c>
      <c r="C1465" s="16">
        <v>3</v>
      </c>
      <c r="D1465" s="16">
        <v>3</v>
      </c>
      <c r="E1465" s="16" t="s">
        <v>980</v>
      </c>
      <c r="F1465" s="16" t="s">
        <v>1035</v>
      </c>
      <c r="G1465" s="16" t="s">
        <v>184</v>
      </c>
      <c r="H1465" s="16" t="s">
        <v>143</v>
      </c>
      <c r="I1465" s="22" t="s">
        <v>856</v>
      </c>
      <c r="J1465" s="16">
        <f>IFERROR(INDEX(Aux_HH!$J$4:$J$31,MATCH($H1465&amp;"|"&amp;$I1465,Aux_HH!$A$4:$A$31,0)),"")</f>
        <v>2.5</v>
      </c>
      <c r="K1465" s="16" t="s">
        <v>76</v>
      </c>
      <c r="L1465" s="16" t="str">
        <f>IF(COUNTIFS(Pessoas!$C$5:$C$44,$K1465,Pessoas!$G$5:$G$44,"Ativo")=0,"Equipe "&amp;$K1465,INDEX(Pessoas!$A$5:$A$44,_xludf.aggregate(15,6,(ROW(Pessoas!$A$5:$A$44)-4)/((Pessoas!$C$5:$C$44=$K1465)*(Pessoas!$G$5:$G$44="Ativo")),MOD(ROW()-6,MAX(1,COUNTIFS(Pessoas!$C$5:$C$44,$K1465,Pessoas!$G$5:$G$44,"Ativo")))+1)))</f>
        <v>Equipe Oficina Mecânica Central-Taisa</v>
      </c>
    </row>
    <row r="1466" spans="1:12" ht="15" customHeight="1" x14ac:dyDescent="0.4">
      <c r="A1466" s="25">
        <v>46456</v>
      </c>
      <c r="B1466" s="16">
        <v>28</v>
      </c>
      <c r="C1466" s="16">
        <v>3</v>
      </c>
      <c r="D1466" s="16">
        <v>3</v>
      </c>
      <c r="E1466" s="16" t="s">
        <v>980</v>
      </c>
      <c r="F1466" s="16" t="s">
        <v>1036</v>
      </c>
      <c r="G1466" s="16" t="s">
        <v>184</v>
      </c>
      <c r="H1466" s="16" t="s">
        <v>143</v>
      </c>
      <c r="I1466" s="22" t="s">
        <v>856</v>
      </c>
      <c r="J1466" s="16">
        <f>IFERROR(INDEX(Aux_HH!$J$4:$J$31,MATCH($H1466&amp;"|"&amp;$I1466,Aux_HH!$A$4:$A$31,0)),"")</f>
        <v>2.5</v>
      </c>
      <c r="K1466" s="16" t="s">
        <v>76</v>
      </c>
      <c r="L1466" s="16" t="str">
        <f>IF(COUNTIFS(Pessoas!$C$5:$C$44,$K1466,Pessoas!$G$5:$G$44,"Ativo")=0,"Equipe "&amp;$K1466,INDEX(Pessoas!$A$5:$A$44,_xludf.aggregate(15,6,(ROW(Pessoas!$A$5:$A$44)-4)/((Pessoas!$C$5:$C$44=$K1466)*(Pessoas!$G$5:$G$44="Ativo")),MOD(ROW()-6,MAX(1,COUNTIFS(Pessoas!$C$5:$C$44,$K1466,Pessoas!$G$5:$G$44,"Ativo")))+1)))</f>
        <v>Equipe Oficina Mecânica Central-Taisa</v>
      </c>
    </row>
    <row r="1467" spans="1:12" ht="15" customHeight="1" x14ac:dyDescent="0.4">
      <c r="A1467" s="25">
        <v>46457</v>
      </c>
      <c r="B1467" s="16">
        <v>28</v>
      </c>
      <c r="C1467" s="16">
        <v>3</v>
      </c>
      <c r="D1467" s="16">
        <v>3</v>
      </c>
      <c r="E1467" s="16" t="s">
        <v>980</v>
      </c>
      <c r="F1467" s="16" t="s">
        <v>1066</v>
      </c>
      <c r="G1467" s="16" t="s">
        <v>184</v>
      </c>
      <c r="H1467" s="16" t="s">
        <v>143</v>
      </c>
      <c r="I1467" s="22" t="s">
        <v>856</v>
      </c>
      <c r="J1467" s="16">
        <f>IFERROR(INDEX(Aux_HH!$J$4:$J$31,MATCH($H1467&amp;"|"&amp;$I1467,Aux_HH!$A$4:$A$31,0)),"")</f>
        <v>2.5</v>
      </c>
      <c r="K1467" s="16" t="s">
        <v>76</v>
      </c>
      <c r="L1467" s="16" t="str">
        <f>IF(COUNTIFS(Pessoas!$C$5:$C$44,$K1467,Pessoas!$G$5:$G$44,"Ativo")=0,"Equipe "&amp;$K1467,INDEX(Pessoas!$A$5:$A$44,_xludf.aggregate(15,6,(ROW(Pessoas!$A$5:$A$44)-4)/((Pessoas!$C$5:$C$44=$K1467)*(Pessoas!$G$5:$G$44="Ativo")),MOD(ROW()-6,MAX(1,COUNTIFS(Pessoas!$C$5:$C$44,$K1467,Pessoas!$G$5:$G$44,"Ativo")))+1)))</f>
        <v>Equipe Oficina Mecânica Central-Taisa</v>
      </c>
    </row>
    <row r="1468" spans="1:12" ht="15" customHeight="1" x14ac:dyDescent="0.4">
      <c r="A1468" s="25">
        <v>46457</v>
      </c>
      <c r="B1468" s="16">
        <v>28</v>
      </c>
      <c r="C1468" s="16">
        <v>3</v>
      </c>
      <c r="D1468" s="16">
        <v>3</v>
      </c>
      <c r="E1468" s="16" t="s">
        <v>980</v>
      </c>
      <c r="F1468" s="16" t="s">
        <v>1067</v>
      </c>
      <c r="G1468" s="16" t="s">
        <v>184</v>
      </c>
      <c r="H1468" s="16" t="s">
        <v>143</v>
      </c>
      <c r="I1468" s="22" t="s">
        <v>856</v>
      </c>
      <c r="J1468" s="16">
        <f>IFERROR(INDEX(Aux_HH!$J$4:$J$31,MATCH($H1468&amp;"|"&amp;$I1468,Aux_HH!$A$4:$A$31,0)),"")</f>
        <v>2.5</v>
      </c>
      <c r="K1468" s="16" t="s">
        <v>76</v>
      </c>
      <c r="L1468" s="16" t="str">
        <f>IF(COUNTIFS(Pessoas!$C$5:$C$44,$K1468,Pessoas!$G$5:$G$44,"Ativo")=0,"Equipe "&amp;$K1468,INDEX(Pessoas!$A$5:$A$44,_xludf.aggregate(15,6,(ROW(Pessoas!$A$5:$A$44)-4)/((Pessoas!$C$5:$C$44=$K1468)*(Pessoas!$G$5:$G$44="Ativo")),MOD(ROW()-6,MAX(1,COUNTIFS(Pessoas!$C$5:$C$44,$K1468,Pessoas!$G$5:$G$44,"Ativo")))+1)))</f>
        <v>Equipe Oficina Mecânica Central-Taisa</v>
      </c>
    </row>
    <row r="1469" spans="1:12" ht="15" customHeight="1" x14ac:dyDescent="0.4">
      <c r="A1469" s="25">
        <v>46457</v>
      </c>
      <c r="B1469" s="16">
        <v>28</v>
      </c>
      <c r="C1469" s="16">
        <v>3</v>
      </c>
      <c r="D1469" s="16">
        <v>3</v>
      </c>
      <c r="E1469" s="16" t="s">
        <v>980</v>
      </c>
      <c r="F1469" s="16" t="s">
        <v>1068</v>
      </c>
      <c r="G1469" s="16" t="s">
        <v>184</v>
      </c>
      <c r="H1469" s="16" t="s">
        <v>143</v>
      </c>
      <c r="I1469" s="22" t="s">
        <v>856</v>
      </c>
      <c r="J1469" s="16">
        <f>IFERROR(INDEX(Aux_HH!$J$4:$J$31,MATCH($H1469&amp;"|"&amp;$I1469,Aux_HH!$A$4:$A$31,0)),"")</f>
        <v>2.5</v>
      </c>
      <c r="K1469" s="16" t="s">
        <v>76</v>
      </c>
      <c r="L1469" s="16" t="str">
        <f>IF(COUNTIFS(Pessoas!$C$5:$C$44,$K1469,Pessoas!$G$5:$G$44,"Ativo")=0,"Equipe "&amp;$K1469,INDEX(Pessoas!$A$5:$A$44,_xludf.aggregate(15,6,(ROW(Pessoas!$A$5:$A$44)-4)/((Pessoas!$C$5:$C$44=$K1469)*(Pessoas!$G$5:$G$44="Ativo")),MOD(ROW()-6,MAX(1,COUNTIFS(Pessoas!$C$5:$C$44,$K1469,Pessoas!$G$5:$G$44,"Ativo")))+1)))</f>
        <v>Equipe Oficina Mecânica Central-Taisa</v>
      </c>
    </row>
    <row r="1470" spans="1:12" ht="15" customHeight="1" x14ac:dyDescent="0.4">
      <c r="A1470" s="25">
        <v>46457</v>
      </c>
      <c r="B1470" s="16">
        <v>28</v>
      </c>
      <c r="C1470" s="16">
        <v>3</v>
      </c>
      <c r="D1470" s="16">
        <v>3</v>
      </c>
      <c r="E1470" s="16" t="s">
        <v>980</v>
      </c>
      <c r="F1470" s="16" t="s">
        <v>1069</v>
      </c>
      <c r="G1470" s="16" t="s">
        <v>184</v>
      </c>
      <c r="H1470" s="16" t="s">
        <v>143</v>
      </c>
      <c r="I1470" s="22" t="s">
        <v>856</v>
      </c>
      <c r="J1470" s="16">
        <f>IFERROR(INDEX(Aux_HH!$J$4:$J$31,MATCH($H1470&amp;"|"&amp;$I1470,Aux_HH!$A$4:$A$31,0)),"")</f>
        <v>2.5</v>
      </c>
      <c r="K1470" s="16" t="s">
        <v>76</v>
      </c>
      <c r="L1470" s="16" t="str">
        <f>IF(COUNTIFS(Pessoas!$C$5:$C$44,$K1470,Pessoas!$G$5:$G$44,"Ativo")=0,"Equipe "&amp;$K1470,INDEX(Pessoas!$A$5:$A$44,_xludf.aggregate(15,6,(ROW(Pessoas!$A$5:$A$44)-4)/((Pessoas!$C$5:$C$44=$K1470)*(Pessoas!$G$5:$G$44="Ativo")),MOD(ROW()-6,MAX(1,COUNTIFS(Pessoas!$C$5:$C$44,$K1470,Pessoas!$G$5:$G$44,"Ativo")))+1)))</f>
        <v>Equipe Oficina Mecânica Central-Taisa</v>
      </c>
    </row>
    <row r="1471" spans="1:12" ht="15" customHeight="1" x14ac:dyDescent="0.4">
      <c r="A1471" s="25">
        <v>46457</v>
      </c>
      <c r="B1471" s="16">
        <v>28</v>
      </c>
      <c r="C1471" s="16">
        <v>3</v>
      </c>
      <c r="D1471" s="16">
        <v>3</v>
      </c>
      <c r="E1471" s="16" t="s">
        <v>980</v>
      </c>
      <c r="F1471" s="16" t="s">
        <v>1070</v>
      </c>
      <c r="G1471" s="16" t="s">
        <v>184</v>
      </c>
      <c r="H1471" s="16" t="s">
        <v>143</v>
      </c>
      <c r="I1471" s="22" t="s">
        <v>856</v>
      </c>
      <c r="J1471" s="16">
        <f>IFERROR(INDEX(Aux_HH!$J$4:$J$31,MATCH($H1471&amp;"|"&amp;$I1471,Aux_HH!$A$4:$A$31,0)),"")</f>
        <v>2.5</v>
      </c>
      <c r="K1471" s="16" t="s">
        <v>76</v>
      </c>
      <c r="L1471" s="16" t="str">
        <f>IF(COUNTIFS(Pessoas!$C$5:$C$44,$K1471,Pessoas!$G$5:$G$44,"Ativo")=0,"Equipe "&amp;$K1471,INDEX(Pessoas!$A$5:$A$44,_xludf.aggregate(15,6,(ROW(Pessoas!$A$5:$A$44)-4)/((Pessoas!$C$5:$C$44=$K1471)*(Pessoas!$G$5:$G$44="Ativo")),MOD(ROW()-6,MAX(1,COUNTIFS(Pessoas!$C$5:$C$44,$K1471,Pessoas!$G$5:$G$44,"Ativo")))+1)))</f>
        <v>Equipe Oficina Mecânica Central-Taisa</v>
      </c>
    </row>
    <row r="1472" spans="1:12" ht="15" customHeight="1" x14ac:dyDescent="0.4">
      <c r="A1472" s="25">
        <v>46457</v>
      </c>
      <c r="B1472" s="16">
        <v>28</v>
      </c>
      <c r="C1472" s="16">
        <v>3</v>
      </c>
      <c r="D1472" s="16">
        <v>3</v>
      </c>
      <c r="E1472" s="16" t="s">
        <v>980</v>
      </c>
      <c r="F1472" s="16" t="s">
        <v>1071</v>
      </c>
      <c r="G1472" s="16" t="s">
        <v>184</v>
      </c>
      <c r="H1472" s="16" t="s">
        <v>143</v>
      </c>
      <c r="I1472" s="22" t="s">
        <v>856</v>
      </c>
      <c r="J1472" s="16">
        <f>IFERROR(INDEX(Aux_HH!$J$4:$J$31,MATCH($H1472&amp;"|"&amp;$I1472,Aux_HH!$A$4:$A$31,0)),"")</f>
        <v>2.5</v>
      </c>
      <c r="K1472" s="16" t="s">
        <v>76</v>
      </c>
      <c r="L1472" s="16" t="str">
        <f>IF(COUNTIFS(Pessoas!$C$5:$C$44,$K1472,Pessoas!$G$5:$G$44,"Ativo")=0,"Equipe "&amp;$K1472,INDEX(Pessoas!$A$5:$A$44,_xludf.aggregate(15,6,(ROW(Pessoas!$A$5:$A$44)-4)/((Pessoas!$C$5:$C$44=$K1472)*(Pessoas!$G$5:$G$44="Ativo")),MOD(ROW()-6,MAX(1,COUNTIFS(Pessoas!$C$5:$C$44,$K1472,Pessoas!$G$5:$G$44,"Ativo")))+1)))</f>
        <v>Equipe Oficina Mecânica Central-Taisa</v>
      </c>
    </row>
    <row r="1473" spans="1:12" ht="15" customHeight="1" x14ac:dyDescent="0.4">
      <c r="A1473" s="25">
        <v>46457</v>
      </c>
      <c r="B1473" s="16">
        <v>28</v>
      </c>
      <c r="C1473" s="16">
        <v>3</v>
      </c>
      <c r="D1473" s="16">
        <v>3</v>
      </c>
      <c r="E1473" s="16" t="s">
        <v>980</v>
      </c>
      <c r="F1473" s="16" t="s">
        <v>1072</v>
      </c>
      <c r="G1473" s="16" t="s">
        <v>184</v>
      </c>
      <c r="H1473" s="16" t="s">
        <v>143</v>
      </c>
      <c r="I1473" s="22" t="s">
        <v>856</v>
      </c>
      <c r="J1473" s="16">
        <f>IFERROR(INDEX(Aux_HH!$J$4:$J$31,MATCH($H1473&amp;"|"&amp;$I1473,Aux_HH!$A$4:$A$31,0)),"")</f>
        <v>2.5</v>
      </c>
      <c r="K1473" s="16" t="s">
        <v>76</v>
      </c>
      <c r="L1473" s="16" t="str">
        <f>IF(COUNTIFS(Pessoas!$C$5:$C$44,$K1473,Pessoas!$G$5:$G$44,"Ativo")=0,"Equipe "&amp;$K1473,INDEX(Pessoas!$A$5:$A$44,_xludf.aggregate(15,6,(ROW(Pessoas!$A$5:$A$44)-4)/((Pessoas!$C$5:$C$44=$K1473)*(Pessoas!$G$5:$G$44="Ativo")),MOD(ROW()-6,MAX(1,COUNTIFS(Pessoas!$C$5:$C$44,$K1473,Pessoas!$G$5:$G$44,"Ativo")))+1)))</f>
        <v>Equipe Oficina Mecânica Central-Taisa</v>
      </c>
    </row>
    <row r="1474" spans="1:12" ht="15" customHeight="1" x14ac:dyDescent="0.4">
      <c r="A1474" s="25">
        <v>46457</v>
      </c>
      <c r="B1474" s="16">
        <v>28</v>
      </c>
      <c r="C1474" s="16">
        <v>3</v>
      </c>
      <c r="D1474" s="16">
        <v>3</v>
      </c>
      <c r="E1474" s="16" t="s">
        <v>980</v>
      </c>
      <c r="F1474" s="16" t="s">
        <v>1073</v>
      </c>
      <c r="G1474" s="16" t="s">
        <v>184</v>
      </c>
      <c r="H1474" s="16" t="s">
        <v>143</v>
      </c>
      <c r="I1474" s="22" t="s">
        <v>856</v>
      </c>
      <c r="J1474" s="16">
        <f>IFERROR(INDEX(Aux_HH!$J$4:$J$31,MATCH($H1474&amp;"|"&amp;$I1474,Aux_HH!$A$4:$A$31,0)),"")</f>
        <v>2.5</v>
      </c>
      <c r="K1474" s="16" t="s">
        <v>76</v>
      </c>
      <c r="L1474" s="16" t="str">
        <f>IF(COUNTIFS(Pessoas!$C$5:$C$44,$K1474,Pessoas!$G$5:$G$44,"Ativo")=0,"Equipe "&amp;$K1474,INDEX(Pessoas!$A$5:$A$44,_xludf.aggregate(15,6,(ROW(Pessoas!$A$5:$A$44)-4)/((Pessoas!$C$5:$C$44=$K1474)*(Pessoas!$G$5:$G$44="Ativo")),MOD(ROW()-6,MAX(1,COUNTIFS(Pessoas!$C$5:$C$44,$K1474,Pessoas!$G$5:$G$44,"Ativo")))+1)))</f>
        <v>Equipe Oficina Mecânica Central-Taisa</v>
      </c>
    </row>
    <row r="1475" spans="1:12" ht="15" customHeight="1" x14ac:dyDescent="0.4">
      <c r="A1475" s="25">
        <v>46457</v>
      </c>
      <c r="B1475" s="16">
        <v>28</v>
      </c>
      <c r="C1475" s="16">
        <v>3</v>
      </c>
      <c r="D1475" s="16">
        <v>3</v>
      </c>
      <c r="E1475" s="16" t="s">
        <v>980</v>
      </c>
      <c r="F1475" s="16" t="s">
        <v>993</v>
      </c>
      <c r="G1475" s="16" t="s">
        <v>184</v>
      </c>
      <c r="H1475" s="16" t="s">
        <v>138</v>
      </c>
      <c r="I1475" s="22" t="s">
        <v>856</v>
      </c>
      <c r="J1475" s="16">
        <f>IFERROR(INDEX(Aux_HH!$J$4:$J$31,MATCH($H1475&amp;"|"&amp;$I1475,Aux_HH!$A$4:$A$31,0)),"")</f>
        <v>3</v>
      </c>
      <c r="K1475" s="16" t="s">
        <v>76</v>
      </c>
      <c r="L1475" s="16" t="str">
        <f>IF(COUNTIFS(Pessoas!$C$5:$C$44,$K1475,Pessoas!$G$5:$G$44,"Ativo")=0,"Equipe "&amp;$K1475,INDEX(Pessoas!$A$5:$A$44,_xludf.aggregate(15,6,(ROW(Pessoas!$A$5:$A$44)-4)/((Pessoas!$C$5:$C$44=$K1475)*(Pessoas!$G$5:$G$44="Ativo")),MOD(ROW()-6,MAX(1,COUNTIFS(Pessoas!$C$5:$C$44,$K1475,Pessoas!$G$5:$G$44,"Ativo")))+1)))</f>
        <v>Equipe Oficina Mecânica Central-Taisa</v>
      </c>
    </row>
    <row r="1476" spans="1:12" ht="15" customHeight="1" x14ac:dyDescent="0.4">
      <c r="A1476" s="25">
        <v>46457</v>
      </c>
      <c r="B1476" s="16">
        <v>28</v>
      </c>
      <c r="C1476" s="16">
        <v>3</v>
      </c>
      <c r="D1476" s="16">
        <v>3</v>
      </c>
      <c r="E1476" s="16" t="s">
        <v>980</v>
      </c>
      <c r="F1476" s="16" t="s">
        <v>1045</v>
      </c>
      <c r="G1476" s="16" t="s">
        <v>526</v>
      </c>
      <c r="H1476" s="16" t="s">
        <v>143</v>
      </c>
      <c r="I1476" s="22" t="s">
        <v>856</v>
      </c>
      <c r="J1476" s="16">
        <f>IFERROR(INDEX(Aux_HH!$J$4:$J$31,MATCH($H1476&amp;"|"&amp;$I1476,Aux_HH!$A$4:$A$31,0)),"")</f>
        <v>2.5</v>
      </c>
      <c r="K1476" s="16" t="s">
        <v>76</v>
      </c>
      <c r="L1476" s="16" t="str">
        <f>IF(COUNTIFS(Pessoas!$C$5:$C$44,$K1476,Pessoas!$G$5:$G$44,"Ativo")=0,"Equipe "&amp;$K1476,INDEX(Pessoas!$A$5:$A$44,_xludf.aggregate(15,6,(ROW(Pessoas!$A$5:$A$44)-4)/((Pessoas!$C$5:$C$44=$K1476)*(Pessoas!$G$5:$G$44="Ativo")),MOD(ROW()-6,MAX(1,COUNTIFS(Pessoas!$C$5:$C$44,$K1476,Pessoas!$G$5:$G$44,"Ativo")))+1)))</f>
        <v>Equipe Oficina Mecânica Central-Taisa</v>
      </c>
    </row>
    <row r="1477" spans="1:12" ht="15" customHeight="1" x14ac:dyDescent="0.4">
      <c r="A1477" s="25">
        <v>46457</v>
      </c>
      <c r="B1477" s="16">
        <v>28</v>
      </c>
      <c r="C1477" s="16">
        <v>3</v>
      </c>
      <c r="D1477" s="16">
        <v>3</v>
      </c>
      <c r="E1477" s="16" t="s">
        <v>980</v>
      </c>
      <c r="F1477" s="16" t="s">
        <v>1046</v>
      </c>
      <c r="G1477" s="16" t="s">
        <v>526</v>
      </c>
      <c r="H1477" s="16" t="s">
        <v>143</v>
      </c>
      <c r="I1477" s="22" t="s">
        <v>856</v>
      </c>
      <c r="J1477" s="16">
        <f>IFERROR(INDEX(Aux_HH!$J$4:$J$31,MATCH($H1477&amp;"|"&amp;$I1477,Aux_HH!$A$4:$A$31,0)),"")</f>
        <v>2.5</v>
      </c>
      <c r="K1477" s="16" t="s">
        <v>76</v>
      </c>
      <c r="L1477" s="16" t="str">
        <f>IF(COUNTIFS(Pessoas!$C$5:$C$44,$K1477,Pessoas!$G$5:$G$44,"Ativo")=0,"Equipe "&amp;$K1477,INDEX(Pessoas!$A$5:$A$44,_xludf.aggregate(15,6,(ROW(Pessoas!$A$5:$A$44)-4)/((Pessoas!$C$5:$C$44=$K1477)*(Pessoas!$G$5:$G$44="Ativo")),MOD(ROW()-6,MAX(1,COUNTIFS(Pessoas!$C$5:$C$44,$K1477,Pessoas!$G$5:$G$44,"Ativo")))+1)))</f>
        <v>Equipe Oficina Mecânica Central-Taisa</v>
      </c>
    </row>
    <row r="1478" spans="1:12" ht="15" customHeight="1" x14ac:dyDescent="0.4">
      <c r="A1478" s="25">
        <v>46457</v>
      </c>
      <c r="B1478" s="16">
        <v>28</v>
      </c>
      <c r="C1478" s="16">
        <v>3</v>
      </c>
      <c r="D1478" s="16">
        <v>3</v>
      </c>
      <c r="E1478" s="16" t="s">
        <v>980</v>
      </c>
      <c r="F1478" s="16" t="s">
        <v>1047</v>
      </c>
      <c r="G1478" s="16" t="s">
        <v>526</v>
      </c>
      <c r="H1478" s="16" t="s">
        <v>143</v>
      </c>
      <c r="I1478" s="22" t="s">
        <v>856</v>
      </c>
      <c r="J1478" s="16">
        <f>IFERROR(INDEX(Aux_HH!$J$4:$J$31,MATCH($H1478&amp;"|"&amp;$I1478,Aux_HH!$A$4:$A$31,0)),"")</f>
        <v>2.5</v>
      </c>
      <c r="K1478" s="16" t="s">
        <v>76</v>
      </c>
      <c r="L1478" s="16" t="str">
        <f>IF(COUNTIFS(Pessoas!$C$5:$C$44,$K1478,Pessoas!$G$5:$G$44,"Ativo")=0,"Equipe "&amp;$K1478,INDEX(Pessoas!$A$5:$A$44,_xludf.aggregate(15,6,(ROW(Pessoas!$A$5:$A$44)-4)/((Pessoas!$C$5:$C$44=$K1478)*(Pessoas!$G$5:$G$44="Ativo")),MOD(ROW()-6,MAX(1,COUNTIFS(Pessoas!$C$5:$C$44,$K1478,Pessoas!$G$5:$G$44,"Ativo")))+1)))</f>
        <v>Equipe Oficina Mecânica Central-Taisa</v>
      </c>
    </row>
    <row r="1479" spans="1:12" ht="15" customHeight="1" x14ac:dyDescent="0.4">
      <c r="A1479" s="25">
        <v>46457</v>
      </c>
      <c r="B1479" s="16">
        <v>28</v>
      </c>
      <c r="C1479" s="16">
        <v>3</v>
      </c>
      <c r="D1479" s="16">
        <v>3</v>
      </c>
      <c r="E1479" s="16" t="s">
        <v>980</v>
      </c>
      <c r="F1479" s="16" t="s">
        <v>1048</v>
      </c>
      <c r="G1479" s="16" t="s">
        <v>526</v>
      </c>
      <c r="H1479" s="16" t="s">
        <v>143</v>
      </c>
      <c r="I1479" s="22" t="s">
        <v>856</v>
      </c>
      <c r="J1479" s="16">
        <f>IFERROR(INDEX(Aux_HH!$J$4:$J$31,MATCH($H1479&amp;"|"&amp;$I1479,Aux_HH!$A$4:$A$31,0)),"")</f>
        <v>2.5</v>
      </c>
      <c r="K1479" s="16" t="s">
        <v>76</v>
      </c>
      <c r="L1479" s="16" t="str">
        <f>IF(COUNTIFS(Pessoas!$C$5:$C$44,$K1479,Pessoas!$G$5:$G$44,"Ativo")=0,"Equipe "&amp;$K1479,INDEX(Pessoas!$A$5:$A$44,_xludf.aggregate(15,6,(ROW(Pessoas!$A$5:$A$44)-4)/((Pessoas!$C$5:$C$44=$K1479)*(Pessoas!$G$5:$G$44="Ativo")),MOD(ROW()-6,MAX(1,COUNTIFS(Pessoas!$C$5:$C$44,$K1479,Pessoas!$G$5:$G$44,"Ativo")))+1)))</f>
        <v>Equipe Oficina Mecânica Central-Taisa</v>
      </c>
    </row>
    <row r="1480" spans="1:12" ht="15" customHeight="1" x14ac:dyDescent="0.4">
      <c r="A1480" s="25">
        <v>46457</v>
      </c>
      <c r="B1480" s="16">
        <v>28</v>
      </c>
      <c r="C1480" s="16">
        <v>3</v>
      </c>
      <c r="D1480" s="16">
        <v>3</v>
      </c>
      <c r="E1480" s="16" t="s">
        <v>980</v>
      </c>
      <c r="F1480" s="16" t="s">
        <v>1049</v>
      </c>
      <c r="G1480" s="16" t="s">
        <v>526</v>
      </c>
      <c r="H1480" s="16" t="s">
        <v>143</v>
      </c>
      <c r="I1480" s="22" t="s">
        <v>856</v>
      </c>
      <c r="J1480" s="16">
        <f>IFERROR(INDEX(Aux_HH!$J$4:$J$31,MATCH($H1480&amp;"|"&amp;$I1480,Aux_HH!$A$4:$A$31,0)),"")</f>
        <v>2.5</v>
      </c>
      <c r="K1480" s="16" t="s">
        <v>76</v>
      </c>
      <c r="L1480" s="16" t="str">
        <f>IF(COUNTIFS(Pessoas!$C$5:$C$44,$K1480,Pessoas!$G$5:$G$44,"Ativo")=0,"Equipe "&amp;$K1480,INDEX(Pessoas!$A$5:$A$44,_xludf.aggregate(15,6,(ROW(Pessoas!$A$5:$A$44)-4)/((Pessoas!$C$5:$C$44=$K1480)*(Pessoas!$G$5:$G$44="Ativo")),MOD(ROW()-6,MAX(1,COUNTIFS(Pessoas!$C$5:$C$44,$K1480,Pessoas!$G$5:$G$44,"Ativo")))+1)))</f>
        <v>Equipe Oficina Mecânica Central-Taisa</v>
      </c>
    </row>
    <row r="1481" spans="1:12" ht="15" customHeight="1" x14ac:dyDescent="0.4">
      <c r="A1481" s="25">
        <v>46457</v>
      </c>
      <c r="B1481" s="16">
        <v>28</v>
      </c>
      <c r="C1481" s="16">
        <v>3</v>
      </c>
      <c r="D1481" s="16">
        <v>3</v>
      </c>
      <c r="E1481" s="16" t="s">
        <v>980</v>
      </c>
      <c r="F1481" s="16" t="s">
        <v>1050</v>
      </c>
      <c r="G1481" s="16" t="s">
        <v>526</v>
      </c>
      <c r="H1481" s="16" t="s">
        <v>143</v>
      </c>
      <c r="I1481" s="22" t="s">
        <v>856</v>
      </c>
      <c r="J1481" s="16">
        <f>IFERROR(INDEX(Aux_HH!$J$4:$J$31,MATCH($H1481&amp;"|"&amp;$I1481,Aux_HH!$A$4:$A$31,0)),"")</f>
        <v>2.5</v>
      </c>
      <c r="K1481" s="16" t="s">
        <v>76</v>
      </c>
      <c r="L1481" s="16" t="str">
        <f>IF(COUNTIFS(Pessoas!$C$5:$C$44,$K1481,Pessoas!$G$5:$G$44,"Ativo")=0,"Equipe "&amp;$K1481,INDEX(Pessoas!$A$5:$A$44,_xludf.aggregate(15,6,(ROW(Pessoas!$A$5:$A$44)-4)/((Pessoas!$C$5:$C$44=$K1481)*(Pessoas!$G$5:$G$44="Ativo")),MOD(ROW()-6,MAX(1,COUNTIFS(Pessoas!$C$5:$C$44,$K1481,Pessoas!$G$5:$G$44,"Ativo")))+1)))</f>
        <v>Equipe Oficina Mecânica Central-Taisa</v>
      </c>
    </row>
    <row r="1482" spans="1:12" ht="15" customHeight="1" x14ac:dyDescent="0.4">
      <c r="A1482" s="25">
        <v>46457</v>
      </c>
      <c r="B1482" s="16">
        <v>28</v>
      </c>
      <c r="C1482" s="16">
        <v>3</v>
      </c>
      <c r="D1482" s="16">
        <v>3</v>
      </c>
      <c r="E1482" s="16" t="s">
        <v>980</v>
      </c>
      <c r="F1482" s="16" t="s">
        <v>1051</v>
      </c>
      <c r="G1482" s="16" t="s">
        <v>184</v>
      </c>
      <c r="H1482" s="16" t="s">
        <v>143</v>
      </c>
      <c r="I1482" s="22" t="s">
        <v>856</v>
      </c>
      <c r="J1482" s="16">
        <f>IFERROR(INDEX(Aux_HH!$J$4:$J$31,MATCH($H1482&amp;"|"&amp;$I1482,Aux_HH!$A$4:$A$31,0)),"")</f>
        <v>2.5</v>
      </c>
      <c r="K1482" s="16" t="s">
        <v>76</v>
      </c>
      <c r="L1482" s="16" t="str">
        <f>IF(COUNTIFS(Pessoas!$C$5:$C$44,$K1482,Pessoas!$G$5:$G$44,"Ativo")=0,"Equipe "&amp;$K1482,INDEX(Pessoas!$A$5:$A$44,_xludf.aggregate(15,6,(ROW(Pessoas!$A$5:$A$44)-4)/((Pessoas!$C$5:$C$44=$K1482)*(Pessoas!$G$5:$G$44="Ativo")),MOD(ROW()-6,MAX(1,COUNTIFS(Pessoas!$C$5:$C$44,$K1482,Pessoas!$G$5:$G$44,"Ativo")))+1)))</f>
        <v>Equipe Oficina Mecânica Central-Taisa</v>
      </c>
    </row>
    <row r="1483" spans="1:12" ht="15" customHeight="1" x14ac:dyDescent="0.4">
      <c r="A1483" s="25">
        <v>46458</v>
      </c>
      <c r="B1483" s="16">
        <v>28</v>
      </c>
      <c r="C1483" s="16">
        <v>3</v>
      </c>
      <c r="D1483" s="16">
        <v>3</v>
      </c>
      <c r="E1483" s="16" t="s">
        <v>980</v>
      </c>
      <c r="F1483" s="16" t="s">
        <v>1008</v>
      </c>
      <c r="G1483" s="16" t="s">
        <v>184</v>
      </c>
      <c r="H1483" s="16" t="s">
        <v>143</v>
      </c>
      <c r="I1483" s="22" t="s">
        <v>856</v>
      </c>
      <c r="J1483" s="16">
        <f>IFERROR(INDEX(Aux_HH!$J$4:$J$31,MATCH($H1483&amp;"|"&amp;$I1483,Aux_HH!$A$4:$A$31,0)),"")</f>
        <v>2.5</v>
      </c>
      <c r="K1483" s="16" t="s">
        <v>76</v>
      </c>
      <c r="L1483" s="16" t="str">
        <f>IF(COUNTIFS(Pessoas!$C$5:$C$44,$K1483,Pessoas!$G$5:$G$44,"Ativo")=0,"Equipe "&amp;$K1483,INDEX(Pessoas!$A$5:$A$44,_xludf.aggregate(15,6,(ROW(Pessoas!$A$5:$A$44)-4)/((Pessoas!$C$5:$C$44=$K1483)*(Pessoas!$G$5:$G$44="Ativo")),MOD(ROW()-6,MAX(1,COUNTIFS(Pessoas!$C$5:$C$44,$K1483,Pessoas!$G$5:$G$44,"Ativo")))+1)))</f>
        <v>Equipe Oficina Mecânica Central-Taisa</v>
      </c>
    </row>
    <row r="1484" spans="1:12" ht="15" customHeight="1" x14ac:dyDescent="0.4">
      <c r="A1484" s="25">
        <v>46458</v>
      </c>
      <c r="B1484" s="16">
        <v>28</v>
      </c>
      <c r="C1484" s="16">
        <v>3</v>
      </c>
      <c r="D1484" s="16">
        <v>3</v>
      </c>
      <c r="E1484" s="16" t="s">
        <v>980</v>
      </c>
      <c r="F1484" s="16" t="s">
        <v>1009</v>
      </c>
      <c r="G1484" s="16" t="s">
        <v>184</v>
      </c>
      <c r="H1484" s="16" t="s">
        <v>143</v>
      </c>
      <c r="I1484" s="22" t="s">
        <v>856</v>
      </c>
      <c r="J1484" s="16">
        <f>IFERROR(INDEX(Aux_HH!$J$4:$J$31,MATCH($H1484&amp;"|"&amp;$I1484,Aux_HH!$A$4:$A$31,0)),"")</f>
        <v>2.5</v>
      </c>
      <c r="K1484" s="16" t="s">
        <v>76</v>
      </c>
      <c r="L1484" s="16" t="str">
        <f>IF(COUNTIFS(Pessoas!$C$5:$C$44,$K1484,Pessoas!$G$5:$G$44,"Ativo")=0,"Equipe "&amp;$K1484,INDEX(Pessoas!$A$5:$A$44,_xludf.aggregate(15,6,(ROW(Pessoas!$A$5:$A$44)-4)/((Pessoas!$C$5:$C$44=$K1484)*(Pessoas!$G$5:$G$44="Ativo")),MOD(ROW()-6,MAX(1,COUNTIFS(Pessoas!$C$5:$C$44,$K1484,Pessoas!$G$5:$G$44,"Ativo")))+1)))</f>
        <v>Equipe Oficina Mecânica Central-Taisa</v>
      </c>
    </row>
    <row r="1485" spans="1:12" ht="15" customHeight="1" x14ac:dyDescent="0.4">
      <c r="A1485" s="25">
        <v>46458</v>
      </c>
      <c r="B1485" s="16">
        <v>28</v>
      </c>
      <c r="C1485" s="16">
        <v>3</v>
      </c>
      <c r="D1485" s="16">
        <v>3</v>
      </c>
      <c r="E1485" s="16" t="s">
        <v>980</v>
      </c>
      <c r="F1485" s="16" t="s">
        <v>1010</v>
      </c>
      <c r="G1485" s="16" t="s">
        <v>184</v>
      </c>
      <c r="H1485" s="16" t="s">
        <v>143</v>
      </c>
      <c r="I1485" s="22" t="s">
        <v>856</v>
      </c>
      <c r="J1485" s="16">
        <f>IFERROR(INDEX(Aux_HH!$J$4:$J$31,MATCH($H1485&amp;"|"&amp;$I1485,Aux_HH!$A$4:$A$31,0)),"")</f>
        <v>2.5</v>
      </c>
      <c r="K1485" s="16" t="s">
        <v>76</v>
      </c>
      <c r="L1485" s="16" t="str">
        <f>IF(COUNTIFS(Pessoas!$C$5:$C$44,$K1485,Pessoas!$G$5:$G$44,"Ativo")=0,"Equipe "&amp;$K1485,INDEX(Pessoas!$A$5:$A$44,_xludf.aggregate(15,6,(ROW(Pessoas!$A$5:$A$44)-4)/((Pessoas!$C$5:$C$44=$K1485)*(Pessoas!$G$5:$G$44="Ativo")),MOD(ROW()-6,MAX(1,COUNTIFS(Pessoas!$C$5:$C$44,$K1485,Pessoas!$G$5:$G$44,"Ativo")))+1)))</f>
        <v>Equipe Oficina Mecânica Central-Taisa</v>
      </c>
    </row>
    <row r="1486" spans="1:12" ht="15" customHeight="1" x14ac:dyDescent="0.4">
      <c r="A1486" s="25">
        <v>46458</v>
      </c>
      <c r="B1486" s="16">
        <v>28</v>
      </c>
      <c r="C1486" s="16">
        <v>3</v>
      </c>
      <c r="D1486" s="16">
        <v>3</v>
      </c>
      <c r="E1486" s="16" t="s">
        <v>980</v>
      </c>
      <c r="F1486" s="16" t="s">
        <v>1011</v>
      </c>
      <c r="G1486" s="16" t="s">
        <v>184</v>
      </c>
      <c r="H1486" s="16" t="s">
        <v>143</v>
      </c>
      <c r="I1486" s="22" t="s">
        <v>856</v>
      </c>
      <c r="J1486" s="16">
        <f>IFERROR(INDEX(Aux_HH!$J$4:$J$31,MATCH($H1486&amp;"|"&amp;$I1486,Aux_HH!$A$4:$A$31,0)),"")</f>
        <v>2.5</v>
      </c>
      <c r="K1486" s="16" t="s">
        <v>76</v>
      </c>
      <c r="L1486" s="16" t="str">
        <f>IF(COUNTIFS(Pessoas!$C$5:$C$44,$K1486,Pessoas!$G$5:$G$44,"Ativo")=0,"Equipe "&amp;$K1486,INDEX(Pessoas!$A$5:$A$44,_xludf.aggregate(15,6,(ROW(Pessoas!$A$5:$A$44)-4)/((Pessoas!$C$5:$C$44=$K1486)*(Pessoas!$G$5:$G$44="Ativo")),MOD(ROW()-6,MAX(1,COUNTIFS(Pessoas!$C$5:$C$44,$K1486,Pessoas!$G$5:$G$44,"Ativo")))+1)))</f>
        <v>Equipe Oficina Mecânica Central-Taisa</v>
      </c>
    </row>
    <row r="1487" spans="1:12" ht="15" customHeight="1" x14ac:dyDescent="0.4">
      <c r="A1487" s="25">
        <v>46458</v>
      </c>
      <c r="B1487" s="16">
        <v>28</v>
      </c>
      <c r="C1487" s="16">
        <v>3</v>
      </c>
      <c r="D1487" s="16">
        <v>3</v>
      </c>
      <c r="E1487" s="16" t="s">
        <v>980</v>
      </c>
      <c r="F1487" s="16" t="s">
        <v>1012</v>
      </c>
      <c r="G1487" s="16" t="s">
        <v>184</v>
      </c>
      <c r="H1487" s="16" t="s">
        <v>143</v>
      </c>
      <c r="I1487" s="22" t="s">
        <v>856</v>
      </c>
      <c r="J1487" s="16">
        <f>IFERROR(INDEX(Aux_HH!$J$4:$J$31,MATCH($H1487&amp;"|"&amp;$I1487,Aux_HH!$A$4:$A$31,0)),"")</f>
        <v>2.5</v>
      </c>
      <c r="K1487" s="16" t="s">
        <v>76</v>
      </c>
      <c r="L1487" s="16" t="str">
        <f>IF(COUNTIFS(Pessoas!$C$5:$C$44,$K1487,Pessoas!$G$5:$G$44,"Ativo")=0,"Equipe "&amp;$K1487,INDEX(Pessoas!$A$5:$A$44,_xludf.aggregate(15,6,(ROW(Pessoas!$A$5:$A$44)-4)/((Pessoas!$C$5:$C$44=$K1487)*(Pessoas!$G$5:$G$44="Ativo")),MOD(ROW()-6,MAX(1,COUNTIFS(Pessoas!$C$5:$C$44,$K1487,Pessoas!$G$5:$G$44,"Ativo")))+1)))</f>
        <v>Equipe Oficina Mecânica Central-Taisa</v>
      </c>
    </row>
    <row r="1488" spans="1:12" ht="15" customHeight="1" x14ac:dyDescent="0.4">
      <c r="A1488" s="25">
        <v>46458</v>
      </c>
      <c r="B1488" s="16">
        <v>28</v>
      </c>
      <c r="C1488" s="16">
        <v>3</v>
      </c>
      <c r="D1488" s="16">
        <v>3</v>
      </c>
      <c r="E1488" s="16" t="s">
        <v>980</v>
      </c>
      <c r="F1488" s="16" t="s">
        <v>1013</v>
      </c>
      <c r="G1488" s="16" t="s">
        <v>184</v>
      </c>
      <c r="H1488" s="16" t="s">
        <v>143</v>
      </c>
      <c r="I1488" s="22" t="s">
        <v>856</v>
      </c>
      <c r="J1488" s="16">
        <f>IFERROR(INDEX(Aux_HH!$J$4:$J$31,MATCH($H1488&amp;"|"&amp;$I1488,Aux_HH!$A$4:$A$31,0)),"")</f>
        <v>2.5</v>
      </c>
      <c r="K1488" s="16" t="s">
        <v>76</v>
      </c>
      <c r="L1488" s="16" t="str">
        <f>IF(COUNTIFS(Pessoas!$C$5:$C$44,$K1488,Pessoas!$G$5:$G$44,"Ativo")=0,"Equipe "&amp;$K1488,INDEX(Pessoas!$A$5:$A$44,_xludf.aggregate(15,6,(ROW(Pessoas!$A$5:$A$44)-4)/((Pessoas!$C$5:$C$44=$K1488)*(Pessoas!$G$5:$G$44="Ativo")),MOD(ROW()-6,MAX(1,COUNTIFS(Pessoas!$C$5:$C$44,$K1488,Pessoas!$G$5:$G$44,"Ativo")))+1)))</f>
        <v>Equipe Oficina Mecânica Central-Taisa</v>
      </c>
    </row>
    <row r="1489" spans="1:12" ht="15" customHeight="1" x14ac:dyDescent="0.4">
      <c r="A1489" s="25">
        <v>46458</v>
      </c>
      <c r="B1489" s="16">
        <v>28</v>
      </c>
      <c r="C1489" s="16">
        <v>3</v>
      </c>
      <c r="D1489" s="16">
        <v>3</v>
      </c>
      <c r="E1489" s="16" t="s">
        <v>980</v>
      </c>
      <c r="F1489" s="16" t="s">
        <v>1014</v>
      </c>
      <c r="G1489" s="16" t="s">
        <v>184</v>
      </c>
      <c r="H1489" s="16" t="s">
        <v>143</v>
      </c>
      <c r="I1489" s="22" t="s">
        <v>856</v>
      </c>
      <c r="J1489" s="16">
        <f>IFERROR(INDEX(Aux_HH!$J$4:$J$31,MATCH($H1489&amp;"|"&amp;$I1489,Aux_HH!$A$4:$A$31,0)),"")</f>
        <v>2.5</v>
      </c>
      <c r="K1489" s="16" t="s">
        <v>76</v>
      </c>
      <c r="L1489" s="16" t="str">
        <f>IF(COUNTIFS(Pessoas!$C$5:$C$44,$K1489,Pessoas!$G$5:$G$44,"Ativo")=0,"Equipe "&amp;$K1489,INDEX(Pessoas!$A$5:$A$44,_xludf.aggregate(15,6,(ROW(Pessoas!$A$5:$A$44)-4)/((Pessoas!$C$5:$C$44=$K1489)*(Pessoas!$G$5:$G$44="Ativo")),MOD(ROW()-6,MAX(1,COUNTIFS(Pessoas!$C$5:$C$44,$K1489,Pessoas!$G$5:$G$44,"Ativo")))+1)))</f>
        <v>Equipe Oficina Mecânica Central-Taisa</v>
      </c>
    </row>
    <row r="1490" spans="1:12" ht="15" customHeight="1" x14ac:dyDescent="0.4">
      <c r="A1490" s="25">
        <v>46458</v>
      </c>
      <c r="B1490" s="16">
        <v>28</v>
      </c>
      <c r="C1490" s="16">
        <v>3</v>
      </c>
      <c r="D1490" s="16">
        <v>3</v>
      </c>
      <c r="E1490" s="16" t="s">
        <v>980</v>
      </c>
      <c r="F1490" s="16" t="s">
        <v>1015</v>
      </c>
      <c r="G1490" s="16" t="s">
        <v>184</v>
      </c>
      <c r="H1490" s="16" t="s">
        <v>143</v>
      </c>
      <c r="I1490" s="22" t="s">
        <v>856</v>
      </c>
      <c r="J1490" s="16">
        <f>IFERROR(INDEX(Aux_HH!$J$4:$J$31,MATCH($H1490&amp;"|"&amp;$I1490,Aux_HH!$A$4:$A$31,0)),"")</f>
        <v>2.5</v>
      </c>
      <c r="K1490" s="16" t="s">
        <v>76</v>
      </c>
      <c r="L1490" s="16" t="str">
        <f>IF(COUNTIFS(Pessoas!$C$5:$C$44,$K1490,Pessoas!$G$5:$G$44,"Ativo")=0,"Equipe "&amp;$K1490,INDEX(Pessoas!$A$5:$A$44,_xludf.aggregate(15,6,(ROW(Pessoas!$A$5:$A$44)-4)/((Pessoas!$C$5:$C$44=$K1490)*(Pessoas!$G$5:$G$44="Ativo")),MOD(ROW()-6,MAX(1,COUNTIFS(Pessoas!$C$5:$C$44,$K1490,Pessoas!$G$5:$G$44,"Ativo")))+1)))</f>
        <v>Equipe Oficina Mecânica Central-Taisa</v>
      </c>
    </row>
    <row r="1491" spans="1:12" ht="15" customHeight="1" x14ac:dyDescent="0.4">
      <c r="A1491" s="25">
        <v>46458</v>
      </c>
      <c r="B1491" s="16">
        <v>28</v>
      </c>
      <c r="C1491" s="16">
        <v>3</v>
      </c>
      <c r="D1491" s="16">
        <v>3</v>
      </c>
      <c r="E1491" s="16" t="s">
        <v>980</v>
      </c>
      <c r="F1491" s="16" t="s">
        <v>981</v>
      </c>
      <c r="G1491" s="16" t="s">
        <v>184</v>
      </c>
      <c r="H1491" s="16" t="s">
        <v>138</v>
      </c>
      <c r="I1491" s="22" t="s">
        <v>856</v>
      </c>
      <c r="J1491" s="16">
        <f>IFERROR(INDEX(Aux_HH!$J$4:$J$31,MATCH($H1491&amp;"|"&amp;$I1491,Aux_HH!$A$4:$A$31,0)),"")</f>
        <v>3</v>
      </c>
      <c r="K1491" s="16" t="s">
        <v>76</v>
      </c>
      <c r="L1491" s="16" t="str">
        <f>IF(COUNTIFS(Pessoas!$C$5:$C$44,$K1491,Pessoas!$G$5:$G$44,"Ativo")=0,"Equipe "&amp;$K1491,INDEX(Pessoas!$A$5:$A$44,_xludf.aggregate(15,6,(ROW(Pessoas!$A$5:$A$44)-4)/((Pessoas!$C$5:$C$44=$K1491)*(Pessoas!$G$5:$G$44="Ativo")),MOD(ROW()-6,MAX(1,COUNTIFS(Pessoas!$C$5:$C$44,$K1491,Pessoas!$G$5:$G$44,"Ativo")))+1)))</f>
        <v>Equipe Oficina Mecânica Central-Taisa</v>
      </c>
    </row>
    <row r="1492" spans="1:12" ht="15" customHeight="1" x14ac:dyDescent="0.4">
      <c r="A1492" s="25">
        <v>46458</v>
      </c>
      <c r="B1492" s="16">
        <v>28</v>
      </c>
      <c r="C1492" s="16">
        <v>3</v>
      </c>
      <c r="D1492" s="16">
        <v>3</v>
      </c>
      <c r="E1492" s="16" t="s">
        <v>980</v>
      </c>
      <c r="F1492" s="16" t="s">
        <v>983</v>
      </c>
      <c r="G1492" s="16" t="s">
        <v>184</v>
      </c>
      <c r="H1492" s="16" t="s">
        <v>138</v>
      </c>
      <c r="I1492" s="22" t="s">
        <v>856</v>
      </c>
      <c r="J1492" s="16">
        <f>IFERROR(INDEX(Aux_HH!$J$4:$J$31,MATCH($H1492&amp;"|"&amp;$I1492,Aux_HH!$A$4:$A$31,0)),"")</f>
        <v>3</v>
      </c>
      <c r="K1492" s="16" t="s">
        <v>76</v>
      </c>
      <c r="L1492" s="16" t="str">
        <f>IF(COUNTIFS(Pessoas!$C$5:$C$44,$K1492,Pessoas!$G$5:$G$44,"Ativo")=0,"Equipe "&amp;$K1492,INDEX(Pessoas!$A$5:$A$44,_xludf.aggregate(15,6,(ROW(Pessoas!$A$5:$A$44)-4)/((Pessoas!$C$5:$C$44=$K1492)*(Pessoas!$G$5:$G$44="Ativo")),MOD(ROW()-6,MAX(1,COUNTIFS(Pessoas!$C$5:$C$44,$K1492,Pessoas!$G$5:$G$44,"Ativo")))+1)))</f>
        <v>Equipe Oficina Mecânica Central-Taisa</v>
      </c>
    </row>
    <row r="1493" spans="1:12" ht="15" customHeight="1" x14ac:dyDescent="0.4">
      <c r="A1493" s="25">
        <v>46458</v>
      </c>
      <c r="B1493" s="16">
        <v>28</v>
      </c>
      <c r="C1493" s="16">
        <v>3</v>
      </c>
      <c r="D1493" s="16">
        <v>3</v>
      </c>
      <c r="E1493" s="16" t="s">
        <v>980</v>
      </c>
      <c r="F1493" s="16" t="s">
        <v>1060</v>
      </c>
      <c r="G1493" s="16" t="s">
        <v>526</v>
      </c>
      <c r="H1493" s="16" t="s">
        <v>143</v>
      </c>
      <c r="I1493" s="22" t="s">
        <v>856</v>
      </c>
      <c r="J1493" s="16">
        <f>IFERROR(INDEX(Aux_HH!$J$4:$J$31,MATCH($H1493&amp;"|"&amp;$I1493,Aux_HH!$A$4:$A$31,0)),"")</f>
        <v>2.5</v>
      </c>
      <c r="K1493" s="16" t="s">
        <v>76</v>
      </c>
      <c r="L1493" s="16" t="str">
        <f>IF(COUNTIFS(Pessoas!$C$5:$C$44,$K1493,Pessoas!$G$5:$G$44,"Ativo")=0,"Equipe "&amp;$K1493,INDEX(Pessoas!$A$5:$A$44,_xludf.aggregate(15,6,(ROW(Pessoas!$A$5:$A$44)-4)/((Pessoas!$C$5:$C$44=$K1493)*(Pessoas!$G$5:$G$44="Ativo")),MOD(ROW()-6,MAX(1,COUNTIFS(Pessoas!$C$5:$C$44,$K1493,Pessoas!$G$5:$G$44,"Ativo")))+1)))</f>
        <v>Equipe Oficina Mecânica Central-Taisa</v>
      </c>
    </row>
    <row r="1494" spans="1:12" ht="15" customHeight="1" x14ac:dyDescent="0.4">
      <c r="A1494" s="25">
        <v>46458</v>
      </c>
      <c r="B1494" s="16">
        <v>28</v>
      </c>
      <c r="C1494" s="16">
        <v>3</v>
      </c>
      <c r="D1494" s="16">
        <v>3</v>
      </c>
      <c r="E1494" s="16" t="s">
        <v>980</v>
      </c>
      <c r="F1494" s="16" t="s">
        <v>1061</v>
      </c>
      <c r="G1494" s="16" t="s">
        <v>526</v>
      </c>
      <c r="H1494" s="16" t="s">
        <v>143</v>
      </c>
      <c r="I1494" s="22" t="s">
        <v>856</v>
      </c>
      <c r="J1494" s="16">
        <f>IFERROR(INDEX(Aux_HH!$J$4:$J$31,MATCH($H1494&amp;"|"&amp;$I1494,Aux_HH!$A$4:$A$31,0)),"")</f>
        <v>2.5</v>
      </c>
      <c r="K1494" s="16" t="s">
        <v>76</v>
      </c>
      <c r="L1494" s="16" t="str">
        <f>IF(COUNTIFS(Pessoas!$C$5:$C$44,$K1494,Pessoas!$G$5:$G$44,"Ativo")=0,"Equipe "&amp;$K1494,INDEX(Pessoas!$A$5:$A$44,_xludf.aggregate(15,6,(ROW(Pessoas!$A$5:$A$44)-4)/((Pessoas!$C$5:$C$44=$K1494)*(Pessoas!$G$5:$G$44="Ativo")),MOD(ROW()-6,MAX(1,COUNTIFS(Pessoas!$C$5:$C$44,$K1494,Pessoas!$G$5:$G$44,"Ativo")))+1)))</f>
        <v>Equipe Oficina Mecânica Central-Taisa</v>
      </c>
    </row>
    <row r="1495" spans="1:12" ht="15" customHeight="1" x14ac:dyDescent="0.4">
      <c r="A1495" s="25">
        <v>46458</v>
      </c>
      <c r="B1495" s="16">
        <v>28</v>
      </c>
      <c r="C1495" s="16">
        <v>3</v>
      </c>
      <c r="D1495" s="16">
        <v>3</v>
      </c>
      <c r="E1495" s="16" t="s">
        <v>980</v>
      </c>
      <c r="F1495" s="16" t="s">
        <v>1062</v>
      </c>
      <c r="G1495" s="16" t="s">
        <v>688</v>
      </c>
      <c r="H1495" s="16" t="s">
        <v>143</v>
      </c>
      <c r="I1495" s="22" t="s">
        <v>856</v>
      </c>
      <c r="J1495" s="16">
        <f>IFERROR(INDEX(Aux_HH!$J$4:$J$31,MATCH($H1495&amp;"|"&amp;$I1495,Aux_HH!$A$4:$A$31,0)),"")</f>
        <v>2.5</v>
      </c>
      <c r="K1495" s="16" t="s">
        <v>76</v>
      </c>
      <c r="L1495" s="16" t="str">
        <f>IF(COUNTIFS(Pessoas!$C$5:$C$44,$K1495,Pessoas!$G$5:$G$44,"Ativo")=0,"Equipe "&amp;$K1495,INDEX(Pessoas!$A$5:$A$44,_xludf.aggregate(15,6,(ROW(Pessoas!$A$5:$A$44)-4)/((Pessoas!$C$5:$C$44=$K1495)*(Pessoas!$G$5:$G$44="Ativo")),MOD(ROW()-6,MAX(1,COUNTIFS(Pessoas!$C$5:$C$44,$K1495,Pessoas!$G$5:$G$44,"Ativo")))+1)))</f>
        <v>Equipe Oficina Mecânica Central-Taisa</v>
      </c>
    </row>
    <row r="1496" spans="1:12" ht="15" customHeight="1" x14ac:dyDescent="0.4">
      <c r="A1496" s="25">
        <v>46458</v>
      </c>
      <c r="B1496" s="16">
        <v>28</v>
      </c>
      <c r="C1496" s="16">
        <v>3</v>
      </c>
      <c r="D1496" s="16">
        <v>3</v>
      </c>
      <c r="E1496" s="16" t="s">
        <v>980</v>
      </c>
      <c r="F1496" s="16" t="s">
        <v>1063</v>
      </c>
      <c r="G1496" s="16" t="s">
        <v>526</v>
      </c>
      <c r="H1496" s="16" t="s">
        <v>143</v>
      </c>
      <c r="I1496" s="22" t="s">
        <v>856</v>
      </c>
      <c r="J1496" s="16">
        <f>IFERROR(INDEX(Aux_HH!$J$4:$J$31,MATCH($H1496&amp;"|"&amp;$I1496,Aux_HH!$A$4:$A$31,0)),"")</f>
        <v>2.5</v>
      </c>
      <c r="K1496" s="16" t="s">
        <v>76</v>
      </c>
      <c r="L1496" s="16" t="str">
        <f>IF(COUNTIFS(Pessoas!$C$5:$C$44,$K1496,Pessoas!$G$5:$G$44,"Ativo")=0,"Equipe "&amp;$K1496,INDEX(Pessoas!$A$5:$A$44,_xludf.aggregate(15,6,(ROW(Pessoas!$A$5:$A$44)-4)/((Pessoas!$C$5:$C$44=$K1496)*(Pessoas!$G$5:$G$44="Ativo")),MOD(ROW()-6,MAX(1,COUNTIFS(Pessoas!$C$5:$C$44,$K1496,Pessoas!$G$5:$G$44,"Ativo")))+1)))</f>
        <v>Equipe Oficina Mecânica Central-Taisa</v>
      </c>
    </row>
    <row r="1497" spans="1:12" ht="15" customHeight="1" x14ac:dyDescent="0.4">
      <c r="A1497" s="25">
        <v>46458</v>
      </c>
      <c r="B1497" s="16">
        <v>28</v>
      </c>
      <c r="C1497" s="16">
        <v>3</v>
      </c>
      <c r="D1497" s="16">
        <v>3</v>
      </c>
      <c r="E1497" s="16" t="s">
        <v>980</v>
      </c>
      <c r="F1497" s="16" t="s">
        <v>1064</v>
      </c>
      <c r="G1497" s="16" t="s">
        <v>526</v>
      </c>
      <c r="H1497" s="16" t="s">
        <v>143</v>
      </c>
      <c r="I1497" s="22" t="s">
        <v>856</v>
      </c>
      <c r="J1497" s="16">
        <f>IFERROR(INDEX(Aux_HH!$J$4:$J$31,MATCH($H1497&amp;"|"&amp;$I1497,Aux_HH!$A$4:$A$31,0)),"")</f>
        <v>2.5</v>
      </c>
      <c r="K1497" s="16" t="s">
        <v>76</v>
      </c>
      <c r="L1497" s="16" t="str">
        <f>IF(COUNTIFS(Pessoas!$C$5:$C$44,$K1497,Pessoas!$G$5:$G$44,"Ativo")=0,"Equipe "&amp;$K1497,INDEX(Pessoas!$A$5:$A$44,_xludf.aggregate(15,6,(ROW(Pessoas!$A$5:$A$44)-4)/((Pessoas!$C$5:$C$44=$K1497)*(Pessoas!$G$5:$G$44="Ativo")),MOD(ROW()-6,MAX(1,COUNTIFS(Pessoas!$C$5:$C$44,$K1497,Pessoas!$G$5:$G$44,"Ativo")))+1)))</f>
        <v>Equipe Oficina Mecânica Central-Taisa</v>
      </c>
    </row>
    <row r="1498" spans="1:12" ht="15" customHeight="1" x14ac:dyDescent="0.4">
      <c r="A1498" s="25">
        <v>46458</v>
      </c>
      <c r="B1498" s="16">
        <v>28</v>
      </c>
      <c r="C1498" s="16">
        <v>3</v>
      </c>
      <c r="D1498" s="16">
        <v>3</v>
      </c>
      <c r="E1498" s="16" t="s">
        <v>980</v>
      </c>
      <c r="F1498" s="16" t="s">
        <v>1065</v>
      </c>
      <c r="G1498" s="16" t="s">
        <v>526</v>
      </c>
      <c r="H1498" s="16" t="s">
        <v>143</v>
      </c>
      <c r="I1498" s="22" t="s">
        <v>856</v>
      </c>
      <c r="J1498" s="16">
        <f>IFERROR(INDEX(Aux_HH!$J$4:$J$31,MATCH($H1498&amp;"|"&amp;$I1498,Aux_HH!$A$4:$A$31,0)),"")</f>
        <v>2.5</v>
      </c>
      <c r="K1498" s="16" t="s">
        <v>76</v>
      </c>
      <c r="L1498" s="16" t="str">
        <f>IF(COUNTIFS(Pessoas!$C$5:$C$44,$K1498,Pessoas!$G$5:$G$44,"Ativo")=0,"Equipe "&amp;$K1498,INDEX(Pessoas!$A$5:$A$44,_xludf.aggregate(15,6,(ROW(Pessoas!$A$5:$A$44)-4)/((Pessoas!$C$5:$C$44=$K1498)*(Pessoas!$G$5:$G$44="Ativo")),MOD(ROW()-6,MAX(1,COUNTIFS(Pessoas!$C$5:$C$44,$K1498,Pessoas!$G$5:$G$44,"Ativo")))+1)))</f>
        <v>Equipe Oficina Mecânica Central-Taisa</v>
      </c>
    </row>
    <row r="1499" spans="1:12" ht="15" customHeight="1" x14ac:dyDescent="0.4">
      <c r="A1499" s="25">
        <v>46461</v>
      </c>
      <c r="B1499" s="16">
        <v>28</v>
      </c>
      <c r="C1499" s="16">
        <v>3</v>
      </c>
      <c r="D1499" s="16">
        <v>3</v>
      </c>
      <c r="E1499" s="16" t="s">
        <v>980</v>
      </c>
      <c r="F1499" s="16" t="s">
        <v>1022</v>
      </c>
      <c r="G1499" s="16" t="s">
        <v>184</v>
      </c>
      <c r="H1499" s="16" t="s">
        <v>143</v>
      </c>
      <c r="I1499" s="22" t="s">
        <v>856</v>
      </c>
      <c r="J1499" s="16">
        <f>IFERROR(INDEX(Aux_HH!$J$4:$J$31,MATCH($H1499&amp;"|"&amp;$I1499,Aux_HH!$A$4:$A$31,0)),"")</f>
        <v>2.5</v>
      </c>
      <c r="K1499" s="16" t="s">
        <v>76</v>
      </c>
      <c r="L1499" s="16" t="str">
        <f>IF(COUNTIFS(Pessoas!$C$5:$C$44,$K1499,Pessoas!$G$5:$G$44,"Ativo")=0,"Equipe "&amp;$K1499,INDEX(Pessoas!$A$5:$A$44,_xludf.aggregate(15,6,(ROW(Pessoas!$A$5:$A$44)-4)/((Pessoas!$C$5:$C$44=$K1499)*(Pessoas!$G$5:$G$44="Ativo")),MOD(ROW()-6,MAX(1,COUNTIFS(Pessoas!$C$5:$C$44,$K1499,Pessoas!$G$5:$G$44,"Ativo")))+1)))</f>
        <v>Equipe Oficina Mecânica Central-Taisa</v>
      </c>
    </row>
    <row r="1500" spans="1:12" ht="15" customHeight="1" x14ac:dyDescent="0.4">
      <c r="A1500" s="25">
        <v>46461</v>
      </c>
      <c r="B1500" s="16">
        <v>28</v>
      </c>
      <c r="C1500" s="16">
        <v>3</v>
      </c>
      <c r="D1500" s="16">
        <v>3</v>
      </c>
      <c r="E1500" s="16" t="s">
        <v>980</v>
      </c>
      <c r="F1500" s="16" t="s">
        <v>1023</v>
      </c>
      <c r="G1500" s="16" t="s">
        <v>184</v>
      </c>
      <c r="H1500" s="16" t="s">
        <v>143</v>
      </c>
      <c r="I1500" s="22" t="s">
        <v>856</v>
      </c>
      <c r="J1500" s="16">
        <f>IFERROR(INDEX(Aux_HH!$J$4:$J$31,MATCH($H1500&amp;"|"&amp;$I1500,Aux_HH!$A$4:$A$31,0)),"")</f>
        <v>2.5</v>
      </c>
      <c r="K1500" s="16" t="s">
        <v>76</v>
      </c>
      <c r="L1500" s="16" t="str">
        <f>IF(COUNTIFS(Pessoas!$C$5:$C$44,$K1500,Pessoas!$G$5:$G$44,"Ativo")=0,"Equipe "&amp;$K1500,INDEX(Pessoas!$A$5:$A$44,_xludf.aggregate(15,6,(ROW(Pessoas!$A$5:$A$44)-4)/((Pessoas!$C$5:$C$44=$K1500)*(Pessoas!$G$5:$G$44="Ativo")),MOD(ROW()-6,MAX(1,COUNTIFS(Pessoas!$C$5:$C$44,$K1500,Pessoas!$G$5:$G$44,"Ativo")))+1)))</f>
        <v>Equipe Oficina Mecânica Central-Taisa</v>
      </c>
    </row>
    <row r="1501" spans="1:12" ht="15" customHeight="1" x14ac:dyDescent="0.4">
      <c r="A1501" s="25">
        <v>46461</v>
      </c>
      <c r="B1501" s="16">
        <v>28</v>
      </c>
      <c r="C1501" s="16">
        <v>3</v>
      </c>
      <c r="D1501" s="16">
        <v>3</v>
      </c>
      <c r="E1501" s="16" t="s">
        <v>980</v>
      </c>
      <c r="F1501" s="16" t="s">
        <v>1024</v>
      </c>
      <c r="G1501" s="16" t="s">
        <v>184</v>
      </c>
      <c r="H1501" s="16" t="s">
        <v>143</v>
      </c>
      <c r="I1501" s="22" t="s">
        <v>856</v>
      </c>
      <c r="J1501" s="16">
        <f>IFERROR(INDEX(Aux_HH!$J$4:$J$31,MATCH($H1501&amp;"|"&amp;$I1501,Aux_HH!$A$4:$A$31,0)),"")</f>
        <v>2.5</v>
      </c>
      <c r="K1501" s="16" t="s">
        <v>76</v>
      </c>
      <c r="L1501" s="16" t="str">
        <f>IF(COUNTIFS(Pessoas!$C$5:$C$44,$K1501,Pessoas!$G$5:$G$44,"Ativo")=0,"Equipe "&amp;$K1501,INDEX(Pessoas!$A$5:$A$44,_xludf.aggregate(15,6,(ROW(Pessoas!$A$5:$A$44)-4)/((Pessoas!$C$5:$C$44=$K1501)*(Pessoas!$G$5:$G$44="Ativo")),MOD(ROW()-6,MAX(1,COUNTIFS(Pessoas!$C$5:$C$44,$K1501,Pessoas!$G$5:$G$44,"Ativo")))+1)))</f>
        <v>Equipe Oficina Mecânica Central-Taisa</v>
      </c>
    </row>
    <row r="1502" spans="1:12" ht="15" customHeight="1" x14ac:dyDescent="0.4">
      <c r="A1502" s="25">
        <v>46461</v>
      </c>
      <c r="B1502" s="16">
        <v>28</v>
      </c>
      <c r="C1502" s="16">
        <v>3</v>
      </c>
      <c r="D1502" s="16">
        <v>3</v>
      </c>
      <c r="E1502" s="16" t="s">
        <v>980</v>
      </c>
      <c r="F1502" s="16" t="s">
        <v>1025</v>
      </c>
      <c r="G1502" s="16" t="s">
        <v>184</v>
      </c>
      <c r="H1502" s="16" t="s">
        <v>143</v>
      </c>
      <c r="I1502" s="22" t="s">
        <v>856</v>
      </c>
      <c r="J1502" s="16">
        <f>IFERROR(INDEX(Aux_HH!$J$4:$J$31,MATCH($H1502&amp;"|"&amp;$I1502,Aux_HH!$A$4:$A$31,0)),"")</f>
        <v>2.5</v>
      </c>
      <c r="K1502" s="16" t="s">
        <v>76</v>
      </c>
      <c r="L1502" s="16" t="str">
        <f>IF(COUNTIFS(Pessoas!$C$5:$C$44,$K1502,Pessoas!$G$5:$G$44,"Ativo")=0,"Equipe "&amp;$K1502,INDEX(Pessoas!$A$5:$A$44,_xludf.aggregate(15,6,(ROW(Pessoas!$A$5:$A$44)-4)/((Pessoas!$C$5:$C$44=$K1502)*(Pessoas!$G$5:$G$44="Ativo")),MOD(ROW()-6,MAX(1,COUNTIFS(Pessoas!$C$5:$C$44,$K1502,Pessoas!$G$5:$G$44,"Ativo")))+1)))</f>
        <v>Equipe Oficina Mecânica Central-Taisa</v>
      </c>
    </row>
    <row r="1503" spans="1:12" ht="15" customHeight="1" x14ac:dyDescent="0.4">
      <c r="A1503" s="25">
        <v>46461</v>
      </c>
      <c r="B1503" s="16">
        <v>28</v>
      </c>
      <c r="C1503" s="16">
        <v>3</v>
      </c>
      <c r="D1503" s="16">
        <v>3</v>
      </c>
      <c r="E1503" s="16" t="s">
        <v>980</v>
      </c>
      <c r="F1503" s="16" t="s">
        <v>1026</v>
      </c>
      <c r="G1503" s="16" t="s">
        <v>184</v>
      </c>
      <c r="H1503" s="16" t="s">
        <v>143</v>
      </c>
      <c r="I1503" s="22" t="s">
        <v>856</v>
      </c>
      <c r="J1503" s="16">
        <f>IFERROR(INDEX(Aux_HH!$J$4:$J$31,MATCH($H1503&amp;"|"&amp;$I1503,Aux_HH!$A$4:$A$31,0)),"")</f>
        <v>2.5</v>
      </c>
      <c r="K1503" s="16" t="s">
        <v>76</v>
      </c>
      <c r="L1503" s="16" t="str">
        <f>IF(COUNTIFS(Pessoas!$C$5:$C$44,$K1503,Pessoas!$G$5:$G$44,"Ativo")=0,"Equipe "&amp;$K1503,INDEX(Pessoas!$A$5:$A$44,_xludf.aggregate(15,6,(ROW(Pessoas!$A$5:$A$44)-4)/((Pessoas!$C$5:$C$44=$K1503)*(Pessoas!$G$5:$G$44="Ativo")),MOD(ROW()-6,MAX(1,COUNTIFS(Pessoas!$C$5:$C$44,$K1503,Pessoas!$G$5:$G$44,"Ativo")))+1)))</f>
        <v>Equipe Oficina Mecânica Central-Taisa</v>
      </c>
    </row>
    <row r="1504" spans="1:12" ht="15" customHeight="1" x14ac:dyDescent="0.4">
      <c r="A1504" s="25">
        <v>46461</v>
      </c>
      <c r="B1504" s="16">
        <v>28</v>
      </c>
      <c r="C1504" s="16">
        <v>3</v>
      </c>
      <c r="D1504" s="16">
        <v>3</v>
      </c>
      <c r="E1504" s="16" t="s">
        <v>980</v>
      </c>
      <c r="F1504" s="16" t="s">
        <v>1027</v>
      </c>
      <c r="G1504" s="16" t="s">
        <v>184</v>
      </c>
      <c r="H1504" s="16" t="s">
        <v>143</v>
      </c>
      <c r="I1504" s="22" t="s">
        <v>856</v>
      </c>
      <c r="J1504" s="16">
        <f>IFERROR(INDEX(Aux_HH!$J$4:$J$31,MATCH($H1504&amp;"|"&amp;$I1504,Aux_HH!$A$4:$A$31,0)),"")</f>
        <v>2.5</v>
      </c>
      <c r="K1504" s="16" t="s">
        <v>76</v>
      </c>
      <c r="L1504" s="16" t="str">
        <f>IF(COUNTIFS(Pessoas!$C$5:$C$44,$K1504,Pessoas!$G$5:$G$44,"Ativo")=0,"Equipe "&amp;$K1504,INDEX(Pessoas!$A$5:$A$44,_xludf.aggregate(15,6,(ROW(Pessoas!$A$5:$A$44)-4)/((Pessoas!$C$5:$C$44=$K1504)*(Pessoas!$G$5:$G$44="Ativo")),MOD(ROW()-6,MAX(1,COUNTIFS(Pessoas!$C$5:$C$44,$K1504,Pessoas!$G$5:$G$44,"Ativo")))+1)))</f>
        <v>Equipe Oficina Mecânica Central-Taisa</v>
      </c>
    </row>
    <row r="1505" spans="1:12" ht="15" customHeight="1" x14ac:dyDescent="0.4">
      <c r="A1505" s="25">
        <v>46461</v>
      </c>
      <c r="B1505" s="16">
        <v>28</v>
      </c>
      <c r="C1505" s="16">
        <v>3</v>
      </c>
      <c r="D1505" s="16">
        <v>3</v>
      </c>
      <c r="E1505" s="16" t="s">
        <v>980</v>
      </c>
      <c r="F1505" s="16" t="s">
        <v>1028</v>
      </c>
      <c r="G1505" s="16" t="s">
        <v>184</v>
      </c>
      <c r="H1505" s="16" t="s">
        <v>143</v>
      </c>
      <c r="I1505" s="22" t="s">
        <v>856</v>
      </c>
      <c r="J1505" s="16">
        <f>IFERROR(INDEX(Aux_HH!$J$4:$J$31,MATCH($H1505&amp;"|"&amp;$I1505,Aux_HH!$A$4:$A$31,0)),"")</f>
        <v>2.5</v>
      </c>
      <c r="K1505" s="16" t="s">
        <v>76</v>
      </c>
      <c r="L1505" s="16" t="str">
        <f>IF(COUNTIFS(Pessoas!$C$5:$C$44,$K1505,Pessoas!$G$5:$G$44,"Ativo")=0,"Equipe "&amp;$K1505,INDEX(Pessoas!$A$5:$A$44,_xludf.aggregate(15,6,(ROW(Pessoas!$A$5:$A$44)-4)/((Pessoas!$C$5:$C$44=$K1505)*(Pessoas!$G$5:$G$44="Ativo")),MOD(ROW()-6,MAX(1,COUNTIFS(Pessoas!$C$5:$C$44,$K1505,Pessoas!$G$5:$G$44,"Ativo")))+1)))</f>
        <v>Equipe Oficina Mecânica Central-Taisa</v>
      </c>
    </row>
    <row r="1506" spans="1:12" ht="15" customHeight="1" x14ac:dyDescent="0.4">
      <c r="A1506" s="25">
        <v>46461</v>
      </c>
      <c r="B1506" s="16">
        <v>28</v>
      </c>
      <c r="C1506" s="16">
        <v>3</v>
      </c>
      <c r="D1506" s="16">
        <v>3</v>
      </c>
      <c r="E1506" s="16" t="s">
        <v>980</v>
      </c>
      <c r="F1506" s="16" t="s">
        <v>1029</v>
      </c>
      <c r="G1506" s="16" t="s">
        <v>184</v>
      </c>
      <c r="H1506" s="16" t="s">
        <v>143</v>
      </c>
      <c r="I1506" s="22" t="s">
        <v>856</v>
      </c>
      <c r="J1506" s="16">
        <f>IFERROR(INDEX(Aux_HH!$J$4:$J$31,MATCH($H1506&amp;"|"&amp;$I1506,Aux_HH!$A$4:$A$31,0)),"")</f>
        <v>2.5</v>
      </c>
      <c r="K1506" s="16" t="s">
        <v>76</v>
      </c>
      <c r="L1506" s="16" t="str">
        <f>IF(COUNTIFS(Pessoas!$C$5:$C$44,$K1506,Pessoas!$G$5:$G$44,"Ativo")=0,"Equipe "&amp;$K1506,INDEX(Pessoas!$A$5:$A$44,_xludf.aggregate(15,6,(ROW(Pessoas!$A$5:$A$44)-4)/((Pessoas!$C$5:$C$44=$K1506)*(Pessoas!$G$5:$G$44="Ativo")),MOD(ROW()-6,MAX(1,COUNTIFS(Pessoas!$C$5:$C$44,$K1506,Pessoas!$G$5:$G$44,"Ativo")))+1)))</f>
        <v>Equipe Oficina Mecânica Central-Taisa</v>
      </c>
    </row>
    <row r="1507" spans="1:12" ht="15" customHeight="1" x14ac:dyDescent="0.4">
      <c r="A1507" s="25">
        <v>46461</v>
      </c>
      <c r="B1507" s="16">
        <v>28</v>
      </c>
      <c r="C1507" s="16">
        <v>3</v>
      </c>
      <c r="D1507" s="16">
        <v>3</v>
      </c>
      <c r="E1507" s="16" t="s">
        <v>980</v>
      </c>
      <c r="F1507" s="16" t="s">
        <v>985</v>
      </c>
      <c r="G1507" s="16" t="s">
        <v>184</v>
      </c>
      <c r="H1507" s="16" t="s">
        <v>138</v>
      </c>
      <c r="I1507" s="22" t="s">
        <v>856</v>
      </c>
      <c r="J1507" s="16">
        <f>IFERROR(INDEX(Aux_HH!$J$4:$J$31,MATCH($H1507&amp;"|"&amp;$I1507,Aux_HH!$A$4:$A$31,0)),"")</f>
        <v>3</v>
      </c>
      <c r="K1507" s="16" t="s">
        <v>76</v>
      </c>
      <c r="L1507" s="16" t="str">
        <f>IF(COUNTIFS(Pessoas!$C$5:$C$44,$K1507,Pessoas!$G$5:$G$44,"Ativo")=0,"Equipe "&amp;$K1507,INDEX(Pessoas!$A$5:$A$44,_xludf.aggregate(15,6,(ROW(Pessoas!$A$5:$A$44)-4)/((Pessoas!$C$5:$C$44=$K1507)*(Pessoas!$G$5:$G$44="Ativo")),MOD(ROW()-6,MAX(1,COUNTIFS(Pessoas!$C$5:$C$44,$K1507,Pessoas!$G$5:$G$44,"Ativo")))+1)))</f>
        <v>Equipe Oficina Mecânica Central-Taisa</v>
      </c>
    </row>
    <row r="1508" spans="1:12" ht="15" customHeight="1" x14ac:dyDescent="0.4">
      <c r="A1508" s="25">
        <v>46461</v>
      </c>
      <c r="B1508" s="16">
        <v>28</v>
      </c>
      <c r="C1508" s="16">
        <v>3</v>
      </c>
      <c r="D1508" s="16">
        <v>3</v>
      </c>
      <c r="E1508" s="16" t="s">
        <v>980</v>
      </c>
      <c r="F1508" s="16" t="s">
        <v>987</v>
      </c>
      <c r="G1508" s="16" t="s">
        <v>526</v>
      </c>
      <c r="H1508" s="16" t="s">
        <v>138</v>
      </c>
      <c r="I1508" s="22" t="s">
        <v>856</v>
      </c>
      <c r="J1508" s="16">
        <f>IFERROR(INDEX(Aux_HH!$J$4:$J$31,MATCH($H1508&amp;"|"&amp;$I1508,Aux_HH!$A$4:$A$31,0)),"")</f>
        <v>3</v>
      </c>
      <c r="K1508" s="16" t="s">
        <v>76</v>
      </c>
      <c r="L1508" s="16" t="str">
        <f>IF(COUNTIFS(Pessoas!$C$5:$C$44,$K1508,Pessoas!$G$5:$G$44,"Ativo")=0,"Equipe "&amp;$K1508,INDEX(Pessoas!$A$5:$A$44,_xludf.aggregate(15,6,(ROW(Pessoas!$A$5:$A$44)-4)/((Pessoas!$C$5:$C$44=$K1508)*(Pessoas!$G$5:$G$44="Ativo")),MOD(ROW()-6,MAX(1,COUNTIFS(Pessoas!$C$5:$C$44,$K1508,Pessoas!$G$5:$G$44,"Ativo")))+1)))</f>
        <v>Equipe Oficina Mecânica Central-Taisa</v>
      </c>
    </row>
    <row r="1509" spans="1:12" ht="15" customHeight="1" x14ac:dyDescent="0.4">
      <c r="A1509" s="25">
        <v>46461</v>
      </c>
      <c r="B1509" s="16">
        <v>28</v>
      </c>
      <c r="C1509" s="16">
        <v>3</v>
      </c>
      <c r="D1509" s="16">
        <v>3</v>
      </c>
      <c r="E1509" s="16" t="s">
        <v>980</v>
      </c>
      <c r="F1509" s="16" t="s">
        <v>1074</v>
      </c>
      <c r="G1509" s="16" t="s">
        <v>526</v>
      </c>
      <c r="H1509" s="16" t="s">
        <v>143</v>
      </c>
      <c r="I1509" s="22" t="s">
        <v>856</v>
      </c>
      <c r="J1509" s="16">
        <f>IFERROR(INDEX(Aux_HH!$J$4:$J$31,MATCH($H1509&amp;"|"&amp;$I1509,Aux_HH!$A$4:$A$31,0)),"")</f>
        <v>2.5</v>
      </c>
      <c r="K1509" s="16" t="s">
        <v>76</v>
      </c>
      <c r="L1509" s="16" t="str">
        <f>IF(COUNTIFS(Pessoas!$C$5:$C$44,$K1509,Pessoas!$G$5:$G$44,"Ativo")=0,"Equipe "&amp;$K1509,INDEX(Pessoas!$A$5:$A$44,_xludf.aggregate(15,6,(ROW(Pessoas!$A$5:$A$44)-4)/((Pessoas!$C$5:$C$44=$K1509)*(Pessoas!$G$5:$G$44="Ativo")),MOD(ROW()-6,MAX(1,COUNTIFS(Pessoas!$C$5:$C$44,$K1509,Pessoas!$G$5:$G$44,"Ativo")))+1)))</f>
        <v>Equipe Oficina Mecânica Central-Taisa</v>
      </c>
    </row>
    <row r="1510" spans="1:12" ht="15" customHeight="1" x14ac:dyDescent="0.4">
      <c r="A1510" s="25">
        <v>46461</v>
      </c>
      <c r="B1510" s="16">
        <v>28</v>
      </c>
      <c r="C1510" s="16">
        <v>3</v>
      </c>
      <c r="D1510" s="16">
        <v>3</v>
      </c>
      <c r="E1510" s="16" t="s">
        <v>980</v>
      </c>
      <c r="F1510" s="16" t="s">
        <v>1075</v>
      </c>
      <c r="G1510" s="16" t="s">
        <v>526</v>
      </c>
      <c r="H1510" s="16" t="s">
        <v>143</v>
      </c>
      <c r="I1510" s="22" t="s">
        <v>856</v>
      </c>
      <c r="J1510" s="16">
        <f>IFERROR(INDEX(Aux_HH!$J$4:$J$31,MATCH($H1510&amp;"|"&amp;$I1510,Aux_HH!$A$4:$A$31,0)),"")</f>
        <v>2.5</v>
      </c>
      <c r="K1510" s="16" t="s">
        <v>76</v>
      </c>
      <c r="L1510" s="16" t="str">
        <f>IF(COUNTIFS(Pessoas!$C$5:$C$44,$K1510,Pessoas!$G$5:$G$44,"Ativo")=0,"Equipe "&amp;$K1510,INDEX(Pessoas!$A$5:$A$44,_xludf.aggregate(15,6,(ROW(Pessoas!$A$5:$A$44)-4)/((Pessoas!$C$5:$C$44=$K1510)*(Pessoas!$G$5:$G$44="Ativo")),MOD(ROW()-6,MAX(1,COUNTIFS(Pessoas!$C$5:$C$44,$K1510,Pessoas!$G$5:$G$44,"Ativo")))+1)))</f>
        <v>Equipe Oficina Mecânica Central-Taisa</v>
      </c>
    </row>
    <row r="1511" spans="1:12" ht="15" customHeight="1" x14ac:dyDescent="0.4">
      <c r="A1511" s="25">
        <v>46461</v>
      </c>
      <c r="B1511" s="16">
        <v>28</v>
      </c>
      <c r="C1511" s="16">
        <v>3</v>
      </c>
      <c r="D1511" s="16">
        <v>3</v>
      </c>
      <c r="E1511" s="16" t="s">
        <v>980</v>
      </c>
      <c r="F1511" s="16" t="s">
        <v>1076</v>
      </c>
      <c r="G1511" s="16" t="s">
        <v>688</v>
      </c>
      <c r="H1511" s="16" t="s">
        <v>143</v>
      </c>
      <c r="I1511" s="22" t="s">
        <v>856</v>
      </c>
      <c r="J1511" s="16">
        <f>IFERROR(INDEX(Aux_HH!$J$4:$J$31,MATCH($H1511&amp;"|"&amp;$I1511,Aux_HH!$A$4:$A$31,0)),"")</f>
        <v>2.5</v>
      </c>
      <c r="K1511" s="16" t="s">
        <v>76</v>
      </c>
      <c r="L1511" s="16" t="str">
        <f>IF(COUNTIFS(Pessoas!$C$5:$C$44,$K1511,Pessoas!$G$5:$G$44,"Ativo")=0,"Equipe "&amp;$K1511,INDEX(Pessoas!$A$5:$A$44,_xludf.aggregate(15,6,(ROW(Pessoas!$A$5:$A$44)-4)/((Pessoas!$C$5:$C$44=$K1511)*(Pessoas!$G$5:$G$44="Ativo")),MOD(ROW()-6,MAX(1,COUNTIFS(Pessoas!$C$5:$C$44,$K1511,Pessoas!$G$5:$G$44,"Ativo")))+1)))</f>
        <v>Equipe Oficina Mecânica Central-Taisa</v>
      </c>
    </row>
    <row r="1512" spans="1:12" ht="15" customHeight="1" x14ac:dyDescent="0.4">
      <c r="A1512" s="25">
        <v>46461</v>
      </c>
      <c r="B1512" s="16">
        <v>28</v>
      </c>
      <c r="C1512" s="16">
        <v>3</v>
      </c>
      <c r="D1512" s="16">
        <v>3</v>
      </c>
      <c r="E1512" s="16" t="s">
        <v>980</v>
      </c>
      <c r="F1512" s="16" t="s">
        <v>1077</v>
      </c>
      <c r="G1512" s="16" t="s">
        <v>184</v>
      </c>
      <c r="H1512" s="16" t="s">
        <v>143</v>
      </c>
      <c r="I1512" s="22" t="s">
        <v>856</v>
      </c>
      <c r="J1512" s="16">
        <f>IFERROR(INDEX(Aux_HH!$J$4:$J$31,MATCH($H1512&amp;"|"&amp;$I1512,Aux_HH!$A$4:$A$31,0)),"")</f>
        <v>2.5</v>
      </c>
      <c r="K1512" s="16" t="s">
        <v>76</v>
      </c>
      <c r="L1512" s="16" t="str">
        <f>IF(COUNTIFS(Pessoas!$C$5:$C$44,$K1512,Pessoas!$G$5:$G$44,"Ativo")=0,"Equipe "&amp;$K1512,INDEX(Pessoas!$A$5:$A$44,_xludf.aggregate(15,6,(ROW(Pessoas!$A$5:$A$44)-4)/((Pessoas!$C$5:$C$44=$K1512)*(Pessoas!$G$5:$G$44="Ativo")),MOD(ROW()-6,MAX(1,COUNTIFS(Pessoas!$C$5:$C$44,$K1512,Pessoas!$G$5:$G$44,"Ativo")))+1)))</f>
        <v>Equipe Oficina Mecânica Central-Taisa</v>
      </c>
    </row>
    <row r="1513" spans="1:12" ht="15" customHeight="1" x14ac:dyDescent="0.4">
      <c r="A1513" s="25">
        <v>46461</v>
      </c>
      <c r="B1513" s="16">
        <v>28</v>
      </c>
      <c r="C1513" s="16">
        <v>3</v>
      </c>
      <c r="D1513" s="16">
        <v>3</v>
      </c>
      <c r="E1513" s="16" t="s">
        <v>980</v>
      </c>
      <c r="F1513" s="16" t="s">
        <v>1078</v>
      </c>
      <c r="G1513" s="16" t="s">
        <v>526</v>
      </c>
      <c r="H1513" s="16" t="s">
        <v>143</v>
      </c>
      <c r="I1513" s="22" t="s">
        <v>856</v>
      </c>
      <c r="J1513" s="16">
        <f>IFERROR(INDEX(Aux_HH!$J$4:$J$31,MATCH($H1513&amp;"|"&amp;$I1513,Aux_HH!$A$4:$A$31,0)),"")</f>
        <v>2.5</v>
      </c>
      <c r="K1513" s="16" t="s">
        <v>76</v>
      </c>
      <c r="L1513" s="16" t="str">
        <f>IF(COUNTIFS(Pessoas!$C$5:$C$44,$K1513,Pessoas!$G$5:$G$44,"Ativo")=0,"Equipe "&amp;$K1513,INDEX(Pessoas!$A$5:$A$44,_xludf.aggregate(15,6,(ROW(Pessoas!$A$5:$A$44)-4)/((Pessoas!$C$5:$C$44=$K1513)*(Pessoas!$G$5:$G$44="Ativo")),MOD(ROW()-6,MAX(1,COUNTIFS(Pessoas!$C$5:$C$44,$K1513,Pessoas!$G$5:$G$44,"Ativo")))+1)))</f>
        <v>Equipe Oficina Mecânica Central-Taisa</v>
      </c>
    </row>
    <row r="1514" spans="1:12" ht="15" customHeight="1" x14ac:dyDescent="0.4">
      <c r="A1514" s="25">
        <v>46461</v>
      </c>
      <c r="B1514" s="16">
        <v>28</v>
      </c>
      <c r="C1514" s="16">
        <v>3</v>
      </c>
      <c r="D1514" s="16">
        <v>3</v>
      </c>
      <c r="E1514" s="16" t="s">
        <v>980</v>
      </c>
      <c r="F1514" s="16" t="s">
        <v>1079</v>
      </c>
      <c r="G1514" s="16" t="s">
        <v>526</v>
      </c>
      <c r="H1514" s="16" t="s">
        <v>143</v>
      </c>
      <c r="I1514" s="22" t="s">
        <v>856</v>
      </c>
      <c r="J1514" s="16">
        <f>IFERROR(INDEX(Aux_HH!$J$4:$J$31,MATCH($H1514&amp;"|"&amp;$I1514,Aux_HH!$A$4:$A$31,0)),"")</f>
        <v>2.5</v>
      </c>
      <c r="K1514" s="16" t="s">
        <v>76</v>
      </c>
      <c r="L1514" s="16" t="str">
        <f>IF(COUNTIFS(Pessoas!$C$5:$C$44,$K1514,Pessoas!$G$5:$G$44,"Ativo")=0,"Equipe "&amp;$K1514,INDEX(Pessoas!$A$5:$A$44,_xludf.aggregate(15,6,(ROW(Pessoas!$A$5:$A$44)-4)/((Pessoas!$C$5:$C$44=$K1514)*(Pessoas!$G$5:$G$44="Ativo")),MOD(ROW()-6,MAX(1,COUNTIFS(Pessoas!$C$5:$C$44,$K1514,Pessoas!$G$5:$G$44,"Ativo")))+1)))</f>
        <v>Equipe Oficina Mecânica Central-Taisa</v>
      </c>
    </row>
    <row r="1515" spans="1:12" ht="15" customHeight="1" x14ac:dyDescent="0.4">
      <c r="A1515" s="25">
        <v>46462</v>
      </c>
      <c r="B1515" s="16">
        <v>29</v>
      </c>
      <c r="C1515" s="16">
        <v>3</v>
      </c>
      <c r="D1515" s="16">
        <v>3</v>
      </c>
      <c r="E1515" s="16" t="s">
        <v>980</v>
      </c>
      <c r="F1515" s="16" t="s">
        <v>1321</v>
      </c>
      <c r="G1515" s="16" t="s">
        <v>158</v>
      </c>
      <c r="H1515" s="16" t="s">
        <v>144</v>
      </c>
      <c r="I1515" s="22" t="s">
        <v>861</v>
      </c>
      <c r="J1515" s="16">
        <f>IFERROR(INDEX(Aux_HH!$J$4:$J$31,MATCH($H1515&amp;"|"&amp;$I1515,Aux_HH!$A$4:$A$31,0)),"")</f>
        <v>3</v>
      </c>
      <c r="K1515" s="16" t="s">
        <v>76</v>
      </c>
      <c r="L1515" s="16" t="str">
        <f>IF(COUNTIFS(Pessoas!$C$5:$C$44,$K1515,Pessoas!$G$5:$G$44,"Ativo")=0,"Equipe "&amp;$K1515,INDEX(Pessoas!$A$5:$A$44,_xludf.aggregate(15,6,(ROW(Pessoas!$A$5:$A$44)-4)/((Pessoas!$C$5:$C$44=$K1515)*(Pessoas!$G$5:$G$44="Ativo")),MOD(ROW()-6,MAX(1,COUNTIFS(Pessoas!$C$5:$C$44,$K1515,Pessoas!$G$5:$G$44,"Ativo")))+1)))</f>
        <v>Equipe Oficina Mecânica Central-Taisa</v>
      </c>
    </row>
    <row r="1516" spans="1:12" ht="15" customHeight="1" x14ac:dyDescent="0.4">
      <c r="A1516" s="25">
        <v>46462</v>
      </c>
      <c r="B1516" s="16">
        <v>29</v>
      </c>
      <c r="C1516" s="16">
        <v>3</v>
      </c>
      <c r="D1516" s="16">
        <v>3</v>
      </c>
      <c r="E1516" s="16" t="s">
        <v>980</v>
      </c>
      <c r="F1516" s="16" t="s">
        <v>1322</v>
      </c>
      <c r="G1516" s="16" t="s">
        <v>158</v>
      </c>
      <c r="H1516" s="16" t="s">
        <v>144</v>
      </c>
      <c r="I1516" s="22" t="s">
        <v>861</v>
      </c>
      <c r="J1516" s="16">
        <f>IFERROR(INDEX(Aux_HH!$J$4:$J$31,MATCH($H1516&amp;"|"&amp;$I1516,Aux_HH!$A$4:$A$31,0)),"")</f>
        <v>3</v>
      </c>
      <c r="K1516" s="16" t="s">
        <v>76</v>
      </c>
      <c r="L1516" s="16" t="str">
        <f>IF(COUNTIFS(Pessoas!$C$5:$C$44,$K1516,Pessoas!$G$5:$G$44,"Ativo")=0,"Equipe "&amp;$K1516,INDEX(Pessoas!$A$5:$A$44,_xludf.aggregate(15,6,(ROW(Pessoas!$A$5:$A$44)-4)/((Pessoas!$C$5:$C$44=$K1516)*(Pessoas!$G$5:$G$44="Ativo")),MOD(ROW()-6,MAX(1,COUNTIFS(Pessoas!$C$5:$C$44,$K1516,Pessoas!$G$5:$G$44,"Ativo")))+1)))</f>
        <v>Equipe Oficina Mecânica Central-Taisa</v>
      </c>
    </row>
    <row r="1517" spans="1:12" ht="15" customHeight="1" x14ac:dyDescent="0.4">
      <c r="A1517" s="25">
        <v>46462</v>
      </c>
      <c r="B1517" s="16">
        <v>29</v>
      </c>
      <c r="C1517" s="16">
        <v>3</v>
      </c>
      <c r="D1517" s="16">
        <v>3</v>
      </c>
      <c r="E1517" s="16" t="s">
        <v>980</v>
      </c>
      <c r="F1517" s="16" t="s">
        <v>1323</v>
      </c>
      <c r="G1517" s="16" t="s">
        <v>158</v>
      </c>
      <c r="H1517" s="16" t="s">
        <v>144</v>
      </c>
      <c r="I1517" s="22" t="s">
        <v>861</v>
      </c>
      <c r="J1517" s="16">
        <f>IFERROR(INDEX(Aux_HH!$J$4:$J$31,MATCH($H1517&amp;"|"&amp;$I1517,Aux_HH!$A$4:$A$31,0)),"")</f>
        <v>3</v>
      </c>
      <c r="K1517" s="16" t="s">
        <v>76</v>
      </c>
      <c r="L1517" s="16" t="str">
        <f>IF(COUNTIFS(Pessoas!$C$5:$C$44,$K1517,Pessoas!$G$5:$G$44,"Ativo")=0,"Equipe "&amp;$K1517,INDEX(Pessoas!$A$5:$A$44,_xludf.aggregate(15,6,(ROW(Pessoas!$A$5:$A$44)-4)/((Pessoas!$C$5:$C$44=$K1517)*(Pessoas!$G$5:$G$44="Ativo")),MOD(ROW()-6,MAX(1,COUNTIFS(Pessoas!$C$5:$C$44,$K1517,Pessoas!$G$5:$G$44,"Ativo")))+1)))</f>
        <v>Equipe Oficina Mecânica Central-Taisa</v>
      </c>
    </row>
    <row r="1518" spans="1:12" ht="15" customHeight="1" x14ac:dyDescent="0.4">
      <c r="A1518" s="25">
        <v>46462</v>
      </c>
      <c r="B1518" s="16">
        <v>29</v>
      </c>
      <c r="C1518" s="16">
        <v>3</v>
      </c>
      <c r="D1518" s="16">
        <v>3</v>
      </c>
      <c r="E1518" s="16" t="s">
        <v>980</v>
      </c>
      <c r="F1518" s="16" t="s">
        <v>1324</v>
      </c>
      <c r="G1518" s="16" t="s">
        <v>158</v>
      </c>
      <c r="H1518" s="16" t="s">
        <v>144</v>
      </c>
      <c r="I1518" s="22" t="s">
        <v>861</v>
      </c>
      <c r="J1518" s="16">
        <f>IFERROR(INDEX(Aux_HH!$J$4:$J$31,MATCH($H1518&amp;"|"&amp;$I1518,Aux_HH!$A$4:$A$31,0)),"")</f>
        <v>3</v>
      </c>
      <c r="K1518" s="16" t="s">
        <v>76</v>
      </c>
      <c r="L1518" s="16" t="str">
        <f>IF(COUNTIFS(Pessoas!$C$5:$C$44,$K1518,Pessoas!$G$5:$G$44,"Ativo")=0,"Equipe "&amp;$K1518,INDEX(Pessoas!$A$5:$A$44,_xludf.aggregate(15,6,(ROW(Pessoas!$A$5:$A$44)-4)/((Pessoas!$C$5:$C$44=$K1518)*(Pessoas!$G$5:$G$44="Ativo")),MOD(ROW()-6,MAX(1,COUNTIFS(Pessoas!$C$5:$C$44,$K1518,Pessoas!$G$5:$G$44,"Ativo")))+1)))</f>
        <v>Equipe Oficina Mecânica Central-Taisa</v>
      </c>
    </row>
    <row r="1519" spans="1:12" ht="15" customHeight="1" x14ac:dyDescent="0.4">
      <c r="A1519" s="25">
        <v>46462</v>
      </c>
      <c r="B1519" s="16">
        <v>29</v>
      </c>
      <c r="C1519" s="16">
        <v>3</v>
      </c>
      <c r="D1519" s="16">
        <v>3</v>
      </c>
      <c r="E1519" s="16" t="s">
        <v>980</v>
      </c>
      <c r="F1519" s="16" t="s">
        <v>1325</v>
      </c>
      <c r="G1519" s="16" t="s">
        <v>158</v>
      </c>
      <c r="H1519" s="16" t="s">
        <v>144</v>
      </c>
      <c r="I1519" s="22" t="s">
        <v>861</v>
      </c>
      <c r="J1519" s="16">
        <f>IFERROR(INDEX(Aux_HH!$J$4:$J$31,MATCH($H1519&amp;"|"&amp;$I1519,Aux_HH!$A$4:$A$31,0)),"")</f>
        <v>3</v>
      </c>
      <c r="K1519" s="16" t="s">
        <v>76</v>
      </c>
      <c r="L1519" s="16" t="str">
        <f>IF(COUNTIFS(Pessoas!$C$5:$C$44,$K1519,Pessoas!$G$5:$G$44,"Ativo")=0,"Equipe "&amp;$K1519,INDEX(Pessoas!$A$5:$A$44,_xludf.aggregate(15,6,(ROW(Pessoas!$A$5:$A$44)-4)/((Pessoas!$C$5:$C$44=$K1519)*(Pessoas!$G$5:$G$44="Ativo")),MOD(ROW()-6,MAX(1,COUNTIFS(Pessoas!$C$5:$C$44,$K1519,Pessoas!$G$5:$G$44,"Ativo")))+1)))</f>
        <v>Equipe Oficina Mecânica Central-Taisa</v>
      </c>
    </row>
    <row r="1520" spans="1:12" ht="15" customHeight="1" x14ac:dyDescent="0.4">
      <c r="A1520" s="25">
        <v>46462</v>
      </c>
      <c r="B1520" s="16">
        <v>29</v>
      </c>
      <c r="C1520" s="16">
        <v>3</v>
      </c>
      <c r="D1520" s="16">
        <v>3</v>
      </c>
      <c r="E1520" s="16" t="s">
        <v>980</v>
      </c>
      <c r="F1520" s="16" t="s">
        <v>1326</v>
      </c>
      <c r="G1520" s="16" t="s">
        <v>158</v>
      </c>
      <c r="H1520" s="16" t="s">
        <v>144</v>
      </c>
      <c r="I1520" s="22" t="s">
        <v>861</v>
      </c>
      <c r="J1520" s="16">
        <f>IFERROR(INDEX(Aux_HH!$J$4:$J$31,MATCH($H1520&amp;"|"&amp;$I1520,Aux_HH!$A$4:$A$31,0)),"")</f>
        <v>3</v>
      </c>
      <c r="K1520" s="16" t="s">
        <v>76</v>
      </c>
      <c r="L1520" s="16" t="str">
        <f>IF(COUNTIFS(Pessoas!$C$5:$C$44,$K1520,Pessoas!$G$5:$G$44,"Ativo")=0,"Equipe "&amp;$K1520,INDEX(Pessoas!$A$5:$A$44,_xludf.aggregate(15,6,(ROW(Pessoas!$A$5:$A$44)-4)/((Pessoas!$C$5:$C$44=$K1520)*(Pessoas!$G$5:$G$44="Ativo")),MOD(ROW()-6,MAX(1,COUNTIFS(Pessoas!$C$5:$C$44,$K1520,Pessoas!$G$5:$G$44,"Ativo")))+1)))</f>
        <v>Equipe Oficina Mecânica Central-Taisa</v>
      </c>
    </row>
    <row r="1521" spans="1:12" ht="15" customHeight="1" x14ac:dyDescent="0.4">
      <c r="A1521" s="25">
        <v>46462</v>
      </c>
      <c r="B1521" s="16">
        <v>29</v>
      </c>
      <c r="C1521" s="16">
        <v>3</v>
      </c>
      <c r="D1521" s="16">
        <v>3</v>
      </c>
      <c r="E1521" s="16" t="s">
        <v>980</v>
      </c>
      <c r="F1521" s="16" t="s">
        <v>1327</v>
      </c>
      <c r="G1521" s="16" t="s">
        <v>158</v>
      </c>
      <c r="H1521" s="16" t="s">
        <v>144</v>
      </c>
      <c r="I1521" s="22" t="s">
        <v>861</v>
      </c>
      <c r="J1521" s="16">
        <f>IFERROR(INDEX(Aux_HH!$J$4:$J$31,MATCH($H1521&amp;"|"&amp;$I1521,Aux_HH!$A$4:$A$31,0)),"")</f>
        <v>3</v>
      </c>
      <c r="K1521" s="16" t="s">
        <v>76</v>
      </c>
      <c r="L1521" s="16" t="str">
        <f>IF(COUNTIFS(Pessoas!$C$5:$C$44,$K1521,Pessoas!$G$5:$G$44,"Ativo")=0,"Equipe "&amp;$K1521,INDEX(Pessoas!$A$5:$A$44,_xludf.aggregate(15,6,(ROW(Pessoas!$A$5:$A$44)-4)/((Pessoas!$C$5:$C$44=$K1521)*(Pessoas!$G$5:$G$44="Ativo")),MOD(ROW()-6,MAX(1,COUNTIFS(Pessoas!$C$5:$C$44,$K1521,Pessoas!$G$5:$G$44,"Ativo")))+1)))</f>
        <v>Equipe Oficina Mecânica Central-Taisa</v>
      </c>
    </row>
    <row r="1522" spans="1:12" ht="15" customHeight="1" x14ac:dyDescent="0.4">
      <c r="A1522" s="25">
        <v>46462</v>
      </c>
      <c r="B1522" s="16">
        <v>29</v>
      </c>
      <c r="C1522" s="16">
        <v>3</v>
      </c>
      <c r="D1522" s="16">
        <v>3</v>
      </c>
      <c r="E1522" s="16" t="s">
        <v>980</v>
      </c>
      <c r="F1522" s="16" t="s">
        <v>1328</v>
      </c>
      <c r="G1522" s="16" t="s">
        <v>158</v>
      </c>
      <c r="H1522" s="16" t="s">
        <v>144</v>
      </c>
      <c r="I1522" s="22" t="s">
        <v>861</v>
      </c>
      <c r="J1522" s="16">
        <f>IFERROR(INDEX(Aux_HH!$J$4:$J$31,MATCH($H1522&amp;"|"&amp;$I1522,Aux_HH!$A$4:$A$31,0)),"")</f>
        <v>3</v>
      </c>
      <c r="K1522" s="16" t="s">
        <v>76</v>
      </c>
      <c r="L1522" s="16" t="str">
        <f>IF(COUNTIFS(Pessoas!$C$5:$C$44,$K1522,Pessoas!$G$5:$G$44,"Ativo")=0,"Equipe "&amp;$K1522,INDEX(Pessoas!$A$5:$A$44,_xludf.aggregate(15,6,(ROW(Pessoas!$A$5:$A$44)-4)/((Pessoas!$C$5:$C$44=$K1522)*(Pessoas!$G$5:$G$44="Ativo")),MOD(ROW()-6,MAX(1,COUNTIFS(Pessoas!$C$5:$C$44,$K1522,Pessoas!$G$5:$G$44,"Ativo")))+1)))</f>
        <v>Equipe Oficina Mecânica Central-Taisa</v>
      </c>
    </row>
    <row r="1523" spans="1:12" ht="15" customHeight="1" x14ac:dyDescent="0.4">
      <c r="A1523" s="25">
        <v>46462</v>
      </c>
      <c r="B1523" s="16">
        <v>29</v>
      </c>
      <c r="C1523" s="16">
        <v>3</v>
      </c>
      <c r="D1523" s="16">
        <v>3</v>
      </c>
      <c r="E1523" s="16" t="s">
        <v>980</v>
      </c>
      <c r="F1523" s="16" t="s">
        <v>1329</v>
      </c>
      <c r="G1523" s="16" t="s">
        <v>158</v>
      </c>
      <c r="H1523" s="16" t="s">
        <v>144</v>
      </c>
      <c r="I1523" s="22" t="s">
        <v>861</v>
      </c>
      <c r="J1523" s="16">
        <f>IFERROR(INDEX(Aux_HH!$J$4:$J$31,MATCH($H1523&amp;"|"&amp;$I1523,Aux_HH!$A$4:$A$31,0)),"")</f>
        <v>3</v>
      </c>
      <c r="K1523" s="16" t="s">
        <v>76</v>
      </c>
      <c r="L1523" s="16" t="str">
        <f>IF(COUNTIFS(Pessoas!$C$5:$C$44,$K1523,Pessoas!$G$5:$G$44,"Ativo")=0,"Equipe "&amp;$K1523,INDEX(Pessoas!$A$5:$A$44,_xludf.aggregate(15,6,(ROW(Pessoas!$A$5:$A$44)-4)/((Pessoas!$C$5:$C$44=$K1523)*(Pessoas!$G$5:$G$44="Ativo")),MOD(ROW()-6,MAX(1,COUNTIFS(Pessoas!$C$5:$C$44,$K1523,Pessoas!$G$5:$G$44,"Ativo")))+1)))</f>
        <v>Equipe Oficina Mecânica Central-Taisa</v>
      </c>
    </row>
    <row r="1524" spans="1:12" ht="15" customHeight="1" x14ac:dyDescent="0.4">
      <c r="A1524" s="25">
        <v>46462</v>
      </c>
      <c r="B1524" s="16">
        <v>29</v>
      </c>
      <c r="C1524" s="16">
        <v>3</v>
      </c>
      <c r="D1524" s="16">
        <v>3</v>
      </c>
      <c r="E1524" s="16" t="s">
        <v>980</v>
      </c>
      <c r="F1524" s="16" t="s">
        <v>1330</v>
      </c>
      <c r="G1524" s="16" t="s">
        <v>158</v>
      </c>
      <c r="H1524" s="16" t="s">
        <v>144</v>
      </c>
      <c r="I1524" s="22" t="s">
        <v>861</v>
      </c>
      <c r="J1524" s="16">
        <f>IFERROR(INDEX(Aux_HH!$J$4:$J$31,MATCH($H1524&amp;"|"&amp;$I1524,Aux_HH!$A$4:$A$31,0)),"")</f>
        <v>3</v>
      </c>
      <c r="K1524" s="16" t="s">
        <v>76</v>
      </c>
      <c r="L1524" s="16" t="str">
        <f>IF(COUNTIFS(Pessoas!$C$5:$C$44,$K1524,Pessoas!$G$5:$G$44,"Ativo")=0,"Equipe "&amp;$K1524,INDEX(Pessoas!$A$5:$A$44,_xludf.aggregate(15,6,(ROW(Pessoas!$A$5:$A$44)-4)/((Pessoas!$C$5:$C$44=$K1524)*(Pessoas!$G$5:$G$44="Ativo")),MOD(ROW()-6,MAX(1,COUNTIFS(Pessoas!$C$5:$C$44,$K1524,Pessoas!$G$5:$G$44,"Ativo")))+1)))</f>
        <v>Equipe Oficina Mecânica Central-Taisa</v>
      </c>
    </row>
    <row r="1525" spans="1:12" ht="15" customHeight="1" x14ac:dyDescent="0.4">
      <c r="A1525" s="25">
        <v>46463</v>
      </c>
      <c r="B1525" s="16">
        <v>29</v>
      </c>
      <c r="C1525" s="16">
        <v>3</v>
      </c>
      <c r="D1525" s="16">
        <v>3</v>
      </c>
      <c r="E1525" s="16" t="s">
        <v>980</v>
      </c>
      <c r="F1525" s="16" t="s">
        <v>1331</v>
      </c>
      <c r="G1525" s="16" t="s">
        <v>158</v>
      </c>
      <c r="H1525" s="16" t="s">
        <v>144</v>
      </c>
      <c r="I1525" s="22" t="s">
        <v>861</v>
      </c>
      <c r="J1525" s="16">
        <f>IFERROR(INDEX(Aux_HH!$J$4:$J$31,MATCH($H1525&amp;"|"&amp;$I1525,Aux_HH!$A$4:$A$31,0)),"")</f>
        <v>3</v>
      </c>
      <c r="K1525" s="16" t="s">
        <v>76</v>
      </c>
      <c r="L1525" s="16" t="str">
        <f>IF(COUNTIFS(Pessoas!$C$5:$C$44,$K1525,Pessoas!$G$5:$G$44,"Ativo")=0,"Equipe "&amp;$K1525,INDEX(Pessoas!$A$5:$A$44,_xludf.aggregate(15,6,(ROW(Pessoas!$A$5:$A$44)-4)/((Pessoas!$C$5:$C$44=$K1525)*(Pessoas!$G$5:$G$44="Ativo")),MOD(ROW()-6,MAX(1,COUNTIFS(Pessoas!$C$5:$C$44,$K1525,Pessoas!$G$5:$G$44,"Ativo")))+1)))</f>
        <v>Equipe Oficina Mecânica Central-Taisa</v>
      </c>
    </row>
    <row r="1526" spans="1:12" ht="15" customHeight="1" x14ac:dyDescent="0.4">
      <c r="A1526" s="25">
        <v>46463</v>
      </c>
      <c r="B1526" s="16">
        <v>29</v>
      </c>
      <c r="C1526" s="16">
        <v>3</v>
      </c>
      <c r="D1526" s="16">
        <v>3</v>
      </c>
      <c r="E1526" s="16" t="s">
        <v>980</v>
      </c>
      <c r="F1526" s="16" t="s">
        <v>1332</v>
      </c>
      <c r="G1526" s="16" t="s">
        <v>158</v>
      </c>
      <c r="H1526" s="16" t="s">
        <v>144</v>
      </c>
      <c r="I1526" s="22" t="s">
        <v>861</v>
      </c>
      <c r="J1526" s="16">
        <f>IFERROR(INDEX(Aux_HH!$J$4:$J$31,MATCH($H1526&amp;"|"&amp;$I1526,Aux_HH!$A$4:$A$31,0)),"")</f>
        <v>3</v>
      </c>
      <c r="K1526" s="16" t="s">
        <v>76</v>
      </c>
      <c r="L1526" s="16" t="str">
        <f>IF(COUNTIFS(Pessoas!$C$5:$C$44,$K1526,Pessoas!$G$5:$G$44,"Ativo")=0,"Equipe "&amp;$K1526,INDEX(Pessoas!$A$5:$A$44,_xludf.aggregate(15,6,(ROW(Pessoas!$A$5:$A$44)-4)/((Pessoas!$C$5:$C$44=$K1526)*(Pessoas!$G$5:$G$44="Ativo")),MOD(ROW()-6,MAX(1,COUNTIFS(Pessoas!$C$5:$C$44,$K1526,Pessoas!$G$5:$G$44,"Ativo")))+1)))</f>
        <v>Equipe Oficina Mecânica Central-Taisa</v>
      </c>
    </row>
    <row r="1527" spans="1:12" ht="15" customHeight="1" x14ac:dyDescent="0.4">
      <c r="A1527" s="25">
        <v>46463</v>
      </c>
      <c r="B1527" s="16">
        <v>29</v>
      </c>
      <c r="C1527" s="16">
        <v>3</v>
      </c>
      <c r="D1527" s="16">
        <v>3</v>
      </c>
      <c r="E1527" s="16" t="s">
        <v>980</v>
      </c>
      <c r="F1527" s="16" t="s">
        <v>1333</v>
      </c>
      <c r="G1527" s="16" t="s">
        <v>158</v>
      </c>
      <c r="H1527" s="16" t="s">
        <v>144</v>
      </c>
      <c r="I1527" s="22" t="s">
        <v>861</v>
      </c>
      <c r="J1527" s="16">
        <f>IFERROR(INDEX(Aux_HH!$J$4:$J$31,MATCH($H1527&amp;"|"&amp;$I1527,Aux_HH!$A$4:$A$31,0)),"")</f>
        <v>3</v>
      </c>
      <c r="K1527" s="16" t="s">
        <v>76</v>
      </c>
      <c r="L1527" s="16" t="str">
        <f>IF(COUNTIFS(Pessoas!$C$5:$C$44,$K1527,Pessoas!$G$5:$G$44,"Ativo")=0,"Equipe "&amp;$K1527,INDEX(Pessoas!$A$5:$A$44,_xludf.aggregate(15,6,(ROW(Pessoas!$A$5:$A$44)-4)/((Pessoas!$C$5:$C$44=$K1527)*(Pessoas!$G$5:$G$44="Ativo")),MOD(ROW()-6,MAX(1,COUNTIFS(Pessoas!$C$5:$C$44,$K1527,Pessoas!$G$5:$G$44,"Ativo")))+1)))</f>
        <v>Equipe Oficina Mecânica Central-Taisa</v>
      </c>
    </row>
    <row r="1528" spans="1:12" ht="15" customHeight="1" x14ac:dyDescent="0.4">
      <c r="A1528" s="25">
        <v>46463</v>
      </c>
      <c r="B1528" s="16">
        <v>29</v>
      </c>
      <c r="C1528" s="16">
        <v>3</v>
      </c>
      <c r="D1528" s="16">
        <v>3</v>
      </c>
      <c r="E1528" s="16" t="s">
        <v>980</v>
      </c>
      <c r="F1528" s="16" t="s">
        <v>1334</v>
      </c>
      <c r="G1528" s="16" t="s">
        <v>158</v>
      </c>
      <c r="H1528" s="16" t="s">
        <v>144</v>
      </c>
      <c r="I1528" s="22" t="s">
        <v>861</v>
      </c>
      <c r="J1528" s="16">
        <f>IFERROR(INDEX(Aux_HH!$J$4:$J$31,MATCH($H1528&amp;"|"&amp;$I1528,Aux_HH!$A$4:$A$31,0)),"")</f>
        <v>3</v>
      </c>
      <c r="K1528" s="16" t="s">
        <v>76</v>
      </c>
      <c r="L1528" s="16" t="str">
        <f>IF(COUNTIFS(Pessoas!$C$5:$C$44,$K1528,Pessoas!$G$5:$G$44,"Ativo")=0,"Equipe "&amp;$K1528,INDEX(Pessoas!$A$5:$A$44,_xludf.aggregate(15,6,(ROW(Pessoas!$A$5:$A$44)-4)/((Pessoas!$C$5:$C$44=$K1528)*(Pessoas!$G$5:$G$44="Ativo")),MOD(ROW()-6,MAX(1,COUNTIFS(Pessoas!$C$5:$C$44,$K1528,Pessoas!$G$5:$G$44,"Ativo")))+1)))</f>
        <v>Equipe Oficina Mecânica Central-Taisa</v>
      </c>
    </row>
    <row r="1529" spans="1:12" ht="15" customHeight="1" x14ac:dyDescent="0.4">
      <c r="A1529" s="25">
        <v>46463</v>
      </c>
      <c r="B1529" s="16">
        <v>29</v>
      </c>
      <c r="C1529" s="16">
        <v>3</v>
      </c>
      <c r="D1529" s="16">
        <v>3</v>
      </c>
      <c r="E1529" s="16" t="s">
        <v>980</v>
      </c>
      <c r="F1529" s="16" t="s">
        <v>1335</v>
      </c>
      <c r="G1529" s="16" t="s">
        <v>448</v>
      </c>
      <c r="H1529" s="16" t="s">
        <v>144</v>
      </c>
      <c r="I1529" s="22" t="s">
        <v>861</v>
      </c>
      <c r="J1529" s="16">
        <f>IFERROR(INDEX(Aux_HH!$J$4:$J$31,MATCH($H1529&amp;"|"&amp;$I1529,Aux_HH!$A$4:$A$31,0)),"")</f>
        <v>3</v>
      </c>
      <c r="K1529" s="16" t="s">
        <v>76</v>
      </c>
      <c r="L1529" s="16" t="str">
        <f>IF(COUNTIFS(Pessoas!$C$5:$C$44,$K1529,Pessoas!$G$5:$G$44,"Ativo")=0,"Equipe "&amp;$K1529,INDEX(Pessoas!$A$5:$A$44,_xludf.aggregate(15,6,(ROW(Pessoas!$A$5:$A$44)-4)/((Pessoas!$C$5:$C$44=$K1529)*(Pessoas!$G$5:$G$44="Ativo")),MOD(ROW()-6,MAX(1,COUNTIFS(Pessoas!$C$5:$C$44,$K1529,Pessoas!$G$5:$G$44,"Ativo")))+1)))</f>
        <v>Equipe Oficina Mecânica Central-Taisa</v>
      </c>
    </row>
    <row r="1530" spans="1:12" ht="15" customHeight="1" x14ac:dyDescent="0.4">
      <c r="A1530" s="25">
        <v>46463</v>
      </c>
      <c r="B1530" s="16">
        <v>29</v>
      </c>
      <c r="C1530" s="16">
        <v>3</v>
      </c>
      <c r="D1530" s="16">
        <v>3</v>
      </c>
      <c r="E1530" s="16" t="s">
        <v>980</v>
      </c>
      <c r="F1530" s="16" t="s">
        <v>1336</v>
      </c>
      <c r="G1530" s="16" t="s">
        <v>158</v>
      </c>
      <c r="H1530" s="16" t="s">
        <v>144</v>
      </c>
      <c r="I1530" s="22" t="s">
        <v>861</v>
      </c>
      <c r="J1530" s="16">
        <f>IFERROR(INDEX(Aux_HH!$J$4:$J$31,MATCH($H1530&amp;"|"&amp;$I1530,Aux_HH!$A$4:$A$31,0)),"")</f>
        <v>3</v>
      </c>
      <c r="K1530" s="16" t="s">
        <v>76</v>
      </c>
      <c r="L1530" s="16" t="str">
        <f>IF(COUNTIFS(Pessoas!$C$5:$C$44,$K1530,Pessoas!$G$5:$G$44,"Ativo")=0,"Equipe "&amp;$K1530,INDEX(Pessoas!$A$5:$A$44,_xludf.aggregate(15,6,(ROW(Pessoas!$A$5:$A$44)-4)/((Pessoas!$C$5:$C$44=$K1530)*(Pessoas!$G$5:$G$44="Ativo")),MOD(ROW()-6,MAX(1,COUNTIFS(Pessoas!$C$5:$C$44,$K1530,Pessoas!$G$5:$G$44,"Ativo")))+1)))</f>
        <v>Equipe Oficina Mecânica Central-Taisa</v>
      </c>
    </row>
    <row r="1531" spans="1:12" ht="15" customHeight="1" x14ac:dyDescent="0.4">
      <c r="A1531" s="25">
        <v>46463</v>
      </c>
      <c r="B1531" s="16">
        <v>29</v>
      </c>
      <c r="C1531" s="16">
        <v>3</v>
      </c>
      <c r="D1531" s="16">
        <v>3</v>
      </c>
      <c r="E1531" s="16" t="s">
        <v>980</v>
      </c>
      <c r="F1531" s="16" t="s">
        <v>1337</v>
      </c>
      <c r="G1531" s="16" t="s">
        <v>158</v>
      </c>
      <c r="H1531" s="16" t="s">
        <v>144</v>
      </c>
      <c r="I1531" s="22" t="s">
        <v>861</v>
      </c>
      <c r="J1531" s="16">
        <f>IFERROR(INDEX(Aux_HH!$J$4:$J$31,MATCH($H1531&amp;"|"&amp;$I1531,Aux_HH!$A$4:$A$31,0)),"")</f>
        <v>3</v>
      </c>
      <c r="K1531" s="16" t="s">
        <v>76</v>
      </c>
      <c r="L1531" s="16" t="str">
        <f>IF(COUNTIFS(Pessoas!$C$5:$C$44,$K1531,Pessoas!$G$5:$G$44,"Ativo")=0,"Equipe "&amp;$K1531,INDEX(Pessoas!$A$5:$A$44,_xludf.aggregate(15,6,(ROW(Pessoas!$A$5:$A$44)-4)/((Pessoas!$C$5:$C$44=$K1531)*(Pessoas!$G$5:$G$44="Ativo")),MOD(ROW()-6,MAX(1,COUNTIFS(Pessoas!$C$5:$C$44,$K1531,Pessoas!$G$5:$G$44,"Ativo")))+1)))</f>
        <v>Equipe Oficina Mecânica Central-Taisa</v>
      </c>
    </row>
    <row r="1532" spans="1:12" ht="15" customHeight="1" x14ac:dyDescent="0.4">
      <c r="A1532" s="25">
        <v>46463</v>
      </c>
      <c r="B1532" s="16">
        <v>29</v>
      </c>
      <c r="C1532" s="16">
        <v>3</v>
      </c>
      <c r="D1532" s="16">
        <v>3</v>
      </c>
      <c r="E1532" s="16" t="s">
        <v>980</v>
      </c>
      <c r="F1532" s="16" t="s">
        <v>1338</v>
      </c>
      <c r="G1532" s="16" t="s">
        <v>158</v>
      </c>
      <c r="H1532" s="16" t="s">
        <v>144</v>
      </c>
      <c r="I1532" s="22" t="s">
        <v>861</v>
      </c>
      <c r="J1532" s="16">
        <f>IFERROR(INDEX(Aux_HH!$J$4:$J$31,MATCH($H1532&amp;"|"&amp;$I1532,Aux_HH!$A$4:$A$31,0)),"")</f>
        <v>3</v>
      </c>
      <c r="K1532" s="16" t="s">
        <v>76</v>
      </c>
      <c r="L1532" s="16" t="str">
        <f>IF(COUNTIFS(Pessoas!$C$5:$C$44,$K1532,Pessoas!$G$5:$G$44,"Ativo")=0,"Equipe "&amp;$K1532,INDEX(Pessoas!$A$5:$A$44,_xludf.aggregate(15,6,(ROW(Pessoas!$A$5:$A$44)-4)/((Pessoas!$C$5:$C$44=$K1532)*(Pessoas!$G$5:$G$44="Ativo")),MOD(ROW()-6,MAX(1,COUNTIFS(Pessoas!$C$5:$C$44,$K1532,Pessoas!$G$5:$G$44,"Ativo")))+1)))</f>
        <v>Equipe Oficina Mecânica Central-Taisa</v>
      </c>
    </row>
    <row r="1533" spans="1:12" ht="15" customHeight="1" x14ac:dyDescent="0.4">
      <c r="A1533" s="25">
        <v>46463</v>
      </c>
      <c r="B1533" s="16">
        <v>29</v>
      </c>
      <c r="C1533" s="16">
        <v>3</v>
      </c>
      <c r="D1533" s="16">
        <v>3</v>
      </c>
      <c r="E1533" s="16" t="s">
        <v>980</v>
      </c>
      <c r="F1533" s="16" t="s">
        <v>1339</v>
      </c>
      <c r="G1533" s="16" t="s">
        <v>158</v>
      </c>
      <c r="H1533" s="16" t="s">
        <v>144</v>
      </c>
      <c r="I1533" s="22" t="s">
        <v>861</v>
      </c>
      <c r="J1533" s="16">
        <f>IFERROR(INDEX(Aux_HH!$J$4:$J$31,MATCH($H1533&amp;"|"&amp;$I1533,Aux_HH!$A$4:$A$31,0)),"")</f>
        <v>3</v>
      </c>
      <c r="K1533" s="16" t="s">
        <v>76</v>
      </c>
      <c r="L1533" s="16" t="str">
        <f>IF(COUNTIFS(Pessoas!$C$5:$C$44,$K1533,Pessoas!$G$5:$G$44,"Ativo")=0,"Equipe "&amp;$K1533,INDEX(Pessoas!$A$5:$A$44,_xludf.aggregate(15,6,(ROW(Pessoas!$A$5:$A$44)-4)/((Pessoas!$C$5:$C$44=$K1533)*(Pessoas!$G$5:$G$44="Ativo")),MOD(ROW()-6,MAX(1,COUNTIFS(Pessoas!$C$5:$C$44,$K1533,Pessoas!$G$5:$G$44,"Ativo")))+1)))</f>
        <v>Equipe Oficina Mecânica Central-Taisa</v>
      </c>
    </row>
    <row r="1534" spans="1:12" ht="15" customHeight="1" x14ac:dyDescent="0.4">
      <c r="A1534" s="25">
        <v>46463</v>
      </c>
      <c r="B1534" s="16">
        <v>29</v>
      </c>
      <c r="C1534" s="16">
        <v>3</v>
      </c>
      <c r="D1534" s="16">
        <v>3</v>
      </c>
      <c r="E1534" s="16" t="s">
        <v>980</v>
      </c>
      <c r="F1534" s="16" t="s">
        <v>1340</v>
      </c>
      <c r="G1534" s="16" t="s">
        <v>158</v>
      </c>
      <c r="H1534" s="16" t="s">
        <v>144</v>
      </c>
      <c r="I1534" s="22" t="s">
        <v>861</v>
      </c>
      <c r="J1534" s="16">
        <f>IFERROR(INDEX(Aux_HH!$J$4:$J$31,MATCH($H1534&amp;"|"&amp;$I1534,Aux_HH!$A$4:$A$31,0)),"")</f>
        <v>3</v>
      </c>
      <c r="K1534" s="16" t="s">
        <v>76</v>
      </c>
      <c r="L1534" s="16" t="str">
        <f>IF(COUNTIFS(Pessoas!$C$5:$C$44,$K1534,Pessoas!$G$5:$G$44,"Ativo")=0,"Equipe "&amp;$K1534,INDEX(Pessoas!$A$5:$A$44,_xludf.aggregate(15,6,(ROW(Pessoas!$A$5:$A$44)-4)/((Pessoas!$C$5:$C$44=$K1534)*(Pessoas!$G$5:$G$44="Ativo")),MOD(ROW()-6,MAX(1,COUNTIFS(Pessoas!$C$5:$C$44,$K1534,Pessoas!$G$5:$G$44,"Ativo")))+1)))</f>
        <v>Equipe Oficina Mecânica Central-Taisa</v>
      </c>
    </row>
    <row r="1535" spans="1:12" ht="15" customHeight="1" x14ac:dyDescent="0.4">
      <c r="A1535" s="25">
        <v>46464</v>
      </c>
      <c r="B1535" s="16">
        <v>29</v>
      </c>
      <c r="C1535" s="16">
        <v>3</v>
      </c>
      <c r="D1535" s="16">
        <v>3</v>
      </c>
      <c r="E1535" s="16" t="s">
        <v>980</v>
      </c>
      <c r="F1535" s="16" t="s">
        <v>1341</v>
      </c>
      <c r="G1535" s="16" t="s">
        <v>158</v>
      </c>
      <c r="H1535" s="16" t="s">
        <v>144</v>
      </c>
      <c r="I1535" s="22" t="s">
        <v>861</v>
      </c>
      <c r="J1535" s="16">
        <f>IFERROR(INDEX(Aux_HH!$J$4:$J$31,MATCH($H1535&amp;"|"&amp;$I1535,Aux_HH!$A$4:$A$31,0)),"")</f>
        <v>3</v>
      </c>
      <c r="K1535" s="16" t="s">
        <v>76</v>
      </c>
      <c r="L1535" s="16" t="str">
        <f>IF(COUNTIFS(Pessoas!$C$5:$C$44,$K1535,Pessoas!$G$5:$G$44,"Ativo")=0,"Equipe "&amp;$K1535,INDEX(Pessoas!$A$5:$A$44,_xludf.aggregate(15,6,(ROW(Pessoas!$A$5:$A$44)-4)/((Pessoas!$C$5:$C$44=$K1535)*(Pessoas!$G$5:$G$44="Ativo")),MOD(ROW()-6,MAX(1,COUNTIFS(Pessoas!$C$5:$C$44,$K1535,Pessoas!$G$5:$G$44,"Ativo")))+1)))</f>
        <v>Equipe Oficina Mecânica Central-Taisa</v>
      </c>
    </row>
    <row r="1536" spans="1:12" ht="15" customHeight="1" x14ac:dyDescent="0.4">
      <c r="A1536" s="25">
        <v>46464</v>
      </c>
      <c r="B1536" s="16">
        <v>29</v>
      </c>
      <c r="C1536" s="16">
        <v>3</v>
      </c>
      <c r="D1536" s="16">
        <v>3</v>
      </c>
      <c r="E1536" s="16" t="s">
        <v>980</v>
      </c>
      <c r="F1536" s="16" t="s">
        <v>1342</v>
      </c>
      <c r="G1536" s="16" t="s">
        <v>158</v>
      </c>
      <c r="H1536" s="16" t="s">
        <v>144</v>
      </c>
      <c r="I1536" s="22" t="s">
        <v>861</v>
      </c>
      <c r="J1536" s="16">
        <f>IFERROR(INDEX(Aux_HH!$J$4:$J$31,MATCH($H1536&amp;"|"&amp;$I1536,Aux_HH!$A$4:$A$31,0)),"")</f>
        <v>3</v>
      </c>
      <c r="K1536" s="16" t="s">
        <v>76</v>
      </c>
      <c r="L1536" s="16" t="str">
        <f>IF(COUNTIFS(Pessoas!$C$5:$C$44,$K1536,Pessoas!$G$5:$G$44,"Ativo")=0,"Equipe "&amp;$K1536,INDEX(Pessoas!$A$5:$A$44,_xludf.aggregate(15,6,(ROW(Pessoas!$A$5:$A$44)-4)/((Pessoas!$C$5:$C$44=$K1536)*(Pessoas!$G$5:$G$44="Ativo")),MOD(ROW()-6,MAX(1,COUNTIFS(Pessoas!$C$5:$C$44,$K1536,Pessoas!$G$5:$G$44,"Ativo")))+1)))</f>
        <v>Equipe Oficina Mecânica Central-Taisa</v>
      </c>
    </row>
    <row r="1537" spans="1:12" ht="15" customHeight="1" x14ac:dyDescent="0.4">
      <c r="A1537" s="25">
        <v>46464</v>
      </c>
      <c r="B1537" s="16">
        <v>29</v>
      </c>
      <c r="C1537" s="16">
        <v>3</v>
      </c>
      <c r="D1537" s="16">
        <v>3</v>
      </c>
      <c r="E1537" s="16" t="s">
        <v>980</v>
      </c>
      <c r="F1537" s="16" t="s">
        <v>1343</v>
      </c>
      <c r="G1537" s="16" t="s">
        <v>158</v>
      </c>
      <c r="H1537" s="16" t="s">
        <v>144</v>
      </c>
      <c r="I1537" s="22" t="s">
        <v>861</v>
      </c>
      <c r="J1537" s="16">
        <f>IFERROR(INDEX(Aux_HH!$J$4:$J$31,MATCH($H1537&amp;"|"&amp;$I1537,Aux_HH!$A$4:$A$31,0)),"")</f>
        <v>3</v>
      </c>
      <c r="K1537" s="16" t="s">
        <v>76</v>
      </c>
      <c r="L1537" s="16" t="str">
        <f>IF(COUNTIFS(Pessoas!$C$5:$C$44,$K1537,Pessoas!$G$5:$G$44,"Ativo")=0,"Equipe "&amp;$K1537,INDEX(Pessoas!$A$5:$A$44,_xludf.aggregate(15,6,(ROW(Pessoas!$A$5:$A$44)-4)/((Pessoas!$C$5:$C$44=$K1537)*(Pessoas!$G$5:$G$44="Ativo")),MOD(ROW()-6,MAX(1,COUNTIFS(Pessoas!$C$5:$C$44,$K1537,Pessoas!$G$5:$G$44,"Ativo")))+1)))</f>
        <v>Equipe Oficina Mecânica Central-Taisa</v>
      </c>
    </row>
    <row r="1538" spans="1:12" ht="15" customHeight="1" x14ac:dyDescent="0.4">
      <c r="A1538" s="25">
        <v>46464</v>
      </c>
      <c r="B1538" s="16">
        <v>29</v>
      </c>
      <c r="C1538" s="16">
        <v>3</v>
      </c>
      <c r="D1538" s="16">
        <v>3</v>
      </c>
      <c r="E1538" s="16" t="s">
        <v>980</v>
      </c>
      <c r="F1538" s="16" t="s">
        <v>1344</v>
      </c>
      <c r="G1538" s="16" t="s">
        <v>158</v>
      </c>
      <c r="H1538" s="16" t="s">
        <v>144</v>
      </c>
      <c r="I1538" s="22" t="s">
        <v>861</v>
      </c>
      <c r="J1538" s="16">
        <f>IFERROR(INDEX(Aux_HH!$J$4:$J$31,MATCH($H1538&amp;"|"&amp;$I1538,Aux_HH!$A$4:$A$31,0)),"")</f>
        <v>3</v>
      </c>
      <c r="K1538" s="16" t="s">
        <v>76</v>
      </c>
      <c r="L1538" s="16" t="str">
        <f>IF(COUNTIFS(Pessoas!$C$5:$C$44,$K1538,Pessoas!$G$5:$G$44,"Ativo")=0,"Equipe "&amp;$K1538,INDEX(Pessoas!$A$5:$A$44,_xludf.aggregate(15,6,(ROW(Pessoas!$A$5:$A$44)-4)/((Pessoas!$C$5:$C$44=$K1538)*(Pessoas!$G$5:$G$44="Ativo")),MOD(ROW()-6,MAX(1,COUNTIFS(Pessoas!$C$5:$C$44,$K1538,Pessoas!$G$5:$G$44,"Ativo")))+1)))</f>
        <v>Equipe Oficina Mecânica Central-Taisa</v>
      </c>
    </row>
    <row r="1539" spans="1:12" ht="15" customHeight="1" x14ac:dyDescent="0.4">
      <c r="A1539" s="25">
        <v>46464</v>
      </c>
      <c r="B1539" s="16">
        <v>29</v>
      </c>
      <c r="C1539" s="16">
        <v>3</v>
      </c>
      <c r="D1539" s="16">
        <v>3</v>
      </c>
      <c r="E1539" s="16" t="s">
        <v>980</v>
      </c>
      <c r="F1539" s="16" t="s">
        <v>1345</v>
      </c>
      <c r="G1539" s="16" t="s">
        <v>158</v>
      </c>
      <c r="H1539" s="16" t="s">
        <v>144</v>
      </c>
      <c r="I1539" s="22" t="s">
        <v>861</v>
      </c>
      <c r="J1539" s="16">
        <f>IFERROR(INDEX(Aux_HH!$J$4:$J$31,MATCH($H1539&amp;"|"&amp;$I1539,Aux_HH!$A$4:$A$31,0)),"")</f>
        <v>3</v>
      </c>
      <c r="K1539" s="16" t="s">
        <v>76</v>
      </c>
      <c r="L1539" s="16" t="str">
        <f>IF(COUNTIFS(Pessoas!$C$5:$C$44,$K1539,Pessoas!$G$5:$G$44,"Ativo")=0,"Equipe "&amp;$K1539,INDEX(Pessoas!$A$5:$A$44,_xludf.aggregate(15,6,(ROW(Pessoas!$A$5:$A$44)-4)/((Pessoas!$C$5:$C$44=$K1539)*(Pessoas!$G$5:$G$44="Ativo")),MOD(ROW()-6,MAX(1,COUNTIFS(Pessoas!$C$5:$C$44,$K1539,Pessoas!$G$5:$G$44,"Ativo")))+1)))</f>
        <v>Equipe Oficina Mecânica Central-Taisa</v>
      </c>
    </row>
    <row r="1540" spans="1:12" ht="15" customHeight="1" x14ac:dyDescent="0.4">
      <c r="A1540" s="25">
        <v>46464</v>
      </c>
      <c r="B1540" s="16">
        <v>29</v>
      </c>
      <c r="C1540" s="16">
        <v>3</v>
      </c>
      <c r="D1540" s="16">
        <v>3</v>
      </c>
      <c r="E1540" s="16" t="s">
        <v>980</v>
      </c>
      <c r="F1540" s="16" t="s">
        <v>1346</v>
      </c>
      <c r="G1540" s="16" t="s">
        <v>158</v>
      </c>
      <c r="H1540" s="16" t="s">
        <v>144</v>
      </c>
      <c r="I1540" s="22" t="s">
        <v>861</v>
      </c>
      <c r="J1540" s="16">
        <f>IFERROR(INDEX(Aux_HH!$J$4:$J$31,MATCH($H1540&amp;"|"&amp;$I1540,Aux_HH!$A$4:$A$31,0)),"")</f>
        <v>3</v>
      </c>
      <c r="K1540" s="16" t="s">
        <v>76</v>
      </c>
      <c r="L1540" s="16" t="str">
        <f>IF(COUNTIFS(Pessoas!$C$5:$C$44,$K1540,Pessoas!$G$5:$G$44,"Ativo")=0,"Equipe "&amp;$K1540,INDEX(Pessoas!$A$5:$A$44,_xludf.aggregate(15,6,(ROW(Pessoas!$A$5:$A$44)-4)/((Pessoas!$C$5:$C$44=$K1540)*(Pessoas!$G$5:$G$44="Ativo")),MOD(ROW()-6,MAX(1,COUNTIFS(Pessoas!$C$5:$C$44,$K1540,Pessoas!$G$5:$G$44,"Ativo")))+1)))</f>
        <v>Equipe Oficina Mecânica Central-Taisa</v>
      </c>
    </row>
    <row r="1541" spans="1:12" ht="15" customHeight="1" x14ac:dyDescent="0.4">
      <c r="A1541" s="25">
        <v>46464</v>
      </c>
      <c r="B1541" s="16">
        <v>29</v>
      </c>
      <c r="C1541" s="16">
        <v>3</v>
      </c>
      <c r="D1541" s="16">
        <v>3</v>
      </c>
      <c r="E1541" s="16" t="s">
        <v>980</v>
      </c>
      <c r="F1541" s="16" t="s">
        <v>1347</v>
      </c>
      <c r="G1541" s="16" t="s">
        <v>158</v>
      </c>
      <c r="H1541" s="16" t="s">
        <v>144</v>
      </c>
      <c r="I1541" s="22" t="s">
        <v>861</v>
      </c>
      <c r="J1541" s="16">
        <f>IFERROR(INDEX(Aux_HH!$J$4:$J$31,MATCH($H1541&amp;"|"&amp;$I1541,Aux_HH!$A$4:$A$31,0)),"")</f>
        <v>3</v>
      </c>
      <c r="K1541" s="16" t="s">
        <v>76</v>
      </c>
      <c r="L1541" s="16" t="str">
        <f>IF(COUNTIFS(Pessoas!$C$5:$C$44,$K1541,Pessoas!$G$5:$G$44,"Ativo")=0,"Equipe "&amp;$K1541,INDEX(Pessoas!$A$5:$A$44,_xludf.aggregate(15,6,(ROW(Pessoas!$A$5:$A$44)-4)/((Pessoas!$C$5:$C$44=$K1541)*(Pessoas!$G$5:$G$44="Ativo")),MOD(ROW()-6,MAX(1,COUNTIFS(Pessoas!$C$5:$C$44,$K1541,Pessoas!$G$5:$G$44,"Ativo")))+1)))</f>
        <v>Equipe Oficina Mecânica Central-Taisa</v>
      </c>
    </row>
    <row r="1542" spans="1:12" ht="15" customHeight="1" x14ac:dyDescent="0.4">
      <c r="A1542" s="25">
        <v>46464</v>
      </c>
      <c r="B1542" s="16">
        <v>29</v>
      </c>
      <c r="C1542" s="16">
        <v>3</v>
      </c>
      <c r="D1542" s="16">
        <v>3</v>
      </c>
      <c r="E1542" s="16" t="s">
        <v>980</v>
      </c>
      <c r="F1542" s="16" t="s">
        <v>1348</v>
      </c>
      <c r="G1542" s="16" t="s">
        <v>158</v>
      </c>
      <c r="H1542" s="16" t="s">
        <v>144</v>
      </c>
      <c r="I1542" s="22" t="s">
        <v>861</v>
      </c>
      <c r="J1542" s="16">
        <f>IFERROR(INDEX(Aux_HH!$J$4:$J$31,MATCH($H1542&amp;"|"&amp;$I1542,Aux_HH!$A$4:$A$31,0)),"")</f>
        <v>3</v>
      </c>
      <c r="K1542" s="16" t="s">
        <v>76</v>
      </c>
      <c r="L1542" s="16" t="str">
        <f>IF(COUNTIFS(Pessoas!$C$5:$C$44,$K1542,Pessoas!$G$5:$G$44,"Ativo")=0,"Equipe "&amp;$K1542,INDEX(Pessoas!$A$5:$A$44,_xludf.aggregate(15,6,(ROW(Pessoas!$A$5:$A$44)-4)/((Pessoas!$C$5:$C$44=$K1542)*(Pessoas!$G$5:$G$44="Ativo")),MOD(ROW()-6,MAX(1,COUNTIFS(Pessoas!$C$5:$C$44,$K1542,Pessoas!$G$5:$G$44,"Ativo")))+1)))</f>
        <v>Equipe Oficina Mecânica Central-Taisa</v>
      </c>
    </row>
    <row r="1543" spans="1:12" ht="15" customHeight="1" x14ac:dyDescent="0.4">
      <c r="A1543" s="25">
        <v>46464</v>
      </c>
      <c r="B1543" s="16">
        <v>29</v>
      </c>
      <c r="C1543" s="16">
        <v>3</v>
      </c>
      <c r="D1543" s="16">
        <v>3</v>
      </c>
      <c r="E1543" s="16" t="s">
        <v>980</v>
      </c>
      <c r="F1543" s="16" t="s">
        <v>1349</v>
      </c>
      <c r="G1543" s="16" t="s">
        <v>158</v>
      </c>
      <c r="H1543" s="16" t="s">
        <v>144</v>
      </c>
      <c r="I1543" s="22" t="s">
        <v>861</v>
      </c>
      <c r="J1543" s="16">
        <f>IFERROR(INDEX(Aux_HH!$J$4:$J$31,MATCH($H1543&amp;"|"&amp;$I1543,Aux_HH!$A$4:$A$31,0)),"")</f>
        <v>3</v>
      </c>
      <c r="K1543" s="16" t="s">
        <v>76</v>
      </c>
      <c r="L1543" s="16" t="str">
        <f>IF(COUNTIFS(Pessoas!$C$5:$C$44,$K1543,Pessoas!$G$5:$G$44,"Ativo")=0,"Equipe "&amp;$K1543,INDEX(Pessoas!$A$5:$A$44,_xludf.aggregate(15,6,(ROW(Pessoas!$A$5:$A$44)-4)/((Pessoas!$C$5:$C$44=$K1543)*(Pessoas!$G$5:$G$44="Ativo")),MOD(ROW()-6,MAX(1,COUNTIFS(Pessoas!$C$5:$C$44,$K1543,Pessoas!$G$5:$G$44,"Ativo")))+1)))</f>
        <v>Equipe Oficina Mecânica Central-Taisa</v>
      </c>
    </row>
    <row r="1544" spans="1:12" ht="15" customHeight="1" x14ac:dyDescent="0.4">
      <c r="A1544" s="25">
        <v>46464</v>
      </c>
      <c r="B1544" s="16">
        <v>29</v>
      </c>
      <c r="C1544" s="16">
        <v>3</v>
      </c>
      <c r="D1544" s="16">
        <v>3</v>
      </c>
      <c r="E1544" s="16" t="s">
        <v>980</v>
      </c>
      <c r="F1544" s="16" t="s">
        <v>1350</v>
      </c>
      <c r="G1544" s="16" t="s">
        <v>158</v>
      </c>
      <c r="H1544" s="16" t="s">
        <v>144</v>
      </c>
      <c r="I1544" s="22" t="s">
        <v>861</v>
      </c>
      <c r="J1544" s="16">
        <f>IFERROR(INDEX(Aux_HH!$J$4:$J$31,MATCH($H1544&amp;"|"&amp;$I1544,Aux_HH!$A$4:$A$31,0)),"")</f>
        <v>3</v>
      </c>
      <c r="K1544" s="16" t="s">
        <v>76</v>
      </c>
      <c r="L1544" s="16" t="str">
        <f>IF(COUNTIFS(Pessoas!$C$5:$C$44,$K1544,Pessoas!$G$5:$G$44,"Ativo")=0,"Equipe "&amp;$K1544,INDEX(Pessoas!$A$5:$A$44,_xludf.aggregate(15,6,(ROW(Pessoas!$A$5:$A$44)-4)/((Pessoas!$C$5:$C$44=$K1544)*(Pessoas!$G$5:$G$44="Ativo")),MOD(ROW()-6,MAX(1,COUNTIFS(Pessoas!$C$5:$C$44,$K1544,Pessoas!$G$5:$G$44,"Ativo")))+1)))</f>
        <v>Equipe Oficina Mecânica Central-Taisa</v>
      </c>
    </row>
    <row r="1545" spans="1:12" ht="15" customHeight="1" x14ac:dyDescent="0.4">
      <c r="A1545" s="25">
        <v>46465</v>
      </c>
      <c r="B1545" s="16">
        <v>29</v>
      </c>
      <c r="C1545" s="16">
        <v>3</v>
      </c>
      <c r="D1545" s="16">
        <v>3</v>
      </c>
      <c r="E1545" s="16" t="s">
        <v>980</v>
      </c>
      <c r="F1545" s="16" t="s">
        <v>1351</v>
      </c>
      <c r="G1545" s="16" t="s">
        <v>158</v>
      </c>
      <c r="H1545" s="16" t="s">
        <v>144</v>
      </c>
      <c r="I1545" s="22" t="s">
        <v>861</v>
      </c>
      <c r="J1545" s="16">
        <f>IFERROR(INDEX(Aux_HH!$J$4:$J$31,MATCH($H1545&amp;"|"&amp;$I1545,Aux_HH!$A$4:$A$31,0)),"")</f>
        <v>3</v>
      </c>
      <c r="K1545" s="16" t="s">
        <v>76</v>
      </c>
      <c r="L1545" s="16" t="str">
        <f>IF(COUNTIFS(Pessoas!$C$5:$C$44,$K1545,Pessoas!$G$5:$G$44,"Ativo")=0,"Equipe "&amp;$K1545,INDEX(Pessoas!$A$5:$A$44,_xludf.aggregate(15,6,(ROW(Pessoas!$A$5:$A$44)-4)/((Pessoas!$C$5:$C$44=$K1545)*(Pessoas!$G$5:$G$44="Ativo")),MOD(ROW()-6,MAX(1,COUNTIFS(Pessoas!$C$5:$C$44,$K1545,Pessoas!$G$5:$G$44,"Ativo")))+1)))</f>
        <v>Equipe Oficina Mecânica Central-Taisa</v>
      </c>
    </row>
    <row r="1546" spans="1:12" ht="15" customHeight="1" x14ac:dyDescent="0.4">
      <c r="A1546" s="25">
        <v>46465</v>
      </c>
      <c r="B1546" s="16">
        <v>29</v>
      </c>
      <c r="C1546" s="16">
        <v>3</v>
      </c>
      <c r="D1546" s="16">
        <v>3</v>
      </c>
      <c r="E1546" s="16" t="s">
        <v>980</v>
      </c>
      <c r="F1546" s="16" t="s">
        <v>1352</v>
      </c>
      <c r="G1546" s="16" t="s">
        <v>158</v>
      </c>
      <c r="H1546" s="16" t="s">
        <v>144</v>
      </c>
      <c r="I1546" s="22" t="s">
        <v>861</v>
      </c>
      <c r="J1546" s="16">
        <f>IFERROR(INDEX(Aux_HH!$J$4:$J$31,MATCH($H1546&amp;"|"&amp;$I1546,Aux_HH!$A$4:$A$31,0)),"")</f>
        <v>3</v>
      </c>
      <c r="K1546" s="16" t="s">
        <v>76</v>
      </c>
      <c r="L1546" s="16" t="str">
        <f>IF(COUNTIFS(Pessoas!$C$5:$C$44,$K1546,Pessoas!$G$5:$G$44,"Ativo")=0,"Equipe "&amp;$K1546,INDEX(Pessoas!$A$5:$A$44,_xludf.aggregate(15,6,(ROW(Pessoas!$A$5:$A$44)-4)/((Pessoas!$C$5:$C$44=$K1546)*(Pessoas!$G$5:$G$44="Ativo")),MOD(ROW()-6,MAX(1,COUNTIFS(Pessoas!$C$5:$C$44,$K1546,Pessoas!$G$5:$G$44,"Ativo")))+1)))</f>
        <v>Equipe Oficina Mecânica Central-Taisa</v>
      </c>
    </row>
    <row r="1547" spans="1:12" ht="15" customHeight="1" x14ac:dyDescent="0.4">
      <c r="A1547" s="25">
        <v>46465</v>
      </c>
      <c r="B1547" s="16">
        <v>29</v>
      </c>
      <c r="C1547" s="16">
        <v>3</v>
      </c>
      <c r="D1547" s="16">
        <v>3</v>
      </c>
      <c r="E1547" s="16" t="s">
        <v>980</v>
      </c>
      <c r="F1547" s="16" t="s">
        <v>1353</v>
      </c>
      <c r="G1547" s="16" t="s">
        <v>158</v>
      </c>
      <c r="H1547" s="16" t="s">
        <v>144</v>
      </c>
      <c r="I1547" s="22" t="s">
        <v>861</v>
      </c>
      <c r="J1547" s="16">
        <f>IFERROR(INDEX(Aux_HH!$J$4:$J$31,MATCH($H1547&amp;"|"&amp;$I1547,Aux_HH!$A$4:$A$31,0)),"")</f>
        <v>3</v>
      </c>
      <c r="K1547" s="16" t="s">
        <v>76</v>
      </c>
      <c r="L1547" s="16" t="str">
        <f>IF(COUNTIFS(Pessoas!$C$5:$C$44,$K1547,Pessoas!$G$5:$G$44,"Ativo")=0,"Equipe "&amp;$K1547,INDEX(Pessoas!$A$5:$A$44,_xludf.aggregate(15,6,(ROW(Pessoas!$A$5:$A$44)-4)/((Pessoas!$C$5:$C$44=$K1547)*(Pessoas!$G$5:$G$44="Ativo")),MOD(ROW()-6,MAX(1,COUNTIFS(Pessoas!$C$5:$C$44,$K1547,Pessoas!$G$5:$G$44,"Ativo")))+1)))</f>
        <v>Equipe Oficina Mecânica Central-Taisa</v>
      </c>
    </row>
    <row r="1548" spans="1:12" ht="15" customHeight="1" x14ac:dyDescent="0.4">
      <c r="A1548" s="25">
        <v>46465</v>
      </c>
      <c r="B1548" s="16">
        <v>29</v>
      </c>
      <c r="C1548" s="16">
        <v>3</v>
      </c>
      <c r="D1548" s="16">
        <v>3</v>
      </c>
      <c r="E1548" s="16" t="s">
        <v>980</v>
      </c>
      <c r="F1548" s="16" t="s">
        <v>1354</v>
      </c>
      <c r="G1548" s="16" t="s">
        <v>158</v>
      </c>
      <c r="H1548" s="16" t="s">
        <v>144</v>
      </c>
      <c r="I1548" s="22" t="s">
        <v>861</v>
      </c>
      <c r="J1548" s="16">
        <f>IFERROR(INDEX(Aux_HH!$J$4:$J$31,MATCH($H1548&amp;"|"&amp;$I1548,Aux_HH!$A$4:$A$31,0)),"")</f>
        <v>3</v>
      </c>
      <c r="K1548" s="16" t="s">
        <v>76</v>
      </c>
      <c r="L1548" s="16" t="str">
        <f>IF(COUNTIFS(Pessoas!$C$5:$C$44,$K1548,Pessoas!$G$5:$G$44,"Ativo")=0,"Equipe "&amp;$K1548,INDEX(Pessoas!$A$5:$A$44,_xludf.aggregate(15,6,(ROW(Pessoas!$A$5:$A$44)-4)/((Pessoas!$C$5:$C$44=$K1548)*(Pessoas!$G$5:$G$44="Ativo")),MOD(ROW()-6,MAX(1,COUNTIFS(Pessoas!$C$5:$C$44,$K1548,Pessoas!$G$5:$G$44,"Ativo")))+1)))</f>
        <v>Equipe Oficina Mecânica Central-Taisa</v>
      </c>
    </row>
    <row r="1549" spans="1:12" ht="15" customHeight="1" x14ac:dyDescent="0.4">
      <c r="A1549" s="25">
        <v>46465</v>
      </c>
      <c r="B1549" s="16">
        <v>29</v>
      </c>
      <c r="C1549" s="16">
        <v>3</v>
      </c>
      <c r="D1549" s="16">
        <v>3</v>
      </c>
      <c r="E1549" s="16" t="s">
        <v>980</v>
      </c>
      <c r="F1549" s="16" t="s">
        <v>1355</v>
      </c>
      <c r="G1549" s="16" t="s">
        <v>158</v>
      </c>
      <c r="H1549" s="16" t="s">
        <v>144</v>
      </c>
      <c r="I1549" s="22" t="s">
        <v>861</v>
      </c>
      <c r="J1549" s="16">
        <f>IFERROR(INDEX(Aux_HH!$J$4:$J$31,MATCH($H1549&amp;"|"&amp;$I1549,Aux_HH!$A$4:$A$31,0)),"")</f>
        <v>3</v>
      </c>
      <c r="K1549" s="16" t="s">
        <v>76</v>
      </c>
      <c r="L1549" s="16" t="str">
        <f>IF(COUNTIFS(Pessoas!$C$5:$C$44,$K1549,Pessoas!$G$5:$G$44,"Ativo")=0,"Equipe "&amp;$K1549,INDEX(Pessoas!$A$5:$A$44,_xludf.aggregate(15,6,(ROW(Pessoas!$A$5:$A$44)-4)/((Pessoas!$C$5:$C$44=$K1549)*(Pessoas!$G$5:$G$44="Ativo")),MOD(ROW()-6,MAX(1,COUNTIFS(Pessoas!$C$5:$C$44,$K1549,Pessoas!$G$5:$G$44,"Ativo")))+1)))</f>
        <v>Equipe Oficina Mecânica Central-Taisa</v>
      </c>
    </row>
    <row r="1550" spans="1:12" ht="15" customHeight="1" x14ac:dyDescent="0.4">
      <c r="A1550" s="25">
        <v>46465</v>
      </c>
      <c r="B1550" s="16">
        <v>29</v>
      </c>
      <c r="C1550" s="16">
        <v>3</v>
      </c>
      <c r="D1550" s="16">
        <v>3</v>
      </c>
      <c r="E1550" s="16" t="s">
        <v>980</v>
      </c>
      <c r="F1550" s="16" t="s">
        <v>1356</v>
      </c>
      <c r="G1550" s="16" t="s">
        <v>448</v>
      </c>
      <c r="H1550" s="16" t="s">
        <v>144</v>
      </c>
      <c r="I1550" s="22" t="s">
        <v>861</v>
      </c>
      <c r="J1550" s="16">
        <f>IFERROR(INDEX(Aux_HH!$J$4:$J$31,MATCH($H1550&amp;"|"&amp;$I1550,Aux_HH!$A$4:$A$31,0)),"")</f>
        <v>3</v>
      </c>
      <c r="K1550" s="16" t="s">
        <v>76</v>
      </c>
      <c r="L1550" s="16" t="str">
        <f>IF(COUNTIFS(Pessoas!$C$5:$C$44,$K1550,Pessoas!$G$5:$G$44,"Ativo")=0,"Equipe "&amp;$K1550,INDEX(Pessoas!$A$5:$A$44,_xludf.aggregate(15,6,(ROW(Pessoas!$A$5:$A$44)-4)/((Pessoas!$C$5:$C$44=$K1550)*(Pessoas!$G$5:$G$44="Ativo")),MOD(ROW()-6,MAX(1,COUNTIFS(Pessoas!$C$5:$C$44,$K1550,Pessoas!$G$5:$G$44,"Ativo")))+1)))</f>
        <v>Equipe Oficina Mecânica Central-Taisa</v>
      </c>
    </row>
    <row r="1551" spans="1:12" ht="15" customHeight="1" x14ac:dyDescent="0.4">
      <c r="A1551" s="25">
        <v>46465</v>
      </c>
      <c r="B1551" s="16">
        <v>29</v>
      </c>
      <c r="C1551" s="16">
        <v>3</v>
      </c>
      <c r="D1551" s="16">
        <v>3</v>
      </c>
      <c r="E1551" s="16" t="s">
        <v>980</v>
      </c>
      <c r="F1551" s="16" t="s">
        <v>1357</v>
      </c>
      <c r="G1551" s="16" t="s">
        <v>158</v>
      </c>
      <c r="H1551" s="16" t="s">
        <v>144</v>
      </c>
      <c r="I1551" s="22" t="s">
        <v>861</v>
      </c>
      <c r="J1551" s="16">
        <f>IFERROR(INDEX(Aux_HH!$J$4:$J$31,MATCH($H1551&amp;"|"&amp;$I1551,Aux_HH!$A$4:$A$31,0)),"")</f>
        <v>3</v>
      </c>
      <c r="K1551" s="16" t="s">
        <v>76</v>
      </c>
      <c r="L1551" s="16" t="str">
        <f>IF(COUNTIFS(Pessoas!$C$5:$C$44,$K1551,Pessoas!$G$5:$G$44,"Ativo")=0,"Equipe "&amp;$K1551,INDEX(Pessoas!$A$5:$A$44,_xludf.aggregate(15,6,(ROW(Pessoas!$A$5:$A$44)-4)/((Pessoas!$C$5:$C$44=$K1551)*(Pessoas!$G$5:$G$44="Ativo")),MOD(ROW()-6,MAX(1,COUNTIFS(Pessoas!$C$5:$C$44,$K1551,Pessoas!$G$5:$G$44,"Ativo")))+1)))</f>
        <v>Equipe Oficina Mecânica Central-Taisa</v>
      </c>
    </row>
    <row r="1552" spans="1:12" ht="15" customHeight="1" x14ac:dyDescent="0.4">
      <c r="A1552" s="25">
        <v>46465</v>
      </c>
      <c r="B1552" s="16">
        <v>29</v>
      </c>
      <c r="C1552" s="16">
        <v>3</v>
      </c>
      <c r="D1552" s="16">
        <v>3</v>
      </c>
      <c r="E1552" s="16" t="s">
        <v>980</v>
      </c>
      <c r="F1552" s="16" t="s">
        <v>1358</v>
      </c>
      <c r="G1552" s="16" t="s">
        <v>158</v>
      </c>
      <c r="H1552" s="16" t="s">
        <v>144</v>
      </c>
      <c r="I1552" s="22" t="s">
        <v>861</v>
      </c>
      <c r="J1552" s="16">
        <f>IFERROR(INDEX(Aux_HH!$J$4:$J$31,MATCH($H1552&amp;"|"&amp;$I1552,Aux_HH!$A$4:$A$31,0)),"")</f>
        <v>3</v>
      </c>
      <c r="K1552" s="16" t="s">
        <v>76</v>
      </c>
      <c r="L1552" s="16" t="str">
        <f>IF(COUNTIFS(Pessoas!$C$5:$C$44,$K1552,Pessoas!$G$5:$G$44,"Ativo")=0,"Equipe "&amp;$K1552,INDEX(Pessoas!$A$5:$A$44,_xludf.aggregate(15,6,(ROW(Pessoas!$A$5:$A$44)-4)/((Pessoas!$C$5:$C$44=$K1552)*(Pessoas!$G$5:$G$44="Ativo")),MOD(ROW()-6,MAX(1,COUNTIFS(Pessoas!$C$5:$C$44,$K1552,Pessoas!$G$5:$G$44,"Ativo")))+1)))</f>
        <v>Equipe Oficina Mecânica Central-Taisa</v>
      </c>
    </row>
    <row r="1553" spans="1:12" ht="15" customHeight="1" x14ac:dyDescent="0.4">
      <c r="A1553" s="25">
        <v>46465</v>
      </c>
      <c r="B1553" s="16">
        <v>29</v>
      </c>
      <c r="C1553" s="16">
        <v>3</v>
      </c>
      <c r="D1553" s="16">
        <v>3</v>
      </c>
      <c r="E1553" s="16" t="s">
        <v>980</v>
      </c>
      <c r="F1553" s="16" t="s">
        <v>1359</v>
      </c>
      <c r="G1553" s="16" t="s">
        <v>158</v>
      </c>
      <c r="H1553" s="16" t="s">
        <v>144</v>
      </c>
      <c r="I1553" s="22" t="s">
        <v>861</v>
      </c>
      <c r="J1553" s="16">
        <f>IFERROR(INDEX(Aux_HH!$J$4:$J$31,MATCH($H1553&amp;"|"&amp;$I1553,Aux_HH!$A$4:$A$31,0)),"")</f>
        <v>3</v>
      </c>
      <c r="K1553" s="16" t="s">
        <v>76</v>
      </c>
      <c r="L1553" s="16" t="str">
        <f>IF(COUNTIFS(Pessoas!$C$5:$C$44,$K1553,Pessoas!$G$5:$G$44,"Ativo")=0,"Equipe "&amp;$K1553,INDEX(Pessoas!$A$5:$A$44,_xludf.aggregate(15,6,(ROW(Pessoas!$A$5:$A$44)-4)/((Pessoas!$C$5:$C$44=$K1553)*(Pessoas!$G$5:$G$44="Ativo")),MOD(ROW()-6,MAX(1,COUNTIFS(Pessoas!$C$5:$C$44,$K1553,Pessoas!$G$5:$G$44,"Ativo")))+1)))</f>
        <v>Equipe Oficina Mecânica Central-Taisa</v>
      </c>
    </row>
    <row r="1554" spans="1:12" ht="15" customHeight="1" x14ac:dyDescent="0.4">
      <c r="A1554" s="25">
        <v>46465</v>
      </c>
      <c r="B1554" s="16">
        <v>29</v>
      </c>
      <c r="C1554" s="16">
        <v>3</v>
      </c>
      <c r="D1554" s="16">
        <v>3</v>
      </c>
      <c r="E1554" s="16" t="s">
        <v>980</v>
      </c>
      <c r="F1554" s="16" t="s">
        <v>1360</v>
      </c>
      <c r="G1554" s="16" t="s">
        <v>158</v>
      </c>
      <c r="H1554" s="16" t="s">
        <v>144</v>
      </c>
      <c r="I1554" s="22" t="s">
        <v>861</v>
      </c>
      <c r="J1554" s="16">
        <f>IFERROR(INDEX(Aux_HH!$J$4:$J$31,MATCH($H1554&amp;"|"&amp;$I1554,Aux_HH!$A$4:$A$31,0)),"")</f>
        <v>3</v>
      </c>
      <c r="K1554" s="16" t="s">
        <v>76</v>
      </c>
      <c r="L1554" s="16" t="str">
        <f>IF(COUNTIFS(Pessoas!$C$5:$C$44,$K1554,Pessoas!$G$5:$G$44,"Ativo")=0,"Equipe "&amp;$K1554,INDEX(Pessoas!$A$5:$A$44,_xludf.aggregate(15,6,(ROW(Pessoas!$A$5:$A$44)-4)/((Pessoas!$C$5:$C$44=$K1554)*(Pessoas!$G$5:$G$44="Ativo")),MOD(ROW()-6,MAX(1,COUNTIFS(Pessoas!$C$5:$C$44,$K1554,Pessoas!$G$5:$G$44,"Ativo")))+1)))</f>
        <v>Equipe Oficina Mecânica Central-Taisa</v>
      </c>
    </row>
    <row r="1555" spans="1:12" ht="15" customHeight="1" x14ac:dyDescent="0.4">
      <c r="A1555" s="25">
        <v>46468</v>
      </c>
      <c r="B1555" s="16">
        <v>29</v>
      </c>
      <c r="C1555" s="16">
        <v>3</v>
      </c>
      <c r="D1555" s="16">
        <v>3</v>
      </c>
      <c r="E1555" s="16" t="s">
        <v>980</v>
      </c>
      <c r="F1555" s="16" t="s">
        <v>1361</v>
      </c>
      <c r="G1555" s="16" t="s">
        <v>158</v>
      </c>
      <c r="H1555" s="16" t="s">
        <v>144</v>
      </c>
      <c r="I1555" s="22" t="s">
        <v>861</v>
      </c>
      <c r="J1555" s="16">
        <f>IFERROR(INDEX(Aux_HH!$J$4:$J$31,MATCH($H1555&amp;"|"&amp;$I1555,Aux_HH!$A$4:$A$31,0)),"")</f>
        <v>3</v>
      </c>
      <c r="K1555" s="16" t="s">
        <v>76</v>
      </c>
      <c r="L1555" s="16" t="str">
        <f>IF(COUNTIFS(Pessoas!$C$5:$C$44,$K1555,Pessoas!$G$5:$G$44,"Ativo")=0,"Equipe "&amp;$K1555,INDEX(Pessoas!$A$5:$A$44,_xludf.aggregate(15,6,(ROW(Pessoas!$A$5:$A$44)-4)/((Pessoas!$C$5:$C$44=$K1555)*(Pessoas!$G$5:$G$44="Ativo")),MOD(ROW()-6,MAX(1,COUNTIFS(Pessoas!$C$5:$C$44,$K1555,Pessoas!$G$5:$G$44,"Ativo")))+1)))</f>
        <v>Equipe Oficina Mecânica Central-Taisa</v>
      </c>
    </row>
    <row r="1556" spans="1:12" ht="15" customHeight="1" x14ac:dyDescent="0.4">
      <c r="A1556" s="25">
        <v>46468</v>
      </c>
      <c r="B1556" s="16">
        <v>29</v>
      </c>
      <c r="C1556" s="16">
        <v>3</v>
      </c>
      <c r="D1556" s="16">
        <v>3</v>
      </c>
      <c r="E1556" s="16" t="s">
        <v>980</v>
      </c>
      <c r="F1556" s="16" t="s">
        <v>1362</v>
      </c>
      <c r="G1556" s="16" t="s">
        <v>158</v>
      </c>
      <c r="H1556" s="16" t="s">
        <v>144</v>
      </c>
      <c r="I1556" s="22" t="s">
        <v>861</v>
      </c>
      <c r="J1556" s="16">
        <f>IFERROR(INDEX(Aux_HH!$J$4:$J$31,MATCH($H1556&amp;"|"&amp;$I1556,Aux_HH!$A$4:$A$31,0)),"")</f>
        <v>3</v>
      </c>
      <c r="K1556" s="16" t="s">
        <v>76</v>
      </c>
      <c r="L1556" s="16" t="str">
        <f>IF(COUNTIFS(Pessoas!$C$5:$C$44,$K1556,Pessoas!$G$5:$G$44,"Ativo")=0,"Equipe "&amp;$K1556,INDEX(Pessoas!$A$5:$A$44,_xludf.aggregate(15,6,(ROW(Pessoas!$A$5:$A$44)-4)/((Pessoas!$C$5:$C$44=$K1556)*(Pessoas!$G$5:$G$44="Ativo")),MOD(ROW()-6,MAX(1,COUNTIFS(Pessoas!$C$5:$C$44,$K1556,Pessoas!$G$5:$G$44,"Ativo")))+1)))</f>
        <v>Equipe Oficina Mecânica Central-Taisa</v>
      </c>
    </row>
    <row r="1557" spans="1:12" ht="15" customHeight="1" x14ac:dyDescent="0.4">
      <c r="A1557" s="25">
        <v>46468</v>
      </c>
      <c r="B1557" s="16">
        <v>29</v>
      </c>
      <c r="C1557" s="16">
        <v>3</v>
      </c>
      <c r="D1557" s="16">
        <v>3</v>
      </c>
      <c r="E1557" s="16" t="s">
        <v>980</v>
      </c>
      <c r="F1557" s="16" t="s">
        <v>1363</v>
      </c>
      <c r="G1557" s="16" t="s">
        <v>448</v>
      </c>
      <c r="H1557" s="16" t="s">
        <v>144</v>
      </c>
      <c r="I1557" s="22" t="s">
        <v>861</v>
      </c>
      <c r="J1557" s="16">
        <f>IFERROR(INDEX(Aux_HH!$J$4:$J$31,MATCH($H1557&amp;"|"&amp;$I1557,Aux_HH!$A$4:$A$31,0)),"")</f>
        <v>3</v>
      </c>
      <c r="K1557" s="16" t="s">
        <v>76</v>
      </c>
      <c r="L1557" s="16" t="str">
        <f>IF(COUNTIFS(Pessoas!$C$5:$C$44,$K1557,Pessoas!$G$5:$G$44,"Ativo")=0,"Equipe "&amp;$K1557,INDEX(Pessoas!$A$5:$A$44,_xludf.aggregate(15,6,(ROW(Pessoas!$A$5:$A$44)-4)/((Pessoas!$C$5:$C$44=$K1557)*(Pessoas!$G$5:$G$44="Ativo")),MOD(ROW()-6,MAX(1,COUNTIFS(Pessoas!$C$5:$C$44,$K1557,Pessoas!$G$5:$G$44,"Ativo")))+1)))</f>
        <v>Equipe Oficina Mecânica Central-Taisa</v>
      </c>
    </row>
    <row r="1558" spans="1:12" ht="15" customHeight="1" x14ac:dyDescent="0.4">
      <c r="A1558" s="25">
        <v>46468</v>
      </c>
      <c r="B1558" s="16">
        <v>29</v>
      </c>
      <c r="C1558" s="16">
        <v>3</v>
      </c>
      <c r="D1558" s="16">
        <v>3</v>
      </c>
      <c r="E1558" s="16" t="s">
        <v>980</v>
      </c>
      <c r="F1558" s="16" t="s">
        <v>1364</v>
      </c>
      <c r="G1558" s="16" t="s">
        <v>158</v>
      </c>
      <c r="H1558" s="16" t="s">
        <v>144</v>
      </c>
      <c r="I1558" s="22" t="s">
        <v>861</v>
      </c>
      <c r="J1558" s="16">
        <f>IFERROR(INDEX(Aux_HH!$J$4:$J$31,MATCH($H1558&amp;"|"&amp;$I1558,Aux_HH!$A$4:$A$31,0)),"")</f>
        <v>3</v>
      </c>
      <c r="K1558" s="16" t="s">
        <v>76</v>
      </c>
      <c r="L1558" s="16" t="str">
        <f>IF(COUNTIFS(Pessoas!$C$5:$C$44,$K1558,Pessoas!$G$5:$G$44,"Ativo")=0,"Equipe "&amp;$K1558,INDEX(Pessoas!$A$5:$A$44,_xludf.aggregate(15,6,(ROW(Pessoas!$A$5:$A$44)-4)/((Pessoas!$C$5:$C$44=$K1558)*(Pessoas!$G$5:$G$44="Ativo")),MOD(ROW()-6,MAX(1,COUNTIFS(Pessoas!$C$5:$C$44,$K1558,Pessoas!$G$5:$G$44,"Ativo")))+1)))</f>
        <v>Equipe Oficina Mecânica Central-Taisa</v>
      </c>
    </row>
    <row r="1559" spans="1:12" ht="15" customHeight="1" x14ac:dyDescent="0.4">
      <c r="A1559" s="25">
        <v>46468</v>
      </c>
      <c r="B1559" s="16">
        <v>29</v>
      </c>
      <c r="C1559" s="16">
        <v>3</v>
      </c>
      <c r="D1559" s="16">
        <v>3</v>
      </c>
      <c r="E1559" s="16" t="s">
        <v>980</v>
      </c>
      <c r="F1559" s="16" t="s">
        <v>1365</v>
      </c>
      <c r="G1559" s="16" t="s">
        <v>158</v>
      </c>
      <c r="H1559" s="16" t="s">
        <v>144</v>
      </c>
      <c r="I1559" s="22" t="s">
        <v>861</v>
      </c>
      <c r="J1559" s="16">
        <f>IFERROR(INDEX(Aux_HH!$J$4:$J$31,MATCH($H1559&amp;"|"&amp;$I1559,Aux_HH!$A$4:$A$31,0)),"")</f>
        <v>3</v>
      </c>
      <c r="K1559" s="16" t="s">
        <v>76</v>
      </c>
      <c r="L1559" s="16" t="str">
        <f>IF(COUNTIFS(Pessoas!$C$5:$C$44,$K1559,Pessoas!$G$5:$G$44,"Ativo")=0,"Equipe "&amp;$K1559,INDEX(Pessoas!$A$5:$A$44,_xludf.aggregate(15,6,(ROW(Pessoas!$A$5:$A$44)-4)/((Pessoas!$C$5:$C$44=$K1559)*(Pessoas!$G$5:$G$44="Ativo")),MOD(ROW()-6,MAX(1,COUNTIFS(Pessoas!$C$5:$C$44,$K1559,Pessoas!$G$5:$G$44,"Ativo")))+1)))</f>
        <v>Equipe Oficina Mecânica Central-Taisa</v>
      </c>
    </row>
    <row r="1560" spans="1:12" ht="15" customHeight="1" x14ac:dyDescent="0.4">
      <c r="A1560" s="25">
        <v>46468</v>
      </c>
      <c r="B1560" s="16">
        <v>29</v>
      </c>
      <c r="C1560" s="16">
        <v>3</v>
      </c>
      <c r="D1560" s="16">
        <v>3</v>
      </c>
      <c r="E1560" s="16" t="s">
        <v>980</v>
      </c>
      <c r="F1560" s="16" t="s">
        <v>1366</v>
      </c>
      <c r="G1560" s="16" t="s">
        <v>158</v>
      </c>
      <c r="H1560" s="16" t="s">
        <v>144</v>
      </c>
      <c r="I1560" s="22" t="s">
        <v>861</v>
      </c>
      <c r="J1560" s="16">
        <f>IFERROR(INDEX(Aux_HH!$J$4:$J$31,MATCH($H1560&amp;"|"&amp;$I1560,Aux_HH!$A$4:$A$31,0)),"")</f>
        <v>3</v>
      </c>
      <c r="K1560" s="16" t="s">
        <v>76</v>
      </c>
      <c r="L1560" s="16" t="str">
        <f>IF(COUNTIFS(Pessoas!$C$5:$C$44,$K1560,Pessoas!$G$5:$G$44,"Ativo")=0,"Equipe "&amp;$K1560,INDEX(Pessoas!$A$5:$A$44,_xludf.aggregate(15,6,(ROW(Pessoas!$A$5:$A$44)-4)/((Pessoas!$C$5:$C$44=$K1560)*(Pessoas!$G$5:$G$44="Ativo")),MOD(ROW()-6,MAX(1,COUNTIFS(Pessoas!$C$5:$C$44,$K1560,Pessoas!$G$5:$G$44,"Ativo")))+1)))</f>
        <v>Equipe Oficina Mecânica Central-Taisa</v>
      </c>
    </row>
    <row r="1561" spans="1:12" ht="15" customHeight="1" x14ac:dyDescent="0.4">
      <c r="A1561" s="25">
        <v>46468</v>
      </c>
      <c r="B1561" s="16">
        <v>29</v>
      </c>
      <c r="C1561" s="16">
        <v>3</v>
      </c>
      <c r="D1561" s="16">
        <v>3</v>
      </c>
      <c r="E1561" s="16" t="s">
        <v>980</v>
      </c>
      <c r="F1561" s="16" t="s">
        <v>1367</v>
      </c>
      <c r="G1561" s="16" t="s">
        <v>158</v>
      </c>
      <c r="H1561" s="16" t="s">
        <v>144</v>
      </c>
      <c r="I1561" s="22" t="s">
        <v>861</v>
      </c>
      <c r="J1561" s="16">
        <f>IFERROR(INDEX(Aux_HH!$J$4:$J$31,MATCH($H1561&amp;"|"&amp;$I1561,Aux_HH!$A$4:$A$31,0)),"")</f>
        <v>3</v>
      </c>
      <c r="K1561" s="16" t="s">
        <v>76</v>
      </c>
      <c r="L1561" s="16" t="str">
        <f>IF(COUNTIFS(Pessoas!$C$5:$C$44,$K1561,Pessoas!$G$5:$G$44,"Ativo")=0,"Equipe "&amp;$K1561,INDEX(Pessoas!$A$5:$A$44,_xludf.aggregate(15,6,(ROW(Pessoas!$A$5:$A$44)-4)/((Pessoas!$C$5:$C$44=$K1561)*(Pessoas!$G$5:$G$44="Ativo")),MOD(ROW()-6,MAX(1,COUNTIFS(Pessoas!$C$5:$C$44,$K1561,Pessoas!$G$5:$G$44,"Ativo")))+1)))</f>
        <v>Equipe Oficina Mecânica Central-Taisa</v>
      </c>
    </row>
    <row r="1562" spans="1:12" ht="15" customHeight="1" x14ac:dyDescent="0.4">
      <c r="A1562" s="25">
        <v>46468</v>
      </c>
      <c r="B1562" s="16">
        <v>29</v>
      </c>
      <c r="C1562" s="16">
        <v>3</v>
      </c>
      <c r="D1562" s="16">
        <v>3</v>
      </c>
      <c r="E1562" s="16" t="s">
        <v>980</v>
      </c>
      <c r="F1562" s="16" t="s">
        <v>1368</v>
      </c>
      <c r="G1562" s="16" t="s">
        <v>158</v>
      </c>
      <c r="H1562" s="16" t="s">
        <v>144</v>
      </c>
      <c r="I1562" s="22" t="s">
        <v>861</v>
      </c>
      <c r="J1562" s="16">
        <f>IFERROR(INDEX(Aux_HH!$J$4:$J$31,MATCH($H1562&amp;"|"&amp;$I1562,Aux_HH!$A$4:$A$31,0)),"")</f>
        <v>3</v>
      </c>
      <c r="K1562" s="16" t="s">
        <v>76</v>
      </c>
      <c r="L1562" s="16" t="str">
        <f>IF(COUNTIFS(Pessoas!$C$5:$C$44,$K1562,Pessoas!$G$5:$G$44,"Ativo")=0,"Equipe "&amp;$K1562,INDEX(Pessoas!$A$5:$A$44,_xludf.aggregate(15,6,(ROW(Pessoas!$A$5:$A$44)-4)/((Pessoas!$C$5:$C$44=$K1562)*(Pessoas!$G$5:$G$44="Ativo")),MOD(ROW()-6,MAX(1,COUNTIFS(Pessoas!$C$5:$C$44,$K1562,Pessoas!$G$5:$G$44,"Ativo")))+1)))</f>
        <v>Equipe Oficina Mecânica Central-Taisa</v>
      </c>
    </row>
    <row r="1563" spans="1:12" ht="15" customHeight="1" x14ac:dyDescent="0.4">
      <c r="A1563" s="25">
        <v>46468</v>
      </c>
      <c r="B1563" s="16">
        <v>29</v>
      </c>
      <c r="C1563" s="16">
        <v>3</v>
      </c>
      <c r="D1563" s="16">
        <v>3</v>
      </c>
      <c r="E1563" s="16" t="s">
        <v>980</v>
      </c>
      <c r="F1563" s="16" t="s">
        <v>1369</v>
      </c>
      <c r="G1563" s="16" t="s">
        <v>158</v>
      </c>
      <c r="H1563" s="16" t="s">
        <v>144</v>
      </c>
      <c r="I1563" s="22" t="s">
        <v>861</v>
      </c>
      <c r="J1563" s="16">
        <f>IFERROR(INDEX(Aux_HH!$J$4:$J$31,MATCH($H1563&amp;"|"&amp;$I1563,Aux_HH!$A$4:$A$31,0)),"")</f>
        <v>3</v>
      </c>
      <c r="K1563" s="16" t="s">
        <v>76</v>
      </c>
      <c r="L1563" s="16" t="str">
        <f>IF(COUNTIFS(Pessoas!$C$5:$C$44,$K1563,Pessoas!$G$5:$G$44,"Ativo")=0,"Equipe "&amp;$K1563,INDEX(Pessoas!$A$5:$A$44,_xludf.aggregate(15,6,(ROW(Pessoas!$A$5:$A$44)-4)/((Pessoas!$C$5:$C$44=$K1563)*(Pessoas!$G$5:$G$44="Ativo")),MOD(ROW()-6,MAX(1,COUNTIFS(Pessoas!$C$5:$C$44,$K1563,Pessoas!$G$5:$G$44,"Ativo")))+1)))</f>
        <v>Equipe Oficina Mecânica Central-Taisa</v>
      </c>
    </row>
    <row r="1564" spans="1:12" ht="15" customHeight="1" x14ac:dyDescent="0.4">
      <c r="A1564" s="25">
        <v>46468</v>
      </c>
      <c r="B1564" s="16">
        <v>29</v>
      </c>
      <c r="C1564" s="16">
        <v>3</v>
      </c>
      <c r="D1564" s="16">
        <v>3</v>
      </c>
      <c r="E1564" s="16" t="s">
        <v>980</v>
      </c>
      <c r="F1564" s="16" t="s">
        <v>1370</v>
      </c>
      <c r="G1564" s="16" t="s">
        <v>158</v>
      </c>
      <c r="H1564" s="16" t="s">
        <v>144</v>
      </c>
      <c r="I1564" s="22" t="s">
        <v>861</v>
      </c>
      <c r="J1564" s="16">
        <f>IFERROR(INDEX(Aux_HH!$J$4:$J$31,MATCH($H1564&amp;"|"&amp;$I1564,Aux_HH!$A$4:$A$31,0)),"")</f>
        <v>3</v>
      </c>
      <c r="K1564" s="16" t="s">
        <v>76</v>
      </c>
      <c r="L1564" s="16" t="str">
        <f>IF(COUNTIFS(Pessoas!$C$5:$C$44,$K1564,Pessoas!$G$5:$G$44,"Ativo")=0,"Equipe "&amp;$K1564,INDEX(Pessoas!$A$5:$A$44,_xludf.aggregate(15,6,(ROW(Pessoas!$A$5:$A$44)-4)/((Pessoas!$C$5:$C$44=$K1564)*(Pessoas!$G$5:$G$44="Ativo")),MOD(ROW()-6,MAX(1,COUNTIFS(Pessoas!$C$5:$C$44,$K1564,Pessoas!$G$5:$G$44,"Ativo")))+1)))</f>
        <v>Equipe Oficina Mecânica Central-Taisa</v>
      </c>
    </row>
    <row r="1565" spans="1:12" ht="15" customHeight="1" x14ac:dyDescent="0.4">
      <c r="A1565" s="25">
        <v>46469</v>
      </c>
      <c r="B1565" s="16">
        <v>30</v>
      </c>
      <c r="C1565" s="16">
        <v>3</v>
      </c>
      <c r="D1565" s="16">
        <v>3</v>
      </c>
      <c r="E1565" s="16" t="s">
        <v>980</v>
      </c>
      <c r="F1565" s="16" t="s">
        <v>981</v>
      </c>
      <c r="G1565" s="16" t="s">
        <v>184</v>
      </c>
      <c r="H1565" s="16" t="s">
        <v>138</v>
      </c>
      <c r="I1565" s="22" t="s">
        <v>864</v>
      </c>
      <c r="J1565" s="16">
        <f>IFERROR(INDEX(Aux_HH!$J$4:$J$31,MATCH($H1565&amp;"|"&amp;$I1565,Aux_HH!$A$4:$A$31,0)),"")</f>
        <v>12</v>
      </c>
      <c r="K1565" s="16" t="s">
        <v>76</v>
      </c>
      <c r="L1565" s="16" t="str">
        <f>IF(COUNTIFS(Pessoas!$C$5:$C$44,$K1565,Pessoas!$G$5:$G$44,"Ativo")=0,"Equipe "&amp;$K1565,INDEX(Pessoas!$A$5:$A$44,_xludf.aggregate(15,6,(ROW(Pessoas!$A$5:$A$44)-4)/((Pessoas!$C$5:$C$44=$K1565)*(Pessoas!$G$5:$G$44="Ativo")),MOD(ROW()-6,MAX(1,COUNTIFS(Pessoas!$C$5:$C$44,$K1565,Pessoas!$G$5:$G$44,"Ativo")))+1)))</f>
        <v>Equipe Oficina Mecânica Central-Taisa</v>
      </c>
    </row>
    <row r="1566" spans="1:12" ht="15" customHeight="1" x14ac:dyDescent="0.4">
      <c r="A1566" s="25">
        <v>46469</v>
      </c>
      <c r="B1566" s="16">
        <v>30</v>
      </c>
      <c r="C1566" s="16">
        <v>3</v>
      </c>
      <c r="D1566" s="16">
        <v>3</v>
      </c>
      <c r="E1566" s="16" t="s">
        <v>980</v>
      </c>
      <c r="F1566" s="16" t="s">
        <v>983</v>
      </c>
      <c r="G1566" s="16" t="s">
        <v>184</v>
      </c>
      <c r="H1566" s="16" t="s">
        <v>138</v>
      </c>
      <c r="I1566" s="22" t="s">
        <v>864</v>
      </c>
      <c r="J1566" s="16">
        <f>IFERROR(INDEX(Aux_HH!$J$4:$J$31,MATCH($H1566&amp;"|"&amp;$I1566,Aux_HH!$A$4:$A$31,0)),"")</f>
        <v>12</v>
      </c>
      <c r="K1566" s="16" t="s">
        <v>76</v>
      </c>
      <c r="L1566" s="16" t="str">
        <f>IF(COUNTIFS(Pessoas!$C$5:$C$44,$K1566,Pessoas!$G$5:$G$44,"Ativo")=0,"Equipe "&amp;$K1566,INDEX(Pessoas!$A$5:$A$44,_xludf.aggregate(15,6,(ROW(Pessoas!$A$5:$A$44)-4)/((Pessoas!$C$5:$C$44=$K1566)*(Pessoas!$G$5:$G$44="Ativo")),MOD(ROW()-6,MAX(1,COUNTIFS(Pessoas!$C$5:$C$44,$K1566,Pessoas!$G$5:$G$44,"Ativo")))+1)))</f>
        <v>Equipe Oficina Mecânica Central-Taisa</v>
      </c>
    </row>
    <row r="1567" spans="1:12" ht="15" customHeight="1" x14ac:dyDescent="0.4">
      <c r="A1567" s="25">
        <v>46469</v>
      </c>
      <c r="B1567" s="16">
        <v>30</v>
      </c>
      <c r="C1567" s="16">
        <v>3</v>
      </c>
      <c r="D1567" s="16">
        <v>3</v>
      </c>
      <c r="E1567" s="16" t="s">
        <v>980</v>
      </c>
      <c r="F1567" s="16" t="s">
        <v>994</v>
      </c>
      <c r="G1567" s="16" t="s">
        <v>688</v>
      </c>
      <c r="H1567" s="16" t="s">
        <v>145</v>
      </c>
      <c r="I1567" s="22" t="s">
        <v>861</v>
      </c>
      <c r="J1567" s="16">
        <f>IFERROR(INDEX(Aux_HH!$J$4:$J$31,MATCH($H1567&amp;"|"&amp;$I1567,Aux_HH!$A$4:$A$31,0)),"")</f>
        <v>4</v>
      </c>
      <c r="K1567" s="16" t="s">
        <v>76</v>
      </c>
      <c r="L1567" s="16" t="str">
        <f>IF(COUNTIFS(Pessoas!$C$5:$C$44,$K1567,Pessoas!$G$5:$G$44,"Ativo")=0,"Equipe "&amp;$K1567,INDEX(Pessoas!$A$5:$A$44,_xludf.aggregate(15,6,(ROW(Pessoas!$A$5:$A$44)-4)/((Pessoas!$C$5:$C$44=$K1567)*(Pessoas!$G$5:$G$44="Ativo")),MOD(ROW()-6,MAX(1,COUNTIFS(Pessoas!$C$5:$C$44,$K1567,Pessoas!$G$5:$G$44,"Ativo")))+1)))</f>
        <v>Equipe Oficina Mecânica Central-Taisa</v>
      </c>
    </row>
    <row r="1568" spans="1:12" ht="15" customHeight="1" x14ac:dyDescent="0.4">
      <c r="A1568" s="25">
        <v>46469</v>
      </c>
      <c r="B1568" s="16">
        <v>30</v>
      </c>
      <c r="C1568" s="16">
        <v>3</v>
      </c>
      <c r="D1568" s="16">
        <v>3</v>
      </c>
      <c r="E1568" s="16" t="s">
        <v>980</v>
      </c>
      <c r="F1568" s="16" t="s">
        <v>995</v>
      </c>
      <c r="G1568" s="16" t="s">
        <v>688</v>
      </c>
      <c r="H1568" s="16" t="s">
        <v>145</v>
      </c>
      <c r="I1568" s="22" t="s">
        <v>861</v>
      </c>
      <c r="J1568" s="16">
        <f>IFERROR(INDEX(Aux_HH!$J$4:$J$31,MATCH($H1568&amp;"|"&amp;$I1568,Aux_HH!$A$4:$A$31,0)),"")</f>
        <v>4</v>
      </c>
      <c r="K1568" s="16" t="s">
        <v>76</v>
      </c>
      <c r="L1568" s="16" t="str">
        <f>IF(COUNTIFS(Pessoas!$C$5:$C$44,$K1568,Pessoas!$G$5:$G$44,"Ativo")=0,"Equipe "&amp;$K1568,INDEX(Pessoas!$A$5:$A$44,_xludf.aggregate(15,6,(ROW(Pessoas!$A$5:$A$44)-4)/((Pessoas!$C$5:$C$44=$K1568)*(Pessoas!$G$5:$G$44="Ativo")),MOD(ROW()-6,MAX(1,COUNTIFS(Pessoas!$C$5:$C$44,$K1568,Pessoas!$G$5:$G$44,"Ativo")))+1)))</f>
        <v>Equipe Oficina Mecânica Central-Taisa</v>
      </c>
    </row>
    <row r="1569" spans="1:12" ht="15" customHeight="1" x14ac:dyDescent="0.4">
      <c r="A1569" s="25">
        <v>46470</v>
      </c>
      <c r="B1569" s="16">
        <v>30</v>
      </c>
      <c r="C1569" s="16">
        <v>3</v>
      </c>
      <c r="D1569" s="16">
        <v>3</v>
      </c>
      <c r="E1569" s="16" t="s">
        <v>980</v>
      </c>
      <c r="F1569" s="16" t="s">
        <v>985</v>
      </c>
      <c r="G1569" s="16" t="s">
        <v>184</v>
      </c>
      <c r="H1569" s="16" t="s">
        <v>138</v>
      </c>
      <c r="I1569" s="22" t="s">
        <v>864</v>
      </c>
      <c r="J1569" s="16">
        <f>IFERROR(INDEX(Aux_HH!$J$4:$J$31,MATCH($H1569&amp;"|"&amp;$I1569,Aux_HH!$A$4:$A$31,0)),"")</f>
        <v>12</v>
      </c>
      <c r="K1569" s="16" t="s">
        <v>76</v>
      </c>
      <c r="L1569" s="16" t="str">
        <f>IF(COUNTIFS(Pessoas!$C$5:$C$44,$K1569,Pessoas!$G$5:$G$44,"Ativo")=0,"Equipe "&amp;$K1569,INDEX(Pessoas!$A$5:$A$44,_xludf.aggregate(15,6,(ROW(Pessoas!$A$5:$A$44)-4)/((Pessoas!$C$5:$C$44=$K1569)*(Pessoas!$G$5:$G$44="Ativo")),MOD(ROW()-6,MAX(1,COUNTIFS(Pessoas!$C$5:$C$44,$K1569,Pessoas!$G$5:$G$44,"Ativo")))+1)))</f>
        <v>Equipe Oficina Mecânica Central-Taisa</v>
      </c>
    </row>
    <row r="1570" spans="1:12" ht="15" customHeight="1" x14ac:dyDescent="0.4">
      <c r="A1570" s="25">
        <v>46470</v>
      </c>
      <c r="B1570" s="16">
        <v>30</v>
      </c>
      <c r="C1570" s="16">
        <v>3</v>
      </c>
      <c r="D1570" s="16">
        <v>3</v>
      </c>
      <c r="E1570" s="16" t="s">
        <v>980</v>
      </c>
      <c r="F1570" s="16" t="s">
        <v>987</v>
      </c>
      <c r="G1570" s="16" t="s">
        <v>526</v>
      </c>
      <c r="H1570" s="16" t="s">
        <v>138</v>
      </c>
      <c r="I1570" s="22" t="s">
        <v>864</v>
      </c>
      <c r="J1570" s="16">
        <f>IFERROR(INDEX(Aux_HH!$J$4:$J$31,MATCH($H1570&amp;"|"&amp;$I1570,Aux_HH!$A$4:$A$31,0)),"")</f>
        <v>12</v>
      </c>
      <c r="K1570" s="16" t="s">
        <v>76</v>
      </c>
      <c r="L1570" s="16" t="str">
        <f>IF(COUNTIFS(Pessoas!$C$5:$C$44,$K1570,Pessoas!$G$5:$G$44,"Ativo")=0,"Equipe "&amp;$K1570,INDEX(Pessoas!$A$5:$A$44,_xludf.aggregate(15,6,(ROW(Pessoas!$A$5:$A$44)-4)/((Pessoas!$C$5:$C$44=$K1570)*(Pessoas!$G$5:$G$44="Ativo")),MOD(ROW()-6,MAX(1,COUNTIFS(Pessoas!$C$5:$C$44,$K1570,Pessoas!$G$5:$G$44,"Ativo")))+1)))</f>
        <v>Equipe Oficina Mecânica Central-Taisa</v>
      </c>
    </row>
    <row r="1571" spans="1:12" ht="15" customHeight="1" x14ac:dyDescent="0.4">
      <c r="A1571" s="25">
        <v>46470</v>
      </c>
      <c r="B1571" s="16">
        <v>30</v>
      </c>
      <c r="C1571" s="16">
        <v>3</v>
      </c>
      <c r="D1571" s="16">
        <v>3</v>
      </c>
      <c r="E1571" s="16" t="s">
        <v>980</v>
      </c>
      <c r="F1571" s="16" t="s">
        <v>996</v>
      </c>
      <c r="G1571" s="16" t="s">
        <v>688</v>
      </c>
      <c r="H1571" s="16" t="s">
        <v>145</v>
      </c>
      <c r="I1571" s="22" t="s">
        <v>861</v>
      </c>
      <c r="J1571" s="16">
        <f>IFERROR(INDEX(Aux_HH!$J$4:$J$31,MATCH($H1571&amp;"|"&amp;$I1571,Aux_HH!$A$4:$A$31,0)),"")</f>
        <v>4</v>
      </c>
      <c r="K1571" s="16" t="s">
        <v>76</v>
      </c>
      <c r="L1571" s="16" t="str">
        <f>IF(COUNTIFS(Pessoas!$C$5:$C$44,$K1571,Pessoas!$G$5:$G$44,"Ativo")=0,"Equipe "&amp;$K1571,INDEX(Pessoas!$A$5:$A$44,_xludf.aggregate(15,6,(ROW(Pessoas!$A$5:$A$44)-4)/((Pessoas!$C$5:$C$44=$K1571)*(Pessoas!$G$5:$G$44="Ativo")),MOD(ROW()-6,MAX(1,COUNTIFS(Pessoas!$C$5:$C$44,$K1571,Pessoas!$G$5:$G$44,"Ativo")))+1)))</f>
        <v>Equipe Oficina Mecânica Central-Taisa</v>
      </c>
    </row>
    <row r="1572" spans="1:12" ht="15" customHeight="1" x14ac:dyDescent="0.4">
      <c r="A1572" s="25">
        <v>46470</v>
      </c>
      <c r="B1572" s="16">
        <v>30</v>
      </c>
      <c r="C1572" s="16">
        <v>3</v>
      </c>
      <c r="D1572" s="16">
        <v>3</v>
      </c>
      <c r="E1572" s="16" t="s">
        <v>980</v>
      </c>
      <c r="F1572" s="16" t="s">
        <v>997</v>
      </c>
      <c r="G1572" s="16" t="s">
        <v>688</v>
      </c>
      <c r="H1572" s="16" t="s">
        <v>145</v>
      </c>
      <c r="I1572" s="22" t="s">
        <v>861</v>
      </c>
      <c r="J1572" s="16">
        <f>IFERROR(INDEX(Aux_HH!$J$4:$J$31,MATCH($H1572&amp;"|"&amp;$I1572,Aux_HH!$A$4:$A$31,0)),"")</f>
        <v>4</v>
      </c>
      <c r="K1572" s="16" t="s">
        <v>76</v>
      </c>
      <c r="L1572" s="16" t="str">
        <f>IF(COUNTIFS(Pessoas!$C$5:$C$44,$K1572,Pessoas!$G$5:$G$44,"Ativo")=0,"Equipe "&amp;$K1572,INDEX(Pessoas!$A$5:$A$44,_xludf.aggregate(15,6,(ROW(Pessoas!$A$5:$A$44)-4)/((Pessoas!$C$5:$C$44=$K1572)*(Pessoas!$G$5:$G$44="Ativo")),MOD(ROW()-6,MAX(1,COUNTIFS(Pessoas!$C$5:$C$44,$K1572,Pessoas!$G$5:$G$44,"Ativo")))+1)))</f>
        <v>Equipe Oficina Mecânica Central-Taisa</v>
      </c>
    </row>
    <row r="1573" spans="1:12" ht="15" customHeight="1" x14ac:dyDescent="0.4">
      <c r="A1573" s="25">
        <v>46471</v>
      </c>
      <c r="B1573" s="16">
        <v>30</v>
      </c>
      <c r="C1573" s="16">
        <v>3</v>
      </c>
      <c r="D1573" s="16">
        <v>3</v>
      </c>
      <c r="E1573" s="16" t="s">
        <v>980</v>
      </c>
      <c r="F1573" s="16" t="s">
        <v>988</v>
      </c>
      <c r="G1573" s="16" t="s">
        <v>184</v>
      </c>
      <c r="H1573" s="16" t="s">
        <v>138</v>
      </c>
      <c r="I1573" s="22" t="s">
        <v>864</v>
      </c>
      <c r="J1573" s="16">
        <f>IFERROR(INDEX(Aux_HH!$J$4:$J$31,MATCH($H1573&amp;"|"&amp;$I1573,Aux_HH!$A$4:$A$31,0)),"")</f>
        <v>12</v>
      </c>
      <c r="K1573" s="16" t="s">
        <v>76</v>
      </c>
      <c r="L1573" s="16" t="str">
        <f>IF(COUNTIFS(Pessoas!$C$5:$C$44,$K1573,Pessoas!$G$5:$G$44,"Ativo")=0,"Equipe "&amp;$K1573,INDEX(Pessoas!$A$5:$A$44,_xludf.aggregate(15,6,(ROW(Pessoas!$A$5:$A$44)-4)/((Pessoas!$C$5:$C$44=$K1573)*(Pessoas!$G$5:$G$44="Ativo")),MOD(ROW()-6,MAX(1,COUNTIFS(Pessoas!$C$5:$C$44,$K1573,Pessoas!$G$5:$G$44,"Ativo")))+1)))</f>
        <v>Equipe Oficina Mecânica Central-Taisa</v>
      </c>
    </row>
    <row r="1574" spans="1:12" ht="15" customHeight="1" x14ac:dyDescent="0.4">
      <c r="A1574" s="25">
        <v>46471</v>
      </c>
      <c r="B1574" s="16">
        <v>30</v>
      </c>
      <c r="C1574" s="16">
        <v>3</v>
      </c>
      <c r="D1574" s="16">
        <v>3</v>
      </c>
      <c r="E1574" s="16" t="s">
        <v>980</v>
      </c>
      <c r="F1574" s="16" t="s">
        <v>990</v>
      </c>
      <c r="G1574" s="16" t="s">
        <v>526</v>
      </c>
      <c r="H1574" s="16" t="s">
        <v>138</v>
      </c>
      <c r="I1574" s="22" t="s">
        <v>864</v>
      </c>
      <c r="J1574" s="16">
        <f>IFERROR(INDEX(Aux_HH!$J$4:$J$31,MATCH($H1574&amp;"|"&amp;$I1574,Aux_HH!$A$4:$A$31,0)),"")</f>
        <v>12</v>
      </c>
      <c r="K1574" s="16" t="s">
        <v>76</v>
      </c>
      <c r="L1574" s="16" t="str">
        <f>IF(COUNTIFS(Pessoas!$C$5:$C$44,$K1574,Pessoas!$G$5:$G$44,"Ativo")=0,"Equipe "&amp;$K1574,INDEX(Pessoas!$A$5:$A$44,_xludf.aggregate(15,6,(ROW(Pessoas!$A$5:$A$44)-4)/((Pessoas!$C$5:$C$44=$K1574)*(Pessoas!$G$5:$G$44="Ativo")),MOD(ROW()-6,MAX(1,COUNTIFS(Pessoas!$C$5:$C$44,$K1574,Pessoas!$G$5:$G$44,"Ativo")))+1)))</f>
        <v>Equipe Oficina Mecânica Central-Taisa</v>
      </c>
    </row>
    <row r="1575" spans="1:12" ht="15" customHeight="1" x14ac:dyDescent="0.4">
      <c r="A1575" s="25">
        <v>46471</v>
      </c>
      <c r="B1575" s="16">
        <v>30</v>
      </c>
      <c r="C1575" s="16">
        <v>3</v>
      </c>
      <c r="D1575" s="16">
        <v>3</v>
      </c>
      <c r="E1575" s="16" t="s">
        <v>980</v>
      </c>
      <c r="F1575" s="16" t="s">
        <v>998</v>
      </c>
      <c r="G1575" s="16" t="s">
        <v>688</v>
      </c>
      <c r="H1575" s="16" t="s">
        <v>145</v>
      </c>
      <c r="I1575" s="22" t="s">
        <v>861</v>
      </c>
      <c r="J1575" s="16">
        <f>IFERROR(INDEX(Aux_HH!$J$4:$J$31,MATCH($H1575&amp;"|"&amp;$I1575,Aux_HH!$A$4:$A$31,0)),"")</f>
        <v>4</v>
      </c>
      <c r="K1575" s="16" t="s">
        <v>76</v>
      </c>
      <c r="L1575" s="16" t="str">
        <f>IF(COUNTIFS(Pessoas!$C$5:$C$44,$K1575,Pessoas!$G$5:$G$44,"Ativo")=0,"Equipe "&amp;$K1575,INDEX(Pessoas!$A$5:$A$44,_xludf.aggregate(15,6,(ROW(Pessoas!$A$5:$A$44)-4)/((Pessoas!$C$5:$C$44=$K1575)*(Pessoas!$G$5:$G$44="Ativo")),MOD(ROW()-6,MAX(1,COUNTIFS(Pessoas!$C$5:$C$44,$K1575,Pessoas!$G$5:$G$44,"Ativo")))+1)))</f>
        <v>Equipe Oficina Mecânica Central-Taisa</v>
      </c>
    </row>
    <row r="1576" spans="1:12" ht="15" customHeight="1" x14ac:dyDescent="0.4">
      <c r="A1576" s="25">
        <v>46471</v>
      </c>
      <c r="B1576" s="16">
        <v>30</v>
      </c>
      <c r="C1576" s="16">
        <v>3</v>
      </c>
      <c r="D1576" s="16">
        <v>3</v>
      </c>
      <c r="E1576" s="16" t="s">
        <v>980</v>
      </c>
      <c r="F1576" s="16" t="s">
        <v>1000</v>
      </c>
      <c r="G1576" s="16" t="s">
        <v>688</v>
      </c>
      <c r="H1576" s="16" t="s">
        <v>145</v>
      </c>
      <c r="I1576" s="22" t="s">
        <v>861</v>
      </c>
      <c r="J1576" s="16">
        <f>IFERROR(INDEX(Aux_HH!$J$4:$J$31,MATCH($H1576&amp;"|"&amp;$I1576,Aux_HH!$A$4:$A$31,0)),"")</f>
        <v>4</v>
      </c>
      <c r="K1576" s="16" t="s">
        <v>76</v>
      </c>
      <c r="L1576" s="16" t="str">
        <f>IF(COUNTIFS(Pessoas!$C$5:$C$44,$K1576,Pessoas!$G$5:$G$44,"Ativo")=0,"Equipe "&amp;$K1576,INDEX(Pessoas!$A$5:$A$44,_xludf.aggregate(15,6,(ROW(Pessoas!$A$5:$A$44)-4)/((Pessoas!$C$5:$C$44=$K1576)*(Pessoas!$G$5:$G$44="Ativo")),MOD(ROW()-6,MAX(1,COUNTIFS(Pessoas!$C$5:$C$44,$K1576,Pessoas!$G$5:$G$44,"Ativo")))+1)))</f>
        <v>Equipe Oficina Mecânica Central-Taisa</v>
      </c>
    </row>
    <row r="1577" spans="1:12" ht="15" customHeight="1" x14ac:dyDescent="0.4">
      <c r="A1577" s="25">
        <v>46472</v>
      </c>
      <c r="B1577" s="16">
        <v>30</v>
      </c>
      <c r="C1577" s="16">
        <v>3</v>
      </c>
      <c r="D1577" s="16">
        <v>3</v>
      </c>
      <c r="E1577" s="16" t="s">
        <v>980</v>
      </c>
      <c r="F1577" s="16" t="s">
        <v>992</v>
      </c>
      <c r="G1577" s="16" t="s">
        <v>184</v>
      </c>
      <c r="H1577" s="16" t="s">
        <v>138</v>
      </c>
      <c r="I1577" s="22" t="s">
        <v>864</v>
      </c>
      <c r="J1577" s="16">
        <f>IFERROR(INDEX(Aux_HH!$J$4:$J$31,MATCH($H1577&amp;"|"&amp;$I1577,Aux_HH!$A$4:$A$31,0)),"")</f>
        <v>12</v>
      </c>
      <c r="K1577" s="16" t="s">
        <v>76</v>
      </c>
      <c r="L1577" s="16" t="str">
        <f>IF(COUNTIFS(Pessoas!$C$5:$C$44,$K1577,Pessoas!$G$5:$G$44,"Ativo")=0,"Equipe "&amp;$K1577,INDEX(Pessoas!$A$5:$A$44,_xludf.aggregate(15,6,(ROW(Pessoas!$A$5:$A$44)-4)/((Pessoas!$C$5:$C$44=$K1577)*(Pessoas!$G$5:$G$44="Ativo")),MOD(ROW()-6,MAX(1,COUNTIFS(Pessoas!$C$5:$C$44,$K1577,Pessoas!$G$5:$G$44,"Ativo")))+1)))</f>
        <v>Equipe Oficina Mecânica Central-Taisa</v>
      </c>
    </row>
    <row r="1578" spans="1:12" ht="15" customHeight="1" x14ac:dyDescent="0.4">
      <c r="A1578" s="25">
        <v>46472</v>
      </c>
      <c r="B1578" s="16">
        <v>30</v>
      </c>
      <c r="C1578" s="16">
        <v>3</v>
      </c>
      <c r="D1578" s="16">
        <v>3</v>
      </c>
      <c r="E1578" s="16" t="s">
        <v>980</v>
      </c>
      <c r="F1578" s="16" t="s">
        <v>1001</v>
      </c>
      <c r="G1578" s="16" t="s">
        <v>688</v>
      </c>
      <c r="H1578" s="16" t="s">
        <v>145</v>
      </c>
      <c r="I1578" s="22" t="s">
        <v>861</v>
      </c>
      <c r="J1578" s="16">
        <f>IFERROR(INDEX(Aux_HH!$J$4:$J$31,MATCH($H1578&amp;"|"&amp;$I1578,Aux_HH!$A$4:$A$31,0)),"")</f>
        <v>4</v>
      </c>
      <c r="K1578" s="16" t="s">
        <v>76</v>
      </c>
      <c r="L1578" s="16" t="str">
        <f>IF(COUNTIFS(Pessoas!$C$5:$C$44,$K1578,Pessoas!$G$5:$G$44,"Ativo")=0,"Equipe "&amp;$K1578,INDEX(Pessoas!$A$5:$A$44,_xludf.aggregate(15,6,(ROW(Pessoas!$A$5:$A$44)-4)/((Pessoas!$C$5:$C$44=$K1578)*(Pessoas!$G$5:$G$44="Ativo")),MOD(ROW()-6,MAX(1,COUNTIFS(Pessoas!$C$5:$C$44,$K1578,Pessoas!$G$5:$G$44,"Ativo")))+1)))</f>
        <v>Equipe Oficina Mecânica Central-Taisa</v>
      </c>
    </row>
    <row r="1579" spans="1:12" ht="15" customHeight="1" x14ac:dyDescent="0.4">
      <c r="A1579" s="25">
        <v>46472</v>
      </c>
      <c r="B1579" s="16">
        <v>30</v>
      </c>
      <c r="C1579" s="16">
        <v>3</v>
      </c>
      <c r="D1579" s="16">
        <v>3</v>
      </c>
      <c r="E1579" s="16" t="s">
        <v>980</v>
      </c>
      <c r="F1579" s="16" t="s">
        <v>1002</v>
      </c>
      <c r="G1579" s="16" t="s">
        <v>688</v>
      </c>
      <c r="H1579" s="16" t="s">
        <v>145</v>
      </c>
      <c r="I1579" s="22" t="s">
        <v>861</v>
      </c>
      <c r="J1579" s="16">
        <f>IFERROR(INDEX(Aux_HH!$J$4:$J$31,MATCH($H1579&amp;"|"&amp;$I1579,Aux_HH!$A$4:$A$31,0)),"")</f>
        <v>4</v>
      </c>
      <c r="K1579" s="16" t="s">
        <v>76</v>
      </c>
      <c r="L1579" s="16" t="str">
        <f>IF(COUNTIFS(Pessoas!$C$5:$C$44,$K1579,Pessoas!$G$5:$G$44,"Ativo")=0,"Equipe "&amp;$K1579,INDEX(Pessoas!$A$5:$A$44,_xludf.aggregate(15,6,(ROW(Pessoas!$A$5:$A$44)-4)/((Pessoas!$C$5:$C$44=$K1579)*(Pessoas!$G$5:$G$44="Ativo")),MOD(ROW()-6,MAX(1,COUNTIFS(Pessoas!$C$5:$C$44,$K1579,Pessoas!$G$5:$G$44,"Ativo")))+1)))</f>
        <v>Equipe Oficina Mecânica Central-Taisa</v>
      </c>
    </row>
    <row r="1580" spans="1:12" ht="15" customHeight="1" x14ac:dyDescent="0.4">
      <c r="A1580" s="25">
        <v>46472</v>
      </c>
      <c r="B1580" s="16">
        <v>30</v>
      </c>
      <c r="C1580" s="16">
        <v>3</v>
      </c>
      <c r="D1580" s="16">
        <v>3</v>
      </c>
      <c r="E1580" s="16" t="s">
        <v>980</v>
      </c>
      <c r="F1580" s="16" t="s">
        <v>1003</v>
      </c>
      <c r="G1580" s="16" t="s">
        <v>688</v>
      </c>
      <c r="H1580" s="16" t="s">
        <v>145</v>
      </c>
      <c r="I1580" s="22" t="s">
        <v>861</v>
      </c>
      <c r="J1580" s="16">
        <f>IFERROR(INDEX(Aux_HH!$J$4:$J$31,MATCH($H1580&amp;"|"&amp;$I1580,Aux_HH!$A$4:$A$31,0)),"")</f>
        <v>4</v>
      </c>
      <c r="K1580" s="16" t="s">
        <v>76</v>
      </c>
      <c r="L1580" s="16" t="str">
        <f>IF(COUNTIFS(Pessoas!$C$5:$C$44,$K1580,Pessoas!$G$5:$G$44,"Ativo")=0,"Equipe "&amp;$K1580,INDEX(Pessoas!$A$5:$A$44,_xludf.aggregate(15,6,(ROW(Pessoas!$A$5:$A$44)-4)/((Pessoas!$C$5:$C$44=$K1580)*(Pessoas!$G$5:$G$44="Ativo")),MOD(ROW()-6,MAX(1,COUNTIFS(Pessoas!$C$5:$C$44,$K1580,Pessoas!$G$5:$G$44,"Ativo")))+1)))</f>
        <v>Equipe Oficina Mecânica Central-Taisa</v>
      </c>
    </row>
    <row r="1581" spans="1:12" ht="15" customHeight="1" x14ac:dyDescent="0.4">
      <c r="A1581" s="25">
        <v>46475</v>
      </c>
      <c r="B1581" s="16">
        <v>30</v>
      </c>
      <c r="C1581" s="16">
        <v>3</v>
      </c>
      <c r="D1581" s="16">
        <v>3</v>
      </c>
      <c r="E1581" s="16" t="s">
        <v>980</v>
      </c>
      <c r="F1581" s="16" t="s">
        <v>993</v>
      </c>
      <c r="G1581" s="16" t="s">
        <v>184</v>
      </c>
      <c r="H1581" s="16" t="s">
        <v>138</v>
      </c>
      <c r="I1581" s="22" t="s">
        <v>864</v>
      </c>
      <c r="J1581" s="16">
        <f>IFERROR(INDEX(Aux_HH!$J$4:$J$31,MATCH($H1581&amp;"|"&amp;$I1581,Aux_HH!$A$4:$A$31,0)),"")</f>
        <v>12</v>
      </c>
      <c r="K1581" s="16" t="s">
        <v>76</v>
      </c>
      <c r="L1581" s="16" t="str">
        <f>IF(COUNTIFS(Pessoas!$C$5:$C$44,$K1581,Pessoas!$G$5:$G$44,"Ativo")=0,"Equipe "&amp;$K1581,INDEX(Pessoas!$A$5:$A$44,_xludf.aggregate(15,6,(ROW(Pessoas!$A$5:$A$44)-4)/((Pessoas!$C$5:$C$44=$K1581)*(Pessoas!$G$5:$G$44="Ativo")),MOD(ROW()-6,MAX(1,COUNTIFS(Pessoas!$C$5:$C$44,$K1581,Pessoas!$G$5:$G$44,"Ativo")))+1)))</f>
        <v>Equipe Oficina Mecânica Central-Taisa</v>
      </c>
    </row>
    <row r="1582" spans="1:12" ht="15" customHeight="1" x14ac:dyDescent="0.4">
      <c r="A1582" s="25">
        <v>46475</v>
      </c>
      <c r="B1582" s="16">
        <v>30</v>
      </c>
      <c r="C1582" s="16">
        <v>3</v>
      </c>
      <c r="D1582" s="16">
        <v>3</v>
      </c>
      <c r="E1582" s="16" t="s">
        <v>980</v>
      </c>
      <c r="F1582" s="16" t="s">
        <v>1004</v>
      </c>
      <c r="G1582" s="16" t="s">
        <v>688</v>
      </c>
      <c r="H1582" s="16" t="s">
        <v>145</v>
      </c>
      <c r="I1582" s="22" t="s">
        <v>861</v>
      </c>
      <c r="J1582" s="16">
        <f>IFERROR(INDEX(Aux_HH!$J$4:$J$31,MATCH($H1582&amp;"|"&amp;$I1582,Aux_HH!$A$4:$A$31,0)),"")</f>
        <v>4</v>
      </c>
      <c r="K1582" s="16" t="s">
        <v>76</v>
      </c>
      <c r="L1582" s="16" t="str">
        <f>IF(COUNTIFS(Pessoas!$C$5:$C$44,$K1582,Pessoas!$G$5:$G$44,"Ativo")=0,"Equipe "&amp;$K1582,INDEX(Pessoas!$A$5:$A$44,_xludf.aggregate(15,6,(ROW(Pessoas!$A$5:$A$44)-4)/((Pessoas!$C$5:$C$44=$K1582)*(Pessoas!$G$5:$G$44="Ativo")),MOD(ROW()-6,MAX(1,COUNTIFS(Pessoas!$C$5:$C$44,$K1582,Pessoas!$G$5:$G$44,"Ativo")))+1)))</f>
        <v>Equipe Oficina Mecânica Central-Taisa</v>
      </c>
    </row>
    <row r="1583" spans="1:12" ht="15" customHeight="1" x14ac:dyDescent="0.4">
      <c r="A1583" s="25">
        <v>46475</v>
      </c>
      <c r="B1583" s="16">
        <v>30</v>
      </c>
      <c r="C1583" s="16">
        <v>3</v>
      </c>
      <c r="D1583" s="16">
        <v>3</v>
      </c>
      <c r="E1583" s="16" t="s">
        <v>980</v>
      </c>
      <c r="F1583" s="16" t="s">
        <v>1005</v>
      </c>
      <c r="G1583" s="16" t="s">
        <v>688</v>
      </c>
      <c r="H1583" s="16" t="s">
        <v>145</v>
      </c>
      <c r="I1583" s="22" t="s">
        <v>861</v>
      </c>
      <c r="J1583" s="16">
        <f>IFERROR(INDEX(Aux_HH!$J$4:$J$31,MATCH($H1583&amp;"|"&amp;$I1583,Aux_HH!$A$4:$A$31,0)),"")</f>
        <v>4</v>
      </c>
      <c r="K1583" s="16" t="s">
        <v>76</v>
      </c>
      <c r="L1583" s="16" t="str">
        <f>IF(COUNTIFS(Pessoas!$C$5:$C$44,$K1583,Pessoas!$G$5:$G$44,"Ativo")=0,"Equipe "&amp;$K1583,INDEX(Pessoas!$A$5:$A$44,_xludf.aggregate(15,6,(ROW(Pessoas!$A$5:$A$44)-4)/((Pessoas!$C$5:$C$44=$K1583)*(Pessoas!$G$5:$G$44="Ativo")),MOD(ROW()-6,MAX(1,COUNTIFS(Pessoas!$C$5:$C$44,$K1583,Pessoas!$G$5:$G$44,"Ativo")))+1)))</f>
        <v>Equipe Oficina Mecânica Central-Taisa</v>
      </c>
    </row>
    <row r="1584" spans="1:12" ht="15" customHeight="1" x14ac:dyDescent="0.4">
      <c r="A1584" s="25">
        <v>46475</v>
      </c>
      <c r="B1584" s="16">
        <v>30</v>
      </c>
      <c r="C1584" s="16">
        <v>3</v>
      </c>
      <c r="D1584" s="16">
        <v>3</v>
      </c>
      <c r="E1584" s="16" t="s">
        <v>980</v>
      </c>
      <c r="F1584" s="16" t="s">
        <v>1006</v>
      </c>
      <c r="G1584" s="16" t="s">
        <v>688</v>
      </c>
      <c r="H1584" s="16" t="s">
        <v>145</v>
      </c>
      <c r="I1584" s="22" t="s">
        <v>861</v>
      </c>
      <c r="J1584" s="16">
        <f>IFERROR(INDEX(Aux_HH!$J$4:$J$31,MATCH($H1584&amp;"|"&amp;$I1584,Aux_HH!$A$4:$A$31,0)),"")</f>
        <v>4</v>
      </c>
      <c r="K1584" s="16" t="s">
        <v>76</v>
      </c>
      <c r="L1584" s="16" t="str">
        <f>IF(COUNTIFS(Pessoas!$C$5:$C$44,$K1584,Pessoas!$G$5:$G$44,"Ativo")=0,"Equipe "&amp;$K1584,INDEX(Pessoas!$A$5:$A$44,_xludf.aggregate(15,6,(ROW(Pessoas!$A$5:$A$44)-4)/((Pessoas!$C$5:$C$44=$K1584)*(Pessoas!$G$5:$G$44="Ativo")),MOD(ROW()-6,MAX(1,COUNTIFS(Pessoas!$C$5:$C$44,$K1584,Pessoas!$G$5:$G$44,"Ativo")))+1)))</f>
        <v>Equipe Oficina Mecânica Central-Taisa</v>
      </c>
    </row>
    <row r="1585" spans="1:12" ht="15" customHeight="1" x14ac:dyDescent="0.4">
      <c r="A1585" s="25">
        <v>46483</v>
      </c>
      <c r="B1585" s="16">
        <v>32</v>
      </c>
      <c r="C1585" s="16">
        <v>3</v>
      </c>
      <c r="D1585" s="16">
        <v>4</v>
      </c>
      <c r="E1585" s="16" t="s">
        <v>1371</v>
      </c>
      <c r="F1585" s="16" t="s">
        <v>1125</v>
      </c>
      <c r="G1585" s="16" t="s">
        <v>526</v>
      </c>
      <c r="H1585" s="16" t="s">
        <v>140</v>
      </c>
      <c r="I1585" s="22" t="s">
        <v>856</v>
      </c>
      <c r="J1585" s="16">
        <f>IFERROR(INDEX(Aux_HH!$J$4:$J$31,MATCH($H1585&amp;"|"&amp;$I1585,Aux_HH!$A$4:$A$31,0)),"")</f>
        <v>2.5</v>
      </c>
      <c r="K1585" s="16" t="s">
        <v>76</v>
      </c>
      <c r="L1585" s="16" t="str">
        <f>IF(COUNTIFS(Pessoas!$C$5:$C$44,$K1585,Pessoas!$G$5:$G$44,"Ativo")=0,"Equipe "&amp;$K1585,INDEX(Pessoas!$A$5:$A$44,_xludf.aggregate(15,6,(ROW(Pessoas!$A$5:$A$44)-4)/((Pessoas!$C$5:$C$44=$K1585)*(Pessoas!$G$5:$G$44="Ativo")),MOD(ROW()-6,MAX(1,COUNTIFS(Pessoas!$C$5:$C$44,$K1585,Pessoas!$G$5:$G$44,"Ativo")))+1)))</f>
        <v>Equipe Oficina Mecânica Central-Taisa</v>
      </c>
    </row>
    <row r="1586" spans="1:12" ht="15" customHeight="1" x14ac:dyDescent="0.4">
      <c r="A1586" s="25">
        <v>46483</v>
      </c>
      <c r="B1586" s="16">
        <v>32</v>
      </c>
      <c r="C1586" s="16">
        <v>3</v>
      </c>
      <c r="D1586" s="16">
        <v>4</v>
      </c>
      <c r="E1586" s="16" t="s">
        <v>1371</v>
      </c>
      <c r="F1586" s="16" t="s">
        <v>1126</v>
      </c>
      <c r="G1586" s="16" t="s">
        <v>526</v>
      </c>
      <c r="H1586" s="16" t="s">
        <v>140</v>
      </c>
      <c r="I1586" s="22" t="s">
        <v>856</v>
      </c>
      <c r="J1586" s="16">
        <f>IFERROR(INDEX(Aux_HH!$J$4:$J$31,MATCH($H1586&amp;"|"&amp;$I1586,Aux_HH!$A$4:$A$31,0)),"")</f>
        <v>2.5</v>
      </c>
      <c r="K1586" s="16" t="s">
        <v>76</v>
      </c>
      <c r="L1586" s="16" t="str">
        <f>IF(COUNTIFS(Pessoas!$C$5:$C$44,$K1586,Pessoas!$G$5:$G$44,"Ativo")=0,"Equipe "&amp;$K1586,INDEX(Pessoas!$A$5:$A$44,_xludf.aggregate(15,6,(ROW(Pessoas!$A$5:$A$44)-4)/((Pessoas!$C$5:$C$44=$K1586)*(Pessoas!$G$5:$G$44="Ativo")),MOD(ROW()-6,MAX(1,COUNTIFS(Pessoas!$C$5:$C$44,$K1586,Pessoas!$G$5:$G$44,"Ativo")))+1)))</f>
        <v>Equipe Oficina Mecânica Central-Taisa</v>
      </c>
    </row>
    <row r="1587" spans="1:12" ht="15" customHeight="1" x14ac:dyDescent="0.4">
      <c r="A1587" s="25">
        <v>46483</v>
      </c>
      <c r="B1587" s="16">
        <v>32</v>
      </c>
      <c r="C1587" s="16">
        <v>3</v>
      </c>
      <c r="D1587" s="16">
        <v>4</v>
      </c>
      <c r="E1587" s="16" t="s">
        <v>1371</v>
      </c>
      <c r="F1587" s="16" t="s">
        <v>1127</v>
      </c>
      <c r="G1587" s="16" t="s">
        <v>184</v>
      </c>
      <c r="H1587" s="16" t="s">
        <v>140</v>
      </c>
      <c r="I1587" s="22" t="s">
        <v>856</v>
      </c>
      <c r="J1587" s="16">
        <f>IFERROR(INDEX(Aux_HH!$J$4:$J$31,MATCH($H1587&amp;"|"&amp;$I1587,Aux_HH!$A$4:$A$31,0)),"")</f>
        <v>2.5</v>
      </c>
      <c r="K1587" s="16" t="s">
        <v>76</v>
      </c>
      <c r="L1587" s="16" t="str">
        <f>IF(COUNTIFS(Pessoas!$C$5:$C$44,$K1587,Pessoas!$G$5:$G$44,"Ativo")=0,"Equipe "&amp;$K1587,INDEX(Pessoas!$A$5:$A$44,_xludf.aggregate(15,6,(ROW(Pessoas!$A$5:$A$44)-4)/((Pessoas!$C$5:$C$44=$K1587)*(Pessoas!$G$5:$G$44="Ativo")),MOD(ROW()-6,MAX(1,COUNTIFS(Pessoas!$C$5:$C$44,$K1587,Pessoas!$G$5:$G$44,"Ativo")))+1)))</f>
        <v>Equipe Oficina Mecânica Central-Taisa</v>
      </c>
    </row>
    <row r="1588" spans="1:12" ht="15" customHeight="1" x14ac:dyDescent="0.4">
      <c r="A1588" s="25">
        <v>46483</v>
      </c>
      <c r="B1588" s="16">
        <v>32</v>
      </c>
      <c r="C1588" s="16">
        <v>3</v>
      </c>
      <c r="D1588" s="16">
        <v>4</v>
      </c>
      <c r="E1588" s="16" t="s">
        <v>1371</v>
      </c>
      <c r="F1588" s="16" t="s">
        <v>1128</v>
      </c>
      <c r="G1588" s="16" t="s">
        <v>184</v>
      </c>
      <c r="H1588" s="16" t="s">
        <v>140</v>
      </c>
      <c r="I1588" s="22" t="s">
        <v>856</v>
      </c>
      <c r="J1588" s="16">
        <f>IFERROR(INDEX(Aux_HH!$J$4:$J$31,MATCH($H1588&amp;"|"&amp;$I1588,Aux_HH!$A$4:$A$31,0)),"")</f>
        <v>2.5</v>
      </c>
      <c r="K1588" s="16" t="s">
        <v>76</v>
      </c>
      <c r="L1588" s="16" t="str">
        <f>IF(COUNTIFS(Pessoas!$C$5:$C$44,$K1588,Pessoas!$G$5:$G$44,"Ativo")=0,"Equipe "&amp;$K1588,INDEX(Pessoas!$A$5:$A$44,_xludf.aggregate(15,6,(ROW(Pessoas!$A$5:$A$44)-4)/((Pessoas!$C$5:$C$44=$K1588)*(Pessoas!$G$5:$G$44="Ativo")),MOD(ROW()-6,MAX(1,COUNTIFS(Pessoas!$C$5:$C$44,$K1588,Pessoas!$G$5:$G$44,"Ativo")))+1)))</f>
        <v>Equipe Oficina Mecânica Central-Taisa</v>
      </c>
    </row>
    <row r="1589" spans="1:12" ht="15" customHeight="1" x14ac:dyDescent="0.4">
      <c r="A1589" s="25">
        <v>46483</v>
      </c>
      <c r="B1589" s="16">
        <v>32</v>
      </c>
      <c r="C1589" s="16">
        <v>3</v>
      </c>
      <c r="D1589" s="16">
        <v>4</v>
      </c>
      <c r="E1589" s="16" t="s">
        <v>1371</v>
      </c>
      <c r="F1589" s="16" t="s">
        <v>1129</v>
      </c>
      <c r="G1589" s="16" t="s">
        <v>184</v>
      </c>
      <c r="H1589" s="16" t="s">
        <v>140</v>
      </c>
      <c r="I1589" s="22" t="s">
        <v>856</v>
      </c>
      <c r="J1589" s="16">
        <f>IFERROR(INDEX(Aux_HH!$J$4:$J$31,MATCH($H1589&amp;"|"&amp;$I1589,Aux_HH!$A$4:$A$31,0)),"")</f>
        <v>2.5</v>
      </c>
      <c r="K1589" s="16" t="s">
        <v>76</v>
      </c>
      <c r="L1589" s="16" t="str">
        <f>IF(COUNTIFS(Pessoas!$C$5:$C$44,$K1589,Pessoas!$G$5:$G$44,"Ativo")=0,"Equipe "&amp;$K1589,INDEX(Pessoas!$A$5:$A$44,_xludf.aggregate(15,6,(ROW(Pessoas!$A$5:$A$44)-4)/((Pessoas!$C$5:$C$44=$K1589)*(Pessoas!$G$5:$G$44="Ativo")),MOD(ROW()-6,MAX(1,COUNTIFS(Pessoas!$C$5:$C$44,$K1589,Pessoas!$G$5:$G$44,"Ativo")))+1)))</f>
        <v>Equipe Oficina Mecânica Central-Taisa</v>
      </c>
    </row>
    <row r="1590" spans="1:12" ht="15" customHeight="1" x14ac:dyDescent="0.4">
      <c r="A1590" s="25">
        <v>46483</v>
      </c>
      <c r="B1590" s="16">
        <v>32</v>
      </c>
      <c r="C1590" s="16">
        <v>3</v>
      </c>
      <c r="D1590" s="16">
        <v>4</v>
      </c>
      <c r="E1590" s="16" t="s">
        <v>1371</v>
      </c>
      <c r="F1590" s="16" t="s">
        <v>1130</v>
      </c>
      <c r="G1590" s="16" t="s">
        <v>184</v>
      </c>
      <c r="H1590" s="16" t="s">
        <v>140</v>
      </c>
      <c r="I1590" s="22" t="s">
        <v>856</v>
      </c>
      <c r="J1590" s="16">
        <f>IFERROR(INDEX(Aux_HH!$J$4:$J$31,MATCH($H1590&amp;"|"&amp;$I1590,Aux_HH!$A$4:$A$31,0)),"")</f>
        <v>2.5</v>
      </c>
      <c r="K1590" s="16" t="s">
        <v>76</v>
      </c>
      <c r="L1590" s="16" t="str">
        <f>IF(COUNTIFS(Pessoas!$C$5:$C$44,$K1590,Pessoas!$G$5:$G$44,"Ativo")=0,"Equipe "&amp;$K1590,INDEX(Pessoas!$A$5:$A$44,_xludf.aggregate(15,6,(ROW(Pessoas!$A$5:$A$44)-4)/((Pessoas!$C$5:$C$44=$K1590)*(Pessoas!$G$5:$G$44="Ativo")),MOD(ROW()-6,MAX(1,COUNTIFS(Pessoas!$C$5:$C$44,$K1590,Pessoas!$G$5:$G$44,"Ativo")))+1)))</f>
        <v>Equipe Oficina Mecânica Central-Taisa</v>
      </c>
    </row>
    <row r="1591" spans="1:12" ht="15" customHeight="1" x14ac:dyDescent="0.4">
      <c r="A1591" s="25">
        <v>46483</v>
      </c>
      <c r="B1591" s="16">
        <v>32</v>
      </c>
      <c r="C1591" s="16">
        <v>3</v>
      </c>
      <c r="D1591" s="16">
        <v>4</v>
      </c>
      <c r="E1591" s="16" t="s">
        <v>1371</v>
      </c>
      <c r="F1591" s="16" t="s">
        <v>1131</v>
      </c>
      <c r="G1591" s="16" t="s">
        <v>526</v>
      </c>
      <c r="H1591" s="16" t="s">
        <v>140</v>
      </c>
      <c r="I1591" s="22" t="s">
        <v>856</v>
      </c>
      <c r="J1591" s="16">
        <f>IFERROR(INDEX(Aux_HH!$J$4:$J$31,MATCH($H1591&amp;"|"&amp;$I1591,Aux_HH!$A$4:$A$31,0)),"")</f>
        <v>2.5</v>
      </c>
      <c r="K1591" s="16" t="s">
        <v>76</v>
      </c>
      <c r="L1591" s="16" t="str">
        <f>IF(COUNTIFS(Pessoas!$C$5:$C$44,$K1591,Pessoas!$G$5:$G$44,"Ativo")=0,"Equipe "&amp;$K1591,INDEX(Pessoas!$A$5:$A$44,_xludf.aggregate(15,6,(ROW(Pessoas!$A$5:$A$44)-4)/((Pessoas!$C$5:$C$44=$K1591)*(Pessoas!$G$5:$G$44="Ativo")),MOD(ROW()-6,MAX(1,COUNTIFS(Pessoas!$C$5:$C$44,$K1591,Pessoas!$G$5:$G$44,"Ativo")))+1)))</f>
        <v>Equipe Oficina Mecânica Central-Taisa</v>
      </c>
    </row>
    <row r="1592" spans="1:12" ht="15" customHeight="1" x14ac:dyDescent="0.4">
      <c r="A1592" s="25">
        <v>46483</v>
      </c>
      <c r="B1592" s="16">
        <v>32</v>
      </c>
      <c r="C1592" s="16">
        <v>3</v>
      </c>
      <c r="D1592" s="16">
        <v>4</v>
      </c>
      <c r="E1592" s="16" t="s">
        <v>1371</v>
      </c>
      <c r="F1592" s="16" t="s">
        <v>1132</v>
      </c>
      <c r="G1592" s="16" t="s">
        <v>184</v>
      </c>
      <c r="H1592" s="16" t="s">
        <v>140</v>
      </c>
      <c r="I1592" s="22" t="s">
        <v>856</v>
      </c>
      <c r="J1592" s="16">
        <f>IFERROR(INDEX(Aux_HH!$J$4:$J$31,MATCH($H1592&amp;"|"&amp;$I1592,Aux_HH!$A$4:$A$31,0)),"")</f>
        <v>2.5</v>
      </c>
      <c r="K1592" s="16" t="s">
        <v>76</v>
      </c>
      <c r="L1592" s="16" t="str">
        <f>IF(COUNTIFS(Pessoas!$C$5:$C$44,$K1592,Pessoas!$G$5:$G$44,"Ativo")=0,"Equipe "&amp;$K1592,INDEX(Pessoas!$A$5:$A$44,_xludf.aggregate(15,6,(ROW(Pessoas!$A$5:$A$44)-4)/((Pessoas!$C$5:$C$44=$K1592)*(Pessoas!$G$5:$G$44="Ativo")),MOD(ROW()-6,MAX(1,COUNTIFS(Pessoas!$C$5:$C$44,$K1592,Pessoas!$G$5:$G$44,"Ativo")))+1)))</f>
        <v>Equipe Oficina Mecânica Central-Taisa</v>
      </c>
    </row>
    <row r="1593" spans="1:12" ht="15" customHeight="1" x14ac:dyDescent="0.4">
      <c r="A1593" s="25">
        <v>46483</v>
      </c>
      <c r="B1593" s="16">
        <v>32</v>
      </c>
      <c r="C1593" s="16">
        <v>3</v>
      </c>
      <c r="D1593" s="16">
        <v>4</v>
      </c>
      <c r="E1593" s="16" t="s">
        <v>1371</v>
      </c>
      <c r="F1593" s="16" t="s">
        <v>1133</v>
      </c>
      <c r="G1593" s="16" t="s">
        <v>526</v>
      </c>
      <c r="H1593" s="16" t="s">
        <v>140</v>
      </c>
      <c r="I1593" s="22" t="s">
        <v>856</v>
      </c>
      <c r="J1593" s="16">
        <f>IFERROR(INDEX(Aux_HH!$J$4:$J$31,MATCH($H1593&amp;"|"&amp;$I1593,Aux_HH!$A$4:$A$31,0)),"")</f>
        <v>2.5</v>
      </c>
      <c r="K1593" s="16" t="s">
        <v>76</v>
      </c>
      <c r="L1593" s="16" t="str">
        <f>IF(COUNTIFS(Pessoas!$C$5:$C$44,$K1593,Pessoas!$G$5:$G$44,"Ativo")=0,"Equipe "&amp;$K1593,INDEX(Pessoas!$A$5:$A$44,_xludf.aggregate(15,6,(ROW(Pessoas!$A$5:$A$44)-4)/((Pessoas!$C$5:$C$44=$K1593)*(Pessoas!$G$5:$G$44="Ativo")),MOD(ROW()-6,MAX(1,COUNTIFS(Pessoas!$C$5:$C$44,$K1593,Pessoas!$G$5:$G$44,"Ativo")))+1)))</f>
        <v>Equipe Oficina Mecânica Central-Taisa</v>
      </c>
    </row>
    <row r="1594" spans="1:12" ht="15" customHeight="1" x14ac:dyDescent="0.4">
      <c r="A1594" s="25">
        <v>46483</v>
      </c>
      <c r="B1594" s="16">
        <v>32</v>
      </c>
      <c r="C1594" s="16">
        <v>3</v>
      </c>
      <c r="D1594" s="16">
        <v>4</v>
      </c>
      <c r="E1594" s="16" t="s">
        <v>1371</v>
      </c>
      <c r="F1594" s="16" t="s">
        <v>1134</v>
      </c>
      <c r="G1594" s="16" t="s">
        <v>526</v>
      </c>
      <c r="H1594" s="16" t="s">
        <v>140</v>
      </c>
      <c r="I1594" s="22" t="s">
        <v>856</v>
      </c>
      <c r="J1594" s="16">
        <f>IFERROR(INDEX(Aux_HH!$J$4:$J$31,MATCH($H1594&amp;"|"&amp;$I1594,Aux_HH!$A$4:$A$31,0)),"")</f>
        <v>2.5</v>
      </c>
      <c r="K1594" s="16" t="s">
        <v>76</v>
      </c>
      <c r="L1594" s="16" t="str">
        <f>IF(COUNTIFS(Pessoas!$C$5:$C$44,$K1594,Pessoas!$G$5:$G$44,"Ativo")=0,"Equipe "&amp;$K1594,INDEX(Pessoas!$A$5:$A$44,_xludf.aggregate(15,6,(ROW(Pessoas!$A$5:$A$44)-4)/((Pessoas!$C$5:$C$44=$K1594)*(Pessoas!$G$5:$G$44="Ativo")),MOD(ROW()-6,MAX(1,COUNTIFS(Pessoas!$C$5:$C$44,$K1594,Pessoas!$G$5:$G$44,"Ativo")))+1)))</f>
        <v>Equipe Oficina Mecânica Central-Taisa</v>
      </c>
    </row>
    <row r="1595" spans="1:12" ht="15" customHeight="1" x14ac:dyDescent="0.4">
      <c r="A1595" s="25">
        <v>46483</v>
      </c>
      <c r="B1595" s="16">
        <v>32</v>
      </c>
      <c r="C1595" s="16">
        <v>3</v>
      </c>
      <c r="D1595" s="16">
        <v>4</v>
      </c>
      <c r="E1595" s="16" t="s">
        <v>1371</v>
      </c>
      <c r="F1595" s="16" t="s">
        <v>1135</v>
      </c>
      <c r="G1595" s="16" t="s">
        <v>526</v>
      </c>
      <c r="H1595" s="16" t="s">
        <v>140</v>
      </c>
      <c r="I1595" s="22" t="s">
        <v>856</v>
      </c>
      <c r="J1595" s="16">
        <f>IFERROR(INDEX(Aux_HH!$J$4:$J$31,MATCH($H1595&amp;"|"&amp;$I1595,Aux_HH!$A$4:$A$31,0)),"")</f>
        <v>2.5</v>
      </c>
      <c r="K1595" s="16" t="s">
        <v>76</v>
      </c>
      <c r="L1595" s="16" t="str">
        <f>IF(COUNTIFS(Pessoas!$C$5:$C$44,$K1595,Pessoas!$G$5:$G$44,"Ativo")=0,"Equipe "&amp;$K1595,INDEX(Pessoas!$A$5:$A$44,_xludf.aggregate(15,6,(ROW(Pessoas!$A$5:$A$44)-4)/((Pessoas!$C$5:$C$44=$K1595)*(Pessoas!$G$5:$G$44="Ativo")),MOD(ROW()-6,MAX(1,COUNTIFS(Pessoas!$C$5:$C$44,$K1595,Pessoas!$G$5:$G$44,"Ativo")))+1)))</f>
        <v>Equipe Oficina Mecânica Central-Taisa</v>
      </c>
    </row>
    <row r="1596" spans="1:12" ht="15" customHeight="1" x14ac:dyDescent="0.4">
      <c r="A1596" s="25">
        <v>46483</v>
      </c>
      <c r="B1596" s="16">
        <v>32</v>
      </c>
      <c r="C1596" s="16">
        <v>3</v>
      </c>
      <c r="D1596" s="16">
        <v>4</v>
      </c>
      <c r="E1596" s="16" t="s">
        <v>1371</v>
      </c>
      <c r="F1596" s="16" t="s">
        <v>1136</v>
      </c>
      <c r="G1596" s="16" t="s">
        <v>526</v>
      </c>
      <c r="H1596" s="16" t="s">
        <v>140</v>
      </c>
      <c r="I1596" s="22" t="s">
        <v>856</v>
      </c>
      <c r="J1596" s="16">
        <f>IFERROR(INDEX(Aux_HH!$J$4:$J$31,MATCH($H1596&amp;"|"&amp;$I1596,Aux_HH!$A$4:$A$31,0)),"")</f>
        <v>2.5</v>
      </c>
      <c r="K1596" s="16" t="s">
        <v>76</v>
      </c>
      <c r="L1596" s="16" t="str">
        <f>IF(COUNTIFS(Pessoas!$C$5:$C$44,$K1596,Pessoas!$G$5:$G$44,"Ativo")=0,"Equipe "&amp;$K1596,INDEX(Pessoas!$A$5:$A$44,_xludf.aggregate(15,6,(ROW(Pessoas!$A$5:$A$44)-4)/((Pessoas!$C$5:$C$44=$K1596)*(Pessoas!$G$5:$G$44="Ativo")),MOD(ROW()-6,MAX(1,COUNTIFS(Pessoas!$C$5:$C$44,$K1596,Pessoas!$G$5:$G$44,"Ativo")))+1)))</f>
        <v>Equipe Oficina Mecânica Central-Taisa</v>
      </c>
    </row>
    <row r="1597" spans="1:12" ht="15" customHeight="1" x14ac:dyDescent="0.4">
      <c r="A1597" s="25">
        <v>46483</v>
      </c>
      <c r="B1597" s="16">
        <v>32</v>
      </c>
      <c r="C1597" s="16">
        <v>3</v>
      </c>
      <c r="D1597" s="16">
        <v>4</v>
      </c>
      <c r="E1597" s="16" t="s">
        <v>1371</v>
      </c>
      <c r="F1597" s="16" t="s">
        <v>1158</v>
      </c>
      <c r="G1597" s="16" t="s">
        <v>526</v>
      </c>
      <c r="H1597" s="16" t="s">
        <v>140</v>
      </c>
      <c r="I1597" s="22" t="s">
        <v>856</v>
      </c>
      <c r="J1597" s="16">
        <f>IFERROR(INDEX(Aux_HH!$J$4:$J$31,MATCH($H1597&amp;"|"&amp;$I1597,Aux_HH!$A$4:$A$31,0)),"")</f>
        <v>2.5</v>
      </c>
      <c r="K1597" s="16" t="s">
        <v>76</v>
      </c>
      <c r="L1597" s="16" t="str">
        <f>IF(COUNTIFS(Pessoas!$C$5:$C$44,$K1597,Pessoas!$G$5:$G$44,"Ativo")=0,"Equipe "&amp;$K1597,INDEX(Pessoas!$A$5:$A$44,_xludf.aggregate(15,6,(ROW(Pessoas!$A$5:$A$44)-4)/((Pessoas!$C$5:$C$44=$K1597)*(Pessoas!$G$5:$G$44="Ativo")),MOD(ROW()-6,MAX(1,COUNTIFS(Pessoas!$C$5:$C$44,$K1597,Pessoas!$G$5:$G$44,"Ativo")))+1)))</f>
        <v>Equipe Oficina Mecânica Central-Taisa</v>
      </c>
    </row>
    <row r="1598" spans="1:12" ht="15" customHeight="1" x14ac:dyDescent="0.4">
      <c r="A1598" s="25">
        <v>46483</v>
      </c>
      <c r="B1598" s="16">
        <v>32</v>
      </c>
      <c r="C1598" s="16">
        <v>3</v>
      </c>
      <c r="D1598" s="16">
        <v>4</v>
      </c>
      <c r="E1598" s="16" t="s">
        <v>1371</v>
      </c>
      <c r="F1598" s="16" t="s">
        <v>1159</v>
      </c>
      <c r="G1598" s="16" t="s">
        <v>526</v>
      </c>
      <c r="H1598" s="16" t="s">
        <v>140</v>
      </c>
      <c r="I1598" s="22" t="s">
        <v>856</v>
      </c>
      <c r="J1598" s="16">
        <f>IFERROR(INDEX(Aux_HH!$J$4:$J$31,MATCH($H1598&amp;"|"&amp;$I1598,Aux_HH!$A$4:$A$31,0)),"")</f>
        <v>2.5</v>
      </c>
      <c r="K1598" s="16" t="s">
        <v>76</v>
      </c>
      <c r="L1598" s="16" t="str">
        <f>IF(COUNTIFS(Pessoas!$C$5:$C$44,$K1598,Pessoas!$G$5:$G$44,"Ativo")=0,"Equipe "&amp;$K1598,INDEX(Pessoas!$A$5:$A$44,_xludf.aggregate(15,6,(ROW(Pessoas!$A$5:$A$44)-4)/((Pessoas!$C$5:$C$44=$K1598)*(Pessoas!$G$5:$G$44="Ativo")),MOD(ROW()-6,MAX(1,COUNTIFS(Pessoas!$C$5:$C$44,$K1598,Pessoas!$G$5:$G$44,"Ativo")))+1)))</f>
        <v>Equipe Oficina Mecânica Central-Taisa</v>
      </c>
    </row>
    <row r="1599" spans="1:12" ht="15" customHeight="1" x14ac:dyDescent="0.4">
      <c r="A1599" s="25">
        <v>46483</v>
      </c>
      <c r="B1599" s="16">
        <v>32</v>
      </c>
      <c r="C1599" s="16">
        <v>3</v>
      </c>
      <c r="D1599" s="16">
        <v>4</v>
      </c>
      <c r="E1599" s="16" t="s">
        <v>1371</v>
      </c>
      <c r="F1599" s="16" t="s">
        <v>1160</v>
      </c>
      <c r="G1599" s="16" t="s">
        <v>526</v>
      </c>
      <c r="H1599" s="16" t="s">
        <v>140</v>
      </c>
      <c r="I1599" s="22" t="s">
        <v>856</v>
      </c>
      <c r="J1599" s="16">
        <f>IFERROR(INDEX(Aux_HH!$J$4:$J$31,MATCH($H1599&amp;"|"&amp;$I1599,Aux_HH!$A$4:$A$31,0)),"")</f>
        <v>2.5</v>
      </c>
      <c r="K1599" s="16" t="s">
        <v>76</v>
      </c>
      <c r="L1599" s="16" t="str">
        <f>IF(COUNTIFS(Pessoas!$C$5:$C$44,$K1599,Pessoas!$G$5:$G$44,"Ativo")=0,"Equipe "&amp;$K1599,INDEX(Pessoas!$A$5:$A$44,_xludf.aggregate(15,6,(ROW(Pessoas!$A$5:$A$44)-4)/((Pessoas!$C$5:$C$44=$K1599)*(Pessoas!$G$5:$G$44="Ativo")),MOD(ROW()-6,MAX(1,COUNTIFS(Pessoas!$C$5:$C$44,$K1599,Pessoas!$G$5:$G$44,"Ativo")))+1)))</f>
        <v>Equipe Oficina Mecânica Central-Taisa</v>
      </c>
    </row>
    <row r="1600" spans="1:12" ht="15" customHeight="1" x14ac:dyDescent="0.4">
      <c r="A1600" s="25">
        <v>46483</v>
      </c>
      <c r="B1600" s="16">
        <v>32</v>
      </c>
      <c r="C1600" s="16">
        <v>3</v>
      </c>
      <c r="D1600" s="16">
        <v>4</v>
      </c>
      <c r="E1600" s="16" t="s">
        <v>1371</v>
      </c>
      <c r="F1600" s="16" t="s">
        <v>1161</v>
      </c>
      <c r="G1600" s="16" t="s">
        <v>526</v>
      </c>
      <c r="H1600" s="16" t="s">
        <v>140</v>
      </c>
      <c r="I1600" s="22" t="s">
        <v>856</v>
      </c>
      <c r="J1600" s="16">
        <f>IFERROR(INDEX(Aux_HH!$J$4:$J$31,MATCH($H1600&amp;"|"&amp;$I1600,Aux_HH!$A$4:$A$31,0)),"")</f>
        <v>2.5</v>
      </c>
      <c r="K1600" s="16" t="s">
        <v>76</v>
      </c>
      <c r="L1600" s="16" t="str">
        <f>IF(COUNTIFS(Pessoas!$C$5:$C$44,$K1600,Pessoas!$G$5:$G$44,"Ativo")=0,"Equipe "&amp;$K1600,INDEX(Pessoas!$A$5:$A$44,_xludf.aggregate(15,6,(ROW(Pessoas!$A$5:$A$44)-4)/((Pessoas!$C$5:$C$44=$K1600)*(Pessoas!$G$5:$G$44="Ativo")),MOD(ROW()-6,MAX(1,COUNTIFS(Pessoas!$C$5:$C$44,$K1600,Pessoas!$G$5:$G$44,"Ativo")))+1)))</f>
        <v>Equipe Oficina Mecânica Central-Taisa</v>
      </c>
    </row>
    <row r="1601" spans="1:12" ht="15" customHeight="1" x14ac:dyDescent="0.4">
      <c r="A1601" s="25">
        <v>46483</v>
      </c>
      <c r="B1601" s="16">
        <v>32</v>
      </c>
      <c r="C1601" s="16">
        <v>3</v>
      </c>
      <c r="D1601" s="16">
        <v>4</v>
      </c>
      <c r="E1601" s="16" t="s">
        <v>1371</v>
      </c>
      <c r="F1601" s="16" t="s">
        <v>1164</v>
      </c>
      <c r="G1601" s="16" t="s">
        <v>184</v>
      </c>
      <c r="H1601" s="16" t="s">
        <v>140</v>
      </c>
      <c r="I1601" s="22" t="s">
        <v>856</v>
      </c>
      <c r="J1601" s="16">
        <f>IFERROR(INDEX(Aux_HH!$J$4:$J$31,MATCH($H1601&amp;"|"&amp;$I1601,Aux_HH!$A$4:$A$31,0)),"")</f>
        <v>2.5</v>
      </c>
      <c r="K1601" s="16" t="s">
        <v>76</v>
      </c>
      <c r="L1601" s="16" t="str">
        <f>IF(COUNTIFS(Pessoas!$C$5:$C$44,$K1601,Pessoas!$G$5:$G$44,"Ativo")=0,"Equipe "&amp;$K1601,INDEX(Pessoas!$A$5:$A$44,_xludf.aggregate(15,6,(ROW(Pessoas!$A$5:$A$44)-4)/((Pessoas!$C$5:$C$44=$K1601)*(Pessoas!$G$5:$G$44="Ativo")),MOD(ROW()-6,MAX(1,COUNTIFS(Pessoas!$C$5:$C$44,$K1601,Pessoas!$G$5:$G$44,"Ativo")))+1)))</f>
        <v>Equipe Oficina Mecânica Central-Taisa</v>
      </c>
    </row>
    <row r="1602" spans="1:12" ht="15" customHeight="1" x14ac:dyDescent="0.4">
      <c r="A1602" s="25">
        <v>46483</v>
      </c>
      <c r="B1602" s="16">
        <v>32</v>
      </c>
      <c r="C1602" s="16">
        <v>3</v>
      </c>
      <c r="D1602" s="16">
        <v>4</v>
      </c>
      <c r="E1602" s="16" t="s">
        <v>1371</v>
      </c>
      <c r="F1602" s="16" t="s">
        <v>1165</v>
      </c>
      <c r="G1602" s="16" t="s">
        <v>184</v>
      </c>
      <c r="H1602" s="16" t="s">
        <v>140</v>
      </c>
      <c r="I1602" s="22" t="s">
        <v>856</v>
      </c>
      <c r="J1602" s="16">
        <f>IFERROR(INDEX(Aux_HH!$J$4:$J$31,MATCH($H1602&amp;"|"&amp;$I1602,Aux_HH!$A$4:$A$31,0)),"")</f>
        <v>2.5</v>
      </c>
      <c r="K1602" s="16" t="s">
        <v>76</v>
      </c>
      <c r="L1602" s="16" t="str">
        <f>IF(COUNTIFS(Pessoas!$C$5:$C$44,$K1602,Pessoas!$G$5:$G$44,"Ativo")=0,"Equipe "&amp;$K1602,INDEX(Pessoas!$A$5:$A$44,_xludf.aggregate(15,6,(ROW(Pessoas!$A$5:$A$44)-4)/((Pessoas!$C$5:$C$44=$K1602)*(Pessoas!$G$5:$G$44="Ativo")),MOD(ROW()-6,MAX(1,COUNTIFS(Pessoas!$C$5:$C$44,$K1602,Pessoas!$G$5:$G$44,"Ativo")))+1)))</f>
        <v>Equipe Oficina Mecânica Central-Taisa</v>
      </c>
    </row>
    <row r="1603" spans="1:12" ht="15" customHeight="1" x14ac:dyDescent="0.4">
      <c r="A1603" s="25">
        <v>46483</v>
      </c>
      <c r="B1603" s="16">
        <v>32</v>
      </c>
      <c r="C1603" s="16">
        <v>3</v>
      </c>
      <c r="D1603" s="16">
        <v>4</v>
      </c>
      <c r="E1603" s="16" t="s">
        <v>1371</v>
      </c>
      <c r="F1603" s="16" t="s">
        <v>1166</v>
      </c>
      <c r="G1603" s="16" t="s">
        <v>526</v>
      </c>
      <c r="H1603" s="16" t="s">
        <v>140</v>
      </c>
      <c r="I1603" s="22" t="s">
        <v>856</v>
      </c>
      <c r="J1603" s="16">
        <f>IFERROR(INDEX(Aux_HH!$J$4:$J$31,MATCH($H1603&amp;"|"&amp;$I1603,Aux_HH!$A$4:$A$31,0)),"")</f>
        <v>2.5</v>
      </c>
      <c r="K1603" s="16" t="s">
        <v>76</v>
      </c>
      <c r="L1603" s="16" t="str">
        <f>IF(COUNTIFS(Pessoas!$C$5:$C$44,$K1603,Pessoas!$G$5:$G$44,"Ativo")=0,"Equipe "&amp;$K1603,INDEX(Pessoas!$A$5:$A$44,_xludf.aggregate(15,6,(ROW(Pessoas!$A$5:$A$44)-4)/((Pessoas!$C$5:$C$44=$K1603)*(Pessoas!$G$5:$G$44="Ativo")),MOD(ROW()-6,MAX(1,COUNTIFS(Pessoas!$C$5:$C$44,$K1603,Pessoas!$G$5:$G$44,"Ativo")))+1)))</f>
        <v>Equipe Oficina Mecânica Central-Taisa</v>
      </c>
    </row>
    <row r="1604" spans="1:12" ht="15" customHeight="1" x14ac:dyDescent="0.4">
      <c r="A1604" s="25">
        <v>46483</v>
      </c>
      <c r="B1604" s="16">
        <v>32</v>
      </c>
      <c r="C1604" s="16">
        <v>3</v>
      </c>
      <c r="D1604" s="16">
        <v>4</v>
      </c>
      <c r="E1604" s="16" t="s">
        <v>1371</v>
      </c>
      <c r="F1604" s="16" t="s">
        <v>1167</v>
      </c>
      <c r="G1604" s="16" t="s">
        <v>526</v>
      </c>
      <c r="H1604" s="16" t="s">
        <v>140</v>
      </c>
      <c r="I1604" s="22" t="s">
        <v>856</v>
      </c>
      <c r="J1604" s="16">
        <f>IFERROR(INDEX(Aux_HH!$J$4:$J$31,MATCH($H1604&amp;"|"&amp;$I1604,Aux_HH!$A$4:$A$31,0)),"")</f>
        <v>2.5</v>
      </c>
      <c r="K1604" s="16" t="s">
        <v>76</v>
      </c>
      <c r="L1604" s="16" t="str">
        <f>IF(COUNTIFS(Pessoas!$C$5:$C$44,$K1604,Pessoas!$G$5:$G$44,"Ativo")=0,"Equipe "&amp;$K1604,INDEX(Pessoas!$A$5:$A$44,_xludf.aggregate(15,6,(ROW(Pessoas!$A$5:$A$44)-4)/((Pessoas!$C$5:$C$44=$K1604)*(Pessoas!$G$5:$G$44="Ativo")),MOD(ROW()-6,MAX(1,COUNTIFS(Pessoas!$C$5:$C$44,$K1604,Pessoas!$G$5:$G$44,"Ativo")))+1)))</f>
        <v>Equipe Oficina Mecânica Central-Taisa</v>
      </c>
    </row>
    <row r="1605" spans="1:12" ht="15" customHeight="1" x14ac:dyDescent="0.4">
      <c r="A1605" s="25">
        <v>46483</v>
      </c>
      <c r="B1605" s="16">
        <v>32</v>
      </c>
      <c r="C1605" s="16">
        <v>3</v>
      </c>
      <c r="D1605" s="16">
        <v>4</v>
      </c>
      <c r="E1605" s="16" t="s">
        <v>1371</v>
      </c>
      <c r="F1605" s="16" t="s">
        <v>1168</v>
      </c>
      <c r="G1605" s="16" t="s">
        <v>526</v>
      </c>
      <c r="H1605" s="16" t="s">
        <v>140</v>
      </c>
      <c r="I1605" s="22" t="s">
        <v>856</v>
      </c>
      <c r="J1605" s="16">
        <f>IFERROR(INDEX(Aux_HH!$J$4:$J$31,MATCH($H1605&amp;"|"&amp;$I1605,Aux_HH!$A$4:$A$31,0)),"")</f>
        <v>2.5</v>
      </c>
      <c r="K1605" s="16" t="s">
        <v>76</v>
      </c>
      <c r="L1605" s="16" t="str">
        <f>IF(COUNTIFS(Pessoas!$C$5:$C$44,$K1605,Pessoas!$G$5:$G$44,"Ativo")=0,"Equipe "&amp;$K1605,INDEX(Pessoas!$A$5:$A$44,_xludf.aggregate(15,6,(ROW(Pessoas!$A$5:$A$44)-4)/((Pessoas!$C$5:$C$44=$K1605)*(Pessoas!$G$5:$G$44="Ativo")),MOD(ROW()-6,MAX(1,COUNTIFS(Pessoas!$C$5:$C$44,$K1605,Pessoas!$G$5:$G$44,"Ativo")))+1)))</f>
        <v>Equipe Oficina Mecânica Central-Taisa</v>
      </c>
    </row>
    <row r="1606" spans="1:12" ht="15" customHeight="1" x14ac:dyDescent="0.4">
      <c r="A1606" s="25">
        <v>46484</v>
      </c>
      <c r="B1606" s="16">
        <v>32</v>
      </c>
      <c r="C1606" s="16">
        <v>3</v>
      </c>
      <c r="D1606" s="16">
        <v>4</v>
      </c>
      <c r="E1606" s="16" t="s">
        <v>1371</v>
      </c>
      <c r="F1606" s="16" t="s">
        <v>1170</v>
      </c>
      <c r="G1606" s="16" t="s">
        <v>526</v>
      </c>
      <c r="H1606" s="16" t="s">
        <v>140</v>
      </c>
      <c r="I1606" s="22" t="s">
        <v>856</v>
      </c>
      <c r="J1606" s="16">
        <f>IFERROR(INDEX(Aux_HH!$J$4:$J$31,MATCH($H1606&amp;"|"&amp;$I1606,Aux_HH!$A$4:$A$31,0)),"")</f>
        <v>2.5</v>
      </c>
      <c r="K1606" s="16" t="s">
        <v>76</v>
      </c>
      <c r="L1606" s="16" t="str">
        <f>IF(COUNTIFS(Pessoas!$C$5:$C$44,$K1606,Pessoas!$G$5:$G$44,"Ativo")=0,"Equipe "&amp;$K1606,INDEX(Pessoas!$A$5:$A$44,_xludf.aggregate(15,6,(ROW(Pessoas!$A$5:$A$44)-4)/((Pessoas!$C$5:$C$44=$K1606)*(Pessoas!$G$5:$G$44="Ativo")),MOD(ROW()-6,MAX(1,COUNTIFS(Pessoas!$C$5:$C$44,$K1606,Pessoas!$G$5:$G$44,"Ativo")))+1)))</f>
        <v>Equipe Oficina Mecânica Central-Taisa</v>
      </c>
    </row>
    <row r="1607" spans="1:12" ht="15" customHeight="1" x14ac:dyDescent="0.4">
      <c r="A1607" s="25">
        <v>46484</v>
      </c>
      <c r="B1607" s="16">
        <v>32</v>
      </c>
      <c r="C1607" s="16">
        <v>3</v>
      </c>
      <c r="D1607" s="16">
        <v>4</v>
      </c>
      <c r="E1607" s="16" t="s">
        <v>1371</v>
      </c>
      <c r="F1607" s="16" t="s">
        <v>1171</v>
      </c>
      <c r="G1607" s="16" t="s">
        <v>526</v>
      </c>
      <c r="H1607" s="16" t="s">
        <v>140</v>
      </c>
      <c r="I1607" s="22" t="s">
        <v>856</v>
      </c>
      <c r="J1607" s="16">
        <f>IFERROR(INDEX(Aux_HH!$J$4:$J$31,MATCH($H1607&amp;"|"&amp;$I1607,Aux_HH!$A$4:$A$31,0)),"")</f>
        <v>2.5</v>
      </c>
      <c r="K1607" s="16" t="s">
        <v>76</v>
      </c>
      <c r="L1607" s="16" t="str">
        <f>IF(COUNTIFS(Pessoas!$C$5:$C$44,$K1607,Pessoas!$G$5:$G$44,"Ativo")=0,"Equipe "&amp;$K1607,INDEX(Pessoas!$A$5:$A$44,_xludf.aggregate(15,6,(ROW(Pessoas!$A$5:$A$44)-4)/((Pessoas!$C$5:$C$44=$K1607)*(Pessoas!$G$5:$G$44="Ativo")),MOD(ROW()-6,MAX(1,COUNTIFS(Pessoas!$C$5:$C$44,$K1607,Pessoas!$G$5:$G$44,"Ativo")))+1)))</f>
        <v>Equipe Oficina Mecânica Central-Taisa</v>
      </c>
    </row>
    <row r="1608" spans="1:12" ht="15" customHeight="1" x14ac:dyDescent="0.4">
      <c r="A1608" s="25">
        <v>46484</v>
      </c>
      <c r="B1608" s="16">
        <v>32</v>
      </c>
      <c r="C1608" s="16">
        <v>3</v>
      </c>
      <c r="D1608" s="16">
        <v>4</v>
      </c>
      <c r="E1608" s="16" t="s">
        <v>1371</v>
      </c>
      <c r="F1608" s="16" t="s">
        <v>1172</v>
      </c>
      <c r="G1608" s="16" t="s">
        <v>526</v>
      </c>
      <c r="H1608" s="16" t="s">
        <v>140</v>
      </c>
      <c r="I1608" s="22" t="s">
        <v>856</v>
      </c>
      <c r="J1608" s="16">
        <f>IFERROR(INDEX(Aux_HH!$J$4:$J$31,MATCH($H1608&amp;"|"&amp;$I1608,Aux_HH!$A$4:$A$31,0)),"")</f>
        <v>2.5</v>
      </c>
      <c r="K1608" s="16" t="s">
        <v>76</v>
      </c>
      <c r="L1608" s="16" t="str">
        <f>IF(COUNTIFS(Pessoas!$C$5:$C$44,$K1608,Pessoas!$G$5:$G$44,"Ativo")=0,"Equipe "&amp;$K1608,INDEX(Pessoas!$A$5:$A$44,_xludf.aggregate(15,6,(ROW(Pessoas!$A$5:$A$44)-4)/((Pessoas!$C$5:$C$44=$K1608)*(Pessoas!$G$5:$G$44="Ativo")),MOD(ROW()-6,MAX(1,COUNTIFS(Pessoas!$C$5:$C$44,$K1608,Pessoas!$G$5:$G$44,"Ativo")))+1)))</f>
        <v>Equipe Oficina Mecânica Central-Taisa</v>
      </c>
    </row>
    <row r="1609" spans="1:12" ht="15" customHeight="1" x14ac:dyDescent="0.4">
      <c r="A1609" s="25">
        <v>46484</v>
      </c>
      <c r="B1609" s="16">
        <v>32</v>
      </c>
      <c r="C1609" s="16">
        <v>3</v>
      </c>
      <c r="D1609" s="16">
        <v>4</v>
      </c>
      <c r="E1609" s="16" t="s">
        <v>1371</v>
      </c>
      <c r="F1609" s="16" t="s">
        <v>1173</v>
      </c>
      <c r="G1609" s="16" t="s">
        <v>184</v>
      </c>
      <c r="H1609" s="16" t="s">
        <v>140</v>
      </c>
      <c r="I1609" s="22" t="s">
        <v>856</v>
      </c>
      <c r="J1609" s="16">
        <f>IFERROR(INDEX(Aux_HH!$J$4:$J$31,MATCH($H1609&amp;"|"&amp;$I1609,Aux_HH!$A$4:$A$31,0)),"")</f>
        <v>2.5</v>
      </c>
      <c r="K1609" s="16" t="s">
        <v>76</v>
      </c>
      <c r="L1609" s="16" t="str">
        <f>IF(COUNTIFS(Pessoas!$C$5:$C$44,$K1609,Pessoas!$G$5:$G$44,"Ativo")=0,"Equipe "&amp;$K1609,INDEX(Pessoas!$A$5:$A$44,_xludf.aggregate(15,6,(ROW(Pessoas!$A$5:$A$44)-4)/((Pessoas!$C$5:$C$44=$K1609)*(Pessoas!$G$5:$G$44="Ativo")),MOD(ROW()-6,MAX(1,COUNTIFS(Pessoas!$C$5:$C$44,$K1609,Pessoas!$G$5:$G$44,"Ativo")))+1)))</f>
        <v>Equipe Oficina Mecânica Central-Taisa</v>
      </c>
    </row>
    <row r="1610" spans="1:12" ht="15" customHeight="1" x14ac:dyDescent="0.4">
      <c r="A1610" s="25">
        <v>46484</v>
      </c>
      <c r="B1610" s="16">
        <v>32</v>
      </c>
      <c r="C1610" s="16">
        <v>3</v>
      </c>
      <c r="D1610" s="16">
        <v>4</v>
      </c>
      <c r="E1610" s="16" t="s">
        <v>1371</v>
      </c>
      <c r="F1610" s="16" t="s">
        <v>1174</v>
      </c>
      <c r="G1610" s="16" t="s">
        <v>526</v>
      </c>
      <c r="H1610" s="16" t="s">
        <v>140</v>
      </c>
      <c r="I1610" s="22" t="s">
        <v>856</v>
      </c>
      <c r="J1610" s="16">
        <f>IFERROR(INDEX(Aux_HH!$J$4:$J$31,MATCH($H1610&amp;"|"&amp;$I1610,Aux_HH!$A$4:$A$31,0)),"")</f>
        <v>2.5</v>
      </c>
      <c r="K1610" s="16" t="s">
        <v>76</v>
      </c>
      <c r="L1610" s="16" t="str">
        <f>IF(COUNTIFS(Pessoas!$C$5:$C$44,$K1610,Pessoas!$G$5:$G$44,"Ativo")=0,"Equipe "&amp;$K1610,INDEX(Pessoas!$A$5:$A$44,_xludf.aggregate(15,6,(ROW(Pessoas!$A$5:$A$44)-4)/((Pessoas!$C$5:$C$44=$K1610)*(Pessoas!$G$5:$G$44="Ativo")),MOD(ROW()-6,MAX(1,COUNTIFS(Pessoas!$C$5:$C$44,$K1610,Pessoas!$G$5:$G$44,"Ativo")))+1)))</f>
        <v>Equipe Oficina Mecânica Central-Taisa</v>
      </c>
    </row>
    <row r="1611" spans="1:12" ht="15" customHeight="1" x14ac:dyDescent="0.4">
      <c r="A1611" s="25">
        <v>46484</v>
      </c>
      <c r="B1611" s="16">
        <v>32</v>
      </c>
      <c r="C1611" s="16">
        <v>3</v>
      </c>
      <c r="D1611" s="16">
        <v>4</v>
      </c>
      <c r="E1611" s="16" t="s">
        <v>1371</v>
      </c>
      <c r="F1611" s="16" t="s">
        <v>1175</v>
      </c>
      <c r="G1611" s="16" t="s">
        <v>184</v>
      </c>
      <c r="H1611" s="16" t="s">
        <v>140</v>
      </c>
      <c r="I1611" s="22" t="s">
        <v>856</v>
      </c>
      <c r="J1611" s="16">
        <f>IFERROR(INDEX(Aux_HH!$J$4:$J$31,MATCH($H1611&amp;"|"&amp;$I1611,Aux_HH!$A$4:$A$31,0)),"")</f>
        <v>2.5</v>
      </c>
      <c r="K1611" s="16" t="s">
        <v>76</v>
      </c>
      <c r="L1611" s="16" t="str">
        <f>IF(COUNTIFS(Pessoas!$C$5:$C$44,$K1611,Pessoas!$G$5:$G$44,"Ativo")=0,"Equipe "&amp;$K1611,INDEX(Pessoas!$A$5:$A$44,_xludf.aggregate(15,6,(ROW(Pessoas!$A$5:$A$44)-4)/((Pessoas!$C$5:$C$44=$K1611)*(Pessoas!$G$5:$G$44="Ativo")),MOD(ROW()-6,MAX(1,COUNTIFS(Pessoas!$C$5:$C$44,$K1611,Pessoas!$G$5:$G$44,"Ativo")))+1)))</f>
        <v>Equipe Oficina Mecânica Central-Taisa</v>
      </c>
    </row>
    <row r="1612" spans="1:12" ht="15" customHeight="1" x14ac:dyDescent="0.4">
      <c r="A1612" s="25">
        <v>46484</v>
      </c>
      <c r="B1612" s="16">
        <v>32</v>
      </c>
      <c r="C1612" s="16">
        <v>3</v>
      </c>
      <c r="D1612" s="16">
        <v>4</v>
      </c>
      <c r="E1612" s="16" t="s">
        <v>1371</v>
      </c>
      <c r="F1612" s="16" t="s">
        <v>1176</v>
      </c>
      <c r="G1612" s="16" t="s">
        <v>526</v>
      </c>
      <c r="H1612" s="16" t="s">
        <v>140</v>
      </c>
      <c r="I1612" s="22" t="s">
        <v>856</v>
      </c>
      <c r="J1612" s="16">
        <f>IFERROR(INDEX(Aux_HH!$J$4:$J$31,MATCH($H1612&amp;"|"&amp;$I1612,Aux_HH!$A$4:$A$31,0)),"")</f>
        <v>2.5</v>
      </c>
      <c r="K1612" s="16" t="s">
        <v>76</v>
      </c>
      <c r="L1612" s="16" t="str">
        <f>IF(COUNTIFS(Pessoas!$C$5:$C$44,$K1612,Pessoas!$G$5:$G$44,"Ativo")=0,"Equipe "&amp;$K1612,INDEX(Pessoas!$A$5:$A$44,_xludf.aggregate(15,6,(ROW(Pessoas!$A$5:$A$44)-4)/((Pessoas!$C$5:$C$44=$K1612)*(Pessoas!$G$5:$G$44="Ativo")),MOD(ROW()-6,MAX(1,COUNTIFS(Pessoas!$C$5:$C$44,$K1612,Pessoas!$G$5:$G$44,"Ativo")))+1)))</f>
        <v>Equipe Oficina Mecânica Central-Taisa</v>
      </c>
    </row>
    <row r="1613" spans="1:12" ht="15" customHeight="1" x14ac:dyDescent="0.4">
      <c r="A1613" s="25">
        <v>46484</v>
      </c>
      <c r="B1613" s="16">
        <v>32</v>
      </c>
      <c r="C1613" s="16">
        <v>3</v>
      </c>
      <c r="D1613" s="16">
        <v>4</v>
      </c>
      <c r="E1613" s="16" t="s">
        <v>1371</v>
      </c>
      <c r="F1613" s="16" t="s">
        <v>1177</v>
      </c>
      <c r="G1613" s="16" t="s">
        <v>526</v>
      </c>
      <c r="H1613" s="16" t="s">
        <v>140</v>
      </c>
      <c r="I1613" s="22" t="s">
        <v>856</v>
      </c>
      <c r="J1613" s="16">
        <f>IFERROR(INDEX(Aux_HH!$J$4:$J$31,MATCH($H1613&amp;"|"&amp;$I1613,Aux_HH!$A$4:$A$31,0)),"")</f>
        <v>2.5</v>
      </c>
      <c r="K1613" s="16" t="s">
        <v>76</v>
      </c>
      <c r="L1613" s="16" t="str">
        <f>IF(COUNTIFS(Pessoas!$C$5:$C$44,$K1613,Pessoas!$G$5:$G$44,"Ativo")=0,"Equipe "&amp;$K1613,INDEX(Pessoas!$A$5:$A$44,_xludf.aggregate(15,6,(ROW(Pessoas!$A$5:$A$44)-4)/((Pessoas!$C$5:$C$44=$K1613)*(Pessoas!$G$5:$G$44="Ativo")),MOD(ROW()-6,MAX(1,COUNTIFS(Pessoas!$C$5:$C$44,$K1613,Pessoas!$G$5:$G$44,"Ativo")))+1)))</f>
        <v>Equipe Oficina Mecânica Central-Taisa</v>
      </c>
    </row>
    <row r="1614" spans="1:12" ht="15" customHeight="1" x14ac:dyDescent="0.4">
      <c r="A1614" s="25">
        <v>46484</v>
      </c>
      <c r="B1614" s="16">
        <v>32</v>
      </c>
      <c r="C1614" s="16">
        <v>3</v>
      </c>
      <c r="D1614" s="16">
        <v>4</v>
      </c>
      <c r="E1614" s="16" t="s">
        <v>1371</v>
      </c>
      <c r="F1614" s="16" t="s">
        <v>1178</v>
      </c>
      <c r="G1614" s="16" t="s">
        <v>526</v>
      </c>
      <c r="H1614" s="16" t="s">
        <v>140</v>
      </c>
      <c r="I1614" s="22" t="s">
        <v>856</v>
      </c>
      <c r="J1614" s="16">
        <f>IFERROR(INDEX(Aux_HH!$J$4:$J$31,MATCH($H1614&amp;"|"&amp;$I1614,Aux_HH!$A$4:$A$31,0)),"")</f>
        <v>2.5</v>
      </c>
      <c r="K1614" s="16" t="s">
        <v>76</v>
      </c>
      <c r="L1614" s="16" t="str">
        <f>IF(COUNTIFS(Pessoas!$C$5:$C$44,$K1614,Pessoas!$G$5:$G$44,"Ativo")=0,"Equipe "&amp;$K1614,INDEX(Pessoas!$A$5:$A$44,_xludf.aggregate(15,6,(ROW(Pessoas!$A$5:$A$44)-4)/((Pessoas!$C$5:$C$44=$K1614)*(Pessoas!$G$5:$G$44="Ativo")),MOD(ROW()-6,MAX(1,COUNTIFS(Pessoas!$C$5:$C$44,$K1614,Pessoas!$G$5:$G$44,"Ativo")))+1)))</f>
        <v>Equipe Oficina Mecânica Central-Taisa</v>
      </c>
    </row>
    <row r="1615" spans="1:12" ht="15" customHeight="1" x14ac:dyDescent="0.4">
      <c r="A1615" s="25">
        <v>46484</v>
      </c>
      <c r="B1615" s="16">
        <v>32</v>
      </c>
      <c r="C1615" s="16">
        <v>3</v>
      </c>
      <c r="D1615" s="16">
        <v>4</v>
      </c>
      <c r="E1615" s="16" t="s">
        <v>1371</v>
      </c>
      <c r="F1615" s="16" t="s">
        <v>1179</v>
      </c>
      <c r="G1615" s="16" t="s">
        <v>526</v>
      </c>
      <c r="H1615" s="16" t="s">
        <v>140</v>
      </c>
      <c r="I1615" s="22" t="s">
        <v>856</v>
      </c>
      <c r="J1615" s="16">
        <f>IFERROR(INDEX(Aux_HH!$J$4:$J$31,MATCH($H1615&amp;"|"&amp;$I1615,Aux_HH!$A$4:$A$31,0)),"")</f>
        <v>2.5</v>
      </c>
      <c r="K1615" s="16" t="s">
        <v>76</v>
      </c>
      <c r="L1615" s="16" t="str">
        <f>IF(COUNTIFS(Pessoas!$C$5:$C$44,$K1615,Pessoas!$G$5:$G$44,"Ativo")=0,"Equipe "&amp;$K1615,INDEX(Pessoas!$A$5:$A$44,_xludf.aggregate(15,6,(ROW(Pessoas!$A$5:$A$44)-4)/((Pessoas!$C$5:$C$44=$K1615)*(Pessoas!$G$5:$G$44="Ativo")),MOD(ROW()-6,MAX(1,COUNTIFS(Pessoas!$C$5:$C$44,$K1615,Pessoas!$G$5:$G$44,"Ativo")))+1)))</f>
        <v>Equipe Oficina Mecânica Central-Taisa</v>
      </c>
    </row>
    <row r="1616" spans="1:12" ht="15" customHeight="1" x14ac:dyDescent="0.4">
      <c r="A1616" s="25">
        <v>46484</v>
      </c>
      <c r="B1616" s="16">
        <v>32</v>
      </c>
      <c r="C1616" s="16">
        <v>3</v>
      </c>
      <c r="D1616" s="16">
        <v>4</v>
      </c>
      <c r="E1616" s="16" t="s">
        <v>1371</v>
      </c>
      <c r="F1616" s="16" t="s">
        <v>1180</v>
      </c>
      <c r="G1616" s="16" t="s">
        <v>526</v>
      </c>
      <c r="H1616" s="16" t="s">
        <v>140</v>
      </c>
      <c r="I1616" s="22" t="s">
        <v>856</v>
      </c>
      <c r="J1616" s="16">
        <f>IFERROR(INDEX(Aux_HH!$J$4:$J$31,MATCH($H1616&amp;"|"&amp;$I1616,Aux_HH!$A$4:$A$31,0)),"")</f>
        <v>2.5</v>
      </c>
      <c r="K1616" s="16" t="s">
        <v>76</v>
      </c>
      <c r="L1616" s="16" t="str">
        <f>IF(COUNTIFS(Pessoas!$C$5:$C$44,$K1616,Pessoas!$G$5:$G$44,"Ativo")=0,"Equipe "&amp;$K1616,INDEX(Pessoas!$A$5:$A$44,_xludf.aggregate(15,6,(ROW(Pessoas!$A$5:$A$44)-4)/((Pessoas!$C$5:$C$44=$K1616)*(Pessoas!$G$5:$G$44="Ativo")),MOD(ROW()-6,MAX(1,COUNTIFS(Pessoas!$C$5:$C$44,$K1616,Pessoas!$G$5:$G$44,"Ativo")))+1)))</f>
        <v>Equipe Oficina Mecânica Central-Taisa</v>
      </c>
    </row>
    <row r="1617" spans="1:12" ht="15" customHeight="1" x14ac:dyDescent="0.4">
      <c r="A1617" s="25">
        <v>46484</v>
      </c>
      <c r="B1617" s="16">
        <v>32</v>
      </c>
      <c r="C1617" s="16">
        <v>3</v>
      </c>
      <c r="D1617" s="16">
        <v>4</v>
      </c>
      <c r="E1617" s="16" t="s">
        <v>1371</v>
      </c>
      <c r="F1617" s="16" t="s">
        <v>1181</v>
      </c>
      <c r="G1617" s="16" t="s">
        <v>526</v>
      </c>
      <c r="H1617" s="16" t="s">
        <v>140</v>
      </c>
      <c r="I1617" s="22" t="s">
        <v>856</v>
      </c>
      <c r="J1617" s="16">
        <f>IFERROR(INDEX(Aux_HH!$J$4:$J$31,MATCH($H1617&amp;"|"&amp;$I1617,Aux_HH!$A$4:$A$31,0)),"")</f>
        <v>2.5</v>
      </c>
      <c r="K1617" s="16" t="s">
        <v>76</v>
      </c>
      <c r="L1617" s="16" t="str">
        <f>IF(COUNTIFS(Pessoas!$C$5:$C$44,$K1617,Pessoas!$G$5:$G$44,"Ativo")=0,"Equipe "&amp;$K1617,INDEX(Pessoas!$A$5:$A$44,_xludf.aggregate(15,6,(ROW(Pessoas!$A$5:$A$44)-4)/((Pessoas!$C$5:$C$44=$K1617)*(Pessoas!$G$5:$G$44="Ativo")),MOD(ROW()-6,MAX(1,COUNTIFS(Pessoas!$C$5:$C$44,$K1617,Pessoas!$G$5:$G$44,"Ativo")))+1)))</f>
        <v>Equipe Oficina Mecânica Central-Taisa</v>
      </c>
    </row>
    <row r="1618" spans="1:12" ht="15" customHeight="1" x14ac:dyDescent="0.4">
      <c r="A1618" s="25">
        <v>46484</v>
      </c>
      <c r="B1618" s="16">
        <v>32</v>
      </c>
      <c r="C1618" s="16">
        <v>3</v>
      </c>
      <c r="D1618" s="16">
        <v>4</v>
      </c>
      <c r="E1618" s="16" t="s">
        <v>1371</v>
      </c>
      <c r="F1618" s="16" t="s">
        <v>1205</v>
      </c>
      <c r="G1618" s="16" t="s">
        <v>526</v>
      </c>
      <c r="H1618" s="16" t="s">
        <v>140</v>
      </c>
      <c r="I1618" s="22" t="s">
        <v>856</v>
      </c>
      <c r="J1618" s="16">
        <f>IFERROR(INDEX(Aux_HH!$J$4:$J$31,MATCH($H1618&amp;"|"&amp;$I1618,Aux_HH!$A$4:$A$31,0)),"")</f>
        <v>2.5</v>
      </c>
      <c r="K1618" s="16" t="s">
        <v>76</v>
      </c>
      <c r="L1618" s="16" t="str">
        <f>IF(COUNTIFS(Pessoas!$C$5:$C$44,$K1618,Pessoas!$G$5:$G$44,"Ativo")=0,"Equipe "&amp;$K1618,INDEX(Pessoas!$A$5:$A$44,_xludf.aggregate(15,6,(ROW(Pessoas!$A$5:$A$44)-4)/((Pessoas!$C$5:$C$44=$K1618)*(Pessoas!$G$5:$G$44="Ativo")),MOD(ROW()-6,MAX(1,COUNTIFS(Pessoas!$C$5:$C$44,$K1618,Pessoas!$G$5:$G$44,"Ativo")))+1)))</f>
        <v>Equipe Oficina Mecânica Central-Taisa</v>
      </c>
    </row>
    <row r="1619" spans="1:12" ht="15" customHeight="1" x14ac:dyDescent="0.4">
      <c r="A1619" s="25">
        <v>46484</v>
      </c>
      <c r="B1619" s="16">
        <v>32</v>
      </c>
      <c r="C1619" s="16">
        <v>3</v>
      </c>
      <c r="D1619" s="16">
        <v>4</v>
      </c>
      <c r="E1619" s="16" t="s">
        <v>1371</v>
      </c>
      <c r="F1619" s="16" t="s">
        <v>1206</v>
      </c>
      <c r="G1619" s="16" t="s">
        <v>526</v>
      </c>
      <c r="H1619" s="16" t="s">
        <v>140</v>
      </c>
      <c r="I1619" s="22" t="s">
        <v>856</v>
      </c>
      <c r="J1619" s="16">
        <f>IFERROR(INDEX(Aux_HH!$J$4:$J$31,MATCH($H1619&amp;"|"&amp;$I1619,Aux_HH!$A$4:$A$31,0)),"")</f>
        <v>2.5</v>
      </c>
      <c r="K1619" s="16" t="s">
        <v>76</v>
      </c>
      <c r="L1619" s="16" t="str">
        <f>IF(COUNTIFS(Pessoas!$C$5:$C$44,$K1619,Pessoas!$G$5:$G$44,"Ativo")=0,"Equipe "&amp;$K1619,INDEX(Pessoas!$A$5:$A$44,_xludf.aggregate(15,6,(ROW(Pessoas!$A$5:$A$44)-4)/((Pessoas!$C$5:$C$44=$K1619)*(Pessoas!$G$5:$G$44="Ativo")),MOD(ROW()-6,MAX(1,COUNTIFS(Pessoas!$C$5:$C$44,$K1619,Pessoas!$G$5:$G$44,"Ativo")))+1)))</f>
        <v>Equipe Oficina Mecânica Central-Taisa</v>
      </c>
    </row>
    <row r="1620" spans="1:12" ht="15" customHeight="1" x14ac:dyDescent="0.4">
      <c r="A1620" s="25">
        <v>46484</v>
      </c>
      <c r="B1620" s="16">
        <v>32</v>
      </c>
      <c r="C1620" s="16">
        <v>3</v>
      </c>
      <c r="D1620" s="16">
        <v>4</v>
      </c>
      <c r="E1620" s="16" t="s">
        <v>1371</v>
      </c>
      <c r="F1620" s="16" t="s">
        <v>1207</v>
      </c>
      <c r="G1620" s="16" t="s">
        <v>526</v>
      </c>
      <c r="H1620" s="16" t="s">
        <v>140</v>
      </c>
      <c r="I1620" s="22" t="s">
        <v>856</v>
      </c>
      <c r="J1620" s="16">
        <f>IFERROR(INDEX(Aux_HH!$J$4:$J$31,MATCH($H1620&amp;"|"&amp;$I1620,Aux_HH!$A$4:$A$31,0)),"")</f>
        <v>2.5</v>
      </c>
      <c r="K1620" s="16" t="s">
        <v>76</v>
      </c>
      <c r="L1620" s="16" t="str">
        <f>IF(COUNTIFS(Pessoas!$C$5:$C$44,$K1620,Pessoas!$G$5:$G$44,"Ativo")=0,"Equipe "&amp;$K1620,INDEX(Pessoas!$A$5:$A$44,_xludf.aggregate(15,6,(ROW(Pessoas!$A$5:$A$44)-4)/((Pessoas!$C$5:$C$44=$K1620)*(Pessoas!$G$5:$G$44="Ativo")),MOD(ROW()-6,MAX(1,COUNTIFS(Pessoas!$C$5:$C$44,$K1620,Pessoas!$G$5:$G$44,"Ativo")))+1)))</f>
        <v>Equipe Oficina Mecânica Central-Taisa</v>
      </c>
    </row>
    <row r="1621" spans="1:12" ht="15" customHeight="1" x14ac:dyDescent="0.4">
      <c r="A1621" s="25">
        <v>46484</v>
      </c>
      <c r="B1621" s="16">
        <v>32</v>
      </c>
      <c r="C1621" s="16">
        <v>3</v>
      </c>
      <c r="D1621" s="16">
        <v>4</v>
      </c>
      <c r="E1621" s="16" t="s">
        <v>1371</v>
      </c>
      <c r="F1621" s="16" t="s">
        <v>1208</v>
      </c>
      <c r="G1621" s="16" t="s">
        <v>526</v>
      </c>
      <c r="H1621" s="16" t="s">
        <v>140</v>
      </c>
      <c r="I1621" s="22" t="s">
        <v>856</v>
      </c>
      <c r="J1621" s="16">
        <f>IFERROR(INDEX(Aux_HH!$J$4:$J$31,MATCH($H1621&amp;"|"&amp;$I1621,Aux_HH!$A$4:$A$31,0)),"")</f>
        <v>2.5</v>
      </c>
      <c r="K1621" s="16" t="s">
        <v>76</v>
      </c>
      <c r="L1621" s="16" t="str">
        <f>IF(COUNTIFS(Pessoas!$C$5:$C$44,$K1621,Pessoas!$G$5:$G$44,"Ativo")=0,"Equipe "&amp;$K1621,INDEX(Pessoas!$A$5:$A$44,_xludf.aggregate(15,6,(ROW(Pessoas!$A$5:$A$44)-4)/((Pessoas!$C$5:$C$44=$K1621)*(Pessoas!$G$5:$G$44="Ativo")),MOD(ROW()-6,MAX(1,COUNTIFS(Pessoas!$C$5:$C$44,$K1621,Pessoas!$G$5:$G$44,"Ativo")))+1)))</f>
        <v>Equipe Oficina Mecânica Central-Taisa</v>
      </c>
    </row>
    <row r="1622" spans="1:12" ht="15" customHeight="1" x14ac:dyDescent="0.4">
      <c r="A1622" s="25">
        <v>46484</v>
      </c>
      <c r="B1622" s="16">
        <v>32</v>
      </c>
      <c r="C1622" s="16">
        <v>3</v>
      </c>
      <c r="D1622" s="16">
        <v>4</v>
      </c>
      <c r="E1622" s="16" t="s">
        <v>1371</v>
      </c>
      <c r="F1622" s="16" t="s">
        <v>1210</v>
      </c>
      <c r="G1622" s="16" t="s">
        <v>184</v>
      </c>
      <c r="H1622" s="16" t="s">
        <v>140</v>
      </c>
      <c r="I1622" s="22" t="s">
        <v>856</v>
      </c>
      <c r="J1622" s="16">
        <f>IFERROR(INDEX(Aux_HH!$J$4:$J$31,MATCH($H1622&amp;"|"&amp;$I1622,Aux_HH!$A$4:$A$31,0)),"")</f>
        <v>2.5</v>
      </c>
      <c r="K1622" s="16" t="s">
        <v>76</v>
      </c>
      <c r="L1622" s="16" t="str">
        <f>IF(COUNTIFS(Pessoas!$C$5:$C$44,$K1622,Pessoas!$G$5:$G$44,"Ativo")=0,"Equipe "&amp;$K1622,INDEX(Pessoas!$A$5:$A$44,_xludf.aggregate(15,6,(ROW(Pessoas!$A$5:$A$44)-4)/((Pessoas!$C$5:$C$44=$K1622)*(Pessoas!$G$5:$G$44="Ativo")),MOD(ROW()-6,MAX(1,COUNTIFS(Pessoas!$C$5:$C$44,$K1622,Pessoas!$G$5:$G$44,"Ativo")))+1)))</f>
        <v>Equipe Oficina Mecânica Central-Taisa</v>
      </c>
    </row>
    <row r="1623" spans="1:12" ht="15" customHeight="1" x14ac:dyDescent="0.4">
      <c r="A1623" s="25">
        <v>46484</v>
      </c>
      <c r="B1623" s="16">
        <v>32</v>
      </c>
      <c r="C1623" s="16">
        <v>3</v>
      </c>
      <c r="D1623" s="16">
        <v>4</v>
      </c>
      <c r="E1623" s="16" t="s">
        <v>1371</v>
      </c>
      <c r="F1623" s="16" t="s">
        <v>1211</v>
      </c>
      <c r="G1623" s="16" t="s">
        <v>184</v>
      </c>
      <c r="H1623" s="16" t="s">
        <v>140</v>
      </c>
      <c r="I1623" s="22" t="s">
        <v>856</v>
      </c>
      <c r="J1623" s="16">
        <f>IFERROR(INDEX(Aux_HH!$J$4:$J$31,MATCH($H1623&amp;"|"&amp;$I1623,Aux_HH!$A$4:$A$31,0)),"")</f>
        <v>2.5</v>
      </c>
      <c r="K1623" s="16" t="s">
        <v>76</v>
      </c>
      <c r="L1623" s="16" t="str">
        <f>IF(COUNTIFS(Pessoas!$C$5:$C$44,$K1623,Pessoas!$G$5:$G$44,"Ativo")=0,"Equipe "&amp;$K1623,INDEX(Pessoas!$A$5:$A$44,_xludf.aggregate(15,6,(ROW(Pessoas!$A$5:$A$44)-4)/((Pessoas!$C$5:$C$44=$K1623)*(Pessoas!$G$5:$G$44="Ativo")),MOD(ROW()-6,MAX(1,COUNTIFS(Pessoas!$C$5:$C$44,$K1623,Pessoas!$G$5:$G$44,"Ativo")))+1)))</f>
        <v>Equipe Oficina Mecânica Central-Taisa</v>
      </c>
    </row>
    <row r="1624" spans="1:12" ht="15" customHeight="1" x14ac:dyDescent="0.4">
      <c r="A1624" s="25">
        <v>46484</v>
      </c>
      <c r="B1624" s="16">
        <v>32</v>
      </c>
      <c r="C1624" s="16">
        <v>3</v>
      </c>
      <c r="D1624" s="16">
        <v>4</v>
      </c>
      <c r="E1624" s="16" t="s">
        <v>1371</v>
      </c>
      <c r="F1624" s="16" t="s">
        <v>1212</v>
      </c>
      <c r="G1624" s="16" t="s">
        <v>526</v>
      </c>
      <c r="H1624" s="16" t="s">
        <v>140</v>
      </c>
      <c r="I1624" s="22" t="s">
        <v>856</v>
      </c>
      <c r="J1624" s="16">
        <f>IFERROR(INDEX(Aux_HH!$J$4:$J$31,MATCH($H1624&amp;"|"&amp;$I1624,Aux_HH!$A$4:$A$31,0)),"")</f>
        <v>2.5</v>
      </c>
      <c r="K1624" s="16" t="s">
        <v>76</v>
      </c>
      <c r="L1624" s="16" t="str">
        <f>IF(COUNTIFS(Pessoas!$C$5:$C$44,$K1624,Pessoas!$G$5:$G$44,"Ativo")=0,"Equipe "&amp;$K1624,INDEX(Pessoas!$A$5:$A$44,_xludf.aggregate(15,6,(ROW(Pessoas!$A$5:$A$44)-4)/((Pessoas!$C$5:$C$44=$K1624)*(Pessoas!$G$5:$G$44="Ativo")),MOD(ROW()-6,MAX(1,COUNTIFS(Pessoas!$C$5:$C$44,$K1624,Pessoas!$G$5:$G$44,"Ativo")))+1)))</f>
        <v>Equipe Oficina Mecânica Central-Taisa</v>
      </c>
    </row>
    <row r="1625" spans="1:12" ht="15" customHeight="1" x14ac:dyDescent="0.4">
      <c r="A1625" s="25">
        <v>46484</v>
      </c>
      <c r="B1625" s="16">
        <v>32</v>
      </c>
      <c r="C1625" s="16">
        <v>3</v>
      </c>
      <c r="D1625" s="16">
        <v>4</v>
      </c>
      <c r="E1625" s="16" t="s">
        <v>1371</v>
      </c>
      <c r="F1625" s="16" t="s">
        <v>1213</v>
      </c>
      <c r="G1625" s="16" t="s">
        <v>526</v>
      </c>
      <c r="H1625" s="16" t="s">
        <v>140</v>
      </c>
      <c r="I1625" s="22" t="s">
        <v>856</v>
      </c>
      <c r="J1625" s="16">
        <f>IFERROR(INDEX(Aux_HH!$J$4:$J$31,MATCH($H1625&amp;"|"&amp;$I1625,Aux_HH!$A$4:$A$31,0)),"")</f>
        <v>2.5</v>
      </c>
      <c r="K1625" s="16" t="s">
        <v>76</v>
      </c>
      <c r="L1625" s="16" t="str">
        <f>IF(COUNTIFS(Pessoas!$C$5:$C$44,$K1625,Pessoas!$G$5:$G$44,"Ativo")=0,"Equipe "&amp;$K1625,INDEX(Pessoas!$A$5:$A$44,_xludf.aggregate(15,6,(ROW(Pessoas!$A$5:$A$44)-4)/((Pessoas!$C$5:$C$44=$K1625)*(Pessoas!$G$5:$G$44="Ativo")),MOD(ROW()-6,MAX(1,COUNTIFS(Pessoas!$C$5:$C$44,$K1625,Pessoas!$G$5:$G$44,"Ativo")))+1)))</f>
        <v>Equipe Oficina Mecânica Central-Taisa</v>
      </c>
    </row>
    <row r="1626" spans="1:12" ht="15" customHeight="1" x14ac:dyDescent="0.4">
      <c r="A1626" s="25">
        <v>46484</v>
      </c>
      <c r="B1626" s="16">
        <v>32</v>
      </c>
      <c r="C1626" s="16">
        <v>3</v>
      </c>
      <c r="D1626" s="16">
        <v>4</v>
      </c>
      <c r="E1626" s="16" t="s">
        <v>1371</v>
      </c>
      <c r="F1626" s="16" t="s">
        <v>1214</v>
      </c>
      <c r="G1626" s="16" t="s">
        <v>526</v>
      </c>
      <c r="H1626" s="16" t="s">
        <v>140</v>
      </c>
      <c r="I1626" s="22" t="s">
        <v>856</v>
      </c>
      <c r="J1626" s="16">
        <f>IFERROR(INDEX(Aux_HH!$J$4:$J$31,MATCH($H1626&amp;"|"&amp;$I1626,Aux_HH!$A$4:$A$31,0)),"")</f>
        <v>2.5</v>
      </c>
      <c r="K1626" s="16" t="s">
        <v>76</v>
      </c>
      <c r="L1626" s="16" t="str">
        <f>IF(COUNTIFS(Pessoas!$C$5:$C$44,$K1626,Pessoas!$G$5:$G$44,"Ativo")=0,"Equipe "&amp;$K1626,INDEX(Pessoas!$A$5:$A$44,_xludf.aggregate(15,6,(ROW(Pessoas!$A$5:$A$44)-4)/((Pessoas!$C$5:$C$44=$K1626)*(Pessoas!$G$5:$G$44="Ativo")),MOD(ROW()-6,MAX(1,COUNTIFS(Pessoas!$C$5:$C$44,$K1626,Pessoas!$G$5:$G$44,"Ativo")))+1)))</f>
        <v>Equipe Oficina Mecânica Central-Taisa</v>
      </c>
    </row>
    <row r="1627" spans="1:12" ht="15" customHeight="1" x14ac:dyDescent="0.4">
      <c r="A1627" s="25">
        <v>46485</v>
      </c>
      <c r="B1627" s="16">
        <v>32</v>
      </c>
      <c r="C1627" s="16">
        <v>3</v>
      </c>
      <c r="D1627" s="16">
        <v>4</v>
      </c>
      <c r="E1627" s="16" t="s">
        <v>1371</v>
      </c>
      <c r="F1627" s="16" t="s">
        <v>1215</v>
      </c>
      <c r="G1627" s="16" t="s">
        <v>526</v>
      </c>
      <c r="H1627" s="16" t="s">
        <v>140</v>
      </c>
      <c r="I1627" s="22" t="s">
        <v>856</v>
      </c>
      <c r="J1627" s="16">
        <f>IFERROR(INDEX(Aux_HH!$J$4:$J$31,MATCH($H1627&amp;"|"&amp;$I1627,Aux_HH!$A$4:$A$31,0)),"")</f>
        <v>2.5</v>
      </c>
      <c r="K1627" s="16" t="s">
        <v>76</v>
      </c>
      <c r="L1627" s="16" t="str">
        <f>IF(COUNTIFS(Pessoas!$C$5:$C$44,$K1627,Pessoas!$G$5:$G$44,"Ativo")=0,"Equipe "&amp;$K1627,INDEX(Pessoas!$A$5:$A$44,_xludf.aggregate(15,6,(ROW(Pessoas!$A$5:$A$44)-4)/((Pessoas!$C$5:$C$44=$K1627)*(Pessoas!$G$5:$G$44="Ativo")),MOD(ROW()-6,MAX(1,COUNTIFS(Pessoas!$C$5:$C$44,$K1627,Pessoas!$G$5:$G$44,"Ativo")))+1)))</f>
        <v>Equipe Oficina Mecânica Central-Taisa</v>
      </c>
    </row>
    <row r="1628" spans="1:12" ht="15" customHeight="1" x14ac:dyDescent="0.4">
      <c r="A1628" s="25">
        <v>46485</v>
      </c>
      <c r="B1628" s="16">
        <v>32</v>
      </c>
      <c r="C1628" s="16">
        <v>3</v>
      </c>
      <c r="D1628" s="16">
        <v>4</v>
      </c>
      <c r="E1628" s="16" t="s">
        <v>1371</v>
      </c>
      <c r="F1628" s="16" t="s">
        <v>1216</v>
      </c>
      <c r="G1628" s="16" t="s">
        <v>526</v>
      </c>
      <c r="H1628" s="16" t="s">
        <v>140</v>
      </c>
      <c r="I1628" s="22" t="s">
        <v>856</v>
      </c>
      <c r="J1628" s="16">
        <f>IFERROR(INDEX(Aux_HH!$J$4:$J$31,MATCH($H1628&amp;"|"&amp;$I1628,Aux_HH!$A$4:$A$31,0)),"")</f>
        <v>2.5</v>
      </c>
      <c r="K1628" s="16" t="s">
        <v>76</v>
      </c>
      <c r="L1628" s="16" t="str">
        <f>IF(COUNTIFS(Pessoas!$C$5:$C$44,$K1628,Pessoas!$G$5:$G$44,"Ativo")=0,"Equipe "&amp;$K1628,INDEX(Pessoas!$A$5:$A$44,_xludf.aggregate(15,6,(ROW(Pessoas!$A$5:$A$44)-4)/((Pessoas!$C$5:$C$44=$K1628)*(Pessoas!$G$5:$G$44="Ativo")),MOD(ROW()-6,MAX(1,COUNTIFS(Pessoas!$C$5:$C$44,$K1628,Pessoas!$G$5:$G$44,"Ativo")))+1)))</f>
        <v>Equipe Oficina Mecânica Central-Taisa</v>
      </c>
    </row>
    <row r="1629" spans="1:12" ht="15" customHeight="1" x14ac:dyDescent="0.4">
      <c r="A1629" s="25">
        <v>46485</v>
      </c>
      <c r="B1629" s="16">
        <v>32</v>
      </c>
      <c r="C1629" s="16">
        <v>3</v>
      </c>
      <c r="D1629" s="16">
        <v>4</v>
      </c>
      <c r="E1629" s="16" t="s">
        <v>1371</v>
      </c>
      <c r="F1629" s="16" t="s">
        <v>1217</v>
      </c>
      <c r="G1629" s="16" t="s">
        <v>526</v>
      </c>
      <c r="H1629" s="16" t="s">
        <v>140</v>
      </c>
      <c r="I1629" s="22" t="s">
        <v>856</v>
      </c>
      <c r="J1629" s="16">
        <f>IFERROR(INDEX(Aux_HH!$J$4:$J$31,MATCH($H1629&amp;"|"&amp;$I1629,Aux_HH!$A$4:$A$31,0)),"")</f>
        <v>2.5</v>
      </c>
      <c r="K1629" s="16" t="s">
        <v>76</v>
      </c>
      <c r="L1629" s="16" t="str">
        <f>IF(COUNTIFS(Pessoas!$C$5:$C$44,$K1629,Pessoas!$G$5:$G$44,"Ativo")=0,"Equipe "&amp;$K1629,INDEX(Pessoas!$A$5:$A$44,_xludf.aggregate(15,6,(ROW(Pessoas!$A$5:$A$44)-4)/((Pessoas!$C$5:$C$44=$K1629)*(Pessoas!$G$5:$G$44="Ativo")),MOD(ROW()-6,MAX(1,COUNTIFS(Pessoas!$C$5:$C$44,$K1629,Pessoas!$G$5:$G$44,"Ativo")))+1)))</f>
        <v>Equipe Oficina Mecânica Central-Taisa</v>
      </c>
    </row>
    <row r="1630" spans="1:12" ht="15" customHeight="1" x14ac:dyDescent="0.4">
      <c r="A1630" s="25">
        <v>46485</v>
      </c>
      <c r="B1630" s="16">
        <v>32</v>
      </c>
      <c r="C1630" s="16">
        <v>3</v>
      </c>
      <c r="D1630" s="16">
        <v>4</v>
      </c>
      <c r="E1630" s="16" t="s">
        <v>1371</v>
      </c>
      <c r="F1630" s="16" t="s">
        <v>1218</v>
      </c>
      <c r="G1630" s="16" t="s">
        <v>184</v>
      </c>
      <c r="H1630" s="16" t="s">
        <v>140</v>
      </c>
      <c r="I1630" s="22" t="s">
        <v>856</v>
      </c>
      <c r="J1630" s="16">
        <f>IFERROR(INDEX(Aux_HH!$J$4:$J$31,MATCH($H1630&amp;"|"&amp;$I1630,Aux_HH!$A$4:$A$31,0)),"")</f>
        <v>2.5</v>
      </c>
      <c r="K1630" s="16" t="s">
        <v>76</v>
      </c>
      <c r="L1630" s="16" t="str">
        <f>IF(COUNTIFS(Pessoas!$C$5:$C$44,$K1630,Pessoas!$G$5:$G$44,"Ativo")=0,"Equipe "&amp;$K1630,INDEX(Pessoas!$A$5:$A$44,_xludf.aggregate(15,6,(ROW(Pessoas!$A$5:$A$44)-4)/((Pessoas!$C$5:$C$44=$K1630)*(Pessoas!$G$5:$G$44="Ativo")),MOD(ROW()-6,MAX(1,COUNTIFS(Pessoas!$C$5:$C$44,$K1630,Pessoas!$G$5:$G$44,"Ativo")))+1)))</f>
        <v>Equipe Oficina Mecânica Central-Taisa</v>
      </c>
    </row>
    <row r="1631" spans="1:12" ht="15" customHeight="1" x14ac:dyDescent="0.4">
      <c r="A1631" s="25">
        <v>46485</v>
      </c>
      <c r="B1631" s="16">
        <v>32</v>
      </c>
      <c r="C1631" s="16">
        <v>3</v>
      </c>
      <c r="D1631" s="16">
        <v>4</v>
      </c>
      <c r="E1631" s="16" t="s">
        <v>1371</v>
      </c>
      <c r="F1631" s="16" t="s">
        <v>1219</v>
      </c>
      <c r="G1631" s="16" t="s">
        <v>184</v>
      </c>
      <c r="H1631" s="16" t="s">
        <v>140</v>
      </c>
      <c r="I1631" s="22" t="s">
        <v>856</v>
      </c>
      <c r="J1631" s="16">
        <f>IFERROR(INDEX(Aux_HH!$J$4:$J$31,MATCH($H1631&amp;"|"&amp;$I1631,Aux_HH!$A$4:$A$31,0)),"")</f>
        <v>2.5</v>
      </c>
      <c r="K1631" s="16" t="s">
        <v>76</v>
      </c>
      <c r="L1631" s="16" t="str">
        <f>IF(COUNTIFS(Pessoas!$C$5:$C$44,$K1631,Pessoas!$G$5:$G$44,"Ativo")=0,"Equipe "&amp;$K1631,INDEX(Pessoas!$A$5:$A$44,_xludf.aggregate(15,6,(ROW(Pessoas!$A$5:$A$44)-4)/((Pessoas!$C$5:$C$44=$K1631)*(Pessoas!$G$5:$G$44="Ativo")),MOD(ROW()-6,MAX(1,COUNTIFS(Pessoas!$C$5:$C$44,$K1631,Pessoas!$G$5:$G$44,"Ativo")))+1)))</f>
        <v>Equipe Oficina Mecânica Central-Taisa</v>
      </c>
    </row>
    <row r="1632" spans="1:12" ht="15" customHeight="1" x14ac:dyDescent="0.4">
      <c r="A1632" s="25">
        <v>46485</v>
      </c>
      <c r="B1632" s="16">
        <v>32</v>
      </c>
      <c r="C1632" s="16">
        <v>3</v>
      </c>
      <c r="D1632" s="16">
        <v>4</v>
      </c>
      <c r="E1632" s="16" t="s">
        <v>1371</v>
      </c>
      <c r="F1632" s="16" t="s">
        <v>1220</v>
      </c>
      <c r="G1632" s="16" t="s">
        <v>184</v>
      </c>
      <c r="H1632" s="16" t="s">
        <v>140</v>
      </c>
      <c r="I1632" s="22" t="s">
        <v>856</v>
      </c>
      <c r="J1632" s="16">
        <f>IFERROR(INDEX(Aux_HH!$J$4:$J$31,MATCH($H1632&amp;"|"&amp;$I1632,Aux_HH!$A$4:$A$31,0)),"")</f>
        <v>2.5</v>
      </c>
      <c r="K1632" s="16" t="s">
        <v>76</v>
      </c>
      <c r="L1632" s="16" t="str">
        <f>IF(COUNTIFS(Pessoas!$C$5:$C$44,$K1632,Pessoas!$G$5:$G$44,"Ativo")=0,"Equipe "&amp;$K1632,INDEX(Pessoas!$A$5:$A$44,_xludf.aggregate(15,6,(ROW(Pessoas!$A$5:$A$44)-4)/((Pessoas!$C$5:$C$44=$K1632)*(Pessoas!$G$5:$G$44="Ativo")),MOD(ROW()-6,MAX(1,COUNTIFS(Pessoas!$C$5:$C$44,$K1632,Pessoas!$G$5:$G$44,"Ativo")))+1)))</f>
        <v>Equipe Oficina Mecânica Central-Taisa</v>
      </c>
    </row>
    <row r="1633" spans="1:12" ht="15" customHeight="1" x14ac:dyDescent="0.4">
      <c r="A1633" s="25">
        <v>46485</v>
      </c>
      <c r="B1633" s="16">
        <v>32</v>
      </c>
      <c r="C1633" s="16">
        <v>3</v>
      </c>
      <c r="D1633" s="16">
        <v>4</v>
      </c>
      <c r="E1633" s="16" t="s">
        <v>1371</v>
      </c>
      <c r="F1633" s="16" t="s">
        <v>1221</v>
      </c>
      <c r="G1633" s="16" t="s">
        <v>184</v>
      </c>
      <c r="H1633" s="16" t="s">
        <v>140</v>
      </c>
      <c r="I1633" s="22" t="s">
        <v>856</v>
      </c>
      <c r="J1633" s="16">
        <f>IFERROR(INDEX(Aux_HH!$J$4:$J$31,MATCH($H1633&amp;"|"&amp;$I1633,Aux_HH!$A$4:$A$31,0)),"")</f>
        <v>2.5</v>
      </c>
      <c r="K1633" s="16" t="s">
        <v>76</v>
      </c>
      <c r="L1633" s="16" t="str">
        <f>IF(COUNTIFS(Pessoas!$C$5:$C$44,$K1633,Pessoas!$G$5:$G$44,"Ativo")=0,"Equipe "&amp;$K1633,INDEX(Pessoas!$A$5:$A$44,_xludf.aggregate(15,6,(ROW(Pessoas!$A$5:$A$44)-4)/((Pessoas!$C$5:$C$44=$K1633)*(Pessoas!$G$5:$G$44="Ativo")),MOD(ROW()-6,MAX(1,COUNTIFS(Pessoas!$C$5:$C$44,$K1633,Pessoas!$G$5:$G$44,"Ativo")))+1)))</f>
        <v>Equipe Oficina Mecânica Central-Taisa</v>
      </c>
    </row>
    <row r="1634" spans="1:12" ht="15" customHeight="1" x14ac:dyDescent="0.4">
      <c r="A1634" s="25">
        <v>46485</v>
      </c>
      <c r="B1634" s="16">
        <v>32</v>
      </c>
      <c r="C1634" s="16">
        <v>3</v>
      </c>
      <c r="D1634" s="16">
        <v>4</v>
      </c>
      <c r="E1634" s="16" t="s">
        <v>1371</v>
      </c>
      <c r="F1634" s="16" t="s">
        <v>1222</v>
      </c>
      <c r="G1634" s="16" t="s">
        <v>526</v>
      </c>
      <c r="H1634" s="16" t="s">
        <v>140</v>
      </c>
      <c r="I1634" s="22" t="s">
        <v>856</v>
      </c>
      <c r="J1634" s="16">
        <f>IFERROR(INDEX(Aux_HH!$J$4:$J$31,MATCH($H1634&amp;"|"&amp;$I1634,Aux_HH!$A$4:$A$31,0)),"")</f>
        <v>2.5</v>
      </c>
      <c r="K1634" s="16" t="s">
        <v>76</v>
      </c>
      <c r="L1634" s="16" t="str">
        <f>IF(COUNTIFS(Pessoas!$C$5:$C$44,$K1634,Pessoas!$G$5:$G$44,"Ativo")=0,"Equipe "&amp;$K1634,INDEX(Pessoas!$A$5:$A$44,_xludf.aggregate(15,6,(ROW(Pessoas!$A$5:$A$44)-4)/((Pessoas!$C$5:$C$44=$K1634)*(Pessoas!$G$5:$G$44="Ativo")),MOD(ROW()-6,MAX(1,COUNTIFS(Pessoas!$C$5:$C$44,$K1634,Pessoas!$G$5:$G$44,"Ativo")))+1)))</f>
        <v>Equipe Oficina Mecânica Central-Taisa</v>
      </c>
    </row>
    <row r="1635" spans="1:12" ht="15" customHeight="1" x14ac:dyDescent="0.4">
      <c r="A1635" s="25">
        <v>46485</v>
      </c>
      <c r="B1635" s="16">
        <v>32</v>
      </c>
      <c r="C1635" s="16">
        <v>3</v>
      </c>
      <c r="D1635" s="16">
        <v>4</v>
      </c>
      <c r="E1635" s="16" t="s">
        <v>1371</v>
      </c>
      <c r="F1635" s="16" t="s">
        <v>1223</v>
      </c>
      <c r="G1635" s="16" t="s">
        <v>526</v>
      </c>
      <c r="H1635" s="16" t="s">
        <v>140</v>
      </c>
      <c r="I1635" s="22" t="s">
        <v>856</v>
      </c>
      <c r="J1635" s="16">
        <f>IFERROR(INDEX(Aux_HH!$J$4:$J$31,MATCH($H1635&amp;"|"&amp;$I1635,Aux_HH!$A$4:$A$31,0)),"")</f>
        <v>2.5</v>
      </c>
      <c r="K1635" s="16" t="s">
        <v>76</v>
      </c>
      <c r="L1635" s="16" t="str">
        <f>IF(COUNTIFS(Pessoas!$C$5:$C$44,$K1635,Pessoas!$G$5:$G$44,"Ativo")=0,"Equipe "&amp;$K1635,INDEX(Pessoas!$A$5:$A$44,_xludf.aggregate(15,6,(ROW(Pessoas!$A$5:$A$44)-4)/((Pessoas!$C$5:$C$44=$K1635)*(Pessoas!$G$5:$G$44="Ativo")),MOD(ROW()-6,MAX(1,COUNTIFS(Pessoas!$C$5:$C$44,$K1635,Pessoas!$G$5:$G$44,"Ativo")))+1)))</f>
        <v>Equipe Oficina Mecânica Central-Taisa</v>
      </c>
    </row>
    <row r="1636" spans="1:12" ht="15" customHeight="1" x14ac:dyDescent="0.4">
      <c r="A1636" s="25">
        <v>46485</v>
      </c>
      <c r="B1636" s="16">
        <v>32</v>
      </c>
      <c r="C1636" s="16">
        <v>3</v>
      </c>
      <c r="D1636" s="16">
        <v>4</v>
      </c>
      <c r="E1636" s="16" t="s">
        <v>1371</v>
      </c>
      <c r="F1636" s="16" t="s">
        <v>1224</v>
      </c>
      <c r="G1636" s="16" t="s">
        <v>526</v>
      </c>
      <c r="H1636" s="16" t="s">
        <v>140</v>
      </c>
      <c r="I1636" s="22" t="s">
        <v>856</v>
      </c>
      <c r="J1636" s="16">
        <f>IFERROR(INDEX(Aux_HH!$J$4:$J$31,MATCH($H1636&amp;"|"&amp;$I1636,Aux_HH!$A$4:$A$31,0)),"")</f>
        <v>2.5</v>
      </c>
      <c r="K1636" s="16" t="s">
        <v>76</v>
      </c>
      <c r="L1636" s="16" t="str">
        <f>IF(COUNTIFS(Pessoas!$C$5:$C$44,$K1636,Pessoas!$G$5:$G$44,"Ativo")=0,"Equipe "&amp;$K1636,INDEX(Pessoas!$A$5:$A$44,_xludf.aggregate(15,6,(ROW(Pessoas!$A$5:$A$44)-4)/((Pessoas!$C$5:$C$44=$K1636)*(Pessoas!$G$5:$G$44="Ativo")),MOD(ROW()-6,MAX(1,COUNTIFS(Pessoas!$C$5:$C$44,$K1636,Pessoas!$G$5:$G$44,"Ativo")))+1)))</f>
        <v>Equipe Oficina Mecânica Central-Taisa</v>
      </c>
    </row>
    <row r="1637" spans="1:12" ht="15" customHeight="1" x14ac:dyDescent="0.4">
      <c r="A1637" s="25">
        <v>46485</v>
      </c>
      <c r="B1637" s="16">
        <v>32</v>
      </c>
      <c r="C1637" s="16">
        <v>3</v>
      </c>
      <c r="D1637" s="16">
        <v>4</v>
      </c>
      <c r="E1637" s="16" t="s">
        <v>1371</v>
      </c>
      <c r="F1637" s="16" t="s">
        <v>1225</v>
      </c>
      <c r="G1637" s="16" t="s">
        <v>526</v>
      </c>
      <c r="H1637" s="16" t="s">
        <v>140</v>
      </c>
      <c r="I1637" s="22" t="s">
        <v>856</v>
      </c>
      <c r="J1637" s="16">
        <f>IFERROR(INDEX(Aux_HH!$J$4:$J$31,MATCH($H1637&amp;"|"&amp;$I1637,Aux_HH!$A$4:$A$31,0)),"")</f>
        <v>2.5</v>
      </c>
      <c r="K1637" s="16" t="s">
        <v>76</v>
      </c>
      <c r="L1637" s="16" t="str">
        <f>IF(COUNTIFS(Pessoas!$C$5:$C$44,$K1637,Pessoas!$G$5:$G$44,"Ativo")=0,"Equipe "&amp;$K1637,INDEX(Pessoas!$A$5:$A$44,_xludf.aggregate(15,6,(ROW(Pessoas!$A$5:$A$44)-4)/((Pessoas!$C$5:$C$44=$K1637)*(Pessoas!$G$5:$G$44="Ativo")),MOD(ROW()-6,MAX(1,COUNTIFS(Pessoas!$C$5:$C$44,$K1637,Pessoas!$G$5:$G$44,"Ativo")))+1)))</f>
        <v>Equipe Oficina Mecânica Central-Taisa</v>
      </c>
    </row>
    <row r="1638" spans="1:12" ht="15" customHeight="1" x14ac:dyDescent="0.4">
      <c r="A1638" s="25">
        <v>46485</v>
      </c>
      <c r="B1638" s="16">
        <v>32</v>
      </c>
      <c r="C1638" s="16">
        <v>3</v>
      </c>
      <c r="D1638" s="16">
        <v>4</v>
      </c>
      <c r="E1638" s="16" t="s">
        <v>1371</v>
      </c>
      <c r="F1638" s="16" t="s">
        <v>1226</v>
      </c>
      <c r="G1638" s="16" t="s">
        <v>526</v>
      </c>
      <c r="H1638" s="16" t="s">
        <v>140</v>
      </c>
      <c r="I1638" s="22" t="s">
        <v>856</v>
      </c>
      <c r="J1638" s="16">
        <f>IFERROR(INDEX(Aux_HH!$J$4:$J$31,MATCH($H1638&amp;"|"&amp;$I1638,Aux_HH!$A$4:$A$31,0)),"")</f>
        <v>2.5</v>
      </c>
      <c r="K1638" s="16" t="s">
        <v>76</v>
      </c>
      <c r="L1638" s="16" t="str">
        <f>IF(COUNTIFS(Pessoas!$C$5:$C$44,$K1638,Pessoas!$G$5:$G$44,"Ativo")=0,"Equipe "&amp;$K1638,INDEX(Pessoas!$A$5:$A$44,_xludf.aggregate(15,6,(ROW(Pessoas!$A$5:$A$44)-4)/((Pessoas!$C$5:$C$44=$K1638)*(Pessoas!$G$5:$G$44="Ativo")),MOD(ROW()-6,MAX(1,COUNTIFS(Pessoas!$C$5:$C$44,$K1638,Pessoas!$G$5:$G$44,"Ativo")))+1)))</f>
        <v>Equipe Oficina Mecânica Central-Taisa</v>
      </c>
    </row>
    <row r="1639" spans="1:12" ht="15" customHeight="1" x14ac:dyDescent="0.4">
      <c r="A1639" s="25">
        <v>46485</v>
      </c>
      <c r="B1639" s="16">
        <v>32</v>
      </c>
      <c r="C1639" s="16">
        <v>3</v>
      </c>
      <c r="D1639" s="16">
        <v>4</v>
      </c>
      <c r="E1639" s="16" t="s">
        <v>1371</v>
      </c>
      <c r="F1639" s="16" t="s">
        <v>1227</v>
      </c>
      <c r="G1639" s="16" t="s">
        <v>526</v>
      </c>
      <c r="H1639" s="16" t="s">
        <v>140</v>
      </c>
      <c r="I1639" s="22" t="s">
        <v>856</v>
      </c>
      <c r="J1639" s="16">
        <f>IFERROR(INDEX(Aux_HH!$J$4:$J$31,MATCH($H1639&amp;"|"&amp;$I1639,Aux_HH!$A$4:$A$31,0)),"")</f>
        <v>2.5</v>
      </c>
      <c r="K1639" s="16" t="s">
        <v>76</v>
      </c>
      <c r="L1639" s="16" t="str">
        <f>IF(COUNTIFS(Pessoas!$C$5:$C$44,$K1639,Pessoas!$G$5:$G$44,"Ativo")=0,"Equipe "&amp;$K1639,INDEX(Pessoas!$A$5:$A$44,_xludf.aggregate(15,6,(ROW(Pessoas!$A$5:$A$44)-4)/((Pessoas!$C$5:$C$44=$K1639)*(Pessoas!$G$5:$G$44="Ativo")),MOD(ROW()-6,MAX(1,COUNTIFS(Pessoas!$C$5:$C$44,$K1639,Pessoas!$G$5:$G$44,"Ativo")))+1)))</f>
        <v>Equipe Oficina Mecânica Central-Taisa</v>
      </c>
    </row>
    <row r="1640" spans="1:12" ht="15" customHeight="1" x14ac:dyDescent="0.4">
      <c r="A1640" s="25">
        <v>46485</v>
      </c>
      <c r="B1640" s="16">
        <v>32</v>
      </c>
      <c r="C1640" s="16">
        <v>3</v>
      </c>
      <c r="D1640" s="16">
        <v>4</v>
      </c>
      <c r="E1640" s="16" t="s">
        <v>1371</v>
      </c>
      <c r="F1640" s="16" t="s">
        <v>1251</v>
      </c>
      <c r="G1640" s="16" t="s">
        <v>526</v>
      </c>
      <c r="H1640" s="16" t="s">
        <v>140</v>
      </c>
      <c r="I1640" s="22" t="s">
        <v>856</v>
      </c>
      <c r="J1640" s="16">
        <f>IFERROR(INDEX(Aux_HH!$J$4:$J$31,MATCH($H1640&amp;"|"&amp;$I1640,Aux_HH!$A$4:$A$31,0)),"")</f>
        <v>2.5</v>
      </c>
      <c r="K1640" s="16" t="s">
        <v>76</v>
      </c>
      <c r="L1640" s="16" t="str">
        <f>IF(COUNTIFS(Pessoas!$C$5:$C$44,$K1640,Pessoas!$G$5:$G$44,"Ativo")=0,"Equipe "&amp;$K1640,INDEX(Pessoas!$A$5:$A$44,_xludf.aggregate(15,6,(ROW(Pessoas!$A$5:$A$44)-4)/((Pessoas!$C$5:$C$44=$K1640)*(Pessoas!$G$5:$G$44="Ativo")),MOD(ROW()-6,MAX(1,COUNTIFS(Pessoas!$C$5:$C$44,$K1640,Pessoas!$G$5:$G$44,"Ativo")))+1)))</f>
        <v>Equipe Oficina Mecânica Central-Taisa</v>
      </c>
    </row>
    <row r="1641" spans="1:12" ht="15" customHeight="1" x14ac:dyDescent="0.4">
      <c r="A1641" s="25">
        <v>46485</v>
      </c>
      <c r="B1641" s="16">
        <v>32</v>
      </c>
      <c r="C1641" s="16">
        <v>3</v>
      </c>
      <c r="D1641" s="16">
        <v>4</v>
      </c>
      <c r="E1641" s="16" t="s">
        <v>1371</v>
      </c>
      <c r="F1641" s="16" t="s">
        <v>1252</v>
      </c>
      <c r="G1641" s="16" t="s">
        <v>526</v>
      </c>
      <c r="H1641" s="16" t="s">
        <v>140</v>
      </c>
      <c r="I1641" s="22" t="s">
        <v>856</v>
      </c>
      <c r="J1641" s="16">
        <f>IFERROR(INDEX(Aux_HH!$J$4:$J$31,MATCH($H1641&amp;"|"&amp;$I1641,Aux_HH!$A$4:$A$31,0)),"")</f>
        <v>2.5</v>
      </c>
      <c r="K1641" s="16" t="s">
        <v>76</v>
      </c>
      <c r="L1641" s="16" t="str">
        <f>IF(COUNTIFS(Pessoas!$C$5:$C$44,$K1641,Pessoas!$G$5:$G$44,"Ativo")=0,"Equipe "&amp;$K1641,INDEX(Pessoas!$A$5:$A$44,_xludf.aggregate(15,6,(ROW(Pessoas!$A$5:$A$44)-4)/((Pessoas!$C$5:$C$44=$K1641)*(Pessoas!$G$5:$G$44="Ativo")),MOD(ROW()-6,MAX(1,COUNTIFS(Pessoas!$C$5:$C$44,$K1641,Pessoas!$G$5:$G$44,"Ativo")))+1)))</f>
        <v>Equipe Oficina Mecânica Central-Taisa</v>
      </c>
    </row>
    <row r="1642" spans="1:12" ht="15" customHeight="1" x14ac:dyDescent="0.4">
      <c r="A1642" s="25">
        <v>46485</v>
      </c>
      <c r="B1642" s="16">
        <v>32</v>
      </c>
      <c r="C1642" s="16">
        <v>3</v>
      </c>
      <c r="D1642" s="16">
        <v>4</v>
      </c>
      <c r="E1642" s="16" t="s">
        <v>1371</v>
      </c>
      <c r="F1642" s="16" t="s">
        <v>1254</v>
      </c>
      <c r="G1642" s="16" t="s">
        <v>184</v>
      </c>
      <c r="H1642" s="16" t="s">
        <v>140</v>
      </c>
      <c r="I1642" s="22" t="s">
        <v>856</v>
      </c>
      <c r="J1642" s="16">
        <f>IFERROR(INDEX(Aux_HH!$J$4:$J$31,MATCH($H1642&amp;"|"&amp;$I1642,Aux_HH!$A$4:$A$31,0)),"")</f>
        <v>2.5</v>
      </c>
      <c r="K1642" s="16" t="s">
        <v>76</v>
      </c>
      <c r="L1642" s="16" t="str">
        <f>IF(COUNTIFS(Pessoas!$C$5:$C$44,$K1642,Pessoas!$G$5:$G$44,"Ativo")=0,"Equipe "&amp;$K1642,INDEX(Pessoas!$A$5:$A$44,_xludf.aggregate(15,6,(ROW(Pessoas!$A$5:$A$44)-4)/((Pessoas!$C$5:$C$44=$K1642)*(Pessoas!$G$5:$G$44="Ativo")),MOD(ROW()-6,MAX(1,COUNTIFS(Pessoas!$C$5:$C$44,$K1642,Pessoas!$G$5:$G$44,"Ativo")))+1)))</f>
        <v>Equipe Oficina Mecânica Central-Taisa</v>
      </c>
    </row>
    <row r="1643" spans="1:12" ht="15" customHeight="1" x14ac:dyDescent="0.4">
      <c r="A1643" s="25">
        <v>46485</v>
      </c>
      <c r="B1643" s="16">
        <v>32</v>
      </c>
      <c r="C1643" s="16">
        <v>3</v>
      </c>
      <c r="D1643" s="16">
        <v>4</v>
      </c>
      <c r="E1643" s="16" t="s">
        <v>1371</v>
      </c>
      <c r="F1643" s="16" t="s">
        <v>1255</v>
      </c>
      <c r="G1643" s="16" t="s">
        <v>184</v>
      </c>
      <c r="H1643" s="16" t="s">
        <v>140</v>
      </c>
      <c r="I1643" s="22" t="s">
        <v>856</v>
      </c>
      <c r="J1643" s="16">
        <f>IFERROR(INDEX(Aux_HH!$J$4:$J$31,MATCH($H1643&amp;"|"&amp;$I1643,Aux_HH!$A$4:$A$31,0)),"")</f>
        <v>2.5</v>
      </c>
      <c r="K1643" s="16" t="s">
        <v>76</v>
      </c>
      <c r="L1643" s="16" t="str">
        <f>IF(COUNTIFS(Pessoas!$C$5:$C$44,$K1643,Pessoas!$G$5:$G$44,"Ativo")=0,"Equipe "&amp;$K1643,INDEX(Pessoas!$A$5:$A$44,_xludf.aggregate(15,6,(ROW(Pessoas!$A$5:$A$44)-4)/((Pessoas!$C$5:$C$44=$K1643)*(Pessoas!$G$5:$G$44="Ativo")),MOD(ROW()-6,MAX(1,COUNTIFS(Pessoas!$C$5:$C$44,$K1643,Pessoas!$G$5:$G$44,"Ativo")))+1)))</f>
        <v>Equipe Oficina Mecânica Central-Taisa</v>
      </c>
    </row>
    <row r="1644" spans="1:12" ht="15" customHeight="1" x14ac:dyDescent="0.4">
      <c r="A1644" s="25">
        <v>46485</v>
      </c>
      <c r="B1644" s="16">
        <v>32</v>
      </c>
      <c r="C1644" s="16">
        <v>3</v>
      </c>
      <c r="D1644" s="16">
        <v>4</v>
      </c>
      <c r="E1644" s="16" t="s">
        <v>1371</v>
      </c>
      <c r="F1644" s="16" t="s">
        <v>1256</v>
      </c>
      <c r="G1644" s="16" t="s">
        <v>184</v>
      </c>
      <c r="H1644" s="16" t="s">
        <v>140</v>
      </c>
      <c r="I1644" s="22" t="s">
        <v>856</v>
      </c>
      <c r="J1644" s="16">
        <f>IFERROR(INDEX(Aux_HH!$J$4:$J$31,MATCH($H1644&amp;"|"&amp;$I1644,Aux_HH!$A$4:$A$31,0)),"")</f>
        <v>2.5</v>
      </c>
      <c r="K1644" s="16" t="s">
        <v>76</v>
      </c>
      <c r="L1644" s="16" t="str">
        <f>IF(COUNTIFS(Pessoas!$C$5:$C$44,$K1644,Pessoas!$G$5:$G$44,"Ativo")=0,"Equipe "&amp;$K1644,INDEX(Pessoas!$A$5:$A$44,_xludf.aggregate(15,6,(ROW(Pessoas!$A$5:$A$44)-4)/((Pessoas!$C$5:$C$44=$K1644)*(Pessoas!$G$5:$G$44="Ativo")),MOD(ROW()-6,MAX(1,COUNTIFS(Pessoas!$C$5:$C$44,$K1644,Pessoas!$G$5:$G$44,"Ativo")))+1)))</f>
        <v>Equipe Oficina Mecânica Central-Taisa</v>
      </c>
    </row>
    <row r="1645" spans="1:12" ht="15" customHeight="1" x14ac:dyDescent="0.4">
      <c r="A1645" s="25">
        <v>46485</v>
      </c>
      <c r="B1645" s="16">
        <v>32</v>
      </c>
      <c r="C1645" s="16">
        <v>3</v>
      </c>
      <c r="D1645" s="16">
        <v>4</v>
      </c>
      <c r="E1645" s="16" t="s">
        <v>1371</v>
      </c>
      <c r="F1645" s="16" t="s">
        <v>1257</v>
      </c>
      <c r="G1645" s="16" t="s">
        <v>526</v>
      </c>
      <c r="H1645" s="16" t="s">
        <v>140</v>
      </c>
      <c r="I1645" s="22" t="s">
        <v>856</v>
      </c>
      <c r="J1645" s="16">
        <f>IFERROR(INDEX(Aux_HH!$J$4:$J$31,MATCH($H1645&amp;"|"&amp;$I1645,Aux_HH!$A$4:$A$31,0)),"")</f>
        <v>2.5</v>
      </c>
      <c r="K1645" s="16" t="s">
        <v>76</v>
      </c>
      <c r="L1645" s="16" t="str">
        <f>IF(COUNTIFS(Pessoas!$C$5:$C$44,$K1645,Pessoas!$G$5:$G$44,"Ativo")=0,"Equipe "&amp;$K1645,INDEX(Pessoas!$A$5:$A$44,_xludf.aggregate(15,6,(ROW(Pessoas!$A$5:$A$44)-4)/((Pessoas!$C$5:$C$44=$K1645)*(Pessoas!$G$5:$G$44="Ativo")),MOD(ROW()-6,MAX(1,COUNTIFS(Pessoas!$C$5:$C$44,$K1645,Pessoas!$G$5:$G$44,"Ativo")))+1)))</f>
        <v>Equipe Oficina Mecânica Central-Taisa</v>
      </c>
    </row>
    <row r="1646" spans="1:12" ht="15" customHeight="1" x14ac:dyDescent="0.4">
      <c r="A1646" s="25">
        <v>46485</v>
      </c>
      <c r="B1646" s="16">
        <v>32</v>
      </c>
      <c r="C1646" s="16">
        <v>3</v>
      </c>
      <c r="D1646" s="16">
        <v>4</v>
      </c>
      <c r="E1646" s="16" t="s">
        <v>1371</v>
      </c>
      <c r="F1646" s="16" t="s">
        <v>1258</v>
      </c>
      <c r="G1646" s="16" t="s">
        <v>526</v>
      </c>
      <c r="H1646" s="16" t="s">
        <v>140</v>
      </c>
      <c r="I1646" s="22" t="s">
        <v>856</v>
      </c>
      <c r="J1646" s="16">
        <f>IFERROR(INDEX(Aux_HH!$J$4:$J$31,MATCH($H1646&amp;"|"&amp;$I1646,Aux_HH!$A$4:$A$31,0)),"")</f>
        <v>2.5</v>
      </c>
      <c r="K1646" s="16" t="s">
        <v>76</v>
      </c>
      <c r="L1646" s="16" t="str">
        <f>IF(COUNTIFS(Pessoas!$C$5:$C$44,$K1646,Pessoas!$G$5:$G$44,"Ativo")=0,"Equipe "&amp;$K1646,INDEX(Pessoas!$A$5:$A$44,_xludf.aggregate(15,6,(ROW(Pessoas!$A$5:$A$44)-4)/((Pessoas!$C$5:$C$44=$K1646)*(Pessoas!$G$5:$G$44="Ativo")),MOD(ROW()-6,MAX(1,COUNTIFS(Pessoas!$C$5:$C$44,$K1646,Pessoas!$G$5:$G$44,"Ativo")))+1)))</f>
        <v>Equipe Oficina Mecânica Central-Taisa</v>
      </c>
    </row>
    <row r="1647" spans="1:12" ht="15" customHeight="1" x14ac:dyDescent="0.4">
      <c r="A1647" s="25">
        <v>46486</v>
      </c>
      <c r="B1647" s="16">
        <v>32</v>
      </c>
      <c r="C1647" s="16">
        <v>3</v>
      </c>
      <c r="D1647" s="16">
        <v>4</v>
      </c>
      <c r="E1647" s="16" t="s">
        <v>1371</v>
      </c>
      <c r="F1647" s="16" t="s">
        <v>1259</v>
      </c>
      <c r="G1647" s="16" t="s">
        <v>526</v>
      </c>
      <c r="H1647" s="16" t="s">
        <v>140</v>
      </c>
      <c r="I1647" s="22" t="s">
        <v>856</v>
      </c>
      <c r="J1647" s="16">
        <f>IFERROR(INDEX(Aux_HH!$J$4:$J$31,MATCH($H1647&amp;"|"&amp;$I1647,Aux_HH!$A$4:$A$31,0)),"")</f>
        <v>2.5</v>
      </c>
      <c r="K1647" s="16" t="s">
        <v>76</v>
      </c>
      <c r="L1647" s="16" t="str">
        <f>IF(COUNTIFS(Pessoas!$C$5:$C$44,$K1647,Pessoas!$G$5:$G$44,"Ativo")=0,"Equipe "&amp;$K1647,INDEX(Pessoas!$A$5:$A$44,_xludf.aggregate(15,6,(ROW(Pessoas!$A$5:$A$44)-4)/((Pessoas!$C$5:$C$44=$K1647)*(Pessoas!$G$5:$G$44="Ativo")),MOD(ROW()-6,MAX(1,COUNTIFS(Pessoas!$C$5:$C$44,$K1647,Pessoas!$G$5:$G$44,"Ativo")))+1)))</f>
        <v>Equipe Oficina Mecânica Central-Taisa</v>
      </c>
    </row>
    <row r="1648" spans="1:12" ht="15" customHeight="1" x14ac:dyDescent="0.4">
      <c r="A1648" s="25">
        <v>46486</v>
      </c>
      <c r="B1648" s="16">
        <v>32</v>
      </c>
      <c r="C1648" s="16">
        <v>3</v>
      </c>
      <c r="D1648" s="16">
        <v>4</v>
      </c>
      <c r="E1648" s="16" t="s">
        <v>1371</v>
      </c>
      <c r="F1648" s="16" t="s">
        <v>1260</v>
      </c>
      <c r="G1648" s="16" t="s">
        <v>526</v>
      </c>
      <c r="H1648" s="16" t="s">
        <v>140</v>
      </c>
      <c r="I1648" s="22" t="s">
        <v>856</v>
      </c>
      <c r="J1648" s="16">
        <f>IFERROR(INDEX(Aux_HH!$J$4:$J$31,MATCH($H1648&amp;"|"&amp;$I1648,Aux_HH!$A$4:$A$31,0)),"")</f>
        <v>2.5</v>
      </c>
      <c r="K1648" s="16" t="s">
        <v>76</v>
      </c>
      <c r="L1648" s="16" t="str">
        <f>IF(COUNTIFS(Pessoas!$C$5:$C$44,$K1648,Pessoas!$G$5:$G$44,"Ativo")=0,"Equipe "&amp;$K1648,INDEX(Pessoas!$A$5:$A$44,_xludf.aggregate(15,6,(ROW(Pessoas!$A$5:$A$44)-4)/((Pessoas!$C$5:$C$44=$K1648)*(Pessoas!$G$5:$G$44="Ativo")),MOD(ROW()-6,MAX(1,COUNTIFS(Pessoas!$C$5:$C$44,$K1648,Pessoas!$G$5:$G$44,"Ativo")))+1)))</f>
        <v>Equipe Oficina Mecânica Central-Taisa</v>
      </c>
    </row>
    <row r="1649" spans="1:12" ht="15" customHeight="1" x14ac:dyDescent="0.4">
      <c r="A1649" s="25">
        <v>46486</v>
      </c>
      <c r="B1649" s="16">
        <v>32</v>
      </c>
      <c r="C1649" s="16">
        <v>3</v>
      </c>
      <c r="D1649" s="16">
        <v>4</v>
      </c>
      <c r="E1649" s="16" t="s">
        <v>1371</v>
      </c>
      <c r="F1649" s="16" t="s">
        <v>1261</v>
      </c>
      <c r="G1649" s="16" t="s">
        <v>526</v>
      </c>
      <c r="H1649" s="16" t="s">
        <v>140</v>
      </c>
      <c r="I1649" s="22" t="s">
        <v>856</v>
      </c>
      <c r="J1649" s="16">
        <f>IFERROR(INDEX(Aux_HH!$J$4:$J$31,MATCH($H1649&amp;"|"&amp;$I1649,Aux_HH!$A$4:$A$31,0)),"")</f>
        <v>2.5</v>
      </c>
      <c r="K1649" s="16" t="s">
        <v>76</v>
      </c>
      <c r="L1649" s="16" t="str">
        <f>IF(COUNTIFS(Pessoas!$C$5:$C$44,$K1649,Pessoas!$G$5:$G$44,"Ativo")=0,"Equipe "&amp;$K1649,INDEX(Pessoas!$A$5:$A$44,_xludf.aggregate(15,6,(ROW(Pessoas!$A$5:$A$44)-4)/((Pessoas!$C$5:$C$44=$K1649)*(Pessoas!$G$5:$G$44="Ativo")),MOD(ROW()-6,MAX(1,COUNTIFS(Pessoas!$C$5:$C$44,$K1649,Pessoas!$G$5:$G$44,"Ativo")))+1)))</f>
        <v>Equipe Oficina Mecânica Central-Taisa</v>
      </c>
    </row>
    <row r="1650" spans="1:12" ht="15" customHeight="1" x14ac:dyDescent="0.4">
      <c r="A1650" s="25">
        <v>46486</v>
      </c>
      <c r="B1650" s="16">
        <v>32</v>
      </c>
      <c r="C1650" s="16">
        <v>3</v>
      </c>
      <c r="D1650" s="16">
        <v>4</v>
      </c>
      <c r="E1650" s="16" t="s">
        <v>1371</v>
      </c>
      <c r="F1650" s="16" t="s">
        <v>1262</v>
      </c>
      <c r="G1650" s="16" t="s">
        <v>184</v>
      </c>
      <c r="H1650" s="16" t="s">
        <v>140</v>
      </c>
      <c r="I1650" s="22" t="s">
        <v>856</v>
      </c>
      <c r="J1650" s="16">
        <f>IFERROR(INDEX(Aux_HH!$J$4:$J$31,MATCH($H1650&amp;"|"&amp;$I1650,Aux_HH!$A$4:$A$31,0)),"")</f>
        <v>2.5</v>
      </c>
      <c r="K1650" s="16" t="s">
        <v>76</v>
      </c>
      <c r="L1650" s="16" t="str">
        <f>IF(COUNTIFS(Pessoas!$C$5:$C$44,$K1650,Pessoas!$G$5:$G$44,"Ativo")=0,"Equipe "&amp;$K1650,INDEX(Pessoas!$A$5:$A$44,_xludf.aggregate(15,6,(ROW(Pessoas!$A$5:$A$44)-4)/((Pessoas!$C$5:$C$44=$K1650)*(Pessoas!$G$5:$G$44="Ativo")),MOD(ROW()-6,MAX(1,COUNTIFS(Pessoas!$C$5:$C$44,$K1650,Pessoas!$G$5:$G$44,"Ativo")))+1)))</f>
        <v>Equipe Oficina Mecânica Central-Taisa</v>
      </c>
    </row>
    <row r="1651" spans="1:12" ht="15" customHeight="1" x14ac:dyDescent="0.4">
      <c r="A1651" s="25">
        <v>46486</v>
      </c>
      <c r="B1651" s="16">
        <v>32</v>
      </c>
      <c r="C1651" s="16">
        <v>3</v>
      </c>
      <c r="D1651" s="16">
        <v>4</v>
      </c>
      <c r="E1651" s="16" t="s">
        <v>1371</v>
      </c>
      <c r="F1651" s="16" t="s">
        <v>1263</v>
      </c>
      <c r="G1651" s="16" t="s">
        <v>184</v>
      </c>
      <c r="H1651" s="16" t="s">
        <v>140</v>
      </c>
      <c r="I1651" s="22" t="s">
        <v>856</v>
      </c>
      <c r="J1651" s="16">
        <f>IFERROR(INDEX(Aux_HH!$J$4:$J$31,MATCH($H1651&amp;"|"&amp;$I1651,Aux_HH!$A$4:$A$31,0)),"")</f>
        <v>2.5</v>
      </c>
      <c r="K1651" s="16" t="s">
        <v>76</v>
      </c>
      <c r="L1651" s="16" t="str">
        <f>IF(COUNTIFS(Pessoas!$C$5:$C$44,$K1651,Pessoas!$G$5:$G$44,"Ativo")=0,"Equipe "&amp;$K1651,INDEX(Pessoas!$A$5:$A$44,_xludf.aggregate(15,6,(ROW(Pessoas!$A$5:$A$44)-4)/((Pessoas!$C$5:$C$44=$K1651)*(Pessoas!$G$5:$G$44="Ativo")),MOD(ROW()-6,MAX(1,COUNTIFS(Pessoas!$C$5:$C$44,$K1651,Pessoas!$G$5:$G$44,"Ativo")))+1)))</f>
        <v>Equipe Oficina Mecânica Central-Taisa</v>
      </c>
    </row>
    <row r="1652" spans="1:12" ht="15" customHeight="1" x14ac:dyDescent="0.4">
      <c r="A1652" s="25">
        <v>46486</v>
      </c>
      <c r="B1652" s="16">
        <v>32</v>
      </c>
      <c r="C1652" s="16">
        <v>3</v>
      </c>
      <c r="D1652" s="16">
        <v>4</v>
      </c>
      <c r="E1652" s="16" t="s">
        <v>1371</v>
      </c>
      <c r="F1652" s="16" t="s">
        <v>1264</v>
      </c>
      <c r="G1652" s="16" t="s">
        <v>184</v>
      </c>
      <c r="H1652" s="16" t="s">
        <v>140</v>
      </c>
      <c r="I1652" s="22" t="s">
        <v>856</v>
      </c>
      <c r="J1652" s="16">
        <f>IFERROR(INDEX(Aux_HH!$J$4:$J$31,MATCH($H1652&amp;"|"&amp;$I1652,Aux_HH!$A$4:$A$31,0)),"")</f>
        <v>2.5</v>
      </c>
      <c r="K1652" s="16" t="s">
        <v>76</v>
      </c>
      <c r="L1652" s="16" t="str">
        <f>IF(COUNTIFS(Pessoas!$C$5:$C$44,$K1652,Pessoas!$G$5:$G$44,"Ativo")=0,"Equipe "&amp;$K1652,INDEX(Pessoas!$A$5:$A$44,_xludf.aggregate(15,6,(ROW(Pessoas!$A$5:$A$44)-4)/((Pessoas!$C$5:$C$44=$K1652)*(Pessoas!$G$5:$G$44="Ativo")),MOD(ROW()-6,MAX(1,COUNTIFS(Pessoas!$C$5:$C$44,$K1652,Pessoas!$G$5:$G$44,"Ativo")))+1)))</f>
        <v>Equipe Oficina Mecânica Central-Taisa</v>
      </c>
    </row>
    <row r="1653" spans="1:12" ht="15" customHeight="1" x14ac:dyDescent="0.4">
      <c r="A1653" s="25">
        <v>46486</v>
      </c>
      <c r="B1653" s="16">
        <v>32</v>
      </c>
      <c r="C1653" s="16">
        <v>3</v>
      </c>
      <c r="D1653" s="16">
        <v>4</v>
      </c>
      <c r="E1653" s="16" t="s">
        <v>1371</v>
      </c>
      <c r="F1653" s="16" t="s">
        <v>1265</v>
      </c>
      <c r="G1653" s="16" t="s">
        <v>184</v>
      </c>
      <c r="H1653" s="16" t="s">
        <v>140</v>
      </c>
      <c r="I1653" s="22" t="s">
        <v>856</v>
      </c>
      <c r="J1653" s="16">
        <f>IFERROR(INDEX(Aux_HH!$J$4:$J$31,MATCH($H1653&amp;"|"&amp;$I1653,Aux_HH!$A$4:$A$31,0)),"")</f>
        <v>2.5</v>
      </c>
      <c r="K1653" s="16" t="s">
        <v>76</v>
      </c>
      <c r="L1653" s="16" t="str">
        <f>IF(COUNTIFS(Pessoas!$C$5:$C$44,$K1653,Pessoas!$G$5:$G$44,"Ativo")=0,"Equipe "&amp;$K1653,INDEX(Pessoas!$A$5:$A$44,_xludf.aggregate(15,6,(ROW(Pessoas!$A$5:$A$44)-4)/((Pessoas!$C$5:$C$44=$K1653)*(Pessoas!$G$5:$G$44="Ativo")),MOD(ROW()-6,MAX(1,COUNTIFS(Pessoas!$C$5:$C$44,$K1653,Pessoas!$G$5:$G$44,"Ativo")))+1)))</f>
        <v>Equipe Oficina Mecânica Central-Taisa</v>
      </c>
    </row>
    <row r="1654" spans="1:12" ht="15" customHeight="1" x14ac:dyDescent="0.4">
      <c r="A1654" s="25">
        <v>46486</v>
      </c>
      <c r="B1654" s="16">
        <v>32</v>
      </c>
      <c r="C1654" s="16">
        <v>3</v>
      </c>
      <c r="D1654" s="16">
        <v>4</v>
      </c>
      <c r="E1654" s="16" t="s">
        <v>1371</v>
      </c>
      <c r="F1654" s="16" t="s">
        <v>1266</v>
      </c>
      <c r="G1654" s="16" t="s">
        <v>526</v>
      </c>
      <c r="H1654" s="16" t="s">
        <v>140</v>
      </c>
      <c r="I1654" s="22" t="s">
        <v>856</v>
      </c>
      <c r="J1654" s="16">
        <f>IFERROR(INDEX(Aux_HH!$J$4:$J$31,MATCH($H1654&amp;"|"&amp;$I1654,Aux_HH!$A$4:$A$31,0)),"")</f>
        <v>2.5</v>
      </c>
      <c r="K1654" s="16" t="s">
        <v>76</v>
      </c>
      <c r="L1654" s="16" t="str">
        <f>IF(COUNTIFS(Pessoas!$C$5:$C$44,$K1654,Pessoas!$G$5:$G$44,"Ativo")=0,"Equipe "&amp;$K1654,INDEX(Pessoas!$A$5:$A$44,_xludf.aggregate(15,6,(ROW(Pessoas!$A$5:$A$44)-4)/((Pessoas!$C$5:$C$44=$K1654)*(Pessoas!$G$5:$G$44="Ativo")),MOD(ROW()-6,MAX(1,COUNTIFS(Pessoas!$C$5:$C$44,$K1654,Pessoas!$G$5:$G$44,"Ativo")))+1)))</f>
        <v>Equipe Oficina Mecânica Central-Taisa</v>
      </c>
    </row>
    <row r="1655" spans="1:12" ht="15" customHeight="1" x14ac:dyDescent="0.4">
      <c r="A1655" s="25">
        <v>46486</v>
      </c>
      <c r="B1655" s="16">
        <v>32</v>
      </c>
      <c r="C1655" s="16">
        <v>3</v>
      </c>
      <c r="D1655" s="16">
        <v>4</v>
      </c>
      <c r="E1655" s="16" t="s">
        <v>1371</v>
      </c>
      <c r="F1655" s="16" t="s">
        <v>1267</v>
      </c>
      <c r="G1655" s="16" t="s">
        <v>526</v>
      </c>
      <c r="H1655" s="16" t="s">
        <v>140</v>
      </c>
      <c r="I1655" s="22" t="s">
        <v>856</v>
      </c>
      <c r="J1655" s="16">
        <f>IFERROR(INDEX(Aux_HH!$J$4:$J$31,MATCH($H1655&amp;"|"&amp;$I1655,Aux_HH!$A$4:$A$31,0)),"")</f>
        <v>2.5</v>
      </c>
      <c r="K1655" s="16" t="s">
        <v>76</v>
      </c>
      <c r="L1655" s="16" t="str">
        <f>IF(COUNTIFS(Pessoas!$C$5:$C$44,$K1655,Pessoas!$G$5:$G$44,"Ativo")=0,"Equipe "&amp;$K1655,INDEX(Pessoas!$A$5:$A$44,_xludf.aggregate(15,6,(ROW(Pessoas!$A$5:$A$44)-4)/((Pessoas!$C$5:$C$44=$K1655)*(Pessoas!$G$5:$G$44="Ativo")),MOD(ROW()-6,MAX(1,COUNTIFS(Pessoas!$C$5:$C$44,$K1655,Pessoas!$G$5:$G$44,"Ativo")))+1)))</f>
        <v>Equipe Oficina Mecânica Central-Taisa</v>
      </c>
    </row>
    <row r="1656" spans="1:12" ht="15" customHeight="1" x14ac:dyDescent="0.4">
      <c r="A1656" s="25">
        <v>46486</v>
      </c>
      <c r="B1656" s="16">
        <v>32</v>
      </c>
      <c r="C1656" s="16">
        <v>3</v>
      </c>
      <c r="D1656" s="16">
        <v>4</v>
      </c>
      <c r="E1656" s="16" t="s">
        <v>1371</v>
      </c>
      <c r="F1656" s="16" t="s">
        <v>1268</v>
      </c>
      <c r="G1656" s="16" t="s">
        <v>526</v>
      </c>
      <c r="H1656" s="16" t="s">
        <v>140</v>
      </c>
      <c r="I1656" s="22" t="s">
        <v>856</v>
      </c>
      <c r="J1656" s="16">
        <f>IFERROR(INDEX(Aux_HH!$J$4:$J$31,MATCH($H1656&amp;"|"&amp;$I1656,Aux_HH!$A$4:$A$31,0)),"")</f>
        <v>2.5</v>
      </c>
      <c r="K1656" s="16" t="s">
        <v>76</v>
      </c>
      <c r="L1656" s="16" t="str">
        <f>IF(COUNTIFS(Pessoas!$C$5:$C$44,$K1656,Pessoas!$G$5:$G$44,"Ativo")=0,"Equipe "&amp;$K1656,INDEX(Pessoas!$A$5:$A$44,_xludf.aggregate(15,6,(ROW(Pessoas!$A$5:$A$44)-4)/((Pessoas!$C$5:$C$44=$K1656)*(Pessoas!$G$5:$G$44="Ativo")),MOD(ROW()-6,MAX(1,COUNTIFS(Pessoas!$C$5:$C$44,$K1656,Pessoas!$G$5:$G$44,"Ativo")))+1)))</f>
        <v>Equipe Oficina Mecânica Central-Taisa</v>
      </c>
    </row>
    <row r="1657" spans="1:12" ht="15" customHeight="1" x14ac:dyDescent="0.4">
      <c r="A1657" s="25">
        <v>46486</v>
      </c>
      <c r="B1657" s="16">
        <v>32</v>
      </c>
      <c r="C1657" s="16">
        <v>3</v>
      </c>
      <c r="D1657" s="16">
        <v>4</v>
      </c>
      <c r="E1657" s="16" t="s">
        <v>1371</v>
      </c>
      <c r="F1657" s="16" t="s">
        <v>1269</v>
      </c>
      <c r="G1657" s="16" t="s">
        <v>526</v>
      </c>
      <c r="H1657" s="16" t="s">
        <v>140</v>
      </c>
      <c r="I1657" s="22" t="s">
        <v>856</v>
      </c>
      <c r="J1657" s="16">
        <f>IFERROR(INDEX(Aux_HH!$J$4:$J$31,MATCH($H1657&amp;"|"&amp;$I1657,Aux_HH!$A$4:$A$31,0)),"")</f>
        <v>2.5</v>
      </c>
      <c r="K1657" s="16" t="s">
        <v>76</v>
      </c>
      <c r="L1657" s="16" t="str">
        <f>IF(COUNTIFS(Pessoas!$C$5:$C$44,$K1657,Pessoas!$G$5:$G$44,"Ativo")=0,"Equipe "&amp;$K1657,INDEX(Pessoas!$A$5:$A$44,_xludf.aggregate(15,6,(ROW(Pessoas!$A$5:$A$44)-4)/((Pessoas!$C$5:$C$44=$K1657)*(Pessoas!$G$5:$G$44="Ativo")),MOD(ROW()-6,MAX(1,COUNTIFS(Pessoas!$C$5:$C$44,$K1657,Pessoas!$G$5:$G$44,"Ativo")))+1)))</f>
        <v>Equipe Oficina Mecânica Central-Taisa</v>
      </c>
    </row>
    <row r="1658" spans="1:12" ht="15" customHeight="1" x14ac:dyDescent="0.4">
      <c r="A1658" s="25">
        <v>46486</v>
      </c>
      <c r="B1658" s="16">
        <v>32</v>
      </c>
      <c r="C1658" s="16">
        <v>3</v>
      </c>
      <c r="D1658" s="16">
        <v>4</v>
      </c>
      <c r="E1658" s="16" t="s">
        <v>1371</v>
      </c>
      <c r="F1658" s="16" t="s">
        <v>1270</v>
      </c>
      <c r="G1658" s="16" t="s">
        <v>526</v>
      </c>
      <c r="H1658" s="16" t="s">
        <v>140</v>
      </c>
      <c r="I1658" s="22" t="s">
        <v>856</v>
      </c>
      <c r="J1658" s="16">
        <f>IFERROR(INDEX(Aux_HH!$J$4:$J$31,MATCH($H1658&amp;"|"&amp;$I1658,Aux_HH!$A$4:$A$31,0)),"")</f>
        <v>2.5</v>
      </c>
      <c r="K1658" s="16" t="s">
        <v>76</v>
      </c>
      <c r="L1658" s="16" t="str">
        <f>IF(COUNTIFS(Pessoas!$C$5:$C$44,$K1658,Pessoas!$G$5:$G$44,"Ativo")=0,"Equipe "&amp;$K1658,INDEX(Pessoas!$A$5:$A$44,_xludf.aggregate(15,6,(ROW(Pessoas!$A$5:$A$44)-4)/((Pessoas!$C$5:$C$44=$K1658)*(Pessoas!$G$5:$G$44="Ativo")),MOD(ROW()-6,MAX(1,COUNTIFS(Pessoas!$C$5:$C$44,$K1658,Pessoas!$G$5:$G$44,"Ativo")))+1)))</f>
        <v>Equipe Oficina Mecânica Central-Taisa</v>
      </c>
    </row>
    <row r="1659" spans="1:12" ht="15" customHeight="1" x14ac:dyDescent="0.4">
      <c r="A1659" s="25">
        <v>46486</v>
      </c>
      <c r="B1659" s="16">
        <v>32</v>
      </c>
      <c r="C1659" s="16">
        <v>3</v>
      </c>
      <c r="D1659" s="16">
        <v>4</v>
      </c>
      <c r="E1659" s="16" t="s">
        <v>1371</v>
      </c>
      <c r="F1659" s="16" t="s">
        <v>1271</v>
      </c>
      <c r="G1659" s="16" t="s">
        <v>526</v>
      </c>
      <c r="H1659" s="16" t="s">
        <v>140</v>
      </c>
      <c r="I1659" s="22" t="s">
        <v>856</v>
      </c>
      <c r="J1659" s="16">
        <f>IFERROR(INDEX(Aux_HH!$J$4:$J$31,MATCH($H1659&amp;"|"&amp;$I1659,Aux_HH!$A$4:$A$31,0)),"")</f>
        <v>2.5</v>
      </c>
      <c r="K1659" s="16" t="s">
        <v>76</v>
      </c>
      <c r="L1659" s="16" t="str">
        <f>IF(COUNTIFS(Pessoas!$C$5:$C$44,$K1659,Pessoas!$G$5:$G$44,"Ativo")=0,"Equipe "&amp;$K1659,INDEX(Pessoas!$A$5:$A$44,_xludf.aggregate(15,6,(ROW(Pessoas!$A$5:$A$44)-4)/((Pessoas!$C$5:$C$44=$K1659)*(Pessoas!$G$5:$G$44="Ativo")),MOD(ROW()-6,MAX(1,COUNTIFS(Pessoas!$C$5:$C$44,$K1659,Pessoas!$G$5:$G$44,"Ativo")))+1)))</f>
        <v>Equipe Oficina Mecânica Central-Taisa</v>
      </c>
    </row>
    <row r="1660" spans="1:12" ht="15" customHeight="1" x14ac:dyDescent="0.4">
      <c r="A1660" s="25">
        <v>46486</v>
      </c>
      <c r="B1660" s="16">
        <v>32</v>
      </c>
      <c r="C1660" s="16">
        <v>3</v>
      </c>
      <c r="D1660" s="16">
        <v>4</v>
      </c>
      <c r="E1660" s="16" t="s">
        <v>1371</v>
      </c>
      <c r="F1660" s="16" t="s">
        <v>1296</v>
      </c>
      <c r="G1660" s="16" t="s">
        <v>526</v>
      </c>
      <c r="H1660" s="16" t="s">
        <v>140</v>
      </c>
      <c r="I1660" s="22" t="s">
        <v>856</v>
      </c>
      <c r="J1660" s="16">
        <f>IFERROR(INDEX(Aux_HH!$J$4:$J$31,MATCH($H1660&amp;"|"&amp;$I1660,Aux_HH!$A$4:$A$31,0)),"")</f>
        <v>2.5</v>
      </c>
      <c r="K1660" s="16" t="s">
        <v>76</v>
      </c>
      <c r="L1660" s="16" t="str">
        <f>IF(COUNTIFS(Pessoas!$C$5:$C$44,$K1660,Pessoas!$G$5:$G$44,"Ativo")=0,"Equipe "&amp;$K1660,INDEX(Pessoas!$A$5:$A$44,_xludf.aggregate(15,6,(ROW(Pessoas!$A$5:$A$44)-4)/((Pessoas!$C$5:$C$44=$K1660)*(Pessoas!$G$5:$G$44="Ativo")),MOD(ROW()-6,MAX(1,COUNTIFS(Pessoas!$C$5:$C$44,$K1660,Pessoas!$G$5:$G$44,"Ativo")))+1)))</f>
        <v>Equipe Oficina Mecânica Central-Taisa</v>
      </c>
    </row>
    <row r="1661" spans="1:12" ht="15" customHeight="1" x14ac:dyDescent="0.4">
      <c r="A1661" s="25">
        <v>46486</v>
      </c>
      <c r="B1661" s="16">
        <v>32</v>
      </c>
      <c r="C1661" s="16">
        <v>3</v>
      </c>
      <c r="D1661" s="16">
        <v>4</v>
      </c>
      <c r="E1661" s="16" t="s">
        <v>1371</v>
      </c>
      <c r="F1661" s="16" t="s">
        <v>1297</v>
      </c>
      <c r="G1661" s="16" t="s">
        <v>526</v>
      </c>
      <c r="H1661" s="16" t="s">
        <v>140</v>
      </c>
      <c r="I1661" s="22" t="s">
        <v>856</v>
      </c>
      <c r="J1661" s="16">
        <f>IFERROR(INDEX(Aux_HH!$J$4:$J$31,MATCH($H1661&amp;"|"&amp;$I1661,Aux_HH!$A$4:$A$31,0)),"")</f>
        <v>2.5</v>
      </c>
      <c r="K1661" s="16" t="s">
        <v>76</v>
      </c>
      <c r="L1661" s="16" t="str">
        <f>IF(COUNTIFS(Pessoas!$C$5:$C$44,$K1661,Pessoas!$G$5:$G$44,"Ativo")=0,"Equipe "&amp;$K1661,INDEX(Pessoas!$A$5:$A$44,_xludf.aggregate(15,6,(ROW(Pessoas!$A$5:$A$44)-4)/((Pessoas!$C$5:$C$44=$K1661)*(Pessoas!$G$5:$G$44="Ativo")),MOD(ROW()-6,MAX(1,COUNTIFS(Pessoas!$C$5:$C$44,$K1661,Pessoas!$G$5:$G$44,"Ativo")))+1)))</f>
        <v>Equipe Oficina Mecânica Central-Taisa</v>
      </c>
    </row>
    <row r="1662" spans="1:12" ht="15" customHeight="1" x14ac:dyDescent="0.4">
      <c r="A1662" s="25">
        <v>46486</v>
      </c>
      <c r="B1662" s="16">
        <v>32</v>
      </c>
      <c r="C1662" s="16">
        <v>3</v>
      </c>
      <c r="D1662" s="16">
        <v>4</v>
      </c>
      <c r="E1662" s="16" t="s">
        <v>1371</v>
      </c>
      <c r="F1662" s="16" t="s">
        <v>1298</v>
      </c>
      <c r="G1662" s="16" t="s">
        <v>184</v>
      </c>
      <c r="H1662" s="16" t="s">
        <v>140</v>
      </c>
      <c r="I1662" s="22" t="s">
        <v>856</v>
      </c>
      <c r="J1662" s="16">
        <f>IFERROR(INDEX(Aux_HH!$J$4:$J$31,MATCH($H1662&amp;"|"&amp;$I1662,Aux_HH!$A$4:$A$31,0)),"")</f>
        <v>2.5</v>
      </c>
      <c r="K1662" s="16" t="s">
        <v>76</v>
      </c>
      <c r="L1662" s="16" t="str">
        <f>IF(COUNTIFS(Pessoas!$C$5:$C$44,$K1662,Pessoas!$G$5:$G$44,"Ativo")=0,"Equipe "&amp;$K1662,INDEX(Pessoas!$A$5:$A$44,_xludf.aggregate(15,6,(ROW(Pessoas!$A$5:$A$44)-4)/((Pessoas!$C$5:$C$44=$K1662)*(Pessoas!$G$5:$G$44="Ativo")),MOD(ROW()-6,MAX(1,COUNTIFS(Pessoas!$C$5:$C$44,$K1662,Pessoas!$G$5:$G$44,"Ativo")))+1)))</f>
        <v>Equipe Oficina Mecânica Central-Taisa</v>
      </c>
    </row>
    <row r="1663" spans="1:12" ht="15" customHeight="1" x14ac:dyDescent="0.4">
      <c r="A1663" s="25">
        <v>46486</v>
      </c>
      <c r="B1663" s="16">
        <v>32</v>
      </c>
      <c r="C1663" s="16">
        <v>3</v>
      </c>
      <c r="D1663" s="16">
        <v>4</v>
      </c>
      <c r="E1663" s="16" t="s">
        <v>1371</v>
      </c>
      <c r="F1663" s="16" t="s">
        <v>1299</v>
      </c>
      <c r="G1663" s="16" t="s">
        <v>184</v>
      </c>
      <c r="H1663" s="16" t="s">
        <v>140</v>
      </c>
      <c r="I1663" s="22" t="s">
        <v>856</v>
      </c>
      <c r="J1663" s="16">
        <f>IFERROR(INDEX(Aux_HH!$J$4:$J$31,MATCH($H1663&amp;"|"&amp;$I1663,Aux_HH!$A$4:$A$31,0)),"")</f>
        <v>2.5</v>
      </c>
      <c r="K1663" s="16" t="s">
        <v>76</v>
      </c>
      <c r="L1663" s="16" t="str">
        <f>IF(COUNTIFS(Pessoas!$C$5:$C$44,$K1663,Pessoas!$G$5:$G$44,"Ativo")=0,"Equipe "&amp;$K1663,INDEX(Pessoas!$A$5:$A$44,_xludf.aggregate(15,6,(ROW(Pessoas!$A$5:$A$44)-4)/((Pessoas!$C$5:$C$44=$K1663)*(Pessoas!$G$5:$G$44="Ativo")),MOD(ROW()-6,MAX(1,COUNTIFS(Pessoas!$C$5:$C$44,$K1663,Pessoas!$G$5:$G$44,"Ativo")))+1)))</f>
        <v>Equipe Oficina Mecânica Central-Taisa</v>
      </c>
    </row>
    <row r="1664" spans="1:12" ht="15" customHeight="1" x14ac:dyDescent="0.4">
      <c r="A1664" s="25">
        <v>46486</v>
      </c>
      <c r="B1664" s="16">
        <v>32</v>
      </c>
      <c r="C1664" s="16">
        <v>3</v>
      </c>
      <c r="D1664" s="16">
        <v>4</v>
      </c>
      <c r="E1664" s="16" t="s">
        <v>1371</v>
      </c>
      <c r="F1664" s="16" t="s">
        <v>1300</v>
      </c>
      <c r="G1664" s="16" t="s">
        <v>526</v>
      </c>
      <c r="H1664" s="16" t="s">
        <v>140</v>
      </c>
      <c r="I1664" s="22" t="s">
        <v>856</v>
      </c>
      <c r="J1664" s="16">
        <f>IFERROR(INDEX(Aux_HH!$J$4:$J$31,MATCH($H1664&amp;"|"&amp;$I1664,Aux_HH!$A$4:$A$31,0)),"")</f>
        <v>2.5</v>
      </c>
      <c r="K1664" s="16" t="s">
        <v>76</v>
      </c>
      <c r="L1664" s="16" t="str">
        <f>IF(COUNTIFS(Pessoas!$C$5:$C$44,$K1664,Pessoas!$G$5:$G$44,"Ativo")=0,"Equipe "&amp;$K1664,INDEX(Pessoas!$A$5:$A$44,_xludf.aggregate(15,6,(ROW(Pessoas!$A$5:$A$44)-4)/((Pessoas!$C$5:$C$44=$K1664)*(Pessoas!$G$5:$G$44="Ativo")),MOD(ROW()-6,MAX(1,COUNTIFS(Pessoas!$C$5:$C$44,$K1664,Pessoas!$G$5:$G$44,"Ativo")))+1)))</f>
        <v>Equipe Oficina Mecânica Central-Taisa</v>
      </c>
    </row>
    <row r="1665" spans="1:12" ht="15" customHeight="1" x14ac:dyDescent="0.4">
      <c r="A1665" s="25">
        <v>46486</v>
      </c>
      <c r="B1665" s="16">
        <v>32</v>
      </c>
      <c r="C1665" s="16">
        <v>3</v>
      </c>
      <c r="D1665" s="16">
        <v>4</v>
      </c>
      <c r="E1665" s="16" t="s">
        <v>1371</v>
      </c>
      <c r="F1665" s="16" t="s">
        <v>1301</v>
      </c>
      <c r="G1665" s="16" t="s">
        <v>526</v>
      </c>
      <c r="H1665" s="16" t="s">
        <v>140</v>
      </c>
      <c r="I1665" s="22" t="s">
        <v>856</v>
      </c>
      <c r="J1665" s="16">
        <f>IFERROR(INDEX(Aux_HH!$J$4:$J$31,MATCH($H1665&amp;"|"&amp;$I1665,Aux_HH!$A$4:$A$31,0)),"")</f>
        <v>2.5</v>
      </c>
      <c r="K1665" s="16" t="s">
        <v>76</v>
      </c>
      <c r="L1665" s="16" t="str">
        <f>IF(COUNTIFS(Pessoas!$C$5:$C$44,$K1665,Pessoas!$G$5:$G$44,"Ativo")=0,"Equipe "&amp;$K1665,INDEX(Pessoas!$A$5:$A$44,_xludf.aggregate(15,6,(ROW(Pessoas!$A$5:$A$44)-4)/((Pessoas!$C$5:$C$44=$K1665)*(Pessoas!$G$5:$G$44="Ativo")),MOD(ROW()-6,MAX(1,COUNTIFS(Pessoas!$C$5:$C$44,$K1665,Pessoas!$G$5:$G$44,"Ativo")))+1)))</f>
        <v>Equipe Oficina Mecânica Central-Taisa</v>
      </c>
    </row>
    <row r="1666" spans="1:12" ht="15" customHeight="1" x14ac:dyDescent="0.4">
      <c r="A1666" s="25">
        <v>46486</v>
      </c>
      <c r="B1666" s="16">
        <v>32</v>
      </c>
      <c r="C1666" s="16">
        <v>3</v>
      </c>
      <c r="D1666" s="16">
        <v>4</v>
      </c>
      <c r="E1666" s="16" t="s">
        <v>1371</v>
      </c>
      <c r="F1666" s="16" t="s">
        <v>1302</v>
      </c>
      <c r="G1666" s="16" t="s">
        <v>526</v>
      </c>
      <c r="H1666" s="16" t="s">
        <v>140</v>
      </c>
      <c r="I1666" s="22" t="s">
        <v>856</v>
      </c>
      <c r="J1666" s="16">
        <f>IFERROR(INDEX(Aux_HH!$J$4:$J$31,MATCH($H1666&amp;"|"&amp;$I1666,Aux_HH!$A$4:$A$31,0)),"")</f>
        <v>2.5</v>
      </c>
      <c r="K1666" s="16" t="s">
        <v>76</v>
      </c>
      <c r="L1666" s="16" t="str">
        <f>IF(COUNTIFS(Pessoas!$C$5:$C$44,$K1666,Pessoas!$G$5:$G$44,"Ativo")=0,"Equipe "&amp;$K1666,INDEX(Pessoas!$A$5:$A$44,_xludf.aggregate(15,6,(ROW(Pessoas!$A$5:$A$44)-4)/((Pessoas!$C$5:$C$44=$K1666)*(Pessoas!$G$5:$G$44="Ativo")),MOD(ROW()-6,MAX(1,COUNTIFS(Pessoas!$C$5:$C$44,$K1666,Pessoas!$G$5:$G$44,"Ativo")))+1)))</f>
        <v>Equipe Oficina Mecânica Central-Taisa</v>
      </c>
    </row>
    <row r="1667" spans="1:12" ht="15" customHeight="1" x14ac:dyDescent="0.4">
      <c r="A1667" s="25">
        <v>46489</v>
      </c>
      <c r="B1667" s="16">
        <v>32</v>
      </c>
      <c r="C1667" s="16">
        <v>3</v>
      </c>
      <c r="D1667" s="16">
        <v>4</v>
      </c>
      <c r="E1667" s="16" t="s">
        <v>1371</v>
      </c>
      <c r="F1667" s="16" t="s">
        <v>1081</v>
      </c>
      <c r="G1667" s="16" t="s">
        <v>526</v>
      </c>
      <c r="H1667" s="16" t="s">
        <v>140</v>
      </c>
      <c r="I1667" s="22" t="s">
        <v>856</v>
      </c>
      <c r="J1667" s="16">
        <f>IFERROR(INDEX(Aux_HH!$J$4:$J$31,MATCH($H1667&amp;"|"&amp;$I1667,Aux_HH!$A$4:$A$31,0)),"")</f>
        <v>2.5</v>
      </c>
      <c r="K1667" s="16" t="s">
        <v>76</v>
      </c>
      <c r="L1667" s="16" t="str">
        <f>IF(COUNTIFS(Pessoas!$C$5:$C$44,$K1667,Pessoas!$G$5:$G$44,"Ativo")=0,"Equipe "&amp;$K1667,INDEX(Pessoas!$A$5:$A$44,_xludf.aggregate(15,6,(ROW(Pessoas!$A$5:$A$44)-4)/((Pessoas!$C$5:$C$44=$K1667)*(Pessoas!$G$5:$G$44="Ativo")),MOD(ROW()-6,MAX(1,COUNTIFS(Pessoas!$C$5:$C$44,$K1667,Pessoas!$G$5:$G$44,"Ativo")))+1)))</f>
        <v>Equipe Oficina Mecânica Central-Taisa</v>
      </c>
    </row>
    <row r="1668" spans="1:12" ht="15" customHeight="1" x14ac:dyDescent="0.4">
      <c r="A1668" s="25">
        <v>46489</v>
      </c>
      <c r="B1668" s="16">
        <v>32</v>
      </c>
      <c r="C1668" s="16">
        <v>3</v>
      </c>
      <c r="D1668" s="16">
        <v>4</v>
      </c>
      <c r="E1668" s="16" t="s">
        <v>1371</v>
      </c>
      <c r="F1668" s="16" t="s">
        <v>1082</v>
      </c>
      <c r="G1668" s="16" t="s">
        <v>184</v>
      </c>
      <c r="H1668" s="16" t="s">
        <v>140</v>
      </c>
      <c r="I1668" s="22" t="s">
        <v>856</v>
      </c>
      <c r="J1668" s="16">
        <f>IFERROR(INDEX(Aux_HH!$J$4:$J$31,MATCH($H1668&amp;"|"&amp;$I1668,Aux_HH!$A$4:$A$31,0)),"")</f>
        <v>2.5</v>
      </c>
      <c r="K1668" s="16" t="s">
        <v>76</v>
      </c>
      <c r="L1668" s="16" t="str">
        <f>IF(COUNTIFS(Pessoas!$C$5:$C$44,$K1668,Pessoas!$G$5:$G$44,"Ativo")=0,"Equipe "&amp;$K1668,INDEX(Pessoas!$A$5:$A$44,_xludf.aggregate(15,6,(ROW(Pessoas!$A$5:$A$44)-4)/((Pessoas!$C$5:$C$44=$K1668)*(Pessoas!$G$5:$G$44="Ativo")),MOD(ROW()-6,MAX(1,COUNTIFS(Pessoas!$C$5:$C$44,$K1668,Pessoas!$G$5:$G$44,"Ativo")))+1)))</f>
        <v>Equipe Oficina Mecânica Central-Taisa</v>
      </c>
    </row>
    <row r="1669" spans="1:12" ht="15" customHeight="1" x14ac:dyDescent="0.4">
      <c r="A1669" s="25">
        <v>46489</v>
      </c>
      <c r="B1669" s="16">
        <v>32</v>
      </c>
      <c r="C1669" s="16">
        <v>3</v>
      </c>
      <c r="D1669" s="16">
        <v>4</v>
      </c>
      <c r="E1669" s="16" t="s">
        <v>1371</v>
      </c>
      <c r="F1669" s="16" t="s">
        <v>1083</v>
      </c>
      <c r="G1669" s="16" t="s">
        <v>184</v>
      </c>
      <c r="H1669" s="16" t="s">
        <v>140</v>
      </c>
      <c r="I1669" s="22" t="s">
        <v>856</v>
      </c>
      <c r="J1669" s="16">
        <f>IFERROR(INDEX(Aux_HH!$J$4:$J$31,MATCH($H1669&amp;"|"&amp;$I1669,Aux_HH!$A$4:$A$31,0)),"")</f>
        <v>2.5</v>
      </c>
      <c r="K1669" s="16" t="s">
        <v>76</v>
      </c>
      <c r="L1669" s="16" t="str">
        <f>IF(COUNTIFS(Pessoas!$C$5:$C$44,$K1669,Pessoas!$G$5:$G$44,"Ativo")=0,"Equipe "&amp;$K1669,INDEX(Pessoas!$A$5:$A$44,_xludf.aggregate(15,6,(ROW(Pessoas!$A$5:$A$44)-4)/((Pessoas!$C$5:$C$44=$K1669)*(Pessoas!$G$5:$G$44="Ativo")),MOD(ROW()-6,MAX(1,COUNTIFS(Pessoas!$C$5:$C$44,$K1669,Pessoas!$G$5:$G$44,"Ativo")))+1)))</f>
        <v>Equipe Oficina Mecânica Central-Taisa</v>
      </c>
    </row>
    <row r="1670" spans="1:12" ht="15" customHeight="1" x14ac:dyDescent="0.4">
      <c r="A1670" s="25">
        <v>46489</v>
      </c>
      <c r="B1670" s="16">
        <v>32</v>
      </c>
      <c r="C1670" s="16">
        <v>3</v>
      </c>
      <c r="D1670" s="16">
        <v>4</v>
      </c>
      <c r="E1670" s="16" t="s">
        <v>1371</v>
      </c>
      <c r="F1670" s="16" t="s">
        <v>1084</v>
      </c>
      <c r="G1670" s="16" t="s">
        <v>184</v>
      </c>
      <c r="H1670" s="16" t="s">
        <v>140</v>
      </c>
      <c r="I1670" s="22" t="s">
        <v>856</v>
      </c>
      <c r="J1670" s="16">
        <f>IFERROR(INDEX(Aux_HH!$J$4:$J$31,MATCH($H1670&amp;"|"&amp;$I1670,Aux_HH!$A$4:$A$31,0)),"")</f>
        <v>2.5</v>
      </c>
      <c r="K1670" s="16" t="s">
        <v>76</v>
      </c>
      <c r="L1670" s="16" t="str">
        <f>IF(COUNTIFS(Pessoas!$C$5:$C$44,$K1670,Pessoas!$G$5:$G$44,"Ativo")=0,"Equipe "&amp;$K1670,INDEX(Pessoas!$A$5:$A$44,_xludf.aggregate(15,6,(ROW(Pessoas!$A$5:$A$44)-4)/((Pessoas!$C$5:$C$44=$K1670)*(Pessoas!$G$5:$G$44="Ativo")),MOD(ROW()-6,MAX(1,COUNTIFS(Pessoas!$C$5:$C$44,$K1670,Pessoas!$G$5:$G$44,"Ativo")))+1)))</f>
        <v>Equipe Oficina Mecânica Central-Taisa</v>
      </c>
    </row>
    <row r="1671" spans="1:12" ht="15" customHeight="1" x14ac:dyDescent="0.4">
      <c r="A1671" s="25">
        <v>46489</v>
      </c>
      <c r="B1671" s="16">
        <v>32</v>
      </c>
      <c r="C1671" s="16">
        <v>3</v>
      </c>
      <c r="D1671" s="16">
        <v>4</v>
      </c>
      <c r="E1671" s="16" t="s">
        <v>1371</v>
      </c>
      <c r="F1671" s="16" t="s">
        <v>1085</v>
      </c>
      <c r="G1671" s="16" t="s">
        <v>184</v>
      </c>
      <c r="H1671" s="16" t="s">
        <v>140</v>
      </c>
      <c r="I1671" s="22" t="s">
        <v>856</v>
      </c>
      <c r="J1671" s="16">
        <f>IFERROR(INDEX(Aux_HH!$J$4:$J$31,MATCH($H1671&amp;"|"&amp;$I1671,Aux_HH!$A$4:$A$31,0)),"")</f>
        <v>2.5</v>
      </c>
      <c r="K1671" s="16" t="s">
        <v>76</v>
      </c>
      <c r="L1671" s="16" t="str">
        <f>IF(COUNTIFS(Pessoas!$C$5:$C$44,$K1671,Pessoas!$G$5:$G$44,"Ativo")=0,"Equipe "&amp;$K1671,INDEX(Pessoas!$A$5:$A$44,_xludf.aggregate(15,6,(ROW(Pessoas!$A$5:$A$44)-4)/((Pessoas!$C$5:$C$44=$K1671)*(Pessoas!$G$5:$G$44="Ativo")),MOD(ROW()-6,MAX(1,COUNTIFS(Pessoas!$C$5:$C$44,$K1671,Pessoas!$G$5:$G$44,"Ativo")))+1)))</f>
        <v>Equipe Oficina Mecânica Central-Taisa</v>
      </c>
    </row>
    <row r="1672" spans="1:12" ht="15" customHeight="1" x14ac:dyDescent="0.4">
      <c r="A1672" s="25">
        <v>46489</v>
      </c>
      <c r="B1672" s="16">
        <v>32</v>
      </c>
      <c r="C1672" s="16">
        <v>3</v>
      </c>
      <c r="D1672" s="16">
        <v>4</v>
      </c>
      <c r="E1672" s="16" t="s">
        <v>1371</v>
      </c>
      <c r="F1672" s="16" t="s">
        <v>1086</v>
      </c>
      <c r="G1672" s="16" t="s">
        <v>184</v>
      </c>
      <c r="H1672" s="16" t="s">
        <v>140</v>
      </c>
      <c r="I1672" s="22" t="s">
        <v>856</v>
      </c>
      <c r="J1672" s="16">
        <f>IFERROR(INDEX(Aux_HH!$J$4:$J$31,MATCH($H1672&amp;"|"&amp;$I1672,Aux_HH!$A$4:$A$31,0)),"")</f>
        <v>2.5</v>
      </c>
      <c r="K1672" s="16" t="s">
        <v>76</v>
      </c>
      <c r="L1672" s="16" t="str">
        <f>IF(COUNTIFS(Pessoas!$C$5:$C$44,$K1672,Pessoas!$G$5:$G$44,"Ativo")=0,"Equipe "&amp;$K1672,INDEX(Pessoas!$A$5:$A$44,_xludf.aggregate(15,6,(ROW(Pessoas!$A$5:$A$44)-4)/((Pessoas!$C$5:$C$44=$K1672)*(Pessoas!$G$5:$G$44="Ativo")),MOD(ROW()-6,MAX(1,COUNTIFS(Pessoas!$C$5:$C$44,$K1672,Pessoas!$G$5:$G$44,"Ativo")))+1)))</f>
        <v>Equipe Oficina Mecânica Central-Taisa</v>
      </c>
    </row>
    <row r="1673" spans="1:12" ht="15" customHeight="1" x14ac:dyDescent="0.4">
      <c r="A1673" s="25">
        <v>46489</v>
      </c>
      <c r="B1673" s="16">
        <v>32</v>
      </c>
      <c r="C1673" s="16">
        <v>3</v>
      </c>
      <c r="D1673" s="16">
        <v>4</v>
      </c>
      <c r="E1673" s="16" t="s">
        <v>1371</v>
      </c>
      <c r="F1673" s="16" t="s">
        <v>1087</v>
      </c>
      <c r="G1673" s="16" t="s">
        <v>526</v>
      </c>
      <c r="H1673" s="16" t="s">
        <v>140</v>
      </c>
      <c r="I1673" s="22" t="s">
        <v>856</v>
      </c>
      <c r="J1673" s="16">
        <f>IFERROR(INDEX(Aux_HH!$J$4:$J$31,MATCH($H1673&amp;"|"&amp;$I1673,Aux_HH!$A$4:$A$31,0)),"")</f>
        <v>2.5</v>
      </c>
      <c r="K1673" s="16" t="s">
        <v>76</v>
      </c>
      <c r="L1673" s="16" t="str">
        <f>IF(COUNTIFS(Pessoas!$C$5:$C$44,$K1673,Pessoas!$G$5:$G$44,"Ativo")=0,"Equipe "&amp;$K1673,INDEX(Pessoas!$A$5:$A$44,_xludf.aggregate(15,6,(ROW(Pessoas!$A$5:$A$44)-4)/((Pessoas!$C$5:$C$44=$K1673)*(Pessoas!$G$5:$G$44="Ativo")),MOD(ROW()-6,MAX(1,COUNTIFS(Pessoas!$C$5:$C$44,$K1673,Pessoas!$G$5:$G$44,"Ativo")))+1)))</f>
        <v>Equipe Oficina Mecânica Central-Taisa</v>
      </c>
    </row>
    <row r="1674" spans="1:12" ht="15" customHeight="1" x14ac:dyDescent="0.4">
      <c r="A1674" s="25">
        <v>46489</v>
      </c>
      <c r="B1674" s="16">
        <v>32</v>
      </c>
      <c r="C1674" s="16">
        <v>3</v>
      </c>
      <c r="D1674" s="16">
        <v>4</v>
      </c>
      <c r="E1674" s="16" t="s">
        <v>1371</v>
      </c>
      <c r="F1674" s="16" t="s">
        <v>1088</v>
      </c>
      <c r="G1674" s="16" t="s">
        <v>526</v>
      </c>
      <c r="H1674" s="16" t="s">
        <v>140</v>
      </c>
      <c r="I1674" s="22" t="s">
        <v>856</v>
      </c>
      <c r="J1674" s="16">
        <f>IFERROR(INDEX(Aux_HH!$J$4:$J$31,MATCH($H1674&amp;"|"&amp;$I1674,Aux_HH!$A$4:$A$31,0)),"")</f>
        <v>2.5</v>
      </c>
      <c r="K1674" s="16" t="s">
        <v>76</v>
      </c>
      <c r="L1674" s="16" t="str">
        <f>IF(COUNTIFS(Pessoas!$C$5:$C$44,$K1674,Pessoas!$G$5:$G$44,"Ativo")=0,"Equipe "&amp;$K1674,INDEX(Pessoas!$A$5:$A$44,_xludf.aggregate(15,6,(ROW(Pessoas!$A$5:$A$44)-4)/((Pessoas!$C$5:$C$44=$K1674)*(Pessoas!$G$5:$G$44="Ativo")),MOD(ROW()-6,MAX(1,COUNTIFS(Pessoas!$C$5:$C$44,$K1674,Pessoas!$G$5:$G$44,"Ativo")))+1)))</f>
        <v>Equipe Oficina Mecânica Central-Taisa</v>
      </c>
    </row>
    <row r="1675" spans="1:12" ht="15" customHeight="1" x14ac:dyDescent="0.4">
      <c r="A1675" s="25">
        <v>46489</v>
      </c>
      <c r="B1675" s="16">
        <v>32</v>
      </c>
      <c r="C1675" s="16">
        <v>3</v>
      </c>
      <c r="D1675" s="16">
        <v>4</v>
      </c>
      <c r="E1675" s="16" t="s">
        <v>1371</v>
      </c>
      <c r="F1675" s="16" t="s">
        <v>1089</v>
      </c>
      <c r="G1675" s="16" t="s">
        <v>184</v>
      </c>
      <c r="H1675" s="16" t="s">
        <v>140</v>
      </c>
      <c r="I1675" s="22" t="s">
        <v>856</v>
      </c>
      <c r="J1675" s="16">
        <f>IFERROR(INDEX(Aux_HH!$J$4:$J$31,MATCH($H1675&amp;"|"&amp;$I1675,Aux_HH!$A$4:$A$31,0)),"")</f>
        <v>2.5</v>
      </c>
      <c r="K1675" s="16" t="s">
        <v>76</v>
      </c>
      <c r="L1675" s="16" t="str">
        <f>IF(COUNTIFS(Pessoas!$C$5:$C$44,$K1675,Pessoas!$G$5:$G$44,"Ativo")=0,"Equipe "&amp;$K1675,INDEX(Pessoas!$A$5:$A$44,_xludf.aggregate(15,6,(ROW(Pessoas!$A$5:$A$44)-4)/((Pessoas!$C$5:$C$44=$K1675)*(Pessoas!$G$5:$G$44="Ativo")),MOD(ROW()-6,MAX(1,COUNTIFS(Pessoas!$C$5:$C$44,$K1675,Pessoas!$G$5:$G$44,"Ativo")))+1)))</f>
        <v>Equipe Oficina Mecânica Central-Taisa</v>
      </c>
    </row>
    <row r="1676" spans="1:12" ht="15" customHeight="1" x14ac:dyDescent="0.4">
      <c r="A1676" s="25">
        <v>46489</v>
      </c>
      <c r="B1676" s="16">
        <v>32</v>
      </c>
      <c r="C1676" s="16">
        <v>3</v>
      </c>
      <c r="D1676" s="16">
        <v>4</v>
      </c>
      <c r="E1676" s="16" t="s">
        <v>1371</v>
      </c>
      <c r="F1676" s="16" t="s">
        <v>1090</v>
      </c>
      <c r="G1676" s="16" t="s">
        <v>526</v>
      </c>
      <c r="H1676" s="16" t="s">
        <v>140</v>
      </c>
      <c r="I1676" s="22" t="s">
        <v>856</v>
      </c>
      <c r="J1676" s="16">
        <f>IFERROR(INDEX(Aux_HH!$J$4:$J$31,MATCH($H1676&amp;"|"&amp;$I1676,Aux_HH!$A$4:$A$31,0)),"")</f>
        <v>2.5</v>
      </c>
      <c r="K1676" s="16" t="s">
        <v>76</v>
      </c>
      <c r="L1676" s="16" t="str">
        <f>IF(COUNTIFS(Pessoas!$C$5:$C$44,$K1676,Pessoas!$G$5:$G$44,"Ativo")=0,"Equipe "&amp;$K1676,INDEX(Pessoas!$A$5:$A$44,_xludf.aggregate(15,6,(ROW(Pessoas!$A$5:$A$44)-4)/((Pessoas!$C$5:$C$44=$K1676)*(Pessoas!$G$5:$G$44="Ativo")),MOD(ROW()-6,MAX(1,COUNTIFS(Pessoas!$C$5:$C$44,$K1676,Pessoas!$G$5:$G$44,"Ativo")))+1)))</f>
        <v>Equipe Oficina Mecânica Central-Taisa</v>
      </c>
    </row>
    <row r="1677" spans="1:12" ht="15" customHeight="1" x14ac:dyDescent="0.4">
      <c r="A1677" s="25">
        <v>46489</v>
      </c>
      <c r="B1677" s="16">
        <v>32</v>
      </c>
      <c r="C1677" s="16">
        <v>3</v>
      </c>
      <c r="D1677" s="16">
        <v>4</v>
      </c>
      <c r="E1677" s="16" t="s">
        <v>1371</v>
      </c>
      <c r="F1677" s="16" t="s">
        <v>1091</v>
      </c>
      <c r="G1677" s="16" t="s">
        <v>526</v>
      </c>
      <c r="H1677" s="16" t="s">
        <v>140</v>
      </c>
      <c r="I1677" s="22" t="s">
        <v>856</v>
      </c>
      <c r="J1677" s="16">
        <f>IFERROR(INDEX(Aux_HH!$J$4:$J$31,MATCH($H1677&amp;"|"&amp;$I1677,Aux_HH!$A$4:$A$31,0)),"")</f>
        <v>2.5</v>
      </c>
      <c r="K1677" s="16" t="s">
        <v>76</v>
      </c>
      <c r="L1677" s="16" t="str">
        <f>IF(COUNTIFS(Pessoas!$C$5:$C$44,$K1677,Pessoas!$G$5:$G$44,"Ativo")=0,"Equipe "&amp;$K1677,INDEX(Pessoas!$A$5:$A$44,_xludf.aggregate(15,6,(ROW(Pessoas!$A$5:$A$44)-4)/((Pessoas!$C$5:$C$44=$K1677)*(Pessoas!$G$5:$G$44="Ativo")),MOD(ROW()-6,MAX(1,COUNTIFS(Pessoas!$C$5:$C$44,$K1677,Pessoas!$G$5:$G$44,"Ativo")))+1)))</f>
        <v>Equipe Oficina Mecânica Central-Taisa</v>
      </c>
    </row>
    <row r="1678" spans="1:12" ht="15" customHeight="1" x14ac:dyDescent="0.4">
      <c r="A1678" s="25">
        <v>46489</v>
      </c>
      <c r="B1678" s="16">
        <v>32</v>
      </c>
      <c r="C1678" s="16">
        <v>3</v>
      </c>
      <c r="D1678" s="16">
        <v>4</v>
      </c>
      <c r="E1678" s="16" t="s">
        <v>1371</v>
      </c>
      <c r="F1678" s="16" t="s">
        <v>1092</v>
      </c>
      <c r="G1678" s="16" t="s">
        <v>526</v>
      </c>
      <c r="H1678" s="16" t="s">
        <v>140</v>
      </c>
      <c r="I1678" s="22" t="s">
        <v>856</v>
      </c>
      <c r="J1678" s="16">
        <f>IFERROR(INDEX(Aux_HH!$J$4:$J$31,MATCH($H1678&amp;"|"&amp;$I1678,Aux_HH!$A$4:$A$31,0)),"")</f>
        <v>2.5</v>
      </c>
      <c r="K1678" s="16" t="s">
        <v>76</v>
      </c>
      <c r="L1678" s="16" t="str">
        <f>IF(COUNTIFS(Pessoas!$C$5:$C$44,$K1678,Pessoas!$G$5:$G$44,"Ativo")=0,"Equipe "&amp;$K1678,INDEX(Pessoas!$A$5:$A$44,_xludf.aggregate(15,6,(ROW(Pessoas!$A$5:$A$44)-4)/((Pessoas!$C$5:$C$44=$K1678)*(Pessoas!$G$5:$G$44="Ativo")),MOD(ROW()-6,MAX(1,COUNTIFS(Pessoas!$C$5:$C$44,$K1678,Pessoas!$G$5:$G$44,"Ativo")))+1)))</f>
        <v>Equipe Oficina Mecânica Central-Taisa</v>
      </c>
    </row>
    <row r="1679" spans="1:12" ht="15" customHeight="1" x14ac:dyDescent="0.4">
      <c r="A1679" s="25">
        <v>46489</v>
      </c>
      <c r="B1679" s="16">
        <v>32</v>
      </c>
      <c r="C1679" s="16">
        <v>3</v>
      </c>
      <c r="D1679" s="16">
        <v>4</v>
      </c>
      <c r="E1679" s="16" t="s">
        <v>1371</v>
      </c>
      <c r="F1679" s="16" t="s">
        <v>1093</v>
      </c>
      <c r="G1679" s="16" t="s">
        <v>526</v>
      </c>
      <c r="H1679" s="16" t="s">
        <v>140</v>
      </c>
      <c r="I1679" s="22" t="s">
        <v>856</v>
      </c>
      <c r="J1679" s="16">
        <f>IFERROR(INDEX(Aux_HH!$J$4:$J$31,MATCH($H1679&amp;"|"&amp;$I1679,Aux_HH!$A$4:$A$31,0)),"")</f>
        <v>2.5</v>
      </c>
      <c r="K1679" s="16" t="s">
        <v>76</v>
      </c>
      <c r="L1679" s="16" t="str">
        <f>IF(COUNTIFS(Pessoas!$C$5:$C$44,$K1679,Pessoas!$G$5:$G$44,"Ativo")=0,"Equipe "&amp;$K1679,INDEX(Pessoas!$A$5:$A$44,_xludf.aggregate(15,6,(ROW(Pessoas!$A$5:$A$44)-4)/((Pessoas!$C$5:$C$44=$K1679)*(Pessoas!$G$5:$G$44="Ativo")),MOD(ROW()-6,MAX(1,COUNTIFS(Pessoas!$C$5:$C$44,$K1679,Pessoas!$G$5:$G$44,"Ativo")))+1)))</f>
        <v>Equipe Oficina Mecânica Central-Taisa</v>
      </c>
    </row>
    <row r="1680" spans="1:12" ht="15" customHeight="1" x14ac:dyDescent="0.4">
      <c r="A1680" s="25">
        <v>46489</v>
      </c>
      <c r="B1680" s="16">
        <v>32</v>
      </c>
      <c r="C1680" s="16">
        <v>3</v>
      </c>
      <c r="D1680" s="16">
        <v>4</v>
      </c>
      <c r="E1680" s="16" t="s">
        <v>1371</v>
      </c>
      <c r="F1680" s="16" t="s">
        <v>1117</v>
      </c>
      <c r="G1680" s="16" t="s">
        <v>526</v>
      </c>
      <c r="H1680" s="16" t="s">
        <v>140</v>
      </c>
      <c r="I1680" s="22" t="s">
        <v>856</v>
      </c>
      <c r="J1680" s="16">
        <f>IFERROR(INDEX(Aux_HH!$J$4:$J$31,MATCH($H1680&amp;"|"&amp;$I1680,Aux_HH!$A$4:$A$31,0)),"")</f>
        <v>2.5</v>
      </c>
      <c r="K1680" s="16" t="s">
        <v>76</v>
      </c>
      <c r="L1680" s="16" t="str">
        <f>IF(COUNTIFS(Pessoas!$C$5:$C$44,$K1680,Pessoas!$G$5:$G$44,"Ativo")=0,"Equipe "&amp;$K1680,INDEX(Pessoas!$A$5:$A$44,_xludf.aggregate(15,6,(ROW(Pessoas!$A$5:$A$44)-4)/((Pessoas!$C$5:$C$44=$K1680)*(Pessoas!$G$5:$G$44="Ativo")),MOD(ROW()-6,MAX(1,COUNTIFS(Pessoas!$C$5:$C$44,$K1680,Pessoas!$G$5:$G$44,"Ativo")))+1)))</f>
        <v>Equipe Oficina Mecânica Central-Taisa</v>
      </c>
    </row>
    <row r="1681" spans="1:12" ht="15" customHeight="1" x14ac:dyDescent="0.4">
      <c r="A1681" s="25">
        <v>46489</v>
      </c>
      <c r="B1681" s="16">
        <v>32</v>
      </c>
      <c r="C1681" s="16">
        <v>3</v>
      </c>
      <c r="D1681" s="16">
        <v>4</v>
      </c>
      <c r="E1681" s="16" t="s">
        <v>1371</v>
      </c>
      <c r="F1681" s="16" t="s">
        <v>1118</v>
      </c>
      <c r="G1681" s="16" t="s">
        <v>526</v>
      </c>
      <c r="H1681" s="16" t="s">
        <v>140</v>
      </c>
      <c r="I1681" s="22" t="s">
        <v>856</v>
      </c>
      <c r="J1681" s="16">
        <f>IFERROR(INDEX(Aux_HH!$J$4:$J$31,MATCH($H1681&amp;"|"&amp;$I1681,Aux_HH!$A$4:$A$31,0)),"")</f>
        <v>2.5</v>
      </c>
      <c r="K1681" s="16" t="s">
        <v>76</v>
      </c>
      <c r="L1681" s="16" t="str">
        <f>IF(COUNTIFS(Pessoas!$C$5:$C$44,$K1681,Pessoas!$G$5:$G$44,"Ativo")=0,"Equipe "&amp;$K1681,INDEX(Pessoas!$A$5:$A$44,_xludf.aggregate(15,6,(ROW(Pessoas!$A$5:$A$44)-4)/((Pessoas!$C$5:$C$44=$K1681)*(Pessoas!$G$5:$G$44="Ativo")),MOD(ROW()-6,MAX(1,COUNTIFS(Pessoas!$C$5:$C$44,$K1681,Pessoas!$G$5:$G$44,"Ativo")))+1)))</f>
        <v>Equipe Oficina Mecânica Central-Taisa</v>
      </c>
    </row>
    <row r="1682" spans="1:12" ht="15" customHeight="1" x14ac:dyDescent="0.4">
      <c r="A1682" s="25">
        <v>46489</v>
      </c>
      <c r="B1682" s="16">
        <v>32</v>
      </c>
      <c r="C1682" s="16">
        <v>3</v>
      </c>
      <c r="D1682" s="16">
        <v>4</v>
      </c>
      <c r="E1682" s="16" t="s">
        <v>1371</v>
      </c>
      <c r="F1682" s="16" t="s">
        <v>1119</v>
      </c>
      <c r="G1682" s="16" t="s">
        <v>184</v>
      </c>
      <c r="H1682" s="16" t="s">
        <v>140</v>
      </c>
      <c r="I1682" s="22" t="s">
        <v>856</v>
      </c>
      <c r="J1682" s="16">
        <f>IFERROR(INDEX(Aux_HH!$J$4:$J$31,MATCH($H1682&amp;"|"&amp;$I1682,Aux_HH!$A$4:$A$31,0)),"")</f>
        <v>2.5</v>
      </c>
      <c r="K1682" s="16" t="s">
        <v>76</v>
      </c>
      <c r="L1682" s="16" t="str">
        <f>IF(COUNTIFS(Pessoas!$C$5:$C$44,$K1682,Pessoas!$G$5:$G$44,"Ativo")=0,"Equipe "&amp;$K1682,INDEX(Pessoas!$A$5:$A$44,_xludf.aggregate(15,6,(ROW(Pessoas!$A$5:$A$44)-4)/((Pessoas!$C$5:$C$44=$K1682)*(Pessoas!$G$5:$G$44="Ativo")),MOD(ROW()-6,MAX(1,COUNTIFS(Pessoas!$C$5:$C$44,$K1682,Pessoas!$G$5:$G$44,"Ativo")))+1)))</f>
        <v>Equipe Oficina Mecânica Central-Taisa</v>
      </c>
    </row>
    <row r="1683" spans="1:12" ht="15" customHeight="1" x14ac:dyDescent="0.4">
      <c r="A1683" s="25">
        <v>46489</v>
      </c>
      <c r="B1683" s="16">
        <v>32</v>
      </c>
      <c r="C1683" s="16">
        <v>3</v>
      </c>
      <c r="D1683" s="16">
        <v>4</v>
      </c>
      <c r="E1683" s="16" t="s">
        <v>1371</v>
      </c>
      <c r="F1683" s="16" t="s">
        <v>1120</v>
      </c>
      <c r="G1683" s="16" t="s">
        <v>184</v>
      </c>
      <c r="H1683" s="16" t="s">
        <v>140</v>
      </c>
      <c r="I1683" s="22" t="s">
        <v>856</v>
      </c>
      <c r="J1683" s="16">
        <f>IFERROR(INDEX(Aux_HH!$J$4:$J$31,MATCH($H1683&amp;"|"&amp;$I1683,Aux_HH!$A$4:$A$31,0)),"")</f>
        <v>2.5</v>
      </c>
      <c r="K1683" s="16" t="s">
        <v>76</v>
      </c>
      <c r="L1683" s="16" t="str">
        <f>IF(COUNTIFS(Pessoas!$C$5:$C$44,$K1683,Pessoas!$G$5:$G$44,"Ativo")=0,"Equipe "&amp;$K1683,INDEX(Pessoas!$A$5:$A$44,_xludf.aggregate(15,6,(ROW(Pessoas!$A$5:$A$44)-4)/((Pessoas!$C$5:$C$44=$K1683)*(Pessoas!$G$5:$G$44="Ativo")),MOD(ROW()-6,MAX(1,COUNTIFS(Pessoas!$C$5:$C$44,$K1683,Pessoas!$G$5:$G$44,"Ativo")))+1)))</f>
        <v>Equipe Oficina Mecânica Central-Taisa</v>
      </c>
    </row>
    <row r="1684" spans="1:12" ht="15" customHeight="1" x14ac:dyDescent="0.4">
      <c r="A1684" s="25">
        <v>46489</v>
      </c>
      <c r="B1684" s="16">
        <v>32</v>
      </c>
      <c r="C1684" s="16">
        <v>3</v>
      </c>
      <c r="D1684" s="16">
        <v>4</v>
      </c>
      <c r="E1684" s="16" t="s">
        <v>1371</v>
      </c>
      <c r="F1684" s="16" t="s">
        <v>1121</v>
      </c>
      <c r="G1684" s="16" t="s">
        <v>526</v>
      </c>
      <c r="H1684" s="16" t="s">
        <v>140</v>
      </c>
      <c r="I1684" s="22" t="s">
        <v>856</v>
      </c>
      <c r="J1684" s="16">
        <f>IFERROR(INDEX(Aux_HH!$J$4:$J$31,MATCH($H1684&amp;"|"&amp;$I1684,Aux_HH!$A$4:$A$31,0)),"")</f>
        <v>2.5</v>
      </c>
      <c r="K1684" s="16" t="s">
        <v>76</v>
      </c>
      <c r="L1684" s="16" t="str">
        <f>IF(COUNTIFS(Pessoas!$C$5:$C$44,$K1684,Pessoas!$G$5:$G$44,"Ativo")=0,"Equipe "&amp;$K1684,INDEX(Pessoas!$A$5:$A$44,_xludf.aggregate(15,6,(ROW(Pessoas!$A$5:$A$44)-4)/((Pessoas!$C$5:$C$44=$K1684)*(Pessoas!$G$5:$G$44="Ativo")),MOD(ROW()-6,MAX(1,COUNTIFS(Pessoas!$C$5:$C$44,$K1684,Pessoas!$G$5:$G$44,"Ativo")))+1)))</f>
        <v>Equipe Oficina Mecânica Central-Taisa</v>
      </c>
    </row>
    <row r="1685" spans="1:12" ht="15" customHeight="1" x14ac:dyDescent="0.4">
      <c r="A1685" s="25">
        <v>46489</v>
      </c>
      <c r="B1685" s="16">
        <v>32</v>
      </c>
      <c r="C1685" s="16">
        <v>3</v>
      </c>
      <c r="D1685" s="16">
        <v>4</v>
      </c>
      <c r="E1685" s="16" t="s">
        <v>1371</v>
      </c>
      <c r="F1685" s="16" t="s">
        <v>1122</v>
      </c>
      <c r="G1685" s="16" t="s">
        <v>526</v>
      </c>
      <c r="H1685" s="16" t="s">
        <v>140</v>
      </c>
      <c r="I1685" s="22" t="s">
        <v>856</v>
      </c>
      <c r="J1685" s="16">
        <f>IFERROR(INDEX(Aux_HH!$J$4:$J$31,MATCH($H1685&amp;"|"&amp;$I1685,Aux_HH!$A$4:$A$31,0)),"")</f>
        <v>2.5</v>
      </c>
      <c r="K1685" s="16" t="s">
        <v>76</v>
      </c>
      <c r="L1685" s="16" t="str">
        <f>IF(COUNTIFS(Pessoas!$C$5:$C$44,$K1685,Pessoas!$G$5:$G$44,"Ativo")=0,"Equipe "&amp;$K1685,INDEX(Pessoas!$A$5:$A$44,_xludf.aggregate(15,6,(ROW(Pessoas!$A$5:$A$44)-4)/((Pessoas!$C$5:$C$44=$K1685)*(Pessoas!$G$5:$G$44="Ativo")),MOD(ROW()-6,MAX(1,COUNTIFS(Pessoas!$C$5:$C$44,$K1685,Pessoas!$G$5:$G$44,"Ativo")))+1)))</f>
        <v>Equipe Oficina Mecânica Central-Taisa</v>
      </c>
    </row>
    <row r="1686" spans="1:12" ht="15" customHeight="1" x14ac:dyDescent="0.4">
      <c r="A1686" s="25">
        <v>46489</v>
      </c>
      <c r="B1686" s="16">
        <v>32</v>
      </c>
      <c r="C1686" s="16">
        <v>3</v>
      </c>
      <c r="D1686" s="16">
        <v>4</v>
      </c>
      <c r="E1686" s="16" t="s">
        <v>1371</v>
      </c>
      <c r="F1686" s="16" t="s">
        <v>1123</v>
      </c>
      <c r="G1686" s="16" t="s">
        <v>526</v>
      </c>
      <c r="H1686" s="16" t="s">
        <v>140</v>
      </c>
      <c r="I1686" s="22" t="s">
        <v>856</v>
      </c>
      <c r="J1686" s="16">
        <f>IFERROR(INDEX(Aux_HH!$J$4:$J$31,MATCH($H1686&amp;"|"&amp;$I1686,Aux_HH!$A$4:$A$31,0)),"")</f>
        <v>2.5</v>
      </c>
      <c r="K1686" s="16" t="s">
        <v>76</v>
      </c>
      <c r="L1686" s="16" t="str">
        <f>IF(COUNTIFS(Pessoas!$C$5:$C$44,$K1686,Pessoas!$G$5:$G$44,"Ativo")=0,"Equipe "&amp;$K1686,INDEX(Pessoas!$A$5:$A$44,_xludf.aggregate(15,6,(ROW(Pessoas!$A$5:$A$44)-4)/((Pessoas!$C$5:$C$44=$K1686)*(Pessoas!$G$5:$G$44="Ativo")),MOD(ROW()-6,MAX(1,COUNTIFS(Pessoas!$C$5:$C$44,$K1686,Pessoas!$G$5:$G$44,"Ativo")))+1)))</f>
        <v>Equipe Oficina Mecânica Central-Taisa</v>
      </c>
    </row>
    <row r="1687" spans="1:12" ht="15" customHeight="1" x14ac:dyDescent="0.4">
      <c r="A1687" s="25">
        <v>46504</v>
      </c>
      <c r="B1687" s="16">
        <v>35</v>
      </c>
      <c r="C1687" s="16">
        <v>3</v>
      </c>
      <c r="D1687" s="16">
        <v>4</v>
      </c>
      <c r="E1687" s="16" t="s">
        <v>1371</v>
      </c>
      <c r="F1687" s="16" t="s">
        <v>1001</v>
      </c>
      <c r="G1687" s="16" t="s">
        <v>688</v>
      </c>
      <c r="H1687" s="16" t="s">
        <v>145</v>
      </c>
      <c r="I1687" s="22" t="s">
        <v>856</v>
      </c>
      <c r="J1687" s="16">
        <f>IFERROR(INDEX(Aux_HH!$J$4:$J$31,MATCH($H1687&amp;"|"&amp;$I1687,Aux_HH!$A$4:$A$31,0)),"")</f>
        <v>2</v>
      </c>
      <c r="K1687" s="16" t="s">
        <v>76</v>
      </c>
      <c r="L1687" s="16" t="str">
        <f>IF(COUNTIFS(Pessoas!$C$5:$C$44,$K1687,Pessoas!$G$5:$G$44,"Ativo")=0,"Equipe "&amp;$K1687,INDEX(Pessoas!$A$5:$A$44,_xludf.aggregate(15,6,(ROW(Pessoas!$A$5:$A$44)-4)/((Pessoas!$C$5:$C$44=$K1687)*(Pessoas!$G$5:$G$44="Ativo")),MOD(ROW()-6,MAX(1,COUNTIFS(Pessoas!$C$5:$C$44,$K1687,Pessoas!$G$5:$G$44,"Ativo")))+1)))</f>
        <v>Equipe Oficina Mecânica Central-Taisa</v>
      </c>
    </row>
    <row r="1688" spans="1:12" ht="15" customHeight="1" x14ac:dyDescent="0.4">
      <c r="A1688" s="25">
        <v>46504</v>
      </c>
      <c r="B1688" s="16">
        <v>35</v>
      </c>
      <c r="C1688" s="16">
        <v>3</v>
      </c>
      <c r="D1688" s="16">
        <v>4</v>
      </c>
      <c r="E1688" s="16" t="s">
        <v>1371</v>
      </c>
      <c r="F1688" s="16" t="s">
        <v>1002</v>
      </c>
      <c r="G1688" s="16" t="s">
        <v>688</v>
      </c>
      <c r="H1688" s="16" t="s">
        <v>145</v>
      </c>
      <c r="I1688" s="22" t="s">
        <v>856</v>
      </c>
      <c r="J1688" s="16">
        <f>IFERROR(INDEX(Aux_HH!$J$4:$J$31,MATCH($H1688&amp;"|"&amp;$I1688,Aux_HH!$A$4:$A$31,0)),"")</f>
        <v>2</v>
      </c>
      <c r="K1688" s="16" t="s">
        <v>76</v>
      </c>
      <c r="L1688" s="16" t="str">
        <f>IF(COUNTIFS(Pessoas!$C$5:$C$44,$K1688,Pessoas!$G$5:$G$44,"Ativo")=0,"Equipe "&amp;$K1688,INDEX(Pessoas!$A$5:$A$44,_xludf.aggregate(15,6,(ROW(Pessoas!$A$5:$A$44)-4)/((Pessoas!$C$5:$C$44=$K1688)*(Pessoas!$G$5:$G$44="Ativo")),MOD(ROW()-6,MAX(1,COUNTIFS(Pessoas!$C$5:$C$44,$K1688,Pessoas!$G$5:$G$44,"Ativo")))+1)))</f>
        <v>Equipe Oficina Mecânica Central-Taisa</v>
      </c>
    </row>
    <row r="1689" spans="1:12" ht="15" customHeight="1" x14ac:dyDescent="0.4">
      <c r="A1689" s="25">
        <v>46504</v>
      </c>
      <c r="B1689" s="16">
        <v>35</v>
      </c>
      <c r="C1689" s="16">
        <v>3</v>
      </c>
      <c r="D1689" s="16">
        <v>4</v>
      </c>
      <c r="E1689" s="16" t="s">
        <v>1371</v>
      </c>
      <c r="F1689" s="16" t="s">
        <v>1003</v>
      </c>
      <c r="G1689" s="16" t="s">
        <v>688</v>
      </c>
      <c r="H1689" s="16" t="s">
        <v>145</v>
      </c>
      <c r="I1689" s="22" t="s">
        <v>856</v>
      </c>
      <c r="J1689" s="16">
        <f>IFERROR(INDEX(Aux_HH!$J$4:$J$31,MATCH($H1689&amp;"|"&amp;$I1689,Aux_HH!$A$4:$A$31,0)),"")</f>
        <v>2</v>
      </c>
      <c r="K1689" s="16" t="s">
        <v>76</v>
      </c>
      <c r="L1689" s="16" t="str">
        <f>IF(COUNTIFS(Pessoas!$C$5:$C$44,$K1689,Pessoas!$G$5:$G$44,"Ativo")=0,"Equipe "&amp;$K1689,INDEX(Pessoas!$A$5:$A$44,_xludf.aggregate(15,6,(ROW(Pessoas!$A$5:$A$44)-4)/((Pessoas!$C$5:$C$44=$K1689)*(Pessoas!$G$5:$G$44="Ativo")),MOD(ROW()-6,MAX(1,COUNTIFS(Pessoas!$C$5:$C$44,$K1689,Pessoas!$G$5:$G$44,"Ativo")))+1)))</f>
        <v>Equipe Oficina Mecânica Central-Taisa</v>
      </c>
    </row>
    <row r="1690" spans="1:12" ht="15" customHeight="1" x14ac:dyDescent="0.4">
      <c r="A1690" s="25">
        <v>46505</v>
      </c>
      <c r="B1690" s="16">
        <v>35</v>
      </c>
      <c r="C1690" s="16">
        <v>3</v>
      </c>
      <c r="D1690" s="16">
        <v>4</v>
      </c>
      <c r="E1690" s="16" t="s">
        <v>1371</v>
      </c>
      <c r="F1690" s="16" t="s">
        <v>1004</v>
      </c>
      <c r="G1690" s="16" t="s">
        <v>688</v>
      </c>
      <c r="H1690" s="16" t="s">
        <v>145</v>
      </c>
      <c r="I1690" s="22" t="s">
        <v>856</v>
      </c>
      <c r="J1690" s="16">
        <f>IFERROR(INDEX(Aux_HH!$J$4:$J$31,MATCH($H1690&amp;"|"&amp;$I1690,Aux_HH!$A$4:$A$31,0)),"")</f>
        <v>2</v>
      </c>
      <c r="K1690" s="16" t="s">
        <v>76</v>
      </c>
      <c r="L1690" s="16" t="str">
        <f>IF(COUNTIFS(Pessoas!$C$5:$C$44,$K1690,Pessoas!$G$5:$G$44,"Ativo")=0,"Equipe "&amp;$K1690,INDEX(Pessoas!$A$5:$A$44,_xludf.aggregate(15,6,(ROW(Pessoas!$A$5:$A$44)-4)/((Pessoas!$C$5:$C$44=$K1690)*(Pessoas!$G$5:$G$44="Ativo")),MOD(ROW()-6,MAX(1,COUNTIFS(Pessoas!$C$5:$C$44,$K1690,Pessoas!$G$5:$G$44,"Ativo")))+1)))</f>
        <v>Equipe Oficina Mecânica Central-Taisa</v>
      </c>
    </row>
    <row r="1691" spans="1:12" ht="15" customHeight="1" x14ac:dyDescent="0.4">
      <c r="A1691" s="25">
        <v>46505</v>
      </c>
      <c r="B1691" s="16">
        <v>35</v>
      </c>
      <c r="C1691" s="16">
        <v>3</v>
      </c>
      <c r="D1691" s="16">
        <v>4</v>
      </c>
      <c r="E1691" s="16" t="s">
        <v>1371</v>
      </c>
      <c r="F1691" s="16" t="s">
        <v>1005</v>
      </c>
      <c r="G1691" s="16" t="s">
        <v>688</v>
      </c>
      <c r="H1691" s="16" t="s">
        <v>145</v>
      </c>
      <c r="I1691" s="22" t="s">
        <v>856</v>
      </c>
      <c r="J1691" s="16">
        <f>IFERROR(INDEX(Aux_HH!$J$4:$J$31,MATCH($H1691&amp;"|"&amp;$I1691,Aux_HH!$A$4:$A$31,0)),"")</f>
        <v>2</v>
      </c>
      <c r="K1691" s="16" t="s">
        <v>76</v>
      </c>
      <c r="L1691" s="16" t="str">
        <f>IF(COUNTIFS(Pessoas!$C$5:$C$44,$K1691,Pessoas!$G$5:$G$44,"Ativo")=0,"Equipe "&amp;$K1691,INDEX(Pessoas!$A$5:$A$44,_xludf.aggregate(15,6,(ROW(Pessoas!$A$5:$A$44)-4)/((Pessoas!$C$5:$C$44=$K1691)*(Pessoas!$G$5:$G$44="Ativo")),MOD(ROW()-6,MAX(1,COUNTIFS(Pessoas!$C$5:$C$44,$K1691,Pessoas!$G$5:$G$44,"Ativo")))+1)))</f>
        <v>Equipe Oficina Mecânica Central-Taisa</v>
      </c>
    </row>
    <row r="1692" spans="1:12" ht="15" customHeight="1" x14ac:dyDescent="0.4">
      <c r="A1692" s="25">
        <v>46505</v>
      </c>
      <c r="B1692" s="16">
        <v>35</v>
      </c>
      <c r="C1692" s="16">
        <v>3</v>
      </c>
      <c r="D1692" s="16">
        <v>4</v>
      </c>
      <c r="E1692" s="16" t="s">
        <v>1371</v>
      </c>
      <c r="F1692" s="16" t="s">
        <v>1006</v>
      </c>
      <c r="G1692" s="16" t="s">
        <v>688</v>
      </c>
      <c r="H1692" s="16" t="s">
        <v>145</v>
      </c>
      <c r="I1692" s="22" t="s">
        <v>856</v>
      </c>
      <c r="J1692" s="16">
        <f>IFERROR(INDEX(Aux_HH!$J$4:$J$31,MATCH($H1692&amp;"|"&amp;$I1692,Aux_HH!$A$4:$A$31,0)),"")</f>
        <v>2</v>
      </c>
      <c r="K1692" s="16" t="s">
        <v>76</v>
      </c>
      <c r="L1692" s="16" t="str">
        <f>IF(COUNTIFS(Pessoas!$C$5:$C$44,$K1692,Pessoas!$G$5:$G$44,"Ativo")=0,"Equipe "&amp;$K1692,INDEX(Pessoas!$A$5:$A$44,_xludf.aggregate(15,6,(ROW(Pessoas!$A$5:$A$44)-4)/((Pessoas!$C$5:$C$44=$K1692)*(Pessoas!$G$5:$G$44="Ativo")),MOD(ROW()-6,MAX(1,COUNTIFS(Pessoas!$C$5:$C$44,$K1692,Pessoas!$G$5:$G$44,"Ativo")))+1)))</f>
        <v>Equipe Oficina Mecânica Central-Taisa</v>
      </c>
    </row>
    <row r="1693" spans="1:12" ht="15" customHeight="1" x14ac:dyDescent="0.4">
      <c r="A1693" s="25">
        <v>46506</v>
      </c>
      <c r="B1693" s="16">
        <v>35</v>
      </c>
      <c r="C1693" s="16">
        <v>3</v>
      </c>
      <c r="D1693" s="16">
        <v>4</v>
      </c>
      <c r="E1693" s="16" t="s">
        <v>1371</v>
      </c>
      <c r="F1693" s="16" t="s">
        <v>994</v>
      </c>
      <c r="G1693" s="16" t="s">
        <v>688</v>
      </c>
      <c r="H1693" s="16" t="s">
        <v>145</v>
      </c>
      <c r="I1693" s="22" t="s">
        <v>856</v>
      </c>
      <c r="J1693" s="16">
        <f>IFERROR(INDEX(Aux_HH!$J$4:$J$31,MATCH($H1693&amp;"|"&amp;$I1693,Aux_HH!$A$4:$A$31,0)),"")</f>
        <v>2</v>
      </c>
      <c r="K1693" s="16" t="s">
        <v>76</v>
      </c>
      <c r="L1693" s="16" t="str">
        <f>IF(COUNTIFS(Pessoas!$C$5:$C$44,$K1693,Pessoas!$G$5:$G$44,"Ativo")=0,"Equipe "&amp;$K1693,INDEX(Pessoas!$A$5:$A$44,_xludf.aggregate(15,6,(ROW(Pessoas!$A$5:$A$44)-4)/((Pessoas!$C$5:$C$44=$K1693)*(Pessoas!$G$5:$G$44="Ativo")),MOD(ROW()-6,MAX(1,COUNTIFS(Pessoas!$C$5:$C$44,$K1693,Pessoas!$G$5:$G$44,"Ativo")))+1)))</f>
        <v>Equipe Oficina Mecânica Central-Taisa</v>
      </c>
    </row>
    <row r="1694" spans="1:12" ht="15" customHeight="1" x14ac:dyDescent="0.4">
      <c r="A1694" s="25">
        <v>46506</v>
      </c>
      <c r="B1694" s="16">
        <v>35</v>
      </c>
      <c r="C1694" s="16">
        <v>3</v>
      </c>
      <c r="D1694" s="16">
        <v>4</v>
      </c>
      <c r="E1694" s="16" t="s">
        <v>1371</v>
      </c>
      <c r="F1694" s="16" t="s">
        <v>995</v>
      </c>
      <c r="G1694" s="16" t="s">
        <v>688</v>
      </c>
      <c r="H1694" s="16" t="s">
        <v>145</v>
      </c>
      <c r="I1694" s="22" t="s">
        <v>856</v>
      </c>
      <c r="J1694" s="16">
        <f>IFERROR(INDEX(Aux_HH!$J$4:$J$31,MATCH($H1694&amp;"|"&amp;$I1694,Aux_HH!$A$4:$A$31,0)),"")</f>
        <v>2</v>
      </c>
      <c r="K1694" s="16" t="s">
        <v>76</v>
      </c>
      <c r="L1694" s="16" t="str">
        <f>IF(COUNTIFS(Pessoas!$C$5:$C$44,$K1694,Pessoas!$G$5:$G$44,"Ativo")=0,"Equipe "&amp;$K1694,INDEX(Pessoas!$A$5:$A$44,_xludf.aggregate(15,6,(ROW(Pessoas!$A$5:$A$44)-4)/((Pessoas!$C$5:$C$44=$K1694)*(Pessoas!$G$5:$G$44="Ativo")),MOD(ROW()-6,MAX(1,COUNTIFS(Pessoas!$C$5:$C$44,$K1694,Pessoas!$G$5:$G$44,"Ativo")))+1)))</f>
        <v>Equipe Oficina Mecânica Central-Taisa</v>
      </c>
    </row>
    <row r="1695" spans="1:12" ht="15" customHeight="1" x14ac:dyDescent="0.4">
      <c r="A1695" s="25">
        <v>46507</v>
      </c>
      <c r="B1695" s="16">
        <v>35</v>
      </c>
      <c r="C1695" s="16">
        <v>3</v>
      </c>
      <c r="D1695" s="16">
        <v>4</v>
      </c>
      <c r="E1695" s="16" t="s">
        <v>1371</v>
      </c>
      <c r="F1695" s="16" t="s">
        <v>996</v>
      </c>
      <c r="G1695" s="16" t="s">
        <v>688</v>
      </c>
      <c r="H1695" s="16" t="s">
        <v>145</v>
      </c>
      <c r="I1695" s="22" t="s">
        <v>856</v>
      </c>
      <c r="J1695" s="16">
        <f>IFERROR(INDEX(Aux_HH!$J$4:$J$31,MATCH($H1695&amp;"|"&amp;$I1695,Aux_HH!$A$4:$A$31,0)),"")</f>
        <v>2</v>
      </c>
      <c r="K1695" s="16" t="s">
        <v>76</v>
      </c>
      <c r="L1695" s="16" t="str">
        <f>IF(COUNTIFS(Pessoas!$C$5:$C$44,$K1695,Pessoas!$G$5:$G$44,"Ativo")=0,"Equipe "&amp;$K1695,INDEX(Pessoas!$A$5:$A$44,_xludf.aggregate(15,6,(ROW(Pessoas!$A$5:$A$44)-4)/((Pessoas!$C$5:$C$44=$K1695)*(Pessoas!$G$5:$G$44="Ativo")),MOD(ROW()-6,MAX(1,COUNTIFS(Pessoas!$C$5:$C$44,$K1695,Pessoas!$G$5:$G$44,"Ativo")))+1)))</f>
        <v>Equipe Oficina Mecânica Central-Taisa</v>
      </c>
    </row>
    <row r="1696" spans="1:12" ht="15" customHeight="1" x14ac:dyDescent="0.4">
      <c r="A1696" s="25">
        <v>46507</v>
      </c>
      <c r="B1696" s="16">
        <v>35</v>
      </c>
      <c r="C1696" s="16">
        <v>3</v>
      </c>
      <c r="D1696" s="16">
        <v>4</v>
      </c>
      <c r="E1696" s="16" t="s">
        <v>1371</v>
      </c>
      <c r="F1696" s="16" t="s">
        <v>997</v>
      </c>
      <c r="G1696" s="16" t="s">
        <v>688</v>
      </c>
      <c r="H1696" s="16" t="s">
        <v>145</v>
      </c>
      <c r="I1696" s="22" t="s">
        <v>856</v>
      </c>
      <c r="J1696" s="16">
        <f>IFERROR(INDEX(Aux_HH!$J$4:$J$31,MATCH($H1696&amp;"|"&amp;$I1696,Aux_HH!$A$4:$A$31,0)),"")</f>
        <v>2</v>
      </c>
      <c r="K1696" s="16" t="s">
        <v>76</v>
      </c>
      <c r="L1696" s="16" t="str">
        <f>IF(COUNTIFS(Pessoas!$C$5:$C$44,$K1696,Pessoas!$G$5:$G$44,"Ativo")=0,"Equipe "&amp;$K1696,INDEX(Pessoas!$A$5:$A$44,_xludf.aggregate(15,6,(ROW(Pessoas!$A$5:$A$44)-4)/((Pessoas!$C$5:$C$44=$K1696)*(Pessoas!$G$5:$G$44="Ativo")),MOD(ROW()-6,MAX(1,COUNTIFS(Pessoas!$C$5:$C$44,$K1696,Pessoas!$G$5:$G$44,"Ativo")))+1)))</f>
        <v>Equipe Oficina Mecânica Central-Taisa</v>
      </c>
    </row>
    <row r="1697" spans="1:12" ht="15" customHeight="1" x14ac:dyDescent="0.4">
      <c r="A1697" s="25">
        <v>46510</v>
      </c>
      <c r="B1697" s="16">
        <v>35</v>
      </c>
      <c r="C1697" s="16">
        <v>3</v>
      </c>
      <c r="D1697" s="16">
        <v>5</v>
      </c>
      <c r="E1697" s="16" t="s">
        <v>1371</v>
      </c>
      <c r="F1697" s="16" t="s">
        <v>998</v>
      </c>
      <c r="G1697" s="16" t="s">
        <v>688</v>
      </c>
      <c r="H1697" s="16" t="s">
        <v>145</v>
      </c>
      <c r="I1697" s="22" t="s">
        <v>856</v>
      </c>
      <c r="J1697" s="16">
        <f>IFERROR(INDEX(Aux_HH!$J$4:$J$31,MATCH($H1697&amp;"|"&amp;$I1697,Aux_HH!$A$4:$A$31,0)),"")</f>
        <v>2</v>
      </c>
      <c r="K1697" s="16" t="s">
        <v>76</v>
      </c>
      <c r="L1697" s="16" t="str">
        <f>IF(COUNTIFS(Pessoas!$C$5:$C$44,$K1697,Pessoas!$G$5:$G$44,"Ativo")=0,"Equipe "&amp;$K1697,INDEX(Pessoas!$A$5:$A$44,_xludf.aggregate(15,6,(ROW(Pessoas!$A$5:$A$44)-4)/((Pessoas!$C$5:$C$44=$K1697)*(Pessoas!$G$5:$G$44="Ativo")),MOD(ROW()-6,MAX(1,COUNTIFS(Pessoas!$C$5:$C$44,$K1697,Pessoas!$G$5:$G$44,"Ativo")))+1)))</f>
        <v>Equipe Oficina Mecânica Central-Taisa</v>
      </c>
    </row>
    <row r="1698" spans="1:12" ht="15" customHeight="1" x14ac:dyDescent="0.4">
      <c r="A1698" s="25">
        <v>46510</v>
      </c>
      <c r="B1698" s="16">
        <v>35</v>
      </c>
      <c r="C1698" s="16">
        <v>3</v>
      </c>
      <c r="D1698" s="16">
        <v>5</v>
      </c>
      <c r="E1698" s="16" t="s">
        <v>1371</v>
      </c>
      <c r="F1698" s="16" t="s">
        <v>1000</v>
      </c>
      <c r="G1698" s="16" t="s">
        <v>688</v>
      </c>
      <c r="H1698" s="16" t="s">
        <v>145</v>
      </c>
      <c r="I1698" s="22" t="s">
        <v>856</v>
      </c>
      <c r="J1698" s="16">
        <f>IFERROR(INDEX(Aux_HH!$J$4:$J$31,MATCH($H1698&amp;"|"&amp;$I1698,Aux_HH!$A$4:$A$31,0)),"")</f>
        <v>2</v>
      </c>
      <c r="K1698" s="16" t="s">
        <v>76</v>
      </c>
      <c r="L1698" s="16" t="str">
        <f>IF(COUNTIFS(Pessoas!$C$5:$C$44,$K1698,Pessoas!$G$5:$G$44,"Ativo")=0,"Equipe "&amp;$K1698,INDEX(Pessoas!$A$5:$A$44,_xludf.aggregate(15,6,(ROW(Pessoas!$A$5:$A$44)-4)/((Pessoas!$C$5:$C$44=$K1698)*(Pessoas!$G$5:$G$44="Ativo")),MOD(ROW()-6,MAX(1,COUNTIFS(Pessoas!$C$5:$C$44,$K1698,Pessoas!$G$5:$G$44,"Ativo")))+1)))</f>
        <v>Equipe Oficina Mecânica Central-Taisa</v>
      </c>
    </row>
    <row r="1699" spans="1:12" ht="15" customHeight="1" x14ac:dyDescent="0.4">
      <c r="A1699" s="25">
        <v>46511</v>
      </c>
      <c r="B1699" s="16">
        <v>36</v>
      </c>
      <c r="C1699" s="16">
        <v>3</v>
      </c>
      <c r="D1699" s="16">
        <v>5</v>
      </c>
      <c r="E1699" s="16" t="s">
        <v>1371</v>
      </c>
      <c r="F1699" s="16" t="s">
        <v>1313</v>
      </c>
      <c r="G1699" s="16" t="s">
        <v>688</v>
      </c>
      <c r="H1699" s="16" t="s">
        <v>146</v>
      </c>
      <c r="I1699" s="22" t="s">
        <v>861</v>
      </c>
      <c r="J1699" s="16">
        <f>IFERROR(INDEX(Aux_HH!$J$4:$J$31,MATCH($H1699&amp;"|"&amp;$I1699,Aux_HH!$A$4:$A$31,0)),"")</f>
        <v>3</v>
      </c>
      <c r="K1699" s="16" t="s">
        <v>76</v>
      </c>
      <c r="L1699" s="16" t="str">
        <f>IF(COUNTIFS(Pessoas!$C$5:$C$44,$K1699,Pessoas!$G$5:$G$44,"Ativo")=0,"Equipe "&amp;$K1699,INDEX(Pessoas!$A$5:$A$44,_xludf.aggregate(15,6,(ROW(Pessoas!$A$5:$A$44)-4)/((Pessoas!$C$5:$C$44=$K1699)*(Pessoas!$G$5:$G$44="Ativo")),MOD(ROW()-6,MAX(1,COUNTIFS(Pessoas!$C$5:$C$44,$K1699,Pessoas!$G$5:$G$44,"Ativo")))+1)))</f>
        <v>Equipe Oficina Mecânica Central-Taisa</v>
      </c>
    </row>
    <row r="1700" spans="1:12" ht="15" customHeight="1" x14ac:dyDescent="0.4">
      <c r="A1700" s="25">
        <v>46511</v>
      </c>
      <c r="B1700" s="16">
        <v>36</v>
      </c>
      <c r="C1700" s="16">
        <v>3</v>
      </c>
      <c r="D1700" s="16">
        <v>5</v>
      </c>
      <c r="E1700" s="16" t="s">
        <v>1371</v>
      </c>
      <c r="F1700" s="16" t="s">
        <v>1314</v>
      </c>
      <c r="G1700" s="16" t="s">
        <v>688</v>
      </c>
      <c r="H1700" s="16" t="s">
        <v>146</v>
      </c>
      <c r="I1700" s="22" t="s">
        <v>861</v>
      </c>
      <c r="J1700" s="16">
        <f>IFERROR(INDEX(Aux_HH!$J$4:$J$31,MATCH($H1700&amp;"|"&amp;$I1700,Aux_HH!$A$4:$A$31,0)),"")</f>
        <v>3</v>
      </c>
      <c r="K1700" s="16" t="s">
        <v>76</v>
      </c>
      <c r="L1700" s="16" t="str">
        <f>IF(COUNTIFS(Pessoas!$C$5:$C$44,$K1700,Pessoas!$G$5:$G$44,"Ativo")=0,"Equipe "&amp;$K1700,INDEX(Pessoas!$A$5:$A$44,_xludf.aggregate(15,6,(ROW(Pessoas!$A$5:$A$44)-4)/((Pessoas!$C$5:$C$44=$K1700)*(Pessoas!$G$5:$G$44="Ativo")),MOD(ROW()-6,MAX(1,COUNTIFS(Pessoas!$C$5:$C$44,$K1700,Pessoas!$G$5:$G$44,"Ativo")))+1)))</f>
        <v>Equipe Oficina Mecânica Central-Taisa</v>
      </c>
    </row>
    <row r="1701" spans="1:12" ht="15" customHeight="1" x14ac:dyDescent="0.4">
      <c r="A1701" s="25">
        <v>46511</v>
      </c>
      <c r="B1701" s="16">
        <v>36</v>
      </c>
      <c r="C1701" s="16">
        <v>3</v>
      </c>
      <c r="D1701" s="16">
        <v>5</v>
      </c>
      <c r="E1701" s="16" t="s">
        <v>1371</v>
      </c>
      <c r="F1701" s="16" t="s">
        <v>1315</v>
      </c>
      <c r="G1701" s="16" t="s">
        <v>688</v>
      </c>
      <c r="H1701" s="16" t="s">
        <v>146</v>
      </c>
      <c r="I1701" s="22" t="s">
        <v>861</v>
      </c>
      <c r="J1701" s="16">
        <f>IFERROR(INDEX(Aux_HH!$J$4:$J$31,MATCH($H1701&amp;"|"&amp;$I1701,Aux_HH!$A$4:$A$31,0)),"")</f>
        <v>3</v>
      </c>
      <c r="K1701" s="16" t="s">
        <v>76</v>
      </c>
      <c r="L1701" s="16" t="str">
        <f>IF(COUNTIFS(Pessoas!$C$5:$C$44,$K1701,Pessoas!$G$5:$G$44,"Ativo")=0,"Equipe "&amp;$K1701,INDEX(Pessoas!$A$5:$A$44,_xludf.aggregate(15,6,(ROW(Pessoas!$A$5:$A$44)-4)/((Pessoas!$C$5:$C$44=$K1701)*(Pessoas!$G$5:$G$44="Ativo")),MOD(ROW()-6,MAX(1,COUNTIFS(Pessoas!$C$5:$C$44,$K1701,Pessoas!$G$5:$G$44,"Ativo")))+1)))</f>
        <v>Equipe Oficina Mecânica Central-Taisa</v>
      </c>
    </row>
    <row r="1702" spans="1:12" ht="15" customHeight="1" x14ac:dyDescent="0.4">
      <c r="A1702" s="25">
        <v>46511</v>
      </c>
      <c r="B1702" s="16">
        <v>36</v>
      </c>
      <c r="C1702" s="16">
        <v>3</v>
      </c>
      <c r="D1702" s="16">
        <v>5</v>
      </c>
      <c r="E1702" s="16" t="s">
        <v>1371</v>
      </c>
      <c r="F1702" s="16" t="s">
        <v>1316</v>
      </c>
      <c r="G1702" s="16" t="s">
        <v>688</v>
      </c>
      <c r="H1702" s="16" t="s">
        <v>146</v>
      </c>
      <c r="I1702" s="22" t="s">
        <v>861</v>
      </c>
      <c r="J1702" s="16">
        <f>IFERROR(INDEX(Aux_HH!$J$4:$J$31,MATCH($H1702&amp;"|"&amp;$I1702,Aux_HH!$A$4:$A$31,0)),"")</f>
        <v>3</v>
      </c>
      <c r="K1702" s="16" t="s">
        <v>76</v>
      </c>
      <c r="L1702" s="16" t="str">
        <f>IF(COUNTIFS(Pessoas!$C$5:$C$44,$K1702,Pessoas!$G$5:$G$44,"Ativo")=0,"Equipe "&amp;$K1702,INDEX(Pessoas!$A$5:$A$44,_xludf.aggregate(15,6,(ROW(Pessoas!$A$5:$A$44)-4)/((Pessoas!$C$5:$C$44=$K1702)*(Pessoas!$G$5:$G$44="Ativo")),MOD(ROW()-6,MAX(1,COUNTIFS(Pessoas!$C$5:$C$44,$K1702,Pessoas!$G$5:$G$44,"Ativo")))+1)))</f>
        <v>Equipe Oficina Mecânica Central-Taisa</v>
      </c>
    </row>
    <row r="1703" spans="1:12" ht="15" customHeight="1" x14ac:dyDescent="0.4">
      <c r="A1703" s="25">
        <v>46512</v>
      </c>
      <c r="B1703" s="16">
        <v>36</v>
      </c>
      <c r="C1703" s="16">
        <v>3</v>
      </c>
      <c r="D1703" s="16">
        <v>5</v>
      </c>
      <c r="E1703" s="16" t="s">
        <v>1371</v>
      </c>
      <c r="F1703" s="16" t="s">
        <v>1317</v>
      </c>
      <c r="G1703" s="16" t="s">
        <v>688</v>
      </c>
      <c r="H1703" s="16" t="s">
        <v>146</v>
      </c>
      <c r="I1703" s="22" t="s">
        <v>861</v>
      </c>
      <c r="J1703" s="16">
        <f>IFERROR(INDEX(Aux_HH!$J$4:$J$31,MATCH($H1703&amp;"|"&amp;$I1703,Aux_HH!$A$4:$A$31,0)),"")</f>
        <v>3</v>
      </c>
      <c r="K1703" s="16" t="s">
        <v>76</v>
      </c>
      <c r="L1703" s="16" t="str">
        <f>IF(COUNTIFS(Pessoas!$C$5:$C$44,$K1703,Pessoas!$G$5:$G$44,"Ativo")=0,"Equipe "&amp;$K1703,INDEX(Pessoas!$A$5:$A$44,_xludf.aggregate(15,6,(ROW(Pessoas!$A$5:$A$44)-4)/((Pessoas!$C$5:$C$44=$K1703)*(Pessoas!$G$5:$G$44="Ativo")),MOD(ROW()-6,MAX(1,COUNTIFS(Pessoas!$C$5:$C$44,$K1703,Pessoas!$G$5:$G$44,"Ativo")))+1)))</f>
        <v>Equipe Oficina Mecânica Central-Taisa</v>
      </c>
    </row>
    <row r="1704" spans="1:12" ht="15" customHeight="1" x14ac:dyDescent="0.4">
      <c r="A1704" s="25">
        <v>46512</v>
      </c>
      <c r="B1704" s="16">
        <v>36</v>
      </c>
      <c r="C1704" s="16">
        <v>3</v>
      </c>
      <c r="D1704" s="16">
        <v>5</v>
      </c>
      <c r="E1704" s="16" t="s">
        <v>1371</v>
      </c>
      <c r="F1704" s="16" t="s">
        <v>1318</v>
      </c>
      <c r="G1704" s="16" t="s">
        <v>688</v>
      </c>
      <c r="H1704" s="16" t="s">
        <v>146</v>
      </c>
      <c r="I1704" s="22" t="s">
        <v>861</v>
      </c>
      <c r="J1704" s="16">
        <f>IFERROR(INDEX(Aux_HH!$J$4:$J$31,MATCH($H1704&amp;"|"&amp;$I1704,Aux_HH!$A$4:$A$31,0)),"")</f>
        <v>3</v>
      </c>
      <c r="K1704" s="16" t="s">
        <v>76</v>
      </c>
      <c r="L1704" s="16" t="str">
        <f>IF(COUNTIFS(Pessoas!$C$5:$C$44,$K1704,Pessoas!$G$5:$G$44,"Ativo")=0,"Equipe "&amp;$K1704,INDEX(Pessoas!$A$5:$A$44,_xludf.aggregate(15,6,(ROW(Pessoas!$A$5:$A$44)-4)/((Pessoas!$C$5:$C$44=$K1704)*(Pessoas!$G$5:$G$44="Ativo")),MOD(ROW()-6,MAX(1,COUNTIFS(Pessoas!$C$5:$C$44,$K1704,Pessoas!$G$5:$G$44,"Ativo")))+1)))</f>
        <v>Equipe Oficina Mecânica Central-Taisa</v>
      </c>
    </row>
    <row r="1705" spans="1:12" ht="15" customHeight="1" x14ac:dyDescent="0.4">
      <c r="A1705" s="25">
        <v>46512</v>
      </c>
      <c r="B1705" s="16">
        <v>36</v>
      </c>
      <c r="C1705" s="16">
        <v>3</v>
      </c>
      <c r="D1705" s="16">
        <v>5</v>
      </c>
      <c r="E1705" s="16" t="s">
        <v>1371</v>
      </c>
      <c r="F1705" s="16" t="s">
        <v>1319</v>
      </c>
      <c r="G1705" s="16" t="s">
        <v>688</v>
      </c>
      <c r="H1705" s="16" t="s">
        <v>146</v>
      </c>
      <c r="I1705" s="22" t="s">
        <v>861</v>
      </c>
      <c r="J1705" s="16">
        <f>IFERROR(INDEX(Aux_HH!$J$4:$J$31,MATCH($H1705&amp;"|"&amp;$I1705,Aux_HH!$A$4:$A$31,0)),"")</f>
        <v>3</v>
      </c>
      <c r="K1705" s="16" t="s">
        <v>76</v>
      </c>
      <c r="L1705" s="16" t="str">
        <f>IF(COUNTIFS(Pessoas!$C$5:$C$44,$K1705,Pessoas!$G$5:$G$44,"Ativo")=0,"Equipe "&amp;$K1705,INDEX(Pessoas!$A$5:$A$44,_xludf.aggregate(15,6,(ROW(Pessoas!$A$5:$A$44)-4)/((Pessoas!$C$5:$C$44=$K1705)*(Pessoas!$G$5:$G$44="Ativo")),MOD(ROW()-6,MAX(1,COUNTIFS(Pessoas!$C$5:$C$44,$K1705,Pessoas!$G$5:$G$44,"Ativo")))+1)))</f>
        <v>Equipe Oficina Mecânica Central-Taisa</v>
      </c>
    </row>
    <row r="1706" spans="1:12" ht="15" customHeight="1" x14ac:dyDescent="0.4">
      <c r="A1706" s="25">
        <v>46512</v>
      </c>
      <c r="B1706" s="16">
        <v>36</v>
      </c>
      <c r="C1706" s="16">
        <v>3</v>
      </c>
      <c r="D1706" s="16">
        <v>5</v>
      </c>
      <c r="E1706" s="16" t="s">
        <v>1371</v>
      </c>
      <c r="F1706" s="16" t="s">
        <v>1320</v>
      </c>
      <c r="G1706" s="16" t="s">
        <v>688</v>
      </c>
      <c r="H1706" s="16" t="s">
        <v>146</v>
      </c>
      <c r="I1706" s="22" t="s">
        <v>861</v>
      </c>
      <c r="J1706" s="16">
        <f>IFERROR(INDEX(Aux_HH!$J$4:$J$31,MATCH($H1706&amp;"|"&amp;$I1706,Aux_HH!$A$4:$A$31,0)),"")</f>
        <v>3</v>
      </c>
      <c r="K1706" s="16" t="s">
        <v>76</v>
      </c>
      <c r="L1706" s="16" t="str">
        <f>IF(COUNTIFS(Pessoas!$C$5:$C$44,$K1706,Pessoas!$G$5:$G$44,"Ativo")=0,"Equipe "&amp;$K1706,INDEX(Pessoas!$A$5:$A$44,_xludf.aggregate(15,6,(ROW(Pessoas!$A$5:$A$44)-4)/((Pessoas!$C$5:$C$44=$K1706)*(Pessoas!$G$5:$G$44="Ativo")),MOD(ROW()-6,MAX(1,COUNTIFS(Pessoas!$C$5:$C$44,$K1706,Pessoas!$G$5:$G$44,"Ativo")))+1)))</f>
        <v>Equipe Oficina Mecânica Central-Taisa</v>
      </c>
    </row>
    <row r="1707" spans="1:12" ht="15" customHeight="1" x14ac:dyDescent="0.4">
      <c r="A1707" s="25">
        <v>46513</v>
      </c>
      <c r="B1707" s="16">
        <v>36</v>
      </c>
      <c r="C1707" s="16">
        <v>3</v>
      </c>
      <c r="D1707" s="16">
        <v>5</v>
      </c>
      <c r="E1707" s="16" t="s">
        <v>1371</v>
      </c>
      <c r="F1707" s="16" t="s">
        <v>1303</v>
      </c>
      <c r="G1707" s="16" t="s">
        <v>688</v>
      </c>
      <c r="H1707" s="16" t="s">
        <v>146</v>
      </c>
      <c r="I1707" s="22" t="s">
        <v>861</v>
      </c>
      <c r="J1707" s="16">
        <f>IFERROR(INDEX(Aux_HH!$J$4:$J$31,MATCH($H1707&amp;"|"&amp;$I1707,Aux_HH!$A$4:$A$31,0)),"")</f>
        <v>3</v>
      </c>
      <c r="K1707" s="16" t="s">
        <v>76</v>
      </c>
      <c r="L1707" s="16" t="str">
        <f>IF(COUNTIFS(Pessoas!$C$5:$C$44,$K1707,Pessoas!$G$5:$G$44,"Ativo")=0,"Equipe "&amp;$K1707,INDEX(Pessoas!$A$5:$A$44,_xludf.aggregate(15,6,(ROW(Pessoas!$A$5:$A$44)-4)/((Pessoas!$C$5:$C$44=$K1707)*(Pessoas!$G$5:$G$44="Ativo")),MOD(ROW()-6,MAX(1,COUNTIFS(Pessoas!$C$5:$C$44,$K1707,Pessoas!$G$5:$G$44,"Ativo")))+1)))</f>
        <v>Equipe Oficina Mecânica Central-Taisa</v>
      </c>
    </row>
    <row r="1708" spans="1:12" ht="15" customHeight="1" x14ac:dyDescent="0.4">
      <c r="A1708" s="25">
        <v>46513</v>
      </c>
      <c r="B1708" s="16">
        <v>36</v>
      </c>
      <c r="C1708" s="16">
        <v>3</v>
      </c>
      <c r="D1708" s="16">
        <v>5</v>
      </c>
      <c r="E1708" s="16" t="s">
        <v>1371</v>
      </c>
      <c r="F1708" s="16" t="s">
        <v>1304</v>
      </c>
      <c r="G1708" s="16" t="s">
        <v>688</v>
      </c>
      <c r="H1708" s="16" t="s">
        <v>146</v>
      </c>
      <c r="I1708" s="22" t="s">
        <v>861</v>
      </c>
      <c r="J1708" s="16">
        <f>IFERROR(INDEX(Aux_HH!$J$4:$J$31,MATCH($H1708&amp;"|"&amp;$I1708,Aux_HH!$A$4:$A$31,0)),"")</f>
        <v>3</v>
      </c>
      <c r="K1708" s="16" t="s">
        <v>76</v>
      </c>
      <c r="L1708" s="16" t="str">
        <f>IF(COUNTIFS(Pessoas!$C$5:$C$44,$K1708,Pessoas!$G$5:$G$44,"Ativo")=0,"Equipe "&amp;$K1708,INDEX(Pessoas!$A$5:$A$44,_xludf.aggregate(15,6,(ROW(Pessoas!$A$5:$A$44)-4)/((Pessoas!$C$5:$C$44=$K1708)*(Pessoas!$G$5:$G$44="Ativo")),MOD(ROW()-6,MAX(1,COUNTIFS(Pessoas!$C$5:$C$44,$K1708,Pessoas!$G$5:$G$44,"Ativo")))+1)))</f>
        <v>Equipe Oficina Mecânica Central-Taisa</v>
      </c>
    </row>
    <row r="1709" spans="1:12" ht="15" customHeight="1" x14ac:dyDescent="0.4">
      <c r="A1709" s="25">
        <v>46513</v>
      </c>
      <c r="B1709" s="16">
        <v>36</v>
      </c>
      <c r="C1709" s="16">
        <v>3</v>
      </c>
      <c r="D1709" s="16">
        <v>5</v>
      </c>
      <c r="E1709" s="16" t="s">
        <v>1371</v>
      </c>
      <c r="F1709" s="16" t="s">
        <v>1305</v>
      </c>
      <c r="G1709" s="16" t="s">
        <v>688</v>
      </c>
      <c r="H1709" s="16" t="s">
        <v>146</v>
      </c>
      <c r="I1709" s="22" t="s">
        <v>861</v>
      </c>
      <c r="J1709" s="16">
        <f>IFERROR(INDEX(Aux_HH!$J$4:$J$31,MATCH($H1709&amp;"|"&amp;$I1709,Aux_HH!$A$4:$A$31,0)),"")</f>
        <v>3</v>
      </c>
      <c r="K1709" s="16" t="s">
        <v>76</v>
      </c>
      <c r="L1709" s="16" t="str">
        <f>IF(COUNTIFS(Pessoas!$C$5:$C$44,$K1709,Pessoas!$G$5:$G$44,"Ativo")=0,"Equipe "&amp;$K1709,INDEX(Pessoas!$A$5:$A$44,_xludf.aggregate(15,6,(ROW(Pessoas!$A$5:$A$44)-4)/((Pessoas!$C$5:$C$44=$K1709)*(Pessoas!$G$5:$G$44="Ativo")),MOD(ROW()-6,MAX(1,COUNTIFS(Pessoas!$C$5:$C$44,$K1709,Pessoas!$G$5:$G$44,"Ativo")))+1)))</f>
        <v>Equipe Oficina Mecânica Central-Taisa</v>
      </c>
    </row>
    <row r="1710" spans="1:12" ht="15" customHeight="1" x14ac:dyDescent="0.4">
      <c r="A1710" s="25">
        <v>46513</v>
      </c>
      <c r="B1710" s="16">
        <v>36</v>
      </c>
      <c r="C1710" s="16">
        <v>3</v>
      </c>
      <c r="D1710" s="16">
        <v>5</v>
      </c>
      <c r="E1710" s="16" t="s">
        <v>1371</v>
      </c>
      <c r="F1710" s="16" t="s">
        <v>1306</v>
      </c>
      <c r="G1710" s="16" t="s">
        <v>688</v>
      </c>
      <c r="H1710" s="16" t="s">
        <v>146</v>
      </c>
      <c r="I1710" s="22" t="s">
        <v>861</v>
      </c>
      <c r="J1710" s="16">
        <f>IFERROR(INDEX(Aux_HH!$J$4:$J$31,MATCH($H1710&amp;"|"&amp;$I1710,Aux_HH!$A$4:$A$31,0)),"")</f>
        <v>3</v>
      </c>
      <c r="K1710" s="16" t="s">
        <v>76</v>
      </c>
      <c r="L1710" s="16" t="str">
        <f>IF(COUNTIFS(Pessoas!$C$5:$C$44,$K1710,Pessoas!$G$5:$G$44,"Ativo")=0,"Equipe "&amp;$K1710,INDEX(Pessoas!$A$5:$A$44,_xludf.aggregate(15,6,(ROW(Pessoas!$A$5:$A$44)-4)/((Pessoas!$C$5:$C$44=$K1710)*(Pessoas!$G$5:$G$44="Ativo")),MOD(ROW()-6,MAX(1,COUNTIFS(Pessoas!$C$5:$C$44,$K1710,Pessoas!$G$5:$G$44,"Ativo")))+1)))</f>
        <v>Equipe Oficina Mecânica Central-Taisa</v>
      </c>
    </row>
    <row r="1711" spans="1:12" ht="15" customHeight="1" x14ac:dyDescent="0.4">
      <c r="A1711" s="25">
        <v>46514</v>
      </c>
      <c r="B1711" s="16">
        <v>36</v>
      </c>
      <c r="C1711" s="16">
        <v>3</v>
      </c>
      <c r="D1711" s="16">
        <v>5</v>
      </c>
      <c r="E1711" s="16" t="s">
        <v>1371</v>
      </c>
      <c r="F1711" s="16" t="s">
        <v>1307</v>
      </c>
      <c r="G1711" s="16" t="s">
        <v>688</v>
      </c>
      <c r="H1711" s="16" t="s">
        <v>146</v>
      </c>
      <c r="I1711" s="22" t="s">
        <v>861</v>
      </c>
      <c r="J1711" s="16">
        <f>IFERROR(INDEX(Aux_HH!$J$4:$J$31,MATCH($H1711&amp;"|"&amp;$I1711,Aux_HH!$A$4:$A$31,0)),"")</f>
        <v>3</v>
      </c>
      <c r="K1711" s="16" t="s">
        <v>76</v>
      </c>
      <c r="L1711" s="16" t="str">
        <f>IF(COUNTIFS(Pessoas!$C$5:$C$44,$K1711,Pessoas!$G$5:$G$44,"Ativo")=0,"Equipe "&amp;$K1711,INDEX(Pessoas!$A$5:$A$44,_xludf.aggregate(15,6,(ROW(Pessoas!$A$5:$A$44)-4)/((Pessoas!$C$5:$C$44=$K1711)*(Pessoas!$G$5:$G$44="Ativo")),MOD(ROW()-6,MAX(1,COUNTIFS(Pessoas!$C$5:$C$44,$K1711,Pessoas!$G$5:$G$44,"Ativo")))+1)))</f>
        <v>Equipe Oficina Mecânica Central-Taisa</v>
      </c>
    </row>
    <row r="1712" spans="1:12" ht="15" customHeight="1" x14ac:dyDescent="0.4">
      <c r="A1712" s="25">
        <v>46514</v>
      </c>
      <c r="B1712" s="16">
        <v>36</v>
      </c>
      <c r="C1712" s="16">
        <v>3</v>
      </c>
      <c r="D1712" s="16">
        <v>5</v>
      </c>
      <c r="E1712" s="16" t="s">
        <v>1371</v>
      </c>
      <c r="F1712" s="16" t="s">
        <v>1308</v>
      </c>
      <c r="G1712" s="16" t="s">
        <v>688</v>
      </c>
      <c r="H1712" s="16" t="s">
        <v>146</v>
      </c>
      <c r="I1712" s="22" t="s">
        <v>861</v>
      </c>
      <c r="J1712" s="16">
        <f>IFERROR(INDEX(Aux_HH!$J$4:$J$31,MATCH($H1712&amp;"|"&amp;$I1712,Aux_HH!$A$4:$A$31,0)),"")</f>
        <v>3</v>
      </c>
      <c r="K1712" s="16" t="s">
        <v>76</v>
      </c>
      <c r="L1712" s="16" t="str">
        <f>IF(COUNTIFS(Pessoas!$C$5:$C$44,$K1712,Pessoas!$G$5:$G$44,"Ativo")=0,"Equipe "&amp;$K1712,INDEX(Pessoas!$A$5:$A$44,_xludf.aggregate(15,6,(ROW(Pessoas!$A$5:$A$44)-4)/((Pessoas!$C$5:$C$44=$K1712)*(Pessoas!$G$5:$G$44="Ativo")),MOD(ROW()-6,MAX(1,COUNTIFS(Pessoas!$C$5:$C$44,$K1712,Pessoas!$G$5:$G$44,"Ativo")))+1)))</f>
        <v>Equipe Oficina Mecânica Central-Taisa</v>
      </c>
    </row>
    <row r="1713" spans="1:12" ht="15" customHeight="1" x14ac:dyDescent="0.4">
      <c r="A1713" s="25">
        <v>46514</v>
      </c>
      <c r="B1713" s="16">
        <v>36</v>
      </c>
      <c r="C1713" s="16">
        <v>3</v>
      </c>
      <c r="D1713" s="16">
        <v>5</v>
      </c>
      <c r="E1713" s="16" t="s">
        <v>1371</v>
      </c>
      <c r="F1713" s="16" t="s">
        <v>1309</v>
      </c>
      <c r="G1713" s="16" t="s">
        <v>688</v>
      </c>
      <c r="H1713" s="16" t="s">
        <v>146</v>
      </c>
      <c r="I1713" s="22" t="s">
        <v>861</v>
      </c>
      <c r="J1713" s="16">
        <f>IFERROR(INDEX(Aux_HH!$J$4:$J$31,MATCH($H1713&amp;"|"&amp;$I1713,Aux_HH!$A$4:$A$31,0)),"")</f>
        <v>3</v>
      </c>
      <c r="K1713" s="16" t="s">
        <v>76</v>
      </c>
      <c r="L1713" s="16" t="str">
        <f>IF(COUNTIFS(Pessoas!$C$5:$C$44,$K1713,Pessoas!$G$5:$G$44,"Ativo")=0,"Equipe "&amp;$K1713,INDEX(Pessoas!$A$5:$A$44,_xludf.aggregate(15,6,(ROW(Pessoas!$A$5:$A$44)-4)/((Pessoas!$C$5:$C$44=$K1713)*(Pessoas!$G$5:$G$44="Ativo")),MOD(ROW()-6,MAX(1,COUNTIFS(Pessoas!$C$5:$C$44,$K1713,Pessoas!$G$5:$G$44,"Ativo")))+1)))</f>
        <v>Equipe Oficina Mecânica Central-Taisa</v>
      </c>
    </row>
    <row r="1714" spans="1:12" ht="15" customHeight="1" x14ac:dyDescent="0.4">
      <c r="A1714" s="25">
        <v>46517</v>
      </c>
      <c r="B1714" s="16">
        <v>36</v>
      </c>
      <c r="C1714" s="16">
        <v>3</v>
      </c>
      <c r="D1714" s="16">
        <v>5</v>
      </c>
      <c r="E1714" s="16" t="s">
        <v>1371</v>
      </c>
      <c r="F1714" s="16" t="s">
        <v>1310</v>
      </c>
      <c r="G1714" s="16" t="s">
        <v>688</v>
      </c>
      <c r="H1714" s="16" t="s">
        <v>146</v>
      </c>
      <c r="I1714" s="22" t="s">
        <v>861</v>
      </c>
      <c r="J1714" s="16">
        <f>IFERROR(INDEX(Aux_HH!$J$4:$J$31,MATCH($H1714&amp;"|"&amp;$I1714,Aux_HH!$A$4:$A$31,0)),"")</f>
        <v>3</v>
      </c>
      <c r="K1714" s="16" t="s">
        <v>76</v>
      </c>
      <c r="L1714" s="16" t="str">
        <f>IF(COUNTIFS(Pessoas!$C$5:$C$44,$K1714,Pessoas!$G$5:$G$44,"Ativo")=0,"Equipe "&amp;$K1714,INDEX(Pessoas!$A$5:$A$44,_xludf.aggregate(15,6,(ROW(Pessoas!$A$5:$A$44)-4)/((Pessoas!$C$5:$C$44=$K1714)*(Pessoas!$G$5:$G$44="Ativo")),MOD(ROW()-6,MAX(1,COUNTIFS(Pessoas!$C$5:$C$44,$K1714,Pessoas!$G$5:$G$44,"Ativo")))+1)))</f>
        <v>Equipe Oficina Mecânica Central-Taisa</v>
      </c>
    </row>
    <row r="1715" spans="1:12" ht="15" customHeight="1" x14ac:dyDescent="0.4">
      <c r="A1715" s="25">
        <v>46517</v>
      </c>
      <c r="B1715" s="16">
        <v>36</v>
      </c>
      <c r="C1715" s="16">
        <v>3</v>
      </c>
      <c r="D1715" s="16">
        <v>5</v>
      </c>
      <c r="E1715" s="16" t="s">
        <v>1371</v>
      </c>
      <c r="F1715" s="16" t="s">
        <v>1311</v>
      </c>
      <c r="G1715" s="16" t="s">
        <v>688</v>
      </c>
      <c r="H1715" s="16" t="s">
        <v>146</v>
      </c>
      <c r="I1715" s="22" t="s">
        <v>861</v>
      </c>
      <c r="J1715" s="16">
        <f>IFERROR(INDEX(Aux_HH!$J$4:$J$31,MATCH($H1715&amp;"|"&amp;$I1715,Aux_HH!$A$4:$A$31,0)),"")</f>
        <v>3</v>
      </c>
      <c r="K1715" s="16" t="s">
        <v>76</v>
      </c>
      <c r="L1715" s="16" t="str">
        <f>IF(COUNTIFS(Pessoas!$C$5:$C$44,$K1715,Pessoas!$G$5:$G$44,"Ativo")=0,"Equipe "&amp;$K1715,INDEX(Pessoas!$A$5:$A$44,_xludf.aggregate(15,6,(ROW(Pessoas!$A$5:$A$44)-4)/((Pessoas!$C$5:$C$44=$K1715)*(Pessoas!$G$5:$G$44="Ativo")),MOD(ROW()-6,MAX(1,COUNTIFS(Pessoas!$C$5:$C$44,$K1715,Pessoas!$G$5:$G$44,"Ativo")))+1)))</f>
        <v>Equipe Oficina Mecânica Central-Taisa</v>
      </c>
    </row>
    <row r="1716" spans="1:12" ht="15" customHeight="1" x14ac:dyDescent="0.4">
      <c r="A1716" s="25">
        <v>46517</v>
      </c>
      <c r="B1716" s="16">
        <v>36</v>
      </c>
      <c r="C1716" s="16">
        <v>3</v>
      </c>
      <c r="D1716" s="16">
        <v>5</v>
      </c>
      <c r="E1716" s="16" t="s">
        <v>1371</v>
      </c>
      <c r="F1716" s="16" t="s">
        <v>1312</v>
      </c>
      <c r="G1716" s="16" t="s">
        <v>688</v>
      </c>
      <c r="H1716" s="16" t="s">
        <v>146</v>
      </c>
      <c r="I1716" s="22" t="s">
        <v>861</v>
      </c>
      <c r="J1716" s="16">
        <f>IFERROR(INDEX(Aux_HH!$J$4:$J$31,MATCH($H1716&amp;"|"&amp;$I1716,Aux_HH!$A$4:$A$31,0)),"")</f>
        <v>3</v>
      </c>
      <c r="K1716" s="16" t="s">
        <v>76</v>
      </c>
      <c r="L1716" s="16" t="str">
        <f>IF(COUNTIFS(Pessoas!$C$5:$C$44,$K1716,Pessoas!$G$5:$G$44,"Ativo")=0,"Equipe "&amp;$K1716,INDEX(Pessoas!$A$5:$A$44,_xludf.aggregate(15,6,(ROW(Pessoas!$A$5:$A$44)-4)/((Pessoas!$C$5:$C$44=$K1716)*(Pessoas!$G$5:$G$44="Ativo")),MOD(ROW()-6,MAX(1,COUNTIFS(Pessoas!$C$5:$C$44,$K1716,Pessoas!$G$5:$G$44,"Ativo")))+1)))</f>
        <v>Equipe Oficina Mecânica Central-Taisa</v>
      </c>
    </row>
    <row r="1717" spans="1:12" ht="15" customHeight="1" x14ac:dyDescent="0.4">
      <c r="A1717" s="25">
        <v>46539</v>
      </c>
      <c r="B1717" s="16">
        <v>40</v>
      </c>
      <c r="C1717" s="16">
        <v>4</v>
      </c>
      <c r="D1717" s="16">
        <v>6</v>
      </c>
      <c r="E1717" s="16" t="s">
        <v>1371</v>
      </c>
      <c r="F1717" s="16" t="s">
        <v>1080</v>
      </c>
      <c r="G1717" s="16" t="s">
        <v>158</v>
      </c>
      <c r="H1717" s="16" t="s">
        <v>141</v>
      </c>
      <c r="I1717" s="22" t="s">
        <v>856</v>
      </c>
      <c r="J1717" s="16">
        <f>IFERROR(INDEX(Aux_HH!$J$4:$J$31,MATCH($H1717&amp;"|"&amp;$I1717,Aux_HH!$A$4:$A$31,0)),"")</f>
        <v>2</v>
      </c>
      <c r="K1717" s="16" t="s">
        <v>76</v>
      </c>
      <c r="L1717" s="16" t="str">
        <f>IF(COUNTIFS(Pessoas!$C$5:$C$44,$K1717,Pessoas!$G$5:$G$44,"Ativo")=0,"Equipe "&amp;$K1717,INDEX(Pessoas!$A$5:$A$44,_xludf.aggregate(15,6,(ROW(Pessoas!$A$5:$A$44)-4)/((Pessoas!$C$5:$C$44=$K1717)*(Pessoas!$G$5:$G$44="Ativo")),MOD(ROW()-6,MAX(1,COUNTIFS(Pessoas!$C$5:$C$44,$K1717,Pessoas!$G$5:$G$44,"Ativo")))+1)))</f>
        <v>Equipe Oficina Mecânica Central-Taisa</v>
      </c>
    </row>
    <row r="1718" spans="1:12" ht="15" customHeight="1" x14ac:dyDescent="0.4">
      <c r="A1718" s="25">
        <v>46539</v>
      </c>
      <c r="B1718" s="16">
        <v>40</v>
      </c>
      <c r="C1718" s="16">
        <v>4</v>
      </c>
      <c r="D1718" s="16">
        <v>6</v>
      </c>
      <c r="E1718" s="16" t="s">
        <v>1371</v>
      </c>
      <c r="F1718" s="16" t="s">
        <v>1094</v>
      </c>
      <c r="G1718" s="16" t="s">
        <v>158</v>
      </c>
      <c r="H1718" s="16" t="s">
        <v>141</v>
      </c>
      <c r="I1718" s="22" t="s">
        <v>856</v>
      </c>
      <c r="J1718" s="16">
        <f>IFERROR(INDEX(Aux_HH!$J$4:$J$31,MATCH($H1718&amp;"|"&amp;$I1718,Aux_HH!$A$4:$A$31,0)),"")</f>
        <v>2</v>
      </c>
      <c r="K1718" s="16" t="s">
        <v>76</v>
      </c>
      <c r="L1718" s="16" t="str">
        <f>IF(COUNTIFS(Pessoas!$C$5:$C$44,$K1718,Pessoas!$G$5:$G$44,"Ativo")=0,"Equipe "&amp;$K1718,INDEX(Pessoas!$A$5:$A$44,_xludf.aggregate(15,6,(ROW(Pessoas!$A$5:$A$44)-4)/((Pessoas!$C$5:$C$44=$K1718)*(Pessoas!$G$5:$G$44="Ativo")),MOD(ROW()-6,MAX(1,COUNTIFS(Pessoas!$C$5:$C$44,$K1718,Pessoas!$G$5:$G$44,"Ativo")))+1)))</f>
        <v>Equipe Oficina Mecânica Central-Taisa</v>
      </c>
    </row>
    <row r="1719" spans="1:12" ht="15" customHeight="1" x14ac:dyDescent="0.4">
      <c r="A1719" s="25">
        <v>46539</v>
      </c>
      <c r="B1719" s="16">
        <v>40</v>
      </c>
      <c r="C1719" s="16">
        <v>4</v>
      </c>
      <c r="D1719" s="16">
        <v>6</v>
      </c>
      <c r="E1719" s="16" t="s">
        <v>1371</v>
      </c>
      <c r="F1719" s="16" t="s">
        <v>1095</v>
      </c>
      <c r="G1719" s="16" t="s">
        <v>158</v>
      </c>
      <c r="H1719" s="16" t="s">
        <v>141</v>
      </c>
      <c r="I1719" s="22" t="s">
        <v>856</v>
      </c>
      <c r="J1719" s="16">
        <f>IFERROR(INDEX(Aux_HH!$J$4:$J$31,MATCH($H1719&amp;"|"&amp;$I1719,Aux_HH!$A$4:$A$31,0)),"")</f>
        <v>2</v>
      </c>
      <c r="K1719" s="16" t="s">
        <v>76</v>
      </c>
      <c r="L1719" s="16" t="str">
        <f>IF(COUNTIFS(Pessoas!$C$5:$C$44,$K1719,Pessoas!$G$5:$G$44,"Ativo")=0,"Equipe "&amp;$K1719,INDEX(Pessoas!$A$5:$A$44,_xludf.aggregate(15,6,(ROW(Pessoas!$A$5:$A$44)-4)/((Pessoas!$C$5:$C$44=$K1719)*(Pessoas!$G$5:$G$44="Ativo")),MOD(ROW()-6,MAX(1,COUNTIFS(Pessoas!$C$5:$C$44,$K1719,Pessoas!$G$5:$G$44,"Ativo")))+1)))</f>
        <v>Equipe Oficina Mecânica Central-Taisa</v>
      </c>
    </row>
    <row r="1720" spans="1:12" ht="15" customHeight="1" x14ac:dyDescent="0.4">
      <c r="A1720" s="25">
        <v>46539</v>
      </c>
      <c r="B1720" s="16">
        <v>40</v>
      </c>
      <c r="C1720" s="16">
        <v>4</v>
      </c>
      <c r="D1720" s="16">
        <v>6</v>
      </c>
      <c r="E1720" s="16" t="s">
        <v>1371</v>
      </c>
      <c r="F1720" s="16" t="s">
        <v>1096</v>
      </c>
      <c r="G1720" s="16" t="s">
        <v>158</v>
      </c>
      <c r="H1720" s="16" t="s">
        <v>141</v>
      </c>
      <c r="I1720" s="22" t="s">
        <v>856</v>
      </c>
      <c r="J1720" s="16">
        <f>IFERROR(INDEX(Aux_HH!$J$4:$J$31,MATCH($H1720&amp;"|"&amp;$I1720,Aux_HH!$A$4:$A$31,0)),"")</f>
        <v>2</v>
      </c>
      <c r="K1720" s="16" t="s">
        <v>76</v>
      </c>
      <c r="L1720" s="16" t="str">
        <f>IF(COUNTIFS(Pessoas!$C$5:$C$44,$K1720,Pessoas!$G$5:$G$44,"Ativo")=0,"Equipe "&amp;$K1720,INDEX(Pessoas!$A$5:$A$44,_xludf.aggregate(15,6,(ROW(Pessoas!$A$5:$A$44)-4)/((Pessoas!$C$5:$C$44=$K1720)*(Pessoas!$G$5:$G$44="Ativo")),MOD(ROW()-6,MAX(1,COUNTIFS(Pessoas!$C$5:$C$44,$K1720,Pessoas!$G$5:$G$44,"Ativo")))+1)))</f>
        <v>Equipe Oficina Mecânica Central-Taisa</v>
      </c>
    </row>
    <row r="1721" spans="1:12" ht="15" customHeight="1" x14ac:dyDescent="0.4">
      <c r="A1721" s="25">
        <v>46539</v>
      </c>
      <c r="B1721" s="16">
        <v>40</v>
      </c>
      <c r="C1721" s="16">
        <v>4</v>
      </c>
      <c r="D1721" s="16">
        <v>6</v>
      </c>
      <c r="E1721" s="16" t="s">
        <v>1371</v>
      </c>
      <c r="F1721" s="16" t="s">
        <v>1097</v>
      </c>
      <c r="G1721" s="16" t="s">
        <v>158</v>
      </c>
      <c r="H1721" s="16" t="s">
        <v>141</v>
      </c>
      <c r="I1721" s="22" t="s">
        <v>856</v>
      </c>
      <c r="J1721" s="16">
        <f>IFERROR(INDEX(Aux_HH!$J$4:$J$31,MATCH($H1721&amp;"|"&amp;$I1721,Aux_HH!$A$4:$A$31,0)),"")</f>
        <v>2</v>
      </c>
      <c r="K1721" s="16" t="s">
        <v>76</v>
      </c>
      <c r="L1721" s="16" t="str">
        <f>IF(COUNTIFS(Pessoas!$C$5:$C$44,$K1721,Pessoas!$G$5:$G$44,"Ativo")=0,"Equipe "&amp;$K1721,INDEX(Pessoas!$A$5:$A$44,_xludf.aggregate(15,6,(ROW(Pessoas!$A$5:$A$44)-4)/((Pessoas!$C$5:$C$44=$K1721)*(Pessoas!$G$5:$G$44="Ativo")),MOD(ROW()-6,MAX(1,COUNTIFS(Pessoas!$C$5:$C$44,$K1721,Pessoas!$G$5:$G$44,"Ativo")))+1)))</f>
        <v>Equipe Oficina Mecânica Central-Taisa</v>
      </c>
    </row>
    <row r="1722" spans="1:12" ht="15" customHeight="1" x14ac:dyDescent="0.4">
      <c r="A1722" s="25">
        <v>46539</v>
      </c>
      <c r="B1722" s="16">
        <v>40</v>
      </c>
      <c r="C1722" s="16">
        <v>4</v>
      </c>
      <c r="D1722" s="16">
        <v>6</v>
      </c>
      <c r="E1722" s="16" t="s">
        <v>1371</v>
      </c>
      <c r="F1722" s="16" t="s">
        <v>1098</v>
      </c>
      <c r="G1722" s="16" t="s">
        <v>158</v>
      </c>
      <c r="H1722" s="16" t="s">
        <v>141</v>
      </c>
      <c r="I1722" s="22" t="s">
        <v>856</v>
      </c>
      <c r="J1722" s="16">
        <f>IFERROR(INDEX(Aux_HH!$J$4:$J$31,MATCH($H1722&amp;"|"&amp;$I1722,Aux_HH!$A$4:$A$31,0)),"")</f>
        <v>2</v>
      </c>
      <c r="K1722" s="16" t="s">
        <v>76</v>
      </c>
      <c r="L1722" s="16" t="str">
        <f>IF(COUNTIFS(Pessoas!$C$5:$C$44,$K1722,Pessoas!$G$5:$G$44,"Ativo")=0,"Equipe "&amp;$K1722,INDEX(Pessoas!$A$5:$A$44,_xludf.aggregate(15,6,(ROW(Pessoas!$A$5:$A$44)-4)/((Pessoas!$C$5:$C$44=$K1722)*(Pessoas!$G$5:$G$44="Ativo")),MOD(ROW()-6,MAX(1,COUNTIFS(Pessoas!$C$5:$C$44,$K1722,Pessoas!$G$5:$G$44,"Ativo")))+1)))</f>
        <v>Equipe Oficina Mecânica Central-Taisa</v>
      </c>
    </row>
    <row r="1723" spans="1:12" ht="15" customHeight="1" x14ac:dyDescent="0.4">
      <c r="A1723" s="25">
        <v>46539</v>
      </c>
      <c r="B1723" s="16">
        <v>40</v>
      </c>
      <c r="C1723" s="16">
        <v>4</v>
      </c>
      <c r="D1723" s="16">
        <v>6</v>
      </c>
      <c r="E1723" s="16" t="s">
        <v>1371</v>
      </c>
      <c r="F1723" s="16" t="s">
        <v>1099</v>
      </c>
      <c r="G1723" s="16" t="s">
        <v>158</v>
      </c>
      <c r="H1723" s="16" t="s">
        <v>141</v>
      </c>
      <c r="I1723" s="22" t="s">
        <v>856</v>
      </c>
      <c r="J1723" s="16">
        <f>IFERROR(INDEX(Aux_HH!$J$4:$J$31,MATCH($H1723&amp;"|"&amp;$I1723,Aux_HH!$A$4:$A$31,0)),"")</f>
        <v>2</v>
      </c>
      <c r="K1723" s="16" t="s">
        <v>76</v>
      </c>
      <c r="L1723" s="16" t="str">
        <f>IF(COUNTIFS(Pessoas!$C$5:$C$44,$K1723,Pessoas!$G$5:$G$44,"Ativo")=0,"Equipe "&amp;$K1723,INDEX(Pessoas!$A$5:$A$44,_xludf.aggregate(15,6,(ROW(Pessoas!$A$5:$A$44)-4)/((Pessoas!$C$5:$C$44=$K1723)*(Pessoas!$G$5:$G$44="Ativo")),MOD(ROW()-6,MAX(1,COUNTIFS(Pessoas!$C$5:$C$44,$K1723,Pessoas!$G$5:$G$44,"Ativo")))+1)))</f>
        <v>Equipe Oficina Mecânica Central-Taisa</v>
      </c>
    </row>
    <row r="1724" spans="1:12" ht="15" customHeight="1" x14ac:dyDescent="0.4">
      <c r="A1724" s="25">
        <v>46539</v>
      </c>
      <c r="B1724" s="16">
        <v>40</v>
      </c>
      <c r="C1724" s="16">
        <v>4</v>
      </c>
      <c r="D1724" s="16">
        <v>6</v>
      </c>
      <c r="E1724" s="16" t="s">
        <v>1371</v>
      </c>
      <c r="F1724" s="16" t="s">
        <v>1100</v>
      </c>
      <c r="G1724" s="16" t="s">
        <v>158</v>
      </c>
      <c r="H1724" s="16" t="s">
        <v>141</v>
      </c>
      <c r="I1724" s="22" t="s">
        <v>856</v>
      </c>
      <c r="J1724" s="16">
        <f>IFERROR(INDEX(Aux_HH!$J$4:$J$31,MATCH($H1724&amp;"|"&amp;$I1724,Aux_HH!$A$4:$A$31,0)),"")</f>
        <v>2</v>
      </c>
      <c r="K1724" s="16" t="s">
        <v>76</v>
      </c>
      <c r="L1724" s="16" t="str">
        <f>IF(COUNTIFS(Pessoas!$C$5:$C$44,$K1724,Pessoas!$G$5:$G$44,"Ativo")=0,"Equipe "&amp;$K1724,INDEX(Pessoas!$A$5:$A$44,_xludf.aggregate(15,6,(ROW(Pessoas!$A$5:$A$44)-4)/((Pessoas!$C$5:$C$44=$K1724)*(Pessoas!$G$5:$G$44="Ativo")),MOD(ROW()-6,MAX(1,COUNTIFS(Pessoas!$C$5:$C$44,$K1724,Pessoas!$G$5:$G$44,"Ativo")))+1)))</f>
        <v>Equipe Oficina Mecânica Central-Taisa</v>
      </c>
    </row>
    <row r="1725" spans="1:12" ht="15" customHeight="1" x14ac:dyDescent="0.4">
      <c r="A1725" s="25">
        <v>46539</v>
      </c>
      <c r="B1725" s="16">
        <v>40</v>
      </c>
      <c r="C1725" s="16">
        <v>4</v>
      </c>
      <c r="D1725" s="16">
        <v>6</v>
      </c>
      <c r="E1725" s="16" t="s">
        <v>1371</v>
      </c>
      <c r="F1725" s="16" t="s">
        <v>1101</v>
      </c>
      <c r="G1725" s="16" t="s">
        <v>158</v>
      </c>
      <c r="H1725" s="16" t="s">
        <v>141</v>
      </c>
      <c r="I1725" s="22" t="s">
        <v>856</v>
      </c>
      <c r="J1725" s="16">
        <f>IFERROR(INDEX(Aux_HH!$J$4:$J$31,MATCH($H1725&amp;"|"&amp;$I1725,Aux_HH!$A$4:$A$31,0)),"")</f>
        <v>2</v>
      </c>
      <c r="K1725" s="16" t="s">
        <v>76</v>
      </c>
      <c r="L1725" s="16" t="str">
        <f>IF(COUNTIFS(Pessoas!$C$5:$C$44,$K1725,Pessoas!$G$5:$G$44,"Ativo")=0,"Equipe "&amp;$K1725,INDEX(Pessoas!$A$5:$A$44,_xludf.aggregate(15,6,(ROW(Pessoas!$A$5:$A$44)-4)/((Pessoas!$C$5:$C$44=$K1725)*(Pessoas!$G$5:$G$44="Ativo")),MOD(ROW()-6,MAX(1,COUNTIFS(Pessoas!$C$5:$C$44,$K1725,Pessoas!$G$5:$G$44,"Ativo")))+1)))</f>
        <v>Equipe Oficina Mecânica Central-Taisa</v>
      </c>
    </row>
    <row r="1726" spans="1:12" ht="15" customHeight="1" x14ac:dyDescent="0.4">
      <c r="A1726" s="25">
        <v>46539</v>
      </c>
      <c r="B1726" s="16">
        <v>40</v>
      </c>
      <c r="C1726" s="16">
        <v>4</v>
      </c>
      <c r="D1726" s="16">
        <v>6</v>
      </c>
      <c r="E1726" s="16" t="s">
        <v>1371</v>
      </c>
      <c r="F1726" s="16" t="s">
        <v>1102</v>
      </c>
      <c r="G1726" s="16" t="s">
        <v>158</v>
      </c>
      <c r="H1726" s="16" t="s">
        <v>141</v>
      </c>
      <c r="I1726" s="22" t="s">
        <v>856</v>
      </c>
      <c r="J1726" s="16">
        <f>IFERROR(INDEX(Aux_HH!$J$4:$J$31,MATCH($H1726&amp;"|"&amp;$I1726,Aux_HH!$A$4:$A$31,0)),"")</f>
        <v>2</v>
      </c>
      <c r="K1726" s="16" t="s">
        <v>76</v>
      </c>
      <c r="L1726" s="16" t="str">
        <f>IF(COUNTIFS(Pessoas!$C$5:$C$44,$K1726,Pessoas!$G$5:$G$44,"Ativo")=0,"Equipe "&amp;$K1726,INDEX(Pessoas!$A$5:$A$44,_xludf.aggregate(15,6,(ROW(Pessoas!$A$5:$A$44)-4)/((Pessoas!$C$5:$C$44=$K1726)*(Pessoas!$G$5:$G$44="Ativo")),MOD(ROW()-6,MAX(1,COUNTIFS(Pessoas!$C$5:$C$44,$K1726,Pessoas!$G$5:$G$44,"Ativo")))+1)))</f>
        <v>Equipe Oficina Mecânica Central-Taisa</v>
      </c>
    </row>
    <row r="1727" spans="1:12" ht="15" customHeight="1" x14ac:dyDescent="0.4">
      <c r="A1727" s="25">
        <v>46539</v>
      </c>
      <c r="B1727" s="16">
        <v>40</v>
      </c>
      <c r="C1727" s="16">
        <v>4</v>
      </c>
      <c r="D1727" s="16">
        <v>6</v>
      </c>
      <c r="E1727" s="16" t="s">
        <v>1371</v>
      </c>
      <c r="F1727" s="16" t="s">
        <v>1103</v>
      </c>
      <c r="G1727" s="16" t="s">
        <v>158</v>
      </c>
      <c r="H1727" s="16" t="s">
        <v>141</v>
      </c>
      <c r="I1727" s="22" t="s">
        <v>856</v>
      </c>
      <c r="J1727" s="16">
        <f>IFERROR(INDEX(Aux_HH!$J$4:$J$31,MATCH($H1727&amp;"|"&amp;$I1727,Aux_HH!$A$4:$A$31,0)),"")</f>
        <v>2</v>
      </c>
      <c r="K1727" s="16" t="s">
        <v>76</v>
      </c>
      <c r="L1727" s="16" t="str">
        <f>IF(COUNTIFS(Pessoas!$C$5:$C$44,$K1727,Pessoas!$G$5:$G$44,"Ativo")=0,"Equipe "&amp;$K1727,INDEX(Pessoas!$A$5:$A$44,_xludf.aggregate(15,6,(ROW(Pessoas!$A$5:$A$44)-4)/((Pessoas!$C$5:$C$44=$K1727)*(Pessoas!$G$5:$G$44="Ativo")),MOD(ROW()-6,MAX(1,COUNTIFS(Pessoas!$C$5:$C$44,$K1727,Pessoas!$G$5:$G$44,"Ativo")))+1)))</f>
        <v>Equipe Oficina Mecânica Central-Taisa</v>
      </c>
    </row>
    <row r="1728" spans="1:12" ht="15" customHeight="1" x14ac:dyDescent="0.4">
      <c r="A1728" s="25">
        <v>46539</v>
      </c>
      <c r="B1728" s="16">
        <v>40</v>
      </c>
      <c r="C1728" s="16">
        <v>4</v>
      </c>
      <c r="D1728" s="16">
        <v>6</v>
      </c>
      <c r="E1728" s="16" t="s">
        <v>1371</v>
      </c>
      <c r="F1728" s="16" t="s">
        <v>1104</v>
      </c>
      <c r="G1728" s="16" t="s">
        <v>158</v>
      </c>
      <c r="H1728" s="16" t="s">
        <v>141</v>
      </c>
      <c r="I1728" s="22" t="s">
        <v>856</v>
      </c>
      <c r="J1728" s="16">
        <f>IFERROR(INDEX(Aux_HH!$J$4:$J$31,MATCH($H1728&amp;"|"&amp;$I1728,Aux_HH!$A$4:$A$31,0)),"")</f>
        <v>2</v>
      </c>
      <c r="K1728" s="16" t="s">
        <v>76</v>
      </c>
      <c r="L1728" s="16" t="str">
        <f>IF(COUNTIFS(Pessoas!$C$5:$C$44,$K1728,Pessoas!$G$5:$G$44,"Ativo")=0,"Equipe "&amp;$K1728,INDEX(Pessoas!$A$5:$A$44,_xludf.aggregate(15,6,(ROW(Pessoas!$A$5:$A$44)-4)/((Pessoas!$C$5:$C$44=$K1728)*(Pessoas!$G$5:$G$44="Ativo")),MOD(ROW()-6,MAX(1,COUNTIFS(Pessoas!$C$5:$C$44,$K1728,Pessoas!$G$5:$G$44,"Ativo")))+1)))</f>
        <v>Equipe Oficina Mecânica Central-Taisa</v>
      </c>
    </row>
    <row r="1729" spans="1:12" ht="15" customHeight="1" x14ac:dyDescent="0.4">
      <c r="A1729" s="25">
        <v>46539</v>
      </c>
      <c r="B1729" s="16">
        <v>40</v>
      </c>
      <c r="C1729" s="16">
        <v>4</v>
      </c>
      <c r="D1729" s="16">
        <v>6</v>
      </c>
      <c r="E1729" s="16" t="s">
        <v>1371</v>
      </c>
      <c r="F1729" s="16" t="s">
        <v>1105</v>
      </c>
      <c r="G1729" s="16" t="s">
        <v>158</v>
      </c>
      <c r="H1729" s="16" t="s">
        <v>141</v>
      </c>
      <c r="I1729" s="22" t="s">
        <v>856</v>
      </c>
      <c r="J1729" s="16">
        <f>IFERROR(INDEX(Aux_HH!$J$4:$J$31,MATCH($H1729&amp;"|"&amp;$I1729,Aux_HH!$A$4:$A$31,0)),"")</f>
        <v>2</v>
      </c>
      <c r="K1729" s="16" t="s">
        <v>76</v>
      </c>
      <c r="L1729" s="16" t="str">
        <f>IF(COUNTIFS(Pessoas!$C$5:$C$44,$K1729,Pessoas!$G$5:$G$44,"Ativo")=0,"Equipe "&amp;$K1729,INDEX(Pessoas!$A$5:$A$44,_xludf.aggregate(15,6,(ROW(Pessoas!$A$5:$A$44)-4)/((Pessoas!$C$5:$C$44=$K1729)*(Pessoas!$G$5:$G$44="Ativo")),MOD(ROW()-6,MAX(1,COUNTIFS(Pessoas!$C$5:$C$44,$K1729,Pessoas!$G$5:$G$44,"Ativo")))+1)))</f>
        <v>Equipe Oficina Mecânica Central-Taisa</v>
      </c>
    </row>
    <row r="1730" spans="1:12" ht="15" customHeight="1" x14ac:dyDescent="0.4">
      <c r="A1730" s="25">
        <v>46539</v>
      </c>
      <c r="B1730" s="16">
        <v>40</v>
      </c>
      <c r="C1730" s="16">
        <v>4</v>
      </c>
      <c r="D1730" s="16">
        <v>6</v>
      </c>
      <c r="E1730" s="16" t="s">
        <v>1371</v>
      </c>
      <c r="F1730" s="16" t="s">
        <v>1106</v>
      </c>
      <c r="G1730" s="16" t="s">
        <v>158</v>
      </c>
      <c r="H1730" s="16" t="s">
        <v>141</v>
      </c>
      <c r="I1730" s="22" t="s">
        <v>856</v>
      </c>
      <c r="J1730" s="16">
        <f>IFERROR(INDEX(Aux_HH!$J$4:$J$31,MATCH($H1730&amp;"|"&amp;$I1730,Aux_HH!$A$4:$A$31,0)),"")</f>
        <v>2</v>
      </c>
      <c r="K1730" s="16" t="s">
        <v>76</v>
      </c>
      <c r="L1730" s="16" t="str">
        <f>IF(COUNTIFS(Pessoas!$C$5:$C$44,$K1730,Pessoas!$G$5:$G$44,"Ativo")=0,"Equipe "&amp;$K1730,INDEX(Pessoas!$A$5:$A$44,_xludf.aggregate(15,6,(ROW(Pessoas!$A$5:$A$44)-4)/((Pessoas!$C$5:$C$44=$K1730)*(Pessoas!$G$5:$G$44="Ativo")),MOD(ROW()-6,MAX(1,COUNTIFS(Pessoas!$C$5:$C$44,$K1730,Pessoas!$G$5:$G$44,"Ativo")))+1)))</f>
        <v>Equipe Oficina Mecânica Central-Taisa</v>
      </c>
    </row>
    <row r="1731" spans="1:12" ht="15" customHeight="1" x14ac:dyDescent="0.4">
      <c r="A1731" s="25">
        <v>46539</v>
      </c>
      <c r="B1731" s="16">
        <v>40</v>
      </c>
      <c r="C1731" s="16">
        <v>4</v>
      </c>
      <c r="D1731" s="16">
        <v>6</v>
      </c>
      <c r="E1731" s="16" t="s">
        <v>1371</v>
      </c>
      <c r="F1731" s="16" t="s">
        <v>1107</v>
      </c>
      <c r="G1731" s="16" t="s">
        <v>184</v>
      </c>
      <c r="H1731" s="16" t="s">
        <v>141</v>
      </c>
      <c r="I1731" s="22" t="s">
        <v>856</v>
      </c>
      <c r="J1731" s="16">
        <f>IFERROR(INDEX(Aux_HH!$J$4:$J$31,MATCH($H1731&amp;"|"&amp;$I1731,Aux_HH!$A$4:$A$31,0)),"")</f>
        <v>2</v>
      </c>
      <c r="K1731" s="16" t="s">
        <v>76</v>
      </c>
      <c r="L1731" s="16" t="str">
        <f>IF(COUNTIFS(Pessoas!$C$5:$C$44,$K1731,Pessoas!$G$5:$G$44,"Ativo")=0,"Equipe "&amp;$K1731,INDEX(Pessoas!$A$5:$A$44,_xludf.aggregate(15,6,(ROW(Pessoas!$A$5:$A$44)-4)/((Pessoas!$C$5:$C$44=$K1731)*(Pessoas!$G$5:$G$44="Ativo")),MOD(ROW()-6,MAX(1,COUNTIFS(Pessoas!$C$5:$C$44,$K1731,Pessoas!$G$5:$G$44,"Ativo")))+1)))</f>
        <v>Equipe Oficina Mecânica Central-Taisa</v>
      </c>
    </row>
    <row r="1732" spans="1:12" ht="15" customHeight="1" x14ac:dyDescent="0.4">
      <c r="A1732" s="25">
        <v>46539</v>
      </c>
      <c r="B1732" s="16">
        <v>40</v>
      </c>
      <c r="C1732" s="16">
        <v>4</v>
      </c>
      <c r="D1732" s="16">
        <v>6</v>
      </c>
      <c r="E1732" s="16" t="s">
        <v>1371</v>
      </c>
      <c r="F1732" s="16" t="s">
        <v>1108</v>
      </c>
      <c r="G1732" s="16" t="s">
        <v>184</v>
      </c>
      <c r="H1732" s="16" t="s">
        <v>141</v>
      </c>
      <c r="I1732" s="22" t="s">
        <v>856</v>
      </c>
      <c r="J1732" s="16">
        <f>IFERROR(INDEX(Aux_HH!$J$4:$J$31,MATCH($H1732&amp;"|"&amp;$I1732,Aux_HH!$A$4:$A$31,0)),"")</f>
        <v>2</v>
      </c>
      <c r="K1732" s="16" t="s">
        <v>76</v>
      </c>
      <c r="L1732" s="16" t="str">
        <f>IF(COUNTIFS(Pessoas!$C$5:$C$44,$K1732,Pessoas!$G$5:$G$44,"Ativo")=0,"Equipe "&amp;$K1732,INDEX(Pessoas!$A$5:$A$44,_xludf.aggregate(15,6,(ROW(Pessoas!$A$5:$A$44)-4)/((Pessoas!$C$5:$C$44=$K1732)*(Pessoas!$G$5:$G$44="Ativo")),MOD(ROW()-6,MAX(1,COUNTIFS(Pessoas!$C$5:$C$44,$K1732,Pessoas!$G$5:$G$44,"Ativo")))+1)))</f>
        <v>Equipe Oficina Mecânica Central-Taisa</v>
      </c>
    </row>
    <row r="1733" spans="1:12" ht="15" customHeight="1" x14ac:dyDescent="0.4">
      <c r="A1733" s="25">
        <v>46539</v>
      </c>
      <c r="B1733" s="16">
        <v>40</v>
      </c>
      <c r="C1733" s="16">
        <v>4</v>
      </c>
      <c r="D1733" s="16">
        <v>6</v>
      </c>
      <c r="E1733" s="16" t="s">
        <v>1371</v>
      </c>
      <c r="F1733" s="16" t="s">
        <v>1109</v>
      </c>
      <c r="G1733" s="16" t="s">
        <v>184</v>
      </c>
      <c r="H1733" s="16" t="s">
        <v>141</v>
      </c>
      <c r="I1733" s="22" t="s">
        <v>856</v>
      </c>
      <c r="J1733" s="16">
        <f>IFERROR(INDEX(Aux_HH!$J$4:$J$31,MATCH($H1733&amp;"|"&amp;$I1733,Aux_HH!$A$4:$A$31,0)),"")</f>
        <v>2</v>
      </c>
      <c r="K1733" s="16" t="s">
        <v>76</v>
      </c>
      <c r="L1733" s="16" t="str">
        <f>IF(COUNTIFS(Pessoas!$C$5:$C$44,$K1733,Pessoas!$G$5:$G$44,"Ativo")=0,"Equipe "&amp;$K1733,INDEX(Pessoas!$A$5:$A$44,_xludf.aggregate(15,6,(ROW(Pessoas!$A$5:$A$44)-4)/((Pessoas!$C$5:$C$44=$K1733)*(Pessoas!$G$5:$G$44="Ativo")),MOD(ROW()-6,MAX(1,COUNTIFS(Pessoas!$C$5:$C$44,$K1733,Pessoas!$G$5:$G$44,"Ativo")))+1)))</f>
        <v>Equipe Oficina Mecânica Central-Taisa</v>
      </c>
    </row>
    <row r="1734" spans="1:12" ht="15" customHeight="1" x14ac:dyDescent="0.4">
      <c r="A1734" s="25">
        <v>46539</v>
      </c>
      <c r="B1734" s="16">
        <v>40</v>
      </c>
      <c r="C1734" s="16">
        <v>4</v>
      </c>
      <c r="D1734" s="16">
        <v>6</v>
      </c>
      <c r="E1734" s="16" t="s">
        <v>1371</v>
      </c>
      <c r="F1734" s="16" t="s">
        <v>1110</v>
      </c>
      <c r="G1734" s="16" t="s">
        <v>184</v>
      </c>
      <c r="H1734" s="16" t="s">
        <v>141</v>
      </c>
      <c r="I1734" s="22" t="s">
        <v>856</v>
      </c>
      <c r="J1734" s="16">
        <f>IFERROR(INDEX(Aux_HH!$J$4:$J$31,MATCH($H1734&amp;"|"&amp;$I1734,Aux_HH!$A$4:$A$31,0)),"")</f>
        <v>2</v>
      </c>
      <c r="K1734" s="16" t="s">
        <v>76</v>
      </c>
      <c r="L1734" s="16" t="str">
        <f>IF(COUNTIFS(Pessoas!$C$5:$C$44,$K1734,Pessoas!$G$5:$G$44,"Ativo")=0,"Equipe "&amp;$K1734,INDEX(Pessoas!$A$5:$A$44,_xludf.aggregate(15,6,(ROW(Pessoas!$A$5:$A$44)-4)/((Pessoas!$C$5:$C$44=$K1734)*(Pessoas!$G$5:$G$44="Ativo")),MOD(ROW()-6,MAX(1,COUNTIFS(Pessoas!$C$5:$C$44,$K1734,Pessoas!$G$5:$G$44,"Ativo")))+1)))</f>
        <v>Equipe Oficina Mecânica Central-Taisa</v>
      </c>
    </row>
    <row r="1735" spans="1:12" ht="15" customHeight="1" x14ac:dyDescent="0.4">
      <c r="A1735" s="25">
        <v>46539</v>
      </c>
      <c r="B1735" s="16">
        <v>40</v>
      </c>
      <c r="C1735" s="16">
        <v>4</v>
      </c>
      <c r="D1735" s="16">
        <v>6</v>
      </c>
      <c r="E1735" s="16" t="s">
        <v>1371</v>
      </c>
      <c r="F1735" s="16" t="s">
        <v>1111</v>
      </c>
      <c r="G1735" s="16" t="s">
        <v>184</v>
      </c>
      <c r="H1735" s="16" t="s">
        <v>141</v>
      </c>
      <c r="I1735" s="22" t="s">
        <v>856</v>
      </c>
      <c r="J1735" s="16">
        <f>IFERROR(INDEX(Aux_HH!$J$4:$J$31,MATCH($H1735&amp;"|"&amp;$I1735,Aux_HH!$A$4:$A$31,0)),"")</f>
        <v>2</v>
      </c>
      <c r="K1735" s="16" t="s">
        <v>76</v>
      </c>
      <c r="L1735" s="16" t="str">
        <f>IF(COUNTIFS(Pessoas!$C$5:$C$44,$K1735,Pessoas!$G$5:$G$44,"Ativo")=0,"Equipe "&amp;$K1735,INDEX(Pessoas!$A$5:$A$44,_xludf.aggregate(15,6,(ROW(Pessoas!$A$5:$A$44)-4)/((Pessoas!$C$5:$C$44=$K1735)*(Pessoas!$G$5:$G$44="Ativo")),MOD(ROW()-6,MAX(1,COUNTIFS(Pessoas!$C$5:$C$44,$K1735,Pessoas!$G$5:$G$44,"Ativo")))+1)))</f>
        <v>Equipe Oficina Mecânica Central-Taisa</v>
      </c>
    </row>
    <row r="1736" spans="1:12" ht="15" customHeight="1" x14ac:dyDescent="0.4">
      <c r="A1736" s="25">
        <v>46539</v>
      </c>
      <c r="B1736" s="16">
        <v>40</v>
      </c>
      <c r="C1736" s="16">
        <v>4</v>
      </c>
      <c r="D1736" s="16">
        <v>6</v>
      </c>
      <c r="E1736" s="16" t="s">
        <v>1371</v>
      </c>
      <c r="F1736" s="16" t="s">
        <v>1112</v>
      </c>
      <c r="G1736" s="16" t="s">
        <v>184</v>
      </c>
      <c r="H1736" s="16" t="s">
        <v>141</v>
      </c>
      <c r="I1736" s="22" t="s">
        <v>856</v>
      </c>
      <c r="J1736" s="16">
        <f>IFERROR(INDEX(Aux_HH!$J$4:$J$31,MATCH($H1736&amp;"|"&amp;$I1736,Aux_HH!$A$4:$A$31,0)),"")</f>
        <v>2</v>
      </c>
      <c r="K1736" s="16" t="s">
        <v>76</v>
      </c>
      <c r="L1736" s="16" t="str">
        <f>IF(COUNTIFS(Pessoas!$C$5:$C$44,$K1736,Pessoas!$G$5:$G$44,"Ativo")=0,"Equipe "&amp;$K1736,INDEX(Pessoas!$A$5:$A$44,_xludf.aggregate(15,6,(ROW(Pessoas!$A$5:$A$44)-4)/((Pessoas!$C$5:$C$44=$K1736)*(Pessoas!$G$5:$G$44="Ativo")),MOD(ROW()-6,MAX(1,COUNTIFS(Pessoas!$C$5:$C$44,$K1736,Pessoas!$G$5:$G$44,"Ativo")))+1)))</f>
        <v>Equipe Oficina Mecânica Central-Taisa</v>
      </c>
    </row>
    <row r="1737" spans="1:12" ht="15" customHeight="1" x14ac:dyDescent="0.4">
      <c r="A1737" s="25">
        <v>46539</v>
      </c>
      <c r="B1737" s="16">
        <v>40</v>
      </c>
      <c r="C1737" s="16">
        <v>4</v>
      </c>
      <c r="D1737" s="16">
        <v>6</v>
      </c>
      <c r="E1737" s="16" t="s">
        <v>1371</v>
      </c>
      <c r="F1737" s="16" t="s">
        <v>1113</v>
      </c>
      <c r="G1737" s="16" t="s">
        <v>184</v>
      </c>
      <c r="H1737" s="16" t="s">
        <v>141</v>
      </c>
      <c r="I1737" s="22" t="s">
        <v>856</v>
      </c>
      <c r="J1737" s="16">
        <f>IFERROR(INDEX(Aux_HH!$J$4:$J$31,MATCH($H1737&amp;"|"&amp;$I1737,Aux_HH!$A$4:$A$31,0)),"")</f>
        <v>2</v>
      </c>
      <c r="K1737" s="16" t="s">
        <v>76</v>
      </c>
      <c r="L1737" s="16" t="str">
        <f>IF(COUNTIFS(Pessoas!$C$5:$C$44,$K1737,Pessoas!$G$5:$G$44,"Ativo")=0,"Equipe "&amp;$K1737,INDEX(Pessoas!$A$5:$A$44,_xludf.aggregate(15,6,(ROW(Pessoas!$A$5:$A$44)-4)/((Pessoas!$C$5:$C$44=$K1737)*(Pessoas!$G$5:$G$44="Ativo")),MOD(ROW()-6,MAX(1,COUNTIFS(Pessoas!$C$5:$C$44,$K1737,Pessoas!$G$5:$G$44,"Ativo")))+1)))</f>
        <v>Equipe Oficina Mecânica Central-Taisa</v>
      </c>
    </row>
    <row r="1738" spans="1:12" ht="15" customHeight="1" x14ac:dyDescent="0.4">
      <c r="A1738" s="25">
        <v>46539</v>
      </c>
      <c r="B1738" s="16">
        <v>40</v>
      </c>
      <c r="C1738" s="16">
        <v>4</v>
      </c>
      <c r="D1738" s="16">
        <v>6</v>
      </c>
      <c r="E1738" s="16" t="s">
        <v>1371</v>
      </c>
      <c r="F1738" s="16" t="s">
        <v>1114</v>
      </c>
      <c r="G1738" s="16" t="s">
        <v>184</v>
      </c>
      <c r="H1738" s="16" t="s">
        <v>141</v>
      </c>
      <c r="I1738" s="22" t="s">
        <v>856</v>
      </c>
      <c r="J1738" s="16">
        <f>IFERROR(INDEX(Aux_HH!$J$4:$J$31,MATCH($H1738&amp;"|"&amp;$I1738,Aux_HH!$A$4:$A$31,0)),"")</f>
        <v>2</v>
      </c>
      <c r="K1738" s="16" t="s">
        <v>76</v>
      </c>
      <c r="L1738" s="16" t="str">
        <f>IF(COUNTIFS(Pessoas!$C$5:$C$44,$K1738,Pessoas!$G$5:$G$44,"Ativo")=0,"Equipe "&amp;$K1738,INDEX(Pessoas!$A$5:$A$44,_xludf.aggregate(15,6,(ROW(Pessoas!$A$5:$A$44)-4)/((Pessoas!$C$5:$C$44=$K1738)*(Pessoas!$G$5:$G$44="Ativo")),MOD(ROW()-6,MAX(1,COUNTIFS(Pessoas!$C$5:$C$44,$K1738,Pessoas!$G$5:$G$44,"Ativo")))+1)))</f>
        <v>Equipe Oficina Mecânica Central-Taisa</v>
      </c>
    </row>
    <row r="1739" spans="1:12" ht="15" customHeight="1" x14ac:dyDescent="0.4">
      <c r="A1739" s="25">
        <v>46539</v>
      </c>
      <c r="B1739" s="16">
        <v>40</v>
      </c>
      <c r="C1739" s="16">
        <v>4</v>
      </c>
      <c r="D1739" s="16">
        <v>6</v>
      </c>
      <c r="E1739" s="16" t="s">
        <v>1371</v>
      </c>
      <c r="F1739" s="16" t="s">
        <v>1115</v>
      </c>
      <c r="G1739" s="16" t="s">
        <v>184</v>
      </c>
      <c r="H1739" s="16" t="s">
        <v>141</v>
      </c>
      <c r="I1739" s="22" t="s">
        <v>856</v>
      </c>
      <c r="J1739" s="16">
        <f>IFERROR(INDEX(Aux_HH!$J$4:$J$31,MATCH($H1739&amp;"|"&amp;$I1739,Aux_HH!$A$4:$A$31,0)),"")</f>
        <v>2</v>
      </c>
      <c r="K1739" s="16" t="s">
        <v>76</v>
      </c>
      <c r="L1739" s="16" t="str">
        <f>IF(COUNTIFS(Pessoas!$C$5:$C$44,$K1739,Pessoas!$G$5:$G$44,"Ativo")=0,"Equipe "&amp;$K1739,INDEX(Pessoas!$A$5:$A$44,_xludf.aggregate(15,6,(ROW(Pessoas!$A$5:$A$44)-4)/((Pessoas!$C$5:$C$44=$K1739)*(Pessoas!$G$5:$G$44="Ativo")),MOD(ROW()-6,MAX(1,COUNTIFS(Pessoas!$C$5:$C$44,$K1739,Pessoas!$G$5:$G$44,"Ativo")))+1)))</f>
        <v>Equipe Oficina Mecânica Central-Taisa</v>
      </c>
    </row>
    <row r="1740" spans="1:12" ht="15" customHeight="1" x14ac:dyDescent="0.4">
      <c r="A1740" s="25">
        <v>46539</v>
      </c>
      <c r="B1740" s="16">
        <v>40</v>
      </c>
      <c r="C1740" s="16">
        <v>4</v>
      </c>
      <c r="D1740" s="16">
        <v>6</v>
      </c>
      <c r="E1740" s="16" t="s">
        <v>1371</v>
      </c>
      <c r="F1740" s="16" t="s">
        <v>1116</v>
      </c>
      <c r="G1740" s="16" t="s">
        <v>184</v>
      </c>
      <c r="H1740" s="16" t="s">
        <v>141</v>
      </c>
      <c r="I1740" s="22" t="s">
        <v>856</v>
      </c>
      <c r="J1740" s="16">
        <f>IFERROR(INDEX(Aux_HH!$J$4:$J$31,MATCH($H1740&amp;"|"&amp;$I1740,Aux_HH!$A$4:$A$31,0)),"")</f>
        <v>2</v>
      </c>
      <c r="K1740" s="16" t="s">
        <v>76</v>
      </c>
      <c r="L1740" s="16" t="str">
        <f>IF(COUNTIFS(Pessoas!$C$5:$C$44,$K1740,Pessoas!$G$5:$G$44,"Ativo")=0,"Equipe "&amp;$K1740,INDEX(Pessoas!$A$5:$A$44,_xludf.aggregate(15,6,(ROW(Pessoas!$A$5:$A$44)-4)/((Pessoas!$C$5:$C$44=$K1740)*(Pessoas!$G$5:$G$44="Ativo")),MOD(ROW()-6,MAX(1,COUNTIFS(Pessoas!$C$5:$C$44,$K1740,Pessoas!$G$5:$G$44,"Ativo")))+1)))</f>
        <v>Equipe Oficina Mecânica Central-Taisa</v>
      </c>
    </row>
    <row r="1741" spans="1:12" ht="15" customHeight="1" x14ac:dyDescent="0.4">
      <c r="A1741" s="25">
        <v>46539</v>
      </c>
      <c r="B1741" s="16">
        <v>40</v>
      </c>
      <c r="C1741" s="16">
        <v>4</v>
      </c>
      <c r="D1741" s="16">
        <v>6</v>
      </c>
      <c r="E1741" s="16" t="s">
        <v>1371</v>
      </c>
      <c r="F1741" s="16" t="s">
        <v>998</v>
      </c>
      <c r="G1741" s="16" t="s">
        <v>688</v>
      </c>
      <c r="H1741" s="16" t="s">
        <v>145</v>
      </c>
      <c r="I1741" s="22" t="s">
        <v>861</v>
      </c>
      <c r="J1741" s="16">
        <f>IFERROR(INDEX(Aux_HH!$J$4:$J$31,MATCH($H1741&amp;"|"&amp;$I1741,Aux_HH!$A$4:$A$31,0)),"")</f>
        <v>4</v>
      </c>
      <c r="K1741" s="16" t="s">
        <v>76</v>
      </c>
      <c r="L1741" s="16" t="str">
        <f>IF(COUNTIFS(Pessoas!$C$5:$C$44,$K1741,Pessoas!$G$5:$G$44,"Ativo")=0,"Equipe "&amp;$K1741,INDEX(Pessoas!$A$5:$A$44,_xludf.aggregate(15,6,(ROW(Pessoas!$A$5:$A$44)-4)/((Pessoas!$C$5:$C$44=$K1741)*(Pessoas!$G$5:$G$44="Ativo")),MOD(ROW()-6,MAX(1,COUNTIFS(Pessoas!$C$5:$C$44,$K1741,Pessoas!$G$5:$G$44,"Ativo")))+1)))</f>
        <v>Equipe Oficina Mecânica Central-Taisa</v>
      </c>
    </row>
    <row r="1742" spans="1:12" ht="15" customHeight="1" x14ac:dyDescent="0.4">
      <c r="A1742" s="25">
        <v>46539</v>
      </c>
      <c r="B1742" s="16">
        <v>40</v>
      </c>
      <c r="C1742" s="16">
        <v>4</v>
      </c>
      <c r="D1742" s="16">
        <v>6</v>
      </c>
      <c r="E1742" s="16" t="s">
        <v>1371</v>
      </c>
      <c r="F1742" s="16" t="s">
        <v>1000</v>
      </c>
      <c r="G1742" s="16" t="s">
        <v>688</v>
      </c>
      <c r="H1742" s="16" t="s">
        <v>145</v>
      </c>
      <c r="I1742" s="22" t="s">
        <v>861</v>
      </c>
      <c r="J1742" s="16">
        <f>IFERROR(INDEX(Aux_HH!$J$4:$J$31,MATCH($H1742&amp;"|"&amp;$I1742,Aux_HH!$A$4:$A$31,0)),"")</f>
        <v>4</v>
      </c>
      <c r="K1742" s="16" t="s">
        <v>76</v>
      </c>
      <c r="L1742" s="16" t="str">
        <f>IF(COUNTIFS(Pessoas!$C$5:$C$44,$K1742,Pessoas!$G$5:$G$44,"Ativo")=0,"Equipe "&amp;$K1742,INDEX(Pessoas!$A$5:$A$44,_xludf.aggregate(15,6,(ROW(Pessoas!$A$5:$A$44)-4)/((Pessoas!$C$5:$C$44=$K1742)*(Pessoas!$G$5:$G$44="Ativo")),MOD(ROW()-6,MAX(1,COUNTIFS(Pessoas!$C$5:$C$44,$K1742,Pessoas!$G$5:$G$44,"Ativo")))+1)))</f>
        <v>Equipe Oficina Mecânica Central-Taisa</v>
      </c>
    </row>
    <row r="1743" spans="1:12" ht="15" customHeight="1" x14ac:dyDescent="0.4">
      <c r="A1743" s="25">
        <v>46539</v>
      </c>
      <c r="B1743" s="16">
        <v>40</v>
      </c>
      <c r="C1743" s="16">
        <v>4</v>
      </c>
      <c r="D1743" s="16">
        <v>6</v>
      </c>
      <c r="E1743" s="16" t="s">
        <v>1371</v>
      </c>
      <c r="F1743" s="16" t="s">
        <v>1124</v>
      </c>
      <c r="G1743" s="16" t="s">
        <v>184</v>
      </c>
      <c r="H1743" s="16" t="s">
        <v>141</v>
      </c>
      <c r="I1743" s="22" t="s">
        <v>856</v>
      </c>
      <c r="J1743" s="16">
        <f>IFERROR(INDEX(Aux_HH!$J$4:$J$31,MATCH($H1743&amp;"|"&amp;$I1743,Aux_HH!$A$4:$A$31,0)),"")</f>
        <v>2</v>
      </c>
      <c r="K1743" s="16" t="s">
        <v>76</v>
      </c>
      <c r="L1743" s="16" t="str">
        <f>IF(COUNTIFS(Pessoas!$C$5:$C$44,$K1743,Pessoas!$G$5:$G$44,"Ativo")=0,"Equipe "&amp;$K1743,INDEX(Pessoas!$A$5:$A$44,_xludf.aggregate(15,6,(ROW(Pessoas!$A$5:$A$44)-4)/((Pessoas!$C$5:$C$44=$K1743)*(Pessoas!$G$5:$G$44="Ativo")),MOD(ROW()-6,MAX(1,COUNTIFS(Pessoas!$C$5:$C$44,$K1743,Pessoas!$G$5:$G$44,"Ativo")))+1)))</f>
        <v>Equipe Oficina Mecânica Central-Taisa</v>
      </c>
    </row>
    <row r="1744" spans="1:12" ht="15" customHeight="1" x14ac:dyDescent="0.4">
      <c r="A1744" s="25">
        <v>46540</v>
      </c>
      <c r="B1744" s="16">
        <v>40</v>
      </c>
      <c r="C1744" s="16">
        <v>4</v>
      </c>
      <c r="D1744" s="16">
        <v>6</v>
      </c>
      <c r="E1744" s="16" t="s">
        <v>1371</v>
      </c>
      <c r="F1744" s="16" t="s">
        <v>1137</v>
      </c>
      <c r="G1744" s="16" t="s">
        <v>158</v>
      </c>
      <c r="H1744" s="16" t="s">
        <v>141</v>
      </c>
      <c r="I1744" s="22" t="s">
        <v>856</v>
      </c>
      <c r="J1744" s="16">
        <f>IFERROR(INDEX(Aux_HH!$J$4:$J$31,MATCH($H1744&amp;"|"&amp;$I1744,Aux_HH!$A$4:$A$31,0)),"")</f>
        <v>2</v>
      </c>
      <c r="K1744" s="16" t="s">
        <v>76</v>
      </c>
      <c r="L1744" s="16" t="str">
        <f>IF(COUNTIFS(Pessoas!$C$5:$C$44,$K1744,Pessoas!$G$5:$G$44,"Ativo")=0,"Equipe "&amp;$K1744,INDEX(Pessoas!$A$5:$A$44,_xludf.aggregate(15,6,(ROW(Pessoas!$A$5:$A$44)-4)/((Pessoas!$C$5:$C$44=$K1744)*(Pessoas!$G$5:$G$44="Ativo")),MOD(ROW()-6,MAX(1,COUNTIFS(Pessoas!$C$5:$C$44,$K1744,Pessoas!$G$5:$G$44,"Ativo")))+1)))</f>
        <v>Equipe Oficina Mecânica Central-Taisa</v>
      </c>
    </row>
    <row r="1745" spans="1:12" ht="15" customHeight="1" x14ac:dyDescent="0.4">
      <c r="A1745" s="25">
        <v>46540</v>
      </c>
      <c r="B1745" s="16">
        <v>40</v>
      </c>
      <c r="C1745" s="16">
        <v>4</v>
      </c>
      <c r="D1745" s="16">
        <v>6</v>
      </c>
      <c r="E1745" s="16" t="s">
        <v>1371</v>
      </c>
      <c r="F1745" s="16" t="s">
        <v>1138</v>
      </c>
      <c r="G1745" s="16" t="s">
        <v>158</v>
      </c>
      <c r="H1745" s="16" t="s">
        <v>141</v>
      </c>
      <c r="I1745" s="22" t="s">
        <v>856</v>
      </c>
      <c r="J1745" s="16">
        <f>IFERROR(INDEX(Aux_HH!$J$4:$J$31,MATCH($H1745&amp;"|"&amp;$I1745,Aux_HH!$A$4:$A$31,0)),"")</f>
        <v>2</v>
      </c>
      <c r="K1745" s="16" t="s">
        <v>76</v>
      </c>
      <c r="L1745" s="16" t="str">
        <f>IF(COUNTIFS(Pessoas!$C$5:$C$44,$K1745,Pessoas!$G$5:$G$44,"Ativo")=0,"Equipe "&amp;$K1745,INDEX(Pessoas!$A$5:$A$44,_xludf.aggregate(15,6,(ROW(Pessoas!$A$5:$A$44)-4)/((Pessoas!$C$5:$C$44=$K1745)*(Pessoas!$G$5:$G$44="Ativo")),MOD(ROW()-6,MAX(1,COUNTIFS(Pessoas!$C$5:$C$44,$K1745,Pessoas!$G$5:$G$44,"Ativo")))+1)))</f>
        <v>Equipe Oficina Mecânica Central-Taisa</v>
      </c>
    </row>
    <row r="1746" spans="1:12" ht="15" customHeight="1" x14ac:dyDescent="0.4">
      <c r="A1746" s="25">
        <v>46540</v>
      </c>
      <c r="B1746" s="16">
        <v>40</v>
      </c>
      <c r="C1746" s="16">
        <v>4</v>
      </c>
      <c r="D1746" s="16">
        <v>6</v>
      </c>
      <c r="E1746" s="16" t="s">
        <v>1371</v>
      </c>
      <c r="F1746" s="16" t="s">
        <v>1139</v>
      </c>
      <c r="G1746" s="16" t="s">
        <v>158</v>
      </c>
      <c r="H1746" s="16" t="s">
        <v>141</v>
      </c>
      <c r="I1746" s="22" t="s">
        <v>856</v>
      </c>
      <c r="J1746" s="16">
        <f>IFERROR(INDEX(Aux_HH!$J$4:$J$31,MATCH($H1746&amp;"|"&amp;$I1746,Aux_HH!$A$4:$A$31,0)),"")</f>
        <v>2</v>
      </c>
      <c r="K1746" s="16" t="s">
        <v>76</v>
      </c>
      <c r="L1746" s="16" t="str">
        <f>IF(COUNTIFS(Pessoas!$C$5:$C$44,$K1746,Pessoas!$G$5:$G$44,"Ativo")=0,"Equipe "&amp;$K1746,INDEX(Pessoas!$A$5:$A$44,_xludf.aggregate(15,6,(ROW(Pessoas!$A$5:$A$44)-4)/((Pessoas!$C$5:$C$44=$K1746)*(Pessoas!$G$5:$G$44="Ativo")),MOD(ROW()-6,MAX(1,COUNTIFS(Pessoas!$C$5:$C$44,$K1746,Pessoas!$G$5:$G$44,"Ativo")))+1)))</f>
        <v>Equipe Oficina Mecânica Central-Taisa</v>
      </c>
    </row>
    <row r="1747" spans="1:12" ht="15" customHeight="1" x14ac:dyDescent="0.4">
      <c r="A1747" s="25">
        <v>46540</v>
      </c>
      <c r="B1747" s="16">
        <v>40</v>
      </c>
      <c r="C1747" s="16">
        <v>4</v>
      </c>
      <c r="D1747" s="16">
        <v>6</v>
      </c>
      <c r="E1747" s="16" t="s">
        <v>1371</v>
      </c>
      <c r="F1747" s="16" t="s">
        <v>1140</v>
      </c>
      <c r="G1747" s="16" t="s">
        <v>158</v>
      </c>
      <c r="H1747" s="16" t="s">
        <v>141</v>
      </c>
      <c r="I1747" s="22" t="s">
        <v>856</v>
      </c>
      <c r="J1747" s="16">
        <f>IFERROR(INDEX(Aux_HH!$J$4:$J$31,MATCH($H1747&amp;"|"&amp;$I1747,Aux_HH!$A$4:$A$31,0)),"")</f>
        <v>2</v>
      </c>
      <c r="K1747" s="16" t="s">
        <v>76</v>
      </c>
      <c r="L1747" s="16" t="str">
        <f>IF(COUNTIFS(Pessoas!$C$5:$C$44,$K1747,Pessoas!$G$5:$G$44,"Ativo")=0,"Equipe "&amp;$K1747,INDEX(Pessoas!$A$5:$A$44,_xludf.aggregate(15,6,(ROW(Pessoas!$A$5:$A$44)-4)/((Pessoas!$C$5:$C$44=$K1747)*(Pessoas!$G$5:$G$44="Ativo")),MOD(ROW()-6,MAX(1,COUNTIFS(Pessoas!$C$5:$C$44,$K1747,Pessoas!$G$5:$G$44,"Ativo")))+1)))</f>
        <v>Equipe Oficina Mecânica Central-Taisa</v>
      </c>
    </row>
    <row r="1748" spans="1:12" ht="15" customHeight="1" x14ac:dyDescent="0.4">
      <c r="A1748" s="25">
        <v>46540</v>
      </c>
      <c r="B1748" s="16">
        <v>40</v>
      </c>
      <c r="C1748" s="16">
        <v>4</v>
      </c>
      <c r="D1748" s="16">
        <v>6</v>
      </c>
      <c r="E1748" s="16" t="s">
        <v>1371</v>
      </c>
      <c r="F1748" s="16" t="s">
        <v>1141</v>
      </c>
      <c r="G1748" s="16" t="s">
        <v>158</v>
      </c>
      <c r="H1748" s="16" t="s">
        <v>141</v>
      </c>
      <c r="I1748" s="22" t="s">
        <v>856</v>
      </c>
      <c r="J1748" s="16">
        <f>IFERROR(INDEX(Aux_HH!$J$4:$J$31,MATCH($H1748&amp;"|"&amp;$I1748,Aux_HH!$A$4:$A$31,0)),"")</f>
        <v>2</v>
      </c>
      <c r="K1748" s="16" t="s">
        <v>76</v>
      </c>
      <c r="L1748" s="16" t="str">
        <f>IF(COUNTIFS(Pessoas!$C$5:$C$44,$K1748,Pessoas!$G$5:$G$44,"Ativo")=0,"Equipe "&amp;$K1748,INDEX(Pessoas!$A$5:$A$44,_xludf.aggregate(15,6,(ROW(Pessoas!$A$5:$A$44)-4)/((Pessoas!$C$5:$C$44=$K1748)*(Pessoas!$G$5:$G$44="Ativo")),MOD(ROW()-6,MAX(1,COUNTIFS(Pessoas!$C$5:$C$44,$K1748,Pessoas!$G$5:$G$44,"Ativo")))+1)))</f>
        <v>Equipe Oficina Mecânica Central-Taisa</v>
      </c>
    </row>
    <row r="1749" spans="1:12" ht="15" customHeight="1" x14ac:dyDescent="0.4">
      <c r="A1749" s="25">
        <v>46540</v>
      </c>
      <c r="B1749" s="16">
        <v>40</v>
      </c>
      <c r="C1749" s="16">
        <v>4</v>
      </c>
      <c r="D1749" s="16">
        <v>6</v>
      </c>
      <c r="E1749" s="16" t="s">
        <v>1371</v>
      </c>
      <c r="F1749" s="16" t="s">
        <v>1142</v>
      </c>
      <c r="G1749" s="16" t="s">
        <v>158</v>
      </c>
      <c r="H1749" s="16" t="s">
        <v>141</v>
      </c>
      <c r="I1749" s="22" t="s">
        <v>856</v>
      </c>
      <c r="J1749" s="16">
        <f>IFERROR(INDEX(Aux_HH!$J$4:$J$31,MATCH($H1749&amp;"|"&amp;$I1749,Aux_HH!$A$4:$A$31,0)),"")</f>
        <v>2</v>
      </c>
      <c r="K1749" s="16" t="s">
        <v>76</v>
      </c>
      <c r="L1749" s="16" t="str">
        <f>IF(COUNTIFS(Pessoas!$C$5:$C$44,$K1749,Pessoas!$G$5:$G$44,"Ativo")=0,"Equipe "&amp;$K1749,INDEX(Pessoas!$A$5:$A$44,_xludf.aggregate(15,6,(ROW(Pessoas!$A$5:$A$44)-4)/((Pessoas!$C$5:$C$44=$K1749)*(Pessoas!$G$5:$G$44="Ativo")),MOD(ROW()-6,MAX(1,COUNTIFS(Pessoas!$C$5:$C$44,$K1749,Pessoas!$G$5:$G$44,"Ativo")))+1)))</f>
        <v>Equipe Oficina Mecânica Central-Taisa</v>
      </c>
    </row>
    <row r="1750" spans="1:12" ht="15" customHeight="1" x14ac:dyDescent="0.4">
      <c r="A1750" s="25">
        <v>46540</v>
      </c>
      <c r="B1750" s="16">
        <v>40</v>
      </c>
      <c r="C1750" s="16">
        <v>4</v>
      </c>
      <c r="D1750" s="16">
        <v>6</v>
      </c>
      <c r="E1750" s="16" t="s">
        <v>1371</v>
      </c>
      <c r="F1750" s="16" t="s">
        <v>1143</v>
      </c>
      <c r="G1750" s="16" t="s">
        <v>158</v>
      </c>
      <c r="H1750" s="16" t="s">
        <v>141</v>
      </c>
      <c r="I1750" s="22" t="s">
        <v>856</v>
      </c>
      <c r="J1750" s="16">
        <f>IFERROR(INDEX(Aux_HH!$J$4:$J$31,MATCH($H1750&amp;"|"&amp;$I1750,Aux_HH!$A$4:$A$31,0)),"")</f>
        <v>2</v>
      </c>
      <c r="K1750" s="16" t="s">
        <v>76</v>
      </c>
      <c r="L1750" s="16" t="str">
        <f>IF(COUNTIFS(Pessoas!$C$5:$C$44,$K1750,Pessoas!$G$5:$G$44,"Ativo")=0,"Equipe "&amp;$K1750,INDEX(Pessoas!$A$5:$A$44,_xludf.aggregate(15,6,(ROW(Pessoas!$A$5:$A$44)-4)/((Pessoas!$C$5:$C$44=$K1750)*(Pessoas!$G$5:$G$44="Ativo")),MOD(ROW()-6,MAX(1,COUNTIFS(Pessoas!$C$5:$C$44,$K1750,Pessoas!$G$5:$G$44,"Ativo")))+1)))</f>
        <v>Equipe Oficina Mecânica Central-Taisa</v>
      </c>
    </row>
    <row r="1751" spans="1:12" ht="15" customHeight="1" x14ac:dyDescent="0.4">
      <c r="A1751" s="25">
        <v>46540</v>
      </c>
      <c r="B1751" s="16">
        <v>40</v>
      </c>
      <c r="C1751" s="16">
        <v>4</v>
      </c>
      <c r="D1751" s="16">
        <v>6</v>
      </c>
      <c r="E1751" s="16" t="s">
        <v>1371</v>
      </c>
      <c r="F1751" s="16" t="s">
        <v>1144</v>
      </c>
      <c r="G1751" s="16" t="s">
        <v>158</v>
      </c>
      <c r="H1751" s="16" t="s">
        <v>141</v>
      </c>
      <c r="I1751" s="22" t="s">
        <v>856</v>
      </c>
      <c r="J1751" s="16">
        <f>IFERROR(INDEX(Aux_HH!$J$4:$J$31,MATCH($H1751&amp;"|"&amp;$I1751,Aux_HH!$A$4:$A$31,0)),"")</f>
        <v>2</v>
      </c>
      <c r="K1751" s="16" t="s">
        <v>76</v>
      </c>
      <c r="L1751" s="16" t="str">
        <f>IF(COUNTIFS(Pessoas!$C$5:$C$44,$K1751,Pessoas!$G$5:$G$44,"Ativo")=0,"Equipe "&amp;$K1751,INDEX(Pessoas!$A$5:$A$44,_xludf.aggregate(15,6,(ROW(Pessoas!$A$5:$A$44)-4)/((Pessoas!$C$5:$C$44=$K1751)*(Pessoas!$G$5:$G$44="Ativo")),MOD(ROW()-6,MAX(1,COUNTIFS(Pessoas!$C$5:$C$44,$K1751,Pessoas!$G$5:$G$44,"Ativo")))+1)))</f>
        <v>Equipe Oficina Mecânica Central-Taisa</v>
      </c>
    </row>
    <row r="1752" spans="1:12" ht="15" customHeight="1" x14ac:dyDescent="0.4">
      <c r="A1752" s="25">
        <v>46540</v>
      </c>
      <c r="B1752" s="16">
        <v>40</v>
      </c>
      <c r="C1752" s="16">
        <v>4</v>
      </c>
      <c r="D1752" s="16">
        <v>6</v>
      </c>
      <c r="E1752" s="16" t="s">
        <v>1371</v>
      </c>
      <c r="F1752" s="16" t="s">
        <v>1145</v>
      </c>
      <c r="G1752" s="16" t="s">
        <v>158</v>
      </c>
      <c r="H1752" s="16" t="s">
        <v>141</v>
      </c>
      <c r="I1752" s="22" t="s">
        <v>856</v>
      </c>
      <c r="J1752" s="16">
        <f>IFERROR(INDEX(Aux_HH!$J$4:$J$31,MATCH($H1752&amp;"|"&amp;$I1752,Aux_HH!$A$4:$A$31,0)),"")</f>
        <v>2</v>
      </c>
      <c r="K1752" s="16" t="s">
        <v>76</v>
      </c>
      <c r="L1752" s="16" t="str">
        <f>IF(COUNTIFS(Pessoas!$C$5:$C$44,$K1752,Pessoas!$G$5:$G$44,"Ativo")=0,"Equipe "&amp;$K1752,INDEX(Pessoas!$A$5:$A$44,_xludf.aggregate(15,6,(ROW(Pessoas!$A$5:$A$44)-4)/((Pessoas!$C$5:$C$44=$K1752)*(Pessoas!$G$5:$G$44="Ativo")),MOD(ROW()-6,MAX(1,COUNTIFS(Pessoas!$C$5:$C$44,$K1752,Pessoas!$G$5:$G$44,"Ativo")))+1)))</f>
        <v>Equipe Oficina Mecânica Central-Taisa</v>
      </c>
    </row>
    <row r="1753" spans="1:12" ht="15" customHeight="1" x14ac:dyDescent="0.4">
      <c r="A1753" s="25">
        <v>46540</v>
      </c>
      <c r="B1753" s="16">
        <v>40</v>
      </c>
      <c r="C1753" s="16">
        <v>4</v>
      </c>
      <c r="D1753" s="16">
        <v>6</v>
      </c>
      <c r="E1753" s="16" t="s">
        <v>1371</v>
      </c>
      <c r="F1753" s="16" t="s">
        <v>1146</v>
      </c>
      <c r="G1753" s="16" t="s">
        <v>158</v>
      </c>
      <c r="H1753" s="16" t="s">
        <v>141</v>
      </c>
      <c r="I1753" s="22" t="s">
        <v>856</v>
      </c>
      <c r="J1753" s="16">
        <f>IFERROR(INDEX(Aux_HH!$J$4:$J$31,MATCH($H1753&amp;"|"&amp;$I1753,Aux_HH!$A$4:$A$31,0)),"")</f>
        <v>2</v>
      </c>
      <c r="K1753" s="16" t="s">
        <v>76</v>
      </c>
      <c r="L1753" s="16" t="str">
        <f>IF(COUNTIFS(Pessoas!$C$5:$C$44,$K1753,Pessoas!$G$5:$G$44,"Ativo")=0,"Equipe "&amp;$K1753,INDEX(Pessoas!$A$5:$A$44,_xludf.aggregate(15,6,(ROW(Pessoas!$A$5:$A$44)-4)/((Pessoas!$C$5:$C$44=$K1753)*(Pessoas!$G$5:$G$44="Ativo")),MOD(ROW()-6,MAX(1,COUNTIFS(Pessoas!$C$5:$C$44,$K1753,Pessoas!$G$5:$G$44,"Ativo")))+1)))</f>
        <v>Equipe Oficina Mecânica Central-Taisa</v>
      </c>
    </row>
    <row r="1754" spans="1:12" ht="15" customHeight="1" x14ac:dyDescent="0.4">
      <c r="A1754" s="25">
        <v>46540</v>
      </c>
      <c r="B1754" s="16">
        <v>40</v>
      </c>
      <c r="C1754" s="16">
        <v>4</v>
      </c>
      <c r="D1754" s="16">
        <v>6</v>
      </c>
      <c r="E1754" s="16" t="s">
        <v>1371</v>
      </c>
      <c r="F1754" s="16" t="s">
        <v>1147</v>
      </c>
      <c r="G1754" s="16" t="s">
        <v>184</v>
      </c>
      <c r="H1754" s="16" t="s">
        <v>141</v>
      </c>
      <c r="I1754" s="22" t="s">
        <v>856</v>
      </c>
      <c r="J1754" s="16">
        <f>IFERROR(INDEX(Aux_HH!$J$4:$J$31,MATCH($H1754&amp;"|"&amp;$I1754,Aux_HH!$A$4:$A$31,0)),"")</f>
        <v>2</v>
      </c>
      <c r="K1754" s="16" t="s">
        <v>76</v>
      </c>
      <c r="L1754" s="16" t="str">
        <f>IF(COUNTIFS(Pessoas!$C$5:$C$44,$K1754,Pessoas!$G$5:$G$44,"Ativo")=0,"Equipe "&amp;$K1754,INDEX(Pessoas!$A$5:$A$44,_xludf.aggregate(15,6,(ROW(Pessoas!$A$5:$A$44)-4)/((Pessoas!$C$5:$C$44=$K1754)*(Pessoas!$G$5:$G$44="Ativo")),MOD(ROW()-6,MAX(1,COUNTIFS(Pessoas!$C$5:$C$44,$K1754,Pessoas!$G$5:$G$44,"Ativo")))+1)))</f>
        <v>Equipe Oficina Mecânica Central-Taisa</v>
      </c>
    </row>
    <row r="1755" spans="1:12" ht="15" customHeight="1" x14ac:dyDescent="0.4">
      <c r="A1755" s="25">
        <v>46540</v>
      </c>
      <c r="B1755" s="16">
        <v>40</v>
      </c>
      <c r="C1755" s="16">
        <v>4</v>
      </c>
      <c r="D1755" s="16">
        <v>6</v>
      </c>
      <c r="E1755" s="16" t="s">
        <v>1371</v>
      </c>
      <c r="F1755" s="16" t="s">
        <v>1148</v>
      </c>
      <c r="G1755" s="16" t="s">
        <v>184</v>
      </c>
      <c r="H1755" s="16" t="s">
        <v>141</v>
      </c>
      <c r="I1755" s="22" t="s">
        <v>856</v>
      </c>
      <c r="J1755" s="16">
        <f>IFERROR(INDEX(Aux_HH!$J$4:$J$31,MATCH($H1755&amp;"|"&amp;$I1755,Aux_HH!$A$4:$A$31,0)),"")</f>
        <v>2</v>
      </c>
      <c r="K1755" s="16" t="s">
        <v>76</v>
      </c>
      <c r="L1755" s="16" t="str">
        <f>IF(COUNTIFS(Pessoas!$C$5:$C$44,$K1755,Pessoas!$G$5:$G$44,"Ativo")=0,"Equipe "&amp;$K1755,INDEX(Pessoas!$A$5:$A$44,_xludf.aggregate(15,6,(ROW(Pessoas!$A$5:$A$44)-4)/((Pessoas!$C$5:$C$44=$K1755)*(Pessoas!$G$5:$G$44="Ativo")),MOD(ROW()-6,MAX(1,COUNTIFS(Pessoas!$C$5:$C$44,$K1755,Pessoas!$G$5:$G$44,"Ativo")))+1)))</f>
        <v>Equipe Oficina Mecânica Central-Taisa</v>
      </c>
    </row>
    <row r="1756" spans="1:12" ht="15" customHeight="1" x14ac:dyDescent="0.4">
      <c r="A1756" s="25">
        <v>46540</v>
      </c>
      <c r="B1756" s="16">
        <v>40</v>
      </c>
      <c r="C1756" s="16">
        <v>4</v>
      </c>
      <c r="D1756" s="16">
        <v>6</v>
      </c>
      <c r="E1756" s="16" t="s">
        <v>1371</v>
      </c>
      <c r="F1756" s="16" t="s">
        <v>1149</v>
      </c>
      <c r="G1756" s="16" t="s">
        <v>184</v>
      </c>
      <c r="H1756" s="16" t="s">
        <v>141</v>
      </c>
      <c r="I1756" s="22" t="s">
        <v>856</v>
      </c>
      <c r="J1756" s="16">
        <f>IFERROR(INDEX(Aux_HH!$J$4:$J$31,MATCH($H1756&amp;"|"&amp;$I1756,Aux_HH!$A$4:$A$31,0)),"")</f>
        <v>2</v>
      </c>
      <c r="K1756" s="16" t="s">
        <v>76</v>
      </c>
      <c r="L1756" s="16" t="str">
        <f>IF(COUNTIFS(Pessoas!$C$5:$C$44,$K1756,Pessoas!$G$5:$G$44,"Ativo")=0,"Equipe "&amp;$K1756,INDEX(Pessoas!$A$5:$A$44,_xludf.aggregate(15,6,(ROW(Pessoas!$A$5:$A$44)-4)/((Pessoas!$C$5:$C$44=$K1756)*(Pessoas!$G$5:$G$44="Ativo")),MOD(ROW()-6,MAX(1,COUNTIFS(Pessoas!$C$5:$C$44,$K1756,Pessoas!$G$5:$G$44,"Ativo")))+1)))</f>
        <v>Equipe Oficina Mecânica Central-Taisa</v>
      </c>
    </row>
    <row r="1757" spans="1:12" ht="15" customHeight="1" x14ac:dyDescent="0.4">
      <c r="A1757" s="25">
        <v>46540</v>
      </c>
      <c r="B1757" s="16">
        <v>40</v>
      </c>
      <c r="C1757" s="16">
        <v>4</v>
      </c>
      <c r="D1757" s="16">
        <v>6</v>
      </c>
      <c r="E1757" s="16" t="s">
        <v>1371</v>
      </c>
      <c r="F1757" s="16" t="s">
        <v>1150</v>
      </c>
      <c r="G1757" s="16" t="s">
        <v>184</v>
      </c>
      <c r="H1757" s="16" t="s">
        <v>141</v>
      </c>
      <c r="I1757" s="22" t="s">
        <v>856</v>
      </c>
      <c r="J1757" s="16">
        <f>IFERROR(INDEX(Aux_HH!$J$4:$J$31,MATCH($H1757&amp;"|"&amp;$I1757,Aux_HH!$A$4:$A$31,0)),"")</f>
        <v>2</v>
      </c>
      <c r="K1757" s="16" t="s">
        <v>76</v>
      </c>
      <c r="L1757" s="16" t="str">
        <f>IF(COUNTIFS(Pessoas!$C$5:$C$44,$K1757,Pessoas!$G$5:$G$44,"Ativo")=0,"Equipe "&amp;$K1757,INDEX(Pessoas!$A$5:$A$44,_xludf.aggregate(15,6,(ROW(Pessoas!$A$5:$A$44)-4)/((Pessoas!$C$5:$C$44=$K1757)*(Pessoas!$G$5:$G$44="Ativo")),MOD(ROW()-6,MAX(1,COUNTIFS(Pessoas!$C$5:$C$44,$K1757,Pessoas!$G$5:$G$44,"Ativo")))+1)))</f>
        <v>Equipe Oficina Mecânica Central-Taisa</v>
      </c>
    </row>
    <row r="1758" spans="1:12" ht="15" customHeight="1" x14ac:dyDescent="0.4">
      <c r="A1758" s="25">
        <v>46540</v>
      </c>
      <c r="B1758" s="16">
        <v>40</v>
      </c>
      <c r="C1758" s="16">
        <v>4</v>
      </c>
      <c r="D1758" s="16">
        <v>6</v>
      </c>
      <c r="E1758" s="16" t="s">
        <v>1371</v>
      </c>
      <c r="F1758" s="16" t="s">
        <v>1151</v>
      </c>
      <c r="G1758" s="16" t="s">
        <v>184</v>
      </c>
      <c r="H1758" s="16" t="s">
        <v>141</v>
      </c>
      <c r="I1758" s="22" t="s">
        <v>856</v>
      </c>
      <c r="J1758" s="16">
        <f>IFERROR(INDEX(Aux_HH!$J$4:$J$31,MATCH($H1758&amp;"|"&amp;$I1758,Aux_HH!$A$4:$A$31,0)),"")</f>
        <v>2</v>
      </c>
      <c r="K1758" s="16" t="s">
        <v>76</v>
      </c>
      <c r="L1758" s="16" t="str">
        <f>IF(COUNTIFS(Pessoas!$C$5:$C$44,$K1758,Pessoas!$G$5:$G$44,"Ativo")=0,"Equipe "&amp;$K1758,INDEX(Pessoas!$A$5:$A$44,_xludf.aggregate(15,6,(ROW(Pessoas!$A$5:$A$44)-4)/((Pessoas!$C$5:$C$44=$K1758)*(Pessoas!$G$5:$G$44="Ativo")),MOD(ROW()-6,MAX(1,COUNTIFS(Pessoas!$C$5:$C$44,$K1758,Pessoas!$G$5:$G$44,"Ativo")))+1)))</f>
        <v>Equipe Oficina Mecânica Central-Taisa</v>
      </c>
    </row>
    <row r="1759" spans="1:12" ht="15" customHeight="1" x14ac:dyDescent="0.4">
      <c r="A1759" s="25">
        <v>46540</v>
      </c>
      <c r="B1759" s="16">
        <v>40</v>
      </c>
      <c r="C1759" s="16">
        <v>4</v>
      </c>
      <c r="D1759" s="16">
        <v>6</v>
      </c>
      <c r="E1759" s="16" t="s">
        <v>1371</v>
      </c>
      <c r="F1759" s="16" t="s">
        <v>1152</v>
      </c>
      <c r="G1759" s="16" t="s">
        <v>184</v>
      </c>
      <c r="H1759" s="16" t="s">
        <v>141</v>
      </c>
      <c r="I1759" s="22" t="s">
        <v>856</v>
      </c>
      <c r="J1759" s="16">
        <f>IFERROR(INDEX(Aux_HH!$J$4:$J$31,MATCH($H1759&amp;"|"&amp;$I1759,Aux_HH!$A$4:$A$31,0)),"")</f>
        <v>2</v>
      </c>
      <c r="K1759" s="16" t="s">
        <v>76</v>
      </c>
      <c r="L1759" s="16" t="str">
        <f>IF(COUNTIFS(Pessoas!$C$5:$C$44,$K1759,Pessoas!$G$5:$G$44,"Ativo")=0,"Equipe "&amp;$K1759,INDEX(Pessoas!$A$5:$A$44,_xludf.aggregate(15,6,(ROW(Pessoas!$A$5:$A$44)-4)/((Pessoas!$C$5:$C$44=$K1759)*(Pessoas!$G$5:$G$44="Ativo")),MOD(ROW()-6,MAX(1,COUNTIFS(Pessoas!$C$5:$C$44,$K1759,Pessoas!$G$5:$G$44,"Ativo")))+1)))</f>
        <v>Equipe Oficina Mecânica Central-Taisa</v>
      </c>
    </row>
    <row r="1760" spans="1:12" ht="15" customHeight="1" x14ac:dyDescent="0.4">
      <c r="A1760" s="25">
        <v>46540</v>
      </c>
      <c r="B1760" s="16">
        <v>40</v>
      </c>
      <c r="C1760" s="16">
        <v>4</v>
      </c>
      <c r="D1760" s="16">
        <v>6</v>
      </c>
      <c r="E1760" s="16" t="s">
        <v>1371</v>
      </c>
      <c r="F1760" s="16" t="s">
        <v>1153</v>
      </c>
      <c r="G1760" s="16" t="s">
        <v>184</v>
      </c>
      <c r="H1760" s="16" t="s">
        <v>141</v>
      </c>
      <c r="I1760" s="22" t="s">
        <v>856</v>
      </c>
      <c r="J1760" s="16">
        <f>IFERROR(INDEX(Aux_HH!$J$4:$J$31,MATCH($H1760&amp;"|"&amp;$I1760,Aux_HH!$A$4:$A$31,0)),"")</f>
        <v>2</v>
      </c>
      <c r="K1760" s="16" t="s">
        <v>76</v>
      </c>
      <c r="L1760" s="16" t="str">
        <f>IF(COUNTIFS(Pessoas!$C$5:$C$44,$K1760,Pessoas!$G$5:$G$44,"Ativo")=0,"Equipe "&amp;$K1760,INDEX(Pessoas!$A$5:$A$44,_xludf.aggregate(15,6,(ROW(Pessoas!$A$5:$A$44)-4)/((Pessoas!$C$5:$C$44=$K1760)*(Pessoas!$G$5:$G$44="Ativo")),MOD(ROW()-6,MAX(1,COUNTIFS(Pessoas!$C$5:$C$44,$K1760,Pessoas!$G$5:$G$44,"Ativo")))+1)))</f>
        <v>Equipe Oficina Mecânica Central-Taisa</v>
      </c>
    </row>
    <row r="1761" spans="1:12" ht="15" customHeight="1" x14ac:dyDescent="0.4">
      <c r="A1761" s="25">
        <v>46540</v>
      </c>
      <c r="B1761" s="16">
        <v>40</v>
      </c>
      <c r="C1761" s="16">
        <v>4</v>
      </c>
      <c r="D1761" s="16">
        <v>6</v>
      </c>
      <c r="E1761" s="16" t="s">
        <v>1371</v>
      </c>
      <c r="F1761" s="16" t="s">
        <v>1154</v>
      </c>
      <c r="G1761" s="16" t="s">
        <v>184</v>
      </c>
      <c r="H1761" s="16" t="s">
        <v>141</v>
      </c>
      <c r="I1761" s="22" t="s">
        <v>856</v>
      </c>
      <c r="J1761" s="16">
        <f>IFERROR(INDEX(Aux_HH!$J$4:$J$31,MATCH($H1761&amp;"|"&amp;$I1761,Aux_HH!$A$4:$A$31,0)),"")</f>
        <v>2</v>
      </c>
      <c r="K1761" s="16" t="s">
        <v>76</v>
      </c>
      <c r="L1761" s="16" t="str">
        <f>IF(COUNTIFS(Pessoas!$C$5:$C$44,$K1761,Pessoas!$G$5:$G$44,"Ativo")=0,"Equipe "&amp;$K1761,INDEX(Pessoas!$A$5:$A$44,_xludf.aggregate(15,6,(ROW(Pessoas!$A$5:$A$44)-4)/((Pessoas!$C$5:$C$44=$K1761)*(Pessoas!$G$5:$G$44="Ativo")),MOD(ROW()-6,MAX(1,COUNTIFS(Pessoas!$C$5:$C$44,$K1761,Pessoas!$G$5:$G$44,"Ativo")))+1)))</f>
        <v>Equipe Oficina Mecânica Central-Taisa</v>
      </c>
    </row>
    <row r="1762" spans="1:12" ht="15" customHeight="1" x14ac:dyDescent="0.4">
      <c r="A1762" s="25">
        <v>46540</v>
      </c>
      <c r="B1762" s="16">
        <v>40</v>
      </c>
      <c r="C1762" s="16">
        <v>4</v>
      </c>
      <c r="D1762" s="16">
        <v>6</v>
      </c>
      <c r="E1762" s="16" t="s">
        <v>1371</v>
      </c>
      <c r="F1762" s="16" t="s">
        <v>1155</v>
      </c>
      <c r="G1762" s="16" t="s">
        <v>184</v>
      </c>
      <c r="H1762" s="16" t="s">
        <v>141</v>
      </c>
      <c r="I1762" s="22" t="s">
        <v>856</v>
      </c>
      <c r="J1762" s="16">
        <f>IFERROR(INDEX(Aux_HH!$J$4:$J$31,MATCH($H1762&amp;"|"&amp;$I1762,Aux_HH!$A$4:$A$31,0)),"")</f>
        <v>2</v>
      </c>
      <c r="K1762" s="16" t="s">
        <v>76</v>
      </c>
      <c r="L1762" s="16" t="str">
        <f>IF(COUNTIFS(Pessoas!$C$5:$C$44,$K1762,Pessoas!$G$5:$G$44,"Ativo")=0,"Equipe "&amp;$K1762,INDEX(Pessoas!$A$5:$A$44,_xludf.aggregate(15,6,(ROW(Pessoas!$A$5:$A$44)-4)/((Pessoas!$C$5:$C$44=$K1762)*(Pessoas!$G$5:$G$44="Ativo")),MOD(ROW()-6,MAX(1,COUNTIFS(Pessoas!$C$5:$C$44,$K1762,Pessoas!$G$5:$G$44,"Ativo")))+1)))</f>
        <v>Equipe Oficina Mecânica Central-Taisa</v>
      </c>
    </row>
    <row r="1763" spans="1:12" ht="15" customHeight="1" x14ac:dyDescent="0.4">
      <c r="A1763" s="25">
        <v>46540</v>
      </c>
      <c r="B1763" s="16">
        <v>40</v>
      </c>
      <c r="C1763" s="16">
        <v>4</v>
      </c>
      <c r="D1763" s="16">
        <v>6</v>
      </c>
      <c r="E1763" s="16" t="s">
        <v>1371</v>
      </c>
      <c r="F1763" s="16" t="s">
        <v>1156</v>
      </c>
      <c r="G1763" s="16" t="s">
        <v>184</v>
      </c>
      <c r="H1763" s="16" t="s">
        <v>141</v>
      </c>
      <c r="I1763" s="22" t="s">
        <v>856</v>
      </c>
      <c r="J1763" s="16">
        <f>IFERROR(INDEX(Aux_HH!$J$4:$J$31,MATCH($H1763&amp;"|"&amp;$I1763,Aux_HH!$A$4:$A$31,0)),"")</f>
        <v>2</v>
      </c>
      <c r="K1763" s="16" t="s">
        <v>76</v>
      </c>
      <c r="L1763" s="16" t="str">
        <f>IF(COUNTIFS(Pessoas!$C$5:$C$44,$K1763,Pessoas!$G$5:$G$44,"Ativo")=0,"Equipe "&amp;$K1763,INDEX(Pessoas!$A$5:$A$44,_xludf.aggregate(15,6,(ROW(Pessoas!$A$5:$A$44)-4)/((Pessoas!$C$5:$C$44=$K1763)*(Pessoas!$G$5:$G$44="Ativo")),MOD(ROW()-6,MAX(1,COUNTIFS(Pessoas!$C$5:$C$44,$K1763,Pessoas!$G$5:$G$44,"Ativo")))+1)))</f>
        <v>Equipe Oficina Mecânica Central-Taisa</v>
      </c>
    </row>
    <row r="1764" spans="1:12" ht="15" customHeight="1" x14ac:dyDescent="0.4">
      <c r="A1764" s="25">
        <v>46540</v>
      </c>
      <c r="B1764" s="16">
        <v>40</v>
      </c>
      <c r="C1764" s="16">
        <v>4</v>
      </c>
      <c r="D1764" s="16">
        <v>6</v>
      </c>
      <c r="E1764" s="16" t="s">
        <v>1371</v>
      </c>
      <c r="F1764" s="16" t="s">
        <v>1157</v>
      </c>
      <c r="G1764" s="16" t="s">
        <v>158</v>
      </c>
      <c r="H1764" s="16" t="s">
        <v>141</v>
      </c>
      <c r="I1764" s="22" t="s">
        <v>856</v>
      </c>
      <c r="J1764" s="16">
        <f>IFERROR(INDEX(Aux_HH!$J$4:$J$31,MATCH($H1764&amp;"|"&amp;$I1764,Aux_HH!$A$4:$A$31,0)),"")</f>
        <v>2</v>
      </c>
      <c r="K1764" s="16" t="s">
        <v>76</v>
      </c>
      <c r="L1764" s="16" t="str">
        <f>IF(COUNTIFS(Pessoas!$C$5:$C$44,$K1764,Pessoas!$G$5:$G$44,"Ativo")=0,"Equipe "&amp;$K1764,INDEX(Pessoas!$A$5:$A$44,_xludf.aggregate(15,6,(ROW(Pessoas!$A$5:$A$44)-4)/((Pessoas!$C$5:$C$44=$K1764)*(Pessoas!$G$5:$G$44="Ativo")),MOD(ROW()-6,MAX(1,COUNTIFS(Pessoas!$C$5:$C$44,$K1764,Pessoas!$G$5:$G$44,"Ativo")))+1)))</f>
        <v>Equipe Oficina Mecânica Central-Taisa</v>
      </c>
    </row>
    <row r="1765" spans="1:12" ht="15" customHeight="1" x14ac:dyDescent="0.4">
      <c r="A1765" s="25">
        <v>46540</v>
      </c>
      <c r="B1765" s="16">
        <v>40</v>
      </c>
      <c r="C1765" s="16">
        <v>4</v>
      </c>
      <c r="D1765" s="16">
        <v>6</v>
      </c>
      <c r="E1765" s="16" t="s">
        <v>1371</v>
      </c>
      <c r="F1765" s="16" t="s">
        <v>1001</v>
      </c>
      <c r="G1765" s="16" t="s">
        <v>688</v>
      </c>
      <c r="H1765" s="16" t="s">
        <v>145</v>
      </c>
      <c r="I1765" s="22" t="s">
        <v>861</v>
      </c>
      <c r="J1765" s="16">
        <f>IFERROR(INDEX(Aux_HH!$J$4:$J$31,MATCH($H1765&amp;"|"&amp;$I1765,Aux_HH!$A$4:$A$31,0)),"")</f>
        <v>4</v>
      </c>
      <c r="K1765" s="16" t="s">
        <v>76</v>
      </c>
      <c r="L1765" s="16" t="str">
        <f>IF(COUNTIFS(Pessoas!$C$5:$C$44,$K1765,Pessoas!$G$5:$G$44,"Ativo")=0,"Equipe "&amp;$K1765,INDEX(Pessoas!$A$5:$A$44,_xludf.aggregate(15,6,(ROW(Pessoas!$A$5:$A$44)-4)/((Pessoas!$C$5:$C$44=$K1765)*(Pessoas!$G$5:$G$44="Ativo")),MOD(ROW()-6,MAX(1,COUNTIFS(Pessoas!$C$5:$C$44,$K1765,Pessoas!$G$5:$G$44,"Ativo")))+1)))</f>
        <v>Equipe Oficina Mecânica Central-Taisa</v>
      </c>
    </row>
    <row r="1766" spans="1:12" ht="15" customHeight="1" x14ac:dyDescent="0.4">
      <c r="A1766" s="25">
        <v>46540</v>
      </c>
      <c r="B1766" s="16">
        <v>40</v>
      </c>
      <c r="C1766" s="16">
        <v>4</v>
      </c>
      <c r="D1766" s="16">
        <v>6</v>
      </c>
      <c r="E1766" s="16" t="s">
        <v>1371</v>
      </c>
      <c r="F1766" s="16" t="s">
        <v>1002</v>
      </c>
      <c r="G1766" s="16" t="s">
        <v>688</v>
      </c>
      <c r="H1766" s="16" t="s">
        <v>145</v>
      </c>
      <c r="I1766" s="22" t="s">
        <v>861</v>
      </c>
      <c r="J1766" s="16">
        <f>IFERROR(INDEX(Aux_HH!$J$4:$J$31,MATCH($H1766&amp;"|"&amp;$I1766,Aux_HH!$A$4:$A$31,0)),"")</f>
        <v>4</v>
      </c>
      <c r="K1766" s="16" t="s">
        <v>76</v>
      </c>
      <c r="L1766" s="16" t="str">
        <f>IF(COUNTIFS(Pessoas!$C$5:$C$44,$K1766,Pessoas!$G$5:$G$44,"Ativo")=0,"Equipe "&amp;$K1766,INDEX(Pessoas!$A$5:$A$44,_xludf.aggregate(15,6,(ROW(Pessoas!$A$5:$A$44)-4)/((Pessoas!$C$5:$C$44=$K1766)*(Pessoas!$G$5:$G$44="Ativo")),MOD(ROW()-6,MAX(1,COUNTIFS(Pessoas!$C$5:$C$44,$K1766,Pessoas!$G$5:$G$44,"Ativo")))+1)))</f>
        <v>Equipe Oficina Mecânica Central-Taisa</v>
      </c>
    </row>
    <row r="1767" spans="1:12" ht="15" customHeight="1" x14ac:dyDescent="0.4">
      <c r="A1767" s="25">
        <v>46540</v>
      </c>
      <c r="B1767" s="16">
        <v>40</v>
      </c>
      <c r="C1767" s="16">
        <v>4</v>
      </c>
      <c r="D1767" s="16">
        <v>6</v>
      </c>
      <c r="E1767" s="16" t="s">
        <v>1371</v>
      </c>
      <c r="F1767" s="16" t="s">
        <v>1003</v>
      </c>
      <c r="G1767" s="16" t="s">
        <v>688</v>
      </c>
      <c r="H1767" s="16" t="s">
        <v>145</v>
      </c>
      <c r="I1767" s="22" t="s">
        <v>861</v>
      </c>
      <c r="J1767" s="16">
        <f>IFERROR(INDEX(Aux_HH!$J$4:$J$31,MATCH($H1767&amp;"|"&amp;$I1767,Aux_HH!$A$4:$A$31,0)),"")</f>
        <v>4</v>
      </c>
      <c r="K1767" s="16" t="s">
        <v>76</v>
      </c>
      <c r="L1767" s="16" t="str">
        <f>IF(COUNTIFS(Pessoas!$C$5:$C$44,$K1767,Pessoas!$G$5:$G$44,"Ativo")=0,"Equipe "&amp;$K1767,INDEX(Pessoas!$A$5:$A$44,_xludf.aggregate(15,6,(ROW(Pessoas!$A$5:$A$44)-4)/((Pessoas!$C$5:$C$44=$K1767)*(Pessoas!$G$5:$G$44="Ativo")),MOD(ROW()-6,MAX(1,COUNTIFS(Pessoas!$C$5:$C$44,$K1767,Pessoas!$G$5:$G$44,"Ativo")))+1)))</f>
        <v>Equipe Oficina Mecânica Central-Taisa</v>
      </c>
    </row>
    <row r="1768" spans="1:12" ht="15" customHeight="1" x14ac:dyDescent="0.4">
      <c r="A1768" s="25">
        <v>46540</v>
      </c>
      <c r="B1768" s="16">
        <v>40</v>
      </c>
      <c r="C1768" s="16">
        <v>4</v>
      </c>
      <c r="D1768" s="16">
        <v>6</v>
      </c>
      <c r="E1768" s="16" t="s">
        <v>1371</v>
      </c>
      <c r="F1768" s="16" t="s">
        <v>1162</v>
      </c>
      <c r="G1768" s="16" t="s">
        <v>158</v>
      </c>
      <c r="H1768" s="16" t="s">
        <v>141</v>
      </c>
      <c r="I1768" s="22" t="s">
        <v>856</v>
      </c>
      <c r="J1768" s="16">
        <f>IFERROR(INDEX(Aux_HH!$J$4:$J$31,MATCH($H1768&amp;"|"&amp;$I1768,Aux_HH!$A$4:$A$31,0)),"")</f>
        <v>2</v>
      </c>
      <c r="K1768" s="16" t="s">
        <v>76</v>
      </c>
      <c r="L1768" s="16" t="str">
        <f>IF(COUNTIFS(Pessoas!$C$5:$C$44,$K1768,Pessoas!$G$5:$G$44,"Ativo")=0,"Equipe "&amp;$K1768,INDEX(Pessoas!$A$5:$A$44,_xludf.aggregate(15,6,(ROW(Pessoas!$A$5:$A$44)-4)/((Pessoas!$C$5:$C$44=$K1768)*(Pessoas!$G$5:$G$44="Ativo")),MOD(ROW()-6,MAX(1,COUNTIFS(Pessoas!$C$5:$C$44,$K1768,Pessoas!$G$5:$G$44,"Ativo")))+1)))</f>
        <v>Equipe Oficina Mecânica Central-Taisa</v>
      </c>
    </row>
    <row r="1769" spans="1:12" ht="15" customHeight="1" x14ac:dyDescent="0.4">
      <c r="A1769" s="25">
        <v>46540</v>
      </c>
      <c r="B1769" s="16">
        <v>40</v>
      </c>
      <c r="C1769" s="16">
        <v>4</v>
      </c>
      <c r="D1769" s="16">
        <v>6</v>
      </c>
      <c r="E1769" s="16" t="s">
        <v>1371</v>
      </c>
      <c r="F1769" s="16" t="s">
        <v>1163</v>
      </c>
      <c r="G1769" s="16" t="s">
        <v>158</v>
      </c>
      <c r="H1769" s="16" t="s">
        <v>141</v>
      </c>
      <c r="I1769" s="22" t="s">
        <v>856</v>
      </c>
      <c r="J1769" s="16">
        <f>IFERROR(INDEX(Aux_HH!$J$4:$J$31,MATCH($H1769&amp;"|"&amp;$I1769,Aux_HH!$A$4:$A$31,0)),"")</f>
        <v>2</v>
      </c>
      <c r="K1769" s="16" t="s">
        <v>76</v>
      </c>
      <c r="L1769" s="16" t="str">
        <f>IF(COUNTIFS(Pessoas!$C$5:$C$44,$K1769,Pessoas!$G$5:$G$44,"Ativo")=0,"Equipe "&amp;$K1769,INDEX(Pessoas!$A$5:$A$44,_xludf.aggregate(15,6,(ROW(Pessoas!$A$5:$A$44)-4)/((Pessoas!$C$5:$C$44=$K1769)*(Pessoas!$G$5:$G$44="Ativo")),MOD(ROW()-6,MAX(1,COUNTIFS(Pessoas!$C$5:$C$44,$K1769,Pessoas!$G$5:$G$44,"Ativo")))+1)))</f>
        <v>Equipe Oficina Mecânica Central-Taisa</v>
      </c>
    </row>
    <row r="1770" spans="1:12" ht="15" customHeight="1" x14ac:dyDescent="0.4">
      <c r="A1770" s="25">
        <v>46540</v>
      </c>
      <c r="B1770" s="16">
        <v>40</v>
      </c>
      <c r="C1770" s="16">
        <v>4</v>
      </c>
      <c r="D1770" s="16">
        <v>6</v>
      </c>
      <c r="E1770" s="16" t="s">
        <v>1371</v>
      </c>
      <c r="F1770" s="16" t="s">
        <v>1169</v>
      </c>
      <c r="G1770" s="16" t="s">
        <v>184</v>
      </c>
      <c r="H1770" s="16" t="s">
        <v>141</v>
      </c>
      <c r="I1770" s="22" t="s">
        <v>856</v>
      </c>
      <c r="J1770" s="16">
        <f>IFERROR(INDEX(Aux_HH!$J$4:$J$31,MATCH($H1770&amp;"|"&amp;$I1770,Aux_HH!$A$4:$A$31,0)),"")</f>
        <v>2</v>
      </c>
      <c r="K1770" s="16" t="s">
        <v>76</v>
      </c>
      <c r="L1770" s="16" t="str">
        <f>IF(COUNTIFS(Pessoas!$C$5:$C$44,$K1770,Pessoas!$G$5:$G$44,"Ativo")=0,"Equipe "&amp;$K1770,INDEX(Pessoas!$A$5:$A$44,_xludf.aggregate(15,6,(ROW(Pessoas!$A$5:$A$44)-4)/((Pessoas!$C$5:$C$44=$K1770)*(Pessoas!$G$5:$G$44="Ativo")),MOD(ROW()-6,MAX(1,COUNTIFS(Pessoas!$C$5:$C$44,$K1770,Pessoas!$G$5:$G$44,"Ativo")))+1)))</f>
        <v>Equipe Oficina Mecânica Central-Taisa</v>
      </c>
    </row>
    <row r="1771" spans="1:12" ht="15" customHeight="1" x14ac:dyDescent="0.4">
      <c r="A1771" s="25">
        <v>46541</v>
      </c>
      <c r="B1771" s="16">
        <v>40</v>
      </c>
      <c r="C1771" s="16">
        <v>4</v>
      </c>
      <c r="D1771" s="16">
        <v>6</v>
      </c>
      <c r="E1771" s="16" t="s">
        <v>1371</v>
      </c>
      <c r="F1771" s="16" t="s">
        <v>1182</v>
      </c>
      <c r="G1771" s="16" t="s">
        <v>158</v>
      </c>
      <c r="H1771" s="16" t="s">
        <v>141</v>
      </c>
      <c r="I1771" s="22" t="s">
        <v>856</v>
      </c>
      <c r="J1771" s="16">
        <f>IFERROR(INDEX(Aux_HH!$J$4:$J$31,MATCH($H1771&amp;"|"&amp;$I1771,Aux_HH!$A$4:$A$31,0)),"")</f>
        <v>2</v>
      </c>
      <c r="K1771" s="16" t="s">
        <v>76</v>
      </c>
      <c r="L1771" s="16" t="str">
        <f>IF(COUNTIFS(Pessoas!$C$5:$C$44,$K1771,Pessoas!$G$5:$G$44,"Ativo")=0,"Equipe "&amp;$K1771,INDEX(Pessoas!$A$5:$A$44,_xludf.aggregate(15,6,(ROW(Pessoas!$A$5:$A$44)-4)/((Pessoas!$C$5:$C$44=$K1771)*(Pessoas!$G$5:$G$44="Ativo")),MOD(ROW()-6,MAX(1,COUNTIFS(Pessoas!$C$5:$C$44,$K1771,Pessoas!$G$5:$G$44,"Ativo")))+1)))</f>
        <v>Equipe Oficina Mecânica Central-Taisa</v>
      </c>
    </row>
    <row r="1772" spans="1:12" ht="15" customHeight="1" x14ac:dyDescent="0.4">
      <c r="A1772" s="25">
        <v>46541</v>
      </c>
      <c r="B1772" s="16">
        <v>40</v>
      </c>
      <c r="C1772" s="16">
        <v>4</v>
      </c>
      <c r="D1772" s="16">
        <v>6</v>
      </c>
      <c r="E1772" s="16" t="s">
        <v>1371</v>
      </c>
      <c r="F1772" s="16" t="s">
        <v>1183</v>
      </c>
      <c r="G1772" s="16" t="s">
        <v>158</v>
      </c>
      <c r="H1772" s="16" t="s">
        <v>141</v>
      </c>
      <c r="I1772" s="22" t="s">
        <v>856</v>
      </c>
      <c r="J1772" s="16">
        <f>IFERROR(INDEX(Aux_HH!$J$4:$J$31,MATCH($H1772&amp;"|"&amp;$I1772,Aux_HH!$A$4:$A$31,0)),"")</f>
        <v>2</v>
      </c>
      <c r="K1772" s="16" t="s">
        <v>76</v>
      </c>
      <c r="L1772" s="16" t="str">
        <f>IF(COUNTIFS(Pessoas!$C$5:$C$44,$K1772,Pessoas!$G$5:$G$44,"Ativo")=0,"Equipe "&amp;$K1772,INDEX(Pessoas!$A$5:$A$44,_xludf.aggregate(15,6,(ROW(Pessoas!$A$5:$A$44)-4)/((Pessoas!$C$5:$C$44=$K1772)*(Pessoas!$G$5:$G$44="Ativo")),MOD(ROW()-6,MAX(1,COUNTIFS(Pessoas!$C$5:$C$44,$K1772,Pessoas!$G$5:$G$44,"Ativo")))+1)))</f>
        <v>Equipe Oficina Mecânica Central-Taisa</v>
      </c>
    </row>
    <row r="1773" spans="1:12" ht="15" customHeight="1" x14ac:dyDescent="0.4">
      <c r="A1773" s="25">
        <v>46541</v>
      </c>
      <c r="B1773" s="16">
        <v>40</v>
      </c>
      <c r="C1773" s="16">
        <v>4</v>
      </c>
      <c r="D1773" s="16">
        <v>6</v>
      </c>
      <c r="E1773" s="16" t="s">
        <v>1371</v>
      </c>
      <c r="F1773" s="16" t="s">
        <v>1184</v>
      </c>
      <c r="G1773" s="16" t="s">
        <v>158</v>
      </c>
      <c r="H1773" s="16" t="s">
        <v>141</v>
      </c>
      <c r="I1773" s="22" t="s">
        <v>856</v>
      </c>
      <c r="J1773" s="16">
        <f>IFERROR(INDEX(Aux_HH!$J$4:$J$31,MATCH($H1773&amp;"|"&amp;$I1773,Aux_HH!$A$4:$A$31,0)),"")</f>
        <v>2</v>
      </c>
      <c r="K1773" s="16" t="s">
        <v>76</v>
      </c>
      <c r="L1773" s="16" t="str">
        <f>IF(COUNTIFS(Pessoas!$C$5:$C$44,$K1773,Pessoas!$G$5:$G$44,"Ativo")=0,"Equipe "&amp;$K1773,INDEX(Pessoas!$A$5:$A$44,_xludf.aggregate(15,6,(ROW(Pessoas!$A$5:$A$44)-4)/((Pessoas!$C$5:$C$44=$K1773)*(Pessoas!$G$5:$G$44="Ativo")),MOD(ROW()-6,MAX(1,COUNTIFS(Pessoas!$C$5:$C$44,$K1773,Pessoas!$G$5:$G$44,"Ativo")))+1)))</f>
        <v>Equipe Oficina Mecânica Central-Taisa</v>
      </c>
    </row>
    <row r="1774" spans="1:12" ht="15" customHeight="1" x14ac:dyDescent="0.4">
      <c r="A1774" s="25">
        <v>46541</v>
      </c>
      <c r="B1774" s="16">
        <v>40</v>
      </c>
      <c r="C1774" s="16">
        <v>4</v>
      </c>
      <c r="D1774" s="16">
        <v>6</v>
      </c>
      <c r="E1774" s="16" t="s">
        <v>1371</v>
      </c>
      <c r="F1774" s="16" t="s">
        <v>1185</v>
      </c>
      <c r="G1774" s="16" t="s">
        <v>158</v>
      </c>
      <c r="H1774" s="16" t="s">
        <v>141</v>
      </c>
      <c r="I1774" s="22" t="s">
        <v>856</v>
      </c>
      <c r="J1774" s="16">
        <f>IFERROR(INDEX(Aux_HH!$J$4:$J$31,MATCH($H1774&amp;"|"&amp;$I1774,Aux_HH!$A$4:$A$31,0)),"")</f>
        <v>2</v>
      </c>
      <c r="K1774" s="16" t="s">
        <v>76</v>
      </c>
      <c r="L1774" s="16" t="str">
        <f>IF(COUNTIFS(Pessoas!$C$5:$C$44,$K1774,Pessoas!$G$5:$G$44,"Ativo")=0,"Equipe "&amp;$K1774,INDEX(Pessoas!$A$5:$A$44,_xludf.aggregate(15,6,(ROW(Pessoas!$A$5:$A$44)-4)/((Pessoas!$C$5:$C$44=$K1774)*(Pessoas!$G$5:$G$44="Ativo")),MOD(ROW()-6,MAX(1,COUNTIFS(Pessoas!$C$5:$C$44,$K1774,Pessoas!$G$5:$G$44,"Ativo")))+1)))</f>
        <v>Equipe Oficina Mecânica Central-Taisa</v>
      </c>
    </row>
    <row r="1775" spans="1:12" ht="15" customHeight="1" x14ac:dyDescent="0.4">
      <c r="A1775" s="25">
        <v>46541</v>
      </c>
      <c r="B1775" s="16">
        <v>40</v>
      </c>
      <c r="C1775" s="16">
        <v>4</v>
      </c>
      <c r="D1775" s="16">
        <v>6</v>
      </c>
      <c r="E1775" s="16" t="s">
        <v>1371</v>
      </c>
      <c r="F1775" s="16" t="s">
        <v>1186</v>
      </c>
      <c r="G1775" s="16" t="s">
        <v>158</v>
      </c>
      <c r="H1775" s="16" t="s">
        <v>141</v>
      </c>
      <c r="I1775" s="22" t="s">
        <v>856</v>
      </c>
      <c r="J1775" s="16">
        <f>IFERROR(INDEX(Aux_HH!$J$4:$J$31,MATCH($H1775&amp;"|"&amp;$I1775,Aux_HH!$A$4:$A$31,0)),"")</f>
        <v>2</v>
      </c>
      <c r="K1775" s="16" t="s">
        <v>76</v>
      </c>
      <c r="L1775" s="16" t="str">
        <f>IF(COUNTIFS(Pessoas!$C$5:$C$44,$K1775,Pessoas!$G$5:$G$44,"Ativo")=0,"Equipe "&amp;$K1775,INDEX(Pessoas!$A$5:$A$44,_xludf.aggregate(15,6,(ROW(Pessoas!$A$5:$A$44)-4)/((Pessoas!$C$5:$C$44=$K1775)*(Pessoas!$G$5:$G$44="Ativo")),MOD(ROW()-6,MAX(1,COUNTIFS(Pessoas!$C$5:$C$44,$K1775,Pessoas!$G$5:$G$44,"Ativo")))+1)))</f>
        <v>Equipe Oficina Mecânica Central-Taisa</v>
      </c>
    </row>
    <row r="1776" spans="1:12" ht="15" customHeight="1" x14ac:dyDescent="0.4">
      <c r="A1776" s="25">
        <v>46541</v>
      </c>
      <c r="B1776" s="16">
        <v>40</v>
      </c>
      <c r="C1776" s="16">
        <v>4</v>
      </c>
      <c r="D1776" s="16">
        <v>6</v>
      </c>
      <c r="E1776" s="16" t="s">
        <v>1371</v>
      </c>
      <c r="F1776" s="16" t="s">
        <v>1187</v>
      </c>
      <c r="G1776" s="16" t="s">
        <v>158</v>
      </c>
      <c r="H1776" s="16" t="s">
        <v>141</v>
      </c>
      <c r="I1776" s="22" t="s">
        <v>856</v>
      </c>
      <c r="J1776" s="16">
        <f>IFERROR(INDEX(Aux_HH!$J$4:$J$31,MATCH($H1776&amp;"|"&amp;$I1776,Aux_HH!$A$4:$A$31,0)),"")</f>
        <v>2</v>
      </c>
      <c r="K1776" s="16" t="s">
        <v>76</v>
      </c>
      <c r="L1776" s="16" t="str">
        <f>IF(COUNTIFS(Pessoas!$C$5:$C$44,$K1776,Pessoas!$G$5:$G$44,"Ativo")=0,"Equipe "&amp;$K1776,INDEX(Pessoas!$A$5:$A$44,_xludf.aggregate(15,6,(ROW(Pessoas!$A$5:$A$44)-4)/((Pessoas!$C$5:$C$44=$K1776)*(Pessoas!$G$5:$G$44="Ativo")),MOD(ROW()-6,MAX(1,COUNTIFS(Pessoas!$C$5:$C$44,$K1776,Pessoas!$G$5:$G$44,"Ativo")))+1)))</f>
        <v>Equipe Oficina Mecânica Central-Taisa</v>
      </c>
    </row>
    <row r="1777" spans="1:12" ht="15" customHeight="1" x14ac:dyDescent="0.4">
      <c r="A1777" s="25">
        <v>46541</v>
      </c>
      <c r="B1777" s="16">
        <v>40</v>
      </c>
      <c r="C1777" s="16">
        <v>4</v>
      </c>
      <c r="D1777" s="16">
        <v>6</v>
      </c>
      <c r="E1777" s="16" t="s">
        <v>1371</v>
      </c>
      <c r="F1777" s="16" t="s">
        <v>1188</v>
      </c>
      <c r="G1777" s="16" t="s">
        <v>158</v>
      </c>
      <c r="H1777" s="16" t="s">
        <v>141</v>
      </c>
      <c r="I1777" s="22" t="s">
        <v>856</v>
      </c>
      <c r="J1777" s="16">
        <f>IFERROR(INDEX(Aux_HH!$J$4:$J$31,MATCH($H1777&amp;"|"&amp;$I1777,Aux_HH!$A$4:$A$31,0)),"")</f>
        <v>2</v>
      </c>
      <c r="K1777" s="16" t="s">
        <v>76</v>
      </c>
      <c r="L1777" s="16" t="str">
        <f>IF(COUNTIFS(Pessoas!$C$5:$C$44,$K1777,Pessoas!$G$5:$G$44,"Ativo")=0,"Equipe "&amp;$K1777,INDEX(Pessoas!$A$5:$A$44,_xludf.aggregate(15,6,(ROW(Pessoas!$A$5:$A$44)-4)/((Pessoas!$C$5:$C$44=$K1777)*(Pessoas!$G$5:$G$44="Ativo")),MOD(ROW()-6,MAX(1,COUNTIFS(Pessoas!$C$5:$C$44,$K1777,Pessoas!$G$5:$G$44,"Ativo")))+1)))</f>
        <v>Equipe Oficina Mecânica Central-Taisa</v>
      </c>
    </row>
    <row r="1778" spans="1:12" ht="15" customHeight="1" x14ac:dyDescent="0.4">
      <c r="A1778" s="25">
        <v>46541</v>
      </c>
      <c r="B1778" s="16">
        <v>40</v>
      </c>
      <c r="C1778" s="16">
        <v>4</v>
      </c>
      <c r="D1778" s="16">
        <v>6</v>
      </c>
      <c r="E1778" s="16" t="s">
        <v>1371</v>
      </c>
      <c r="F1778" s="16" t="s">
        <v>1189</v>
      </c>
      <c r="G1778" s="16" t="s">
        <v>158</v>
      </c>
      <c r="H1778" s="16" t="s">
        <v>141</v>
      </c>
      <c r="I1778" s="22" t="s">
        <v>856</v>
      </c>
      <c r="J1778" s="16">
        <f>IFERROR(INDEX(Aux_HH!$J$4:$J$31,MATCH($H1778&amp;"|"&amp;$I1778,Aux_HH!$A$4:$A$31,0)),"")</f>
        <v>2</v>
      </c>
      <c r="K1778" s="16" t="s">
        <v>76</v>
      </c>
      <c r="L1778" s="16" t="str">
        <f>IF(COUNTIFS(Pessoas!$C$5:$C$44,$K1778,Pessoas!$G$5:$G$44,"Ativo")=0,"Equipe "&amp;$K1778,INDEX(Pessoas!$A$5:$A$44,_xludf.aggregate(15,6,(ROW(Pessoas!$A$5:$A$44)-4)/((Pessoas!$C$5:$C$44=$K1778)*(Pessoas!$G$5:$G$44="Ativo")),MOD(ROW()-6,MAX(1,COUNTIFS(Pessoas!$C$5:$C$44,$K1778,Pessoas!$G$5:$G$44,"Ativo")))+1)))</f>
        <v>Equipe Oficina Mecânica Central-Taisa</v>
      </c>
    </row>
    <row r="1779" spans="1:12" ht="15" customHeight="1" x14ac:dyDescent="0.4">
      <c r="A1779" s="25">
        <v>46541</v>
      </c>
      <c r="B1779" s="16">
        <v>40</v>
      </c>
      <c r="C1779" s="16">
        <v>4</v>
      </c>
      <c r="D1779" s="16">
        <v>6</v>
      </c>
      <c r="E1779" s="16" t="s">
        <v>1371</v>
      </c>
      <c r="F1779" s="16" t="s">
        <v>1190</v>
      </c>
      <c r="G1779" s="16" t="s">
        <v>158</v>
      </c>
      <c r="H1779" s="16" t="s">
        <v>141</v>
      </c>
      <c r="I1779" s="22" t="s">
        <v>856</v>
      </c>
      <c r="J1779" s="16">
        <f>IFERROR(INDEX(Aux_HH!$J$4:$J$31,MATCH($H1779&amp;"|"&amp;$I1779,Aux_HH!$A$4:$A$31,0)),"")</f>
        <v>2</v>
      </c>
      <c r="K1779" s="16" t="s">
        <v>76</v>
      </c>
      <c r="L1779" s="16" t="str">
        <f>IF(COUNTIFS(Pessoas!$C$5:$C$44,$K1779,Pessoas!$G$5:$G$44,"Ativo")=0,"Equipe "&amp;$K1779,INDEX(Pessoas!$A$5:$A$44,_xludf.aggregate(15,6,(ROW(Pessoas!$A$5:$A$44)-4)/((Pessoas!$C$5:$C$44=$K1779)*(Pessoas!$G$5:$G$44="Ativo")),MOD(ROW()-6,MAX(1,COUNTIFS(Pessoas!$C$5:$C$44,$K1779,Pessoas!$G$5:$G$44,"Ativo")))+1)))</f>
        <v>Equipe Oficina Mecânica Central-Taisa</v>
      </c>
    </row>
    <row r="1780" spans="1:12" ht="15" customHeight="1" x14ac:dyDescent="0.4">
      <c r="A1780" s="25">
        <v>46541</v>
      </c>
      <c r="B1780" s="16">
        <v>40</v>
      </c>
      <c r="C1780" s="16">
        <v>4</v>
      </c>
      <c r="D1780" s="16">
        <v>6</v>
      </c>
      <c r="E1780" s="16" t="s">
        <v>1371</v>
      </c>
      <c r="F1780" s="16" t="s">
        <v>1191</v>
      </c>
      <c r="G1780" s="16" t="s">
        <v>158</v>
      </c>
      <c r="H1780" s="16" t="s">
        <v>141</v>
      </c>
      <c r="I1780" s="22" t="s">
        <v>856</v>
      </c>
      <c r="J1780" s="16">
        <f>IFERROR(INDEX(Aux_HH!$J$4:$J$31,MATCH($H1780&amp;"|"&amp;$I1780,Aux_HH!$A$4:$A$31,0)),"")</f>
        <v>2</v>
      </c>
      <c r="K1780" s="16" t="s">
        <v>76</v>
      </c>
      <c r="L1780" s="16" t="str">
        <f>IF(COUNTIFS(Pessoas!$C$5:$C$44,$K1780,Pessoas!$G$5:$G$44,"Ativo")=0,"Equipe "&amp;$K1780,INDEX(Pessoas!$A$5:$A$44,_xludf.aggregate(15,6,(ROW(Pessoas!$A$5:$A$44)-4)/((Pessoas!$C$5:$C$44=$K1780)*(Pessoas!$G$5:$G$44="Ativo")),MOD(ROW()-6,MAX(1,COUNTIFS(Pessoas!$C$5:$C$44,$K1780,Pessoas!$G$5:$G$44,"Ativo")))+1)))</f>
        <v>Equipe Oficina Mecânica Central-Taisa</v>
      </c>
    </row>
    <row r="1781" spans="1:12" ht="15" customHeight="1" x14ac:dyDescent="0.4">
      <c r="A1781" s="25">
        <v>46541</v>
      </c>
      <c r="B1781" s="16">
        <v>40</v>
      </c>
      <c r="C1781" s="16">
        <v>4</v>
      </c>
      <c r="D1781" s="16">
        <v>6</v>
      </c>
      <c r="E1781" s="16" t="s">
        <v>1371</v>
      </c>
      <c r="F1781" s="16" t="s">
        <v>1192</v>
      </c>
      <c r="G1781" s="16" t="s">
        <v>158</v>
      </c>
      <c r="H1781" s="16" t="s">
        <v>141</v>
      </c>
      <c r="I1781" s="22" t="s">
        <v>856</v>
      </c>
      <c r="J1781" s="16">
        <f>IFERROR(INDEX(Aux_HH!$J$4:$J$31,MATCH($H1781&amp;"|"&amp;$I1781,Aux_HH!$A$4:$A$31,0)),"")</f>
        <v>2</v>
      </c>
      <c r="K1781" s="16" t="s">
        <v>76</v>
      </c>
      <c r="L1781" s="16" t="str">
        <f>IF(COUNTIFS(Pessoas!$C$5:$C$44,$K1781,Pessoas!$G$5:$G$44,"Ativo")=0,"Equipe "&amp;$K1781,INDEX(Pessoas!$A$5:$A$44,_xludf.aggregate(15,6,(ROW(Pessoas!$A$5:$A$44)-4)/((Pessoas!$C$5:$C$44=$K1781)*(Pessoas!$G$5:$G$44="Ativo")),MOD(ROW()-6,MAX(1,COUNTIFS(Pessoas!$C$5:$C$44,$K1781,Pessoas!$G$5:$G$44,"Ativo")))+1)))</f>
        <v>Equipe Oficina Mecânica Central-Taisa</v>
      </c>
    </row>
    <row r="1782" spans="1:12" ht="15" customHeight="1" x14ac:dyDescent="0.4">
      <c r="A1782" s="25">
        <v>46541</v>
      </c>
      <c r="B1782" s="16">
        <v>40</v>
      </c>
      <c r="C1782" s="16">
        <v>4</v>
      </c>
      <c r="D1782" s="16">
        <v>6</v>
      </c>
      <c r="E1782" s="16" t="s">
        <v>1371</v>
      </c>
      <c r="F1782" s="16" t="s">
        <v>1193</v>
      </c>
      <c r="G1782" s="16" t="s">
        <v>158</v>
      </c>
      <c r="H1782" s="16" t="s">
        <v>141</v>
      </c>
      <c r="I1782" s="22" t="s">
        <v>856</v>
      </c>
      <c r="J1782" s="16">
        <f>IFERROR(INDEX(Aux_HH!$J$4:$J$31,MATCH($H1782&amp;"|"&amp;$I1782,Aux_HH!$A$4:$A$31,0)),"")</f>
        <v>2</v>
      </c>
      <c r="K1782" s="16" t="s">
        <v>76</v>
      </c>
      <c r="L1782" s="16" t="str">
        <f>IF(COUNTIFS(Pessoas!$C$5:$C$44,$K1782,Pessoas!$G$5:$G$44,"Ativo")=0,"Equipe "&amp;$K1782,INDEX(Pessoas!$A$5:$A$44,_xludf.aggregate(15,6,(ROW(Pessoas!$A$5:$A$44)-4)/((Pessoas!$C$5:$C$44=$K1782)*(Pessoas!$G$5:$G$44="Ativo")),MOD(ROW()-6,MAX(1,COUNTIFS(Pessoas!$C$5:$C$44,$K1782,Pessoas!$G$5:$G$44,"Ativo")))+1)))</f>
        <v>Equipe Oficina Mecânica Central-Taisa</v>
      </c>
    </row>
    <row r="1783" spans="1:12" ht="15" customHeight="1" x14ac:dyDescent="0.4">
      <c r="A1783" s="25">
        <v>46541</v>
      </c>
      <c r="B1783" s="16">
        <v>40</v>
      </c>
      <c r="C1783" s="16">
        <v>4</v>
      </c>
      <c r="D1783" s="16">
        <v>6</v>
      </c>
      <c r="E1783" s="16" t="s">
        <v>1371</v>
      </c>
      <c r="F1783" s="16" t="s">
        <v>1194</v>
      </c>
      <c r="G1783" s="16" t="s">
        <v>184</v>
      </c>
      <c r="H1783" s="16" t="s">
        <v>141</v>
      </c>
      <c r="I1783" s="22" t="s">
        <v>856</v>
      </c>
      <c r="J1783" s="16">
        <f>IFERROR(INDEX(Aux_HH!$J$4:$J$31,MATCH($H1783&amp;"|"&amp;$I1783,Aux_HH!$A$4:$A$31,0)),"")</f>
        <v>2</v>
      </c>
      <c r="K1783" s="16" t="s">
        <v>76</v>
      </c>
      <c r="L1783" s="16" t="str">
        <f>IF(COUNTIFS(Pessoas!$C$5:$C$44,$K1783,Pessoas!$G$5:$G$44,"Ativo")=0,"Equipe "&amp;$K1783,INDEX(Pessoas!$A$5:$A$44,_xludf.aggregate(15,6,(ROW(Pessoas!$A$5:$A$44)-4)/((Pessoas!$C$5:$C$44=$K1783)*(Pessoas!$G$5:$G$44="Ativo")),MOD(ROW()-6,MAX(1,COUNTIFS(Pessoas!$C$5:$C$44,$K1783,Pessoas!$G$5:$G$44,"Ativo")))+1)))</f>
        <v>Equipe Oficina Mecânica Central-Taisa</v>
      </c>
    </row>
    <row r="1784" spans="1:12" ht="15" customHeight="1" x14ac:dyDescent="0.4">
      <c r="A1784" s="25">
        <v>46541</v>
      </c>
      <c r="B1784" s="16">
        <v>40</v>
      </c>
      <c r="C1784" s="16">
        <v>4</v>
      </c>
      <c r="D1784" s="16">
        <v>6</v>
      </c>
      <c r="E1784" s="16" t="s">
        <v>1371</v>
      </c>
      <c r="F1784" s="16" t="s">
        <v>1195</v>
      </c>
      <c r="G1784" s="16" t="s">
        <v>184</v>
      </c>
      <c r="H1784" s="16" t="s">
        <v>141</v>
      </c>
      <c r="I1784" s="22" t="s">
        <v>856</v>
      </c>
      <c r="J1784" s="16">
        <f>IFERROR(INDEX(Aux_HH!$J$4:$J$31,MATCH($H1784&amp;"|"&amp;$I1784,Aux_HH!$A$4:$A$31,0)),"")</f>
        <v>2</v>
      </c>
      <c r="K1784" s="16" t="s">
        <v>76</v>
      </c>
      <c r="L1784" s="16" t="str">
        <f>IF(COUNTIFS(Pessoas!$C$5:$C$44,$K1784,Pessoas!$G$5:$G$44,"Ativo")=0,"Equipe "&amp;$K1784,INDEX(Pessoas!$A$5:$A$44,_xludf.aggregate(15,6,(ROW(Pessoas!$A$5:$A$44)-4)/((Pessoas!$C$5:$C$44=$K1784)*(Pessoas!$G$5:$G$44="Ativo")),MOD(ROW()-6,MAX(1,COUNTIFS(Pessoas!$C$5:$C$44,$K1784,Pessoas!$G$5:$G$44,"Ativo")))+1)))</f>
        <v>Equipe Oficina Mecânica Central-Taisa</v>
      </c>
    </row>
    <row r="1785" spans="1:12" ht="15" customHeight="1" x14ac:dyDescent="0.4">
      <c r="A1785" s="25">
        <v>46541</v>
      </c>
      <c r="B1785" s="16">
        <v>40</v>
      </c>
      <c r="C1785" s="16">
        <v>4</v>
      </c>
      <c r="D1785" s="16">
        <v>6</v>
      </c>
      <c r="E1785" s="16" t="s">
        <v>1371</v>
      </c>
      <c r="F1785" s="16" t="s">
        <v>1196</v>
      </c>
      <c r="G1785" s="16" t="s">
        <v>184</v>
      </c>
      <c r="H1785" s="16" t="s">
        <v>141</v>
      </c>
      <c r="I1785" s="22" t="s">
        <v>856</v>
      </c>
      <c r="J1785" s="16">
        <f>IFERROR(INDEX(Aux_HH!$J$4:$J$31,MATCH($H1785&amp;"|"&amp;$I1785,Aux_HH!$A$4:$A$31,0)),"")</f>
        <v>2</v>
      </c>
      <c r="K1785" s="16" t="s">
        <v>76</v>
      </c>
      <c r="L1785" s="16" t="str">
        <f>IF(COUNTIFS(Pessoas!$C$5:$C$44,$K1785,Pessoas!$G$5:$G$44,"Ativo")=0,"Equipe "&amp;$K1785,INDEX(Pessoas!$A$5:$A$44,_xludf.aggregate(15,6,(ROW(Pessoas!$A$5:$A$44)-4)/((Pessoas!$C$5:$C$44=$K1785)*(Pessoas!$G$5:$G$44="Ativo")),MOD(ROW()-6,MAX(1,COUNTIFS(Pessoas!$C$5:$C$44,$K1785,Pessoas!$G$5:$G$44,"Ativo")))+1)))</f>
        <v>Equipe Oficina Mecânica Central-Taisa</v>
      </c>
    </row>
    <row r="1786" spans="1:12" ht="15" customHeight="1" x14ac:dyDescent="0.4">
      <c r="A1786" s="25">
        <v>46541</v>
      </c>
      <c r="B1786" s="16">
        <v>40</v>
      </c>
      <c r="C1786" s="16">
        <v>4</v>
      </c>
      <c r="D1786" s="16">
        <v>6</v>
      </c>
      <c r="E1786" s="16" t="s">
        <v>1371</v>
      </c>
      <c r="F1786" s="16" t="s">
        <v>1197</v>
      </c>
      <c r="G1786" s="16" t="s">
        <v>184</v>
      </c>
      <c r="H1786" s="16" t="s">
        <v>141</v>
      </c>
      <c r="I1786" s="22" t="s">
        <v>856</v>
      </c>
      <c r="J1786" s="16">
        <f>IFERROR(INDEX(Aux_HH!$J$4:$J$31,MATCH($H1786&amp;"|"&amp;$I1786,Aux_HH!$A$4:$A$31,0)),"")</f>
        <v>2</v>
      </c>
      <c r="K1786" s="16" t="s">
        <v>76</v>
      </c>
      <c r="L1786" s="16" t="str">
        <f>IF(COUNTIFS(Pessoas!$C$5:$C$44,$K1786,Pessoas!$G$5:$G$44,"Ativo")=0,"Equipe "&amp;$K1786,INDEX(Pessoas!$A$5:$A$44,_xludf.aggregate(15,6,(ROW(Pessoas!$A$5:$A$44)-4)/((Pessoas!$C$5:$C$44=$K1786)*(Pessoas!$G$5:$G$44="Ativo")),MOD(ROW()-6,MAX(1,COUNTIFS(Pessoas!$C$5:$C$44,$K1786,Pessoas!$G$5:$G$44,"Ativo")))+1)))</f>
        <v>Equipe Oficina Mecânica Central-Taisa</v>
      </c>
    </row>
    <row r="1787" spans="1:12" ht="15" customHeight="1" x14ac:dyDescent="0.4">
      <c r="A1787" s="25">
        <v>46541</v>
      </c>
      <c r="B1787" s="16">
        <v>40</v>
      </c>
      <c r="C1787" s="16">
        <v>4</v>
      </c>
      <c r="D1787" s="16">
        <v>6</v>
      </c>
      <c r="E1787" s="16" t="s">
        <v>1371</v>
      </c>
      <c r="F1787" s="16" t="s">
        <v>1198</v>
      </c>
      <c r="G1787" s="16" t="s">
        <v>184</v>
      </c>
      <c r="H1787" s="16" t="s">
        <v>141</v>
      </c>
      <c r="I1787" s="22" t="s">
        <v>856</v>
      </c>
      <c r="J1787" s="16">
        <f>IFERROR(INDEX(Aux_HH!$J$4:$J$31,MATCH($H1787&amp;"|"&amp;$I1787,Aux_HH!$A$4:$A$31,0)),"")</f>
        <v>2</v>
      </c>
      <c r="K1787" s="16" t="s">
        <v>76</v>
      </c>
      <c r="L1787" s="16" t="str">
        <f>IF(COUNTIFS(Pessoas!$C$5:$C$44,$K1787,Pessoas!$G$5:$G$44,"Ativo")=0,"Equipe "&amp;$K1787,INDEX(Pessoas!$A$5:$A$44,_xludf.aggregate(15,6,(ROW(Pessoas!$A$5:$A$44)-4)/((Pessoas!$C$5:$C$44=$K1787)*(Pessoas!$G$5:$G$44="Ativo")),MOD(ROW()-6,MAX(1,COUNTIFS(Pessoas!$C$5:$C$44,$K1787,Pessoas!$G$5:$G$44,"Ativo")))+1)))</f>
        <v>Equipe Oficina Mecânica Central-Taisa</v>
      </c>
    </row>
    <row r="1788" spans="1:12" ht="15" customHeight="1" x14ac:dyDescent="0.4">
      <c r="A1788" s="25">
        <v>46541</v>
      </c>
      <c r="B1788" s="16">
        <v>40</v>
      </c>
      <c r="C1788" s="16">
        <v>4</v>
      </c>
      <c r="D1788" s="16">
        <v>6</v>
      </c>
      <c r="E1788" s="16" t="s">
        <v>1371</v>
      </c>
      <c r="F1788" s="16" t="s">
        <v>1199</v>
      </c>
      <c r="G1788" s="16" t="s">
        <v>184</v>
      </c>
      <c r="H1788" s="16" t="s">
        <v>141</v>
      </c>
      <c r="I1788" s="22" t="s">
        <v>856</v>
      </c>
      <c r="J1788" s="16">
        <f>IFERROR(INDEX(Aux_HH!$J$4:$J$31,MATCH($H1788&amp;"|"&amp;$I1788,Aux_HH!$A$4:$A$31,0)),"")</f>
        <v>2</v>
      </c>
      <c r="K1788" s="16" t="s">
        <v>76</v>
      </c>
      <c r="L1788" s="16" t="str">
        <f>IF(COUNTIFS(Pessoas!$C$5:$C$44,$K1788,Pessoas!$G$5:$G$44,"Ativo")=0,"Equipe "&amp;$K1788,INDEX(Pessoas!$A$5:$A$44,_xludf.aggregate(15,6,(ROW(Pessoas!$A$5:$A$44)-4)/((Pessoas!$C$5:$C$44=$K1788)*(Pessoas!$G$5:$G$44="Ativo")),MOD(ROW()-6,MAX(1,COUNTIFS(Pessoas!$C$5:$C$44,$K1788,Pessoas!$G$5:$G$44,"Ativo")))+1)))</f>
        <v>Equipe Oficina Mecânica Central-Taisa</v>
      </c>
    </row>
    <row r="1789" spans="1:12" ht="15" customHeight="1" x14ac:dyDescent="0.4">
      <c r="A1789" s="25">
        <v>46541</v>
      </c>
      <c r="B1789" s="16">
        <v>40</v>
      </c>
      <c r="C1789" s="16">
        <v>4</v>
      </c>
      <c r="D1789" s="16">
        <v>6</v>
      </c>
      <c r="E1789" s="16" t="s">
        <v>1371</v>
      </c>
      <c r="F1789" s="16" t="s">
        <v>1200</v>
      </c>
      <c r="G1789" s="16" t="s">
        <v>184</v>
      </c>
      <c r="H1789" s="16" t="s">
        <v>141</v>
      </c>
      <c r="I1789" s="22" t="s">
        <v>856</v>
      </c>
      <c r="J1789" s="16">
        <f>IFERROR(INDEX(Aux_HH!$J$4:$J$31,MATCH($H1789&amp;"|"&amp;$I1789,Aux_HH!$A$4:$A$31,0)),"")</f>
        <v>2</v>
      </c>
      <c r="K1789" s="16" t="s">
        <v>76</v>
      </c>
      <c r="L1789" s="16" t="str">
        <f>IF(COUNTIFS(Pessoas!$C$5:$C$44,$K1789,Pessoas!$G$5:$G$44,"Ativo")=0,"Equipe "&amp;$K1789,INDEX(Pessoas!$A$5:$A$44,_xludf.aggregate(15,6,(ROW(Pessoas!$A$5:$A$44)-4)/((Pessoas!$C$5:$C$44=$K1789)*(Pessoas!$G$5:$G$44="Ativo")),MOD(ROW()-6,MAX(1,COUNTIFS(Pessoas!$C$5:$C$44,$K1789,Pessoas!$G$5:$G$44,"Ativo")))+1)))</f>
        <v>Equipe Oficina Mecânica Central-Taisa</v>
      </c>
    </row>
    <row r="1790" spans="1:12" ht="15" customHeight="1" x14ac:dyDescent="0.4">
      <c r="A1790" s="25">
        <v>46541</v>
      </c>
      <c r="B1790" s="16">
        <v>40</v>
      </c>
      <c r="C1790" s="16">
        <v>4</v>
      </c>
      <c r="D1790" s="16">
        <v>6</v>
      </c>
      <c r="E1790" s="16" t="s">
        <v>1371</v>
      </c>
      <c r="F1790" s="16" t="s">
        <v>1201</v>
      </c>
      <c r="G1790" s="16" t="s">
        <v>184</v>
      </c>
      <c r="H1790" s="16" t="s">
        <v>141</v>
      </c>
      <c r="I1790" s="22" t="s">
        <v>856</v>
      </c>
      <c r="J1790" s="16">
        <f>IFERROR(INDEX(Aux_HH!$J$4:$J$31,MATCH($H1790&amp;"|"&amp;$I1790,Aux_HH!$A$4:$A$31,0)),"")</f>
        <v>2</v>
      </c>
      <c r="K1790" s="16" t="s">
        <v>76</v>
      </c>
      <c r="L1790" s="16" t="str">
        <f>IF(COUNTIFS(Pessoas!$C$5:$C$44,$K1790,Pessoas!$G$5:$G$44,"Ativo")=0,"Equipe "&amp;$K1790,INDEX(Pessoas!$A$5:$A$44,_xludf.aggregate(15,6,(ROW(Pessoas!$A$5:$A$44)-4)/((Pessoas!$C$5:$C$44=$K1790)*(Pessoas!$G$5:$G$44="Ativo")),MOD(ROW()-6,MAX(1,COUNTIFS(Pessoas!$C$5:$C$44,$K1790,Pessoas!$G$5:$G$44,"Ativo")))+1)))</f>
        <v>Equipe Oficina Mecânica Central-Taisa</v>
      </c>
    </row>
    <row r="1791" spans="1:12" ht="15" customHeight="1" x14ac:dyDescent="0.4">
      <c r="A1791" s="25">
        <v>46541</v>
      </c>
      <c r="B1791" s="16">
        <v>40</v>
      </c>
      <c r="C1791" s="16">
        <v>4</v>
      </c>
      <c r="D1791" s="16">
        <v>6</v>
      </c>
      <c r="E1791" s="16" t="s">
        <v>1371</v>
      </c>
      <c r="F1791" s="16" t="s">
        <v>1202</v>
      </c>
      <c r="G1791" s="16" t="s">
        <v>184</v>
      </c>
      <c r="H1791" s="16" t="s">
        <v>141</v>
      </c>
      <c r="I1791" s="22" t="s">
        <v>856</v>
      </c>
      <c r="J1791" s="16">
        <f>IFERROR(INDEX(Aux_HH!$J$4:$J$31,MATCH($H1791&amp;"|"&amp;$I1791,Aux_HH!$A$4:$A$31,0)),"")</f>
        <v>2</v>
      </c>
      <c r="K1791" s="16" t="s">
        <v>76</v>
      </c>
      <c r="L1791" s="16" t="str">
        <f>IF(COUNTIFS(Pessoas!$C$5:$C$44,$K1791,Pessoas!$G$5:$G$44,"Ativo")=0,"Equipe "&amp;$K1791,INDEX(Pessoas!$A$5:$A$44,_xludf.aggregate(15,6,(ROW(Pessoas!$A$5:$A$44)-4)/((Pessoas!$C$5:$C$44=$K1791)*(Pessoas!$G$5:$G$44="Ativo")),MOD(ROW()-6,MAX(1,COUNTIFS(Pessoas!$C$5:$C$44,$K1791,Pessoas!$G$5:$G$44,"Ativo")))+1)))</f>
        <v>Equipe Oficina Mecânica Central-Taisa</v>
      </c>
    </row>
    <row r="1792" spans="1:12" ht="15" customHeight="1" x14ac:dyDescent="0.4">
      <c r="A1792" s="25">
        <v>46541</v>
      </c>
      <c r="B1792" s="16">
        <v>40</v>
      </c>
      <c r="C1792" s="16">
        <v>4</v>
      </c>
      <c r="D1792" s="16">
        <v>6</v>
      </c>
      <c r="E1792" s="16" t="s">
        <v>1371</v>
      </c>
      <c r="F1792" s="16" t="s">
        <v>1203</v>
      </c>
      <c r="G1792" s="16" t="s">
        <v>184</v>
      </c>
      <c r="H1792" s="16" t="s">
        <v>141</v>
      </c>
      <c r="I1792" s="22" t="s">
        <v>856</v>
      </c>
      <c r="J1792" s="16">
        <f>IFERROR(INDEX(Aux_HH!$J$4:$J$31,MATCH($H1792&amp;"|"&amp;$I1792,Aux_HH!$A$4:$A$31,0)),"")</f>
        <v>2</v>
      </c>
      <c r="K1792" s="16" t="s">
        <v>76</v>
      </c>
      <c r="L1792" s="16" t="str">
        <f>IF(COUNTIFS(Pessoas!$C$5:$C$44,$K1792,Pessoas!$G$5:$G$44,"Ativo")=0,"Equipe "&amp;$K1792,INDEX(Pessoas!$A$5:$A$44,_xludf.aggregate(15,6,(ROW(Pessoas!$A$5:$A$44)-4)/((Pessoas!$C$5:$C$44=$K1792)*(Pessoas!$G$5:$G$44="Ativo")),MOD(ROW()-6,MAX(1,COUNTIFS(Pessoas!$C$5:$C$44,$K1792,Pessoas!$G$5:$G$44,"Ativo")))+1)))</f>
        <v>Equipe Oficina Mecânica Central-Taisa</v>
      </c>
    </row>
    <row r="1793" spans="1:12" ht="15" customHeight="1" x14ac:dyDescent="0.4">
      <c r="A1793" s="25">
        <v>46541</v>
      </c>
      <c r="B1793" s="16">
        <v>40</v>
      </c>
      <c r="C1793" s="16">
        <v>4</v>
      </c>
      <c r="D1793" s="16">
        <v>6</v>
      </c>
      <c r="E1793" s="16" t="s">
        <v>1371</v>
      </c>
      <c r="F1793" s="16" t="s">
        <v>1204</v>
      </c>
      <c r="G1793" s="16" t="s">
        <v>184</v>
      </c>
      <c r="H1793" s="16" t="s">
        <v>141</v>
      </c>
      <c r="I1793" s="22" t="s">
        <v>856</v>
      </c>
      <c r="J1793" s="16">
        <f>IFERROR(INDEX(Aux_HH!$J$4:$J$31,MATCH($H1793&amp;"|"&amp;$I1793,Aux_HH!$A$4:$A$31,0)),"")</f>
        <v>2</v>
      </c>
      <c r="K1793" s="16" t="s">
        <v>76</v>
      </c>
      <c r="L1793" s="16" t="str">
        <f>IF(COUNTIFS(Pessoas!$C$5:$C$44,$K1793,Pessoas!$G$5:$G$44,"Ativo")=0,"Equipe "&amp;$K1793,INDEX(Pessoas!$A$5:$A$44,_xludf.aggregate(15,6,(ROW(Pessoas!$A$5:$A$44)-4)/((Pessoas!$C$5:$C$44=$K1793)*(Pessoas!$G$5:$G$44="Ativo")),MOD(ROW()-6,MAX(1,COUNTIFS(Pessoas!$C$5:$C$44,$K1793,Pessoas!$G$5:$G$44,"Ativo")))+1)))</f>
        <v>Equipe Oficina Mecânica Central-Taisa</v>
      </c>
    </row>
    <row r="1794" spans="1:12" ht="15" customHeight="1" x14ac:dyDescent="0.4">
      <c r="A1794" s="25">
        <v>46541</v>
      </c>
      <c r="B1794" s="16">
        <v>40</v>
      </c>
      <c r="C1794" s="16">
        <v>4</v>
      </c>
      <c r="D1794" s="16">
        <v>6</v>
      </c>
      <c r="E1794" s="16" t="s">
        <v>1371</v>
      </c>
      <c r="F1794" s="16" t="s">
        <v>1004</v>
      </c>
      <c r="G1794" s="16" t="s">
        <v>688</v>
      </c>
      <c r="H1794" s="16" t="s">
        <v>145</v>
      </c>
      <c r="I1794" s="22" t="s">
        <v>861</v>
      </c>
      <c r="J1794" s="16">
        <f>IFERROR(INDEX(Aux_HH!$J$4:$J$31,MATCH($H1794&amp;"|"&amp;$I1794,Aux_HH!$A$4:$A$31,0)),"")</f>
        <v>4</v>
      </c>
      <c r="K1794" s="16" t="s">
        <v>76</v>
      </c>
      <c r="L1794" s="16" t="str">
        <f>IF(COUNTIFS(Pessoas!$C$5:$C$44,$K1794,Pessoas!$G$5:$G$44,"Ativo")=0,"Equipe "&amp;$K1794,INDEX(Pessoas!$A$5:$A$44,_xludf.aggregate(15,6,(ROW(Pessoas!$A$5:$A$44)-4)/((Pessoas!$C$5:$C$44=$K1794)*(Pessoas!$G$5:$G$44="Ativo")),MOD(ROW()-6,MAX(1,COUNTIFS(Pessoas!$C$5:$C$44,$K1794,Pessoas!$G$5:$G$44,"Ativo")))+1)))</f>
        <v>Equipe Oficina Mecânica Central-Taisa</v>
      </c>
    </row>
    <row r="1795" spans="1:12" ht="15" customHeight="1" x14ac:dyDescent="0.4">
      <c r="A1795" s="25">
        <v>46541</v>
      </c>
      <c r="B1795" s="16">
        <v>40</v>
      </c>
      <c r="C1795" s="16">
        <v>4</v>
      </c>
      <c r="D1795" s="16">
        <v>6</v>
      </c>
      <c r="E1795" s="16" t="s">
        <v>1371</v>
      </c>
      <c r="F1795" s="16" t="s">
        <v>1005</v>
      </c>
      <c r="G1795" s="16" t="s">
        <v>688</v>
      </c>
      <c r="H1795" s="16" t="s">
        <v>145</v>
      </c>
      <c r="I1795" s="22" t="s">
        <v>861</v>
      </c>
      <c r="J1795" s="16">
        <f>IFERROR(INDEX(Aux_HH!$J$4:$J$31,MATCH($H1795&amp;"|"&amp;$I1795,Aux_HH!$A$4:$A$31,0)),"")</f>
        <v>4</v>
      </c>
      <c r="K1795" s="16" t="s">
        <v>76</v>
      </c>
      <c r="L1795" s="16" t="str">
        <f>IF(COUNTIFS(Pessoas!$C$5:$C$44,$K1795,Pessoas!$G$5:$G$44,"Ativo")=0,"Equipe "&amp;$K1795,INDEX(Pessoas!$A$5:$A$44,_xludf.aggregate(15,6,(ROW(Pessoas!$A$5:$A$44)-4)/((Pessoas!$C$5:$C$44=$K1795)*(Pessoas!$G$5:$G$44="Ativo")),MOD(ROW()-6,MAX(1,COUNTIFS(Pessoas!$C$5:$C$44,$K1795,Pessoas!$G$5:$G$44,"Ativo")))+1)))</f>
        <v>Equipe Oficina Mecânica Central-Taisa</v>
      </c>
    </row>
    <row r="1796" spans="1:12" ht="15" customHeight="1" x14ac:dyDescent="0.4">
      <c r="A1796" s="25">
        <v>46541</v>
      </c>
      <c r="B1796" s="16">
        <v>40</v>
      </c>
      <c r="C1796" s="16">
        <v>4</v>
      </c>
      <c r="D1796" s="16">
        <v>6</v>
      </c>
      <c r="E1796" s="16" t="s">
        <v>1371</v>
      </c>
      <c r="F1796" s="16" t="s">
        <v>1006</v>
      </c>
      <c r="G1796" s="16" t="s">
        <v>688</v>
      </c>
      <c r="H1796" s="16" t="s">
        <v>145</v>
      </c>
      <c r="I1796" s="22" t="s">
        <v>861</v>
      </c>
      <c r="J1796" s="16">
        <f>IFERROR(INDEX(Aux_HH!$J$4:$J$31,MATCH($H1796&amp;"|"&amp;$I1796,Aux_HH!$A$4:$A$31,0)),"")</f>
        <v>4</v>
      </c>
      <c r="K1796" s="16" t="s">
        <v>76</v>
      </c>
      <c r="L1796" s="16" t="str">
        <f>IF(COUNTIFS(Pessoas!$C$5:$C$44,$K1796,Pessoas!$G$5:$G$44,"Ativo")=0,"Equipe "&amp;$K1796,INDEX(Pessoas!$A$5:$A$44,_xludf.aggregate(15,6,(ROW(Pessoas!$A$5:$A$44)-4)/((Pessoas!$C$5:$C$44=$K1796)*(Pessoas!$G$5:$G$44="Ativo")),MOD(ROW()-6,MAX(1,COUNTIFS(Pessoas!$C$5:$C$44,$K1796,Pessoas!$G$5:$G$44,"Ativo")))+1)))</f>
        <v>Equipe Oficina Mecânica Central-Taisa</v>
      </c>
    </row>
    <row r="1797" spans="1:12" ht="15" customHeight="1" x14ac:dyDescent="0.4">
      <c r="A1797" s="25">
        <v>46541</v>
      </c>
      <c r="B1797" s="16">
        <v>40</v>
      </c>
      <c r="C1797" s="16">
        <v>4</v>
      </c>
      <c r="D1797" s="16">
        <v>6</v>
      </c>
      <c r="E1797" s="16" t="s">
        <v>1371</v>
      </c>
      <c r="F1797" s="16" t="s">
        <v>1209</v>
      </c>
      <c r="G1797" s="16" t="s">
        <v>158</v>
      </c>
      <c r="H1797" s="16" t="s">
        <v>141</v>
      </c>
      <c r="I1797" s="22" t="s">
        <v>856</v>
      </c>
      <c r="J1797" s="16">
        <f>IFERROR(INDEX(Aux_HH!$J$4:$J$31,MATCH($H1797&amp;"|"&amp;$I1797,Aux_HH!$A$4:$A$31,0)),"")</f>
        <v>2</v>
      </c>
      <c r="K1797" s="16" t="s">
        <v>76</v>
      </c>
      <c r="L1797" s="16" t="str">
        <f>IF(COUNTIFS(Pessoas!$C$5:$C$44,$K1797,Pessoas!$G$5:$G$44,"Ativo")=0,"Equipe "&amp;$K1797,INDEX(Pessoas!$A$5:$A$44,_xludf.aggregate(15,6,(ROW(Pessoas!$A$5:$A$44)-4)/((Pessoas!$C$5:$C$44=$K1797)*(Pessoas!$G$5:$G$44="Ativo")),MOD(ROW()-6,MAX(1,COUNTIFS(Pessoas!$C$5:$C$44,$K1797,Pessoas!$G$5:$G$44,"Ativo")))+1)))</f>
        <v>Equipe Oficina Mecânica Central-Taisa</v>
      </c>
    </row>
    <row r="1798" spans="1:12" ht="15" customHeight="1" x14ac:dyDescent="0.4">
      <c r="A1798" s="25">
        <v>46542</v>
      </c>
      <c r="B1798" s="16">
        <v>40</v>
      </c>
      <c r="C1798" s="16">
        <v>4</v>
      </c>
      <c r="D1798" s="16">
        <v>6</v>
      </c>
      <c r="E1798" s="16" t="s">
        <v>1371</v>
      </c>
      <c r="F1798" s="16" t="s">
        <v>1228</v>
      </c>
      <c r="G1798" s="16" t="s">
        <v>158</v>
      </c>
      <c r="H1798" s="16" t="s">
        <v>141</v>
      </c>
      <c r="I1798" s="22" t="s">
        <v>856</v>
      </c>
      <c r="J1798" s="16">
        <f>IFERROR(INDEX(Aux_HH!$J$4:$J$31,MATCH($H1798&amp;"|"&amp;$I1798,Aux_HH!$A$4:$A$31,0)),"")</f>
        <v>2</v>
      </c>
      <c r="K1798" s="16" t="s">
        <v>76</v>
      </c>
      <c r="L1798" s="16" t="str">
        <f>IF(COUNTIFS(Pessoas!$C$5:$C$44,$K1798,Pessoas!$G$5:$G$44,"Ativo")=0,"Equipe "&amp;$K1798,INDEX(Pessoas!$A$5:$A$44,_xludf.aggregate(15,6,(ROW(Pessoas!$A$5:$A$44)-4)/((Pessoas!$C$5:$C$44=$K1798)*(Pessoas!$G$5:$G$44="Ativo")),MOD(ROW()-6,MAX(1,COUNTIFS(Pessoas!$C$5:$C$44,$K1798,Pessoas!$G$5:$G$44,"Ativo")))+1)))</f>
        <v>Equipe Oficina Mecânica Central-Taisa</v>
      </c>
    </row>
    <row r="1799" spans="1:12" ht="15" customHeight="1" x14ac:dyDescent="0.4">
      <c r="A1799" s="25">
        <v>46542</v>
      </c>
      <c r="B1799" s="16">
        <v>40</v>
      </c>
      <c r="C1799" s="16">
        <v>4</v>
      </c>
      <c r="D1799" s="16">
        <v>6</v>
      </c>
      <c r="E1799" s="16" t="s">
        <v>1371</v>
      </c>
      <c r="F1799" s="16" t="s">
        <v>1229</v>
      </c>
      <c r="G1799" s="16" t="s">
        <v>158</v>
      </c>
      <c r="H1799" s="16" t="s">
        <v>141</v>
      </c>
      <c r="I1799" s="22" t="s">
        <v>856</v>
      </c>
      <c r="J1799" s="16">
        <f>IFERROR(INDEX(Aux_HH!$J$4:$J$31,MATCH($H1799&amp;"|"&amp;$I1799,Aux_HH!$A$4:$A$31,0)),"")</f>
        <v>2</v>
      </c>
      <c r="K1799" s="16" t="s">
        <v>76</v>
      </c>
      <c r="L1799" s="16" t="str">
        <f>IF(COUNTIFS(Pessoas!$C$5:$C$44,$K1799,Pessoas!$G$5:$G$44,"Ativo")=0,"Equipe "&amp;$K1799,INDEX(Pessoas!$A$5:$A$44,_xludf.aggregate(15,6,(ROW(Pessoas!$A$5:$A$44)-4)/((Pessoas!$C$5:$C$44=$K1799)*(Pessoas!$G$5:$G$44="Ativo")),MOD(ROW()-6,MAX(1,COUNTIFS(Pessoas!$C$5:$C$44,$K1799,Pessoas!$G$5:$G$44,"Ativo")))+1)))</f>
        <v>Equipe Oficina Mecânica Central-Taisa</v>
      </c>
    </row>
    <row r="1800" spans="1:12" ht="15" customHeight="1" x14ac:dyDescent="0.4">
      <c r="A1800" s="25">
        <v>46542</v>
      </c>
      <c r="B1800" s="16">
        <v>40</v>
      </c>
      <c r="C1800" s="16">
        <v>4</v>
      </c>
      <c r="D1800" s="16">
        <v>6</v>
      </c>
      <c r="E1800" s="16" t="s">
        <v>1371</v>
      </c>
      <c r="F1800" s="16" t="s">
        <v>1230</v>
      </c>
      <c r="G1800" s="16" t="s">
        <v>158</v>
      </c>
      <c r="H1800" s="16" t="s">
        <v>141</v>
      </c>
      <c r="I1800" s="22" t="s">
        <v>856</v>
      </c>
      <c r="J1800" s="16">
        <f>IFERROR(INDEX(Aux_HH!$J$4:$J$31,MATCH($H1800&amp;"|"&amp;$I1800,Aux_HH!$A$4:$A$31,0)),"")</f>
        <v>2</v>
      </c>
      <c r="K1800" s="16" t="s">
        <v>76</v>
      </c>
      <c r="L1800" s="16" t="str">
        <f>IF(COUNTIFS(Pessoas!$C$5:$C$44,$K1800,Pessoas!$G$5:$G$44,"Ativo")=0,"Equipe "&amp;$K1800,INDEX(Pessoas!$A$5:$A$44,_xludf.aggregate(15,6,(ROW(Pessoas!$A$5:$A$44)-4)/((Pessoas!$C$5:$C$44=$K1800)*(Pessoas!$G$5:$G$44="Ativo")),MOD(ROW()-6,MAX(1,COUNTIFS(Pessoas!$C$5:$C$44,$K1800,Pessoas!$G$5:$G$44,"Ativo")))+1)))</f>
        <v>Equipe Oficina Mecânica Central-Taisa</v>
      </c>
    </row>
    <row r="1801" spans="1:12" ht="15" customHeight="1" x14ac:dyDescent="0.4">
      <c r="A1801" s="25">
        <v>46542</v>
      </c>
      <c r="B1801" s="16">
        <v>40</v>
      </c>
      <c r="C1801" s="16">
        <v>4</v>
      </c>
      <c r="D1801" s="16">
        <v>6</v>
      </c>
      <c r="E1801" s="16" t="s">
        <v>1371</v>
      </c>
      <c r="F1801" s="16" t="s">
        <v>1231</v>
      </c>
      <c r="G1801" s="16" t="s">
        <v>158</v>
      </c>
      <c r="H1801" s="16" t="s">
        <v>141</v>
      </c>
      <c r="I1801" s="22" t="s">
        <v>856</v>
      </c>
      <c r="J1801" s="16">
        <f>IFERROR(INDEX(Aux_HH!$J$4:$J$31,MATCH($H1801&amp;"|"&amp;$I1801,Aux_HH!$A$4:$A$31,0)),"")</f>
        <v>2</v>
      </c>
      <c r="K1801" s="16" t="s">
        <v>76</v>
      </c>
      <c r="L1801" s="16" t="str">
        <f>IF(COUNTIFS(Pessoas!$C$5:$C$44,$K1801,Pessoas!$G$5:$G$44,"Ativo")=0,"Equipe "&amp;$K1801,INDEX(Pessoas!$A$5:$A$44,_xludf.aggregate(15,6,(ROW(Pessoas!$A$5:$A$44)-4)/((Pessoas!$C$5:$C$44=$K1801)*(Pessoas!$G$5:$G$44="Ativo")),MOD(ROW()-6,MAX(1,COUNTIFS(Pessoas!$C$5:$C$44,$K1801,Pessoas!$G$5:$G$44,"Ativo")))+1)))</f>
        <v>Equipe Oficina Mecânica Central-Taisa</v>
      </c>
    </row>
    <row r="1802" spans="1:12" ht="15" customHeight="1" x14ac:dyDescent="0.4">
      <c r="A1802" s="25">
        <v>46542</v>
      </c>
      <c r="B1802" s="16">
        <v>40</v>
      </c>
      <c r="C1802" s="16">
        <v>4</v>
      </c>
      <c r="D1802" s="16">
        <v>6</v>
      </c>
      <c r="E1802" s="16" t="s">
        <v>1371</v>
      </c>
      <c r="F1802" s="16" t="s">
        <v>1232</v>
      </c>
      <c r="G1802" s="16" t="s">
        <v>158</v>
      </c>
      <c r="H1802" s="16" t="s">
        <v>141</v>
      </c>
      <c r="I1802" s="22" t="s">
        <v>856</v>
      </c>
      <c r="J1802" s="16">
        <f>IFERROR(INDEX(Aux_HH!$J$4:$J$31,MATCH($H1802&amp;"|"&amp;$I1802,Aux_HH!$A$4:$A$31,0)),"")</f>
        <v>2</v>
      </c>
      <c r="K1802" s="16" t="s">
        <v>76</v>
      </c>
      <c r="L1802" s="16" t="str">
        <f>IF(COUNTIFS(Pessoas!$C$5:$C$44,$K1802,Pessoas!$G$5:$G$44,"Ativo")=0,"Equipe "&amp;$K1802,INDEX(Pessoas!$A$5:$A$44,_xludf.aggregate(15,6,(ROW(Pessoas!$A$5:$A$44)-4)/((Pessoas!$C$5:$C$44=$K1802)*(Pessoas!$G$5:$G$44="Ativo")),MOD(ROW()-6,MAX(1,COUNTIFS(Pessoas!$C$5:$C$44,$K1802,Pessoas!$G$5:$G$44,"Ativo")))+1)))</f>
        <v>Equipe Oficina Mecânica Central-Taisa</v>
      </c>
    </row>
    <row r="1803" spans="1:12" ht="15" customHeight="1" x14ac:dyDescent="0.4">
      <c r="A1803" s="25">
        <v>46542</v>
      </c>
      <c r="B1803" s="16">
        <v>40</v>
      </c>
      <c r="C1803" s="16">
        <v>4</v>
      </c>
      <c r="D1803" s="16">
        <v>6</v>
      </c>
      <c r="E1803" s="16" t="s">
        <v>1371</v>
      </c>
      <c r="F1803" s="16" t="s">
        <v>1233</v>
      </c>
      <c r="G1803" s="16" t="s">
        <v>158</v>
      </c>
      <c r="H1803" s="16" t="s">
        <v>141</v>
      </c>
      <c r="I1803" s="22" t="s">
        <v>856</v>
      </c>
      <c r="J1803" s="16">
        <f>IFERROR(INDEX(Aux_HH!$J$4:$J$31,MATCH($H1803&amp;"|"&amp;$I1803,Aux_HH!$A$4:$A$31,0)),"")</f>
        <v>2</v>
      </c>
      <c r="K1803" s="16" t="s">
        <v>76</v>
      </c>
      <c r="L1803" s="16" t="str">
        <f>IF(COUNTIFS(Pessoas!$C$5:$C$44,$K1803,Pessoas!$G$5:$G$44,"Ativo")=0,"Equipe "&amp;$K1803,INDEX(Pessoas!$A$5:$A$44,_xludf.aggregate(15,6,(ROW(Pessoas!$A$5:$A$44)-4)/((Pessoas!$C$5:$C$44=$K1803)*(Pessoas!$G$5:$G$44="Ativo")),MOD(ROW()-6,MAX(1,COUNTIFS(Pessoas!$C$5:$C$44,$K1803,Pessoas!$G$5:$G$44,"Ativo")))+1)))</f>
        <v>Equipe Oficina Mecânica Central-Taisa</v>
      </c>
    </row>
    <row r="1804" spans="1:12" ht="15" customHeight="1" x14ac:dyDescent="0.4">
      <c r="A1804" s="25">
        <v>46542</v>
      </c>
      <c r="B1804" s="16">
        <v>40</v>
      </c>
      <c r="C1804" s="16">
        <v>4</v>
      </c>
      <c r="D1804" s="16">
        <v>6</v>
      </c>
      <c r="E1804" s="16" t="s">
        <v>1371</v>
      </c>
      <c r="F1804" s="16" t="s">
        <v>1234</v>
      </c>
      <c r="G1804" s="16" t="s">
        <v>158</v>
      </c>
      <c r="H1804" s="16" t="s">
        <v>141</v>
      </c>
      <c r="I1804" s="22" t="s">
        <v>856</v>
      </c>
      <c r="J1804" s="16">
        <f>IFERROR(INDEX(Aux_HH!$J$4:$J$31,MATCH($H1804&amp;"|"&amp;$I1804,Aux_HH!$A$4:$A$31,0)),"")</f>
        <v>2</v>
      </c>
      <c r="K1804" s="16" t="s">
        <v>76</v>
      </c>
      <c r="L1804" s="16" t="str">
        <f>IF(COUNTIFS(Pessoas!$C$5:$C$44,$K1804,Pessoas!$G$5:$G$44,"Ativo")=0,"Equipe "&amp;$K1804,INDEX(Pessoas!$A$5:$A$44,_xludf.aggregate(15,6,(ROW(Pessoas!$A$5:$A$44)-4)/((Pessoas!$C$5:$C$44=$K1804)*(Pessoas!$G$5:$G$44="Ativo")),MOD(ROW()-6,MAX(1,COUNTIFS(Pessoas!$C$5:$C$44,$K1804,Pessoas!$G$5:$G$44,"Ativo")))+1)))</f>
        <v>Equipe Oficina Mecânica Central-Taisa</v>
      </c>
    </row>
    <row r="1805" spans="1:12" ht="15" customHeight="1" x14ac:dyDescent="0.4">
      <c r="A1805" s="25">
        <v>46542</v>
      </c>
      <c r="B1805" s="16">
        <v>40</v>
      </c>
      <c r="C1805" s="16">
        <v>4</v>
      </c>
      <c r="D1805" s="16">
        <v>6</v>
      </c>
      <c r="E1805" s="16" t="s">
        <v>1371</v>
      </c>
      <c r="F1805" s="16" t="s">
        <v>1235</v>
      </c>
      <c r="G1805" s="16" t="s">
        <v>158</v>
      </c>
      <c r="H1805" s="16" t="s">
        <v>141</v>
      </c>
      <c r="I1805" s="22" t="s">
        <v>856</v>
      </c>
      <c r="J1805" s="16">
        <f>IFERROR(INDEX(Aux_HH!$J$4:$J$31,MATCH($H1805&amp;"|"&amp;$I1805,Aux_HH!$A$4:$A$31,0)),"")</f>
        <v>2</v>
      </c>
      <c r="K1805" s="16" t="s">
        <v>76</v>
      </c>
      <c r="L1805" s="16" t="str">
        <f>IF(COUNTIFS(Pessoas!$C$5:$C$44,$K1805,Pessoas!$G$5:$G$44,"Ativo")=0,"Equipe "&amp;$K1805,INDEX(Pessoas!$A$5:$A$44,_xludf.aggregate(15,6,(ROW(Pessoas!$A$5:$A$44)-4)/((Pessoas!$C$5:$C$44=$K1805)*(Pessoas!$G$5:$G$44="Ativo")),MOD(ROW()-6,MAX(1,COUNTIFS(Pessoas!$C$5:$C$44,$K1805,Pessoas!$G$5:$G$44,"Ativo")))+1)))</f>
        <v>Equipe Oficina Mecânica Central-Taisa</v>
      </c>
    </row>
    <row r="1806" spans="1:12" ht="15" customHeight="1" x14ac:dyDescent="0.4">
      <c r="A1806" s="25">
        <v>46542</v>
      </c>
      <c r="B1806" s="16">
        <v>40</v>
      </c>
      <c r="C1806" s="16">
        <v>4</v>
      </c>
      <c r="D1806" s="16">
        <v>6</v>
      </c>
      <c r="E1806" s="16" t="s">
        <v>1371</v>
      </c>
      <c r="F1806" s="16" t="s">
        <v>1236</v>
      </c>
      <c r="G1806" s="16" t="s">
        <v>158</v>
      </c>
      <c r="H1806" s="16" t="s">
        <v>141</v>
      </c>
      <c r="I1806" s="22" t="s">
        <v>856</v>
      </c>
      <c r="J1806" s="16">
        <f>IFERROR(INDEX(Aux_HH!$J$4:$J$31,MATCH($H1806&amp;"|"&amp;$I1806,Aux_HH!$A$4:$A$31,0)),"")</f>
        <v>2</v>
      </c>
      <c r="K1806" s="16" t="s">
        <v>76</v>
      </c>
      <c r="L1806" s="16" t="str">
        <f>IF(COUNTIFS(Pessoas!$C$5:$C$44,$K1806,Pessoas!$G$5:$G$44,"Ativo")=0,"Equipe "&amp;$K1806,INDEX(Pessoas!$A$5:$A$44,_xludf.aggregate(15,6,(ROW(Pessoas!$A$5:$A$44)-4)/((Pessoas!$C$5:$C$44=$K1806)*(Pessoas!$G$5:$G$44="Ativo")),MOD(ROW()-6,MAX(1,COUNTIFS(Pessoas!$C$5:$C$44,$K1806,Pessoas!$G$5:$G$44,"Ativo")))+1)))</f>
        <v>Equipe Oficina Mecânica Central-Taisa</v>
      </c>
    </row>
    <row r="1807" spans="1:12" ht="15" customHeight="1" x14ac:dyDescent="0.4">
      <c r="A1807" s="25">
        <v>46542</v>
      </c>
      <c r="B1807" s="16">
        <v>40</v>
      </c>
      <c r="C1807" s="16">
        <v>4</v>
      </c>
      <c r="D1807" s="16">
        <v>6</v>
      </c>
      <c r="E1807" s="16" t="s">
        <v>1371</v>
      </c>
      <c r="F1807" s="16" t="s">
        <v>1237</v>
      </c>
      <c r="G1807" s="16" t="s">
        <v>158</v>
      </c>
      <c r="H1807" s="16" t="s">
        <v>141</v>
      </c>
      <c r="I1807" s="22" t="s">
        <v>856</v>
      </c>
      <c r="J1807" s="16">
        <f>IFERROR(INDEX(Aux_HH!$J$4:$J$31,MATCH($H1807&amp;"|"&amp;$I1807,Aux_HH!$A$4:$A$31,0)),"")</f>
        <v>2</v>
      </c>
      <c r="K1807" s="16" t="s">
        <v>76</v>
      </c>
      <c r="L1807" s="16" t="str">
        <f>IF(COUNTIFS(Pessoas!$C$5:$C$44,$K1807,Pessoas!$G$5:$G$44,"Ativo")=0,"Equipe "&amp;$K1807,INDEX(Pessoas!$A$5:$A$44,_xludf.aggregate(15,6,(ROW(Pessoas!$A$5:$A$44)-4)/((Pessoas!$C$5:$C$44=$K1807)*(Pessoas!$G$5:$G$44="Ativo")),MOD(ROW()-6,MAX(1,COUNTIFS(Pessoas!$C$5:$C$44,$K1807,Pessoas!$G$5:$G$44,"Ativo")))+1)))</f>
        <v>Equipe Oficina Mecânica Central-Taisa</v>
      </c>
    </row>
    <row r="1808" spans="1:12" ht="15" customHeight="1" x14ac:dyDescent="0.4">
      <c r="A1808" s="25">
        <v>46542</v>
      </c>
      <c r="B1808" s="16">
        <v>40</v>
      </c>
      <c r="C1808" s="16">
        <v>4</v>
      </c>
      <c r="D1808" s="16">
        <v>6</v>
      </c>
      <c r="E1808" s="16" t="s">
        <v>1371</v>
      </c>
      <c r="F1808" s="16" t="s">
        <v>1238</v>
      </c>
      <c r="G1808" s="16" t="s">
        <v>158</v>
      </c>
      <c r="H1808" s="16" t="s">
        <v>141</v>
      </c>
      <c r="I1808" s="22" t="s">
        <v>856</v>
      </c>
      <c r="J1808" s="16">
        <f>IFERROR(INDEX(Aux_HH!$J$4:$J$31,MATCH($H1808&amp;"|"&amp;$I1808,Aux_HH!$A$4:$A$31,0)),"")</f>
        <v>2</v>
      </c>
      <c r="K1808" s="16" t="s">
        <v>76</v>
      </c>
      <c r="L1808" s="16" t="str">
        <f>IF(COUNTIFS(Pessoas!$C$5:$C$44,$K1808,Pessoas!$G$5:$G$44,"Ativo")=0,"Equipe "&amp;$K1808,INDEX(Pessoas!$A$5:$A$44,_xludf.aggregate(15,6,(ROW(Pessoas!$A$5:$A$44)-4)/((Pessoas!$C$5:$C$44=$K1808)*(Pessoas!$G$5:$G$44="Ativo")),MOD(ROW()-6,MAX(1,COUNTIFS(Pessoas!$C$5:$C$44,$K1808,Pessoas!$G$5:$G$44,"Ativo")))+1)))</f>
        <v>Equipe Oficina Mecânica Central-Taisa</v>
      </c>
    </row>
    <row r="1809" spans="1:12" ht="15" customHeight="1" x14ac:dyDescent="0.4">
      <c r="A1809" s="25">
        <v>46542</v>
      </c>
      <c r="B1809" s="16">
        <v>40</v>
      </c>
      <c r="C1809" s="16">
        <v>4</v>
      </c>
      <c r="D1809" s="16">
        <v>6</v>
      </c>
      <c r="E1809" s="16" t="s">
        <v>1371</v>
      </c>
      <c r="F1809" s="16" t="s">
        <v>1239</v>
      </c>
      <c r="G1809" s="16" t="s">
        <v>158</v>
      </c>
      <c r="H1809" s="16" t="s">
        <v>141</v>
      </c>
      <c r="I1809" s="22" t="s">
        <v>856</v>
      </c>
      <c r="J1809" s="16">
        <f>IFERROR(INDEX(Aux_HH!$J$4:$J$31,MATCH($H1809&amp;"|"&amp;$I1809,Aux_HH!$A$4:$A$31,0)),"")</f>
        <v>2</v>
      </c>
      <c r="K1809" s="16" t="s">
        <v>76</v>
      </c>
      <c r="L1809" s="16" t="str">
        <f>IF(COUNTIFS(Pessoas!$C$5:$C$44,$K1809,Pessoas!$G$5:$G$44,"Ativo")=0,"Equipe "&amp;$K1809,INDEX(Pessoas!$A$5:$A$44,_xludf.aggregate(15,6,(ROW(Pessoas!$A$5:$A$44)-4)/((Pessoas!$C$5:$C$44=$K1809)*(Pessoas!$G$5:$G$44="Ativo")),MOD(ROW()-6,MAX(1,COUNTIFS(Pessoas!$C$5:$C$44,$K1809,Pessoas!$G$5:$G$44,"Ativo")))+1)))</f>
        <v>Equipe Oficina Mecânica Central-Taisa</v>
      </c>
    </row>
    <row r="1810" spans="1:12" ht="15" customHeight="1" x14ac:dyDescent="0.4">
      <c r="A1810" s="25">
        <v>46542</v>
      </c>
      <c r="B1810" s="16">
        <v>40</v>
      </c>
      <c r="C1810" s="16">
        <v>4</v>
      </c>
      <c r="D1810" s="16">
        <v>6</v>
      </c>
      <c r="E1810" s="16" t="s">
        <v>1371</v>
      </c>
      <c r="F1810" s="16" t="s">
        <v>1240</v>
      </c>
      <c r="G1810" s="16" t="s">
        <v>184</v>
      </c>
      <c r="H1810" s="16" t="s">
        <v>141</v>
      </c>
      <c r="I1810" s="22" t="s">
        <v>856</v>
      </c>
      <c r="J1810" s="16">
        <f>IFERROR(INDEX(Aux_HH!$J$4:$J$31,MATCH($H1810&amp;"|"&amp;$I1810,Aux_HH!$A$4:$A$31,0)),"")</f>
        <v>2</v>
      </c>
      <c r="K1810" s="16" t="s">
        <v>76</v>
      </c>
      <c r="L1810" s="16" t="str">
        <f>IF(COUNTIFS(Pessoas!$C$5:$C$44,$K1810,Pessoas!$G$5:$G$44,"Ativo")=0,"Equipe "&amp;$K1810,INDEX(Pessoas!$A$5:$A$44,_xludf.aggregate(15,6,(ROW(Pessoas!$A$5:$A$44)-4)/((Pessoas!$C$5:$C$44=$K1810)*(Pessoas!$G$5:$G$44="Ativo")),MOD(ROW()-6,MAX(1,COUNTIFS(Pessoas!$C$5:$C$44,$K1810,Pessoas!$G$5:$G$44,"Ativo")))+1)))</f>
        <v>Equipe Oficina Mecânica Central-Taisa</v>
      </c>
    </row>
    <row r="1811" spans="1:12" ht="15" customHeight="1" x14ac:dyDescent="0.4">
      <c r="A1811" s="25">
        <v>46542</v>
      </c>
      <c r="B1811" s="16">
        <v>40</v>
      </c>
      <c r="C1811" s="16">
        <v>4</v>
      </c>
      <c r="D1811" s="16">
        <v>6</v>
      </c>
      <c r="E1811" s="16" t="s">
        <v>1371</v>
      </c>
      <c r="F1811" s="16" t="s">
        <v>1241</v>
      </c>
      <c r="G1811" s="16" t="s">
        <v>184</v>
      </c>
      <c r="H1811" s="16" t="s">
        <v>141</v>
      </c>
      <c r="I1811" s="22" t="s">
        <v>856</v>
      </c>
      <c r="J1811" s="16">
        <f>IFERROR(INDEX(Aux_HH!$J$4:$J$31,MATCH($H1811&amp;"|"&amp;$I1811,Aux_HH!$A$4:$A$31,0)),"")</f>
        <v>2</v>
      </c>
      <c r="K1811" s="16" t="s">
        <v>76</v>
      </c>
      <c r="L1811" s="16" t="str">
        <f>IF(COUNTIFS(Pessoas!$C$5:$C$44,$K1811,Pessoas!$G$5:$G$44,"Ativo")=0,"Equipe "&amp;$K1811,INDEX(Pessoas!$A$5:$A$44,_xludf.aggregate(15,6,(ROW(Pessoas!$A$5:$A$44)-4)/((Pessoas!$C$5:$C$44=$K1811)*(Pessoas!$G$5:$G$44="Ativo")),MOD(ROW()-6,MAX(1,COUNTIFS(Pessoas!$C$5:$C$44,$K1811,Pessoas!$G$5:$G$44,"Ativo")))+1)))</f>
        <v>Equipe Oficina Mecânica Central-Taisa</v>
      </c>
    </row>
    <row r="1812" spans="1:12" ht="15" customHeight="1" x14ac:dyDescent="0.4">
      <c r="A1812" s="25">
        <v>46542</v>
      </c>
      <c r="B1812" s="16">
        <v>40</v>
      </c>
      <c r="C1812" s="16">
        <v>4</v>
      </c>
      <c r="D1812" s="16">
        <v>6</v>
      </c>
      <c r="E1812" s="16" t="s">
        <v>1371</v>
      </c>
      <c r="F1812" s="16" t="s">
        <v>1242</v>
      </c>
      <c r="G1812" s="16" t="s">
        <v>184</v>
      </c>
      <c r="H1812" s="16" t="s">
        <v>141</v>
      </c>
      <c r="I1812" s="22" t="s">
        <v>856</v>
      </c>
      <c r="J1812" s="16">
        <f>IFERROR(INDEX(Aux_HH!$J$4:$J$31,MATCH($H1812&amp;"|"&amp;$I1812,Aux_HH!$A$4:$A$31,0)),"")</f>
        <v>2</v>
      </c>
      <c r="K1812" s="16" t="s">
        <v>76</v>
      </c>
      <c r="L1812" s="16" t="str">
        <f>IF(COUNTIFS(Pessoas!$C$5:$C$44,$K1812,Pessoas!$G$5:$G$44,"Ativo")=0,"Equipe "&amp;$K1812,INDEX(Pessoas!$A$5:$A$44,_xludf.aggregate(15,6,(ROW(Pessoas!$A$5:$A$44)-4)/((Pessoas!$C$5:$C$44=$K1812)*(Pessoas!$G$5:$G$44="Ativo")),MOD(ROW()-6,MAX(1,COUNTIFS(Pessoas!$C$5:$C$44,$K1812,Pessoas!$G$5:$G$44,"Ativo")))+1)))</f>
        <v>Equipe Oficina Mecânica Central-Taisa</v>
      </c>
    </row>
    <row r="1813" spans="1:12" ht="15" customHeight="1" x14ac:dyDescent="0.4">
      <c r="A1813" s="25">
        <v>46542</v>
      </c>
      <c r="B1813" s="16">
        <v>40</v>
      </c>
      <c r="C1813" s="16">
        <v>4</v>
      </c>
      <c r="D1813" s="16">
        <v>6</v>
      </c>
      <c r="E1813" s="16" t="s">
        <v>1371</v>
      </c>
      <c r="F1813" s="16" t="s">
        <v>1243</v>
      </c>
      <c r="G1813" s="16" t="s">
        <v>184</v>
      </c>
      <c r="H1813" s="16" t="s">
        <v>141</v>
      </c>
      <c r="I1813" s="22" t="s">
        <v>856</v>
      </c>
      <c r="J1813" s="16">
        <f>IFERROR(INDEX(Aux_HH!$J$4:$J$31,MATCH($H1813&amp;"|"&amp;$I1813,Aux_HH!$A$4:$A$31,0)),"")</f>
        <v>2</v>
      </c>
      <c r="K1813" s="16" t="s">
        <v>76</v>
      </c>
      <c r="L1813" s="16" t="str">
        <f>IF(COUNTIFS(Pessoas!$C$5:$C$44,$K1813,Pessoas!$G$5:$G$44,"Ativo")=0,"Equipe "&amp;$K1813,INDEX(Pessoas!$A$5:$A$44,_xludf.aggregate(15,6,(ROW(Pessoas!$A$5:$A$44)-4)/((Pessoas!$C$5:$C$44=$K1813)*(Pessoas!$G$5:$G$44="Ativo")),MOD(ROW()-6,MAX(1,COUNTIFS(Pessoas!$C$5:$C$44,$K1813,Pessoas!$G$5:$G$44,"Ativo")))+1)))</f>
        <v>Equipe Oficina Mecânica Central-Taisa</v>
      </c>
    </row>
    <row r="1814" spans="1:12" ht="15" customHeight="1" x14ac:dyDescent="0.4">
      <c r="A1814" s="25">
        <v>46542</v>
      </c>
      <c r="B1814" s="16">
        <v>40</v>
      </c>
      <c r="C1814" s="16">
        <v>4</v>
      </c>
      <c r="D1814" s="16">
        <v>6</v>
      </c>
      <c r="E1814" s="16" t="s">
        <v>1371</v>
      </c>
      <c r="F1814" s="16" t="s">
        <v>1244</v>
      </c>
      <c r="G1814" s="16" t="s">
        <v>184</v>
      </c>
      <c r="H1814" s="16" t="s">
        <v>141</v>
      </c>
      <c r="I1814" s="22" t="s">
        <v>856</v>
      </c>
      <c r="J1814" s="16">
        <f>IFERROR(INDEX(Aux_HH!$J$4:$J$31,MATCH($H1814&amp;"|"&amp;$I1814,Aux_HH!$A$4:$A$31,0)),"")</f>
        <v>2</v>
      </c>
      <c r="K1814" s="16" t="s">
        <v>76</v>
      </c>
      <c r="L1814" s="16" t="str">
        <f>IF(COUNTIFS(Pessoas!$C$5:$C$44,$K1814,Pessoas!$G$5:$G$44,"Ativo")=0,"Equipe "&amp;$K1814,INDEX(Pessoas!$A$5:$A$44,_xludf.aggregate(15,6,(ROW(Pessoas!$A$5:$A$44)-4)/((Pessoas!$C$5:$C$44=$K1814)*(Pessoas!$G$5:$G$44="Ativo")),MOD(ROW()-6,MAX(1,COUNTIFS(Pessoas!$C$5:$C$44,$K1814,Pessoas!$G$5:$G$44,"Ativo")))+1)))</f>
        <v>Equipe Oficina Mecânica Central-Taisa</v>
      </c>
    </row>
    <row r="1815" spans="1:12" ht="15" customHeight="1" x14ac:dyDescent="0.4">
      <c r="A1815" s="25">
        <v>46542</v>
      </c>
      <c r="B1815" s="16">
        <v>40</v>
      </c>
      <c r="C1815" s="16">
        <v>4</v>
      </c>
      <c r="D1815" s="16">
        <v>6</v>
      </c>
      <c r="E1815" s="16" t="s">
        <v>1371</v>
      </c>
      <c r="F1815" s="16" t="s">
        <v>1245</v>
      </c>
      <c r="G1815" s="16" t="s">
        <v>184</v>
      </c>
      <c r="H1815" s="16" t="s">
        <v>141</v>
      </c>
      <c r="I1815" s="22" t="s">
        <v>856</v>
      </c>
      <c r="J1815" s="16">
        <f>IFERROR(INDEX(Aux_HH!$J$4:$J$31,MATCH($H1815&amp;"|"&amp;$I1815,Aux_HH!$A$4:$A$31,0)),"")</f>
        <v>2</v>
      </c>
      <c r="K1815" s="16" t="s">
        <v>76</v>
      </c>
      <c r="L1815" s="16" t="str">
        <f>IF(COUNTIFS(Pessoas!$C$5:$C$44,$K1815,Pessoas!$G$5:$G$44,"Ativo")=0,"Equipe "&amp;$K1815,INDEX(Pessoas!$A$5:$A$44,_xludf.aggregate(15,6,(ROW(Pessoas!$A$5:$A$44)-4)/((Pessoas!$C$5:$C$44=$K1815)*(Pessoas!$G$5:$G$44="Ativo")),MOD(ROW()-6,MAX(1,COUNTIFS(Pessoas!$C$5:$C$44,$K1815,Pessoas!$G$5:$G$44,"Ativo")))+1)))</f>
        <v>Equipe Oficina Mecânica Central-Taisa</v>
      </c>
    </row>
    <row r="1816" spans="1:12" ht="15" customHeight="1" x14ac:dyDescent="0.4">
      <c r="A1816" s="25">
        <v>46542</v>
      </c>
      <c r="B1816" s="16">
        <v>40</v>
      </c>
      <c r="C1816" s="16">
        <v>4</v>
      </c>
      <c r="D1816" s="16">
        <v>6</v>
      </c>
      <c r="E1816" s="16" t="s">
        <v>1371</v>
      </c>
      <c r="F1816" s="16" t="s">
        <v>1246</v>
      </c>
      <c r="G1816" s="16" t="s">
        <v>184</v>
      </c>
      <c r="H1816" s="16" t="s">
        <v>141</v>
      </c>
      <c r="I1816" s="22" t="s">
        <v>856</v>
      </c>
      <c r="J1816" s="16">
        <f>IFERROR(INDEX(Aux_HH!$J$4:$J$31,MATCH($H1816&amp;"|"&amp;$I1816,Aux_HH!$A$4:$A$31,0)),"")</f>
        <v>2</v>
      </c>
      <c r="K1816" s="16" t="s">
        <v>76</v>
      </c>
      <c r="L1816" s="16" t="str">
        <f>IF(COUNTIFS(Pessoas!$C$5:$C$44,$K1816,Pessoas!$G$5:$G$44,"Ativo")=0,"Equipe "&amp;$K1816,INDEX(Pessoas!$A$5:$A$44,_xludf.aggregate(15,6,(ROW(Pessoas!$A$5:$A$44)-4)/((Pessoas!$C$5:$C$44=$K1816)*(Pessoas!$G$5:$G$44="Ativo")),MOD(ROW()-6,MAX(1,COUNTIFS(Pessoas!$C$5:$C$44,$K1816,Pessoas!$G$5:$G$44,"Ativo")))+1)))</f>
        <v>Equipe Oficina Mecânica Central-Taisa</v>
      </c>
    </row>
    <row r="1817" spans="1:12" ht="15" customHeight="1" x14ac:dyDescent="0.4">
      <c r="A1817" s="25">
        <v>46542</v>
      </c>
      <c r="B1817" s="16">
        <v>40</v>
      </c>
      <c r="C1817" s="16">
        <v>4</v>
      </c>
      <c r="D1817" s="16">
        <v>6</v>
      </c>
      <c r="E1817" s="16" t="s">
        <v>1371</v>
      </c>
      <c r="F1817" s="16" t="s">
        <v>1247</v>
      </c>
      <c r="G1817" s="16" t="s">
        <v>184</v>
      </c>
      <c r="H1817" s="16" t="s">
        <v>141</v>
      </c>
      <c r="I1817" s="22" t="s">
        <v>856</v>
      </c>
      <c r="J1817" s="16">
        <f>IFERROR(INDEX(Aux_HH!$J$4:$J$31,MATCH($H1817&amp;"|"&amp;$I1817,Aux_HH!$A$4:$A$31,0)),"")</f>
        <v>2</v>
      </c>
      <c r="K1817" s="16" t="s">
        <v>76</v>
      </c>
      <c r="L1817" s="16" t="str">
        <f>IF(COUNTIFS(Pessoas!$C$5:$C$44,$K1817,Pessoas!$G$5:$G$44,"Ativo")=0,"Equipe "&amp;$K1817,INDEX(Pessoas!$A$5:$A$44,_xludf.aggregate(15,6,(ROW(Pessoas!$A$5:$A$44)-4)/((Pessoas!$C$5:$C$44=$K1817)*(Pessoas!$G$5:$G$44="Ativo")),MOD(ROW()-6,MAX(1,COUNTIFS(Pessoas!$C$5:$C$44,$K1817,Pessoas!$G$5:$G$44,"Ativo")))+1)))</f>
        <v>Equipe Oficina Mecânica Central-Taisa</v>
      </c>
    </row>
    <row r="1818" spans="1:12" ht="15" customHeight="1" x14ac:dyDescent="0.4">
      <c r="A1818" s="25">
        <v>46542</v>
      </c>
      <c r="B1818" s="16">
        <v>40</v>
      </c>
      <c r="C1818" s="16">
        <v>4</v>
      </c>
      <c r="D1818" s="16">
        <v>6</v>
      </c>
      <c r="E1818" s="16" t="s">
        <v>1371</v>
      </c>
      <c r="F1818" s="16" t="s">
        <v>1248</v>
      </c>
      <c r="G1818" s="16" t="s">
        <v>184</v>
      </c>
      <c r="H1818" s="16" t="s">
        <v>141</v>
      </c>
      <c r="I1818" s="22" t="s">
        <v>856</v>
      </c>
      <c r="J1818" s="16">
        <f>IFERROR(INDEX(Aux_HH!$J$4:$J$31,MATCH($H1818&amp;"|"&amp;$I1818,Aux_HH!$A$4:$A$31,0)),"")</f>
        <v>2</v>
      </c>
      <c r="K1818" s="16" t="s">
        <v>76</v>
      </c>
      <c r="L1818" s="16" t="str">
        <f>IF(COUNTIFS(Pessoas!$C$5:$C$44,$K1818,Pessoas!$G$5:$G$44,"Ativo")=0,"Equipe "&amp;$K1818,INDEX(Pessoas!$A$5:$A$44,_xludf.aggregate(15,6,(ROW(Pessoas!$A$5:$A$44)-4)/((Pessoas!$C$5:$C$44=$K1818)*(Pessoas!$G$5:$G$44="Ativo")),MOD(ROW()-6,MAX(1,COUNTIFS(Pessoas!$C$5:$C$44,$K1818,Pessoas!$G$5:$G$44,"Ativo")))+1)))</f>
        <v>Equipe Oficina Mecânica Central-Taisa</v>
      </c>
    </row>
    <row r="1819" spans="1:12" ht="15" customHeight="1" x14ac:dyDescent="0.4">
      <c r="A1819" s="25">
        <v>46542</v>
      </c>
      <c r="B1819" s="16">
        <v>40</v>
      </c>
      <c r="C1819" s="16">
        <v>4</v>
      </c>
      <c r="D1819" s="16">
        <v>6</v>
      </c>
      <c r="E1819" s="16" t="s">
        <v>1371</v>
      </c>
      <c r="F1819" s="16" t="s">
        <v>1249</v>
      </c>
      <c r="G1819" s="16" t="s">
        <v>184</v>
      </c>
      <c r="H1819" s="16" t="s">
        <v>141</v>
      </c>
      <c r="I1819" s="22" t="s">
        <v>856</v>
      </c>
      <c r="J1819" s="16">
        <f>IFERROR(INDEX(Aux_HH!$J$4:$J$31,MATCH($H1819&amp;"|"&amp;$I1819,Aux_HH!$A$4:$A$31,0)),"")</f>
        <v>2</v>
      </c>
      <c r="K1819" s="16" t="s">
        <v>76</v>
      </c>
      <c r="L1819" s="16" t="str">
        <f>IF(COUNTIFS(Pessoas!$C$5:$C$44,$K1819,Pessoas!$G$5:$G$44,"Ativo")=0,"Equipe "&amp;$K1819,INDEX(Pessoas!$A$5:$A$44,_xludf.aggregate(15,6,(ROW(Pessoas!$A$5:$A$44)-4)/((Pessoas!$C$5:$C$44=$K1819)*(Pessoas!$G$5:$G$44="Ativo")),MOD(ROW()-6,MAX(1,COUNTIFS(Pessoas!$C$5:$C$44,$K1819,Pessoas!$G$5:$G$44,"Ativo")))+1)))</f>
        <v>Equipe Oficina Mecânica Central-Taisa</v>
      </c>
    </row>
    <row r="1820" spans="1:12" ht="15" customHeight="1" x14ac:dyDescent="0.4">
      <c r="A1820" s="25">
        <v>46542</v>
      </c>
      <c r="B1820" s="16">
        <v>40</v>
      </c>
      <c r="C1820" s="16">
        <v>4</v>
      </c>
      <c r="D1820" s="16">
        <v>6</v>
      </c>
      <c r="E1820" s="16" t="s">
        <v>1371</v>
      </c>
      <c r="F1820" s="16" t="s">
        <v>1250</v>
      </c>
      <c r="G1820" s="16" t="s">
        <v>184</v>
      </c>
      <c r="H1820" s="16" t="s">
        <v>141</v>
      </c>
      <c r="I1820" s="22" t="s">
        <v>856</v>
      </c>
      <c r="J1820" s="16">
        <f>IFERROR(INDEX(Aux_HH!$J$4:$J$31,MATCH($H1820&amp;"|"&amp;$I1820,Aux_HH!$A$4:$A$31,0)),"")</f>
        <v>2</v>
      </c>
      <c r="K1820" s="16" t="s">
        <v>76</v>
      </c>
      <c r="L1820" s="16" t="str">
        <f>IF(COUNTIFS(Pessoas!$C$5:$C$44,$K1820,Pessoas!$G$5:$G$44,"Ativo")=0,"Equipe "&amp;$K1820,INDEX(Pessoas!$A$5:$A$44,_xludf.aggregate(15,6,(ROW(Pessoas!$A$5:$A$44)-4)/((Pessoas!$C$5:$C$44=$K1820)*(Pessoas!$G$5:$G$44="Ativo")),MOD(ROW()-6,MAX(1,COUNTIFS(Pessoas!$C$5:$C$44,$K1820,Pessoas!$G$5:$G$44,"Ativo")))+1)))</f>
        <v>Equipe Oficina Mecânica Central-Taisa</v>
      </c>
    </row>
    <row r="1821" spans="1:12" ht="15" customHeight="1" x14ac:dyDescent="0.4">
      <c r="A1821" s="25">
        <v>46542</v>
      </c>
      <c r="B1821" s="16">
        <v>40</v>
      </c>
      <c r="C1821" s="16">
        <v>4</v>
      </c>
      <c r="D1821" s="16">
        <v>6</v>
      </c>
      <c r="E1821" s="16" t="s">
        <v>1371</v>
      </c>
      <c r="F1821" s="16" t="s">
        <v>994</v>
      </c>
      <c r="G1821" s="16" t="s">
        <v>688</v>
      </c>
      <c r="H1821" s="16" t="s">
        <v>145</v>
      </c>
      <c r="I1821" s="22" t="s">
        <v>861</v>
      </c>
      <c r="J1821" s="16">
        <f>IFERROR(INDEX(Aux_HH!$J$4:$J$31,MATCH($H1821&amp;"|"&amp;$I1821,Aux_HH!$A$4:$A$31,0)),"")</f>
        <v>4</v>
      </c>
      <c r="K1821" s="16" t="s">
        <v>76</v>
      </c>
      <c r="L1821" s="16" t="str">
        <f>IF(COUNTIFS(Pessoas!$C$5:$C$44,$K1821,Pessoas!$G$5:$G$44,"Ativo")=0,"Equipe "&amp;$K1821,INDEX(Pessoas!$A$5:$A$44,_xludf.aggregate(15,6,(ROW(Pessoas!$A$5:$A$44)-4)/((Pessoas!$C$5:$C$44=$K1821)*(Pessoas!$G$5:$G$44="Ativo")),MOD(ROW()-6,MAX(1,COUNTIFS(Pessoas!$C$5:$C$44,$K1821,Pessoas!$G$5:$G$44,"Ativo")))+1)))</f>
        <v>Equipe Oficina Mecânica Central-Taisa</v>
      </c>
    </row>
    <row r="1822" spans="1:12" ht="15" customHeight="1" x14ac:dyDescent="0.4">
      <c r="A1822" s="25">
        <v>46542</v>
      </c>
      <c r="B1822" s="16">
        <v>40</v>
      </c>
      <c r="C1822" s="16">
        <v>4</v>
      </c>
      <c r="D1822" s="16">
        <v>6</v>
      </c>
      <c r="E1822" s="16" t="s">
        <v>1371</v>
      </c>
      <c r="F1822" s="16" t="s">
        <v>995</v>
      </c>
      <c r="G1822" s="16" t="s">
        <v>688</v>
      </c>
      <c r="H1822" s="16" t="s">
        <v>145</v>
      </c>
      <c r="I1822" s="22" t="s">
        <v>861</v>
      </c>
      <c r="J1822" s="16">
        <f>IFERROR(INDEX(Aux_HH!$J$4:$J$31,MATCH($H1822&amp;"|"&amp;$I1822,Aux_HH!$A$4:$A$31,0)),"")</f>
        <v>4</v>
      </c>
      <c r="K1822" s="16" t="s">
        <v>76</v>
      </c>
      <c r="L1822" s="16" t="str">
        <f>IF(COUNTIFS(Pessoas!$C$5:$C$44,$K1822,Pessoas!$G$5:$G$44,"Ativo")=0,"Equipe "&amp;$K1822,INDEX(Pessoas!$A$5:$A$44,_xludf.aggregate(15,6,(ROW(Pessoas!$A$5:$A$44)-4)/((Pessoas!$C$5:$C$44=$K1822)*(Pessoas!$G$5:$G$44="Ativo")),MOD(ROW()-6,MAX(1,COUNTIFS(Pessoas!$C$5:$C$44,$K1822,Pessoas!$G$5:$G$44,"Ativo")))+1)))</f>
        <v>Equipe Oficina Mecânica Central-Taisa</v>
      </c>
    </row>
    <row r="1823" spans="1:12" ht="15" customHeight="1" x14ac:dyDescent="0.4">
      <c r="A1823" s="25">
        <v>46542</v>
      </c>
      <c r="B1823" s="16">
        <v>40</v>
      </c>
      <c r="C1823" s="16">
        <v>4</v>
      </c>
      <c r="D1823" s="16">
        <v>6</v>
      </c>
      <c r="E1823" s="16" t="s">
        <v>1371</v>
      </c>
      <c r="F1823" s="16" t="s">
        <v>1253</v>
      </c>
      <c r="G1823" s="16" t="s">
        <v>158</v>
      </c>
      <c r="H1823" s="16" t="s">
        <v>141</v>
      </c>
      <c r="I1823" s="22" t="s">
        <v>856</v>
      </c>
      <c r="J1823" s="16">
        <f>IFERROR(INDEX(Aux_HH!$J$4:$J$31,MATCH($H1823&amp;"|"&amp;$I1823,Aux_HH!$A$4:$A$31,0)),"")</f>
        <v>2</v>
      </c>
      <c r="K1823" s="16" t="s">
        <v>76</v>
      </c>
      <c r="L1823" s="16" t="str">
        <f>IF(COUNTIFS(Pessoas!$C$5:$C$44,$K1823,Pessoas!$G$5:$G$44,"Ativo")=0,"Equipe "&amp;$K1823,INDEX(Pessoas!$A$5:$A$44,_xludf.aggregate(15,6,(ROW(Pessoas!$A$5:$A$44)-4)/((Pessoas!$C$5:$C$44=$K1823)*(Pessoas!$G$5:$G$44="Ativo")),MOD(ROW()-6,MAX(1,COUNTIFS(Pessoas!$C$5:$C$44,$K1823,Pessoas!$G$5:$G$44,"Ativo")))+1)))</f>
        <v>Equipe Oficina Mecânica Central-Taisa</v>
      </c>
    </row>
    <row r="1824" spans="1:12" ht="15" customHeight="1" x14ac:dyDescent="0.4">
      <c r="A1824" s="25">
        <v>46545</v>
      </c>
      <c r="B1824" s="16">
        <v>40</v>
      </c>
      <c r="C1824" s="16">
        <v>4</v>
      </c>
      <c r="D1824" s="16">
        <v>6</v>
      </c>
      <c r="E1824" s="16" t="s">
        <v>1371</v>
      </c>
      <c r="F1824" s="16" t="s">
        <v>1272</v>
      </c>
      <c r="G1824" s="16" t="s">
        <v>158</v>
      </c>
      <c r="H1824" s="16" t="s">
        <v>141</v>
      </c>
      <c r="I1824" s="22" t="s">
        <v>856</v>
      </c>
      <c r="J1824" s="16">
        <f>IFERROR(INDEX(Aux_HH!$J$4:$J$31,MATCH($H1824&amp;"|"&amp;$I1824,Aux_HH!$A$4:$A$31,0)),"")</f>
        <v>2</v>
      </c>
      <c r="K1824" s="16" t="s">
        <v>76</v>
      </c>
      <c r="L1824" s="16" t="str">
        <f>IF(COUNTIFS(Pessoas!$C$5:$C$44,$K1824,Pessoas!$G$5:$G$44,"Ativo")=0,"Equipe "&amp;$K1824,INDEX(Pessoas!$A$5:$A$44,_xludf.aggregate(15,6,(ROW(Pessoas!$A$5:$A$44)-4)/((Pessoas!$C$5:$C$44=$K1824)*(Pessoas!$G$5:$G$44="Ativo")),MOD(ROW()-6,MAX(1,COUNTIFS(Pessoas!$C$5:$C$44,$K1824,Pessoas!$G$5:$G$44,"Ativo")))+1)))</f>
        <v>Equipe Oficina Mecânica Central-Taisa</v>
      </c>
    </row>
    <row r="1825" spans="1:12" ht="15" customHeight="1" x14ac:dyDescent="0.4">
      <c r="A1825" s="25">
        <v>46545</v>
      </c>
      <c r="B1825" s="16">
        <v>40</v>
      </c>
      <c r="C1825" s="16">
        <v>4</v>
      </c>
      <c r="D1825" s="16">
        <v>6</v>
      </c>
      <c r="E1825" s="16" t="s">
        <v>1371</v>
      </c>
      <c r="F1825" s="16" t="s">
        <v>1273</v>
      </c>
      <c r="G1825" s="16" t="s">
        <v>158</v>
      </c>
      <c r="H1825" s="16" t="s">
        <v>141</v>
      </c>
      <c r="I1825" s="22" t="s">
        <v>856</v>
      </c>
      <c r="J1825" s="16">
        <f>IFERROR(INDEX(Aux_HH!$J$4:$J$31,MATCH($H1825&amp;"|"&amp;$I1825,Aux_HH!$A$4:$A$31,0)),"")</f>
        <v>2</v>
      </c>
      <c r="K1825" s="16" t="s">
        <v>76</v>
      </c>
      <c r="L1825" s="16" t="str">
        <f>IF(COUNTIFS(Pessoas!$C$5:$C$44,$K1825,Pessoas!$G$5:$G$44,"Ativo")=0,"Equipe "&amp;$K1825,INDEX(Pessoas!$A$5:$A$44,_xludf.aggregate(15,6,(ROW(Pessoas!$A$5:$A$44)-4)/((Pessoas!$C$5:$C$44=$K1825)*(Pessoas!$G$5:$G$44="Ativo")),MOD(ROW()-6,MAX(1,COUNTIFS(Pessoas!$C$5:$C$44,$K1825,Pessoas!$G$5:$G$44,"Ativo")))+1)))</f>
        <v>Equipe Oficina Mecânica Central-Taisa</v>
      </c>
    </row>
    <row r="1826" spans="1:12" ht="15" customHeight="1" x14ac:dyDescent="0.4">
      <c r="A1826" s="25">
        <v>46545</v>
      </c>
      <c r="B1826" s="16">
        <v>40</v>
      </c>
      <c r="C1826" s="16">
        <v>4</v>
      </c>
      <c r="D1826" s="16">
        <v>6</v>
      </c>
      <c r="E1826" s="16" t="s">
        <v>1371</v>
      </c>
      <c r="F1826" s="16" t="s">
        <v>1274</v>
      </c>
      <c r="G1826" s="16" t="s">
        <v>158</v>
      </c>
      <c r="H1826" s="16" t="s">
        <v>141</v>
      </c>
      <c r="I1826" s="22" t="s">
        <v>856</v>
      </c>
      <c r="J1826" s="16">
        <f>IFERROR(INDEX(Aux_HH!$J$4:$J$31,MATCH($H1826&amp;"|"&amp;$I1826,Aux_HH!$A$4:$A$31,0)),"")</f>
        <v>2</v>
      </c>
      <c r="K1826" s="16" t="s">
        <v>76</v>
      </c>
      <c r="L1826" s="16" t="str">
        <f>IF(COUNTIFS(Pessoas!$C$5:$C$44,$K1826,Pessoas!$G$5:$G$44,"Ativo")=0,"Equipe "&amp;$K1826,INDEX(Pessoas!$A$5:$A$44,_xludf.aggregate(15,6,(ROW(Pessoas!$A$5:$A$44)-4)/((Pessoas!$C$5:$C$44=$K1826)*(Pessoas!$G$5:$G$44="Ativo")),MOD(ROW()-6,MAX(1,COUNTIFS(Pessoas!$C$5:$C$44,$K1826,Pessoas!$G$5:$G$44,"Ativo")))+1)))</f>
        <v>Equipe Oficina Mecânica Central-Taisa</v>
      </c>
    </row>
    <row r="1827" spans="1:12" ht="15" customHeight="1" x14ac:dyDescent="0.4">
      <c r="A1827" s="25">
        <v>46545</v>
      </c>
      <c r="B1827" s="16">
        <v>40</v>
      </c>
      <c r="C1827" s="16">
        <v>4</v>
      </c>
      <c r="D1827" s="16">
        <v>6</v>
      </c>
      <c r="E1827" s="16" t="s">
        <v>1371</v>
      </c>
      <c r="F1827" s="16" t="s">
        <v>1275</v>
      </c>
      <c r="G1827" s="16" t="s">
        <v>158</v>
      </c>
      <c r="H1827" s="16" t="s">
        <v>141</v>
      </c>
      <c r="I1827" s="22" t="s">
        <v>856</v>
      </c>
      <c r="J1827" s="16">
        <f>IFERROR(INDEX(Aux_HH!$J$4:$J$31,MATCH($H1827&amp;"|"&amp;$I1827,Aux_HH!$A$4:$A$31,0)),"")</f>
        <v>2</v>
      </c>
      <c r="K1827" s="16" t="s">
        <v>76</v>
      </c>
      <c r="L1827" s="16" t="str">
        <f>IF(COUNTIFS(Pessoas!$C$5:$C$44,$K1827,Pessoas!$G$5:$G$44,"Ativo")=0,"Equipe "&amp;$K1827,INDEX(Pessoas!$A$5:$A$44,_xludf.aggregate(15,6,(ROW(Pessoas!$A$5:$A$44)-4)/((Pessoas!$C$5:$C$44=$K1827)*(Pessoas!$G$5:$G$44="Ativo")),MOD(ROW()-6,MAX(1,COUNTIFS(Pessoas!$C$5:$C$44,$K1827,Pessoas!$G$5:$G$44,"Ativo")))+1)))</f>
        <v>Equipe Oficina Mecânica Central-Taisa</v>
      </c>
    </row>
    <row r="1828" spans="1:12" ht="15" customHeight="1" x14ac:dyDescent="0.4">
      <c r="A1828" s="25">
        <v>46545</v>
      </c>
      <c r="B1828" s="16">
        <v>40</v>
      </c>
      <c r="C1828" s="16">
        <v>4</v>
      </c>
      <c r="D1828" s="16">
        <v>6</v>
      </c>
      <c r="E1828" s="16" t="s">
        <v>1371</v>
      </c>
      <c r="F1828" s="16" t="s">
        <v>1276</v>
      </c>
      <c r="G1828" s="16" t="s">
        <v>158</v>
      </c>
      <c r="H1828" s="16" t="s">
        <v>141</v>
      </c>
      <c r="I1828" s="22" t="s">
        <v>856</v>
      </c>
      <c r="J1828" s="16">
        <f>IFERROR(INDEX(Aux_HH!$J$4:$J$31,MATCH($H1828&amp;"|"&amp;$I1828,Aux_HH!$A$4:$A$31,0)),"")</f>
        <v>2</v>
      </c>
      <c r="K1828" s="16" t="s">
        <v>76</v>
      </c>
      <c r="L1828" s="16" t="str">
        <f>IF(COUNTIFS(Pessoas!$C$5:$C$44,$K1828,Pessoas!$G$5:$G$44,"Ativo")=0,"Equipe "&amp;$K1828,INDEX(Pessoas!$A$5:$A$44,_xludf.aggregate(15,6,(ROW(Pessoas!$A$5:$A$44)-4)/((Pessoas!$C$5:$C$44=$K1828)*(Pessoas!$G$5:$G$44="Ativo")),MOD(ROW()-6,MAX(1,COUNTIFS(Pessoas!$C$5:$C$44,$K1828,Pessoas!$G$5:$G$44,"Ativo")))+1)))</f>
        <v>Equipe Oficina Mecânica Central-Taisa</v>
      </c>
    </row>
    <row r="1829" spans="1:12" ht="15" customHeight="1" x14ac:dyDescent="0.4">
      <c r="A1829" s="25">
        <v>46545</v>
      </c>
      <c r="B1829" s="16">
        <v>40</v>
      </c>
      <c r="C1829" s="16">
        <v>4</v>
      </c>
      <c r="D1829" s="16">
        <v>6</v>
      </c>
      <c r="E1829" s="16" t="s">
        <v>1371</v>
      </c>
      <c r="F1829" s="16" t="s">
        <v>1277</v>
      </c>
      <c r="G1829" s="16" t="s">
        <v>158</v>
      </c>
      <c r="H1829" s="16" t="s">
        <v>141</v>
      </c>
      <c r="I1829" s="22" t="s">
        <v>856</v>
      </c>
      <c r="J1829" s="16">
        <f>IFERROR(INDEX(Aux_HH!$J$4:$J$31,MATCH($H1829&amp;"|"&amp;$I1829,Aux_HH!$A$4:$A$31,0)),"")</f>
        <v>2</v>
      </c>
      <c r="K1829" s="16" t="s">
        <v>76</v>
      </c>
      <c r="L1829" s="16" t="str">
        <f>IF(COUNTIFS(Pessoas!$C$5:$C$44,$K1829,Pessoas!$G$5:$G$44,"Ativo")=0,"Equipe "&amp;$K1829,INDEX(Pessoas!$A$5:$A$44,_xludf.aggregate(15,6,(ROW(Pessoas!$A$5:$A$44)-4)/((Pessoas!$C$5:$C$44=$K1829)*(Pessoas!$G$5:$G$44="Ativo")),MOD(ROW()-6,MAX(1,COUNTIFS(Pessoas!$C$5:$C$44,$K1829,Pessoas!$G$5:$G$44,"Ativo")))+1)))</f>
        <v>Equipe Oficina Mecânica Central-Taisa</v>
      </c>
    </row>
    <row r="1830" spans="1:12" ht="15" customHeight="1" x14ac:dyDescent="0.4">
      <c r="A1830" s="25">
        <v>46545</v>
      </c>
      <c r="B1830" s="16">
        <v>40</v>
      </c>
      <c r="C1830" s="16">
        <v>4</v>
      </c>
      <c r="D1830" s="16">
        <v>6</v>
      </c>
      <c r="E1830" s="16" t="s">
        <v>1371</v>
      </c>
      <c r="F1830" s="16" t="s">
        <v>1278</v>
      </c>
      <c r="G1830" s="16" t="s">
        <v>158</v>
      </c>
      <c r="H1830" s="16" t="s">
        <v>141</v>
      </c>
      <c r="I1830" s="22" t="s">
        <v>856</v>
      </c>
      <c r="J1830" s="16">
        <f>IFERROR(INDEX(Aux_HH!$J$4:$J$31,MATCH($H1830&amp;"|"&amp;$I1830,Aux_HH!$A$4:$A$31,0)),"")</f>
        <v>2</v>
      </c>
      <c r="K1830" s="16" t="s">
        <v>76</v>
      </c>
      <c r="L1830" s="16" t="str">
        <f>IF(COUNTIFS(Pessoas!$C$5:$C$44,$K1830,Pessoas!$G$5:$G$44,"Ativo")=0,"Equipe "&amp;$K1830,INDEX(Pessoas!$A$5:$A$44,_xludf.aggregate(15,6,(ROW(Pessoas!$A$5:$A$44)-4)/((Pessoas!$C$5:$C$44=$K1830)*(Pessoas!$G$5:$G$44="Ativo")),MOD(ROW()-6,MAX(1,COUNTIFS(Pessoas!$C$5:$C$44,$K1830,Pessoas!$G$5:$G$44,"Ativo")))+1)))</f>
        <v>Equipe Oficina Mecânica Central-Taisa</v>
      </c>
    </row>
    <row r="1831" spans="1:12" ht="15" customHeight="1" x14ac:dyDescent="0.4">
      <c r="A1831" s="25">
        <v>46545</v>
      </c>
      <c r="B1831" s="16">
        <v>40</v>
      </c>
      <c r="C1831" s="16">
        <v>4</v>
      </c>
      <c r="D1831" s="16">
        <v>6</v>
      </c>
      <c r="E1831" s="16" t="s">
        <v>1371</v>
      </c>
      <c r="F1831" s="16" t="s">
        <v>1279</v>
      </c>
      <c r="G1831" s="16" t="s">
        <v>158</v>
      </c>
      <c r="H1831" s="16" t="s">
        <v>141</v>
      </c>
      <c r="I1831" s="22" t="s">
        <v>856</v>
      </c>
      <c r="J1831" s="16">
        <f>IFERROR(INDEX(Aux_HH!$J$4:$J$31,MATCH($H1831&amp;"|"&amp;$I1831,Aux_HH!$A$4:$A$31,0)),"")</f>
        <v>2</v>
      </c>
      <c r="K1831" s="16" t="s">
        <v>76</v>
      </c>
      <c r="L1831" s="16" t="str">
        <f>IF(COUNTIFS(Pessoas!$C$5:$C$44,$K1831,Pessoas!$G$5:$G$44,"Ativo")=0,"Equipe "&amp;$K1831,INDEX(Pessoas!$A$5:$A$44,_xludf.aggregate(15,6,(ROW(Pessoas!$A$5:$A$44)-4)/((Pessoas!$C$5:$C$44=$K1831)*(Pessoas!$G$5:$G$44="Ativo")),MOD(ROW()-6,MAX(1,COUNTIFS(Pessoas!$C$5:$C$44,$K1831,Pessoas!$G$5:$G$44,"Ativo")))+1)))</f>
        <v>Equipe Oficina Mecânica Central-Taisa</v>
      </c>
    </row>
    <row r="1832" spans="1:12" ht="15" customHeight="1" x14ac:dyDescent="0.4">
      <c r="A1832" s="25">
        <v>46545</v>
      </c>
      <c r="B1832" s="16">
        <v>40</v>
      </c>
      <c r="C1832" s="16">
        <v>4</v>
      </c>
      <c r="D1832" s="16">
        <v>6</v>
      </c>
      <c r="E1832" s="16" t="s">
        <v>1371</v>
      </c>
      <c r="F1832" s="16" t="s">
        <v>1280</v>
      </c>
      <c r="G1832" s="16" t="s">
        <v>158</v>
      </c>
      <c r="H1832" s="16" t="s">
        <v>141</v>
      </c>
      <c r="I1832" s="22" t="s">
        <v>856</v>
      </c>
      <c r="J1832" s="16">
        <f>IFERROR(INDEX(Aux_HH!$J$4:$J$31,MATCH($H1832&amp;"|"&amp;$I1832,Aux_HH!$A$4:$A$31,0)),"")</f>
        <v>2</v>
      </c>
      <c r="K1832" s="16" t="s">
        <v>76</v>
      </c>
      <c r="L1832" s="16" t="str">
        <f>IF(COUNTIFS(Pessoas!$C$5:$C$44,$K1832,Pessoas!$G$5:$G$44,"Ativo")=0,"Equipe "&amp;$K1832,INDEX(Pessoas!$A$5:$A$44,_xludf.aggregate(15,6,(ROW(Pessoas!$A$5:$A$44)-4)/((Pessoas!$C$5:$C$44=$K1832)*(Pessoas!$G$5:$G$44="Ativo")),MOD(ROW()-6,MAX(1,COUNTIFS(Pessoas!$C$5:$C$44,$K1832,Pessoas!$G$5:$G$44,"Ativo")))+1)))</f>
        <v>Equipe Oficina Mecânica Central-Taisa</v>
      </c>
    </row>
    <row r="1833" spans="1:12" ht="15" customHeight="1" x14ac:dyDescent="0.4">
      <c r="A1833" s="25">
        <v>46545</v>
      </c>
      <c r="B1833" s="16">
        <v>40</v>
      </c>
      <c r="C1833" s="16">
        <v>4</v>
      </c>
      <c r="D1833" s="16">
        <v>6</v>
      </c>
      <c r="E1833" s="16" t="s">
        <v>1371</v>
      </c>
      <c r="F1833" s="16" t="s">
        <v>1281</v>
      </c>
      <c r="G1833" s="16" t="s">
        <v>158</v>
      </c>
      <c r="H1833" s="16" t="s">
        <v>141</v>
      </c>
      <c r="I1833" s="22" t="s">
        <v>856</v>
      </c>
      <c r="J1833" s="16">
        <f>IFERROR(INDEX(Aux_HH!$J$4:$J$31,MATCH($H1833&amp;"|"&amp;$I1833,Aux_HH!$A$4:$A$31,0)),"")</f>
        <v>2</v>
      </c>
      <c r="K1833" s="16" t="s">
        <v>76</v>
      </c>
      <c r="L1833" s="16" t="str">
        <f>IF(COUNTIFS(Pessoas!$C$5:$C$44,$K1833,Pessoas!$G$5:$G$44,"Ativo")=0,"Equipe "&amp;$K1833,INDEX(Pessoas!$A$5:$A$44,_xludf.aggregate(15,6,(ROW(Pessoas!$A$5:$A$44)-4)/((Pessoas!$C$5:$C$44=$K1833)*(Pessoas!$G$5:$G$44="Ativo")),MOD(ROW()-6,MAX(1,COUNTIFS(Pessoas!$C$5:$C$44,$K1833,Pessoas!$G$5:$G$44,"Ativo")))+1)))</f>
        <v>Equipe Oficina Mecânica Central-Taisa</v>
      </c>
    </row>
    <row r="1834" spans="1:12" ht="15" customHeight="1" x14ac:dyDescent="0.4">
      <c r="A1834" s="25">
        <v>46545</v>
      </c>
      <c r="B1834" s="16">
        <v>40</v>
      </c>
      <c r="C1834" s="16">
        <v>4</v>
      </c>
      <c r="D1834" s="16">
        <v>6</v>
      </c>
      <c r="E1834" s="16" t="s">
        <v>1371</v>
      </c>
      <c r="F1834" s="16" t="s">
        <v>1282</v>
      </c>
      <c r="G1834" s="16" t="s">
        <v>158</v>
      </c>
      <c r="H1834" s="16" t="s">
        <v>141</v>
      </c>
      <c r="I1834" s="22" t="s">
        <v>856</v>
      </c>
      <c r="J1834" s="16">
        <f>IFERROR(INDEX(Aux_HH!$J$4:$J$31,MATCH($H1834&amp;"|"&amp;$I1834,Aux_HH!$A$4:$A$31,0)),"")</f>
        <v>2</v>
      </c>
      <c r="K1834" s="16" t="s">
        <v>76</v>
      </c>
      <c r="L1834" s="16" t="str">
        <f>IF(COUNTIFS(Pessoas!$C$5:$C$44,$K1834,Pessoas!$G$5:$G$44,"Ativo")=0,"Equipe "&amp;$K1834,INDEX(Pessoas!$A$5:$A$44,_xludf.aggregate(15,6,(ROW(Pessoas!$A$5:$A$44)-4)/((Pessoas!$C$5:$C$44=$K1834)*(Pessoas!$G$5:$G$44="Ativo")),MOD(ROW()-6,MAX(1,COUNTIFS(Pessoas!$C$5:$C$44,$K1834,Pessoas!$G$5:$G$44,"Ativo")))+1)))</f>
        <v>Equipe Oficina Mecânica Central-Taisa</v>
      </c>
    </row>
    <row r="1835" spans="1:12" ht="15" customHeight="1" x14ac:dyDescent="0.4">
      <c r="A1835" s="25">
        <v>46545</v>
      </c>
      <c r="B1835" s="16">
        <v>40</v>
      </c>
      <c r="C1835" s="16">
        <v>4</v>
      </c>
      <c r="D1835" s="16">
        <v>6</v>
      </c>
      <c r="E1835" s="16" t="s">
        <v>1371</v>
      </c>
      <c r="F1835" s="16" t="s">
        <v>1283</v>
      </c>
      <c r="G1835" s="16" t="s">
        <v>158</v>
      </c>
      <c r="H1835" s="16" t="s">
        <v>141</v>
      </c>
      <c r="I1835" s="22" t="s">
        <v>856</v>
      </c>
      <c r="J1835" s="16">
        <f>IFERROR(INDEX(Aux_HH!$J$4:$J$31,MATCH($H1835&amp;"|"&amp;$I1835,Aux_HH!$A$4:$A$31,0)),"")</f>
        <v>2</v>
      </c>
      <c r="K1835" s="16" t="s">
        <v>76</v>
      </c>
      <c r="L1835" s="16" t="str">
        <f>IF(COUNTIFS(Pessoas!$C$5:$C$44,$K1835,Pessoas!$G$5:$G$44,"Ativo")=0,"Equipe "&amp;$K1835,INDEX(Pessoas!$A$5:$A$44,_xludf.aggregate(15,6,(ROW(Pessoas!$A$5:$A$44)-4)/((Pessoas!$C$5:$C$44=$K1835)*(Pessoas!$G$5:$G$44="Ativo")),MOD(ROW()-6,MAX(1,COUNTIFS(Pessoas!$C$5:$C$44,$K1835,Pessoas!$G$5:$G$44,"Ativo")))+1)))</f>
        <v>Equipe Oficina Mecânica Central-Taisa</v>
      </c>
    </row>
    <row r="1836" spans="1:12" ht="15" customHeight="1" x14ac:dyDescent="0.4">
      <c r="A1836" s="25">
        <v>46545</v>
      </c>
      <c r="B1836" s="16">
        <v>40</v>
      </c>
      <c r="C1836" s="16">
        <v>4</v>
      </c>
      <c r="D1836" s="16">
        <v>6</v>
      </c>
      <c r="E1836" s="16" t="s">
        <v>1371</v>
      </c>
      <c r="F1836" s="16" t="s">
        <v>1284</v>
      </c>
      <c r="G1836" s="16" t="s">
        <v>184</v>
      </c>
      <c r="H1836" s="16" t="s">
        <v>141</v>
      </c>
      <c r="I1836" s="22" t="s">
        <v>856</v>
      </c>
      <c r="J1836" s="16">
        <f>IFERROR(INDEX(Aux_HH!$J$4:$J$31,MATCH($H1836&amp;"|"&amp;$I1836,Aux_HH!$A$4:$A$31,0)),"")</f>
        <v>2</v>
      </c>
      <c r="K1836" s="16" t="s">
        <v>76</v>
      </c>
      <c r="L1836" s="16" t="str">
        <f>IF(COUNTIFS(Pessoas!$C$5:$C$44,$K1836,Pessoas!$G$5:$G$44,"Ativo")=0,"Equipe "&amp;$K1836,INDEX(Pessoas!$A$5:$A$44,_xludf.aggregate(15,6,(ROW(Pessoas!$A$5:$A$44)-4)/((Pessoas!$C$5:$C$44=$K1836)*(Pessoas!$G$5:$G$44="Ativo")),MOD(ROW()-6,MAX(1,COUNTIFS(Pessoas!$C$5:$C$44,$K1836,Pessoas!$G$5:$G$44,"Ativo")))+1)))</f>
        <v>Equipe Oficina Mecânica Central-Taisa</v>
      </c>
    </row>
    <row r="1837" spans="1:12" ht="15" customHeight="1" x14ac:dyDescent="0.4">
      <c r="A1837" s="25">
        <v>46545</v>
      </c>
      <c r="B1837" s="16">
        <v>40</v>
      </c>
      <c r="C1837" s="16">
        <v>4</v>
      </c>
      <c r="D1837" s="16">
        <v>6</v>
      </c>
      <c r="E1837" s="16" t="s">
        <v>1371</v>
      </c>
      <c r="F1837" s="16" t="s">
        <v>1285</v>
      </c>
      <c r="G1837" s="16" t="s">
        <v>184</v>
      </c>
      <c r="H1837" s="16" t="s">
        <v>141</v>
      </c>
      <c r="I1837" s="22" t="s">
        <v>856</v>
      </c>
      <c r="J1837" s="16">
        <f>IFERROR(INDEX(Aux_HH!$J$4:$J$31,MATCH($H1837&amp;"|"&amp;$I1837,Aux_HH!$A$4:$A$31,0)),"")</f>
        <v>2</v>
      </c>
      <c r="K1837" s="16" t="s">
        <v>76</v>
      </c>
      <c r="L1837" s="16" t="str">
        <f>IF(COUNTIFS(Pessoas!$C$5:$C$44,$K1837,Pessoas!$G$5:$G$44,"Ativo")=0,"Equipe "&amp;$K1837,INDEX(Pessoas!$A$5:$A$44,_xludf.aggregate(15,6,(ROW(Pessoas!$A$5:$A$44)-4)/((Pessoas!$C$5:$C$44=$K1837)*(Pessoas!$G$5:$G$44="Ativo")),MOD(ROW()-6,MAX(1,COUNTIFS(Pessoas!$C$5:$C$44,$K1837,Pessoas!$G$5:$G$44,"Ativo")))+1)))</f>
        <v>Equipe Oficina Mecânica Central-Taisa</v>
      </c>
    </row>
    <row r="1838" spans="1:12" ht="15" customHeight="1" x14ac:dyDescent="0.4">
      <c r="A1838" s="25">
        <v>46545</v>
      </c>
      <c r="B1838" s="16">
        <v>40</v>
      </c>
      <c r="C1838" s="16">
        <v>4</v>
      </c>
      <c r="D1838" s="16">
        <v>6</v>
      </c>
      <c r="E1838" s="16" t="s">
        <v>1371</v>
      </c>
      <c r="F1838" s="16" t="s">
        <v>1286</v>
      </c>
      <c r="G1838" s="16" t="s">
        <v>184</v>
      </c>
      <c r="H1838" s="16" t="s">
        <v>141</v>
      </c>
      <c r="I1838" s="22" t="s">
        <v>856</v>
      </c>
      <c r="J1838" s="16">
        <f>IFERROR(INDEX(Aux_HH!$J$4:$J$31,MATCH($H1838&amp;"|"&amp;$I1838,Aux_HH!$A$4:$A$31,0)),"")</f>
        <v>2</v>
      </c>
      <c r="K1838" s="16" t="s">
        <v>76</v>
      </c>
      <c r="L1838" s="16" t="str">
        <f>IF(COUNTIFS(Pessoas!$C$5:$C$44,$K1838,Pessoas!$G$5:$G$44,"Ativo")=0,"Equipe "&amp;$K1838,INDEX(Pessoas!$A$5:$A$44,_xludf.aggregate(15,6,(ROW(Pessoas!$A$5:$A$44)-4)/((Pessoas!$C$5:$C$44=$K1838)*(Pessoas!$G$5:$G$44="Ativo")),MOD(ROW()-6,MAX(1,COUNTIFS(Pessoas!$C$5:$C$44,$K1838,Pessoas!$G$5:$G$44,"Ativo")))+1)))</f>
        <v>Equipe Oficina Mecânica Central-Taisa</v>
      </c>
    </row>
    <row r="1839" spans="1:12" ht="15" customHeight="1" x14ac:dyDescent="0.4">
      <c r="A1839" s="25">
        <v>46545</v>
      </c>
      <c r="B1839" s="16">
        <v>40</v>
      </c>
      <c r="C1839" s="16">
        <v>4</v>
      </c>
      <c r="D1839" s="16">
        <v>6</v>
      </c>
      <c r="E1839" s="16" t="s">
        <v>1371</v>
      </c>
      <c r="F1839" s="16" t="s">
        <v>1287</v>
      </c>
      <c r="G1839" s="16" t="s">
        <v>184</v>
      </c>
      <c r="H1839" s="16" t="s">
        <v>141</v>
      </c>
      <c r="I1839" s="22" t="s">
        <v>856</v>
      </c>
      <c r="J1839" s="16">
        <f>IFERROR(INDEX(Aux_HH!$J$4:$J$31,MATCH($H1839&amp;"|"&amp;$I1839,Aux_HH!$A$4:$A$31,0)),"")</f>
        <v>2</v>
      </c>
      <c r="K1839" s="16" t="s">
        <v>76</v>
      </c>
      <c r="L1839" s="16" t="str">
        <f>IF(COUNTIFS(Pessoas!$C$5:$C$44,$K1839,Pessoas!$G$5:$G$44,"Ativo")=0,"Equipe "&amp;$K1839,INDEX(Pessoas!$A$5:$A$44,_xludf.aggregate(15,6,(ROW(Pessoas!$A$5:$A$44)-4)/((Pessoas!$C$5:$C$44=$K1839)*(Pessoas!$G$5:$G$44="Ativo")),MOD(ROW()-6,MAX(1,COUNTIFS(Pessoas!$C$5:$C$44,$K1839,Pessoas!$G$5:$G$44,"Ativo")))+1)))</f>
        <v>Equipe Oficina Mecânica Central-Taisa</v>
      </c>
    </row>
    <row r="1840" spans="1:12" ht="15" customHeight="1" x14ac:dyDescent="0.4">
      <c r="A1840" s="25">
        <v>46545</v>
      </c>
      <c r="B1840" s="16">
        <v>40</v>
      </c>
      <c r="C1840" s="16">
        <v>4</v>
      </c>
      <c r="D1840" s="16">
        <v>6</v>
      </c>
      <c r="E1840" s="16" t="s">
        <v>1371</v>
      </c>
      <c r="F1840" s="16" t="s">
        <v>1288</v>
      </c>
      <c r="G1840" s="16" t="s">
        <v>184</v>
      </c>
      <c r="H1840" s="16" t="s">
        <v>141</v>
      </c>
      <c r="I1840" s="22" t="s">
        <v>856</v>
      </c>
      <c r="J1840" s="16">
        <f>IFERROR(INDEX(Aux_HH!$J$4:$J$31,MATCH($H1840&amp;"|"&amp;$I1840,Aux_HH!$A$4:$A$31,0)),"")</f>
        <v>2</v>
      </c>
      <c r="K1840" s="16" t="s">
        <v>76</v>
      </c>
      <c r="L1840" s="16" t="str">
        <f>IF(COUNTIFS(Pessoas!$C$5:$C$44,$K1840,Pessoas!$G$5:$G$44,"Ativo")=0,"Equipe "&amp;$K1840,INDEX(Pessoas!$A$5:$A$44,_xludf.aggregate(15,6,(ROW(Pessoas!$A$5:$A$44)-4)/((Pessoas!$C$5:$C$44=$K1840)*(Pessoas!$G$5:$G$44="Ativo")),MOD(ROW()-6,MAX(1,COUNTIFS(Pessoas!$C$5:$C$44,$K1840,Pessoas!$G$5:$G$44,"Ativo")))+1)))</f>
        <v>Equipe Oficina Mecânica Central-Taisa</v>
      </c>
    </row>
    <row r="1841" spans="1:12" ht="15" customHeight="1" x14ac:dyDescent="0.4">
      <c r="A1841" s="25">
        <v>46545</v>
      </c>
      <c r="B1841" s="16">
        <v>40</v>
      </c>
      <c r="C1841" s="16">
        <v>4</v>
      </c>
      <c r="D1841" s="16">
        <v>6</v>
      </c>
      <c r="E1841" s="16" t="s">
        <v>1371</v>
      </c>
      <c r="F1841" s="16" t="s">
        <v>1289</v>
      </c>
      <c r="G1841" s="16" t="s">
        <v>184</v>
      </c>
      <c r="H1841" s="16" t="s">
        <v>141</v>
      </c>
      <c r="I1841" s="22" t="s">
        <v>856</v>
      </c>
      <c r="J1841" s="16">
        <f>IFERROR(INDEX(Aux_HH!$J$4:$J$31,MATCH($H1841&amp;"|"&amp;$I1841,Aux_HH!$A$4:$A$31,0)),"")</f>
        <v>2</v>
      </c>
      <c r="K1841" s="16" t="s">
        <v>76</v>
      </c>
      <c r="L1841" s="16" t="str">
        <f>IF(COUNTIFS(Pessoas!$C$5:$C$44,$K1841,Pessoas!$G$5:$G$44,"Ativo")=0,"Equipe "&amp;$K1841,INDEX(Pessoas!$A$5:$A$44,_xludf.aggregate(15,6,(ROW(Pessoas!$A$5:$A$44)-4)/((Pessoas!$C$5:$C$44=$K1841)*(Pessoas!$G$5:$G$44="Ativo")),MOD(ROW()-6,MAX(1,COUNTIFS(Pessoas!$C$5:$C$44,$K1841,Pessoas!$G$5:$G$44,"Ativo")))+1)))</f>
        <v>Equipe Oficina Mecânica Central-Taisa</v>
      </c>
    </row>
    <row r="1842" spans="1:12" ht="15" customHeight="1" x14ac:dyDescent="0.4">
      <c r="A1842" s="25">
        <v>46545</v>
      </c>
      <c r="B1842" s="16">
        <v>40</v>
      </c>
      <c r="C1842" s="16">
        <v>4</v>
      </c>
      <c r="D1842" s="16">
        <v>6</v>
      </c>
      <c r="E1842" s="16" t="s">
        <v>1371</v>
      </c>
      <c r="F1842" s="16" t="s">
        <v>1290</v>
      </c>
      <c r="G1842" s="16" t="s">
        <v>184</v>
      </c>
      <c r="H1842" s="16" t="s">
        <v>141</v>
      </c>
      <c r="I1842" s="22" t="s">
        <v>856</v>
      </c>
      <c r="J1842" s="16">
        <f>IFERROR(INDEX(Aux_HH!$J$4:$J$31,MATCH($H1842&amp;"|"&amp;$I1842,Aux_HH!$A$4:$A$31,0)),"")</f>
        <v>2</v>
      </c>
      <c r="K1842" s="16" t="s">
        <v>76</v>
      </c>
      <c r="L1842" s="16" t="str">
        <f>IF(COUNTIFS(Pessoas!$C$5:$C$44,$K1842,Pessoas!$G$5:$G$44,"Ativo")=0,"Equipe "&amp;$K1842,INDEX(Pessoas!$A$5:$A$44,_xludf.aggregate(15,6,(ROW(Pessoas!$A$5:$A$44)-4)/((Pessoas!$C$5:$C$44=$K1842)*(Pessoas!$G$5:$G$44="Ativo")),MOD(ROW()-6,MAX(1,COUNTIFS(Pessoas!$C$5:$C$44,$K1842,Pessoas!$G$5:$G$44,"Ativo")))+1)))</f>
        <v>Equipe Oficina Mecânica Central-Taisa</v>
      </c>
    </row>
    <row r="1843" spans="1:12" ht="15" customHeight="1" x14ac:dyDescent="0.4">
      <c r="A1843" s="25">
        <v>46545</v>
      </c>
      <c r="B1843" s="16">
        <v>40</v>
      </c>
      <c r="C1843" s="16">
        <v>4</v>
      </c>
      <c r="D1843" s="16">
        <v>6</v>
      </c>
      <c r="E1843" s="16" t="s">
        <v>1371</v>
      </c>
      <c r="F1843" s="16" t="s">
        <v>1291</v>
      </c>
      <c r="G1843" s="16" t="s">
        <v>184</v>
      </c>
      <c r="H1843" s="16" t="s">
        <v>141</v>
      </c>
      <c r="I1843" s="22" t="s">
        <v>856</v>
      </c>
      <c r="J1843" s="16">
        <f>IFERROR(INDEX(Aux_HH!$J$4:$J$31,MATCH($H1843&amp;"|"&amp;$I1843,Aux_HH!$A$4:$A$31,0)),"")</f>
        <v>2</v>
      </c>
      <c r="K1843" s="16" t="s">
        <v>76</v>
      </c>
      <c r="L1843" s="16" t="str">
        <f>IF(COUNTIFS(Pessoas!$C$5:$C$44,$K1843,Pessoas!$G$5:$G$44,"Ativo")=0,"Equipe "&amp;$K1843,INDEX(Pessoas!$A$5:$A$44,_xludf.aggregate(15,6,(ROW(Pessoas!$A$5:$A$44)-4)/((Pessoas!$C$5:$C$44=$K1843)*(Pessoas!$G$5:$G$44="Ativo")),MOD(ROW()-6,MAX(1,COUNTIFS(Pessoas!$C$5:$C$44,$K1843,Pessoas!$G$5:$G$44,"Ativo")))+1)))</f>
        <v>Equipe Oficina Mecânica Central-Taisa</v>
      </c>
    </row>
    <row r="1844" spans="1:12" ht="15" customHeight="1" x14ac:dyDescent="0.4">
      <c r="A1844" s="25">
        <v>46545</v>
      </c>
      <c r="B1844" s="16">
        <v>40</v>
      </c>
      <c r="C1844" s="16">
        <v>4</v>
      </c>
      <c r="D1844" s="16">
        <v>6</v>
      </c>
      <c r="E1844" s="16" t="s">
        <v>1371</v>
      </c>
      <c r="F1844" s="16" t="s">
        <v>1292</v>
      </c>
      <c r="G1844" s="16" t="s">
        <v>184</v>
      </c>
      <c r="H1844" s="16" t="s">
        <v>141</v>
      </c>
      <c r="I1844" s="22" t="s">
        <v>856</v>
      </c>
      <c r="J1844" s="16">
        <f>IFERROR(INDEX(Aux_HH!$J$4:$J$31,MATCH($H1844&amp;"|"&amp;$I1844,Aux_HH!$A$4:$A$31,0)),"")</f>
        <v>2</v>
      </c>
      <c r="K1844" s="16" t="s">
        <v>76</v>
      </c>
      <c r="L1844" s="16" t="str">
        <f>IF(COUNTIFS(Pessoas!$C$5:$C$44,$K1844,Pessoas!$G$5:$G$44,"Ativo")=0,"Equipe "&amp;$K1844,INDEX(Pessoas!$A$5:$A$44,_xludf.aggregate(15,6,(ROW(Pessoas!$A$5:$A$44)-4)/((Pessoas!$C$5:$C$44=$K1844)*(Pessoas!$G$5:$G$44="Ativo")),MOD(ROW()-6,MAX(1,COUNTIFS(Pessoas!$C$5:$C$44,$K1844,Pessoas!$G$5:$G$44,"Ativo")))+1)))</f>
        <v>Equipe Oficina Mecânica Central-Taisa</v>
      </c>
    </row>
    <row r="1845" spans="1:12" ht="15" customHeight="1" x14ac:dyDescent="0.4">
      <c r="A1845" s="25">
        <v>46545</v>
      </c>
      <c r="B1845" s="16">
        <v>40</v>
      </c>
      <c r="C1845" s="16">
        <v>4</v>
      </c>
      <c r="D1845" s="16">
        <v>6</v>
      </c>
      <c r="E1845" s="16" t="s">
        <v>1371</v>
      </c>
      <c r="F1845" s="16" t="s">
        <v>1293</v>
      </c>
      <c r="G1845" s="16" t="s">
        <v>184</v>
      </c>
      <c r="H1845" s="16" t="s">
        <v>141</v>
      </c>
      <c r="I1845" s="22" t="s">
        <v>856</v>
      </c>
      <c r="J1845" s="16">
        <f>IFERROR(INDEX(Aux_HH!$J$4:$J$31,MATCH($H1845&amp;"|"&amp;$I1845,Aux_HH!$A$4:$A$31,0)),"")</f>
        <v>2</v>
      </c>
      <c r="K1845" s="16" t="s">
        <v>76</v>
      </c>
      <c r="L1845" s="16" t="str">
        <f>IF(COUNTIFS(Pessoas!$C$5:$C$44,$K1845,Pessoas!$G$5:$G$44,"Ativo")=0,"Equipe "&amp;$K1845,INDEX(Pessoas!$A$5:$A$44,_xludf.aggregate(15,6,(ROW(Pessoas!$A$5:$A$44)-4)/((Pessoas!$C$5:$C$44=$K1845)*(Pessoas!$G$5:$G$44="Ativo")),MOD(ROW()-6,MAX(1,COUNTIFS(Pessoas!$C$5:$C$44,$K1845,Pessoas!$G$5:$G$44,"Ativo")))+1)))</f>
        <v>Equipe Oficina Mecânica Central-Taisa</v>
      </c>
    </row>
    <row r="1846" spans="1:12" ht="15" customHeight="1" x14ac:dyDescent="0.4">
      <c r="A1846" s="25">
        <v>46545</v>
      </c>
      <c r="B1846" s="16">
        <v>40</v>
      </c>
      <c r="C1846" s="16">
        <v>4</v>
      </c>
      <c r="D1846" s="16">
        <v>6</v>
      </c>
      <c r="E1846" s="16" t="s">
        <v>1371</v>
      </c>
      <c r="F1846" s="16" t="s">
        <v>1294</v>
      </c>
      <c r="G1846" s="16" t="s">
        <v>184</v>
      </c>
      <c r="H1846" s="16" t="s">
        <v>141</v>
      </c>
      <c r="I1846" s="22" t="s">
        <v>856</v>
      </c>
      <c r="J1846" s="16">
        <f>IFERROR(INDEX(Aux_HH!$J$4:$J$31,MATCH($H1846&amp;"|"&amp;$I1846,Aux_HH!$A$4:$A$31,0)),"")</f>
        <v>2</v>
      </c>
      <c r="K1846" s="16" t="s">
        <v>76</v>
      </c>
      <c r="L1846" s="16" t="str">
        <f>IF(COUNTIFS(Pessoas!$C$5:$C$44,$K1846,Pessoas!$G$5:$G$44,"Ativo")=0,"Equipe "&amp;$K1846,INDEX(Pessoas!$A$5:$A$44,_xludf.aggregate(15,6,(ROW(Pessoas!$A$5:$A$44)-4)/((Pessoas!$C$5:$C$44=$K1846)*(Pessoas!$G$5:$G$44="Ativo")),MOD(ROW()-6,MAX(1,COUNTIFS(Pessoas!$C$5:$C$44,$K1846,Pessoas!$G$5:$G$44,"Ativo")))+1)))</f>
        <v>Equipe Oficina Mecânica Central-Taisa</v>
      </c>
    </row>
    <row r="1847" spans="1:12" ht="15" customHeight="1" x14ac:dyDescent="0.4">
      <c r="A1847" s="25">
        <v>46545</v>
      </c>
      <c r="B1847" s="16">
        <v>40</v>
      </c>
      <c r="C1847" s="16">
        <v>4</v>
      </c>
      <c r="D1847" s="16">
        <v>6</v>
      </c>
      <c r="E1847" s="16" t="s">
        <v>1371</v>
      </c>
      <c r="F1847" s="16" t="s">
        <v>1295</v>
      </c>
      <c r="G1847" s="16" t="s">
        <v>184</v>
      </c>
      <c r="H1847" s="16" t="s">
        <v>141</v>
      </c>
      <c r="I1847" s="22" t="s">
        <v>856</v>
      </c>
      <c r="J1847" s="16">
        <f>IFERROR(INDEX(Aux_HH!$J$4:$J$31,MATCH($H1847&amp;"|"&amp;$I1847,Aux_HH!$A$4:$A$31,0)),"")</f>
        <v>2</v>
      </c>
      <c r="K1847" s="16" t="s">
        <v>76</v>
      </c>
      <c r="L1847" s="16" t="str">
        <f>IF(COUNTIFS(Pessoas!$C$5:$C$44,$K1847,Pessoas!$G$5:$G$44,"Ativo")=0,"Equipe "&amp;$K1847,INDEX(Pessoas!$A$5:$A$44,_xludf.aggregate(15,6,(ROW(Pessoas!$A$5:$A$44)-4)/((Pessoas!$C$5:$C$44=$K1847)*(Pessoas!$G$5:$G$44="Ativo")),MOD(ROW()-6,MAX(1,COUNTIFS(Pessoas!$C$5:$C$44,$K1847,Pessoas!$G$5:$G$44,"Ativo")))+1)))</f>
        <v>Equipe Oficina Mecânica Central-Taisa</v>
      </c>
    </row>
    <row r="1848" spans="1:12" ht="15" customHeight="1" x14ac:dyDescent="0.4">
      <c r="A1848" s="25">
        <v>46545</v>
      </c>
      <c r="B1848" s="16">
        <v>40</v>
      </c>
      <c r="C1848" s="16">
        <v>4</v>
      </c>
      <c r="D1848" s="16">
        <v>6</v>
      </c>
      <c r="E1848" s="16" t="s">
        <v>1371</v>
      </c>
      <c r="F1848" s="16" t="s">
        <v>996</v>
      </c>
      <c r="G1848" s="16" t="s">
        <v>688</v>
      </c>
      <c r="H1848" s="16" t="s">
        <v>145</v>
      </c>
      <c r="I1848" s="22" t="s">
        <v>861</v>
      </c>
      <c r="J1848" s="16">
        <f>IFERROR(INDEX(Aux_HH!$J$4:$J$31,MATCH($H1848&amp;"|"&amp;$I1848,Aux_HH!$A$4:$A$31,0)),"")</f>
        <v>4</v>
      </c>
      <c r="K1848" s="16" t="s">
        <v>76</v>
      </c>
      <c r="L1848" s="16" t="str">
        <f>IF(COUNTIFS(Pessoas!$C$5:$C$44,$K1848,Pessoas!$G$5:$G$44,"Ativo")=0,"Equipe "&amp;$K1848,INDEX(Pessoas!$A$5:$A$44,_xludf.aggregate(15,6,(ROW(Pessoas!$A$5:$A$44)-4)/((Pessoas!$C$5:$C$44=$K1848)*(Pessoas!$G$5:$G$44="Ativo")),MOD(ROW()-6,MAX(1,COUNTIFS(Pessoas!$C$5:$C$44,$K1848,Pessoas!$G$5:$G$44,"Ativo")))+1)))</f>
        <v>Equipe Oficina Mecânica Central-Taisa</v>
      </c>
    </row>
    <row r="1849" spans="1:12" ht="15" customHeight="1" x14ac:dyDescent="0.4">
      <c r="A1849" s="25">
        <v>46545</v>
      </c>
      <c r="B1849" s="16">
        <v>40</v>
      </c>
      <c r="C1849" s="16">
        <v>4</v>
      </c>
      <c r="D1849" s="16">
        <v>6</v>
      </c>
      <c r="E1849" s="16" t="s">
        <v>1371</v>
      </c>
      <c r="F1849" s="16" t="s">
        <v>997</v>
      </c>
      <c r="G1849" s="16" t="s">
        <v>688</v>
      </c>
      <c r="H1849" s="16" t="s">
        <v>145</v>
      </c>
      <c r="I1849" s="22" t="s">
        <v>861</v>
      </c>
      <c r="J1849" s="16">
        <f>IFERROR(INDEX(Aux_HH!$J$4:$J$31,MATCH($H1849&amp;"|"&amp;$I1849,Aux_HH!$A$4:$A$31,0)),"")</f>
        <v>4</v>
      </c>
      <c r="K1849" s="16" t="s">
        <v>76</v>
      </c>
      <c r="L1849" s="16" t="str">
        <f>IF(COUNTIFS(Pessoas!$C$5:$C$44,$K1849,Pessoas!$G$5:$G$44,"Ativo")=0,"Equipe "&amp;$K1849,INDEX(Pessoas!$A$5:$A$44,_xludf.aggregate(15,6,(ROW(Pessoas!$A$5:$A$44)-4)/((Pessoas!$C$5:$C$44=$K1849)*(Pessoas!$G$5:$G$44="Ativo")),MOD(ROW()-6,MAX(1,COUNTIFS(Pessoas!$C$5:$C$44,$K1849,Pessoas!$G$5:$G$44,"Ativo")))+1)))</f>
        <v>Equipe Oficina Mecânica Central-Taisa</v>
      </c>
    </row>
    <row r="1850" spans="1:12" ht="15" customHeight="1" x14ac:dyDescent="0.4">
      <c r="A1850" s="25">
        <v>46553</v>
      </c>
      <c r="B1850" s="16">
        <v>42</v>
      </c>
      <c r="C1850" s="16">
        <v>4</v>
      </c>
      <c r="D1850" s="16">
        <v>6</v>
      </c>
      <c r="E1850" s="16" t="s">
        <v>1371</v>
      </c>
      <c r="F1850" s="16" t="s">
        <v>1007</v>
      </c>
      <c r="G1850" s="16" t="s">
        <v>526</v>
      </c>
      <c r="H1850" s="16" t="s">
        <v>143</v>
      </c>
      <c r="I1850" s="22" t="s">
        <v>861</v>
      </c>
      <c r="J1850" s="16">
        <f>IFERROR(INDEX(Aux_HH!$J$4:$J$31,MATCH($H1850&amp;"|"&amp;$I1850,Aux_HH!$A$4:$A$31,0)),"")</f>
        <v>4.5</v>
      </c>
      <c r="K1850" s="16" t="s">
        <v>76</v>
      </c>
      <c r="L1850" s="16" t="str">
        <f>IF(COUNTIFS(Pessoas!$C$5:$C$44,$K1850,Pessoas!$G$5:$G$44,"Ativo")=0,"Equipe "&amp;$K1850,INDEX(Pessoas!$A$5:$A$44,_xludf.aggregate(15,6,(ROW(Pessoas!$A$5:$A$44)-4)/((Pessoas!$C$5:$C$44=$K1850)*(Pessoas!$G$5:$G$44="Ativo")),MOD(ROW()-6,MAX(1,COUNTIFS(Pessoas!$C$5:$C$44,$K1850,Pessoas!$G$5:$G$44,"Ativo")))+1)))</f>
        <v>Equipe Oficina Mecânica Central-Taisa</v>
      </c>
    </row>
    <row r="1851" spans="1:12" ht="15" customHeight="1" x14ac:dyDescent="0.4">
      <c r="A1851" s="25">
        <v>46553</v>
      </c>
      <c r="B1851" s="16">
        <v>42</v>
      </c>
      <c r="C1851" s="16">
        <v>4</v>
      </c>
      <c r="D1851" s="16">
        <v>6</v>
      </c>
      <c r="E1851" s="16" t="s">
        <v>1371</v>
      </c>
      <c r="F1851" s="16" t="s">
        <v>1008</v>
      </c>
      <c r="G1851" s="16" t="s">
        <v>184</v>
      </c>
      <c r="H1851" s="16" t="s">
        <v>143</v>
      </c>
      <c r="I1851" s="22" t="s">
        <v>861</v>
      </c>
      <c r="J1851" s="16">
        <f>IFERROR(INDEX(Aux_HH!$J$4:$J$31,MATCH($H1851&amp;"|"&amp;$I1851,Aux_HH!$A$4:$A$31,0)),"")</f>
        <v>4.5</v>
      </c>
      <c r="K1851" s="16" t="s">
        <v>76</v>
      </c>
      <c r="L1851" s="16" t="str">
        <f>IF(COUNTIFS(Pessoas!$C$5:$C$44,$K1851,Pessoas!$G$5:$G$44,"Ativo")=0,"Equipe "&amp;$K1851,INDEX(Pessoas!$A$5:$A$44,_xludf.aggregate(15,6,(ROW(Pessoas!$A$5:$A$44)-4)/((Pessoas!$C$5:$C$44=$K1851)*(Pessoas!$G$5:$G$44="Ativo")),MOD(ROW()-6,MAX(1,COUNTIFS(Pessoas!$C$5:$C$44,$K1851,Pessoas!$G$5:$G$44,"Ativo")))+1)))</f>
        <v>Equipe Oficina Mecânica Central-Taisa</v>
      </c>
    </row>
    <row r="1852" spans="1:12" ht="15" customHeight="1" x14ac:dyDescent="0.4">
      <c r="A1852" s="25">
        <v>46553</v>
      </c>
      <c r="B1852" s="16">
        <v>42</v>
      </c>
      <c r="C1852" s="16">
        <v>4</v>
      </c>
      <c r="D1852" s="16">
        <v>6</v>
      </c>
      <c r="E1852" s="16" t="s">
        <v>1371</v>
      </c>
      <c r="F1852" s="16" t="s">
        <v>1009</v>
      </c>
      <c r="G1852" s="16" t="s">
        <v>184</v>
      </c>
      <c r="H1852" s="16" t="s">
        <v>143</v>
      </c>
      <c r="I1852" s="22" t="s">
        <v>861</v>
      </c>
      <c r="J1852" s="16">
        <f>IFERROR(INDEX(Aux_HH!$J$4:$J$31,MATCH($H1852&amp;"|"&amp;$I1852,Aux_HH!$A$4:$A$31,0)),"")</f>
        <v>4.5</v>
      </c>
      <c r="K1852" s="16" t="s">
        <v>76</v>
      </c>
      <c r="L1852" s="16" t="str">
        <f>IF(COUNTIFS(Pessoas!$C$5:$C$44,$K1852,Pessoas!$G$5:$G$44,"Ativo")=0,"Equipe "&amp;$K1852,INDEX(Pessoas!$A$5:$A$44,_xludf.aggregate(15,6,(ROW(Pessoas!$A$5:$A$44)-4)/((Pessoas!$C$5:$C$44=$K1852)*(Pessoas!$G$5:$G$44="Ativo")),MOD(ROW()-6,MAX(1,COUNTIFS(Pessoas!$C$5:$C$44,$K1852,Pessoas!$G$5:$G$44,"Ativo")))+1)))</f>
        <v>Equipe Oficina Mecânica Central-Taisa</v>
      </c>
    </row>
    <row r="1853" spans="1:12" ht="15" customHeight="1" x14ac:dyDescent="0.4">
      <c r="A1853" s="25">
        <v>46553</v>
      </c>
      <c r="B1853" s="16">
        <v>42</v>
      </c>
      <c r="C1853" s="16">
        <v>4</v>
      </c>
      <c r="D1853" s="16">
        <v>6</v>
      </c>
      <c r="E1853" s="16" t="s">
        <v>1371</v>
      </c>
      <c r="F1853" s="16" t="s">
        <v>1010</v>
      </c>
      <c r="G1853" s="16" t="s">
        <v>184</v>
      </c>
      <c r="H1853" s="16" t="s">
        <v>143</v>
      </c>
      <c r="I1853" s="22" t="s">
        <v>861</v>
      </c>
      <c r="J1853" s="16">
        <f>IFERROR(INDEX(Aux_HH!$J$4:$J$31,MATCH($H1853&amp;"|"&amp;$I1853,Aux_HH!$A$4:$A$31,0)),"")</f>
        <v>4.5</v>
      </c>
      <c r="K1853" s="16" t="s">
        <v>76</v>
      </c>
      <c r="L1853" s="16" t="str">
        <f>IF(COUNTIFS(Pessoas!$C$5:$C$44,$K1853,Pessoas!$G$5:$G$44,"Ativo")=0,"Equipe "&amp;$K1853,INDEX(Pessoas!$A$5:$A$44,_xludf.aggregate(15,6,(ROW(Pessoas!$A$5:$A$44)-4)/((Pessoas!$C$5:$C$44=$K1853)*(Pessoas!$G$5:$G$44="Ativo")),MOD(ROW()-6,MAX(1,COUNTIFS(Pessoas!$C$5:$C$44,$K1853,Pessoas!$G$5:$G$44,"Ativo")))+1)))</f>
        <v>Equipe Oficina Mecânica Central-Taisa</v>
      </c>
    </row>
    <row r="1854" spans="1:12" ht="15" customHeight="1" x14ac:dyDescent="0.4">
      <c r="A1854" s="25">
        <v>46553</v>
      </c>
      <c r="B1854" s="16">
        <v>42</v>
      </c>
      <c r="C1854" s="16">
        <v>4</v>
      </c>
      <c r="D1854" s="16">
        <v>6</v>
      </c>
      <c r="E1854" s="16" t="s">
        <v>1371</v>
      </c>
      <c r="F1854" s="16" t="s">
        <v>1011</v>
      </c>
      <c r="G1854" s="16" t="s">
        <v>184</v>
      </c>
      <c r="H1854" s="16" t="s">
        <v>143</v>
      </c>
      <c r="I1854" s="22" t="s">
        <v>861</v>
      </c>
      <c r="J1854" s="16">
        <f>IFERROR(INDEX(Aux_HH!$J$4:$J$31,MATCH($H1854&amp;"|"&amp;$I1854,Aux_HH!$A$4:$A$31,0)),"")</f>
        <v>4.5</v>
      </c>
      <c r="K1854" s="16" t="s">
        <v>76</v>
      </c>
      <c r="L1854" s="16" t="str">
        <f>IF(COUNTIFS(Pessoas!$C$5:$C$44,$K1854,Pessoas!$G$5:$G$44,"Ativo")=0,"Equipe "&amp;$K1854,INDEX(Pessoas!$A$5:$A$44,_xludf.aggregate(15,6,(ROW(Pessoas!$A$5:$A$44)-4)/((Pessoas!$C$5:$C$44=$K1854)*(Pessoas!$G$5:$G$44="Ativo")),MOD(ROW()-6,MAX(1,COUNTIFS(Pessoas!$C$5:$C$44,$K1854,Pessoas!$G$5:$G$44,"Ativo")))+1)))</f>
        <v>Equipe Oficina Mecânica Central-Taisa</v>
      </c>
    </row>
    <row r="1855" spans="1:12" ht="15" customHeight="1" x14ac:dyDescent="0.4">
      <c r="A1855" s="25">
        <v>46553</v>
      </c>
      <c r="B1855" s="16">
        <v>42</v>
      </c>
      <c r="C1855" s="16">
        <v>4</v>
      </c>
      <c r="D1855" s="16">
        <v>6</v>
      </c>
      <c r="E1855" s="16" t="s">
        <v>1371</v>
      </c>
      <c r="F1855" s="16" t="s">
        <v>1012</v>
      </c>
      <c r="G1855" s="16" t="s">
        <v>184</v>
      </c>
      <c r="H1855" s="16" t="s">
        <v>143</v>
      </c>
      <c r="I1855" s="22" t="s">
        <v>861</v>
      </c>
      <c r="J1855" s="16">
        <f>IFERROR(INDEX(Aux_HH!$J$4:$J$31,MATCH($H1855&amp;"|"&amp;$I1855,Aux_HH!$A$4:$A$31,0)),"")</f>
        <v>4.5</v>
      </c>
      <c r="K1855" s="16" t="s">
        <v>76</v>
      </c>
      <c r="L1855" s="16" t="str">
        <f>IF(COUNTIFS(Pessoas!$C$5:$C$44,$K1855,Pessoas!$G$5:$G$44,"Ativo")=0,"Equipe "&amp;$K1855,INDEX(Pessoas!$A$5:$A$44,_xludf.aggregate(15,6,(ROW(Pessoas!$A$5:$A$44)-4)/((Pessoas!$C$5:$C$44=$K1855)*(Pessoas!$G$5:$G$44="Ativo")),MOD(ROW()-6,MAX(1,COUNTIFS(Pessoas!$C$5:$C$44,$K1855,Pessoas!$G$5:$G$44,"Ativo")))+1)))</f>
        <v>Equipe Oficina Mecânica Central-Taisa</v>
      </c>
    </row>
    <row r="1856" spans="1:12" ht="15" customHeight="1" x14ac:dyDescent="0.4">
      <c r="A1856" s="25">
        <v>46553</v>
      </c>
      <c r="B1856" s="16">
        <v>42</v>
      </c>
      <c r="C1856" s="16">
        <v>4</v>
      </c>
      <c r="D1856" s="16">
        <v>6</v>
      </c>
      <c r="E1856" s="16" t="s">
        <v>1371</v>
      </c>
      <c r="F1856" s="16" t="s">
        <v>1013</v>
      </c>
      <c r="G1856" s="16" t="s">
        <v>184</v>
      </c>
      <c r="H1856" s="16" t="s">
        <v>143</v>
      </c>
      <c r="I1856" s="22" t="s">
        <v>861</v>
      </c>
      <c r="J1856" s="16">
        <f>IFERROR(INDEX(Aux_HH!$J$4:$J$31,MATCH($H1856&amp;"|"&amp;$I1856,Aux_HH!$A$4:$A$31,0)),"")</f>
        <v>4.5</v>
      </c>
      <c r="K1856" s="16" t="s">
        <v>76</v>
      </c>
      <c r="L1856" s="16" t="str">
        <f>IF(COUNTIFS(Pessoas!$C$5:$C$44,$K1856,Pessoas!$G$5:$G$44,"Ativo")=0,"Equipe "&amp;$K1856,INDEX(Pessoas!$A$5:$A$44,_xludf.aggregate(15,6,(ROW(Pessoas!$A$5:$A$44)-4)/((Pessoas!$C$5:$C$44=$K1856)*(Pessoas!$G$5:$G$44="Ativo")),MOD(ROW()-6,MAX(1,COUNTIFS(Pessoas!$C$5:$C$44,$K1856,Pessoas!$G$5:$G$44,"Ativo")))+1)))</f>
        <v>Equipe Oficina Mecânica Central-Taisa</v>
      </c>
    </row>
    <row r="1857" spans="1:12" ht="15" customHeight="1" x14ac:dyDescent="0.4">
      <c r="A1857" s="25">
        <v>46553</v>
      </c>
      <c r="B1857" s="16">
        <v>42</v>
      </c>
      <c r="C1857" s="16">
        <v>4</v>
      </c>
      <c r="D1857" s="16">
        <v>6</v>
      </c>
      <c r="E1857" s="16" t="s">
        <v>1371</v>
      </c>
      <c r="F1857" s="16" t="s">
        <v>1014</v>
      </c>
      <c r="G1857" s="16" t="s">
        <v>184</v>
      </c>
      <c r="H1857" s="16" t="s">
        <v>143</v>
      </c>
      <c r="I1857" s="22" t="s">
        <v>861</v>
      </c>
      <c r="J1857" s="16">
        <f>IFERROR(INDEX(Aux_HH!$J$4:$J$31,MATCH($H1857&amp;"|"&amp;$I1857,Aux_HH!$A$4:$A$31,0)),"")</f>
        <v>4.5</v>
      </c>
      <c r="K1857" s="16" t="s">
        <v>76</v>
      </c>
      <c r="L1857" s="16" t="str">
        <f>IF(COUNTIFS(Pessoas!$C$5:$C$44,$K1857,Pessoas!$G$5:$G$44,"Ativo")=0,"Equipe "&amp;$K1857,INDEX(Pessoas!$A$5:$A$44,_xludf.aggregate(15,6,(ROW(Pessoas!$A$5:$A$44)-4)/((Pessoas!$C$5:$C$44=$K1857)*(Pessoas!$G$5:$G$44="Ativo")),MOD(ROW()-6,MAX(1,COUNTIFS(Pessoas!$C$5:$C$44,$K1857,Pessoas!$G$5:$G$44,"Ativo")))+1)))</f>
        <v>Equipe Oficina Mecânica Central-Taisa</v>
      </c>
    </row>
    <row r="1858" spans="1:12" ht="15" customHeight="1" x14ac:dyDescent="0.4">
      <c r="A1858" s="25">
        <v>46553</v>
      </c>
      <c r="B1858" s="16">
        <v>42</v>
      </c>
      <c r="C1858" s="16">
        <v>4</v>
      </c>
      <c r="D1858" s="16">
        <v>6</v>
      </c>
      <c r="E1858" s="16" t="s">
        <v>1371</v>
      </c>
      <c r="F1858" s="16" t="s">
        <v>1015</v>
      </c>
      <c r="G1858" s="16" t="s">
        <v>184</v>
      </c>
      <c r="H1858" s="16" t="s">
        <v>143</v>
      </c>
      <c r="I1858" s="22" t="s">
        <v>861</v>
      </c>
      <c r="J1858" s="16">
        <f>IFERROR(INDEX(Aux_HH!$J$4:$J$31,MATCH($H1858&amp;"|"&amp;$I1858,Aux_HH!$A$4:$A$31,0)),"")</f>
        <v>4.5</v>
      </c>
      <c r="K1858" s="16" t="s">
        <v>76</v>
      </c>
      <c r="L1858" s="16" t="str">
        <f>IF(COUNTIFS(Pessoas!$C$5:$C$44,$K1858,Pessoas!$G$5:$G$44,"Ativo")=0,"Equipe "&amp;$K1858,INDEX(Pessoas!$A$5:$A$44,_xludf.aggregate(15,6,(ROW(Pessoas!$A$5:$A$44)-4)/((Pessoas!$C$5:$C$44=$K1858)*(Pessoas!$G$5:$G$44="Ativo")),MOD(ROW()-6,MAX(1,COUNTIFS(Pessoas!$C$5:$C$44,$K1858,Pessoas!$G$5:$G$44,"Ativo")))+1)))</f>
        <v>Equipe Oficina Mecânica Central-Taisa</v>
      </c>
    </row>
    <row r="1859" spans="1:12" ht="15" customHeight="1" x14ac:dyDescent="0.4">
      <c r="A1859" s="25">
        <v>46553</v>
      </c>
      <c r="B1859" s="16">
        <v>42</v>
      </c>
      <c r="C1859" s="16">
        <v>4</v>
      </c>
      <c r="D1859" s="16">
        <v>6</v>
      </c>
      <c r="E1859" s="16" t="s">
        <v>1371</v>
      </c>
      <c r="F1859" s="16" t="s">
        <v>1016</v>
      </c>
      <c r="G1859" s="16" t="s">
        <v>526</v>
      </c>
      <c r="H1859" s="16" t="s">
        <v>143</v>
      </c>
      <c r="I1859" s="22" t="s">
        <v>861</v>
      </c>
      <c r="J1859" s="16">
        <f>IFERROR(INDEX(Aux_HH!$J$4:$J$31,MATCH($H1859&amp;"|"&amp;$I1859,Aux_HH!$A$4:$A$31,0)),"")</f>
        <v>4.5</v>
      </c>
      <c r="K1859" s="16" t="s">
        <v>76</v>
      </c>
      <c r="L1859" s="16" t="str">
        <f>IF(COUNTIFS(Pessoas!$C$5:$C$44,$K1859,Pessoas!$G$5:$G$44,"Ativo")=0,"Equipe "&amp;$K1859,INDEX(Pessoas!$A$5:$A$44,_xludf.aggregate(15,6,(ROW(Pessoas!$A$5:$A$44)-4)/((Pessoas!$C$5:$C$44=$K1859)*(Pessoas!$G$5:$G$44="Ativo")),MOD(ROW()-6,MAX(1,COUNTIFS(Pessoas!$C$5:$C$44,$K1859,Pessoas!$G$5:$G$44,"Ativo")))+1)))</f>
        <v>Equipe Oficina Mecânica Central-Taisa</v>
      </c>
    </row>
    <row r="1860" spans="1:12" ht="15" customHeight="1" x14ac:dyDescent="0.4">
      <c r="A1860" s="25">
        <v>46553</v>
      </c>
      <c r="B1860" s="16">
        <v>42</v>
      </c>
      <c r="C1860" s="16">
        <v>4</v>
      </c>
      <c r="D1860" s="16">
        <v>6</v>
      </c>
      <c r="E1860" s="16" t="s">
        <v>1371</v>
      </c>
      <c r="F1860" s="16" t="s">
        <v>1017</v>
      </c>
      <c r="G1860" s="16" t="s">
        <v>688</v>
      </c>
      <c r="H1860" s="16" t="s">
        <v>143</v>
      </c>
      <c r="I1860" s="22" t="s">
        <v>861</v>
      </c>
      <c r="J1860" s="16">
        <f>IFERROR(INDEX(Aux_HH!$J$4:$J$31,MATCH($H1860&amp;"|"&amp;$I1860,Aux_HH!$A$4:$A$31,0)),"")</f>
        <v>4.5</v>
      </c>
      <c r="K1860" s="16" t="s">
        <v>76</v>
      </c>
      <c r="L1860" s="16" t="str">
        <f>IF(COUNTIFS(Pessoas!$C$5:$C$44,$K1860,Pessoas!$G$5:$G$44,"Ativo")=0,"Equipe "&amp;$K1860,INDEX(Pessoas!$A$5:$A$44,_xludf.aggregate(15,6,(ROW(Pessoas!$A$5:$A$44)-4)/((Pessoas!$C$5:$C$44=$K1860)*(Pessoas!$G$5:$G$44="Ativo")),MOD(ROW()-6,MAX(1,COUNTIFS(Pessoas!$C$5:$C$44,$K1860,Pessoas!$G$5:$G$44,"Ativo")))+1)))</f>
        <v>Equipe Oficina Mecânica Central-Taisa</v>
      </c>
    </row>
    <row r="1861" spans="1:12" ht="15" customHeight="1" x14ac:dyDescent="0.4">
      <c r="A1861" s="25">
        <v>46553</v>
      </c>
      <c r="B1861" s="16">
        <v>42</v>
      </c>
      <c r="C1861" s="16">
        <v>4</v>
      </c>
      <c r="D1861" s="16">
        <v>6</v>
      </c>
      <c r="E1861" s="16" t="s">
        <v>1371</v>
      </c>
      <c r="F1861" s="16" t="s">
        <v>1018</v>
      </c>
      <c r="G1861" s="16" t="s">
        <v>526</v>
      </c>
      <c r="H1861" s="16" t="s">
        <v>143</v>
      </c>
      <c r="I1861" s="22" t="s">
        <v>861</v>
      </c>
      <c r="J1861" s="16">
        <f>IFERROR(INDEX(Aux_HH!$J$4:$J$31,MATCH($H1861&amp;"|"&amp;$I1861,Aux_HH!$A$4:$A$31,0)),"")</f>
        <v>4.5</v>
      </c>
      <c r="K1861" s="16" t="s">
        <v>76</v>
      </c>
      <c r="L1861" s="16" t="str">
        <f>IF(COUNTIFS(Pessoas!$C$5:$C$44,$K1861,Pessoas!$G$5:$G$44,"Ativo")=0,"Equipe "&amp;$K1861,INDEX(Pessoas!$A$5:$A$44,_xludf.aggregate(15,6,(ROW(Pessoas!$A$5:$A$44)-4)/((Pessoas!$C$5:$C$44=$K1861)*(Pessoas!$G$5:$G$44="Ativo")),MOD(ROW()-6,MAX(1,COUNTIFS(Pessoas!$C$5:$C$44,$K1861,Pessoas!$G$5:$G$44,"Ativo")))+1)))</f>
        <v>Equipe Oficina Mecânica Central-Taisa</v>
      </c>
    </row>
    <row r="1862" spans="1:12" ht="15" customHeight="1" x14ac:dyDescent="0.4">
      <c r="A1862" s="25">
        <v>46553</v>
      </c>
      <c r="B1862" s="16">
        <v>42</v>
      </c>
      <c r="C1862" s="16">
        <v>4</v>
      </c>
      <c r="D1862" s="16">
        <v>6</v>
      </c>
      <c r="E1862" s="16" t="s">
        <v>1371</v>
      </c>
      <c r="F1862" s="16" t="s">
        <v>1019</v>
      </c>
      <c r="G1862" s="16" t="s">
        <v>526</v>
      </c>
      <c r="H1862" s="16" t="s">
        <v>143</v>
      </c>
      <c r="I1862" s="22" t="s">
        <v>861</v>
      </c>
      <c r="J1862" s="16">
        <f>IFERROR(INDEX(Aux_HH!$J$4:$J$31,MATCH($H1862&amp;"|"&amp;$I1862,Aux_HH!$A$4:$A$31,0)),"")</f>
        <v>4.5</v>
      </c>
      <c r="K1862" s="16" t="s">
        <v>76</v>
      </c>
      <c r="L1862" s="16" t="str">
        <f>IF(COUNTIFS(Pessoas!$C$5:$C$44,$K1862,Pessoas!$G$5:$G$44,"Ativo")=0,"Equipe "&amp;$K1862,INDEX(Pessoas!$A$5:$A$44,_xludf.aggregate(15,6,(ROW(Pessoas!$A$5:$A$44)-4)/((Pessoas!$C$5:$C$44=$K1862)*(Pessoas!$G$5:$G$44="Ativo")),MOD(ROW()-6,MAX(1,COUNTIFS(Pessoas!$C$5:$C$44,$K1862,Pessoas!$G$5:$G$44,"Ativo")))+1)))</f>
        <v>Equipe Oficina Mecânica Central-Taisa</v>
      </c>
    </row>
    <row r="1863" spans="1:12" ht="15" customHeight="1" x14ac:dyDescent="0.4">
      <c r="A1863" s="25">
        <v>46553</v>
      </c>
      <c r="B1863" s="16">
        <v>42</v>
      </c>
      <c r="C1863" s="16">
        <v>4</v>
      </c>
      <c r="D1863" s="16">
        <v>6</v>
      </c>
      <c r="E1863" s="16" t="s">
        <v>1371</v>
      </c>
      <c r="F1863" s="16" t="s">
        <v>1020</v>
      </c>
      <c r="G1863" s="16" t="s">
        <v>526</v>
      </c>
      <c r="H1863" s="16" t="s">
        <v>143</v>
      </c>
      <c r="I1863" s="22" t="s">
        <v>861</v>
      </c>
      <c r="J1863" s="16">
        <f>IFERROR(INDEX(Aux_HH!$J$4:$J$31,MATCH($H1863&amp;"|"&amp;$I1863,Aux_HH!$A$4:$A$31,0)),"")</f>
        <v>4.5</v>
      </c>
      <c r="K1863" s="16" t="s">
        <v>76</v>
      </c>
      <c r="L1863" s="16" t="str">
        <f>IF(COUNTIFS(Pessoas!$C$5:$C$44,$K1863,Pessoas!$G$5:$G$44,"Ativo")=0,"Equipe "&amp;$K1863,INDEX(Pessoas!$A$5:$A$44,_xludf.aggregate(15,6,(ROW(Pessoas!$A$5:$A$44)-4)/((Pessoas!$C$5:$C$44=$K1863)*(Pessoas!$G$5:$G$44="Ativo")),MOD(ROW()-6,MAX(1,COUNTIFS(Pessoas!$C$5:$C$44,$K1863,Pessoas!$G$5:$G$44,"Ativo")))+1)))</f>
        <v>Equipe Oficina Mecânica Central-Taisa</v>
      </c>
    </row>
    <row r="1864" spans="1:12" ht="15" customHeight="1" x14ac:dyDescent="0.4">
      <c r="A1864" s="25">
        <v>46553</v>
      </c>
      <c r="B1864" s="16">
        <v>42</v>
      </c>
      <c r="C1864" s="16">
        <v>4</v>
      </c>
      <c r="D1864" s="16">
        <v>6</v>
      </c>
      <c r="E1864" s="16" t="s">
        <v>1371</v>
      </c>
      <c r="F1864" s="16" t="s">
        <v>1021</v>
      </c>
      <c r="G1864" s="16" t="s">
        <v>184</v>
      </c>
      <c r="H1864" s="16" t="s">
        <v>143</v>
      </c>
      <c r="I1864" s="22" t="s">
        <v>861</v>
      </c>
      <c r="J1864" s="16">
        <f>IFERROR(INDEX(Aux_HH!$J$4:$J$31,MATCH($H1864&amp;"|"&amp;$I1864,Aux_HH!$A$4:$A$31,0)),"")</f>
        <v>4.5</v>
      </c>
      <c r="K1864" s="16" t="s">
        <v>76</v>
      </c>
      <c r="L1864" s="16" t="str">
        <f>IF(COUNTIFS(Pessoas!$C$5:$C$44,$K1864,Pessoas!$G$5:$G$44,"Ativo")=0,"Equipe "&amp;$K1864,INDEX(Pessoas!$A$5:$A$44,_xludf.aggregate(15,6,(ROW(Pessoas!$A$5:$A$44)-4)/((Pessoas!$C$5:$C$44=$K1864)*(Pessoas!$G$5:$G$44="Ativo")),MOD(ROW()-6,MAX(1,COUNTIFS(Pessoas!$C$5:$C$44,$K1864,Pessoas!$G$5:$G$44,"Ativo")))+1)))</f>
        <v>Equipe Oficina Mecânica Central-Taisa</v>
      </c>
    </row>
    <row r="1865" spans="1:12" ht="15" customHeight="1" x14ac:dyDescent="0.4">
      <c r="A1865" s="25">
        <v>46554</v>
      </c>
      <c r="B1865" s="16">
        <v>42</v>
      </c>
      <c r="C1865" s="16">
        <v>4</v>
      </c>
      <c r="D1865" s="16">
        <v>6</v>
      </c>
      <c r="E1865" s="16" t="s">
        <v>1371</v>
      </c>
      <c r="F1865" s="16" t="s">
        <v>1022</v>
      </c>
      <c r="G1865" s="16" t="s">
        <v>184</v>
      </c>
      <c r="H1865" s="16" t="s">
        <v>143</v>
      </c>
      <c r="I1865" s="22" t="s">
        <v>861</v>
      </c>
      <c r="J1865" s="16">
        <f>IFERROR(INDEX(Aux_HH!$J$4:$J$31,MATCH($H1865&amp;"|"&amp;$I1865,Aux_HH!$A$4:$A$31,0)),"")</f>
        <v>4.5</v>
      </c>
      <c r="K1865" s="16" t="s">
        <v>76</v>
      </c>
      <c r="L1865" s="16" t="str">
        <f>IF(COUNTIFS(Pessoas!$C$5:$C$44,$K1865,Pessoas!$G$5:$G$44,"Ativo")=0,"Equipe "&amp;$K1865,INDEX(Pessoas!$A$5:$A$44,_xludf.aggregate(15,6,(ROW(Pessoas!$A$5:$A$44)-4)/((Pessoas!$C$5:$C$44=$K1865)*(Pessoas!$G$5:$G$44="Ativo")),MOD(ROW()-6,MAX(1,COUNTIFS(Pessoas!$C$5:$C$44,$K1865,Pessoas!$G$5:$G$44,"Ativo")))+1)))</f>
        <v>Equipe Oficina Mecânica Central-Taisa</v>
      </c>
    </row>
    <row r="1866" spans="1:12" ht="15" customHeight="1" x14ac:dyDescent="0.4">
      <c r="A1866" s="25">
        <v>46554</v>
      </c>
      <c r="B1866" s="16">
        <v>42</v>
      </c>
      <c r="C1866" s="16">
        <v>4</v>
      </c>
      <c r="D1866" s="16">
        <v>6</v>
      </c>
      <c r="E1866" s="16" t="s">
        <v>1371</v>
      </c>
      <c r="F1866" s="16" t="s">
        <v>1023</v>
      </c>
      <c r="G1866" s="16" t="s">
        <v>184</v>
      </c>
      <c r="H1866" s="16" t="s">
        <v>143</v>
      </c>
      <c r="I1866" s="22" t="s">
        <v>861</v>
      </c>
      <c r="J1866" s="16">
        <f>IFERROR(INDEX(Aux_HH!$J$4:$J$31,MATCH($H1866&amp;"|"&amp;$I1866,Aux_HH!$A$4:$A$31,0)),"")</f>
        <v>4.5</v>
      </c>
      <c r="K1866" s="16" t="s">
        <v>76</v>
      </c>
      <c r="L1866" s="16" t="str">
        <f>IF(COUNTIFS(Pessoas!$C$5:$C$44,$K1866,Pessoas!$G$5:$G$44,"Ativo")=0,"Equipe "&amp;$K1866,INDEX(Pessoas!$A$5:$A$44,_xludf.aggregate(15,6,(ROW(Pessoas!$A$5:$A$44)-4)/((Pessoas!$C$5:$C$44=$K1866)*(Pessoas!$G$5:$G$44="Ativo")),MOD(ROW()-6,MAX(1,COUNTIFS(Pessoas!$C$5:$C$44,$K1866,Pessoas!$G$5:$G$44,"Ativo")))+1)))</f>
        <v>Equipe Oficina Mecânica Central-Taisa</v>
      </c>
    </row>
    <row r="1867" spans="1:12" ht="15" customHeight="1" x14ac:dyDescent="0.4">
      <c r="A1867" s="25">
        <v>46554</v>
      </c>
      <c r="B1867" s="16">
        <v>42</v>
      </c>
      <c r="C1867" s="16">
        <v>4</v>
      </c>
      <c r="D1867" s="16">
        <v>6</v>
      </c>
      <c r="E1867" s="16" t="s">
        <v>1371</v>
      </c>
      <c r="F1867" s="16" t="s">
        <v>1024</v>
      </c>
      <c r="G1867" s="16" t="s">
        <v>184</v>
      </c>
      <c r="H1867" s="16" t="s">
        <v>143</v>
      </c>
      <c r="I1867" s="22" t="s">
        <v>861</v>
      </c>
      <c r="J1867" s="16">
        <f>IFERROR(INDEX(Aux_HH!$J$4:$J$31,MATCH($H1867&amp;"|"&amp;$I1867,Aux_HH!$A$4:$A$31,0)),"")</f>
        <v>4.5</v>
      </c>
      <c r="K1867" s="16" t="s">
        <v>76</v>
      </c>
      <c r="L1867" s="16" t="str">
        <f>IF(COUNTIFS(Pessoas!$C$5:$C$44,$K1867,Pessoas!$G$5:$G$44,"Ativo")=0,"Equipe "&amp;$K1867,INDEX(Pessoas!$A$5:$A$44,_xludf.aggregate(15,6,(ROW(Pessoas!$A$5:$A$44)-4)/((Pessoas!$C$5:$C$44=$K1867)*(Pessoas!$G$5:$G$44="Ativo")),MOD(ROW()-6,MAX(1,COUNTIFS(Pessoas!$C$5:$C$44,$K1867,Pessoas!$G$5:$G$44,"Ativo")))+1)))</f>
        <v>Equipe Oficina Mecânica Central-Taisa</v>
      </c>
    </row>
    <row r="1868" spans="1:12" ht="15" customHeight="1" x14ac:dyDescent="0.4">
      <c r="A1868" s="25">
        <v>46554</v>
      </c>
      <c r="B1868" s="16">
        <v>42</v>
      </c>
      <c r="C1868" s="16">
        <v>4</v>
      </c>
      <c r="D1868" s="16">
        <v>6</v>
      </c>
      <c r="E1868" s="16" t="s">
        <v>1371</v>
      </c>
      <c r="F1868" s="16" t="s">
        <v>1025</v>
      </c>
      <c r="G1868" s="16" t="s">
        <v>184</v>
      </c>
      <c r="H1868" s="16" t="s">
        <v>143</v>
      </c>
      <c r="I1868" s="22" t="s">
        <v>861</v>
      </c>
      <c r="J1868" s="16">
        <f>IFERROR(INDEX(Aux_HH!$J$4:$J$31,MATCH($H1868&amp;"|"&amp;$I1868,Aux_HH!$A$4:$A$31,0)),"")</f>
        <v>4.5</v>
      </c>
      <c r="K1868" s="16" t="s">
        <v>76</v>
      </c>
      <c r="L1868" s="16" t="str">
        <f>IF(COUNTIFS(Pessoas!$C$5:$C$44,$K1868,Pessoas!$G$5:$G$44,"Ativo")=0,"Equipe "&amp;$K1868,INDEX(Pessoas!$A$5:$A$44,_xludf.aggregate(15,6,(ROW(Pessoas!$A$5:$A$44)-4)/((Pessoas!$C$5:$C$44=$K1868)*(Pessoas!$G$5:$G$44="Ativo")),MOD(ROW()-6,MAX(1,COUNTIFS(Pessoas!$C$5:$C$44,$K1868,Pessoas!$G$5:$G$44,"Ativo")))+1)))</f>
        <v>Equipe Oficina Mecânica Central-Taisa</v>
      </c>
    </row>
    <row r="1869" spans="1:12" ht="15" customHeight="1" x14ac:dyDescent="0.4">
      <c r="A1869" s="25">
        <v>46554</v>
      </c>
      <c r="B1869" s="16">
        <v>42</v>
      </c>
      <c r="C1869" s="16">
        <v>4</v>
      </c>
      <c r="D1869" s="16">
        <v>6</v>
      </c>
      <c r="E1869" s="16" t="s">
        <v>1371</v>
      </c>
      <c r="F1869" s="16" t="s">
        <v>1026</v>
      </c>
      <c r="G1869" s="16" t="s">
        <v>184</v>
      </c>
      <c r="H1869" s="16" t="s">
        <v>143</v>
      </c>
      <c r="I1869" s="22" t="s">
        <v>861</v>
      </c>
      <c r="J1869" s="16">
        <f>IFERROR(INDEX(Aux_HH!$J$4:$J$31,MATCH($H1869&amp;"|"&amp;$I1869,Aux_HH!$A$4:$A$31,0)),"")</f>
        <v>4.5</v>
      </c>
      <c r="K1869" s="16" t="s">
        <v>76</v>
      </c>
      <c r="L1869" s="16" t="str">
        <f>IF(COUNTIFS(Pessoas!$C$5:$C$44,$K1869,Pessoas!$G$5:$G$44,"Ativo")=0,"Equipe "&amp;$K1869,INDEX(Pessoas!$A$5:$A$44,_xludf.aggregate(15,6,(ROW(Pessoas!$A$5:$A$44)-4)/((Pessoas!$C$5:$C$44=$K1869)*(Pessoas!$G$5:$G$44="Ativo")),MOD(ROW()-6,MAX(1,COUNTIFS(Pessoas!$C$5:$C$44,$K1869,Pessoas!$G$5:$G$44,"Ativo")))+1)))</f>
        <v>Equipe Oficina Mecânica Central-Taisa</v>
      </c>
    </row>
    <row r="1870" spans="1:12" ht="15" customHeight="1" x14ac:dyDescent="0.4">
      <c r="A1870" s="25">
        <v>46554</v>
      </c>
      <c r="B1870" s="16">
        <v>42</v>
      </c>
      <c r="C1870" s="16">
        <v>4</v>
      </c>
      <c r="D1870" s="16">
        <v>6</v>
      </c>
      <c r="E1870" s="16" t="s">
        <v>1371</v>
      </c>
      <c r="F1870" s="16" t="s">
        <v>1027</v>
      </c>
      <c r="G1870" s="16" t="s">
        <v>184</v>
      </c>
      <c r="H1870" s="16" t="s">
        <v>143</v>
      </c>
      <c r="I1870" s="22" t="s">
        <v>861</v>
      </c>
      <c r="J1870" s="16">
        <f>IFERROR(INDEX(Aux_HH!$J$4:$J$31,MATCH($H1870&amp;"|"&amp;$I1870,Aux_HH!$A$4:$A$31,0)),"")</f>
        <v>4.5</v>
      </c>
      <c r="K1870" s="16" t="s">
        <v>76</v>
      </c>
      <c r="L1870" s="16" t="str">
        <f>IF(COUNTIFS(Pessoas!$C$5:$C$44,$K1870,Pessoas!$G$5:$G$44,"Ativo")=0,"Equipe "&amp;$K1870,INDEX(Pessoas!$A$5:$A$44,_xludf.aggregate(15,6,(ROW(Pessoas!$A$5:$A$44)-4)/((Pessoas!$C$5:$C$44=$K1870)*(Pessoas!$G$5:$G$44="Ativo")),MOD(ROW()-6,MAX(1,COUNTIFS(Pessoas!$C$5:$C$44,$K1870,Pessoas!$G$5:$G$44,"Ativo")))+1)))</f>
        <v>Equipe Oficina Mecânica Central-Taisa</v>
      </c>
    </row>
    <row r="1871" spans="1:12" ht="15" customHeight="1" x14ac:dyDescent="0.4">
      <c r="A1871" s="25">
        <v>46554</v>
      </c>
      <c r="B1871" s="16">
        <v>42</v>
      </c>
      <c r="C1871" s="16">
        <v>4</v>
      </c>
      <c r="D1871" s="16">
        <v>6</v>
      </c>
      <c r="E1871" s="16" t="s">
        <v>1371</v>
      </c>
      <c r="F1871" s="16" t="s">
        <v>1028</v>
      </c>
      <c r="G1871" s="16" t="s">
        <v>184</v>
      </c>
      <c r="H1871" s="16" t="s">
        <v>143</v>
      </c>
      <c r="I1871" s="22" t="s">
        <v>861</v>
      </c>
      <c r="J1871" s="16">
        <f>IFERROR(INDEX(Aux_HH!$J$4:$J$31,MATCH($H1871&amp;"|"&amp;$I1871,Aux_HH!$A$4:$A$31,0)),"")</f>
        <v>4.5</v>
      </c>
      <c r="K1871" s="16" t="s">
        <v>76</v>
      </c>
      <c r="L1871" s="16" t="str">
        <f>IF(COUNTIFS(Pessoas!$C$5:$C$44,$K1871,Pessoas!$G$5:$G$44,"Ativo")=0,"Equipe "&amp;$K1871,INDEX(Pessoas!$A$5:$A$44,_xludf.aggregate(15,6,(ROW(Pessoas!$A$5:$A$44)-4)/((Pessoas!$C$5:$C$44=$K1871)*(Pessoas!$G$5:$G$44="Ativo")),MOD(ROW()-6,MAX(1,COUNTIFS(Pessoas!$C$5:$C$44,$K1871,Pessoas!$G$5:$G$44,"Ativo")))+1)))</f>
        <v>Equipe Oficina Mecânica Central-Taisa</v>
      </c>
    </row>
    <row r="1872" spans="1:12" ht="15" customHeight="1" x14ac:dyDescent="0.4">
      <c r="A1872" s="25">
        <v>46554</v>
      </c>
      <c r="B1872" s="16">
        <v>42</v>
      </c>
      <c r="C1872" s="16">
        <v>4</v>
      </c>
      <c r="D1872" s="16">
        <v>6</v>
      </c>
      <c r="E1872" s="16" t="s">
        <v>1371</v>
      </c>
      <c r="F1872" s="16" t="s">
        <v>1029</v>
      </c>
      <c r="G1872" s="16" t="s">
        <v>184</v>
      </c>
      <c r="H1872" s="16" t="s">
        <v>143</v>
      </c>
      <c r="I1872" s="22" t="s">
        <v>861</v>
      </c>
      <c r="J1872" s="16">
        <f>IFERROR(INDEX(Aux_HH!$J$4:$J$31,MATCH($H1872&amp;"|"&amp;$I1872,Aux_HH!$A$4:$A$31,0)),"")</f>
        <v>4.5</v>
      </c>
      <c r="K1872" s="16" t="s">
        <v>76</v>
      </c>
      <c r="L1872" s="16" t="str">
        <f>IF(COUNTIFS(Pessoas!$C$5:$C$44,$K1872,Pessoas!$G$5:$G$44,"Ativo")=0,"Equipe "&amp;$K1872,INDEX(Pessoas!$A$5:$A$44,_xludf.aggregate(15,6,(ROW(Pessoas!$A$5:$A$44)-4)/((Pessoas!$C$5:$C$44=$K1872)*(Pessoas!$G$5:$G$44="Ativo")),MOD(ROW()-6,MAX(1,COUNTIFS(Pessoas!$C$5:$C$44,$K1872,Pessoas!$G$5:$G$44,"Ativo")))+1)))</f>
        <v>Equipe Oficina Mecânica Central-Taisa</v>
      </c>
    </row>
    <row r="1873" spans="1:12" ht="15" customHeight="1" x14ac:dyDescent="0.4">
      <c r="A1873" s="25">
        <v>46554</v>
      </c>
      <c r="B1873" s="16">
        <v>42</v>
      </c>
      <c r="C1873" s="16">
        <v>4</v>
      </c>
      <c r="D1873" s="16">
        <v>6</v>
      </c>
      <c r="E1873" s="16" t="s">
        <v>1371</v>
      </c>
      <c r="F1873" s="16" t="s">
        <v>1030</v>
      </c>
      <c r="G1873" s="16" t="s">
        <v>526</v>
      </c>
      <c r="H1873" s="16" t="s">
        <v>143</v>
      </c>
      <c r="I1873" s="22" t="s">
        <v>861</v>
      </c>
      <c r="J1873" s="16">
        <f>IFERROR(INDEX(Aux_HH!$J$4:$J$31,MATCH($H1873&amp;"|"&amp;$I1873,Aux_HH!$A$4:$A$31,0)),"")</f>
        <v>4.5</v>
      </c>
      <c r="K1873" s="16" t="s">
        <v>76</v>
      </c>
      <c r="L1873" s="16" t="str">
        <f>IF(COUNTIFS(Pessoas!$C$5:$C$44,$K1873,Pessoas!$G$5:$G$44,"Ativo")=0,"Equipe "&amp;$K1873,INDEX(Pessoas!$A$5:$A$44,_xludf.aggregate(15,6,(ROW(Pessoas!$A$5:$A$44)-4)/((Pessoas!$C$5:$C$44=$K1873)*(Pessoas!$G$5:$G$44="Ativo")),MOD(ROW()-6,MAX(1,COUNTIFS(Pessoas!$C$5:$C$44,$K1873,Pessoas!$G$5:$G$44,"Ativo")))+1)))</f>
        <v>Equipe Oficina Mecânica Central-Taisa</v>
      </c>
    </row>
    <row r="1874" spans="1:12" ht="15" customHeight="1" x14ac:dyDescent="0.4">
      <c r="A1874" s="25">
        <v>46554</v>
      </c>
      <c r="B1874" s="16">
        <v>42</v>
      </c>
      <c r="C1874" s="16">
        <v>4</v>
      </c>
      <c r="D1874" s="16">
        <v>6</v>
      </c>
      <c r="E1874" s="16" t="s">
        <v>1371</v>
      </c>
      <c r="F1874" s="16" t="s">
        <v>1031</v>
      </c>
      <c r="G1874" s="16" t="s">
        <v>526</v>
      </c>
      <c r="H1874" s="16" t="s">
        <v>143</v>
      </c>
      <c r="I1874" s="22" t="s">
        <v>861</v>
      </c>
      <c r="J1874" s="16">
        <f>IFERROR(INDEX(Aux_HH!$J$4:$J$31,MATCH($H1874&amp;"|"&amp;$I1874,Aux_HH!$A$4:$A$31,0)),"")</f>
        <v>4.5</v>
      </c>
      <c r="K1874" s="16" t="s">
        <v>76</v>
      </c>
      <c r="L1874" s="16" t="str">
        <f>IF(COUNTIFS(Pessoas!$C$5:$C$44,$K1874,Pessoas!$G$5:$G$44,"Ativo")=0,"Equipe "&amp;$K1874,INDEX(Pessoas!$A$5:$A$44,_xludf.aggregate(15,6,(ROW(Pessoas!$A$5:$A$44)-4)/((Pessoas!$C$5:$C$44=$K1874)*(Pessoas!$G$5:$G$44="Ativo")),MOD(ROW()-6,MAX(1,COUNTIFS(Pessoas!$C$5:$C$44,$K1874,Pessoas!$G$5:$G$44,"Ativo")))+1)))</f>
        <v>Equipe Oficina Mecânica Central-Taisa</v>
      </c>
    </row>
    <row r="1875" spans="1:12" ht="15" customHeight="1" x14ac:dyDescent="0.4">
      <c r="A1875" s="25">
        <v>46554</v>
      </c>
      <c r="B1875" s="16">
        <v>42</v>
      </c>
      <c r="C1875" s="16">
        <v>4</v>
      </c>
      <c r="D1875" s="16">
        <v>6</v>
      </c>
      <c r="E1875" s="16" t="s">
        <v>1371</v>
      </c>
      <c r="F1875" s="16" t="s">
        <v>1032</v>
      </c>
      <c r="G1875" s="16" t="s">
        <v>526</v>
      </c>
      <c r="H1875" s="16" t="s">
        <v>143</v>
      </c>
      <c r="I1875" s="22" t="s">
        <v>861</v>
      </c>
      <c r="J1875" s="16">
        <f>IFERROR(INDEX(Aux_HH!$J$4:$J$31,MATCH($H1875&amp;"|"&amp;$I1875,Aux_HH!$A$4:$A$31,0)),"")</f>
        <v>4.5</v>
      </c>
      <c r="K1875" s="16" t="s">
        <v>76</v>
      </c>
      <c r="L1875" s="16" t="str">
        <f>IF(COUNTIFS(Pessoas!$C$5:$C$44,$K1875,Pessoas!$G$5:$G$44,"Ativo")=0,"Equipe "&amp;$K1875,INDEX(Pessoas!$A$5:$A$44,_xludf.aggregate(15,6,(ROW(Pessoas!$A$5:$A$44)-4)/((Pessoas!$C$5:$C$44=$K1875)*(Pessoas!$G$5:$G$44="Ativo")),MOD(ROW()-6,MAX(1,COUNTIFS(Pessoas!$C$5:$C$44,$K1875,Pessoas!$G$5:$G$44,"Ativo")))+1)))</f>
        <v>Equipe Oficina Mecânica Central-Taisa</v>
      </c>
    </row>
    <row r="1876" spans="1:12" ht="15" customHeight="1" x14ac:dyDescent="0.4">
      <c r="A1876" s="25">
        <v>46554</v>
      </c>
      <c r="B1876" s="16">
        <v>42</v>
      </c>
      <c r="C1876" s="16">
        <v>4</v>
      </c>
      <c r="D1876" s="16">
        <v>6</v>
      </c>
      <c r="E1876" s="16" t="s">
        <v>1371</v>
      </c>
      <c r="F1876" s="16" t="s">
        <v>1033</v>
      </c>
      <c r="G1876" s="16" t="s">
        <v>526</v>
      </c>
      <c r="H1876" s="16" t="s">
        <v>143</v>
      </c>
      <c r="I1876" s="22" t="s">
        <v>861</v>
      </c>
      <c r="J1876" s="16">
        <f>IFERROR(INDEX(Aux_HH!$J$4:$J$31,MATCH($H1876&amp;"|"&amp;$I1876,Aux_HH!$A$4:$A$31,0)),"")</f>
        <v>4.5</v>
      </c>
      <c r="K1876" s="16" t="s">
        <v>76</v>
      </c>
      <c r="L1876" s="16" t="str">
        <f>IF(COUNTIFS(Pessoas!$C$5:$C$44,$K1876,Pessoas!$G$5:$G$44,"Ativo")=0,"Equipe "&amp;$K1876,INDEX(Pessoas!$A$5:$A$44,_xludf.aggregate(15,6,(ROW(Pessoas!$A$5:$A$44)-4)/((Pessoas!$C$5:$C$44=$K1876)*(Pessoas!$G$5:$G$44="Ativo")),MOD(ROW()-6,MAX(1,COUNTIFS(Pessoas!$C$5:$C$44,$K1876,Pessoas!$G$5:$G$44,"Ativo")))+1)))</f>
        <v>Equipe Oficina Mecânica Central-Taisa</v>
      </c>
    </row>
    <row r="1877" spans="1:12" ht="15" customHeight="1" x14ac:dyDescent="0.4">
      <c r="A1877" s="25">
        <v>46554</v>
      </c>
      <c r="B1877" s="16">
        <v>42</v>
      </c>
      <c r="C1877" s="16">
        <v>4</v>
      </c>
      <c r="D1877" s="16">
        <v>6</v>
      </c>
      <c r="E1877" s="16" t="s">
        <v>1371</v>
      </c>
      <c r="F1877" s="16" t="s">
        <v>1034</v>
      </c>
      <c r="G1877" s="16" t="s">
        <v>526</v>
      </c>
      <c r="H1877" s="16" t="s">
        <v>143</v>
      </c>
      <c r="I1877" s="22" t="s">
        <v>861</v>
      </c>
      <c r="J1877" s="16">
        <f>IFERROR(INDEX(Aux_HH!$J$4:$J$31,MATCH($H1877&amp;"|"&amp;$I1877,Aux_HH!$A$4:$A$31,0)),"")</f>
        <v>4.5</v>
      </c>
      <c r="K1877" s="16" t="s">
        <v>76</v>
      </c>
      <c r="L1877" s="16" t="str">
        <f>IF(COUNTIFS(Pessoas!$C$5:$C$44,$K1877,Pessoas!$G$5:$G$44,"Ativo")=0,"Equipe "&amp;$K1877,INDEX(Pessoas!$A$5:$A$44,_xludf.aggregate(15,6,(ROW(Pessoas!$A$5:$A$44)-4)/((Pessoas!$C$5:$C$44=$K1877)*(Pessoas!$G$5:$G$44="Ativo")),MOD(ROW()-6,MAX(1,COUNTIFS(Pessoas!$C$5:$C$44,$K1877,Pessoas!$G$5:$G$44,"Ativo")))+1)))</f>
        <v>Equipe Oficina Mecânica Central-Taisa</v>
      </c>
    </row>
    <row r="1878" spans="1:12" ht="15" customHeight="1" x14ac:dyDescent="0.4">
      <c r="A1878" s="25">
        <v>46554</v>
      </c>
      <c r="B1878" s="16">
        <v>42</v>
      </c>
      <c r="C1878" s="16">
        <v>4</v>
      </c>
      <c r="D1878" s="16">
        <v>6</v>
      </c>
      <c r="E1878" s="16" t="s">
        <v>1371</v>
      </c>
      <c r="F1878" s="16" t="s">
        <v>1035</v>
      </c>
      <c r="G1878" s="16" t="s">
        <v>184</v>
      </c>
      <c r="H1878" s="16" t="s">
        <v>143</v>
      </c>
      <c r="I1878" s="22" t="s">
        <v>861</v>
      </c>
      <c r="J1878" s="16">
        <f>IFERROR(INDEX(Aux_HH!$J$4:$J$31,MATCH($H1878&amp;"|"&amp;$I1878,Aux_HH!$A$4:$A$31,0)),"")</f>
        <v>4.5</v>
      </c>
      <c r="K1878" s="16" t="s">
        <v>76</v>
      </c>
      <c r="L1878" s="16" t="str">
        <f>IF(COUNTIFS(Pessoas!$C$5:$C$44,$K1878,Pessoas!$G$5:$G$44,"Ativo")=0,"Equipe "&amp;$K1878,INDEX(Pessoas!$A$5:$A$44,_xludf.aggregate(15,6,(ROW(Pessoas!$A$5:$A$44)-4)/((Pessoas!$C$5:$C$44=$K1878)*(Pessoas!$G$5:$G$44="Ativo")),MOD(ROW()-6,MAX(1,COUNTIFS(Pessoas!$C$5:$C$44,$K1878,Pessoas!$G$5:$G$44,"Ativo")))+1)))</f>
        <v>Equipe Oficina Mecânica Central-Taisa</v>
      </c>
    </row>
    <row r="1879" spans="1:12" ht="15" customHeight="1" x14ac:dyDescent="0.4">
      <c r="A1879" s="25">
        <v>46554</v>
      </c>
      <c r="B1879" s="16">
        <v>42</v>
      </c>
      <c r="C1879" s="16">
        <v>4</v>
      </c>
      <c r="D1879" s="16">
        <v>6</v>
      </c>
      <c r="E1879" s="16" t="s">
        <v>1371</v>
      </c>
      <c r="F1879" s="16" t="s">
        <v>1036</v>
      </c>
      <c r="G1879" s="16" t="s">
        <v>184</v>
      </c>
      <c r="H1879" s="16" t="s">
        <v>143</v>
      </c>
      <c r="I1879" s="22" t="s">
        <v>861</v>
      </c>
      <c r="J1879" s="16">
        <f>IFERROR(INDEX(Aux_HH!$J$4:$J$31,MATCH($H1879&amp;"|"&amp;$I1879,Aux_HH!$A$4:$A$31,0)),"")</f>
        <v>4.5</v>
      </c>
      <c r="K1879" s="16" t="s">
        <v>76</v>
      </c>
      <c r="L1879" s="16" t="str">
        <f>IF(COUNTIFS(Pessoas!$C$5:$C$44,$K1879,Pessoas!$G$5:$G$44,"Ativo")=0,"Equipe "&amp;$K1879,INDEX(Pessoas!$A$5:$A$44,_xludf.aggregate(15,6,(ROW(Pessoas!$A$5:$A$44)-4)/((Pessoas!$C$5:$C$44=$K1879)*(Pessoas!$G$5:$G$44="Ativo")),MOD(ROW()-6,MAX(1,COUNTIFS(Pessoas!$C$5:$C$44,$K1879,Pessoas!$G$5:$G$44,"Ativo")))+1)))</f>
        <v>Equipe Oficina Mecânica Central-Taisa</v>
      </c>
    </row>
    <row r="1880" spans="1:12" ht="15" customHeight="1" x14ac:dyDescent="0.4">
      <c r="A1880" s="25">
        <v>46555</v>
      </c>
      <c r="B1880" s="16">
        <v>42</v>
      </c>
      <c r="C1880" s="16">
        <v>4</v>
      </c>
      <c r="D1880" s="16">
        <v>6</v>
      </c>
      <c r="E1880" s="16" t="s">
        <v>1371</v>
      </c>
      <c r="F1880" s="16" t="s">
        <v>1037</v>
      </c>
      <c r="G1880" s="16" t="s">
        <v>184</v>
      </c>
      <c r="H1880" s="16" t="s">
        <v>143</v>
      </c>
      <c r="I1880" s="22" t="s">
        <v>861</v>
      </c>
      <c r="J1880" s="16">
        <f>IFERROR(INDEX(Aux_HH!$J$4:$J$31,MATCH($H1880&amp;"|"&amp;$I1880,Aux_HH!$A$4:$A$31,0)),"")</f>
        <v>4.5</v>
      </c>
      <c r="K1880" s="16" t="s">
        <v>76</v>
      </c>
      <c r="L1880" s="16" t="str">
        <f>IF(COUNTIFS(Pessoas!$C$5:$C$44,$K1880,Pessoas!$G$5:$G$44,"Ativo")=0,"Equipe "&amp;$K1880,INDEX(Pessoas!$A$5:$A$44,_xludf.aggregate(15,6,(ROW(Pessoas!$A$5:$A$44)-4)/((Pessoas!$C$5:$C$44=$K1880)*(Pessoas!$G$5:$G$44="Ativo")),MOD(ROW()-6,MAX(1,COUNTIFS(Pessoas!$C$5:$C$44,$K1880,Pessoas!$G$5:$G$44,"Ativo")))+1)))</f>
        <v>Equipe Oficina Mecânica Central-Taisa</v>
      </c>
    </row>
    <row r="1881" spans="1:12" ht="15" customHeight="1" x14ac:dyDescent="0.4">
      <c r="A1881" s="25">
        <v>46555</v>
      </c>
      <c r="B1881" s="16">
        <v>42</v>
      </c>
      <c r="C1881" s="16">
        <v>4</v>
      </c>
      <c r="D1881" s="16">
        <v>6</v>
      </c>
      <c r="E1881" s="16" t="s">
        <v>1371</v>
      </c>
      <c r="F1881" s="16" t="s">
        <v>1038</v>
      </c>
      <c r="G1881" s="16" t="s">
        <v>184</v>
      </c>
      <c r="H1881" s="16" t="s">
        <v>143</v>
      </c>
      <c r="I1881" s="22" t="s">
        <v>861</v>
      </c>
      <c r="J1881" s="16">
        <f>IFERROR(INDEX(Aux_HH!$J$4:$J$31,MATCH($H1881&amp;"|"&amp;$I1881,Aux_HH!$A$4:$A$31,0)),"")</f>
        <v>4.5</v>
      </c>
      <c r="K1881" s="16" t="s">
        <v>76</v>
      </c>
      <c r="L1881" s="16" t="str">
        <f>IF(COUNTIFS(Pessoas!$C$5:$C$44,$K1881,Pessoas!$G$5:$G$44,"Ativo")=0,"Equipe "&amp;$K1881,INDEX(Pessoas!$A$5:$A$44,_xludf.aggregate(15,6,(ROW(Pessoas!$A$5:$A$44)-4)/((Pessoas!$C$5:$C$44=$K1881)*(Pessoas!$G$5:$G$44="Ativo")),MOD(ROW()-6,MAX(1,COUNTIFS(Pessoas!$C$5:$C$44,$K1881,Pessoas!$G$5:$G$44,"Ativo")))+1)))</f>
        <v>Equipe Oficina Mecânica Central-Taisa</v>
      </c>
    </row>
    <row r="1882" spans="1:12" ht="15" customHeight="1" x14ac:dyDescent="0.4">
      <c r="A1882" s="25">
        <v>46555</v>
      </c>
      <c r="B1882" s="16">
        <v>42</v>
      </c>
      <c r="C1882" s="16">
        <v>4</v>
      </c>
      <c r="D1882" s="16">
        <v>6</v>
      </c>
      <c r="E1882" s="16" t="s">
        <v>1371</v>
      </c>
      <c r="F1882" s="16" t="s">
        <v>1039</v>
      </c>
      <c r="G1882" s="16" t="s">
        <v>184</v>
      </c>
      <c r="H1882" s="16" t="s">
        <v>143</v>
      </c>
      <c r="I1882" s="22" t="s">
        <v>861</v>
      </c>
      <c r="J1882" s="16">
        <f>IFERROR(INDEX(Aux_HH!$J$4:$J$31,MATCH($H1882&amp;"|"&amp;$I1882,Aux_HH!$A$4:$A$31,0)),"")</f>
        <v>4.5</v>
      </c>
      <c r="K1882" s="16" t="s">
        <v>76</v>
      </c>
      <c r="L1882" s="16" t="str">
        <f>IF(COUNTIFS(Pessoas!$C$5:$C$44,$K1882,Pessoas!$G$5:$G$44,"Ativo")=0,"Equipe "&amp;$K1882,INDEX(Pessoas!$A$5:$A$44,_xludf.aggregate(15,6,(ROW(Pessoas!$A$5:$A$44)-4)/((Pessoas!$C$5:$C$44=$K1882)*(Pessoas!$G$5:$G$44="Ativo")),MOD(ROW()-6,MAX(1,COUNTIFS(Pessoas!$C$5:$C$44,$K1882,Pessoas!$G$5:$G$44,"Ativo")))+1)))</f>
        <v>Equipe Oficina Mecânica Central-Taisa</v>
      </c>
    </row>
    <row r="1883" spans="1:12" ht="15" customHeight="1" x14ac:dyDescent="0.4">
      <c r="A1883" s="25">
        <v>46555</v>
      </c>
      <c r="B1883" s="16">
        <v>42</v>
      </c>
      <c r="C1883" s="16">
        <v>4</v>
      </c>
      <c r="D1883" s="16">
        <v>6</v>
      </c>
      <c r="E1883" s="16" t="s">
        <v>1371</v>
      </c>
      <c r="F1883" s="16" t="s">
        <v>1040</v>
      </c>
      <c r="G1883" s="16" t="s">
        <v>184</v>
      </c>
      <c r="H1883" s="16" t="s">
        <v>143</v>
      </c>
      <c r="I1883" s="22" t="s">
        <v>861</v>
      </c>
      <c r="J1883" s="16">
        <f>IFERROR(INDEX(Aux_HH!$J$4:$J$31,MATCH($H1883&amp;"|"&amp;$I1883,Aux_HH!$A$4:$A$31,0)),"")</f>
        <v>4.5</v>
      </c>
      <c r="K1883" s="16" t="s">
        <v>76</v>
      </c>
      <c r="L1883" s="16" t="str">
        <f>IF(COUNTIFS(Pessoas!$C$5:$C$44,$K1883,Pessoas!$G$5:$G$44,"Ativo")=0,"Equipe "&amp;$K1883,INDEX(Pessoas!$A$5:$A$44,_xludf.aggregate(15,6,(ROW(Pessoas!$A$5:$A$44)-4)/((Pessoas!$C$5:$C$44=$K1883)*(Pessoas!$G$5:$G$44="Ativo")),MOD(ROW()-6,MAX(1,COUNTIFS(Pessoas!$C$5:$C$44,$K1883,Pessoas!$G$5:$G$44,"Ativo")))+1)))</f>
        <v>Equipe Oficina Mecânica Central-Taisa</v>
      </c>
    </row>
    <row r="1884" spans="1:12" ht="15" customHeight="1" x14ac:dyDescent="0.4">
      <c r="A1884" s="25">
        <v>46555</v>
      </c>
      <c r="B1884" s="16">
        <v>42</v>
      </c>
      <c r="C1884" s="16">
        <v>4</v>
      </c>
      <c r="D1884" s="16">
        <v>6</v>
      </c>
      <c r="E1884" s="16" t="s">
        <v>1371</v>
      </c>
      <c r="F1884" s="16" t="s">
        <v>1041</v>
      </c>
      <c r="G1884" s="16" t="s">
        <v>184</v>
      </c>
      <c r="H1884" s="16" t="s">
        <v>143</v>
      </c>
      <c r="I1884" s="22" t="s">
        <v>861</v>
      </c>
      <c r="J1884" s="16">
        <f>IFERROR(INDEX(Aux_HH!$J$4:$J$31,MATCH($H1884&amp;"|"&amp;$I1884,Aux_HH!$A$4:$A$31,0)),"")</f>
        <v>4.5</v>
      </c>
      <c r="K1884" s="16" t="s">
        <v>76</v>
      </c>
      <c r="L1884" s="16" t="str">
        <f>IF(COUNTIFS(Pessoas!$C$5:$C$44,$K1884,Pessoas!$G$5:$G$44,"Ativo")=0,"Equipe "&amp;$K1884,INDEX(Pessoas!$A$5:$A$44,_xludf.aggregate(15,6,(ROW(Pessoas!$A$5:$A$44)-4)/((Pessoas!$C$5:$C$44=$K1884)*(Pessoas!$G$5:$G$44="Ativo")),MOD(ROW()-6,MAX(1,COUNTIFS(Pessoas!$C$5:$C$44,$K1884,Pessoas!$G$5:$G$44,"Ativo")))+1)))</f>
        <v>Equipe Oficina Mecânica Central-Taisa</v>
      </c>
    </row>
    <row r="1885" spans="1:12" ht="15" customHeight="1" x14ac:dyDescent="0.4">
      <c r="A1885" s="25">
        <v>46555</v>
      </c>
      <c r="B1885" s="16">
        <v>42</v>
      </c>
      <c r="C1885" s="16">
        <v>4</v>
      </c>
      <c r="D1885" s="16">
        <v>6</v>
      </c>
      <c r="E1885" s="16" t="s">
        <v>1371</v>
      </c>
      <c r="F1885" s="16" t="s">
        <v>1042</v>
      </c>
      <c r="G1885" s="16" t="s">
        <v>184</v>
      </c>
      <c r="H1885" s="16" t="s">
        <v>143</v>
      </c>
      <c r="I1885" s="22" t="s">
        <v>861</v>
      </c>
      <c r="J1885" s="16">
        <f>IFERROR(INDEX(Aux_HH!$J$4:$J$31,MATCH($H1885&amp;"|"&amp;$I1885,Aux_HH!$A$4:$A$31,0)),"")</f>
        <v>4.5</v>
      </c>
      <c r="K1885" s="16" t="s">
        <v>76</v>
      </c>
      <c r="L1885" s="16" t="str">
        <f>IF(COUNTIFS(Pessoas!$C$5:$C$44,$K1885,Pessoas!$G$5:$G$44,"Ativo")=0,"Equipe "&amp;$K1885,INDEX(Pessoas!$A$5:$A$44,_xludf.aggregate(15,6,(ROW(Pessoas!$A$5:$A$44)-4)/((Pessoas!$C$5:$C$44=$K1885)*(Pessoas!$G$5:$G$44="Ativo")),MOD(ROW()-6,MAX(1,COUNTIFS(Pessoas!$C$5:$C$44,$K1885,Pessoas!$G$5:$G$44,"Ativo")))+1)))</f>
        <v>Equipe Oficina Mecânica Central-Taisa</v>
      </c>
    </row>
    <row r="1886" spans="1:12" ht="15" customHeight="1" x14ac:dyDescent="0.4">
      <c r="A1886" s="25">
        <v>46555</v>
      </c>
      <c r="B1886" s="16">
        <v>42</v>
      </c>
      <c r="C1886" s="16">
        <v>4</v>
      </c>
      <c r="D1886" s="16">
        <v>6</v>
      </c>
      <c r="E1886" s="16" t="s">
        <v>1371</v>
      </c>
      <c r="F1886" s="16" t="s">
        <v>1043</v>
      </c>
      <c r="G1886" s="16" t="s">
        <v>184</v>
      </c>
      <c r="H1886" s="16" t="s">
        <v>143</v>
      </c>
      <c r="I1886" s="22" t="s">
        <v>861</v>
      </c>
      <c r="J1886" s="16">
        <f>IFERROR(INDEX(Aux_HH!$J$4:$J$31,MATCH($H1886&amp;"|"&amp;$I1886,Aux_HH!$A$4:$A$31,0)),"")</f>
        <v>4.5</v>
      </c>
      <c r="K1886" s="16" t="s">
        <v>76</v>
      </c>
      <c r="L1886" s="16" t="str">
        <f>IF(COUNTIFS(Pessoas!$C$5:$C$44,$K1886,Pessoas!$G$5:$G$44,"Ativo")=0,"Equipe "&amp;$K1886,INDEX(Pessoas!$A$5:$A$44,_xludf.aggregate(15,6,(ROW(Pessoas!$A$5:$A$44)-4)/((Pessoas!$C$5:$C$44=$K1886)*(Pessoas!$G$5:$G$44="Ativo")),MOD(ROW()-6,MAX(1,COUNTIFS(Pessoas!$C$5:$C$44,$K1886,Pessoas!$G$5:$G$44,"Ativo")))+1)))</f>
        <v>Equipe Oficina Mecânica Central-Taisa</v>
      </c>
    </row>
    <row r="1887" spans="1:12" ht="15" customHeight="1" x14ac:dyDescent="0.4">
      <c r="A1887" s="25">
        <v>46555</v>
      </c>
      <c r="B1887" s="16">
        <v>42</v>
      </c>
      <c r="C1887" s="16">
        <v>4</v>
      </c>
      <c r="D1887" s="16">
        <v>6</v>
      </c>
      <c r="E1887" s="16" t="s">
        <v>1371</v>
      </c>
      <c r="F1887" s="16" t="s">
        <v>1044</v>
      </c>
      <c r="G1887" s="16" t="s">
        <v>184</v>
      </c>
      <c r="H1887" s="16" t="s">
        <v>143</v>
      </c>
      <c r="I1887" s="22" t="s">
        <v>861</v>
      </c>
      <c r="J1887" s="16">
        <f>IFERROR(INDEX(Aux_HH!$J$4:$J$31,MATCH($H1887&amp;"|"&amp;$I1887,Aux_HH!$A$4:$A$31,0)),"")</f>
        <v>4.5</v>
      </c>
      <c r="K1887" s="16" t="s">
        <v>76</v>
      </c>
      <c r="L1887" s="16" t="str">
        <f>IF(COUNTIFS(Pessoas!$C$5:$C$44,$K1887,Pessoas!$G$5:$G$44,"Ativo")=0,"Equipe "&amp;$K1887,INDEX(Pessoas!$A$5:$A$44,_xludf.aggregate(15,6,(ROW(Pessoas!$A$5:$A$44)-4)/((Pessoas!$C$5:$C$44=$K1887)*(Pessoas!$G$5:$G$44="Ativo")),MOD(ROW()-6,MAX(1,COUNTIFS(Pessoas!$C$5:$C$44,$K1887,Pessoas!$G$5:$G$44,"Ativo")))+1)))</f>
        <v>Equipe Oficina Mecânica Central-Taisa</v>
      </c>
    </row>
    <row r="1888" spans="1:12" ht="15" customHeight="1" x14ac:dyDescent="0.4">
      <c r="A1888" s="25">
        <v>46555</v>
      </c>
      <c r="B1888" s="16">
        <v>42</v>
      </c>
      <c r="C1888" s="16">
        <v>4</v>
      </c>
      <c r="D1888" s="16">
        <v>6</v>
      </c>
      <c r="E1888" s="16" t="s">
        <v>1371</v>
      </c>
      <c r="F1888" s="16" t="s">
        <v>1045</v>
      </c>
      <c r="G1888" s="16" t="s">
        <v>526</v>
      </c>
      <c r="H1888" s="16" t="s">
        <v>143</v>
      </c>
      <c r="I1888" s="22" t="s">
        <v>861</v>
      </c>
      <c r="J1888" s="16">
        <f>IFERROR(INDEX(Aux_HH!$J$4:$J$31,MATCH($H1888&amp;"|"&amp;$I1888,Aux_HH!$A$4:$A$31,0)),"")</f>
        <v>4.5</v>
      </c>
      <c r="K1888" s="16" t="s">
        <v>76</v>
      </c>
      <c r="L1888" s="16" t="str">
        <f>IF(COUNTIFS(Pessoas!$C$5:$C$44,$K1888,Pessoas!$G$5:$G$44,"Ativo")=0,"Equipe "&amp;$K1888,INDEX(Pessoas!$A$5:$A$44,_xludf.aggregate(15,6,(ROW(Pessoas!$A$5:$A$44)-4)/((Pessoas!$C$5:$C$44=$K1888)*(Pessoas!$G$5:$G$44="Ativo")),MOD(ROW()-6,MAX(1,COUNTIFS(Pessoas!$C$5:$C$44,$K1888,Pessoas!$G$5:$G$44,"Ativo")))+1)))</f>
        <v>Equipe Oficina Mecânica Central-Taisa</v>
      </c>
    </row>
    <row r="1889" spans="1:12" ht="15" customHeight="1" x14ac:dyDescent="0.4">
      <c r="A1889" s="25">
        <v>46555</v>
      </c>
      <c r="B1889" s="16">
        <v>42</v>
      </c>
      <c r="C1889" s="16">
        <v>4</v>
      </c>
      <c r="D1889" s="16">
        <v>6</v>
      </c>
      <c r="E1889" s="16" t="s">
        <v>1371</v>
      </c>
      <c r="F1889" s="16" t="s">
        <v>1046</v>
      </c>
      <c r="G1889" s="16" t="s">
        <v>526</v>
      </c>
      <c r="H1889" s="16" t="s">
        <v>143</v>
      </c>
      <c r="I1889" s="22" t="s">
        <v>861</v>
      </c>
      <c r="J1889" s="16">
        <f>IFERROR(INDEX(Aux_HH!$J$4:$J$31,MATCH($H1889&amp;"|"&amp;$I1889,Aux_HH!$A$4:$A$31,0)),"")</f>
        <v>4.5</v>
      </c>
      <c r="K1889" s="16" t="s">
        <v>76</v>
      </c>
      <c r="L1889" s="16" t="str">
        <f>IF(COUNTIFS(Pessoas!$C$5:$C$44,$K1889,Pessoas!$G$5:$G$44,"Ativo")=0,"Equipe "&amp;$K1889,INDEX(Pessoas!$A$5:$A$44,_xludf.aggregate(15,6,(ROW(Pessoas!$A$5:$A$44)-4)/((Pessoas!$C$5:$C$44=$K1889)*(Pessoas!$G$5:$G$44="Ativo")),MOD(ROW()-6,MAX(1,COUNTIFS(Pessoas!$C$5:$C$44,$K1889,Pessoas!$G$5:$G$44,"Ativo")))+1)))</f>
        <v>Equipe Oficina Mecânica Central-Taisa</v>
      </c>
    </row>
    <row r="1890" spans="1:12" ht="15" customHeight="1" x14ac:dyDescent="0.4">
      <c r="A1890" s="25">
        <v>46555</v>
      </c>
      <c r="B1890" s="16">
        <v>42</v>
      </c>
      <c r="C1890" s="16">
        <v>4</v>
      </c>
      <c r="D1890" s="16">
        <v>6</v>
      </c>
      <c r="E1890" s="16" t="s">
        <v>1371</v>
      </c>
      <c r="F1890" s="16" t="s">
        <v>1047</v>
      </c>
      <c r="G1890" s="16" t="s">
        <v>526</v>
      </c>
      <c r="H1890" s="16" t="s">
        <v>143</v>
      </c>
      <c r="I1890" s="22" t="s">
        <v>861</v>
      </c>
      <c r="J1890" s="16">
        <f>IFERROR(INDEX(Aux_HH!$J$4:$J$31,MATCH($H1890&amp;"|"&amp;$I1890,Aux_HH!$A$4:$A$31,0)),"")</f>
        <v>4.5</v>
      </c>
      <c r="K1890" s="16" t="s">
        <v>76</v>
      </c>
      <c r="L1890" s="16" t="str">
        <f>IF(COUNTIFS(Pessoas!$C$5:$C$44,$K1890,Pessoas!$G$5:$G$44,"Ativo")=0,"Equipe "&amp;$K1890,INDEX(Pessoas!$A$5:$A$44,_xludf.aggregate(15,6,(ROW(Pessoas!$A$5:$A$44)-4)/((Pessoas!$C$5:$C$44=$K1890)*(Pessoas!$G$5:$G$44="Ativo")),MOD(ROW()-6,MAX(1,COUNTIFS(Pessoas!$C$5:$C$44,$K1890,Pessoas!$G$5:$G$44,"Ativo")))+1)))</f>
        <v>Equipe Oficina Mecânica Central-Taisa</v>
      </c>
    </row>
    <row r="1891" spans="1:12" ht="15" customHeight="1" x14ac:dyDescent="0.4">
      <c r="A1891" s="25">
        <v>46555</v>
      </c>
      <c r="B1891" s="16">
        <v>42</v>
      </c>
      <c r="C1891" s="16">
        <v>4</v>
      </c>
      <c r="D1891" s="16">
        <v>6</v>
      </c>
      <c r="E1891" s="16" t="s">
        <v>1371</v>
      </c>
      <c r="F1891" s="16" t="s">
        <v>1048</v>
      </c>
      <c r="G1891" s="16" t="s">
        <v>526</v>
      </c>
      <c r="H1891" s="16" t="s">
        <v>143</v>
      </c>
      <c r="I1891" s="22" t="s">
        <v>861</v>
      </c>
      <c r="J1891" s="16">
        <f>IFERROR(INDEX(Aux_HH!$J$4:$J$31,MATCH($H1891&amp;"|"&amp;$I1891,Aux_HH!$A$4:$A$31,0)),"")</f>
        <v>4.5</v>
      </c>
      <c r="K1891" s="16" t="s">
        <v>76</v>
      </c>
      <c r="L1891" s="16" t="str">
        <f>IF(COUNTIFS(Pessoas!$C$5:$C$44,$K1891,Pessoas!$G$5:$G$44,"Ativo")=0,"Equipe "&amp;$K1891,INDEX(Pessoas!$A$5:$A$44,_xludf.aggregate(15,6,(ROW(Pessoas!$A$5:$A$44)-4)/((Pessoas!$C$5:$C$44=$K1891)*(Pessoas!$G$5:$G$44="Ativo")),MOD(ROW()-6,MAX(1,COUNTIFS(Pessoas!$C$5:$C$44,$K1891,Pessoas!$G$5:$G$44,"Ativo")))+1)))</f>
        <v>Equipe Oficina Mecânica Central-Taisa</v>
      </c>
    </row>
    <row r="1892" spans="1:12" ht="15" customHeight="1" x14ac:dyDescent="0.4">
      <c r="A1892" s="25">
        <v>46555</v>
      </c>
      <c r="B1892" s="16">
        <v>42</v>
      </c>
      <c r="C1892" s="16">
        <v>4</v>
      </c>
      <c r="D1892" s="16">
        <v>6</v>
      </c>
      <c r="E1892" s="16" t="s">
        <v>1371</v>
      </c>
      <c r="F1892" s="16" t="s">
        <v>1049</v>
      </c>
      <c r="G1892" s="16" t="s">
        <v>526</v>
      </c>
      <c r="H1892" s="16" t="s">
        <v>143</v>
      </c>
      <c r="I1892" s="22" t="s">
        <v>861</v>
      </c>
      <c r="J1892" s="16">
        <f>IFERROR(INDEX(Aux_HH!$J$4:$J$31,MATCH($H1892&amp;"|"&amp;$I1892,Aux_HH!$A$4:$A$31,0)),"")</f>
        <v>4.5</v>
      </c>
      <c r="K1892" s="16" t="s">
        <v>76</v>
      </c>
      <c r="L1892" s="16" t="str">
        <f>IF(COUNTIFS(Pessoas!$C$5:$C$44,$K1892,Pessoas!$G$5:$G$44,"Ativo")=0,"Equipe "&amp;$K1892,INDEX(Pessoas!$A$5:$A$44,_xludf.aggregate(15,6,(ROW(Pessoas!$A$5:$A$44)-4)/((Pessoas!$C$5:$C$44=$K1892)*(Pessoas!$G$5:$G$44="Ativo")),MOD(ROW()-6,MAX(1,COUNTIFS(Pessoas!$C$5:$C$44,$K1892,Pessoas!$G$5:$G$44,"Ativo")))+1)))</f>
        <v>Equipe Oficina Mecânica Central-Taisa</v>
      </c>
    </row>
    <row r="1893" spans="1:12" ht="15" customHeight="1" x14ac:dyDescent="0.4">
      <c r="A1893" s="25">
        <v>46555</v>
      </c>
      <c r="B1893" s="16">
        <v>42</v>
      </c>
      <c r="C1893" s="16">
        <v>4</v>
      </c>
      <c r="D1893" s="16">
        <v>6</v>
      </c>
      <c r="E1893" s="16" t="s">
        <v>1371</v>
      </c>
      <c r="F1893" s="16" t="s">
        <v>1050</v>
      </c>
      <c r="G1893" s="16" t="s">
        <v>526</v>
      </c>
      <c r="H1893" s="16" t="s">
        <v>143</v>
      </c>
      <c r="I1893" s="22" t="s">
        <v>861</v>
      </c>
      <c r="J1893" s="16">
        <f>IFERROR(INDEX(Aux_HH!$J$4:$J$31,MATCH($H1893&amp;"|"&amp;$I1893,Aux_HH!$A$4:$A$31,0)),"")</f>
        <v>4.5</v>
      </c>
      <c r="K1893" s="16" t="s">
        <v>76</v>
      </c>
      <c r="L1893" s="16" t="str">
        <f>IF(COUNTIFS(Pessoas!$C$5:$C$44,$K1893,Pessoas!$G$5:$G$44,"Ativo")=0,"Equipe "&amp;$K1893,INDEX(Pessoas!$A$5:$A$44,_xludf.aggregate(15,6,(ROW(Pessoas!$A$5:$A$44)-4)/((Pessoas!$C$5:$C$44=$K1893)*(Pessoas!$G$5:$G$44="Ativo")),MOD(ROW()-6,MAX(1,COUNTIFS(Pessoas!$C$5:$C$44,$K1893,Pessoas!$G$5:$G$44,"Ativo")))+1)))</f>
        <v>Equipe Oficina Mecânica Central-Taisa</v>
      </c>
    </row>
    <row r="1894" spans="1:12" ht="15" customHeight="1" x14ac:dyDescent="0.4">
      <c r="A1894" s="25">
        <v>46555</v>
      </c>
      <c r="B1894" s="16">
        <v>42</v>
      </c>
      <c r="C1894" s="16">
        <v>4</v>
      </c>
      <c r="D1894" s="16">
        <v>6</v>
      </c>
      <c r="E1894" s="16" t="s">
        <v>1371</v>
      </c>
      <c r="F1894" s="16" t="s">
        <v>1051</v>
      </c>
      <c r="G1894" s="16" t="s">
        <v>184</v>
      </c>
      <c r="H1894" s="16" t="s">
        <v>143</v>
      </c>
      <c r="I1894" s="22" t="s">
        <v>861</v>
      </c>
      <c r="J1894" s="16">
        <f>IFERROR(INDEX(Aux_HH!$J$4:$J$31,MATCH($H1894&amp;"|"&amp;$I1894,Aux_HH!$A$4:$A$31,0)),"")</f>
        <v>4.5</v>
      </c>
      <c r="K1894" s="16" t="s">
        <v>76</v>
      </c>
      <c r="L1894" s="16" t="str">
        <f>IF(COUNTIFS(Pessoas!$C$5:$C$44,$K1894,Pessoas!$G$5:$G$44,"Ativo")=0,"Equipe "&amp;$K1894,INDEX(Pessoas!$A$5:$A$44,_xludf.aggregate(15,6,(ROW(Pessoas!$A$5:$A$44)-4)/((Pessoas!$C$5:$C$44=$K1894)*(Pessoas!$G$5:$G$44="Ativo")),MOD(ROW()-6,MAX(1,COUNTIFS(Pessoas!$C$5:$C$44,$K1894,Pessoas!$G$5:$G$44,"Ativo")))+1)))</f>
        <v>Equipe Oficina Mecânica Central-Taisa</v>
      </c>
    </row>
    <row r="1895" spans="1:12" ht="15" customHeight="1" x14ac:dyDescent="0.4">
      <c r="A1895" s="25">
        <v>46556</v>
      </c>
      <c r="B1895" s="16">
        <v>42</v>
      </c>
      <c r="C1895" s="16">
        <v>4</v>
      </c>
      <c r="D1895" s="16">
        <v>6</v>
      </c>
      <c r="E1895" s="16" t="s">
        <v>1371</v>
      </c>
      <c r="F1895" s="16" t="s">
        <v>1052</v>
      </c>
      <c r="G1895" s="16" t="s">
        <v>184</v>
      </c>
      <c r="H1895" s="16" t="s">
        <v>143</v>
      </c>
      <c r="I1895" s="22" t="s">
        <v>861</v>
      </c>
      <c r="J1895" s="16">
        <f>IFERROR(INDEX(Aux_HH!$J$4:$J$31,MATCH($H1895&amp;"|"&amp;$I1895,Aux_HH!$A$4:$A$31,0)),"")</f>
        <v>4.5</v>
      </c>
      <c r="K1895" s="16" t="s">
        <v>76</v>
      </c>
      <c r="L1895" s="16" t="str">
        <f>IF(COUNTIFS(Pessoas!$C$5:$C$44,$K1895,Pessoas!$G$5:$G$44,"Ativo")=0,"Equipe "&amp;$K1895,INDEX(Pessoas!$A$5:$A$44,_xludf.aggregate(15,6,(ROW(Pessoas!$A$5:$A$44)-4)/((Pessoas!$C$5:$C$44=$K1895)*(Pessoas!$G$5:$G$44="Ativo")),MOD(ROW()-6,MAX(1,COUNTIFS(Pessoas!$C$5:$C$44,$K1895,Pessoas!$G$5:$G$44,"Ativo")))+1)))</f>
        <v>Equipe Oficina Mecânica Central-Taisa</v>
      </c>
    </row>
    <row r="1896" spans="1:12" ht="15" customHeight="1" x14ac:dyDescent="0.4">
      <c r="A1896" s="25">
        <v>46556</v>
      </c>
      <c r="B1896" s="16">
        <v>42</v>
      </c>
      <c r="C1896" s="16">
        <v>4</v>
      </c>
      <c r="D1896" s="16">
        <v>6</v>
      </c>
      <c r="E1896" s="16" t="s">
        <v>1371</v>
      </c>
      <c r="F1896" s="16" t="s">
        <v>1053</v>
      </c>
      <c r="G1896" s="16" t="s">
        <v>184</v>
      </c>
      <c r="H1896" s="16" t="s">
        <v>143</v>
      </c>
      <c r="I1896" s="22" t="s">
        <v>861</v>
      </c>
      <c r="J1896" s="16">
        <f>IFERROR(INDEX(Aux_HH!$J$4:$J$31,MATCH($H1896&amp;"|"&amp;$I1896,Aux_HH!$A$4:$A$31,0)),"")</f>
        <v>4.5</v>
      </c>
      <c r="K1896" s="16" t="s">
        <v>76</v>
      </c>
      <c r="L1896" s="16" t="str">
        <f>IF(COUNTIFS(Pessoas!$C$5:$C$44,$K1896,Pessoas!$G$5:$G$44,"Ativo")=0,"Equipe "&amp;$K1896,INDEX(Pessoas!$A$5:$A$44,_xludf.aggregate(15,6,(ROW(Pessoas!$A$5:$A$44)-4)/((Pessoas!$C$5:$C$44=$K1896)*(Pessoas!$G$5:$G$44="Ativo")),MOD(ROW()-6,MAX(1,COUNTIFS(Pessoas!$C$5:$C$44,$K1896,Pessoas!$G$5:$G$44,"Ativo")))+1)))</f>
        <v>Equipe Oficina Mecânica Central-Taisa</v>
      </c>
    </row>
    <row r="1897" spans="1:12" ht="15" customHeight="1" x14ac:dyDescent="0.4">
      <c r="A1897" s="25">
        <v>46556</v>
      </c>
      <c r="B1897" s="16">
        <v>42</v>
      </c>
      <c r="C1897" s="16">
        <v>4</v>
      </c>
      <c r="D1897" s="16">
        <v>6</v>
      </c>
      <c r="E1897" s="16" t="s">
        <v>1371</v>
      </c>
      <c r="F1897" s="16" t="s">
        <v>1054</v>
      </c>
      <c r="G1897" s="16" t="s">
        <v>184</v>
      </c>
      <c r="H1897" s="16" t="s">
        <v>143</v>
      </c>
      <c r="I1897" s="22" t="s">
        <v>861</v>
      </c>
      <c r="J1897" s="16">
        <f>IFERROR(INDEX(Aux_HH!$J$4:$J$31,MATCH($H1897&amp;"|"&amp;$I1897,Aux_HH!$A$4:$A$31,0)),"")</f>
        <v>4.5</v>
      </c>
      <c r="K1897" s="16" t="s">
        <v>76</v>
      </c>
      <c r="L1897" s="16" t="str">
        <f>IF(COUNTIFS(Pessoas!$C$5:$C$44,$K1897,Pessoas!$G$5:$G$44,"Ativo")=0,"Equipe "&amp;$K1897,INDEX(Pessoas!$A$5:$A$44,_xludf.aggregate(15,6,(ROW(Pessoas!$A$5:$A$44)-4)/((Pessoas!$C$5:$C$44=$K1897)*(Pessoas!$G$5:$G$44="Ativo")),MOD(ROW()-6,MAX(1,COUNTIFS(Pessoas!$C$5:$C$44,$K1897,Pessoas!$G$5:$G$44,"Ativo")))+1)))</f>
        <v>Equipe Oficina Mecânica Central-Taisa</v>
      </c>
    </row>
    <row r="1898" spans="1:12" ht="15" customHeight="1" x14ac:dyDescent="0.4">
      <c r="A1898" s="25">
        <v>46556</v>
      </c>
      <c r="B1898" s="16">
        <v>42</v>
      </c>
      <c r="C1898" s="16">
        <v>4</v>
      </c>
      <c r="D1898" s="16">
        <v>6</v>
      </c>
      <c r="E1898" s="16" t="s">
        <v>1371</v>
      </c>
      <c r="F1898" s="16" t="s">
        <v>1055</v>
      </c>
      <c r="G1898" s="16" t="s">
        <v>184</v>
      </c>
      <c r="H1898" s="16" t="s">
        <v>143</v>
      </c>
      <c r="I1898" s="22" t="s">
        <v>861</v>
      </c>
      <c r="J1898" s="16">
        <f>IFERROR(INDEX(Aux_HH!$J$4:$J$31,MATCH($H1898&amp;"|"&amp;$I1898,Aux_HH!$A$4:$A$31,0)),"")</f>
        <v>4.5</v>
      </c>
      <c r="K1898" s="16" t="s">
        <v>76</v>
      </c>
      <c r="L1898" s="16" t="str">
        <f>IF(COUNTIFS(Pessoas!$C$5:$C$44,$K1898,Pessoas!$G$5:$G$44,"Ativo")=0,"Equipe "&amp;$K1898,INDEX(Pessoas!$A$5:$A$44,_xludf.aggregate(15,6,(ROW(Pessoas!$A$5:$A$44)-4)/((Pessoas!$C$5:$C$44=$K1898)*(Pessoas!$G$5:$G$44="Ativo")),MOD(ROW()-6,MAX(1,COUNTIFS(Pessoas!$C$5:$C$44,$K1898,Pessoas!$G$5:$G$44,"Ativo")))+1)))</f>
        <v>Equipe Oficina Mecânica Central-Taisa</v>
      </c>
    </row>
    <row r="1899" spans="1:12" ht="15" customHeight="1" x14ac:dyDescent="0.4">
      <c r="A1899" s="25">
        <v>46556</v>
      </c>
      <c r="B1899" s="16">
        <v>42</v>
      </c>
      <c r="C1899" s="16">
        <v>4</v>
      </c>
      <c r="D1899" s="16">
        <v>6</v>
      </c>
      <c r="E1899" s="16" t="s">
        <v>1371</v>
      </c>
      <c r="F1899" s="16" t="s">
        <v>1056</v>
      </c>
      <c r="G1899" s="16" t="s">
        <v>184</v>
      </c>
      <c r="H1899" s="16" t="s">
        <v>143</v>
      </c>
      <c r="I1899" s="22" t="s">
        <v>861</v>
      </c>
      <c r="J1899" s="16">
        <f>IFERROR(INDEX(Aux_HH!$J$4:$J$31,MATCH($H1899&amp;"|"&amp;$I1899,Aux_HH!$A$4:$A$31,0)),"")</f>
        <v>4.5</v>
      </c>
      <c r="K1899" s="16" t="s">
        <v>76</v>
      </c>
      <c r="L1899" s="16" t="str">
        <f>IF(COUNTIFS(Pessoas!$C$5:$C$44,$K1899,Pessoas!$G$5:$G$44,"Ativo")=0,"Equipe "&amp;$K1899,INDEX(Pessoas!$A$5:$A$44,_xludf.aggregate(15,6,(ROW(Pessoas!$A$5:$A$44)-4)/((Pessoas!$C$5:$C$44=$K1899)*(Pessoas!$G$5:$G$44="Ativo")),MOD(ROW()-6,MAX(1,COUNTIFS(Pessoas!$C$5:$C$44,$K1899,Pessoas!$G$5:$G$44,"Ativo")))+1)))</f>
        <v>Equipe Oficina Mecânica Central-Taisa</v>
      </c>
    </row>
    <row r="1900" spans="1:12" ht="15" customHeight="1" x14ac:dyDescent="0.4">
      <c r="A1900" s="25">
        <v>46556</v>
      </c>
      <c r="B1900" s="16">
        <v>42</v>
      </c>
      <c r="C1900" s="16">
        <v>4</v>
      </c>
      <c r="D1900" s="16">
        <v>6</v>
      </c>
      <c r="E1900" s="16" t="s">
        <v>1371</v>
      </c>
      <c r="F1900" s="16" t="s">
        <v>1057</v>
      </c>
      <c r="G1900" s="16" t="s">
        <v>184</v>
      </c>
      <c r="H1900" s="16" t="s">
        <v>143</v>
      </c>
      <c r="I1900" s="22" t="s">
        <v>861</v>
      </c>
      <c r="J1900" s="16">
        <f>IFERROR(INDEX(Aux_HH!$J$4:$J$31,MATCH($H1900&amp;"|"&amp;$I1900,Aux_HH!$A$4:$A$31,0)),"")</f>
        <v>4.5</v>
      </c>
      <c r="K1900" s="16" t="s">
        <v>76</v>
      </c>
      <c r="L1900" s="16" t="str">
        <f>IF(COUNTIFS(Pessoas!$C$5:$C$44,$K1900,Pessoas!$G$5:$G$44,"Ativo")=0,"Equipe "&amp;$K1900,INDEX(Pessoas!$A$5:$A$44,_xludf.aggregate(15,6,(ROW(Pessoas!$A$5:$A$44)-4)/((Pessoas!$C$5:$C$44=$K1900)*(Pessoas!$G$5:$G$44="Ativo")),MOD(ROW()-6,MAX(1,COUNTIFS(Pessoas!$C$5:$C$44,$K1900,Pessoas!$G$5:$G$44,"Ativo")))+1)))</f>
        <v>Equipe Oficina Mecânica Central-Taisa</v>
      </c>
    </row>
    <row r="1901" spans="1:12" ht="15" customHeight="1" x14ac:dyDescent="0.4">
      <c r="A1901" s="25">
        <v>46556</v>
      </c>
      <c r="B1901" s="16">
        <v>42</v>
      </c>
      <c r="C1901" s="16">
        <v>4</v>
      </c>
      <c r="D1901" s="16">
        <v>6</v>
      </c>
      <c r="E1901" s="16" t="s">
        <v>1371</v>
      </c>
      <c r="F1901" s="16" t="s">
        <v>1058</v>
      </c>
      <c r="G1901" s="16" t="s">
        <v>184</v>
      </c>
      <c r="H1901" s="16" t="s">
        <v>143</v>
      </c>
      <c r="I1901" s="22" t="s">
        <v>861</v>
      </c>
      <c r="J1901" s="16">
        <f>IFERROR(INDEX(Aux_HH!$J$4:$J$31,MATCH($H1901&amp;"|"&amp;$I1901,Aux_HH!$A$4:$A$31,0)),"")</f>
        <v>4.5</v>
      </c>
      <c r="K1901" s="16" t="s">
        <v>76</v>
      </c>
      <c r="L1901" s="16" t="str">
        <f>IF(COUNTIFS(Pessoas!$C$5:$C$44,$K1901,Pessoas!$G$5:$G$44,"Ativo")=0,"Equipe "&amp;$K1901,INDEX(Pessoas!$A$5:$A$44,_xludf.aggregate(15,6,(ROW(Pessoas!$A$5:$A$44)-4)/((Pessoas!$C$5:$C$44=$K1901)*(Pessoas!$G$5:$G$44="Ativo")),MOD(ROW()-6,MAX(1,COUNTIFS(Pessoas!$C$5:$C$44,$K1901,Pessoas!$G$5:$G$44,"Ativo")))+1)))</f>
        <v>Equipe Oficina Mecânica Central-Taisa</v>
      </c>
    </row>
    <row r="1902" spans="1:12" ht="15" customHeight="1" x14ac:dyDescent="0.4">
      <c r="A1902" s="25">
        <v>46556</v>
      </c>
      <c r="B1902" s="16">
        <v>42</v>
      </c>
      <c r="C1902" s="16">
        <v>4</v>
      </c>
      <c r="D1902" s="16">
        <v>6</v>
      </c>
      <c r="E1902" s="16" t="s">
        <v>1371</v>
      </c>
      <c r="F1902" s="16" t="s">
        <v>1059</v>
      </c>
      <c r="G1902" s="16" t="s">
        <v>688</v>
      </c>
      <c r="H1902" s="16" t="s">
        <v>143</v>
      </c>
      <c r="I1902" s="22" t="s">
        <v>861</v>
      </c>
      <c r="J1902" s="16">
        <f>IFERROR(INDEX(Aux_HH!$J$4:$J$31,MATCH($H1902&amp;"|"&amp;$I1902,Aux_HH!$A$4:$A$31,0)),"")</f>
        <v>4.5</v>
      </c>
      <c r="K1902" s="16" t="s">
        <v>76</v>
      </c>
      <c r="L1902" s="16" t="str">
        <f>IF(COUNTIFS(Pessoas!$C$5:$C$44,$K1902,Pessoas!$G$5:$G$44,"Ativo")=0,"Equipe "&amp;$K1902,INDEX(Pessoas!$A$5:$A$44,_xludf.aggregate(15,6,(ROW(Pessoas!$A$5:$A$44)-4)/((Pessoas!$C$5:$C$44=$K1902)*(Pessoas!$G$5:$G$44="Ativo")),MOD(ROW()-6,MAX(1,COUNTIFS(Pessoas!$C$5:$C$44,$K1902,Pessoas!$G$5:$G$44,"Ativo")))+1)))</f>
        <v>Equipe Oficina Mecânica Central-Taisa</v>
      </c>
    </row>
    <row r="1903" spans="1:12" ht="15" customHeight="1" x14ac:dyDescent="0.4">
      <c r="A1903" s="25">
        <v>46556</v>
      </c>
      <c r="B1903" s="16">
        <v>42</v>
      </c>
      <c r="C1903" s="16">
        <v>4</v>
      </c>
      <c r="D1903" s="16">
        <v>6</v>
      </c>
      <c r="E1903" s="16" t="s">
        <v>1371</v>
      </c>
      <c r="F1903" s="16" t="s">
        <v>1060</v>
      </c>
      <c r="G1903" s="16" t="s">
        <v>526</v>
      </c>
      <c r="H1903" s="16" t="s">
        <v>143</v>
      </c>
      <c r="I1903" s="22" t="s">
        <v>861</v>
      </c>
      <c r="J1903" s="16">
        <f>IFERROR(INDEX(Aux_HH!$J$4:$J$31,MATCH($H1903&amp;"|"&amp;$I1903,Aux_HH!$A$4:$A$31,0)),"")</f>
        <v>4.5</v>
      </c>
      <c r="K1903" s="16" t="s">
        <v>76</v>
      </c>
      <c r="L1903" s="16" t="str">
        <f>IF(COUNTIFS(Pessoas!$C$5:$C$44,$K1903,Pessoas!$G$5:$G$44,"Ativo")=0,"Equipe "&amp;$K1903,INDEX(Pessoas!$A$5:$A$44,_xludf.aggregate(15,6,(ROW(Pessoas!$A$5:$A$44)-4)/((Pessoas!$C$5:$C$44=$K1903)*(Pessoas!$G$5:$G$44="Ativo")),MOD(ROW()-6,MAX(1,COUNTIFS(Pessoas!$C$5:$C$44,$K1903,Pessoas!$G$5:$G$44,"Ativo")))+1)))</f>
        <v>Equipe Oficina Mecânica Central-Taisa</v>
      </c>
    </row>
    <row r="1904" spans="1:12" ht="15" customHeight="1" x14ac:dyDescent="0.4">
      <c r="A1904" s="25">
        <v>46556</v>
      </c>
      <c r="B1904" s="16">
        <v>42</v>
      </c>
      <c r="C1904" s="16">
        <v>4</v>
      </c>
      <c r="D1904" s="16">
        <v>6</v>
      </c>
      <c r="E1904" s="16" t="s">
        <v>1371</v>
      </c>
      <c r="F1904" s="16" t="s">
        <v>1061</v>
      </c>
      <c r="G1904" s="16" t="s">
        <v>526</v>
      </c>
      <c r="H1904" s="16" t="s">
        <v>143</v>
      </c>
      <c r="I1904" s="22" t="s">
        <v>861</v>
      </c>
      <c r="J1904" s="16">
        <f>IFERROR(INDEX(Aux_HH!$J$4:$J$31,MATCH($H1904&amp;"|"&amp;$I1904,Aux_HH!$A$4:$A$31,0)),"")</f>
        <v>4.5</v>
      </c>
      <c r="K1904" s="16" t="s">
        <v>76</v>
      </c>
      <c r="L1904" s="16" t="str">
        <f>IF(COUNTIFS(Pessoas!$C$5:$C$44,$K1904,Pessoas!$G$5:$G$44,"Ativo")=0,"Equipe "&amp;$K1904,INDEX(Pessoas!$A$5:$A$44,_xludf.aggregate(15,6,(ROW(Pessoas!$A$5:$A$44)-4)/((Pessoas!$C$5:$C$44=$K1904)*(Pessoas!$G$5:$G$44="Ativo")),MOD(ROW()-6,MAX(1,COUNTIFS(Pessoas!$C$5:$C$44,$K1904,Pessoas!$G$5:$G$44,"Ativo")))+1)))</f>
        <v>Equipe Oficina Mecânica Central-Taisa</v>
      </c>
    </row>
    <row r="1905" spans="1:12" ht="15" customHeight="1" x14ac:dyDescent="0.4">
      <c r="A1905" s="25">
        <v>46556</v>
      </c>
      <c r="B1905" s="16">
        <v>42</v>
      </c>
      <c r="C1905" s="16">
        <v>4</v>
      </c>
      <c r="D1905" s="16">
        <v>6</v>
      </c>
      <c r="E1905" s="16" t="s">
        <v>1371</v>
      </c>
      <c r="F1905" s="16" t="s">
        <v>1062</v>
      </c>
      <c r="G1905" s="16" t="s">
        <v>688</v>
      </c>
      <c r="H1905" s="16" t="s">
        <v>143</v>
      </c>
      <c r="I1905" s="22" t="s">
        <v>861</v>
      </c>
      <c r="J1905" s="16">
        <f>IFERROR(INDEX(Aux_HH!$J$4:$J$31,MATCH($H1905&amp;"|"&amp;$I1905,Aux_HH!$A$4:$A$31,0)),"")</f>
        <v>4.5</v>
      </c>
      <c r="K1905" s="16" t="s">
        <v>76</v>
      </c>
      <c r="L1905" s="16" t="str">
        <f>IF(COUNTIFS(Pessoas!$C$5:$C$44,$K1905,Pessoas!$G$5:$G$44,"Ativo")=0,"Equipe "&amp;$K1905,INDEX(Pessoas!$A$5:$A$44,_xludf.aggregate(15,6,(ROW(Pessoas!$A$5:$A$44)-4)/((Pessoas!$C$5:$C$44=$K1905)*(Pessoas!$G$5:$G$44="Ativo")),MOD(ROW()-6,MAX(1,COUNTIFS(Pessoas!$C$5:$C$44,$K1905,Pessoas!$G$5:$G$44,"Ativo")))+1)))</f>
        <v>Equipe Oficina Mecânica Central-Taisa</v>
      </c>
    </row>
    <row r="1906" spans="1:12" ht="15" customHeight="1" x14ac:dyDescent="0.4">
      <c r="A1906" s="25">
        <v>46556</v>
      </c>
      <c r="B1906" s="16">
        <v>42</v>
      </c>
      <c r="C1906" s="16">
        <v>4</v>
      </c>
      <c r="D1906" s="16">
        <v>6</v>
      </c>
      <c r="E1906" s="16" t="s">
        <v>1371</v>
      </c>
      <c r="F1906" s="16" t="s">
        <v>1063</v>
      </c>
      <c r="G1906" s="16" t="s">
        <v>526</v>
      </c>
      <c r="H1906" s="16" t="s">
        <v>143</v>
      </c>
      <c r="I1906" s="22" t="s">
        <v>861</v>
      </c>
      <c r="J1906" s="16">
        <f>IFERROR(INDEX(Aux_HH!$J$4:$J$31,MATCH($H1906&amp;"|"&amp;$I1906,Aux_HH!$A$4:$A$31,0)),"")</f>
        <v>4.5</v>
      </c>
      <c r="K1906" s="16" t="s">
        <v>76</v>
      </c>
      <c r="L1906" s="16" t="str">
        <f>IF(COUNTIFS(Pessoas!$C$5:$C$44,$K1906,Pessoas!$G$5:$G$44,"Ativo")=0,"Equipe "&amp;$K1906,INDEX(Pessoas!$A$5:$A$44,_xludf.aggregate(15,6,(ROW(Pessoas!$A$5:$A$44)-4)/((Pessoas!$C$5:$C$44=$K1906)*(Pessoas!$G$5:$G$44="Ativo")),MOD(ROW()-6,MAX(1,COUNTIFS(Pessoas!$C$5:$C$44,$K1906,Pessoas!$G$5:$G$44,"Ativo")))+1)))</f>
        <v>Equipe Oficina Mecânica Central-Taisa</v>
      </c>
    </row>
    <row r="1907" spans="1:12" ht="15" customHeight="1" x14ac:dyDescent="0.4">
      <c r="A1907" s="25">
        <v>46556</v>
      </c>
      <c r="B1907" s="16">
        <v>42</v>
      </c>
      <c r="C1907" s="16">
        <v>4</v>
      </c>
      <c r="D1907" s="16">
        <v>6</v>
      </c>
      <c r="E1907" s="16" t="s">
        <v>1371</v>
      </c>
      <c r="F1907" s="16" t="s">
        <v>1064</v>
      </c>
      <c r="G1907" s="16" t="s">
        <v>526</v>
      </c>
      <c r="H1907" s="16" t="s">
        <v>143</v>
      </c>
      <c r="I1907" s="22" t="s">
        <v>861</v>
      </c>
      <c r="J1907" s="16">
        <f>IFERROR(INDEX(Aux_HH!$J$4:$J$31,MATCH($H1907&amp;"|"&amp;$I1907,Aux_HH!$A$4:$A$31,0)),"")</f>
        <v>4.5</v>
      </c>
      <c r="K1907" s="16" t="s">
        <v>76</v>
      </c>
      <c r="L1907" s="16" t="str">
        <f>IF(COUNTIFS(Pessoas!$C$5:$C$44,$K1907,Pessoas!$G$5:$G$44,"Ativo")=0,"Equipe "&amp;$K1907,INDEX(Pessoas!$A$5:$A$44,_xludf.aggregate(15,6,(ROW(Pessoas!$A$5:$A$44)-4)/((Pessoas!$C$5:$C$44=$K1907)*(Pessoas!$G$5:$G$44="Ativo")),MOD(ROW()-6,MAX(1,COUNTIFS(Pessoas!$C$5:$C$44,$K1907,Pessoas!$G$5:$G$44,"Ativo")))+1)))</f>
        <v>Equipe Oficina Mecânica Central-Taisa</v>
      </c>
    </row>
    <row r="1908" spans="1:12" ht="15" customHeight="1" x14ac:dyDescent="0.4">
      <c r="A1908" s="25">
        <v>46556</v>
      </c>
      <c r="B1908" s="16">
        <v>42</v>
      </c>
      <c r="C1908" s="16">
        <v>4</v>
      </c>
      <c r="D1908" s="16">
        <v>6</v>
      </c>
      <c r="E1908" s="16" t="s">
        <v>1371</v>
      </c>
      <c r="F1908" s="16" t="s">
        <v>1065</v>
      </c>
      <c r="G1908" s="16" t="s">
        <v>526</v>
      </c>
      <c r="H1908" s="16" t="s">
        <v>143</v>
      </c>
      <c r="I1908" s="22" t="s">
        <v>861</v>
      </c>
      <c r="J1908" s="16">
        <f>IFERROR(INDEX(Aux_HH!$J$4:$J$31,MATCH($H1908&amp;"|"&amp;$I1908,Aux_HH!$A$4:$A$31,0)),"")</f>
        <v>4.5</v>
      </c>
      <c r="K1908" s="16" t="s">
        <v>76</v>
      </c>
      <c r="L1908" s="16" t="str">
        <f>IF(COUNTIFS(Pessoas!$C$5:$C$44,$K1908,Pessoas!$G$5:$G$44,"Ativo")=0,"Equipe "&amp;$K1908,INDEX(Pessoas!$A$5:$A$44,_xludf.aggregate(15,6,(ROW(Pessoas!$A$5:$A$44)-4)/((Pessoas!$C$5:$C$44=$K1908)*(Pessoas!$G$5:$G$44="Ativo")),MOD(ROW()-6,MAX(1,COUNTIFS(Pessoas!$C$5:$C$44,$K1908,Pessoas!$G$5:$G$44,"Ativo")))+1)))</f>
        <v>Equipe Oficina Mecânica Central-Taisa</v>
      </c>
    </row>
    <row r="1909" spans="1:12" ht="15" customHeight="1" x14ac:dyDescent="0.4">
      <c r="A1909" s="25">
        <v>46559</v>
      </c>
      <c r="B1909" s="16">
        <v>42</v>
      </c>
      <c r="C1909" s="16">
        <v>4</v>
      </c>
      <c r="D1909" s="16">
        <v>6</v>
      </c>
      <c r="E1909" s="16" t="s">
        <v>1371</v>
      </c>
      <c r="F1909" s="16" t="s">
        <v>1066</v>
      </c>
      <c r="G1909" s="16" t="s">
        <v>184</v>
      </c>
      <c r="H1909" s="16" t="s">
        <v>143</v>
      </c>
      <c r="I1909" s="22" t="s">
        <v>861</v>
      </c>
      <c r="J1909" s="16">
        <f>IFERROR(INDEX(Aux_HH!$J$4:$J$31,MATCH($H1909&amp;"|"&amp;$I1909,Aux_HH!$A$4:$A$31,0)),"")</f>
        <v>4.5</v>
      </c>
      <c r="K1909" s="16" t="s">
        <v>76</v>
      </c>
      <c r="L1909" s="16" t="str">
        <f>IF(COUNTIFS(Pessoas!$C$5:$C$44,$K1909,Pessoas!$G$5:$G$44,"Ativo")=0,"Equipe "&amp;$K1909,INDEX(Pessoas!$A$5:$A$44,_xludf.aggregate(15,6,(ROW(Pessoas!$A$5:$A$44)-4)/((Pessoas!$C$5:$C$44=$K1909)*(Pessoas!$G$5:$G$44="Ativo")),MOD(ROW()-6,MAX(1,COUNTIFS(Pessoas!$C$5:$C$44,$K1909,Pessoas!$G$5:$G$44,"Ativo")))+1)))</f>
        <v>Equipe Oficina Mecânica Central-Taisa</v>
      </c>
    </row>
    <row r="1910" spans="1:12" ht="15" customHeight="1" x14ac:dyDescent="0.4">
      <c r="A1910" s="25">
        <v>46559</v>
      </c>
      <c r="B1910" s="16">
        <v>42</v>
      </c>
      <c r="C1910" s="16">
        <v>4</v>
      </c>
      <c r="D1910" s="16">
        <v>6</v>
      </c>
      <c r="E1910" s="16" t="s">
        <v>1371</v>
      </c>
      <c r="F1910" s="16" t="s">
        <v>1067</v>
      </c>
      <c r="G1910" s="16" t="s">
        <v>184</v>
      </c>
      <c r="H1910" s="16" t="s">
        <v>143</v>
      </c>
      <c r="I1910" s="22" t="s">
        <v>861</v>
      </c>
      <c r="J1910" s="16">
        <f>IFERROR(INDEX(Aux_HH!$J$4:$J$31,MATCH($H1910&amp;"|"&amp;$I1910,Aux_HH!$A$4:$A$31,0)),"")</f>
        <v>4.5</v>
      </c>
      <c r="K1910" s="16" t="s">
        <v>76</v>
      </c>
      <c r="L1910" s="16" t="str">
        <f>IF(COUNTIFS(Pessoas!$C$5:$C$44,$K1910,Pessoas!$G$5:$G$44,"Ativo")=0,"Equipe "&amp;$K1910,INDEX(Pessoas!$A$5:$A$44,_xludf.aggregate(15,6,(ROW(Pessoas!$A$5:$A$44)-4)/((Pessoas!$C$5:$C$44=$K1910)*(Pessoas!$G$5:$G$44="Ativo")),MOD(ROW()-6,MAX(1,COUNTIFS(Pessoas!$C$5:$C$44,$K1910,Pessoas!$G$5:$G$44,"Ativo")))+1)))</f>
        <v>Equipe Oficina Mecânica Central-Taisa</v>
      </c>
    </row>
    <row r="1911" spans="1:12" ht="15" customHeight="1" x14ac:dyDescent="0.4">
      <c r="A1911" s="25">
        <v>46559</v>
      </c>
      <c r="B1911" s="16">
        <v>42</v>
      </c>
      <c r="C1911" s="16">
        <v>4</v>
      </c>
      <c r="D1911" s="16">
        <v>6</v>
      </c>
      <c r="E1911" s="16" t="s">
        <v>1371</v>
      </c>
      <c r="F1911" s="16" t="s">
        <v>1068</v>
      </c>
      <c r="G1911" s="16" t="s">
        <v>184</v>
      </c>
      <c r="H1911" s="16" t="s">
        <v>143</v>
      </c>
      <c r="I1911" s="22" t="s">
        <v>861</v>
      </c>
      <c r="J1911" s="16">
        <f>IFERROR(INDEX(Aux_HH!$J$4:$J$31,MATCH($H1911&amp;"|"&amp;$I1911,Aux_HH!$A$4:$A$31,0)),"")</f>
        <v>4.5</v>
      </c>
      <c r="K1911" s="16" t="s">
        <v>76</v>
      </c>
      <c r="L1911" s="16" t="str">
        <f>IF(COUNTIFS(Pessoas!$C$5:$C$44,$K1911,Pessoas!$G$5:$G$44,"Ativo")=0,"Equipe "&amp;$K1911,INDEX(Pessoas!$A$5:$A$44,_xludf.aggregate(15,6,(ROW(Pessoas!$A$5:$A$44)-4)/((Pessoas!$C$5:$C$44=$K1911)*(Pessoas!$G$5:$G$44="Ativo")),MOD(ROW()-6,MAX(1,COUNTIFS(Pessoas!$C$5:$C$44,$K1911,Pessoas!$G$5:$G$44,"Ativo")))+1)))</f>
        <v>Equipe Oficina Mecânica Central-Taisa</v>
      </c>
    </row>
    <row r="1912" spans="1:12" ht="15" customHeight="1" x14ac:dyDescent="0.4">
      <c r="A1912" s="25">
        <v>46559</v>
      </c>
      <c r="B1912" s="16">
        <v>42</v>
      </c>
      <c r="C1912" s="16">
        <v>4</v>
      </c>
      <c r="D1912" s="16">
        <v>6</v>
      </c>
      <c r="E1912" s="16" t="s">
        <v>1371</v>
      </c>
      <c r="F1912" s="16" t="s">
        <v>1069</v>
      </c>
      <c r="G1912" s="16" t="s">
        <v>184</v>
      </c>
      <c r="H1912" s="16" t="s">
        <v>143</v>
      </c>
      <c r="I1912" s="22" t="s">
        <v>861</v>
      </c>
      <c r="J1912" s="16">
        <f>IFERROR(INDEX(Aux_HH!$J$4:$J$31,MATCH($H1912&amp;"|"&amp;$I1912,Aux_HH!$A$4:$A$31,0)),"")</f>
        <v>4.5</v>
      </c>
      <c r="K1912" s="16" t="s">
        <v>76</v>
      </c>
      <c r="L1912" s="16" t="str">
        <f>IF(COUNTIFS(Pessoas!$C$5:$C$44,$K1912,Pessoas!$G$5:$G$44,"Ativo")=0,"Equipe "&amp;$K1912,INDEX(Pessoas!$A$5:$A$44,_xludf.aggregate(15,6,(ROW(Pessoas!$A$5:$A$44)-4)/((Pessoas!$C$5:$C$44=$K1912)*(Pessoas!$G$5:$G$44="Ativo")),MOD(ROW()-6,MAX(1,COUNTIFS(Pessoas!$C$5:$C$44,$K1912,Pessoas!$G$5:$G$44,"Ativo")))+1)))</f>
        <v>Equipe Oficina Mecânica Central-Taisa</v>
      </c>
    </row>
    <row r="1913" spans="1:12" ht="15" customHeight="1" x14ac:dyDescent="0.4">
      <c r="A1913" s="25">
        <v>46559</v>
      </c>
      <c r="B1913" s="16">
        <v>42</v>
      </c>
      <c r="C1913" s="16">
        <v>4</v>
      </c>
      <c r="D1913" s="16">
        <v>6</v>
      </c>
      <c r="E1913" s="16" t="s">
        <v>1371</v>
      </c>
      <c r="F1913" s="16" t="s">
        <v>1070</v>
      </c>
      <c r="G1913" s="16" t="s">
        <v>184</v>
      </c>
      <c r="H1913" s="16" t="s">
        <v>143</v>
      </c>
      <c r="I1913" s="22" t="s">
        <v>861</v>
      </c>
      <c r="J1913" s="16">
        <f>IFERROR(INDEX(Aux_HH!$J$4:$J$31,MATCH($H1913&amp;"|"&amp;$I1913,Aux_HH!$A$4:$A$31,0)),"")</f>
        <v>4.5</v>
      </c>
      <c r="K1913" s="16" t="s">
        <v>76</v>
      </c>
      <c r="L1913" s="16" t="str">
        <f>IF(COUNTIFS(Pessoas!$C$5:$C$44,$K1913,Pessoas!$G$5:$G$44,"Ativo")=0,"Equipe "&amp;$K1913,INDEX(Pessoas!$A$5:$A$44,_xludf.aggregate(15,6,(ROW(Pessoas!$A$5:$A$44)-4)/((Pessoas!$C$5:$C$44=$K1913)*(Pessoas!$G$5:$G$44="Ativo")),MOD(ROW()-6,MAX(1,COUNTIFS(Pessoas!$C$5:$C$44,$K1913,Pessoas!$G$5:$G$44,"Ativo")))+1)))</f>
        <v>Equipe Oficina Mecânica Central-Taisa</v>
      </c>
    </row>
    <row r="1914" spans="1:12" ht="15" customHeight="1" x14ac:dyDescent="0.4">
      <c r="A1914" s="25">
        <v>46559</v>
      </c>
      <c r="B1914" s="16">
        <v>42</v>
      </c>
      <c r="C1914" s="16">
        <v>4</v>
      </c>
      <c r="D1914" s="16">
        <v>6</v>
      </c>
      <c r="E1914" s="16" t="s">
        <v>1371</v>
      </c>
      <c r="F1914" s="16" t="s">
        <v>1071</v>
      </c>
      <c r="G1914" s="16" t="s">
        <v>184</v>
      </c>
      <c r="H1914" s="16" t="s">
        <v>143</v>
      </c>
      <c r="I1914" s="22" t="s">
        <v>861</v>
      </c>
      <c r="J1914" s="16">
        <f>IFERROR(INDEX(Aux_HH!$J$4:$J$31,MATCH($H1914&amp;"|"&amp;$I1914,Aux_HH!$A$4:$A$31,0)),"")</f>
        <v>4.5</v>
      </c>
      <c r="K1914" s="16" t="s">
        <v>76</v>
      </c>
      <c r="L1914" s="16" t="str">
        <f>IF(COUNTIFS(Pessoas!$C$5:$C$44,$K1914,Pessoas!$G$5:$G$44,"Ativo")=0,"Equipe "&amp;$K1914,INDEX(Pessoas!$A$5:$A$44,_xludf.aggregate(15,6,(ROW(Pessoas!$A$5:$A$44)-4)/((Pessoas!$C$5:$C$44=$K1914)*(Pessoas!$G$5:$G$44="Ativo")),MOD(ROW()-6,MAX(1,COUNTIFS(Pessoas!$C$5:$C$44,$K1914,Pessoas!$G$5:$G$44,"Ativo")))+1)))</f>
        <v>Equipe Oficina Mecânica Central-Taisa</v>
      </c>
    </row>
    <row r="1915" spans="1:12" ht="15" customHeight="1" x14ac:dyDescent="0.4">
      <c r="A1915" s="25">
        <v>46559</v>
      </c>
      <c r="B1915" s="16">
        <v>42</v>
      </c>
      <c r="C1915" s="16">
        <v>4</v>
      </c>
      <c r="D1915" s="16">
        <v>6</v>
      </c>
      <c r="E1915" s="16" t="s">
        <v>1371</v>
      </c>
      <c r="F1915" s="16" t="s">
        <v>1072</v>
      </c>
      <c r="G1915" s="16" t="s">
        <v>184</v>
      </c>
      <c r="H1915" s="16" t="s">
        <v>143</v>
      </c>
      <c r="I1915" s="22" t="s">
        <v>861</v>
      </c>
      <c r="J1915" s="16">
        <f>IFERROR(INDEX(Aux_HH!$J$4:$J$31,MATCH($H1915&amp;"|"&amp;$I1915,Aux_HH!$A$4:$A$31,0)),"")</f>
        <v>4.5</v>
      </c>
      <c r="K1915" s="16" t="s">
        <v>76</v>
      </c>
      <c r="L1915" s="16" t="str">
        <f>IF(COUNTIFS(Pessoas!$C$5:$C$44,$K1915,Pessoas!$G$5:$G$44,"Ativo")=0,"Equipe "&amp;$K1915,INDEX(Pessoas!$A$5:$A$44,_xludf.aggregate(15,6,(ROW(Pessoas!$A$5:$A$44)-4)/((Pessoas!$C$5:$C$44=$K1915)*(Pessoas!$G$5:$G$44="Ativo")),MOD(ROW()-6,MAX(1,COUNTIFS(Pessoas!$C$5:$C$44,$K1915,Pessoas!$G$5:$G$44,"Ativo")))+1)))</f>
        <v>Equipe Oficina Mecânica Central-Taisa</v>
      </c>
    </row>
    <row r="1916" spans="1:12" ht="15" customHeight="1" x14ac:dyDescent="0.4">
      <c r="A1916" s="25">
        <v>46559</v>
      </c>
      <c r="B1916" s="16">
        <v>42</v>
      </c>
      <c r="C1916" s="16">
        <v>4</v>
      </c>
      <c r="D1916" s="16">
        <v>6</v>
      </c>
      <c r="E1916" s="16" t="s">
        <v>1371</v>
      </c>
      <c r="F1916" s="16" t="s">
        <v>1073</v>
      </c>
      <c r="G1916" s="16" t="s">
        <v>184</v>
      </c>
      <c r="H1916" s="16" t="s">
        <v>143</v>
      </c>
      <c r="I1916" s="22" t="s">
        <v>861</v>
      </c>
      <c r="J1916" s="16">
        <f>IFERROR(INDEX(Aux_HH!$J$4:$J$31,MATCH($H1916&amp;"|"&amp;$I1916,Aux_HH!$A$4:$A$31,0)),"")</f>
        <v>4.5</v>
      </c>
      <c r="K1916" s="16" t="s">
        <v>76</v>
      </c>
      <c r="L1916" s="16" t="str">
        <f>IF(COUNTIFS(Pessoas!$C$5:$C$44,$K1916,Pessoas!$G$5:$G$44,"Ativo")=0,"Equipe "&amp;$K1916,INDEX(Pessoas!$A$5:$A$44,_xludf.aggregate(15,6,(ROW(Pessoas!$A$5:$A$44)-4)/((Pessoas!$C$5:$C$44=$K1916)*(Pessoas!$G$5:$G$44="Ativo")),MOD(ROW()-6,MAX(1,COUNTIFS(Pessoas!$C$5:$C$44,$K1916,Pessoas!$G$5:$G$44,"Ativo")))+1)))</f>
        <v>Equipe Oficina Mecânica Central-Taisa</v>
      </c>
    </row>
    <row r="1917" spans="1:12" ht="15" customHeight="1" x14ac:dyDescent="0.4">
      <c r="A1917" s="25">
        <v>46559</v>
      </c>
      <c r="B1917" s="16">
        <v>42</v>
      </c>
      <c r="C1917" s="16">
        <v>4</v>
      </c>
      <c r="D1917" s="16">
        <v>6</v>
      </c>
      <c r="E1917" s="16" t="s">
        <v>1371</v>
      </c>
      <c r="F1917" s="16" t="s">
        <v>1074</v>
      </c>
      <c r="G1917" s="16" t="s">
        <v>526</v>
      </c>
      <c r="H1917" s="16" t="s">
        <v>143</v>
      </c>
      <c r="I1917" s="22" t="s">
        <v>861</v>
      </c>
      <c r="J1917" s="16">
        <f>IFERROR(INDEX(Aux_HH!$J$4:$J$31,MATCH($H1917&amp;"|"&amp;$I1917,Aux_HH!$A$4:$A$31,0)),"")</f>
        <v>4.5</v>
      </c>
      <c r="K1917" s="16" t="s">
        <v>76</v>
      </c>
      <c r="L1917" s="16" t="str">
        <f>IF(COUNTIFS(Pessoas!$C$5:$C$44,$K1917,Pessoas!$G$5:$G$44,"Ativo")=0,"Equipe "&amp;$K1917,INDEX(Pessoas!$A$5:$A$44,_xludf.aggregate(15,6,(ROW(Pessoas!$A$5:$A$44)-4)/((Pessoas!$C$5:$C$44=$K1917)*(Pessoas!$G$5:$G$44="Ativo")),MOD(ROW()-6,MAX(1,COUNTIFS(Pessoas!$C$5:$C$44,$K1917,Pessoas!$G$5:$G$44,"Ativo")))+1)))</f>
        <v>Equipe Oficina Mecânica Central-Taisa</v>
      </c>
    </row>
    <row r="1918" spans="1:12" ht="15" customHeight="1" x14ac:dyDescent="0.4">
      <c r="A1918" s="25">
        <v>46559</v>
      </c>
      <c r="B1918" s="16">
        <v>42</v>
      </c>
      <c r="C1918" s="16">
        <v>4</v>
      </c>
      <c r="D1918" s="16">
        <v>6</v>
      </c>
      <c r="E1918" s="16" t="s">
        <v>1371</v>
      </c>
      <c r="F1918" s="16" t="s">
        <v>1075</v>
      </c>
      <c r="G1918" s="16" t="s">
        <v>526</v>
      </c>
      <c r="H1918" s="16" t="s">
        <v>143</v>
      </c>
      <c r="I1918" s="22" t="s">
        <v>861</v>
      </c>
      <c r="J1918" s="16">
        <f>IFERROR(INDEX(Aux_HH!$J$4:$J$31,MATCH($H1918&amp;"|"&amp;$I1918,Aux_HH!$A$4:$A$31,0)),"")</f>
        <v>4.5</v>
      </c>
      <c r="K1918" s="16" t="s">
        <v>76</v>
      </c>
      <c r="L1918" s="16" t="str">
        <f>IF(COUNTIFS(Pessoas!$C$5:$C$44,$K1918,Pessoas!$G$5:$G$44,"Ativo")=0,"Equipe "&amp;$K1918,INDEX(Pessoas!$A$5:$A$44,_xludf.aggregate(15,6,(ROW(Pessoas!$A$5:$A$44)-4)/((Pessoas!$C$5:$C$44=$K1918)*(Pessoas!$G$5:$G$44="Ativo")),MOD(ROW()-6,MAX(1,COUNTIFS(Pessoas!$C$5:$C$44,$K1918,Pessoas!$G$5:$G$44,"Ativo")))+1)))</f>
        <v>Equipe Oficina Mecânica Central-Taisa</v>
      </c>
    </row>
    <row r="1919" spans="1:12" ht="15" customHeight="1" x14ac:dyDescent="0.4">
      <c r="A1919" s="25">
        <v>46559</v>
      </c>
      <c r="B1919" s="16">
        <v>42</v>
      </c>
      <c r="C1919" s="16">
        <v>4</v>
      </c>
      <c r="D1919" s="16">
        <v>6</v>
      </c>
      <c r="E1919" s="16" t="s">
        <v>1371</v>
      </c>
      <c r="F1919" s="16" t="s">
        <v>1076</v>
      </c>
      <c r="G1919" s="16" t="s">
        <v>688</v>
      </c>
      <c r="H1919" s="16" t="s">
        <v>143</v>
      </c>
      <c r="I1919" s="22" t="s">
        <v>861</v>
      </c>
      <c r="J1919" s="16">
        <f>IFERROR(INDEX(Aux_HH!$J$4:$J$31,MATCH($H1919&amp;"|"&amp;$I1919,Aux_HH!$A$4:$A$31,0)),"")</f>
        <v>4.5</v>
      </c>
      <c r="K1919" s="16" t="s">
        <v>76</v>
      </c>
      <c r="L1919" s="16" t="str">
        <f>IF(COUNTIFS(Pessoas!$C$5:$C$44,$K1919,Pessoas!$G$5:$G$44,"Ativo")=0,"Equipe "&amp;$K1919,INDEX(Pessoas!$A$5:$A$44,_xludf.aggregate(15,6,(ROW(Pessoas!$A$5:$A$44)-4)/((Pessoas!$C$5:$C$44=$K1919)*(Pessoas!$G$5:$G$44="Ativo")),MOD(ROW()-6,MAX(1,COUNTIFS(Pessoas!$C$5:$C$44,$K1919,Pessoas!$G$5:$G$44,"Ativo")))+1)))</f>
        <v>Equipe Oficina Mecânica Central-Taisa</v>
      </c>
    </row>
    <row r="1920" spans="1:12" ht="15" customHeight="1" x14ac:dyDescent="0.4">
      <c r="A1920" s="25">
        <v>46559</v>
      </c>
      <c r="B1920" s="16">
        <v>42</v>
      </c>
      <c r="C1920" s="16">
        <v>4</v>
      </c>
      <c r="D1920" s="16">
        <v>6</v>
      </c>
      <c r="E1920" s="16" t="s">
        <v>1371</v>
      </c>
      <c r="F1920" s="16" t="s">
        <v>1077</v>
      </c>
      <c r="G1920" s="16" t="s">
        <v>184</v>
      </c>
      <c r="H1920" s="16" t="s">
        <v>143</v>
      </c>
      <c r="I1920" s="22" t="s">
        <v>861</v>
      </c>
      <c r="J1920" s="16">
        <f>IFERROR(INDEX(Aux_HH!$J$4:$J$31,MATCH($H1920&amp;"|"&amp;$I1920,Aux_HH!$A$4:$A$31,0)),"")</f>
        <v>4.5</v>
      </c>
      <c r="K1920" s="16" t="s">
        <v>76</v>
      </c>
      <c r="L1920" s="16" t="str">
        <f>IF(COUNTIFS(Pessoas!$C$5:$C$44,$K1920,Pessoas!$G$5:$G$44,"Ativo")=0,"Equipe "&amp;$K1920,INDEX(Pessoas!$A$5:$A$44,_xludf.aggregate(15,6,(ROW(Pessoas!$A$5:$A$44)-4)/((Pessoas!$C$5:$C$44=$K1920)*(Pessoas!$G$5:$G$44="Ativo")),MOD(ROW()-6,MAX(1,COUNTIFS(Pessoas!$C$5:$C$44,$K1920,Pessoas!$G$5:$G$44,"Ativo")))+1)))</f>
        <v>Equipe Oficina Mecânica Central-Taisa</v>
      </c>
    </row>
    <row r="1921" spans="1:12" ht="15" customHeight="1" x14ac:dyDescent="0.4">
      <c r="A1921" s="25">
        <v>46559</v>
      </c>
      <c r="B1921" s="16">
        <v>42</v>
      </c>
      <c r="C1921" s="16">
        <v>4</v>
      </c>
      <c r="D1921" s="16">
        <v>6</v>
      </c>
      <c r="E1921" s="16" t="s">
        <v>1371</v>
      </c>
      <c r="F1921" s="16" t="s">
        <v>1078</v>
      </c>
      <c r="G1921" s="16" t="s">
        <v>526</v>
      </c>
      <c r="H1921" s="16" t="s">
        <v>143</v>
      </c>
      <c r="I1921" s="22" t="s">
        <v>861</v>
      </c>
      <c r="J1921" s="16">
        <f>IFERROR(INDEX(Aux_HH!$J$4:$J$31,MATCH($H1921&amp;"|"&amp;$I1921,Aux_HH!$A$4:$A$31,0)),"")</f>
        <v>4.5</v>
      </c>
      <c r="K1921" s="16" t="s">
        <v>76</v>
      </c>
      <c r="L1921" s="16" t="str">
        <f>IF(COUNTIFS(Pessoas!$C$5:$C$44,$K1921,Pessoas!$G$5:$G$44,"Ativo")=0,"Equipe "&amp;$K1921,INDEX(Pessoas!$A$5:$A$44,_xludf.aggregate(15,6,(ROW(Pessoas!$A$5:$A$44)-4)/((Pessoas!$C$5:$C$44=$K1921)*(Pessoas!$G$5:$G$44="Ativo")),MOD(ROW()-6,MAX(1,COUNTIFS(Pessoas!$C$5:$C$44,$K1921,Pessoas!$G$5:$G$44,"Ativo")))+1)))</f>
        <v>Equipe Oficina Mecânica Central-Taisa</v>
      </c>
    </row>
    <row r="1922" spans="1:12" ht="15" customHeight="1" x14ac:dyDescent="0.4">
      <c r="A1922" s="25">
        <v>46559</v>
      </c>
      <c r="B1922" s="16">
        <v>42</v>
      </c>
      <c r="C1922" s="16">
        <v>4</v>
      </c>
      <c r="D1922" s="16">
        <v>6</v>
      </c>
      <c r="E1922" s="16" t="s">
        <v>1371</v>
      </c>
      <c r="F1922" s="16" t="s">
        <v>1079</v>
      </c>
      <c r="G1922" s="16" t="s">
        <v>526</v>
      </c>
      <c r="H1922" s="16" t="s">
        <v>143</v>
      </c>
      <c r="I1922" s="22" t="s">
        <v>861</v>
      </c>
      <c r="J1922" s="16">
        <f>IFERROR(INDEX(Aux_HH!$J$4:$J$31,MATCH($H1922&amp;"|"&amp;$I1922,Aux_HH!$A$4:$A$31,0)),"")</f>
        <v>4.5</v>
      </c>
      <c r="K1922" s="16" t="s">
        <v>76</v>
      </c>
      <c r="L1922" s="16" t="str">
        <f>IF(COUNTIFS(Pessoas!$C$5:$C$44,$K1922,Pessoas!$G$5:$G$44,"Ativo")=0,"Equipe "&amp;$K1922,INDEX(Pessoas!$A$5:$A$44,_xludf.aggregate(15,6,(ROW(Pessoas!$A$5:$A$44)-4)/((Pessoas!$C$5:$C$44=$K1922)*(Pessoas!$G$5:$G$44="Ativo")),MOD(ROW()-6,MAX(1,COUNTIFS(Pessoas!$C$5:$C$44,$K1922,Pessoas!$G$5:$G$44,"Ativo")))+1)))</f>
        <v>Equipe Oficina Mecânica Central-Taisa</v>
      </c>
    </row>
    <row r="1923" spans="1:12" ht="15" customHeight="1" x14ac:dyDescent="0.4">
      <c r="A1923" s="25">
        <v>46574</v>
      </c>
      <c r="B1923" s="16">
        <v>45</v>
      </c>
      <c r="C1923" s="16">
        <v>4</v>
      </c>
      <c r="D1923" s="16">
        <v>7</v>
      </c>
      <c r="E1923" s="16" t="s">
        <v>1371</v>
      </c>
      <c r="F1923" s="16" t="s">
        <v>1001</v>
      </c>
      <c r="G1923" s="16" t="s">
        <v>688</v>
      </c>
      <c r="H1923" s="16" t="s">
        <v>145</v>
      </c>
      <c r="I1923" s="22" t="s">
        <v>856</v>
      </c>
      <c r="J1923" s="16">
        <f>IFERROR(INDEX(Aux_HH!$J$4:$J$31,MATCH($H1923&amp;"|"&amp;$I1923,Aux_HH!$A$4:$A$31,0)),"")</f>
        <v>2</v>
      </c>
      <c r="K1923" s="16" t="s">
        <v>76</v>
      </c>
      <c r="L1923" s="16" t="str">
        <f>IF(COUNTIFS(Pessoas!$C$5:$C$44,$K1923,Pessoas!$G$5:$G$44,"Ativo")=0,"Equipe "&amp;$K1923,INDEX(Pessoas!$A$5:$A$44,_xludf.aggregate(15,6,(ROW(Pessoas!$A$5:$A$44)-4)/((Pessoas!$C$5:$C$44=$K1923)*(Pessoas!$G$5:$G$44="Ativo")),MOD(ROW()-6,MAX(1,COUNTIFS(Pessoas!$C$5:$C$44,$K1923,Pessoas!$G$5:$G$44,"Ativo")))+1)))</f>
        <v>Equipe Oficina Mecânica Central-Taisa</v>
      </c>
    </row>
    <row r="1924" spans="1:12" ht="15" customHeight="1" x14ac:dyDescent="0.4">
      <c r="A1924" s="25">
        <v>46574</v>
      </c>
      <c r="B1924" s="16">
        <v>45</v>
      </c>
      <c r="C1924" s="16">
        <v>4</v>
      </c>
      <c r="D1924" s="16">
        <v>7</v>
      </c>
      <c r="E1924" s="16" t="s">
        <v>1371</v>
      </c>
      <c r="F1924" s="16" t="s">
        <v>1002</v>
      </c>
      <c r="G1924" s="16" t="s">
        <v>688</v>
      </c>
      <c r="H1924" s="16" t="s">
        <v>145</v>
      </c>
      <c r="I1924" s="22" t="s">
        <v>856</v>
      </c>
      <c r="J1924" s="16">
        <f>IFERROR(INDEX(Aux_HH!$J$4:$J$31,MATCH($H1924&amp;"|"&amp;$I1924,Aux_HH!$A$4:$A$31,0)),"")</f>
        <v>2</v>
      </c>
      <c r="K1924" s="16" t="s">
        <v>76</v>
      </c>
      <c r="L1924" s="16" t="str">
        <f>IF(COUNTIFS(Pessoas!$C$5:$C$44,$K1924,Pessoas!$G$5:$G$44,"Ativo")=0,"Equipe "&amp;$K1924,INDEX(Pessoas!$A$5:$A$44,_xludf.aggregate(15,6,(ROW(Pessoas!$A$5:$A$44)-4)/((Pessoas!$C$5:$C$44=$K1924)*(Pessoas!$G$5:$G$44="Ativo")),MOD(ROW()-6,MAX(1,COUNTIFS(Pessoas!$C$5:$C$44,$K1924,Pessoas!$G$5:$G$44,"Ativo")))+1)))</f>
        <v>Equipe Oficina Mecânica Central-Taisa</v>
      </c>
    </row>
    <row r="1925" spans="1:12" ht="15" customHeight="1" x14ac:dyDescent="0.4">
      <c r="A1925" s="25">
        <v>46574</v>
      </c>
      <c r="B1925" s="16">
        <v>45</v>
      </c>
      <c r="C1925" s="16">
        <v>4</v>
      </c>
      <c r="D1925" s="16">
        <v>7</v>
      </c>
      <c r="E1925" s="16" t="s">
        <v>1371</v>
      </c>
      <c r="F1925" s="16" t="s">
        <v>1003</v>
      </c>
      <c r="G1925" s="16" t="s">
        <v>688</v>
      </c>
      <c r="H1925" s="16" t="s">
        <v>145</v>
      </c>
      <c r="I1925" s="22" t="s">
        <v>856</v>
      </c>
      <c r="J1925" s="16">
        <f>IFERROR(INDEX(Aux_HH!$J$4:$J$31,MATCH($H1925&amp;"|"&amp;$I1925,Aux_HH!$A$4:$A$31,0)),"")</f>
        <v>2</v>
      </c>
      <c r="K1925" s="16" t="s">
        <v>76</v>
      </c>
      <c r="L1925" s="16" t="str">
        <f>IF(COUNTIFS(Pessoas!$C$5:$C$44,$K1925,Pessoas!$G$5:$G$44,"Ativo")=0,"Equipe "&amp;$K1925,INDEX(Pessoas!$A$5:$A$44,_xludf.aggregate(15,6,(ROW(Pessoas!$A$5:$A$44)-4)/((Pessoas!$C$5:$C$44=$K1925)*(Pessoas!$G$5:$G$44="Ativo")),MOD(ROW()-6,MAX(1,COUNTIFS(Pessoas!$C$5:$C$44,$K1925,Pessoas!$G$5:$G$44,"Ativo")))+1)))</f>
        <v>Equipe Oficina Mecânica Central-Taisa</v>
      </c>
    </row>
    <row r="1926" spans="1:12" ht="15" customHeight="1" x14ac:dyDescent="0.4">
      <c r="A1926" s="25">
        <v>46575</v>
      </c>
      <c r="B1926" s="16">
        <v>45</v>
      </c>
      <c r="C1926" s="16">
        <v>4</v>
      </c>
      <c r="D1926" s="16">
        <v>7</v>
      </c>
      <c r="E1926" s="16" t="s">
        <v>1371</v>
      </c>
      <c r="F1926" s="16" t="s">
        <v>1004</v>
      </c>
      <c r="G1926" s="16" t="s">
        <v>688</v>
      </c>
      <c r="H1926" s="16" t="s">
        <v>145</v>
      </c>
      <c r="I1926" s="22" t="s">
        <v>856</v>
      </c>
      <c r="J1926" s="16">
        <f>IFERROR(INDEX(Aux_HH!$J$4:$J$31,MATCH($H1926&amp;"|"&amp;$I1926,Aux_HH!$A$4:$A$31,0)),"")</f>
        <v>2</v>
      </c>
      <c r="K1926" s="16" t="s">
        <v>76</v>
      </c>
      <c r="L1926" s="16" t="str">
        <f>IF(COUNTIFS(Pessoas!$C$5:$C$44,$K1926,Pessoas!$G$5:$G$44,"Ativo")=0,"Equipe "&amp;$K1926,INDEX(Pessoas!$A$5:$A$44,_xludf.aggregate(15,6,(ROW(Pessoas!$A$5:$A$44)-4)/((Pessoas!$C$5:$C$44=$K1926)*(Pessoas!$G$5:$G$44="Ativo")),MOD(ROW()-6,MAX(1,COUNTIFS(Pessoas!$C$5:$C$44,$K1926,Pessoas!$G$5:$G$44,"Ativo")))+1)))</f>
        <v>Equipe Oficina Mecânica Central-Taisa</v>
      </c>
    </row>
    <row r="1927" spans="1:12" ht="15" customHeight="1" x14ac:dyDescent="0.4">
      <c r="A1927" s="25">
        <v>46575</v>
      </c>
      <c r="B1927" s="16">
        <v>45</v>
      </c>
      <c r="C1927" s="16">
        <v>4</v>
      </c>
      <c r="D1927" s="16">
        <v>7</v>
      </c>
      <c r="E1927" s="16" t="s">
        <v>1371</v>
      </c>
      <c r="F1927" s="16" t="s">
        <v>1005</v>
      </c>
      <c r="G1927" s="16" t="s">
        <v>688</v>
      </c>
      <c r="H1927" s="16" t="s">
        <v>145</v>
      </c>
      <c r="I1927" s="22" t="s">
        <v>856</v>
      </c>
      <c r="J1927" s="16">
        <f>IFERROR(INDEX(Aux_HH!$J$4:$J$31,MATCH($H1927&amp;"|"&amp;$I1927,Aux_HH!$A$4:$A$31,0)),"")</f>
        <v>2</v>
      </c>
      <c r="K1927" s="16" t="s">
        <v>76</v>
      </c>
      <c r="L1927" s="16" t="str">
        <f>IF(COUNTIFS(Pessoas!$C$5:$C$44,$K1927,Pessoas!$G$5:$G$44,"Ativo")=0,"Equipe "&amp;$K1927,INDEX(Pessoas!$A$5:$A$44,_xludf.aggregate(15,6,(ROW(Pessoas!$A$5:$A$44)-4)/((Pessoas!$C$5:$C$44=$K1927)*(Pessoas!$G$5:$G$44="Ativo")),MOD(ROW()-6,MAX(1,COUNTIFS(Pessoas!$C$5:$C$44,$K1927,Pessoas!$G$5:$G$44,"Ativo")))+1)))</f>
        <v>Equipe Oficina Mecânica Central-Taisa</v>
      </c>
    </row>
    <row r="1928" spans="1:12" ht="15" customHeight="1" x14ac:dyDescent="0.4">
      <c r="A1928" s="25">
        <v>46575</v>
      </c>
      <c r="B1928" s="16">
        <v>45</v>
      </c>
      <c r="C1928" s="16">
        <v>4</v>
      </c>
      <c r="D1928" s="16">
        <v>7</v>
      </c>
      <c r="E1928" s="16" t="s">
        <v>1371</v>
      </c>
      <c r="F1928" s="16" t="s">
        <v>1006</v>
      </c>
      <c r="G1928" s="16" t="s">
        <v>688</v>
      </c>
      <c r="H1928" s="16" t="s">
        <v>145</v>
      </c>
      <c r="I1928" s="22" t="s">
        <v>856</v>
      </c>
      <c r="J1928" s="16">
        <f>IFERROR(INDEX(Aux_HH!$J$4:$J$31,MATCH($H1928&amp;"|"&amp;$I1928,Aux_HH!$A$4:$A$31,0)),"")</f>
        <v>2</v>
      </c>
      <c r="K1928" s="16" t="s">
        <v>76</v>
      </c>
      <c r="L1928" s="16" t="str">
        <f>IF(COUNTIFS(Pessoas!$C$5:$C$44,$K1928,Pessoas!$G$5:$G$44,"Ativo")=0,"Equipe "&amp;$K1928,INDEX(Pessoas!$A$5:$A$44,_xludf.aggregate(15,6,(ROW(Pessoas!$A$5:$A$44)-4)/((Pessoas!$C$5:$C$44=$K1928)*(Pessoas!$G$5:$G$44="Ativo")),MOD(ROW()-6,MAX(1,COUNTIFS(Pessoas!$C$5:$C$44,$K1928,Pessoas!$G$5:$G$44,"Ativo")))+1)))</f>
        <v>Equipe Oficina Mecânica Central-Taisa</v>
      </c>
    </row>
    <row r="1929" spans="1:12" ht="15" customHeight="1" x14ac:dyDescent="0.4">
      <c r="A1929" s="25">
        <v>46576</v>
      </c>
      <c r="B1929" s="16">
        <v>45</v>
      </c>
      <c r="C1929" s="16">
        <v>4</v>
      </c>
      <c r="D1929" s="16">
        <v>7</v>
      </c>
      <c r="E1929" s="16" t="s">
        <v>1371</v>
      </c>
      <c r="F1929" s="16" t="s">
        <v>994</v>
      </c>
      <c r="G1929" s="16" t="s">
        <v>688</v>
      </c>
      <c r="H1929" s="16" t="s">
        <v>145</v>
      </c>
      <c r="I1929" s="22" t="s">
        <v>856</v>
      </c>
      <c r="J1929" s="16">
        <f>IFERROR(INDEX(Aux_HH!$J$4:$J$31,MATCH($H1929&amp;"|"&amp;$I1929,Aux_HH!$A$4:$A$31,0)),"")</f>
        <v>2</v>
      </c>
      <c r="K1929" s="16" t="s">
        <v>76</v>
      </c>
      <c r="L1929" s="16" t="str">
        <f>IF(COUNTIFS(Pessoas!$C$5:$C$44,$K1929,Pessoas!$G$5:$G$44,"Ativo")=0,"Equipe "&amp;$K1929,INDEX(Pessoas!$A$5:$A$44,_xludf.aggregate(15,6,(ROW(Pessoas!$A$5:$A$44)-4)/((Pessoas!$C$5:$C$44=$K1929)*(Pessoas!$G$5:$G$44="Ativo")),MOD(ROW()-6,MAX(1,COUNTIFS(Pessoas!$C$5:$C$44,$K1929,Pessoas!$G$5:$G$44,"Ativo")))+1)))</f>
        <v>Equipe Oficina Mecânica Central-Taisa</v>
      </c>
    </row>
    <row r="1930" spans="1:12" ht="15" customHeight="1" x14ac:dyDescent="0.4">
      <c r="A1930" s="25">
        <v>46576</v>
      </c>
      <c r="B1930" s="16">
        <v>45</v>
      </c>
      <c r="C1930" s="16">
        <v>4</v>
      </c>
      <c r="D1930" s="16">
        <v>7</v>
      </c>
      <c r="E1930" s="16" t="s">
        <v>1371</v>
      </c>
      <c r="F1930" s="16" t="s">
        <v>995</v>
      </c>
      <c r="G1930" s="16" t="s">
        <v>688</v>
      </c>
      <c r="H1930" s="16" t="s">
        <v>145</v>
      </c>
      <c r="I1930" s="22" t="s">
        <v>856</v>
      </c>
      <c r="J1930" s="16">
        <f>IFERROR(INDEX(Aux_HH!$J$4:$J$31,MATCH($H1930&amp;"|"&amp;$I1930,Aux_HH!$A$4:$A$31,0)),"")</f>
        <v>2</v>
      </c>
      <c r="K1930" s="16" t="s">
        <v>76</v>
      </c>
      <c r="L1930" s="16" t="str">
        <f>IF(COUNTIFS(Pessoas!$C$5:$C$44,$K1930,Pessoas!$G$5:$G$44,"Ativo")=0,"Equipe "&amp;$K1930,INDEX(Pessoas!$A$5:$A$44,_xludf.aggregate(15,6,(ROW(Pessoas!$A$5:$A$44)-4)/((Pessoas!$C$5:$C$44=$K1930)*(Pessoas!$G$5:$G$44="Ativo")),MOD(ROW()-6,MAX(1,COUNTIFS(Pessoas!$C$5:$C$44,$K1930,Pessoas!$G$5:$G$44,"Ativo")))+1)))</f>
        <v>Equipe Oficina Mecânica Central-Taisa</v>
      </c>
    </row>
    <row r="1931" spans="1:12" ht="15" customHeight="1" x14ac:dyDescent="0.4">
      <c r="A1931" s="25">
        <v>46577</v>
      </c>
      <c r="B1931" s="16">
        <v>45</v>
      </c>
      <c r="C1931" s="16">
        <v>4</v>
      </c>
      <c r="D1931" s="16">
        <v>7</v>
      </c>
      <c r="E1931" s="16" t="s">
        <v>1371</v>
      </c>
      <c r="F1931" s="16" t="s">
        <v>996</v>
      </c>
      <c r="G1931" s="16" t="s">
        <v>688</v>
      </c>
      <c r="H1931" s="16" t="s">
        <v>145</v>
      </c>
      <c r="I1931" s="22" t="s">
        <v>856</v>
      </c>
      <c r="J1931" s="16">
        <f>IFERROR(INDEX(Aux_HH!$J$4:$J$31,MATCH($H1931&amp;"|"&amp;$I1931,Aux_HH!$A$4:$A$31,0)),"")</f>
        <v>2</v>
      </c>
      <c r="K1931" s="16" t="s">
        <v>76</v>
      </c>
      <c r="L1931" s="16" t="str">
        <f>IF(COUNTIFS(Pessoas!$C$5:$C$44,$K1931,Pessoas!$G$5:$G$44,"Ativo")=0,"Equipe "&amp;$K1931,INDEX(Pessoas!$A$5:$A$44,_xludf.aggregate(15,6,(ROW(Pessoas!$A$5:$A$44)-4)/((Pessoas!$C$5:$C$44=$K1931)*(Pessoas!$G$5:$G$44="Ativo")),MOD(ROW()-6,MAX(1,COUNTIFS(Pessoas!$C$5:$C$44,$K1931,Pessoas!$G$5:$G$44,"Ativo")))+1)))</f>
        <v>Equipe Oficina Mecânica Central-Taisa</v>
      </c>
    </row>
    <row r="1932" spans="1:12" ht="15" customHeight="1" x14ac:dyDescent="0.4">
      <c r="A1932" s="25">
        <v>46577</v>
      </c>
      <c r="B1932" s="16">
        <v>45</v>
      </c>
      <c r="C1932" s="16">
        <v>4</v>
      </c>
      <c r="D1932" s="16">
        <v>7</v>
      </c>
      <c r="E1932" s="16" t="s">
        <v>1371</v>
      </c>
      <c r="F1932" s="16" t="s">
        <v>997</v>
      </c>
      <c r="G1932" s="16" t="s">
        <v>688</v>
      </c>
      <c r="H1932" s="16" t="s">
        <v>145</v>
      </c>
      <c r="I1932" s="22" t="s">
        <v>856</v>
      </c>
      <c r="J1932" s="16">
        <f>IFERROR(INDEX(Aux_HH!$J$4:$J$31,MATCH($H1932&amp;"|"&amp;$I1932,Aux_HH!$A$4:$A$31,0)),"")</f>
        <v>2</v>
      </c>
      <c r="K1932" s="16" t="s">
        <v>76</v>
      </c>
      <c r="L1932" s="16" t="str">
        <f>IF(COUNTIFS(Pessoas!$C$5:$C$44,$K1932,Pessoas!$G$5:$G$44,"Ativo")=0,"Equipe "&amp;$K1932,INDEX(Pessoas!$A$5:$A$44,_xludf.aggregate(15,6,(ROW(Pessoas!$A$5:$A$44)-4)/((Pessoas!$C$5:$C$44=$K1932)*(Pessoas!$G$5:$G$44="Ativo")),MOD(ROW()-6,MAX(1,COUNTIFS(Pessoas!$C$5:$C$44,$K1932,Pessoas!$G$5:$G$44,"Ativo")))+1)))</f>
        <v>Equipe Oficina Mecânica Central-Taisa</v>
      </c>
    </row>
    <row r="1933" spans="1:12" ht="15" customHeight="1" x14ac:dyDescent="0.4">
      <c r="A1933" s="25">
        <v>46580</v>
      </c>
      <c r="B1933" s="16">
        <v>45</v>
      </c>
      <c r="C1933" s="16">
        <v>4</v>
      </c>
      <c r="D1933" s="16">
        <v>7</v>
      </c>
      <c r="E1933" s="16" t="s">
        <v>1371</v>
      </c>
      <c r="F1933" s="16" t="s">
        <v>998</v>
      </c>
      <c r="G1933" s="16" t="s">
        <v>688</v>
      </c>
      <c r="H1933" s="16" t="s">
        <v>145</v>
      </c>
      <c r="I1933" s="22" t="s">
        <v>856</v>
      </c>
      <c r="J1933" s="16">
        <f>IFERROR(INDEX(Aux_HH!$J$4:$J$31,MATCH($H1933&amp;"|"&amp;$I1933,Aux_HH!$A$4:$A$31,0)),"")</f>
        <v>2</v>
      </c>
      <c r="K1933" s="16" t="s">
        <v>76</v>
      </c>
      <c r="L1933" s="16" t="str">
        <f>IF(COUNTIFS(Pessoas!$C$5:$C$44,$K1933,Pessoas!$G$5:$G$44,"Ativo")=0,"Equipe "&amp;$K1933,INDEX(Pessoas!$A$5:$A$44,_xludf.aggregate(15,6,(ROW(Pessoas!$A$5:$A$44)-4)/((Pessoas!$C$5:$C$44=$K1933)*(Pessoas!$G$5:$G$44="Ativo")),MOD(ROW()-6,MAX(1,COUNTIFS(Pessoas!$C$5:$C$44,$K1933,Pessoas!$G$5:$G$44,"Ativo")))+1)))</f>
        <v>Equipe Oficina Mecânica Central-Taisa</v>
      </c>
    </row>
    <row r="1934" spans="1:12" ht="15" customHeight="1" x14ac:dyDescent="0.4">
      <c r="A1934" s="25">
        <v>46580</v>
      </c>
      <c r="B1934" s="16">
        <v>45</v>
      </c>
      <c r="C1934" s="16">
        <v>4</v>
      </c>
      <c r="D1934" s="16">
        <v>7</v>
      </c>
      <c r="E1934" s="16" t="s">
        <v>1371</v>
      </c>
      <c r="F1934" s="16" t="s">
        <v>1000</v>
      </c>
      <c r="G1934" s="16" t="s">
        <v>688</v>
      </c>
      <c r="H1934" s="16" t="s">
        <v>145</v>
      </c>
      <c r="I1934" s="22" t="s">
        <v>856</v>
      </c>
      <c r="J1934" s="16">
        <f>IFERROR(INDEX(Aux_HH!$J$4:$J$31,MATCH($H1934&amp;"|"&amp;$I1934,Aux_HH!$A$4:$A$31,0)),"")</f>
        <v>2</v>
      </c>
      <c r="K1934" s="16" t="s">
        <v>76</v>
      </c>
      <c r="L1934" s="16" t="str">
        <f>IF(COUNTIFS(Pessoas!$C$5:$C$44,$K1934,Pessoas!$G$5:$G$44,"Ativo")=0,"Equipe "&amp;$K1934,INDEX(Pessoas!$A$5:$A$44,_xludf.aggregate(15,6,(ROW(Pessoas!$A$5:$A$44)-4)/((Pessoas!$C$5:$C$44=$K1934)*(Pessoas!$G$5:$G$44="Ativo")),MOD(ROW()-6,MAX(1,COUNTIFS(Pessoas!$C$5:$C$44,$K1934,Pessoas!$G$5:$G$44,"Ativo")))+1)))</f>
        <v>Equipe Oficina Mecânica Central-Taisa</v>
      </c>
    </row>
    <row r="1935" spans="1:12" ht="15" customHeight="1" x14ac:dyDescent="0.4">
      <c r="A1935" s="25">
        <v>46595</v>
      </c>
      <c r="B1935" s="16">
        <v>48</v>
      </c>
      <c r="C1935" s="16">
        <v>4</v>
      </c>
      <c r="D1935" s="16">
        <v>7</v>
      </c>
      <c r="E1935" s="16" t="s">
        <v>1371</v>
      </c>
      <c r="F1935" s="16" t="s">
        <v>1321</v>
      </c>
      <c r="G1935" s="16" t="s">
        <v>158</v>
      </c>
      <c r="H1935" s="16" t="s">
        <v>144</v>
      </c>
      <c r="I1935" s="22" t="s">
        <v>856</v>
      </c>
      <c r="J1935" s="16">
        <f>IFERROR(INDEX(Aux_HH!$J$4:$J$31,MATCH($H1935&amp;"|"&amp;$I1935,Aux_HH!$A$4:$A$31,0)),"")</f>
        <v>1.5</v>
      </c>
      <c r="K1935" s="16" t="s">
        <v>76</v>
      </c>
      <c r="L1935" s="16" t="str">
        <f>IF(COUNTIFS(Pessoas!$C$5:$C$44,$K1935,Pessoas!$G$5:$G$44,"Ativo")=0,"Equipe "&amp;$K1935,INDEX(Pessoas!$A$5:$A$44,_xludf.aggregate(15,6,(ROW(Pessoas!$A$5:$A$44)-4)/((Pessoas!$C$5:$C$44=$K1935)*(Pessoas!$G$5:$G$44="Ativo")),MOD(ROW()-6,MAX(1,COUNTIFS(Pessoas!$C$5:$C$44,$K1935,Pessoas!$G$5:$G$44,"Ativo")))+1)))</f>
        <v>Equipe Oficina Mecânica Central-Taisa</v>
      </c>
    </row>
    <row r="1936" spans="1:12" ht="15" customHeight="1" x14ac:dyDescent="0.4">
      <c r="A1936" s="25">
        <v>46595</v>
      </c>
      <c r="B1936" s="16">
        <v>48</v>
      </c>
      <c r="C1936" s="16">
        <v>4</v>
      </c>
      <c r="D1936" s="16">
        <v>7</v>
      </c>
      <c r="E1936" s="16" t="s">
        <v>1371</v>
      </c>
      <c r="F1936" s="16" t="s">
        <v>1322</v>
      </c>
      <c r="G1936" s="16" t="s">
        <v>158</v>
      </c>
      <c r="H1936" s="16" t="s">
        <v>144</v>
      </c>
      <c r="I1936" s="22" t="s">
        <v>856</v>
      </c>
      <c r="J1936" s="16">
        <f>IFERROR(INDEX(Aux_HH!$J$4:$J$31,MATCH($H1936&amp;"|"&amp;$I1936,Aux_HH!$A$4:$A$31,0)),"")</f>
        <v>1.5</v>
      </c>
      <c r="K1936" s="16" t="s">
        <v>76</v>
      </c>
      <c r="L1936" s="16" t="str">
        <f>IF(COUNTIFS(Pessoas!$C$5:$C$44,$K1936,Pessoas!$G$5:$G$44,"Ativo")=0,"Equipe "&amp;$K1936,INDEX(Pessoas!$A$5:$A$44,_xludf.aggregate(15,6,(ROW(Pessoas!$A$5:$A$44)-4)/((Pessoas!$C$5:$C$44=$K1936)*(Pessoas!$G$5:$G$44="Ativo")),MOD(ROW()-6,MAX(1,COUNTIFS(Pessoas!$C$5:$C$44,$K1936,Pessoas!$G$5:$G$44,"Ativo")))+1)))</f>
        <v>Equipe Oficina Mecânica Central-Taisa</v>
      </c>
    </row>
    <row r="1937" spans="1:12" ht="15" customHeight="1" x14ac:dyDescent="0.4">
      <c r="A1937" s="25">
        <v>46595</v>
      </c>
      <c r="B1937" s="16">
        <v>48</v>
      </c>
      <c r="C1937" s="16">
        <v>4</v>
      </c>
      <c r="D1937" s="16">
        <v>7</v>
      </c>
      <c r="E1937" s="16" t="s">
        <v>1371</v>
      </c>
      <c r="F1937" s="16" t="s">
        <v>1323</v>
      </c>
      <c r="G1937" s="16" t="s">
        <v>158</v>
      </c>
      <c r="H1937" s="16" t="s">
        <v>144</v>
      </c>
      <c r="I1937" s="22" t="s">
        <v>856</v>
      </c>
      <c r="J1937" s="16">
        <f>IFERROR(INDEX(Aux_HH!$J$4:$J$31,MATCH($H1937&amp;"|"&amp;$I1937,Aux_HH!$A$4:$A$31,0)),"")</f>
        <v>1.5</v>
      </c>
      <c r="K1937" s="16" t="s">
        <v>76</v>
      </c>
      <c r="L1937" s="16" t="str">
        <f>IF(COUNTIFS(Pessoas!$C$5:$C$44,$K1937,Pessoas!$G$5:$G$44,"Ativo")=0,"Equipe "&amp;$K1937,INDEX(Pessoas!$A$5:$A$44,_xludf.aggregate(15,6,(ROW(Pessoas!$A$5:$A$44)-4)/((Pessoas!$C$5:$C$44=$K1937)*(Pessoas!$G$5:$G$44="Ativo")),MOD(ROW()-6,MAX(1,COUNTIFS(Pessoas!$C$5:$C$44,$K1937,Pessoas!$G$5:$G$44,"Ativo")))+1)))</f>
        <v>Equipe Oficina Mecânica Central-Taisa</v>
      </c>
    </row>
    <row r="1938" spans="1:12" ht="15" customHeight="1" x14ac:dyDescent="0.4">
      <c r="A1938" s="25">
        <v>46595</v>
      </c>
      <c r="B1938" s="16">
        <v>48</v>
      </c>
      <c r="C1938" s="16">
        <v>4</v>
      </c>
      <c r="D1938" s="16">
        <v>7</v>
      </c>
      <c r="E1938" s="16" t="s">
        <v>1371</v>
      </c>
      <c r="F1938" s="16" t="s">
        <v>1324</v>
      </c>
      <c r="G1938" s="16" t="s">
        <v>158</v>
      </c>
      <c r="H1938" s="16" t="s">
        <v>144</v>
      </c>
      <c r="I1938" s="22" t="s">
        <v>856</v>
      </c>
      <c r="J1938" s="16">
        <f>IFERROR(INDEX(Aux_HH!$J$4:$J$31,MATCH($H1938&amp;"|"&amp;$I1938,Aux_HH!$A$4:$A$31,0)),"")</f>
        <v>1.5</v>
      </c>
      <c r="K1938" s="16" t="s">
        <v>76</v>
      </c>
      <c r="L1938" s="16" t="str">
        <f>IF(COUNTIFS(Pessoas!$C$5:$C$44,$K1938,Pessoas!$G$5:$G$44,"Ativo")=0,"Equipe "&amp;$K1938,INDEX(Pessoas!$A$5:$A$44,_xludf.aggregate(15,6,(ROW(Pessoas!$A$5:$A$44)-4)/((Pessoas!$C$5:$C$44=$K1938)*(Pessoas!$G$5:$G$44="Ativo")),MOD(ROW()-6,MAX(1,COUNTIFS(Pessoas!$C$5:$C$44,$K1938,Pessoas!$G$5:$G$44,"Ativo")))+1)))</f>
        <v>Equipe Oficina Mecânica Central-Taisa</v>
      </c>
    </row>
    <row r="1939" spans="1:12" ht="15" customHeight="1" x14ac:dyDescent="0.4">
      <c r="A1939" s="25">
        <v>46595</v>
      </c>
      <c r="B1939" s="16">
        <v>48</v>
      </c>
      <c r="C1939" s="16">
        <v>4</v>
      </c>
      <c r="D1939" s="16">
        <v>7</v>
      </c>
      <c r="E1939" s="16" t="s">
        <v>1371</v>
      </c>
      <c r="F1939" s="16" t="s">
        <v>1325</v>
      </c>
      <c r="G1939" s="16" t="s">
        <v>158</v>
      </c>
      <c r="H1939" s="16" t="s">
        <v>144</v>
      </c>
      <c r="I1939" s="22" t="s">
        <v>856</v>
      </c>
      <c r="J1939" s="16">
        <f>IFERROR(INDEX(Aux_HH!$J$4:$J$31,MATCH($H1939&amp;"|"&amp;$I1939,Aux_HH!$A$4:$A$31,0)),"")</f>
        <v>1.5</v>
      </c>
      <c r="K1939" s="16" t="s">
        <v>76</v>
      </c>
      <c r="L1939" s="16" t="str">
        <f>IF(COUNTIFS(Pessoas!$C$5:$C$44,$K1939,Pessoas!$G$5:$G$44,"Ativo")=0,"Equipe "&amp;$K1939,INDEX(Pessoas!$A$5:$A$44,_xludf.aggregate(15,6,(ROW(Pessoas!$A$5:$A$44)-4)/((Pessoas!$C$5:$C$44=$K1939)*(Pessoas!$G$5:$G$44="Ativo")),MOD(ROW()-6,MAX(1,COUNTIFS(Pessoas!$C$5:$C$44,$K1939,Pessoas!$G$5:$G$44,"Ativo")))+1)))</f>
        <v>Equipe Oficina Mecânica Central-Taisa</v>
      </c>
    </row>
    <row r="1940" spans="1:12" ht="15" customHeight="1" x14ac:dyDescent="0.4">
      <c r="A1940" s="25">
        <v>46595</v>
      </c>
      <c r="B1940" s="16">
        <v>48</v>
      </c>
      <c r="C1940" s="16">
        <v>4</v>
      </c>
      <c r="D1940" s="16">
        <v>7</v>
      </c>
      <c r="E1940" s="16" t="s">
        <v>1371</v>
      </c>
      <c r="F1940" s="16" t="s">
        <v>1326</v>
      </c>
      <c r="G1940" s="16" t="s">
        <v>158</v>
      </c>
      <c r="H1940" s="16" t="s">
        <v>144</v>
      </c>
      <c r="I1940" s="22" t="s">
        <v>856</v>
      </c>
      <c r="J1940" s="16">
        <f>IFERROR(INDEX(Aux_HH!$J$4:$J$31,MATCH($H1940&amp;"|"&amp;$I1940,Aux_HH!$A$4:$A$31,0)),"")</f>
        <v>1.5</v>
      </c>
      <c r="K1940" s="16" t="s">
        <v>76</v>
      </c>
      <c r="L1940" s="16" t="str">
        <f>IF(COUNTIFS(Pessoas!$C$5:$C$44,$K1940,Pessoas!$G$5:$G$44,"Ativo")=0,"Equipe "&amp;$K1940,INDEX(Pessoas!$A$5:$A$44,_xludf.aggregate(15,6,(ROW(Pessoas!$A$5:$A$44)-4)/((Pessoas!$C$5:$C$44=$K1940)*(Pessoas!$G$5:$G$44="Ativo")),MOD(ROW()-6,MAX(1,COUNTIFS(Pessoas!$C$5:$C$44,$K1940,Pessoas!$G$5:$G$44,"Ativo")))+1)))</f>
        <v>Equipe Oficina Mecânica Central-Taisa</v>
      </c>
    </row>
    <row r="1941" spans="1:12" ht="15" customHeight="1" x14ac:dyDescent="0.4">
      <c r="A1941" s="25">
        <v>46595</v>
      </c>
      <c r="B1941" s="16">
        <v>48</v>
      </c>
      <c r="C1941" s="16">
        <v>4</v>
      </c>
      <c r="D1941" s="16">
        <v>7</v>
      </c>
      <c r="E1941" s="16" t="s">
        <v>1371</v>
      </c>
      <c r="F1941" s="16" t="s">
        <v>1327</v>
      </c>
      <c r="G1941" s="16" t="s">
        <v>158</v>
      </c>
      <c r="H1941" s="16" t="s">
        <v>144</v>
      </c>
      <c r="I1941" s="22" t="s">
        <v>856</v>
      </c>
      <c r="J1941" s="16">
        <f>IFERROR(INDEX(Aux_HH!$J$4:$J$31,MATCH($H1941&amp;"|"&amp;$I1941,Aux_HH!$A$4:$A$31,0)),"")</f>
        <v>1.5</v>
      </c>
      <c r="K1941" s="16" t="s">
        <v>76</v>
      </c>
      <c r="L1941" s="16" t="str">
        <f>IF(COUNTIFS(Pessoas!$C$5:$C$44,$K1941,Pessoas!$G$5:$G$44,"Ativo")=0,"Equipe "&amp;$K1941,INDEX(Pessoas!$A$5:$A$44,_xludf.aggregate(15,6,(ROW(Pessoas!$A$5:$A$44)-4)/((Pessoas!$C$5:$C$44=$K1941)*(Pessoas!$G$5:$G$44="Ativo")),MOD(ROW()-6,MAX(1,COUNTIFS(Pessoas!$C$5:$C$44,$K1941,Pessoas!$G$5:$G$44,"Ativo")))+1)))</f>
        <v>Equipe Oficina Mecânica Central-Taisa</v>
      </c>
    </row>
    <row r="1942" spans="1:12" ht="15" customHeight="1" x14ac:dyDescent="0.4">
      <c r="A1942" s="25">
        <v>46595</v>
      </c>
      <c r="B1942" s="16">
        <v>48</v>
      </c>
      <c r="C1942" s="16">
        <v>4</v>
      </c>
      <c r="D1942" s="16">
        <v>7</v>
      </c>
      <c r="E1942" s="16" t="s">
        <v>1371</v>
      </c>
      <c r="F1942" s="16" t="s">
        <v>1328</v>
      </c>
      <c r="G1942" s="16" t="s">
        <v>158</v>
      </c>
      <c r="H1942" s="16" t="s">
        <v>144</v>
      </c>
      <c r="I1942" s="22" t="s">
        <v>856</v>
      </c>
      <c r="J1942" s="16">
        <f>IFERROR(INDEX(Aux_HH!$J$4:$J$31,MATCH($H1942&amp;"|"&amp;$I1942,Aux_HH!$A$4:$A$31,0)),"")</f>
        <v>1.5</v>
      </c>
      <c r="K1942" s="16" t="s">
        <v>76</v>
      </c>
      <c r="L1942" s="16" t="str">
        <f>IF(COUNTIFS(Pessoas!$C$5:$C$44,$K1942,Pessoas!$G$5:$G$44,"Ativo")=0,"Equipe "&amp;$K1942,INDEX(Pessoas!$A$5:$A$44,_xludf.aggregate(15,6,(ROW(Pessoas!$A$5:$A$44)-4)/((Pessoas!$C$5:$C$44=$K1942)*(Pessoas!$G$5:$G$44="Ativo")),MOD(ROW()-6,MAX(1,COUNTIFS(Pessoas!$C$5:$C$44,$K1942,Pessoas!$G$5:$G$44,"Ativo")))+1)))</f>
        <v>Equipe Oficina Mecânica Central-Taisa</v>
      </c>
    </row>
    <row r="1943" spans="1:12" ht="15" customHeight="1" x14ac:dyDescent="0.4">
      <c r="A1943" s="25">
        <v>46595</v>
      </c>
      <c r="B1943" s="16">
        <v>48</v>
      </c>
      <c r="C1943" s="16">
        <v>4</v>
      </c>
      <c r="D1943" s="16">
        <v>7</v>
      </c>
      <c r="E1943" s="16" t="s">
        <v>1371</v>
      </c>
      <c r="F1943" s="16" t="s">
        <v>1329</v>
      </c>
      <c r="G1943" s="16" t="s">
        <v>158</v>
      </c>
      <c r="H1943" s="16" t="s">
        <v>144</v>
      </c>
      <c r="I1943" s="22" t="s">
        <v>856</v>
      </c>
      <c r="J1943" s="16">
        <f>IFERROR(INDEX(Aux_HH!$J$4:$J$31,MATCH($H1943&amp;"|"&amp;$I1943,Aux_HH!$A$4:$A$31,0)),"")</f>
        <v>1.5</v>
      </c>
      <c r="K1943" s="16" t="s">
        <v>76</v>
      </c>
      <c r="L1943" s="16" t="str">
        <f>IF(COUNTIFS(Pessoas!$C$5:$C$44,$K1943,Pessoas!$G$5:$G$44,"Ativo")=0,"Equipe "&amp;$K1943,INDEX(Pessoas!$A$5:$A$44,_xludf.aggregate(15,6,(ROW(Pessoas!$A$5:$A$44)-4)/((Pessoas!$C$5:$C$44=$K1943)*(Pessoas!$G$5:$G$44="Ativo")),MOD(ROW()-6,MAX(1,COUNTIFS(Pessoas!$C$5:$C$44,$K1943,Pessoas!$G$5:$G$44,"Ativo")))+1)))</f>
        <v>Equipe Oficina Mecânica Central-Taisa</v>
      </c>
    </row>
    <row r="1944" spans="1:12" ht="15" customHeight="1" x14ac:dyDescent="0.4">
      <c r="A1944" s="25">
        <v>46595</v>
      </c>
      <c r="B1944" s="16">
        <v>48</v>
      </c>
      <c r="C1944" s="16">
        <v>4</v>
      </c>
      <c r="D1944" s="16">
        <v>7</v>
      </c>
      <c r="E1944" s="16" t="s">
        <v>1371</v>
      </c>
      <c r="F1944" s="16" t="s">
        <v>1330</v>
      </c>
      <c r="G1944" s="16" t="s">
        <v>158</v>
      </c>
      <c r="H1944" s="16" t="s">
        <v>144</v>
      </c>
      <c r="I1944" s="22" t="s">
        <v>856</v>
      </c>
      <c r="J1944" s="16">
        <f>IFERROR(INDEX(Aux_HH!$J$4:$J$31,MATCH($H1944&amp;"|"&amp;$I1944,Aux_HH!$A$4:$A$31,0)),"")</f>
        <v>1.5</v>
      </c>
      <c r="K1944" s="16" t="s">
        <v>76</v>
      </c>
      <c r="L1944" s="16" t="str">
        <f>IF(COUNTIFS(Pessoas!$C$5:$C$44,$K1944,Pessoas!$G$5:$G$44,"Ativo")=0,"Equipe "&amp;$K1944,INDEX(Pessoas!$A$5:$A$44,_xludf.aggregate(15,6,(ROW(Pessoas!$A$5:$A$44)-4)/((Pessoas!$C$5:$C$44=$K1944)*(Pessoas!$G$5:$G$44="Ativo")),MOD(ROW()-6,MAX(1,COUNTIFS(Pessoas!$C$5:$C$44,$K1944,Pessoas!$G$5:$G$44,"Ativo")))+1)))</f>
        <v>Equipe Oficina Mecânica Central-Taisa</v>
      </c>
    </row>
    <row r="1945" spans="1:12" ht="15" customHeight="1" x14ac:dyDescent="0.4">
      <c r="A1945" s="25">
        <v>46596</v>
      </c>
      <c r="B1945" s="16">
        <v>48</v>
      </c>
      <c r="C1945" s="16">
        <v>4</v>
      </c>
      <c r="D1945" s="16">
        <v>7</v>
      </c>
      <c r="E1945" s="16" t="s">
        <v>1371</v>
      </c>
      <c r="F1945" s="16" t="s">
        <v>1331</v>
      </c>
      <c r="G1945" s="16" t="s">
        <v>158</v>
      </c>
      <c r="H1945" s="16" t="s">
        <v>144</v>
      </c>
      <c r="I1945" s="22" t="s">
        <v>856</v>
      </c>
      <c r="J1945" s="16">
        <f>IFERROR(INDEX(Aux_HH!$J$4:$J$31,MATCH($H1945&amp;"|"&amp;$I1945,Aux_HH!$A$4:$A$31,0)),"")</f>
        <v>1.5</v>
      </c>
      <c r="K1945" s="16" t="s">
        <v>76</v>
      </c>
      <c r="L1945" s="16" t="str">
        <f>IF(COUNTIFS(Pessoas!$C$5:$C$44,$K1945,Pessoas!$G$5:$G$44,"Ativo")=0,"Equipe "&amp;$K1945,INDEX(Pessoas!$A$5:$A$44,_xludf.aggregate(15,6,(ROW(Pessoas!$A$5:$A$44)-4)/((Pessoas!$C$5:$C$44=$K1945)*(Pessoas!$G$5:$G$44="Ativo")),MOD(ROW()-6,MAX(1,COUNTIFS(Pessoas!$C$5:$C$44,$K1945,Pessoas!$G$5:$G$44,"Ativo")))+1)))</f>
        <v>Equipe Oficina Mecânica Central-Taisa</v>
      </c>
    </row>
    <row r="1946" spans="1:12" ht="15" customHeight="1" x14ac:dyDescent="0.4">
      <c r="A1946" s="25">
        <v>46596</v>
      </c>
      <c r="B1946" s="16">
        <v>48</v>
      </c>
      <c r="C1946" s="16">
        <v>4</v>
      </c>
      <c r="D1946" s="16">
        <v>7</v>
      </c>
      <c r="E1946" s="16" t="s">
        <v>1371</v>
      </c>
      <c r="F1946" s="16" t="s">
        <v>1332</v>
      </c>
      <c r="G1946" s="16" t="s">
        <v>158</v>
      </c>
      <c r="H1946" s="16" t="s">
        <v>144</v>
      </c>
      <c r="I1946" s="22" t="s">
        <v>856</v>
      </c>
      <c r="J1946" s="16">
        <f>IFERROR(INDEX(Aux_HH!$J$4:$J$31,MATCH($H1946&amp;"|"&amp;$I1946,Aux_HH!$A$4:$A$31,0)),"")</f>
        <v>1.5</v>
      </c>
      <c r="K1946" s="16" t="s">
        <v>76</v>
      </c>
      <c r="L1946" s="16" t="str">
        <f>IF(COUNTIFS(Pessoas!$C$5:$C$44,$K1946,Pessoas!$G$5:$G$44,"Ativo")=0,"Equipe "&amp;$K1946,INDEX(Pessoas!$A$5:$A$44,_xludf.aggregate(15,6,(ROW(Pessoas!$A$5:$A$44)-4)/((Pessoas!$C$5:$C$44=$K1946)*(Pessoas!$G$5:$G$44="Ativo")),MOD(ROW()-6,MAX(1,COUNTIFS(Pessoas!$C$5:$C$44,$K1946,Pessoas!$G$5:$G$44,"Ativo")))+1)))</f>
        <v>Equipe Oficina Mecânica Central-Taisa</v>
      </c>
    </row>
    <row r="1947" spans="1:12" ht="15" customHeight="1" x14ac:dyDescent="0.4">
      <c r="A1947" s="25">
        <v>46596</v>
      </c>
      <c r="B1947" s="16">
        <v>48</v>
      </c>
      <c r="C1947" s="16">
        <v>4</v>
      </c>
      <c r="D1947" s="16">
        <v>7</v>
      </c>
      <c r="E1947" s="16" t="s">
        <v>1371</v>
      </c>
      <c r="F1947" s="16" t="s">
        <v>1333</v>
      </c>
      <c r="G1947" s="16" t="s">
        <v>158</v>
      </c>
      <c r="H1947" s="16" t="s">
        <v>144</v>
      </c>
      <c r="I1947" s="22" t="s">
        <v>856</v>
      </c>
      <c r="J1947" s="16">
        <f>IFERROR(INDEX(Aux_HH!$J$4:$J$31,MATCH($H1947&amp;"|"&amp;$I1947,Aux_HH!$A$4:$A$31,0)),"")</f>
        <v>1.5</v>
      </c>
      <c r="K1947" s="16" t="s">
        <v>76</v>
      </c>
      <c r="L1947" s="16" t="str">
        <f>IF(COUNTIFS(Pessoas!$C$5:$C$44,$K1947,Pessoas!$G$5:$G$44,"Ativo")=0,"Equipe "&amp;$K1947,INDEX(Pessoas!$A$5:$A$44,_xludf.aggregate(15,6,(ROW(Pessoas!$A$5:$A$44)-4)/((Pessoas!$C$5:$C$44=$K1947)*(Pessoas!$G$5:$G$44="Ativo")),MOD(ROW()-6,MAX(1,COUNTIFS(Pessoas!$C$5:$C$44,$K1947,Pessoas!$G$5:$G$44,"Ativo")))+1)))</f>
        <v>Equipe Oficina Mecânica Central-Taisa</v>
      </c>
    </row>
    <row r="1948" spans="1:12" ht="15" customHeight="1" x14ac:dyDescent="0.4">
      <c r="A1948" s="25">
        <v>46596</v>
      </c>
      <c r="B1948" s="16">
        <v>48</v>
      </c>
      <c r="C1948" s="16">
        <v>4</v>
      </c>
      <c r="D1948" s="16">
        <v>7</v>
      </c>
      <c r="E1948" s="16" t="s">
        <v>1371</v>
      </c>
      <c r="F1948" s="16" t="s">
        <v>1334</v>
      </c>
      <c r="G1948" s="16" t="s">
        <v>158</v>
      </c>
      <c r="H1948" s="16" t="s">
        <v>144</v>
      </c>
      <c r="I1948" s="22" t="s">
        <v>856</v>
      </c>
      <c r="J1948" s="16">
        <f>IFERROR(INDEX(Aux_HH!$J$4:$J$31,MATCH($H1948&amp;"|"&amp;$I1948,Aux_HH!$A$4:$A$31,0)),"")</f>
        <v>1.5</v>
      </c>
      <c r="K1948" s="16" t="s">
        <v>76</v>
      </c>
      <c r="L1948" s="16" t="str">
        <f>IF(COUNTIFS(Pessoas!$C$5:$C$44,$K1948,Pessoas!$G$5:$G$44,"Ativo")=0,"Equipe "&amp;$K1948,INDEX(Pessoas!$A$5:$A$44,_xludf.aggregate(15,6,(ROW(Pessoas!$A$5:$A$44)-4)/((Pessoas!$C$5:$C$44=$K1948)*(Pessoas!$G$5:$G$44="Ativo")),MOD(ROW()-6,MAX(1,COUNTIFS(Pessoas!$C$5:$C$44,$K1948,Pessoas!$G$5:$G$44,"Ativo")))+1)))</f>
        <v>Equipe Oficina Mecânica Central-Taisa</v>
      </c>
    </row>
    <row r="1949" spans="1:12" ht="15" customHeight="1" x14ac:dyDescent="0.4">
      <c r="A1949" s="25">
        <v>46596</v>
      </c>
      <c r="B1949" s="16">
        <v>48</v>
      </c>
      <c r="C1949" s="16">
        <v>4</v>
      </c>
      <c r="D1949" s="16">
        <v>7</v>
      </c>
      <c r="E1949" s="16" t="s">
        <v>1371</v>
      </c>
      <c r="F1949" s="16" t="s">
        <v>1335</v>
      </c>
      <c r="G1949" s="16" t="s">
        <v>448</v>
      </c>
      <c r="H1949" s="16" t="s">
        <v>144</v>
      </c>
      <c r="I1949" s="22" t="s">
        <v>856</v>
      </c>
      <c r="J1949" s="16">
        <f>IFERROR(INDEX(Aux_HH!$J$4:$J$31,MATCH($H1949&amp;"|"&amp;$I1949,Aux_HH!$A$4:$A$31,0)),"")</f>
        <v>1.5</v>
      </c>
      <c r="K1949" s="16" t="s">
        <v>76</v>
      </c>
      <c r="L1949" s="16" t="str">
        <f>IF(COUNTIFS(Pessoas!$C$5:$C$44,$K1949,Pessoas!$G$5:$G$44,"Ativo")=0,"Equipe "&amp;$K1949,INDEX(Pessoas!$A$5:$A$44,_xludf.aggregate(15,6,(ROW(Pessoas!$A$5:$A$44)-4)/((Pessoas!$C$5:$C$44=$K1949)*(Pessoas!$G$5:$G$44="Ativo")),MOD(ROW()-6,MAX(1,COUNTIFS(Pessoas!$C$5:$C$44,$K1949,Pessoas!$G$5:$G$44,"Ativo")))+1)))</f>
        <v>Equipe Oficina Mecânica Central-Taisa</v>
      </c>
    </row>
    <row r="1950" spans="1:12" ht="15" customHeight="1" x14ac:dyDescent="0.4">
      <c r="A1950" s="25">
        <v>46596</v>
      </c>
      <c r="B1950" s="16">
        <v>48</v>
      </c>
      <c r="C1950" s="16">
        <v>4</v>
      </c>
      <c r="D1950" s="16">
        <v>7</v>
      </c>
      <c r="E1950" s="16" t="s">
        <v>1371</v>
      </c>
      <c r="F1950" s="16" t="s">
        <v>1336</v>
      </c>
      <c r="G1950" s="16" t="s">
        <v>158</v>
      </c>
      <c r="H1950" s="16" t="s">
        <v>144</v>
      </c>
      <c r="I1950" s="22" t="s">
        <v>856</v>
      </c>
      <c r="J1950" s="16">
        <f>IFERROR(INDEX(Aux_HH!$J$4:$J$31,MATCH($H1950&amp;"|"&amp;$I1950,Aux_HH!$A$4:$A$31,0)),"")</f>
        <v>1.5</v>
      </c>
      <c r="K1950" s="16" t="s">
        <v>76</v>
      </c>
      <c r="L1950" s="16" t="str">
        <f>IF(COUNTIFS(Pessoas!$C$5:$C$44,$K1950,Pessoas!$G$5:$G$44,"Ativo")=0,"Equipe "&amp;$K1950,INDEX(Pessoas!$A$5:$A$44,_xludf.aggregate(15,6,(ROW(Pessoas!$A$5:$A$44)-4)/((Pessoas!$C$5:$C$44=$K1950)*(Pessoas!$G$5:$G$44="Ativo")),MOD(ROW()-6,MAX(1,COUNTIFS(Pessoas!$C$5:$C$44,$K1950,Pessoas!$G$5:$G$44,"Ativo")))+1)))</f>
        <v>Equipe Oficina Mecânica Central-Taisa</v>
      </c>
    </row>
    <row r="1951" spans="1:12" ht="15" customHeight="1" x14ac:dyDescent="0.4">
      <c r="A1951" s="25">
        <v>46596</v>
      </c>
      <c r="B1951" s="16">
        <v>48</v>
      </c>
      <c r="C1951" s="16">
        <v>4</v>
      </c>
      <c r="D1951" s="16">
        <v>7</v>
      </c>
      <c r="E1951" s="16" t="s">
        <v>1371</v>
      </c>
      <c r="F1951" s="16" t="s">
        <v>1337</v>
      </c>
      <c r="G1951" s="16" t="s">
        <v>158</v>
      </c>
      <c r="H1951" s="16" t="s">
        <v>144</v>
      </c>
      <c r="I1951" s="22" t="s">
        <v>856</v>
      </c>
      <c r="J1951" s="16">
        <f>IFERROR(INDEX(Aux_HH!$J$4:$J$31,MATCH($H1951&amp;"|"&amp;$I1951,Aux_HH!$A$4:$A$31,0)),"")</f>
        <v>1.5</v>
      </c>
      <c r="K1951" s="16" t="s">
        <v>76</v>
      </c>
      <c r="L1951" s="16" t="str">
        <f>IF(COUNTIFS(Pessoas!$C$5:$C$44,$K1951,Pessoas!$G$5:$G$44,"Ativo")=0,"Equipe "&amp;$K1951,INDEX(Pessoas!$A$5:$A$44,_xludf.aggregate(15,6,(ROW(Pessoas!$A$5:$A$44)-4)/((Pessoas!$C$5:$C$44=$K1951)*(Pessoas!$G$5:$G$44="Ativo")),MOD(ROW()-6,MAX(1,COUNTIFS(Pessoas!$C$5:$C$44,$K1951,Pessoas!$G$5:$G$44,"Ativo")))+1)))</f>
        <v>Equipe Oficina Mecânica Central-Taisa</v>
      </c>
    </row>
    <row r="1952" spans="1:12" ht="15" customHeight="1" x14ac:dyDescent="0.4">
      <c r="A1952" s="25">
        <v>46596</v>
      </c>
      <c r="B1952" s="16">
        <v>48</v>
      </c>
      <c r="C1952" s="16">
        <v>4</v>
      </c>
      <c r="D1952" s="16">
        <v>7</v>
      </c>
      <c r="E1952" s="16" t="s">
        <v>1371</v>
      </c>
      <c r="F1952" s="16" t="s">
        <v>1338</v>
      </c>
      <c r="G1952" s="16" t="s">
        <v>158</v>
      </c>
      <c r="H1952" s="16" t="s">
        <v>144</v>
      </c>
      <c r="I1952" s="22" t="s">
        <v>856</v>
      </c>
      <c r="J1952" s="16">
        <f>IFERROR(INDEX(Aux_HH!$J$4:$J$31,MATCH($H1952&amp;"|"&amp;$I1952,Aux_HH!$A$4:$A$31,0)),"")</f>
        <v>1.5</v>
      </c>
      <c r="K1952" s="16" t="s">
        <v>76</v>
      </c>
      <c r="L1952" s="16" t="str">
        <f>IF(COUNTIFS(Pessoas!$C$5:$C$44,$K1952,Pessoas!$G$5:$G$44,"Ativo")=0,"Equipe "&amp;$K1952,INDEX(Pessoas!$A$5:$A$44,_xludf.aggregate(15,6,(ROW(Pessoas!$A$5:$A$44)-4)/((Pessoas!$C$5:$C$44=$K1952)*(Pessoas!$G$5:$G$44="Ativo")),MOD(ROW()-6,MAX(1,COUNTIFS(Pessoas!$C$5:$C$44,$K1952,Pessoas!$G$5:$G$44,"Ativo")))+1)))</f>
        <v>Equipe Oficina Mecânica Central-Taisa</v>
      </c>
    </row>
    <row r="1953" spans="1:12" ht="15" customHeight="1" x14ac:dyDescent="0.4">
      <c r="A1953" s="25">
        <v>46596</v>
      </c>
      <c r="B1953" s="16">
        <v>48</v>
      </c>
      <c r="C1953" s="16">
        <v>4</v>
      </c>
      <c r="D1953" s="16">
        <v>7</v>
      </c>
      <c r="E1953" s="16" t="s">
        <v>1371</v>
      </c>
      <c r="F1953" s="16" t="s">
        <v>1339</v>
      </c>
      <c r="G1953" s="16" t="s">
        <v>158</v>
      </c>
      <c r="H1953" s="16" t="s">
        <v>144</v>
      </c>
      <c r="I1953" s="22" t="s">
        <v>856</v>
      </c>
      <c r="J1953" s="16">
        <f>IFERROR(INDEX(Aux_HH!$J$4:$J$31,MATCH($H1953&amp;"|"&amp;$I1953,Aux_HH!$A$4:$A$31,0)),"")</f>
        <v>1.5</v>
      </c>
      <c r="K1953" s="16" t="s">
        <v>76</v>
      </c>
      <c r="L1953" s="16" t="str">
        <f>IF(COUNTIFS(Pessoas!$C$5:$C$44,$K1953,Pessoas!$G$5:$G$44,"Ativo")=0,"Equipe "&amp;$K1953,INDEX(Pessoas!$A$5:$A$44,_xludf.aggregate(15,6,(ROW(Pessoas!$A$5:$A$44)-4)/((Pessoas!$C$5:$C$44=$K1953)*(Pessoas!$G$5:$G$44="Ativo")),MOD(ROW()-6,MAX(1,COUNTIFS(Pessoas!$C$5:$C$44,$K1953,Pessoas!$G$5:$G$44,"Ativo")))+1)))</f>
        <v>Equipe Oficina Mecânica Central-Taisa</v>
      </c>
    </row>
    <row r="1954" spans="1:12" ht="15" customHeight="1" x14ac:dyDescent="0.4">
      <c r="A1954" s="25">
        <v>46596</v>
      </c>
      <c r="B1954" s="16">
        <v>48</v>
      </c>
      <c r="C1954" s="16">
        <v>4</v>
      </c>
      <c r="D1954" s="16">
        <v>7</v>
      </c>
      <c r="E1954" s="16" t="s">
        <v>1371</v>
      </c>
      <c r="F1954" s="16" t="s">
        <v>1340</v>
      </c>
      <c r="G1954" s="16" t="s">
        <v>158</v>
      </c>
      <c r="H1954" s="16" t="s">
        <v>144</v>
      </c>
      <c r="I1954" s="22" t="s">
        <v>856</v>
      </c>
      <c r="J1954" s="16">
        <f>IFERROR(INDEX(Aux_HH!$J$4:$J$31,MATCH($H1954&amp;"|"&amp;$I1954,Aux_HH!$A$4:$A$31,0)),"")</f>
        <v>1.5</v>
      </c>
      <c r="K1954" s="16" t="s">
        <v>76</v>
      </c>
      <c r="L1954" s="16" t="str">
        <f>IF(COUNTIFS(Pessoas!$C$5:$C$44,$K1954,Pessoas!$G$5:$G$44,"Ativo")=0,"Equipe "&amp;$K1954,INDEX(Pessoas!$A$5:$A$44,_xludf.aggregate(15,6,(ROW(Pessoas!$A$5:$A$44)-4)/((Pessoas!$C$5:$C$44=$K1954)*(Pessoas!$G$5:$G$44="Ativo")),MOD(ROW()-6,MAX(1,COUNTIFS(Pessoas!$C$5:$C$44,$K1954,Pessoas!$G$5:$G$44,"Ativo")))+1)))</f>
        <v>Equipe Oficina Mecânica Central-Taisa</v>
      </c>
    </row>
    <row r="1955" spans="1:12" ht="15" customHeight="1" x14ac:dyDescent="0.4">
      <c r="A1955" s="25">
        <v>46597</v>
      </c>
      <c r="B1955" s="16">
        <v>48</v>
      </c>
      <c r="C1955" s="16">
        <v>4</v>
      </c>
      <c r="D1955" s="16">
        <v>7</v>
      </c>
      <c r="E1955" s="16" t="s">
        <v>1371</v>
      </c>
      <c r="F1955" s="16" t="s">
        <v>1341</v>
      </c>
      <c r="G1955" s="16" t="s">
        <v>158</v>
      </c>
      <c r="H1955" s="16" t="s">
        <v>144</v>
      </c>
      <c r="I1955" s="22" t="s">
        <v>856</v>
      </c>
      <c r="J1955" s="16">
        <f>IFERROR(INDEX(Aux_HH!$J$4:$J$31,MATCH($H1955&amp;"|"&amp;$I1955,Aux_HH!$A$4:$A$31,0)),"")</f>
        <v>1.5</v>
      </c>
      <c r="K1955" s="16" t="s">
        <v>76</v>
      </c>
      <c r="L1955" s="16" t="str">
        <f>IF(COUNTIFS(Pessoas!$C$5:$C$44,$K1955,Pessoas!$G$5:$G$44,"Ativo")=0,"Equipe "&amp;$K1955,INDEX(Pessoas!$A$5:$A$44,_xludf.aggregate(15,6,(ROW(Pessoas!$A$5:$A$44)-4)/((Pessoas!$C$5:$C$44=$K1955)*(Pessoas!$G$5:$G$44="Ativo")),MOD(ROW()-6,MAX(1,COUNTIFS(Pessoas!$C$5:$C$44,$K1955,Pessoas!$G$5:$G$44,"Ativo")))+1)))</f>
        <v>Equipe Oficina Mecânica Central-Taisa</v>
      </c>
    </row>
    <row r="1956" spans="1:12" ht="15" customHeight="1" x14ac:dyDescent="0.4">
      <c r="A1956" s="25">
        <v>46597</v>
      </c>
      <c r="B1956" s="16">
        <v>48</v>
      </c>
      <c r="C1956" s="16">
        <v>4</v>
      </c>
      <c r="D1956" s="16">
        <v>7</v>
      </c>
      <c r="E1956" s="16" t="s">
        <v>1371</v>
      </c>
      <c r="F1956" s="16" t="s">
        <v>1342</v>
      </c>
      <c r="G1956" s="16" t="s">
        <v>158</v>
      </c>
      <c r="H1956" s="16" t="s">
        <v>144</v>
      </c>
      <c r="I1956" s="22" t="s">
        <v>856</v>
      </c>
      <c r="J1956" s="16">
        <f>IFERROR(INDEX(Aux_HH!$J$4:$J$31,MATCH($H1956&amp;"|"&amp;$I1956,Aux_HH!$A$4:$A$31,0)),"")</f>
        <v>1.5</v>
      </c>
      <c r="K1956" s="16" t="s">
        <v>76</v>
      </c>
      <c r="L1956" s="16" t="str">
        <f>IF(COUNTIFS(Pessoas!$C$5:$C$44,$K1956,Pessoas!$G$5:$G$44,"Ativo")=0,"Equipe "&amp;$K1956,INDEX(Pessoas!$A$5:$A$44,_xludf.aggregate(15,6,(ROW(Pessoas!$A$5:$A$44)-4)/((Pessoas!$C$5:$C$44=$K1956)*(Pessoas!$G$5:$G$44="Ativo")),MOD(ROW()-6,MAX(1,COUNTIFS(Pessoas!$C$5:$C$44,$K1956,Pessoas!$G$5:$G$44,"Ativo")))+1)))</f>
        <v>Equipe Oficina Mecânica Central-Taisa</v>
      </c>
    </row>
    <row r="1957" spans="1:12" ht="15" customHeight="1" x14ac:dyDescent="0.4">
      <c r="A1957" s="25">
        <v>46597</v>
      </c>
      <c r="B1957" s="16">
        <v>48</v>
      </c>
      <c r="C1957" s="16">
        <v>4</v>
      </c>
      <c r="D1957" s="16">
        <v>7</v>
      </c>
      <c r="E1957" s="16" t="s">
        <v>1371</v>
      </c>
      <c r="F1957" s="16" t="s">
        <v>1343</v>
      </c>
      <c r="G1957" s="16" t="s">
        <v>158</v>
      </c>
      <c r="H1957" s="16" t="s">
        <v>144</v>
      </c>
      <c r="I1957" s="22" t="s">
        <v>856</v>
      </c>
      <c r="J1957" s="16">
        <f>IFERROR(INDEX(Aux_HH!$J$4:$J$31,MATCH($H1957&amp;"|"&amp;$I1957,Aux_HH!$A$4:$A$31,0)),"")</f>
        <v>1.5</v>
      </c>
      <c r="K1957" s="16" t="s">
        <v>76</v>
      </c>
      <c r="L1957" s="16" t="str">
        <f>IF(COUNTIFS(Pessoas!$C$5:$C$44,$K1957,Pessoas!$G$5:$G$44,"Ativo")=0,"Equipe "&amp;$K1957,INDEX(Pessoas!$A$5:$A$44,_xludf.aggregate(15,6,(ROW(Pessoas!$A$5:$A$44)-4)/((Pessoas!$C$5:$C$44=$K1957)*(Pessoas!$G$5:$G$44="Ativo")),MOD(ROW()-6,MAX(1,COUNTIFS(Pessoas!$C$5:$C$44,$K1957,Pessoas!$G$5:$G$44,"Ativo")))+1)))</f>
        <v>Equipe Oficina Mecânica Central-Taisa</v>
      </c>
    </row>
    <row r="1958" spans="1:12" ht="15" customHeight="1" x14ac:dyDescent="0.4">
      <c r="A1958" s="25">
        <v>46597</v>
      </c>
      <c r="B1958" s="16">
        <v>48</v>
      </c>
      <c r="C1958" s="16">
        <v>4</v>
      </c>
      <c r="D1958" s="16">
        <v>7</v>
      </c>
      <c r="E1958" s="16" t="s">
        <v>1371</v>
      </c>
      <c r="F1958" s="16" t="s">
        <v>1344</v>
      </c>
      <c r="G1958" s="16" t="s">
        <v>158</v>
      </c>
      <c r="H1958" s="16" t="s">
        <v>144</v>
      </c>
      <c r="I1958" s="22" t="s">
        <v>856</v>
      </c>
      <c r="J1958" s="16">
        <f>IFERROR(INDEX(Aux_HH!$J$4:$J$31,MATCH($H1958&amp;"|"&amp;$I1958,Aux_HH!$A$4:$A$31,0)),"")</f>
        <v>1.5</v>
      </c>
      <c r="K1958" s="16" t="s">
        <v>76</v>
      </c>
      <c r="L1958" s="16" t="str">
        <f>IF(COUNTIFS(Pessoas!$C$5:$C$44,$K1958,Pessoas!$G$5:$G$44,"Ativo")=0,"Equipe "&amp;$K1958,INDEX(Pessoas!$A$5:$A$44,_xludf.aggregate(15,6,(ROW(Pessoas!$A$5:$A$44)-4)/((Pessoas!$C$5:$C$44=$K1958)*(Pessoas!$G$5:$G$44="Ativo")),MOD(ROW()-6,MAX(1,COUNTIFS(Pessoas!$C$5:$C$44,$K1958,Pessoas!$G$5:$G$44,"Ativo")))+1)))</f>
        <v>Equipe Oficina Mecânica Central-Taisa</v>
      </c>
    </row>
    <row r="1959" spans="1:12" ht="15" customHeight="1" x14ac:dyDescent="0.4">
      <c r="A1959" s="25">
        <v>46597</v>
      </c>
      <c r="B1959" s="16">
        <v>48</v>
      </c>
      <c r="C1959" s="16">
        <v>4</v>
      </c>
      <c r="D1959" s="16">
        <v>7</v>
      </c>
      <c r="E1959" s="16" t="s">
        <v>1371</v>
      </c>
      <c r="F1959" s="16" t="s">
        <v>1345</v>
      </c>
      <c r="G1959" s="16" t="s">
        <v>158</v>
      </c>
      <c r="H1959" s="16" t="s">
        <v>144</v>
      </c>
      <c r="I1959" s="22" t="s">
        <v>856</v>
      </c>
      <c r="J1959" s="16">
        <f>IFERROR(INDEX(Aux_HH!$J$4:$J$31,MATCH($H1959&amp;"|"&amp;$I1959,Aux_HH!$A$4:$A$31,0)),"")</f>
        <v>1.5</v>
      </c>
      <c r="K1959" s="16" t="s">
        <v>76</v>
      </c>
      <c r="L1959" s="16" t="str">
        <f>IF(COUNTIFS(Pessoas!$C$5:$C$44,$K1959,Pessoas!$G$5:$G$44,"Ativo")=0,"Equipe "&amp;$K1959,INDEX(Pessoas!$A$5:$A$44,_xludf.aggregate(15,6,(ROW(Pessoas!$A$5:$A$44)-4)/((Pessoas!$C$5:$C$44=$K1959)*(Pessoas!$G$5:$G$44="Ativo")),MOD(ROW()-6,MAX(1,COUNTIFS(Pessoas!$C$5:$C$44,$K1959,Pessoas!$G$5:$G$44,"Ativo")))+1)))</f>
        <v>Equipe Oficina Mecânica Central-Taisa</v>
      </c>
    </row>
    <row r="1960" spans="1:12" ht="15" customHeight="1" x14ac:dyDescent="0.4">
      <c r="A1960" s="25">
        <v>46597</v>
      </c>
      <c r="B1960" s="16">
        <v>48</v>
      </c>
      <c r="C1960" s="16">
        <v>4</v>
      </c>
      <c r="D1960" s="16">
        <v>7</v>
      </c>
      <c r="E1960" s="16" t="s">
        <v>1371</v>
      </c>
      <c r="F1960" s="16" t="s">
        <v>1346</v>
      </c>
      <c r="G1960" s="16" t="s">
        <v>158</v>
      </c>
      <c r="H1960" s="16" t="s">
        <v>144</v>
      </c>
      <c r="I1960" s="22" t="s">
        <v>856</v>
      </c>
      <c r="J1960" s="16">
        <f>IFERROR(INDEX(Aux_HH!$J$4:$J$31,MATCH($H1960&amp;"|"&amp;$I1960,Aux_HH!$A$4:$A$31,0)),"")</f>
        <v>1.5</v>
      </c>
      <c r="K1960" s="16" t="s">
        <v>76</v>
      </c>
      <c r="L1960" s="16" t="str">
        <f>IF(COUNTIFS(Pessoas!$C$5:$C$44,$K1960,Pessoas!$G$5:$G$44,"Ativo")=0,"Equipe "&amp;$K1960,INDEX(Pessoas!$A$5:$A$44,_xludf.aggregate(15,6,(ROW(Pessoas!$A$5:$A$44)-4)/((Pessoas!$C$5:$C$44=$K1960)*(Pessoas!$G$5:$G$44="Ativo")),MOD(ROW()-6,MAX(1,COUNTIFS(Pessoas!$C$5:$C$44,$K1960,Pessoas!$G$5:$G$44,"Ativo")))+1)))</f>
        <v>Equipe Oficina Mecânica Central-Taisa</v>
      </c>
    </row>
    <row r="1961" spans="1:12" ht="15" customHeight="1" x14ac:dyDescent="0.4">
      <c r="A1961" s="25">
        <v>46597</v>
      </c>
      <c r="B1961" s="16">
        <v>48</v>
      </c>
      <c r="C1961" s="16">
        <v>4</v>
      </c>
      <c r="D1961" s="16">
        <v>7</v>
      </c>
      <c r="E1961" s="16" t="s">
        <v>1371</v>
      </c>
      <c r="F1961" s="16" t="s">
        <v>1347</v>
      </c>
      <c r="G1961" s="16" t="s">
        <v>158</v>
      </c>
      <c r="H1961" s="16" t="s">
        <v>144</v>
      </c>
      <c r="I1961" s="22" t="s">
        <v>856</v>
      </c>
      <c r="J1961" s="16">
        <f>IFERROR(INDEX(Aux_HH!$J$4:$J$31,MATCH($H1961&amp;"|"&amp;$I1961,Aux_HH!$A$4:$A$31,0)),"")</f>
        <v>1.5</v>
      </c>
      <c r="K1961" s="16" t="s">
        <v>76</v>
      </c>
      <c r="L1961" s="16" t="str">
        <f>IF(COUNTIFS(Pessoas!$C$5:$C$44,$K1961,Pessoas!$G$5:$G$44,"Ativo")=0,"Equipe "&amp;$K1961,INDEX(Pessoas!$A$5:$A$44,_xludf.aggregate(15,6,(ROW(Pessoas!$A$5:$A$44)-4)/((Pessoas!$C$5:$C$44=$K1961)*(Pessoas!$G$5:$G$44="Ativo")),MOD(ROW()-6,MAX(1,COUNTIFS(Pessoas!$C$5:$C$44,$K1961,Pessoas!$G$5:$G$44,"Ativo")))+1)))</f>
        <v>Equipe Oficina Mecânica Central-Taisa</v>
      </c>
    </row>
    <row r="1962" spans="1:12" ht="15" customHeight="1" x14ac:dyDescent="0.4">
      <c r="A1962" s="25">
        <v>46597</v>
      </c>
      <c r="B1962" s="16">
        <v>48</v>
      </c>
      <c r="C1962" s="16">
        <v>4</v>
      </c>
      <c r="D1962" s="16">
        <v>7</v>
      </c>
      <c r="E1962" s="16" t="s">
        <v>1371</v>
      </c>
      <c r="F1962" s="16" t="s">
        <v>1348</v>
      </c>
      <c r="G1962" s="16" t="s">
        <v>158</v>
      </c>
      <c r="H1962" s="16" t="s">
        <v>144</v>
      </c>
      <c r="I1962" s="22" t="s">
        <v>856</v>
      </c>
      <c r="J1962" s="16">
        <f>IFERROR(INDEX(Aux_HH!$J$4:$J$31,MATCH($H1962&amp;"|"&amp;$I1962,Aux_HH!$A$4:$A$31,0)),"")</f>
        <v>1.5</v>
      </c>
      <c r="K1962" s="16" t="s">
        <v>76</v>
      </c>
      <c r="L1962" s="16" t="str">
        <f>IF(COUNTIFS(Pessoas!$C$5:$C$44,$K1962,Pessoas!$G$5:$G$44,"Ativo")=0,"Equipe "&amp;$K1962,INDEX(Pessoas!$A$5:$A$44,_xludf.aggregate(15,6,(ROW(Pessoas!$A$5:$A$44)-4)/((Pessoas!$C$5:$C$44=$K1962)*(Pessoas!$G$5:$G$44="Ativo")),MOD(ROW()-6,MAX(1,COUNTIFS(Pessoas!$C$5:$C$44,$K1962,Pessoas!$G$5:$G$44,"Ativo")))+1)))</f>
        <v>Equipe Oficina Mecânica Central-Taisa</v>
      </c>
    </row>
    <row r="1963" spans="1:12" ht="15" customHeight="1" x14ac:dyDescent="0.4">
      <c r="A1963" s="25">
        <v>46597</v>
      </c>
      <c r="B1963" s="16">
        <v>48</v>
      </c>
      <c r="C1963" s="16">
        <v>4</v>
      </c>
      <c r="D1963" s="16">
        <v>7</v>
      </c>
      <c r="E1963" s="16" t="s">
        <v>1371</v>
      </c>
      <c r="F1963" s="16" t="s">
        <v>1349</v>
      </c>
      <c r="G1963" s="16" t="s">
        <v>158</v>
      </c>
      <c r="H1963" s="16" t="s">
        <v>144</v>
      </c>
      <c r="I1963" s="22" t="s">
        <v>856</v>
      </c>
      <c r="J1963" s="16">
        <f>IFERROR(INDEX(Aux_HH!$J$4:$J$31,MATCH($H1963&amp;"|"&amp;$I1963,Aux_HH!$A$4:$A$31,0)),"")</f>
        <v>1.5</v>
      </c>
      <c r="K1963" s="16" t="s">
        <v>76</v>
      </c>
      <c r="L1963" s="16" t="str">
        <f>IF(COUNTIFS(Pessoas!$C$5:$C$44,$K1963,Pessoas!$G$5:$G$44,"Ativo")=0,"Equipe "&amp;$K1963,INDEX(Pessoas!$A$5:$A$44,_xludf.aggregate(15,6,(ROW(Pessoas!$A$5:$A$44)-4)/((Pessoas!$C$5:$C$44=$K1963)*(Pessoas!$G$5:$G$44="Ativo")),MOD(ROW()-6,MAX(1,COUNTIFS(Pessoas!$C$5:$C$44,$K1963,Pessoas!$G$5:$G$44,"Ativo")))+1)))</f>
        <v>Equipe Oficina Mecânica Central-Taisa</v>
      </c>
    </row>
    <row r="1964" spans="1:12" ht="15" customHeight="1" x14ac:dyDescent="0.4">
      <c r="A1964" s="25">
        <v>46597</v>
      </c>
      <c r="B1964" s="16">
        <v>48</v>
      </c>
      <c r="C1964" s="16">
        <v>4</v>
      </c>
      <c r="D1964" s="16">
        <v>7</v>
      </c>
      <c r="E1964" s="16" t="s">
        <v>1371</v>
      </c>
      <c r="F1964" s="16" t="s">
        <v>1350</v>
      </c>
      <c r="G1964" s="16" t="s">
        <v>158</v>
      </c>
      <c r="H1964" s="16" t="s">
        <v>144</v>
      </c>
      <c r="I1964" s="22" t="s">
        <v>856</v>
      </c>
      <c r="J1964" s="16">
        <f>IFERROR(INDEX(Aux_HH!$J$4:$J$31,MATCH($H1964&amp;"|"&amp;$I1964,Aux_HH!$A$4:$A$31,0)),"")</f>
        <v>1.5</v>
      </c>
      <c r="K1964" s="16" t="s">
        <v>76</v>
      </c>
      <c r="L1964" s="16" t="str">
        <f>IF(COUNTIFS(Pessoas!$C$5:$C$44,$K1964,Pessoas!$G$5:$G$44,"Ativo")=0,"Equipe "&amp;$K1964,INDEX(Pessoas!$A$5:$A$44,_xludf.aggregate(15,6,(ROW(Pessoas!$A$5:$A$44)-4)/((Pessoas!$C$5:$C$44=$K1964)*(Pessoas!$G$5:$G$44="Ativo")),MOD(ROW()-6,MAX(1,COUNTIFS(Pessoas!$C$5:$C$44,$K1964,Pessoas!$G$5:$G$44,"Ativo")))+1)))</f>
        <v>Equipe Oficina Mecânica Central-Taisa</v>
      </c>
    </row>
    <row r="1965" spans="1:12" ht="15" customHeight="1" x14ac:dyDescent="0.4">
      <c r="A1965" s="25">
        <v>46598</v>
      </c>
      <c r="B1965" s="16">
        <v>48</v>
      </c>
      <c r="C1965" s="16">
        <v>4</v>
      </c>
      <c r="D1965" s="16">
        <v>7</v>
      </c>
      <c r="E1965" s="16" t="s">
        <v>1371</v>
      </c>
      <c r="F1965" s="16" t="s">
        <v>1351</v>
      </c>
      <c r="G1965" s="16" t="s">
        <v>158</v>
      </c>
      <c r="H1965" s="16" t="s">
        <v>144</v>
      </c>
      <c r="I1965" s="22" t="s">
        <v>856</v>
      </c>
      <c r="J1965" s="16">
        <f>IFERROR(INDEX(Aux_HH!$J$4:$J$31,MATCH($H1965&amp;"|"&amp;$I1965,Aux_HH!$A$4:$A$31,0)),"")</f>
        <v>1.5</v>
      </c>
      <c r="K1965" s="16" t="s">
        <v>76</v>
      </c>
      <c r="L1965" s="16" t="str">
        <f>IF(COUNTIFS(Pessoas!$C$5:$C$44,$K1965,Pessoas!$G$5:$G$44,"Ativo")=0,"Equipe "&amp;$K1965,INDEX(Pessoas!$A$5:$A$44,_xludf.aggregate(15,6,(ROW(Pessoas!$A$5:$A$44)-4)/((Pessoas!$C$5:$C$44=$K1965)*(Pessoas!$G$5:$G$44="Ativo")),MOD(ROW()-6,MAX(1,COUNTIFS(Pessoas!$C$5:$C$44,$K1965,Pessoas!$G$5:$G$44,"Ativo")))+1)))</f>
        <v>Equipe Oficina Mecânica Central-Taisa</v>
      </c>
    </row>
    <row r="1966" spans="1:12" ht="15" customHeight="1" x14ac:dyDescent="0.4">
      <c r="A1966" s="25">
        <v>46598</v>
      </c>
      <c r="B1966" s="16">
        <v>48</v>
      </c>
      <c r="C1966" s="16">
        <v>4</v>
      </c>
      <c r="D1966" s="16">
        <v>7</v>
      </c>
      <c r="E1966" s="16" t="s">
        <v>1371</v>
      </c>
      <c r="F1966" s="16" t="s">
        <v>1352</v>
      </c>
      <c r="G1966" s="16" t="s">
        <v>158</v>
      </c>
      <c r="H1966" s="16" t="s">
        <v>144</v>
      </c>
      <c r="I1966" s="22" t="s">
        <v>856</v>
      </c>
      <c r="J1966" s="16">
        <f>IFERROR(INDEX(Aux_HH!$J$4:$J$31,MATCH($H1966&amp;"|"&amp;$I1966,Aux_HH!$A$4:$A$31,0)),"")</f>
        <v>1.5</v>
      </c>
      <c r="K1966" s="16" t="s">
        <v>76</v>
      </c>
      <c r="L1966" s="16" t="str">
        <f>IF(COUNTIFS(Pessoas!$C$5:$C$44,$K1966,Pessoas!$G$5:$G$44,"Ativo")=0,"Equipe "&amp;$K1966,INDEX(Pessoas!$A$5:$A$44,_xludf.aggregate(15,6,(ROW(Pessoas!$A$5:$A$44)-4)/((Pessoas!$C$5:$C$44=$K1966)*(Pessoas!$G$5:$G$44="Ativo")),MOD(ROW()-6,MAX(1,COUNTIFS(Pessoas!$C$5:$C$44,$K1966,Pessoas!$G$5:$G$44,"Ativo")))+1)))</f>
        <v>Equipe Oficina Mecânica Central-Taisa</v>
      </c>
    </row>
    <row r="1967" spans="1:12" ht="15" customHeight="1" x14ac:dyDescent="0.4">
      <c r="A1967" s="25">
        <v>46598</v>
      </c>
      <c r="B1967" s="16">
        <v>48</v>
      </c>
      <c r="C1967" s="16">
        <v>4</v>
      </c>
      <c r="D1967" s="16">
        <v>7</v>
      </c>
      <c r="E1967" s="16" t="s">
        <v>1371</v>
      </c>
      <c r="F1967" s="16" t="s">
        <v>1353</v>
      </c>
      <c r="G1967" s="16" t="s">
        <v>158</v>
      </c>
      <c r="H1967" s="16" t="s">
        <v>144</v>
      </c>
      <c r="I1967" s="22" t="s">
        <v>856</v>
      </c>
      <c r="J1967" s="16">
        <f>IFERROR(INDEX(Aux_HH!$J$4:$J$31,MATCH($H1967&amp;"|"&amp;$I1967,Aux_HH!$A$4:$A$31,0)),"")</f>
        <v>1.5</v>
      </c>
      <c r="K1967" s="16" t="s">
        <v>76</v>
      </c>
      <c r="L1967" s="16" t="str">
        <f>IF(COUNTIFS(Pessoas!$C$5:$C$44,$K1967,Pessoas!$G$5:$G$44,"Ativo")=0,"Equipe "&amp;$K1967,INDEX(Pessoas!$A$5:$A$44,_xludf.aggregate(15,6,(ROW(Pessoas!$A$5:$A$44)-4)/((Pessoas!$C$5:$C$44=$K1967)*(Pessoas!$G$5:$G$44="Ativo")),MOD(ROW()-6,MAX(1,COUNTIFS(Pessoas!$C$5:$C$44,$K1967,Pessoas!$G$5:$G$44,"Ativo")))+1)))</f>
        <v>Equipe Oficina Mecânica Central-Taisa</v>
      </c>
    </row>
    <row r="1968" spans="1:12" ht="15" customHeight="1" x14ac:dyDescent="0.4">
      <c r="A1968" s="25">
        <v>46598</v>
      </c>
      <c r="B1968" s="16">
        <v>48</v>
      </c>
      <c r="C1968" s="16">
        <v>4</v>
      </c>
      <c r="D1968" s="16">
        <v>7</v>
      </c>
      <c r="E1968" s="16" t="s">
        <v>1371</v>
      </c>
      <c r="F1968" s="16" t="s">
        <v>1354</v>
      </c>
      <c r="G1968" s="16" t="s">
        <v>158</v>
      </c>
      <c r="H1968" s="16" t="s">
        <v>144</v>
      </c>
      <c r="I1968" s="22" t="s">
        <v>856</v>
      </c>
      <c r="J1968" s="16">
        <f>IFERROR(INDEX(Aux_HH!$J$4:$J$31,MATCH($H1968&amp;"|"&amp;$I1968,Aux_HH!$A$4:$A$31,0)),"")</f>
        <v>1.5</v>
      </c>
      <c r="K1968" s="16" t="s">
        <v>76</v>
      </c>
      <c r="L1968" s="16" t="str">
        <f>IF(COUNTIFS(Pessoas!$C$5:$C$44,$K1968,Pessoas!$G$5:$G$44,"Ativo")=0,"Equipe "&amp;$K1968,INDEX(Pessoas!$A$5:$A$44,_xludf.aggregate(15,6,(ROW(Pessoas!$A$5:$A$44)-4)/((Pessoas!$C$5:$C$44=$K1968)*(Pessoas!$G$5:$G$44="Ativo")),MOD(ROW()-6,MAX(1,COUNTIFS(Pessoas!$C$5:$C$44,$K1968,Pessoas!$G$5:$G$44,"Ativo")))+1)))</f>
        <v>Equipe Oficina Mecânica Central-Taisa</v>
      </c>
    </row>
    <row r="1969" spans="1:12" ht="15" customHeight="1" x14ac:dyDescent="0.4">
      <c r="A1969" s="25">
        <v>46598</v>
      </c>
      <c r="B1969" s="16">
        <v>48</v>
      </c>
      <c r="C1969" s="16">
        <v>4</v>
      </c>
      <c r="D1969" s="16">
        <v>7</v>
      </c>
      <c r="E1969" s="16" t="s">
        <v>1371</v>
      </c>
      <c r="F1969" s="16" t="s">
        <v>1355</v>
      </c>
      <c r="G1969" s="16" t="s">
        <v>158</v>
      </c>
      <c r="H1969" s="16" t="s">
        <v>144</v>
      </c>
      <c r="I1969" s="22" t="s">
        <v>856</v>
      </c>
      <c r="J1969" s="16">
        <f>IFERROR(INDEX(Aux_HH!$J$4:$J$31,MATCH($H1969&amp;"|"&amp;$I1969,Aux_HH!$A$4:$A$31,0)),"")</f>
        <v>1.5</v>
      </c>
      <c r="K1969" s="16" t="s">
        <v>76</v>
      </c>
      <c r="L1969" s="16" t="str">
        <f>IF(COUNTIFS(Pessoas!$C$5:$C$44,$K1969,Pessoas!$G$5:$G$44,"Ativo")=0,"Equipe "&amp;$K1969,INDEX(Pessoas!$A$5:$A$44,_xludf.aggregate(15,6,(ROW(Pessoas!$A$5:$A$44)-4)/((Pessoas!$C$5:$C$44=$K1969)*(Pessoas!$G$5:$G$44="Ativo")),MOD(ROW()-6,MAX(1,COUNTIFS(Pessoas!$C$5:$C$44,$K1969,Pessoas!$G$5:$G$44,"Ativo")))+1)))</f>
        <v>Equipe Oficina Mecânica Central-Taisa</v>
      </c>
    </row>
    <row r="1970" spans="1:12" ht="15" customHeight="1" x14ac:dyDescent="0.4">
      <c r="A1970" s="25">
        <v>46598</v>
      </c>
      <c r="B1970" s="16">
        <v>48</v>
      </c>
      <c r="C1970" s="16">
        <v>4</v>
      </c>
      <c r="D1970" s="16">
        <v>7</v>
      </c>
      <c r="E1970" s="16" t="s">
        <v>1371</v>
      </c>
      <c r="F1970" s="16" t="s">
        <v>1356</v>
      </c>
      <c r="G1970" s="16" t="s">
        <v>448</v>
      </c>
      <c r="H1970" s="16" t="s">
        <v>144</v>
      </c>
      <c r="I1970" s="22" t="s">
        <v>856</v>
      </c>
      <c r="J1970" s="16">
        <f>IFERROR(INDEX(Aux_HH!$J$4:$J$31,MATCH($H1970&amp;"|"&amp;$I1970,Aux_HH!$A$4:$A$31,0)),"")</f>
        <v>1.5</v>
      </c>
      <c r="K1970" s="16" t="s">
        <v>76</v>
      </c>
      <c r="L1970" s="16" t="str">
        <f>IF(COUNTIFS(Pessoas!$C$5:$C$44,$K1970,Pessoas!$G$5:$G$44,"Ativo")=0,"Equipe "&amp;$K1970,INDEX(Pessoas!$A$5:$A$44,_xludf.aggregate(15,6,(ROW(Pessoas!$A$5:$A$44)-4)/((Pessoas!$C$5:$C$44=$K1970)*(Pessoas!$G$5:$G$44="Ativo")),MOD(ROW()-6,MAX(1,COUNTIFS(Pessoas!$C$5:$C$44,$K1970,Pessoas!$G$5:$G$44,"Ativo")))+1)))</f>
        <v>Equipe Oficina Mecânica Central-Taisa</v>
      </c>
    </row>
    <row r="1971" spans="1:12" ht="15" customHeight="1" x14ac:dyDescent="0.4">
      <c r="A1971" s="25">
        <v>46598</v>
      </c>
      <c r="B1971" s="16">
        <v>48</v>
      </c>
      <c r="C1971" s="16">
        <v>4</v>
      </c>
      <c r="D1971" s="16">
        <v>7</v>
      </c>
      <c r="E1971" s="16" t="s">
        <v>1371</v>
      </c>
      <c r="F1971" s="16" t="s">
        <v>1357</v>
      </c>
      <c r="G1971" s="16" t="s">
        <v>158</v>
      </c>
      <c r="H1971" s="16" t="s">
        <v>144</v>
      </c>
      <c r="I1971" s="22" t="s">
        <v>856</v>
      </c>
      <c r="J1971" s="16">
        <f>IFERROR(INDEX(Aux_HH!$J$4:$J$31,MATCH($H1971&amp;"|"&amp;$I1971,Aux_HH!$A$4:$A$31,0)),"")</f>
        <v>1.5</v>
      </c>
      <c r="K1971" s="16" t="s">
        <v>76</v>
      </c>
      <c r="L1971" s="16" t="str">
        <f>IF(COUNTIFS(Pessoas!$C$5:$C$44,$K1971,Pessoas!$G$5:$G$44,"Ativo")=0,"Equipe "&amp;$K1971,INDEX(Pessoas!$A$5:$A$44,_xludf.aggregate(15,6,(ROW(Pessoas!$A$5:$A$44)-4)/((Pessoas!$C$5:$C$44=$K1971)*(Pessoas!$G$5:$G$44="Ativo")),MOD(ROW()-6,MAX(1,COUNTIFS(Pessoas!$C$5:$C$44,$K1971,Pessoas!$G$5:$G$44,"Ativo")))+1)))</f>
        <v>Equipe Oficina Mecânica Central-Taisa</v>
      </c>
    </row>
    <row r="1972" spans="1:12" ht="15" customHeight="1" x14ac:dyDescent="0.4">
      <c r="A1972" s="25">
        <v>46598</v>
      </c>
      <c r="B1972" s="16">
        <v>48</v>
      </c>
      <c r="C1972" s="16">
        <v>4</v>
      </c>
      <c r="D1972" s="16">
        <v>7</v>
      </c>
      <c r="E1972" s="16" t="s">
        <v>1371</v>
      </c>
      <c r="F1972" s="16" t="s">
        <v>1358</v>
      </c>
      <c r="G1972" s="16" t="s">
        <v>158</v>
      </c>
      <c r="H1972" s="16" t="s">
        <v>144</v>
      </c>
      <c r="I1972" s="22" t="s">
        <v>856</v>
      </c>
      <c r="J1972" s="16">
        <f>IFERROR(INDEX(Aux_HH!$J$4:$J$31,MATCH($H1972&amp;"|"&amp;$I1972,Aux_HH!$A$4:$A$31,0)),"")</f>
        <v>1.5</v>
      </c>
      <c r="K1972" s="16" t="s">
        <v>76</v>
      </c>
      <c r="L1972" s="16" t="str">
        <f>IF(COUNTIFS(Pessoas!$C$5:$C$44,$K1972,Pessoas!$G$5:$G$44,"Ativo")=0,"Equipe "&amp;$K1972,INDEX(Pessoas!$A$5:$A$44,_xludf.aggregate(15,6,(ROW(Pessoas!$A$5:$A$44)-4)/((Pessoas!$C$5:$C$44=$K1972)*(Pessoas!$G$5:$G$44="Ativo")),MOD(ROW()-6,MAX(1,COUNTIFS(Pessoas!$C$5:$C$44,$K1972,Pessoas!$G$5:$G$44,"Ativo")))+1)))</f>
        <v>Equipe Oficina Mecânica Central-Taisa</v>
      </c>
    </row>
    <row r="1973" spans="1:12" ht="15" customHeight="1" x14ac:dyDescent="0.4">
      <c r="A1973" s="25">
        <v>46598</v>
      </c>
      <c r="B1973" s="16">
        <v>48</v>
      </c>
      <c r="C1973" s="16">
        <v>4</v>
      </c>
      <c r="D1973" s="16">
        <v>7</v>
      </c>
      <c r="E1973" s="16" t="s">
        <v>1371</v>
      </c>
      <c r="F1973" s="16" t="s">
        <v>1359</v>
      </c>
      <c r="G1973" s="16" t="s">
        <v>158</v>
      </c>
      <c r="H1973" s="16" t="s">
        <v>144</v>
      </c>
      <c r="I1973" s="22" t="s">
        <v>856</v>
      </c>
      <c r="J1973" s="16">
        <f>IFERROR(INDEX(Aux_HH!$J$4:$J$31,MATCH($H1973&amp;"|"&amp;$I1973,Aux_HH!$A$4:$A$31,0)),"")</f>
        <v>1.5</v>
      </c>
      <c r="K1973" s="16" t="s">
        <v>76</v>
      </c>
      <c r="L1973" s="16" t="str">
        <f>IF(COUNTIFS(Pessoas!$C$5:$C$44,$K1973,Pessoas!$G$5:$G$44,"Ativo")=0,"Equipe "&amp;$K1973,INDEX(Pessoas!$A$5:$A$44,_xludf.aggregate(15,6,(ROW(Pessoas!$A$5:$A$44)-4)/((Pessoas!$C$5:$C$44=$K1973)*(Pessoas!$G$5:$G$44="Ativo")),MOD(ROW()-6,MAX(1,COUNTIFS(Pessoas!$C$5:$C$44,$K1973,Pessoas!$G$5:$G$44,"Ativo")))+1)))</f>
        <v>Equipe Oficina Mecânica Central-Taisa</v>
      </c>
    </row>
    <row r="1974" spans="1:12" ht="15" customHeight="1" x14ac:dyDescent="0.4">
      <c r="A1974" s="25">
        <v>46598</v>
      </c>
      <c r="B1974" s="16">
        <v>48</v>
      </c>
      <c r="C1974" s="16">
        <v>4</v>
      </c>
      <c r="D1974" s="16">
        <v>7</v>
      </c>
      <c r="E1974" s="16" t="s">
        <v>1371</v>
      </c>
      <c r="F1974" s="16" t="s">
        <v>1360</v>
      </c>
      <c r="G1974" s="16" t="s">
        <v>158</v>
      </c>
      <c r="H1974" s="16" t="s">
        <v>144</v>
      </c>
      <c r="I1974" s="22" t="s">
        <v>856</v>
      </c>
      <c r="J1974" s="16">
        <f>IFERROR(INDEX(Aux_HH!$J$4:$J$31,MATCH($H1974&amp;"|"&amp;$I1974,Aux_HH!$A$4:$A$31,0)),"")</f>
        <v>1.5</v>
      </c>
      <c r="K1974" s="16" t="s">
        <v>76</v>
      </c>
      <c r="L1974" s="16" t="str">
        <f>IF(COUNTIFS(Pessoas!$C$5:$C$44,$K1974,Pessoas!$G$5:$G$44,"Ativo")=0,"Equipe "&amp;$K1974,INDEX(Pessoas!$A$5:$A$44,_xludf.aggregate(15,6,(ROW(Pessoas!$A$5:$A$44)-4)/((Pessoas!$C$5:$C$44=$K1974)*(Pessoas!$G$5:$G$44="Ativo")),MOD(ROW()-6,MAX(1,COUNTIFS(Pessoas!$C$5:$C$44,$K1974,Pessoas!$G$5:$G$44,"Ativo")))+1)))</f>
        <v>Equipe Oficina Mecânica Central-Taisa</v>
      </c>
    </row>
    <row r="1975" spans="1:12" ht="15" customHeight="1" x14ac:dyDescent="0.4">
      <c r="A1975" s="25">
        <v>46601</v>
      </c>
      <c r="B1975" s="16">
        <v>48</v>
      </c>
      <c r="C1975" s="16">
        <v>4</v>
      </c>
      <c r="D1975" s="16">
        <v>8</v>
      </c>
      <c r="E1975" s="16" t="s">
        <v>1371</v>
      </c>
      <c r="F1975" s="16" t="s">
        <v>1361</v>
      </c>
      <c r="G1975" s="16" t="s">
        <v>158</v>
      </c>
      <c r="H1975" s="16" t="s">
        <v>144</v>
      </c>
      <c r="I1975" s="22" t="s">
        <v>856</v>
      </c>
      <c r="J1975" s="16">
        <f>IFERROR(INDEX(Aux_HH!$J$4:$J$31,MATCH($H1975&amp;"|"&amp;$I1975,Aux_HH!$A$4:$A$31,0)),"")</f>
        <v>1.5</v>
      </c>
      <c r="K1975" s="16" t="s">
        <v>76</v>
      </c>
      <c r="L1975" s="16" t="str">
        <f>IF(COUNTIFS(Pessoas!$C$5:$C$44,$K1975,Pessoas!$G$5:$G$44,"Ativo")=0,"Equipe "&amp;$K1975,INDEX(Pessoas!$A$5:$A$44,_xludf.aggregate(15,6,(ROW(Pessoas!$A$5:$A$44)-4)/((Pessoas!$C$5:$C$44=$K1975)*(Pessoas!$G$5:$G$44="Ativo")),MOD(ROW()-6,MAX(1,COUNTIFS(Pessoas!$C$5:$C$44,$K1975,Pessoas!$G$5:$G$44,"Ativo")))+1)))</f>
        <v>Equipe Oficina Mecânica Central-Taisa</v>
      </c>
    </row>
    <row r="1976" spans="1:12" ht="15" customHeight="1" x14ac:dyDescent="0.4">
      <c r="A1976" s="25">
        <v>46601</v>
      </c>
      <c r="B1976" s="16">
        <v>48</v>
      </c>
      <c r="C1976" s="16">
        <v>4</v>
      </c>
      <c r="D1976" s="16">
        <v>8</v>
      </c>
      <c r="E1976" s="16" t="s">
        <v>1371</v>
      </c>
      <c r="F1976" s="16" t="s">
        <v>1362</v>
      </c>
      <c r="G1976" s="16" t="s">
        <v>158</v>
      </c>
      <c r="H1976" s="16" t="s">
        <v>144</v>
      </c>
      <c r="I1976" s="22" t="s">
        <v>856</v>
      </c>
      <c r="J1976" s="16">
        <f>IFERROR(INDEX(Aux_HH!$J$4:$J$31,MATCH($H1976&amp;"|"&amp;$I1976,Aux_HH!$A$4:$A$31,0)),"")</f>
        <v>1.5</v>
      </c>
      <c r="K1976" s="16" t="s">
        <v>76</v>
      </c>
      <c r="L1976" s="16" t="str">
        <f>IF(COUNTIFS(Pessoas!$C$5:$C$44,$K1976,Pessoas!$G$5:$G$44,"Ativo")=0,"Equipe "&amp;$K1976,INDEX(Pessoas!$A$5:$A$44,_xludf.aggregate(15,6,(ROW(Pessoas!$A$5:$A$44)-4)/((Pessoas!$C$5:$C$44=$K1976)*(Pessoas!$G$5:$G$44="Ativo")),MOD(ROW()-6,MAX(1,COUNTIFS(Pessoas!$C$5:$C$44,$K1976,Pessoas!$G$5:$G$44,"Ativo")))+1)))</f>
        <v>Equipe Oficina Mecânica Central-Taisa</v>
      </c>
    </row>
    <row r="1977" spans="1:12" ht="15" customHeight="1" x14ac:dyDescent="0.4">
      <c r="A1977" s="25">
        <v>46601</v>
      </c>
      <c r="B1977" s="16">
        <v>48</v>
      </c>
      <c r="C1977" s="16">
        <v>4</v>
      </c>
      <c r="D1977" s="16">
        <v>8</v>
      </c>
      <c r="E1977" s="16" t="s">
        <v>1371</v>
      </c>
      <c r="F1977" s="16" t="s">
        <v>1363</v>
      </c>
      <c r="G1977" s="16" t="s">
        <v>448</v>
      </c>
      <c r="H1977" s="16" t="s">
        <v>144</v>
      </c>
      <c r="I1977" s="22" t="s">
        <v>856</v>
      </c>
      <c r="J1977" s="16">
        <f>IFERROR(INDEX(Aux_HH!$J$4:$J$31,MATCH($H1977&amp;"|"&amp;$I1977,Aux_HH!$A$4:$A$31,0)),"")</f>
        <v>1.5</v>
      </c>
      <c r="K1977" s="16" t="s">
        <v>76</v>
      </c>
      <c r="L1977" s="16" t="str">
        <f>IF(COUNTIFS(Pessoas!$C$5:$C$44,$K1977,Pessoas!$G$5:$G$44,"Ativo")=0,"Equipe "&amp;$K1977,INDEX(Pessoas!$A$5:$A$44,_xludf.aggregate(15,6,(ROW(Pessoas!$A$5:$A$44)-4)/((Pessoas!$C$5:$C$44=$K1977)*(Pessoas!$G$5:$G$44="Ativo")),MOD(ROW()-6,MAX(1,COUNTIFS(Pessoas!$C$5:$C$44,$K1977,Pessoas!$G$5:$G$44,"Ativo")))+1)))</f>
        <v>Equipe Oficina Mecânica Central-Taisa</v>
      </c>
    </row>
    <row r="1978" spans="1:12" ht="15" customHeight="1" x14ac:dyDescent="0.4">
      <c r="A1978" s="25">
        <v>46601</v>
      </c>
      <c r="B1978" s="16">
        <v>48</v>
      </c>
      <c r="C1978" s="16">
        <v>4</v>
      </c>
      <c r="D1978" s="16">
        <v>8</v>
      </c>
      <c r="E1978" s="16" t="s">
        <v>1371</v>
      </c>
      <c r="F1978" s="16" t="s">
        <v>1364</v>
      </c>
      <c r="G1978" s="16" t="s">
        <v>158</v>
      </c>
      <c r="H1978" s="16" t="s">
        <v>144</v>
      </c>
      <c r="I1978" s="22" t="s">
        <v>856</v>
      </c>
      <c r="J1978" s="16">
        <f>IFERROR(INDEX(Aux_HH!$J$4:$J$31,MATCH($H1978&amp;"|"&amp;$I1978,Aux_HH!$A$4:$A$31,0)),"")</f>
        <v>1.5</v>
      </c>
      <c r="K1978" s="16" t="s">
        <v>76</v>
      </c>
      <c r="L1978" s="16" t="str">
        <f>IF(COUNTIFS(Pessoas!$C$5:$C$44,$K1978,Pessoas!$G$5:$G$44,"Ativo")=0,"Equipe "&amp;$K1978,INDEX(Pessoas!$A$5:$A$44,_xludf.aggregate(15,6,(ROW(Pessoas!$A$5:$A$44)-4)/((Pessoas!$C$5:$C$44=$K1978)*(Pessoas!$G$5:$G$44="Ativo")),MOD(ROW()-6,MAX(1,COUNTIFS(Pessoas!$C$5:$C$44,$K1978,Pessoas!$G$5:$G$44,"Ativo")))+1)))</f>
        <v>Equipe Oficina Mecânica Central-Taisa</v>
      </c>
    </row>
    <row r="1979" spans="1:12" ht="15" customHeight="1" x14ac:dyDescent="0.4">
      <c r="A1979" s="25">
        <v>46601</v>
      </c>
      <c r="B1979" s="16">
        <v>48</v>
      </c>
      <c r="C1979" s="16">
        <v>4</v>
      </c>
      <c r="D1979" s="16">
        <v>8</v>
      </c>
      <c r="E1979" s="16" t="s">
        <v>1371</v>
      </c>
      <c r="F1979" s="16" t="s">
        <v>1365</v>
      </c>
      <c r="G1979" s="16" t="s">
        <v>158</v>
      </c>
      <c r="H1979" s="16" t="s">
        <v>144</v>
      </c>
      <c r="I1979" s="22" t="s">
        <v>856</v>
      </c>
      <c r="J1979" s="16">
        <f>IFERROR(INDEX(Aux_HH!$J$4:$J$31,MATCH($H1979&amp;"|"&amp;$I1979,Aux_HH!$A$4:$A$31,0)),"")</f>
        <v>1.5</v>
      </c>
      <c r="K1979" s="16" t="s">
        <v>76</v>
      </c>
      <c r="L1979" s="16" t="str">
        <f>IF(COUNTIFS(Pessoas!$C$5:$C$44,$K1979,Pessoas!$G$5:$G$44,"Ativo")=0,"Equipe "&amp;$K1979,INDEX(Pessoas!$A$5:$A$44,_xludf.aggregate(15,6,(ROW(Pessoas!$A$5:$A$44)-4)/((Pessoas!$C$5:$C$44=$K1979)*(Pessoas!$G$5:$G$44="Ativo")),MOD(ROW()-6,MAX(1,COUNTIFS(Pessoas!$C$5:$C$44,$K1979,Pessoas!$G$5:$G$44,"Ativo")))+1)))</f>
        <v>Equipe Oficina Mecânica Central-Taisa</v>
      </c>
    </row>
    <row r="1980" spans="1:12" ht="15" customHeight="1" x14ac:dyDescent="0.4">
      <c r="A1980" s="25">
        <v>46601</v>
      </c>
      <c r="B1980" s="16">
        <v>48</v>
      </c>
      <c r="C1980" s="16">
        <v>4</v>
      </c>
      <c r="D1980" s="16">
        <v>8</v>
      </c>
      <c r="E1980" s="16" t="s">
        <v>1371</v>
      </c>
      <c r="F1980" s="16" t="s">
        <v>1366</v>
      </c>
      <c r="G1980" s="16" t="s">
        <v>158</v>
      </c>
      <c r="H1980" s="16" t="s">
        <v>144</v>
      </c>
      <c r="I1980" s="22" t="s">
        <v>856</v>
      </c>
      <c r="J1980" s="16">
        <f>IFERROR(INDEX(Aux_HH!$J$4:$J$31,MATCH($H1980&amp;"|"&amp;$I1980,Aux_HH!$A$4:$A$31,0)),"")</f>
        <v>1.5</v>
      </c>
      <c r="K1980" s="16" t="s">
        <v>76</v>
      </c>
      <c r="L1980" s="16" t="str">
        <f>IF(COUNTIFS(Pessoas!$C$5:$C$44,$K1980,Pessoas!$G$5:$G$44,"Ativo")=0,"Equipe "&amp;$K1980,INDEX(Pessoas!$A$5:$A$44,_xludf.aggregate(15,6,(ROW(Pessoas!$A$5:$A$44)-4)/((Pessoas!$C$5:$C$44=$K1980)*(Pessoas!$G$5:$G$44="Ativo")),MOD(ROW()-6,MAX(1,COUNTIFS(Pessoas!$C$5:$C$44,$K1980,Pessoas!$G$5:$G$44,"Ativo")))+1)))</f>
        <v>Equipe Oficina Mecânica Central-Taisa</v>
      </c>
    </row>
    <row r="1981" spans="1:12" ht="15" customHeight="1" x14ac:dyDescent="0.4">
      <c r="A1981" s="25">
        <v>46601</v>
      </c>
      <c r="B1981" s="16">
        <v>48</v>
      </c>
      <c r="C1981" s="16">
        <v>4</v>
      </c>
      <c r="D1981" s="16">
        <v>8</v>
      </c>
      <c r="E1981" s="16" t="s">
        <v>1371</v>
      </c>
      <c r="F1981" s="16" t="s">
        <v>1367</v>
      </c>
      <c r="G1981" s="16" t="s">
        <v>158</v>
      </c>
      <c r="H1981" s="16" t="s">
        <v>144</v>
      </c>
      <c r="I1981" s="22" t="s">
        <v>856</v>
      </c>
      <c r="J1981" s="16">
        <f>IFERROR(INDEX(Aux_HH!$J$4:$J$31,MATCH($H1981&amp;"|"&amp;$I1981,Aux_HH!$A$4:$A$31,0)),"")</f>
        <v>1.5</v>
      </c>
      <c r="K1981" s="16" t="s">
        <v>76</v>
      </c>
      <c r="L1981" s="16" t="str">
        <f>IF(COUNTIFS(Pessoas!$C$5:$C$44,$K1981,Pessoas!$G$5:$G$44,"Ativo")=0,"Equipe "&amp;$K1981,INDEX(Pessoas!$A$5:$A$44,_xludf.aggregate(15,6,(ROW(Pessoas!$A$5:$A$44)-4)/((Pessoas!$C$5:$C$44=$K1981)*(Pessoas!$G$5:$G$44="Ativo")),MOD(ROW()-6,MAX(1,COUNTIFS(Pessoas!$C$5:$C$44,$K1981,Pessoas!$G$5:$G$44,"Ativo")))+1)))</f>
        <v>Equipe Oficina Mecânica Central-Taisa</v>
      </c>
    </row>
    <row r="1982" spans="1:12" ht="15" customHeight="1" x14ac:dyDescent="0.4">
      <c r="A1982" s="25">
        <v>46601</v>
      </c>
      <c r="B1982" s="16">
        <v>48</v>
      </c>
      <c r="C1982" s="16">
        <v>4</v>
      </c>
      <c r="D1982" s="16">
        <v>8</v>
      </c>
      <c r="E1982" s="16" t="s">
        <v>1371</v>
      </c>
      <c r="F1982" s="16" t="s">
        <v>1368</v>
      </c>
      <c r="G1982" s="16" t="s">
        <v>158</v>
      </c>
      <c r="H1982" s="16" t="s">
        <v>144</v>
      </c>
      <c r="I1982" s="22" t="s">
        <v>856</v>
      </c>
      <c r="J1982" s="16">
        <f>IFERROR(INDEX(Aux_HH!$J$4:$J$31,MATCH($H1982&amp;"|"&amp;$I1982,Aux_HH!$A$4:$A$31,0)),"")</f>
        <v>1.5</v>
      </c>
      <c r="K1982" s="16" t="s">
        <v>76</v>
      </c>
      <c r="L1982" s="16" t="str">
        <f>IF(COUNTIFS(Pessoas!$C$5:$C$44,$K1982,Pessoas!$G$5:$G$44,"Ativo")=0,"Equipe "&amp;$K1982,INDEX(Pessoas!$A$5:$A$44,_xludf.aggregate(15,6,(ROW(Pessoas!$A$5:$A$44)-4)/((Pessoas!$C$5:$C$44=$K1982)*(Pessoas!$G$5:$G$44="Ativo")),MOD(ROW()-6,MAX(1,COUNTIFS(Pessoas!$C$5:$C$44,$K1982,Pessoas!$G$5:$G$44,"Ativo")))+1)))</f>
        <v>Equipe Oficina Mecânica Central-Taisa</v>
      </c>
    </row>
    <row r="1983" spans="1:12" ht="15" customHeight="1" x14ac:dyDescent="0.4">
      <c r="A1983" s="25">
        <v>46601</v>
      </c>
      <c r="B1983" s="16">
        <v>48</v>
      </c>
      <c r="C1983" s="16">
        <v>4</v>
      </c>
      <c r="D1983" s="16">
        <v>8</v>
      </c>
      <c r="E1983" s="16" t="s">
        <v>1371</v>
      </c>
      <c r="F1983" s="16" t="s">
        <v>1369</v>
      </c>
      <c r="G1983" s="16" t="s">
        <v>158</v>
      </c>
      <c r="H1983" s="16" t="s">
        <v>144</v>
      </c>
      <c r="I1983" s="22" t="s">
        <v>856</v>
      </c>
      <c r="J1983" s="16">
        <f>IFERROR(INDEX(Aux_HH!$J$4:$J$31,MATCH($H1983&amp;"|"&amp;$I1983,Aux_HH!$A$4:$A$31,0)),"")</f>
        <v>1.5</v>
      </c>
      <c r="K1983" s="16" t="s">
        <v>76</v>
      </c>
      <c r="L1983" s="16" t="str">
        <f>IF(COUNTIFS(Pessoas!$C$5:$C$44,$K1983,Pessoas!$G$5:$G$44,"Ativo")=0,"Equipe "&amp;$K1983,INDEX(Pessoas!$A$5:$A$44,_xludf.aggregate(15,6,(ROW(Pessoas!$A$5:$A$44)-4)/((Pessoas!$C$5:$C$44=$K1983)*(Pessoas!$G$5:$G$44="Ativo")),MOD(ROW()-6,MAX(1,COUNTIFS(Pessoas!$C$5:$C$44,$K1983,Pessoas!$G$5:$G$44,"Ativo")))+1)))</f>
        <v>Equipe Oficina Mecânica Central-Taisa</v>
      </c>
    </row>
    <row r="1984" spans="1:12" ht="15" customHeight="1" x14ac:dyDescent="0.4">
      <c r="A1984" s="25">
        <v>46601</v>
      </c>
      <c r="B1984" s="16">
        <v>48</v>
      </c>
      <c r="C1984" s="16">
        <v>4</v>
      </c>
      <c r="D1984" s="16">
        <v>8</v>
      </c>
      <c r="E1984" s="16" t="s">
        <v>1371</v>
      </c>
      <c r="F1984" s="16" t="s">
        <v>1370</v>
      </c>
      <c r="G1984" s="16" t="s">
        <v>158</v>
      </c>
      <c r="H1984" s="16" t="s">
        <v>144</v>
      </c>
      <c r="I1984" s="22" t="s">
        <v>856</v>
      </c>
      <c r="J1984" s="16">
        <f>IFERROR(INDEX(Aux_HH!$J$4:$J$31,MATCH($H1984&amp;"|"&amp;$I1984,Aux_HH!$A$4:$A$31,0)),"")</f>
        <v>1.5</v>
      </c>
      <c r="K1984" s="16" t="s">
        <v>76</v>
      </c>
      <c r="L1984" s="16" t="str">
        <f>IF(COUNTIFS(Pessoas!$C$5:$C$44,$K1984,Pessoas!$G$5:$G$44,"Ativo")=0,"Equipe "&amp;$K1984,INDEX(Pessoas!$A$5:$A$44,_xludf.aggregate(15,6,(ROW(Pessoas!$A$5:$A$44)-4)/((Pessoas!$C$5:$C$44=$K1984)*(Pessoas!$G$5:$G$44="Ativo")),MOD(ROW()-6,MAX(1,COUNTIFS(Pessoas!$C$5:$C$44,$K1984,Pessoas!$G$5:$G$44,"Ativo")))+1)))</f>
        <v>Equipe Oficina Mecânica Central-Taisa</v>
      </c>
    </row>
    <row r="1985" spans="1:12" ht="15" customHeight="1" x14ac:dyDescent="0.4">
      <c r="A1985" s="25">
        <v>46602</v>
      </c>
      <c r="B1985" s="16">
        <v>49</v>
      </c>
      <c r="C1985" s="16">
        <v>4</v>
      </c>
      <c r="D1985" s="16">
        <v>8</v>
      </c>
      <c r="E1985" s="16" t="s">
        <v>1371</v>
      </c>
      <c r="F1985" s="16" t="s">
        <v>992</v>
      </c>
      <c r="G1985" s="16" t="s">
        <v>184</v>
      </c>
      <c r="H1985" s="16" t="s">
        <v>138</v>
      </c>
      <c r="I1985" s="22" t="s">
        <v>856</v>
      </c>
      <c r="J1985" s="16">
        <f>IFERROR(INDEX(Aux_HH!$J$4:$J$31,MATCH($H1985&amp;"|"&amp;$I1985,Aux_HH!$A$4:$A$31,0)),"")</f>
        <v>3</v>
      </c>
      <c r="K1985" s="16" t="s">
        <v>76</v>
      </c>
      <c r="L1985" s="16" t="str">
        <f>IF(COUNTIFS(Pessoas!$C$5:$C$44,$K1985,Pessoas!$G$5:$G$44,"Ativo")=0,"Equipe "&amp;$K1985,INDEX(Pessoas!$A$5:$A$44,_xludf.aggregate(15,6,(ROW(Pessoas!$A$5:$A$44)-4)/((Pessoas!$C$5:$C$44=$K1985)*(Pessoas!$G$5:$G$44="Ativo")),MOD(ROW()-6,MAX(1,COUNTIFS(Pessoas!$C$5:$C$44,$K1985,Pessoas!$G$5:$G$44,"Ativo")))+1)))</f>
        <v>Equipe Oficina Mecânica Central-Taisa</v>
      </c>
    </row>
    <row r="1986" spans="1:12" ht="15" customHeight="1" x14ac:dyDescent="0.4">
      <c r="A1986" s="25">
        <v>46602</v>
      </c>
      <c r="B1986" s="16">
        <v>49</v>
      </c>
      <c r="C1986" s="16">
        <v>4</v>
      </c>
      <c r="D1986" s="16">
        <v>8</v>
      </c>
      <c r="E1986" s="16" t="s">
        <v>1371</v>
      </c>
      <c r="F1986" s="16" t="s">
        <v>1125</v>
      </c>
      <c r="G1986" s="16" t="s">
        <v>526</v>
      </c>
      <c r="H1986" s="16" t="s">
        <v>140</v>
      </c>
      <c r="I1986" s="22" t="s">
        <v>861</v>
      </c>
      <c r="J1986" s="16">
        <f>IFERROR(INDEX(Aux_HH!$J$4:$J$31,MATCH($H1986&amp;"|"&amp;$I1986,Aux_HH!$A$4:$A$31,0)),"")</f>
        <v>4.5</v>
      </c>
      <c r="K1986" s="16" t="s">
        <v>76</v>
      </c>
      <c r="L1986" s="16" t="str">
        <f>IF(COUNTIFS(Pessoas!$C$5:$C$44,$K1986,Pessoas!$G$5:$G$44,"Ativo")=0,"Equipe "&amp;$K1986,INDEX(Pessoas!$A$5:$A$44,_xludf.aggregate(15,6,(ROW(Pessoas!$A$5:$A$44)-4)/((Pessoas!$C$5:$C$44=$K1986)*(Pessoas!$G$5:$G$44="Ativo")),MOD(ROW()-6,MAX(1,COUNTIFS(Pessoas!$C$5:$C$44,$K1986,Pessoas!$G$5:$G$44,"Ativo")))+1)))</f>
        <v>Equipe Oficina Mecânica Central-Taisa</v>
      </c>
    </row>
    <row r="1987" spans="1:12" ht="15" customHeight="1" x14ac:dyDescent="0.4">
      <c r="A1987" s="25">
        <v>46602</v>
      </c>
      <c r="B1987" s="16">
        <v>49</v>
      </c>
      <c r="C1987" s="16">
        <v>4</v>
      </c>
      <c r="D1987" s="16">
        <v>8</v>
      </c>
      <c r="E1987" s="16" t="s">
        <v>1371</v>
      </c>
      <c r="F1987" s="16" t="s">
        <v>1126</v>
      </c>
      <c r="G1987" s="16" t="s">
        <v>526</v>
      </c>
      <c r="H1987" s="16" t="s">
        <v>140</v>
      </c>
      <c r="I1987" s="22" t="s">
        <v>861</v>
      </c>
      <c r="J1987" s="16">
        <f>IFERROR(INDEX(Aux_HH!$J$4:$J$31,MATCH($H1987&amp;"|"&amp;$I1987,Aux_HH!$A$4:$A$31,0)),"")</f>
        <v>4.5</v>
      </c>
      <c r="K1987" s="16" t="s">
        <v>76</v>
      </c>
      <c r="L1987" s="16" t="str">
        <f>IF(COUNTIFS(Pessoas!$C$5:$C$44,$K1987,Pessoas!$G$5:$G$44,"Ativo")=0,"Equipe "&amp;$K1987,INDEX(Pessoas!$A$5:$A$44,_xludf.aggregate(15,6,(ROW(Pessoas!$A$5:$A$44)-4)/((Pessoas!$C$5:$C$44=$K1987)*(Pessoas!$G$5:$G$44="Ativo")),MOD(ROW()-6,MAX(1,COUNTIFS(Pessoas!$C$5:$C$44,$K1987,Pessoas!$G$5:$G$44,"Ativo")))+1)))</f>
        <v>Equipe Oficina Mecânica Central-Taisa</v>
      </c>
    </row>
    <row r="1988" spans="1:12" ht="15" customHeight="1" x14ac:dyDescent="0.4">
      <c r="A1988" s="25">
        <v>46602</v>
      </c>
      <c r="B1988" s="16">
        <v>49</v>
      </c>
      <c r="C1988" s="16">
        <v>4</v>
      </c>
      <c r="D1988" s="16">
        <v>8</v>
      </c>
      <c r="E1988" s="16" t="s">
        <v>1371</v>
      </c>
      <c r="F1988" s="16" t="s">
        <v>1127</v>
      </c>
      <c r="G1988" s="16" t="s">
        <v>184</v>
      </c>
      <c r="H1988" s="16" t="s">
        <v>140</v>
      </c>
      <c r="I1988" s="22" t="s">
        <v>861</v>
      </c>
      <c r="J1988" s="16">
        <f>IFERROR(INDEX(Aux_HH!$J$4:$J$31,MATCH($H1988&amp;"|"&amp;$I1988,Aux_HH!$A$4:$A$31,0)),"")</f>
        <v>4.5</v>
      </c>
      <c r="K1988" s="16" t="s">
        <v>76</v>
      </c>
      <c r="L1988" s="16" t="str">
        <f>IF(COUNTIFS(Pessoas!$C$5:$C$44,$K1988,Pessoas!$G$5:$G$44,"Ativo")=0,"Equipe "&amp;$K1988,INDEX(Pessoas!$A$5:$A$44,_xludf.aggregate(15,6,(ROW(Pessoas!$A$5:$A$44)-4)/((Pessoas!$C$5:$C$44=$K1988)*(Pessoas!$G$5:$G$44="Ativo")),MOD(ROW()-6,MAX(1,COUNTIFS(Pessoas!$C$5:$C$44,$K1988,Pessoas!$G$5:$G$44,"Ativo")))+1)))</f>
        <v>Equipe Oficina Mecânica Central-Taisa</v>
      </c>
    </row>
    <row r="1989" spans="1:12" ht="15" customHeight="1" x14ac:dyDescent="0.4">
      <c r="A1989" s="25">
        <v>46602</v>
      </c>
      <c r="B1989" s="16">
        <v>49</v>
      </c>
      <c r="C1989" s="16">
        <v>4</v>
      </c>
      <c r="D1989" s="16">
        <v>8</v>
      </c>
      <c r="E1989" s="16" t="s">
        <v>1371</v>
      </c>
      <c r="F1989" s="16" t="s">
        <v>1128</v>
      </c>
      <c r="G1989" s="16" t="s">
        <v>184</v>
      </c>
      <c r="H1989" s="16" t="s">
        <v>140</v>
      </c>
      <c r="I1989" s="22" t="s">
        <v>861</v>
      </c>
      <c r="J1989" s="16">
        <f>IFERROR(INDEX(Aux_HH!$J$4:$J$31,MATCH($H1989&amp;"|"&amp;$I1989,Aux_HH!$A$4:$A$31,0)),"")</f>
        <v>4.5</v>
      </c>
      <c r="K1989" s="16" t="s">
        <v>76</v>
      </c>
      <c r="L1989" s="16" t="str">
        <f>IF(COUNTIFS(Pessoas!$C$5:$C$44,$K1989,Pessoas!$G$5:$G$44,"Ativo")=0,"Equipe "&amp;$K1989,INDEX(Pessoas!$A$5:$A$44,_xludf.aggregate(15,6,(ROW(Pessoas!$A$5:$A$44)-4)/((Pessoas!$C$5:$C$44=$K1989)*(Pessoas!$G$5:$G$44="Ativo")),MOD(ROW()-6,MAX(1,COUNTIFS(Pessoas!$C$5:$C$44,$K1989,Pessoas!$G$5:$G$44,"Ativo")))+1)))</f>
        <v>Equipe Oficina Mecânica Central-Taisa</v>
      </c>
    </row>
    <row r="1990" spans="1:12" ht="15" customHeight="1" x14ac:dyDescent="0.4">
      <c r="A1990" s="25">
        <v>46602</v>
      </c>
      <c r="B1990" s="16">
        <v>49</v>
      </c>
      <c r="C1990" s="16">
        <v>4</v>
      </c>
      <c r="D1990" s="16">
        <v>8</v>
      </c>
      <c r="E1990" s="16" t="s">
        <v>1371</v>
      </c>
      <c r="F1990" s="16" t="s">
        <v>1129</v>
      </c>
      <c r="G1990" s="16" t="s">
        <v>184</v>
      </c>
      <c r="H1990" s="16" t="s">
        <v>140</v>
      </c>
      <c r="I1990" s="22" t="s">
        <v>861</v>
      </c>
      <c r="J1990" s="16">
        <f>IFERROR(INDEX(Aux_HH!$J$4:$J$31,MATCH($H1990&amp;"|"&amp;$I1990,Aux_HH!$A$4:$A$31,0)),"")</f>
        <v>4.5</v>
      </c>
      <c r="K1990" s="16" t="s">
        <v>76</v>
      </c>
      <c r="L1990" s="16" t="str">
        <f>IF(COUNTIFS(Pessoas!$C$5:$C$44,$K1990,Pessoas!$G$5:$G$44,"Ativo")=0,"Equipe "&amp;$K1990,INDEX(Pessoas!$A$5:$A$44,_xludf.aggregate(15,6,(ROW(Pessoas!$A$5:$A$44)-4)/((Pessoas!$C$5:$C$44=$K1990)*(Pessoas!$G$5:$G$44="Ativo")),MOD(ROW()-6,MAX(1,COUNTIFS(Pessoas!$C$5:$C$44,$K1990,Pessoas!$G$5:$G$44,"Ativo")))+1)))</f>
        <v>Equipe Oficina Mecânica Central-Taisa</v>
      </c>
    </row>
    <row r="1991" spans="1:12" ht="15" customHeight="1" x14ac:dyDescent="0.4">
      <c r="A1991" s="25">
        <v>46602</v>
      </c>
      <c r="B1991" s="16">
        <v>49</v>
      </c>
      <c r="C1991" s="16">
        <v>4</v>
      </c>
      <c r="D1991" s="16">
        <v>8</v>
      </c>
      <c r="E1991" s="16" t="s">
        <v>1371</v>
      </c>
      <c r="F1991" s="16" t="s">
        <v>1130</v>
      </c>
      <c r="G1991" s="16" t="s">
        <v>184</v>
      </c>
      <c r="H1991" s="16" t="s">
        <v>140</v>
      </c>
      <c r="I1991" s="22" t="s">
        <v>861</v>
      </c>
      <c r="J1991" s="16">
        <f>IFERROR(INDEX(Aux_HH!$J$4:$J$31,MATCH($H1991&amp;"|"&amp;$I1991,Aux_HH!$A$4:$A$31,0)),"")</f>
        <v>4.5</v>
      </c>
      <c r="K1991" s="16" t="s">
        <v>76</v>
      </c>
      <c r="L1991" s="16" t="str">
        <f>IF(COUNTIFS(Pessoas!$C$5:$C$44,$K1991,Pessoas!$G$5:$G$44,"Ativo")=0,"Equipe "&amp;$K1991,INDEX(Pessoas!$A$5:$A$44,_xludf.aggregate(15,6,(ROW(Pessoas!$A$5:$A$44)-4)/((Pessoas!$C$5:$C$44=$K1991)*(Pessoas!$G$5:$G$44="Ativo")),MOD(ROW()-6,MAX(1,COUNTIFS(Pessoas!$C$5:$C$44,$K1991,Pessoas!$G$5:$G$44,"Ativo")))+1)))</f>
        <v>Equipe Oficina Mecânica Central-Taisa</v>
      </c>
    </row>
    <row r="1992" spans="1:12" ht="15" customHeight="1" x14ac:dyDescent="0.4">
      <c r="A1992" s="25">
        <v>46602</v>
      </c>
      <c r="B1992" s="16">
        <v>49</v>
      </c>
      <c r="C1992" s="16">
        <v>4</v>
      </c>
      <c r="D1992" s="16">
        <v>8</v>
      </c>
      <c r="E1992" s="16" t="s">
        <v>1371</v>
      </c>
      <c r="F1992" s="16" t="s">
        <v>1131</v>
      </c>
      <c r="G1992" s="16" t="s">
        <v>526</v>
      </c>
      <c r="H1992" s="16" t="s">
        <v>140</v>
      </c>
      <c r="I1992" s="22" t="s">
        <v>861</v>
      </c>
      <c r="J1992" s="16">
        <f>IFERROR(INDEX(Aux_HH!$J$4:$J$31,MATCH($H1992&amp;"|"&amp;$I1992,Aux_HH!$A$4:$A$31,0)),"")</f>
        <v>4.5</v>
      </c>
      <c r="K1992" s="16" t="s">
        <v>76</v>
      </c>
      <c r="L1992" s="16" t="str">
        <f>IF(COUNTIFS(Pessoas!$C$5:$C$44,$K1992,Pessoas!$G$5:$G$44,"Ativo")=0,"Equipe "&amp;$K1992,INDEX(Pessoas!$A$5:$A$44,_xludf.aggregate(15,6,(ROW(Pessoas!$A$5:$A$44)-4)/((Pessoas!$C$5:$C$44=$K1992)*(Pessoas!$G$5:$G$44="Ativo")),MOD(ROW()-6,MAX(1,COUNTIFS(Pessoas!$C$5:$C$44,$K1992,Pessoas!$G$5:$G$44,"Ativo")))+1)))</f>
        <v>Equipe Oficina Mecânica Central-Taisa</v>
      </c>
    </row>
    <row r="1993" spans="1:12" ht="15" customHeight="1" x14ac:dyDescent="0.4">
      <c r="A1993" s="25">
        <v>46602</v>
      </c>
      <c r="B1993" s="16">
        <v>49</v>
      </c>
      <c r="C1993" s="16">
        <v>4</v>
      </c>
      <c r="D1993" s="16">
        <v>8</v>
      </c>
      <c r="E1993" s="16" t="s">
        <v>1371</v>
      </c>
      <c r="F1993" s="16" t="s">
        <v>1132</v>
      </c>
      <c r="G1993" s="16" t="s">
        <v>184</v>
      </c>
      <c r="H1993" s="16" t="s">
        <v>140</v>
      </c>
      <c r="I1993" s="22" t="s">
        <v>861</v>
      </c>
      <c r="J1993" s="16">
        <f>IFERROR(INDEX(Aux_HH!$J$4:$J$31,MATCH($H1993&amp;"|"&amp;$I1993,Aux_HH!$A$4:$A$31,0)),"")</f>
        <v>4.5</v>
      </c>
      <c r="K1993" s="16" t="s">
        <v>76</v>
      </c>
      <c r="L1993" s="16" t="str">
        <f>IF(COUNTIFS(Pessoas!$C$5:$C$44,$K1993,Pessoas!$G$5:$G$44,"Ativo")=0,"Equipe "&amp;$K1993,INDEX(Pessoas!$A$5:$A$44,_xludf.aggregate(15,6,(ROW(Pessoas!$A$5:$A$44)-4)/((Pessoas!$C$5:$C$44=$K1993)*(Pessoas!$G$5:$G$44="Ativo")),MOD(ROW()-6,MAX(1,COUNTIFS(Pessoas!$C$5:$C$44,$K1993,Pessoas!$G$5:$G$44,"Ativo")))+1)))</f>
        <v>Equipe Oficina Mecânica Central-Taisa</v>
      </c>
    </row>
    <row r="1994" spans="1:12" ht="15" customHeight="1" x14ac:dyDescent="0.4">
      <c r="A1994" s="25">
        <v>46602</v>
      </c>
      <c r="B1994" s="16">
        <v>49</v>
      </c>
      <c r="C1994" s="16">
        <v>4</v>
      </c>
      <c r="D1994" s="16">
        <v>8</v>
      </c>
      <c r="E1994" s="16" t="s">
        <v>1371</v>
      </c>
      <c r="F1994" s="16" t="s">
        <v>1133</v>
      </c>
      <c r="G1994" s="16" t="s">
        <v>526</v>
      </c>
      <c r="H1994" s="16" t="s">
        <v>140</v>
      </c>
      <c r="I1994" s="22" t="s">
        <v>861</v>
      </c>
      <c r="J1994" s="16">
        <f>IFERROR(INDEX(Aux_HH!$J$4:$J$31,MATCH($H1994&amp;"|"&amp;$I1994,Aux_HH!$A$4:$A$31,0)),"")</f>
        <v>4.5</v>
      </c>
      <c r="K1994" s="16" t="s">
        <v>76</v>
      </c>
      <c r="L1994" s="16" t="str">
        <f>IF(COUNTIFS(Pessoas!$C$5:$C$44,$K1994,Pessoas!$G$5:$G$44,"Ativo")=0,"Equipe "&amp;$K1994,INDEX(Pessoas!$A$5:$A$44,_xludf.aggregate(15,6,(ROW(Pessoas!$A$5:$A$44)-4)/((Pessoas!$C$5:$C$44=$K1994)*(Pessoas!$G$5:$G$44="Ativo")),MOD(ROW()-6,MAX(1,COUNTIFS(Pessoas!$C$5:$C$44,$K1994,Pessoas!$G$5:$G$44,"Ativo")))+1)))</f>
        <v>Equipe Oficina Mecânica Central-Taisa</v>
      </c>
    </row>
    <row r="1995" spans="1:12" ht="15" customHeight="1" x14ac:dyDescent="0.4">
      <c r="A1995" s="25">
        <v>46602</v>
      </c>
      <c r="B1995" s="16">
        <v>49</v>
      </c>
      <c r="C1995" s="16">
        <v>4</v>
      </c>
      <c r="D1995" s="16">
        <v>8</v>
      </c>
      <c r="E1995" s="16" t="s">
        <v>1371</v>
      </c>
      <c r="F1995" s="16" t="s">
        <v>1134</v>
      </c>
      <c r="G1995" s="16" t="s">
        <v>526</v>
      </c>
      <c r="H1995" s="16" t="s">
        <v>140</v>
      </c>
      <c r="I1995" s="22" t="s">
        <v>861</v>
      </c>
      <c r="J1995" s="16">
        <f>IFERROR(INDEX(Aux_HH!$J$4:$J$31,MATCH($H1995&amp;"|"&amp;$I1995,Aux_HH!$A$4:$A$31,0)),"")</f>
        <v>4.5</v>
      </c>
      <c r="K1995" s="16" t="s">
        <v>76</v>
      </c>
      <c r="L1995" s="16" t="str">
        <f>IF(COUNTIFS(Pessoas!$C$5:$C$44,$K1995,Pessoas!$G$5:$G$44,"Ativo")=0,"Equipe "&amp;$K1995,INDEX(Pessoas!$A$5:$A$44,_xludf.aggregate(15,6,(ROW(Pessoas!$A$5:$A$44)-4)/((Pessoas!$C$5:$C$44=$K1995)*(Pessoas!$G$5:$G$44="Ativo")),MOD(ROW()-6,MAX(1,COUNTIFS(Pessoas!$C$5:$C$44,$K1995,Pessoas!$G$5:$G$44,"Ativo")))+1)))</f>
        <v>Equipe Oficina Mecânica Central-Taisa</v>
      </c>
    </row>
    <row r="1996" spans="1:12" ht="15" customHeight="1" x14ac:dyDescent="0.4">
      <c r="A1996" s="25">
        <v>46602</v>
      </c>
      <c r="B1996" s="16">
        <v>49</v>
      </c>
      <c r="C1996" s="16">
        <v>4</v>
      </c>
      <c r="D1996" s="16">
        <v>8</v>
      </c>
      <c r="E1996" s="16" t="s">
        <v>1371</v>
      </c>
      <c r="F1996" s="16" t="s">
        <v>1135</v>
      </c>
      <c r="G1996" s="16" t="s">
        <v>526</v>
      </c>
      <c r="H1996" s="16" t="s">
        <v>140</v>
      </c>
      <c r="I1996" s="22" t="s">
        <v>861</v>
      </c>
      <c r="J1996" s="16">
        <f>IFERROR(INDEX(Aux_HH!$J$4:$J$31,MATCH($H1996&amp;"|"&amp;$I1996,Aux_HH!$A$4:$A$31,0)),"")</f>
        <v>4.5</v>
      </c>
      <c r="K1996" s="16" t="s">
        <v>76</v>
      </c>
      <c r="L1996" s="16" t="str">
        <f>IF(COUNTIFS(Pessoas!$C$5:$C$44,$K1996,Pessoas!$G$5:$G$44,"Ativo")=0,"Equipe "&amp;$K1996,INDEX(Pessoas!$A$5:$A$44,_xludf.aggregate(15,6,(ROW(Pessoas!$A$5:$A$44)-4)/((Pessoas!$C$5:$C$44=$K1996)*(Pessoas!$G$5:$G$44="Ativo")),MOD(ROW()-6,MAX(1,COUNTIFS(Pessoas!$C$5:$C$44,$K1996,Pessoas!$G$5:$G$44,"Ativo")))+1)))</f>
        <v>Equipe Oficina Mecânica Central-Taisa</v>
      </c>
    </row>
    <row r="1997" spans="1:12" ht="15" customHeight="1" x14ac:dyDescent="0.4">
      <c r="A1997" s="25">
        <v>46602</v>
      </c>
      <c r="B1997" s="16">
        <v>49</v>
      </c>
      <c r="C1997" s="16">
        <v>4</v>
      </c>
      <c r="D1997" s="16">
        <v>8</v>
      </c>
      <c r="E1997" s="16" t="s">
        <v>1371</v>
      </c>
      <c r="F1997" s="16" t="s">
        <v>1136</v>
      </c>
      <c r="G1997" s="16" t="s">
        <v>526</v>
      </c>
      <c r="H1997" s="16" t="s">
        <v>140</v>
      </c>
      <c r="I1997" s="22" t="s">
        <v>861</v>
      </c>
      <c r="J1997" s="16">
        <f>IFERROR(INDEX(Aux_HH!$J$4:$J$31,MATCH($H1997&amp;"|"&amp;$I1997,Aux_HH!$A$4:$A$31,0)),"")</f>
        <v>4.5</v>
      </c>
      <c r="K1997" s="16" t="s">
        <v>76</v>
      </c>
      <c r="L1997" s="16" t="str">
        <f>IF(COUNTIFS(Pessoas!$C$5:$C$44,$K1997,Pessoas!$G$5:$G$44,"Ativo")=0,"Equipe "&amp;$K1997,INDEX(Pessoas!$A$5:$A$44,_xludf.aggregate(15,6,(ROW(Pessoas!$A$5:$A$44)-4)/((Pessoas!$C$5:$C$44=$K1997)*(Pessoas!$G$5:$G$44="Ativo")),MOD(ROW()-6,MAX(1,COUNTIFS(Pessoas!$C$5:$C$44,$K1997,Pessoas!$G$5:$G$44,"Ativo")))+1)))</f>
        <v>Equipe Oficina Mecânica Central-Taisa</v>
      </c>
    </row>
    <row r="1998" spans="1:12" ht="15" customHeight="1" x14ac:dyDescent="0.4">
      <c r="A1998" s="25">
        <v>46602</v>
      </c>
      <c r="B1998" s="16">
        <v>49</v>
      </c>
      <c r="C1998" s="16">
        <v>4</v>
      </c>
      <c r="D1998" s="16">
        <v>8</v>
      </c>
      <c r="E1998" s="16" t="s">
        <v>1371</v>
      </c>
      <c r="F1998" s="16" t="s">
        <v>1158</v>
      </c>
      <c r="G1998" s="16" t="s">
        <v>526</v>
      </c>
      <c r="H1998" s="16" t="s">
        <v>140</v>
      </c>
      <c r="I1998" s="22" t="s">
        <v>861</v>
      </c>
      <c r="J1998" s="16">
        <f>IFERROR(INDEX(Aux_HH!$J$4:$J$31,MATCH($H1998&amp;"|"&amp;$I1998,Aux_HH!$A$4:$A$31,0)),"")</f>
        <v>4.5</v>
      </c>
      <c r="K1998" s="16" t="s">
        <v>76</v>
      </c>
      <c r="L1998" s="16" t="str">
        <f>IF(COUNTIFS(Pessoas!$C$5:$C$44,$K1998,Pessoas!$G$5:$G$44,"Ativo")=0,"Equipe "&amp;$K1998,INDEX(Pessoas!$A$5:$A$44,_xludf.aggregate(15,6,(ROW(Pessoas!$A$5:$A$44)-4)/((Pessoas!$C$5:$C$44=$K1998)*(Pessoas!$G$5:$G$44="Ativo")),MOD(ROW()-6,MAX(1,COUNTIFS(Pessoas!$C$5:$C$44,$K1998,Pessoas!$G$5:$G$44,"Ativo")))+1)))</f>
        <v>Equipe Oficina Mecânica Central-Taisa</v>
      </c>
    </row>
    <row r="1999" spans="1:12" ht="15" customHeight="1" x14ac:dyDescent="0.4">
      <c r="A1999" s="25">
        <v>46602</v>
      </c>
      <c r="B1999" s="16">
        <v>49</v>
      </c>
      <c r="C1999" s="16">
        <v>4</v>
      </c>
      <c r="D1999" s="16">
        <v>8</v>
      </c>
      <c r="E1999" s="16" t="s">
        <v>1371</v>
      </c>
      <c r="F1999" s="16" t="s">
        <v>1159</v>
      </c>
      <c r="G1999" s="16" t="s">
        <v>526</v>
      </c>
      <c r="H1999" s="16" t="s">
        <v>140</v>
      </c>
      <c r="I1999" s="22" t="s">
        <v>861</v>
      </c>
      <c r="J1999" s="16">
        <f>IFERROR(INDEX(Aux_HH!$J$4:$J$31,MATCH($H1999&amp;"|"&amp;$I1999,Aux_HH!$A$4:$A$31,0)),"")</f>
        <v>4.5</v>
      </c>
      <c r="K1999" s="16" t="s">
        <v>76</v>
      </c>
      <c r="L1999" s="16" t="str">
        <f>IF(COUNTIFS(Pessoas!$C$5:$C$44,$K1999,Pessoas!$G$5:$G$44,"Ativo")=0,"Equipe "&amp;$K1999,INDEX(Pessoas!$A$5:$A$44,_xludf.aggregate(15,6,(ROW(Pessoas!$A$5:$A$44)-4)/((Pessoas!$C$5:$C$44=$K1999)*(Pessoas!$G$5:$G$44="Ativo")),MOD(ROW()-6,MAX(1,COUNTIFS(Pessoas!$C$5:$C$44,$K1999,Pessoas!$G$5:$G$44,"Ativo")))+1)))</f>
        <v>Equipe Oficina Mecânica Central-Taisa</v>
      </c>
    </row>
    <row r="2000" spans="1:12" ht="15" customHeight="1" x14ac:dyDescent="0.4">
      <c r="A2000" s="25">
        <v>46602</v>
      </c>
      <c r="B2000" s="16">
        <v>49</v>
      </c>
      <c r="C2000" s="16">
        <v>4</v>
      </c>
      <c r="D2000" s="16">
        <v>8</v>
      </c>
      <c r="E2000" s="16" t="s">
        <v>1371</v>
      </c>
      <c r="F2000" s="16" t="s">
        <v>1160</v>
      </c>
      <c r="G2000" s="16" t="s">
        <v>526</v>
      </c>
      <c r="H2000" s="16" t="s">
        <v>140</v>
      </c>
      <c r="I2000" s="22" t="s">
        <v>861</v>
      </c>
      <c r="J2000" s="16">
        <f>IFERROR(INDEX(Aux_HH!$J$4:$J$31,MATCH($H2000&amp;"|"&amp;$I2000,Aux_HH!$A$4:$A$31,0)),"")</f>
        <v>4.5</v>
      </c>
      <c r="K2000" s="16" t="s">
        <v>76</v>
      </c>
      <c r="L2000" s="16" t="str">
        <f>IF(COUNTIFS(Pessoas!$C$5:$C$44,$K2000,Pessoas!$G$5:$G$44,"Ativo")=0,"Equipe "&amp;$K2000,INDEX(Pessoas!$A$5:$A$44,_xludf.aggregate(15,6,(ROW(Pessoas!$A$5:$A$44)-4)/((Pessoas!$C$5:$C$44=$K2000)*(Pessoas!$G$5:$G$44="Ativo")),MOD(ROW()-6,MAX(1,COUNTIFS(Pessoas!$C$5:$C$44,$K2000,Pessoas!$G$5:$G$44,"Ativo")))+1)))</f>
        <v>Equipe Oficina Mecânica Central-Taisa</v>
      </c>
    </row>
    <row r="2001" spans="1:12" ht="15" customHeight="1" x14ac:dyDescent="0.4">
      <c r="A2001" s="25">
        <v>46602</v>
      </c>
      <c r="B2001" s="16">
        <v>49</v>
      </c>
      <c r="C2001" s="16">
        <v>4</v>
      </c>
      <c r="D2001" s="16">
        <v>8</v>
      </c>
      <c r="E2001" s="16" t="s">
        <v>1371</v>
      </c>
      <c r="F2001" s="16" t="s">
        <v>1161</v>
      </c>
      <c r="G2001" s="16" t="s">
        <v>526</v>
      </c>
      <c r="H2001" s="16" t="s">
        <v>140</v>
      </c>
      <c r="I2001" s="22" t="s">
        <v>861</v>
      </c>
      <c r="J2001" s="16">
        <f>IFERROR(INDEX(Aux_HH!$J$4:$J$31,MATCH($H2001&amp;"|"&amp;$I2001,Aux_HH!$A$4:$A$31,0)),"")</f>
        <v>4.5</v>
      </c>
      <c r="K2001" s="16" t="s">
        <v>76</v>
      </c>
      <c r="L2001" s="16" t="str">
        <f>IF(COUNTIFS(Pessoas!$C$5:$C$44,$K2001,Pessoas!$G$5:$G$44,"Ativo")=0,"Equipe "&amp;$K2001,INDEX(Pessoas!$A$5:$A$44,_xludf.aggregate(15,6,(ROW(Pessoas!$A$5:$A$44)-4)/((Pessoas!$C$5:$C$44=$K2001)*(Pessoas!$G$5:$G$44="Ativo")),MOD(ROW()-6,MAX(1,COUNTIFS(Pessoas!$C$5:$C$44,$K2001,Pessoas!$G$5:$G$44,"Ativo")))+1)))</f>
        <v>Equipe Oficina Mecânica Central-Taisa</v>
      </c>
    </row>
    <row r="2002" spans="1:12" ht="15" customHeight="1" x14ac:dyDescent="0.4">
      <c r="A2002" s="25">
        <v>46602</v>
      </c>
      <c r="B2002" s="16">
        <v>49</v>
      </c>
      <c r="C2002" s="16">
        <v>4</v>
      </c>
      <c r="D2002" s="16">
        <v>8</v>
      </c>
      <c r="E2002" s="16" t="s">
        <v>1371</v>
      </c>
      <c r="F2002" s="16" t="s">
        <v>1164</v>
      </c>
      <c r="G2002" s="16" t="s">
        <v>184</v>
      </c>
      <c r="H2002" s="16" t="s">
        <v>140</v>
      </c>
      <c r="I2002" s="22" t="s">
        <v>861</v>
      </c>
      <c r="J2002" s="16">
        <f>IFERROR(INDEX(Aux_HH!$J$4:$J$31,MATCH($H2002&amp;"|"&amp;$I2002,Aux_HH!$A$4:$A$31,0)),"")</f>
        <v>4.5</v>
      </c>
      <c r="K2002" s="16" t="s">
        <v>76</v>
      </c>
      <c r="L2002" s="16" t="str">
        <f>IF(COUNTIFS(Pessoas!$C$5:$C$44,$K2002,Pessoas!$G$5:$G$44,"Ativo")=0,"Equipe "&amp;$K2002,INDEX(Pessoas!$A$5:$A$44,_xludf.aggregate(15,6,(ROW(Pessoas!$A$5:$A$44)-4)/((Pessoas!$C$5:$C$44=$K2002)*(Pessoas!$G$5:$G$44="Ativo")),MOD(ROW()-6,MAX(1,COUNTIFS(Pessoas!$C$5:$C$44,$K2002,Pessoas!$G$5:$G$44,"Ativo")))+1)))</f>
        <v>Equipe Oficina Mecânica Central-Taisa</v>
      </c>
    </row>
    <row r="2003" spans="1:12" ht="15" customHeight="1" x14ac:dyDescent="0.4">
      <c r="A2003" s="25">
        <v>46602</v>
      </c>
      <c r="B2003" s="16">
        <v>49</v>
      </c>
      <c r="C2003" s="16">
        <v>4</v>
      </c>
      <c r="D2003" s="16">
        <v>8</v>
      </c>
      <c r="E2003" s="16" t="s">
        <v>1371</v>
      </c>
      <c r="F2003" s="16" t="s">
        <v>1165</v>
      </c>
      <c r="G2003" s="16" t="s">
        <v>184</v>
      </c>
      <c r="H2003" s="16" t="s">
        <v>140</v>
      </c>
      <c r="I2003" s="22" t="s">
        <v>861</v>
      </c>
      <c r="J2003" s="16">
        <f>IFERROR(INDEX(Aux_HH!$J$4:$J$31,MATCH($H2003&amp;"|"&amp;$I2003,Aux_HH!$A$4:$A$31,0)),"")</f>
        <v>4.5</v>
      </c>
      <c r="K2003" s="16" t="s">
        <v>76</v>
      </c>
      <c r="L2003" s="16" t="str">
        <f>IF(COUNTIFS(Pessoas!$C$5:$C$44,$K2003,Pessoas!$G$5:$G$44,"Ativo")=0,"Equipe "&amp;$K2003,INDEX(Pessoas!$A$5:$A$44,_xludf.aggregate(15,6,(ROW(Pessoas!$A$5:$A$44)-4)/((Pessoas!$C$5:$C$44=$K2003)*(Pessoas!$G$5:$G$44="Ativo")),MOD(ROW()-6,MAX(1,COUNTIFS(Pessoas!$C$5:$C$44,$K2003,Pessoas!$G$5:$G$44,"Ativo")))+1)))</f>
        <v>Equipe Oficina Mecânica Central-Taisa</v>
      </c>
    </row>
    <row r="2004" spans="1:12" ht="15" customHeight="1" x14ac:dyDescent="0.4">
      <c r="A2004" s="25">
        <v>46602</v>
      </c>
      <c r="B2004" s="16">
        <v>49</v>
      </c>
      <c r="C2004" s="16">
        <v>4</v>
      </c>
      <c r="D2004" s="16">
        <v>8</v>
      </c>
      <c r="E2004" s="16" t="s">
        <v>1371</v>
      </c>
      <c r="F2004" s="16" t="s">
        <v>1166</v>
      </c>
      <c r="G2004" s="16" t="s">
        <v>526</v>
      </c>
      <c r="H2004" s="16" t="s">
        <v>140</v>
      </c>
      <c r="I2004" s="22" t="s">
        <v>861</v>
      </c>
      <c r="J2004" s="16">
        <f>IFERROR(INDEX(Aux_HH!$J$4:$J$31,MATCH($H2004&amp;"|"&amp;$I2004,Aux_HH!$A$4:$A$31,0)),"")</f>
        <v>4.5</v>
      </c>
      <c r="K2004" s="16" t="s">
        <v>76</v>
      </c>
      <c r="L2004" s="16" t="str">
        <f>IF(COUNTIFS(Pessoas!$C$5:$C$44,$K2004,Pessoas!$G$5:$G$44,"Ativo")=0,"Equipe "&amp;$K2004,INDEX(Pessoas!$A$5:$A$44,_xludf.aggregate(15,6,(ROW(Pessoas!$A$5:$A$44)-4)/((Pessoas!$C$5:$C$44=$K2004)*(Pessoas!$G$5:$G$44="Ativo")),MOD(ROW()-6,MAX(1,COUNTIFS(Pessoas!$C$5:$C$44,$K2004,Pessoas!$G$5:$G$44,"Ativo")))+1)))</f>
        <v>Equipe Oficina Mecânica Central-Taisa</v>
      </c>
    </row>
    <row r="2005" spans="1:12" ht="15" customHeight="1" x14ac:dyDescent="0.4">
      <c r="A2005" s="25">
        <v>46602</v>
      </c>
      <c r="B2005" s="16">
        <v>49</v>
      </c>
      <c r="C2005" s="16">
        <v>4</v>
      </c>
      <c r="D2005" s="16">
        <v>8</v>
      </c>
      <c r="E2005" s="16" t="s">
        <v>1371</v>
      </c>
      <c r="F2005" s="16" t="s">
        <v>1167</v>
      </c>
      <c r="G2005" s="16" t="s">
        <v>526</v>
      </c>
      <c r="H2005" s="16" t="s">
        <v>140</v>
      </c>
      <c r="I2005" s="22" t="s">
        <v>861</v>
      </c>
      <c r="J2005" s="16">
        <f>IFERROR(INDEX(Aux_HH!$J$4:$J$31,MATCH($H2005&amp;"|"&amp;$I2005,Aux_HH!$A$4:$A$31,0)),"")</f>
        <v>4.5</v>
      </c>
      <c r="K2005" s="16" t="s">
        <v>76</v>
      </c>
      <c r="L2005" s="16" t="str">
        <f>IF(COUNTIFS(Pessoas!$C$5:$C$44,$K2005,Pessoas!$G$5:$G$44,"Ativo")=0,"Equipe "&amp;$K2005,INDEX(Pessoas!$A$5:$A$44,_xludf.aggregate(15,6,(ROW(Pessoas!$A$5:$A$44)-4)/((Pessoas!$C$5:$C$44=$K2005)*(Pessoas!$G$5:$G$44="Ativo")),MOD(ROW()-6,MAX(1,COUNTIFS(Pessoas!$C$5:$C$44,$K2005,Pessoas!$G$5:$G$44,"Ativo")))+1)))</f>
        <v>Equipe Oficina Mecânica Central-Taisa</v>
      </c>
    </row>
    <row r="2006" spans="1:12" ht="15" customHeight="1" x14ac:dyDescent="0.4">
      <c r="A2006" s="25">
        <v>46602</v>
      </c>
      <c r="B2006" s="16">
        <v>49</v>
      </c>
      <c r="C2006" s="16">
        <v>4</v>
      </c>
      <c r="D2006" s="16">
        <v>8</v>
      </c>
      <c r="E2006" s="16" t="s">
        <v>1371</v>
      </c>
      <c r="F2006" s="16" t="s">
        <v>1168</v>
      </c>
      <c r="G2006" s="16" t="s">
        <v>526</v>
      </c>
      <c r="H2006" s="16" t="s">
        <v>140</v>
      </c>
      <c r="I2006" s="22" t="s">
        <v>861</v>
      </c>
      <c r="J2006" s="16">
        <f>IFERROR(INDEX(Aux_HH!$J$4:$J$31,MATCH($H2006&amp;"|"&amp;$I2006,Aux_HH!$A$4:$A$31,0)),"")</f>
        <v>4.5</v>
      </c>
      <c r="K2006" s="16" t="s">
        <v>76</v>
      </c>
      <c r="L2006" s="16" t="str">
        <f>IF(COUNTIFS(Pessoas!$C$5:$C$44,$K2006,Pessoas!$G$5:$G$44,"Ativo")=0,"Equipe "&amp;$K2006,INDEX(Pessoas!$A$5:$A$44,_xludf.aggregate(15,6,(ROW(Pessoas!$A$5:$A$44)-4)/((Pessoas!$C$5:$C$44=$K2006)*(Pessoas!$G$5:$G$44="Ativo")),MOD(ROW()-6,MAX(1,COUNTIFS(Pessoas!$C$5:$C$44,$K2006,Pessoas!$G$5:$G$44,"Ativo")))+1)))</f>
        <v>Equipe Oficina Mecânica Central-Taisa</v>
      </c>
    </row>
    <row r="2007" spans="1:12" ht="15" customHeight="1" x14ac:dyDescent="0.4">
      <c r="A2007" s="25">
        <v>46603</v>
      </c>
      <c r="B2007" s="16">
        <v>49</v>
      </c>
      <c r="C2007" s="16">
        <v>4</v>
      </c>
      <c r="D2007" s="16">
        <v>8</v>
      </c>
      <c r="E2007" s="16" t="s">
        <v>1371</v>
      </c>
      <c r="F2007" s="16" t="s">
        <v>993</v>
      </c>
      <c r="G2007" s="16" t="s">
        <v>184</v>
      </c>
      <c r="H2007" s="16" t="s">
        <v>138</v>
      </c>
      <c r="I2007" s="22" t="s">
        <v>856</v>
      </c>
      <c r="J2007" s="16">
        <f>IFERROR(INDEX(Aux_HH!$J$4:$J$31,MATCH($H2007&amp;"|"&amp;$I2007,Aux_HH!$A$4:$A$31,0)),"")</f>
        <v>3</v>
      </c>
      <c r="K2007" s="16" t="s">
        <v>76</v>
      </c>
      <c r="L2007" s="16" t="str">
        <f>IF(COUNTIFS(Pessoas!$C$5:$C$44,$K2007,Pessoas!$G$5:$G$44,"Ativo")=0,"Equipe "&amp;$K2007,INDEX(Pessoas!$A$5:$A$44,_xludf.aggregate(15,6,(ROW(Pessoas!$A$5:$A$44)-4)/((Pessoas!$C$5:$C$44=$K2007)*(Pessoas!$G$5:$G$44="Ativo")),MOD(ROW()-6,MAX(1,COUNTIFS(Pessoas!$C$5:$C$44,$K2007,Pessoas!$G$5:$G$44,"Ativo")))+1)))</f>
        <v>Equipe Oficina Mecânica Central-Taisa</v>
      </c>
    </row>
    <row r="2008" spans="1:12" ht="15" customHeight="1" x14ac:dyDescent="0.4">
      <c r="A2008" s="25">
        <v>46603</v>
      </c>
      <c r="B2008" s="16">
        <v>49</v>
      </c>
      <c r="C2008" s="16">
        <v>4</v>
      </c>
      <c r="D2008" s="16">
        <v>8</v>
      </c>
      <c r="E2008" s="16" t="s">
        <v>1371</v>
      </c>
      <c r="F2008" s="16" t="s">
        <v>1170</v>
      </c>
      <c r="G2008" s="16" t="s">
        <v>526</v>
      </c>
      <c r="H2008" s="16" t="s">
        <v>140</v>
      </c>
      <c r="I2008" s="22" t="s">
        <v>861</v>
      </c>
      <c r="J2008" s="16">
        <f>IFERROR(INDEX(Aux_HH!$J$4:$J$31,MATCH($H2008&amp;"|"&amp;$I2008,Aux_HH!$A$4:$A$31,0)),"")</f>
        <v>4.5</v>
      </c>
      <c r="K2008" s="16" t="s">
        <v>76</v>
      </c>
      <c r="L2008" s="16" t="str">
        <f>IF(COUNTIFS(Pessoas!$C$5:$C$44,$K2008,Pessoas!$G$5:$G$44,"Ativo")=0,"Equipe "&amp;$K2008,INDEX(Pessoas!$A$5:$A$44,_xludf.aggregate(15,6,(ROW(Pessoas!$A$5:$A$44)-4)/((Pessoas!$C$5:$C$44=$K2008)*(Pessoas!$G$5:$G$44="Ativo")),MOD(ROW()-6,MAX(1,COUNTIFS(Pessoas!$C$5:$C$44,$K2008,Pessoas!$G$5:$G$44,"Ativo")))+1)))</f>
        <v>Equipe Oficina Mecânica Central-Taisa</v>
      </c>
    </row>
    <row r="2009" spans="1:12" ht="15" customHeight="1" x14ac:dyDescent="0.4">
      <c r="A2009" s="25">
        <v>46603</v>
      </c>
      <c r="B2009" s="16">
        <v>49</v>
      </c>
      <c r="C2009" s="16">
        <v>4</v>
      </c>
      <c r="D2009" s="16">
        <v>8</v>
      </c>
      <c r="E2009" s="16" t="s">
        <v>1371</v>
      </c>
      <c r="F2009" s="16" t="s">
        <v>1171</v>
      </c>
      <c r="G2009" s="16" t="s">
        <v>526</v>
      </c>
      <c r="H2009" s="16" t="s">
        <v>140</v>
      </c>
      <c r="I2009" s="22" t="s">
        <v>861</v>
      </c>
      <c r="J2009" s="16">
        <f>IFERROR(INDEX(Aux_HH!$J$4:$J$31,MATCH($H2009&amp;"|"&amp;$I2009,Aux_HH!$A$4:$A$31,0)),"")</f>
        <v>4.5</v>
      </c>
      <c r="K2009" s="16" t="s">
        <v>76</v>
      </c>
      <c r="L2009" s="16" t="str">
        <f>IF(COUNTIFS(Pessoas!$C$5:$C$44,$K2009,Pessoas!$G$5:$G$44,"Ativo")=0,"Equipe "&amp;$K2009,INDEX(Pessoas!$A$5:$A$44,_xludf.aggregate(15,6,(ROW(Pessoas!$A$5:$A$44)-4)/((Pessoas!$C$5:$C$44=$K2009)*(Pessoas!$G$5:$G$44="Ativo")),MOD(ROW()-6,MAX(1,COUNTIFS(Pessoas!$C$5:$C$44,$K2009,Pessoas!$G$5:$G$44,"Ativo")))+1)))</f>
        <v>Equipe Oficina Mecânica Central-Taisa</v>
      </c>
    </row>
    <row r="2010" spans="1:12" ht="15" customHeight="1" x14ac:dyDescent="0.4">
      <c r="A2010" s="25">
        <v>46603</v>
      </c>
      <c r="B2010" s="16">
        <v>49</v>
      </c>
      <c r="C2010" s="16">
        <v>4</v>
      </c>
      <c r="D2010" s="16">
        <v>8</v>
      </c>
      <c r="E2010" s="16" t="s">
        <v>1371</v>
      </c>
      <c r="F2010" s="16" t="s">
        <v>1172</v>
      </c>
      <c r="G2010" s="16" t="s">
        <v>526</v>
      </c>
      <c r="H2010" s="16" t="s">
        <v>140</v>
      </c>
      <c r="I2010" s="22" t="s">
        <v>861</v>
      </c>
      <c r="J2010" s="16">
        <f>IFERROR(INDEX(Aux_HH!$J$4:$J$31,MATCH($H2010&amp;"|"&amp;$I2010,Aux_HH!$A$4:$A$31,0)),"")</f>
        <v>4.5</v>
      </c>
      <c r="K2010" s="16" t="s">
        <v>76</v>
      </c>
      <c r="L2010" s="16" t="str">
        <f>IF(COUNTIFS(Pessoas!$C$5:$C$44,$K2010,Pessoas!$G$5:$G$44,"Ativo")=0,"Equipe "&amp;$K2010,INDEX(Pessoas!$A$5:$A$44,_xludf.aggregate(15,6,(ROW(Pessoas!$A$5:$A$44)-4)/((Pessoas!$C$5:$C$44=$K2010)*(Pessoas!$G$5:$G$44="Ativo")),MOD(ROW()-6,MAX(1,COUNTIFS(Pessoas!$C$5:$C$44,$K2010,Pessoas!$G$5:$G$44,"Ativo")))+1)))</f>
        <v>Equipe Oficina Mecânica Central-Taisa</v>
      </c>
    </row>
    <row r="2011" spans="1:12" ht="15" customHeight="1" x14ac:dyDescent="0.4">
      <c r="A2011" s="25">
        <v>46603</v>
      </c>
      <c r="B2011" s="16">
        <v>49</v>
      </c>
      <c r="C2011" s="16">
        <v>4</v>
      </c>
      <c r="D2011" s="16">
        <v>8</v>
      </c>
      <c r="E2011" s="16" t="s">
        <v>1371</v>
      </c>
      <c r="F2011" s="16" t="s">
        <v>1173</v>
      </c>
      <c r="G2011" s="16" t="s">
        <v>184</v>
      </c>
      <c r="H2011" s="16" t="s">
        <v>140</v>
      </c>
      <c r="I2011" s="22" t="s">
        <v>861</v>
      </c>
      <c r="J2011" s="16">
        <f>IFERROR(INDEX(Aux_HH!$J$4:$J$31,MATCH($H2011&amp;"|"&amp;$I2011,Aux_HH!$A$4:$A$31,0)),"")</f>
        <v>4.5</v>
      </c>
      <c r="K2011" s="16" t="s">
        <v>76</v>
      </c>
      <c r="L2011" s="16" t="str">
        <f>IF(COUNTIFS(Pessoas!$C$5:$C$44,$K2011,Pessoas!$G$5:$G$44,"Ativo")=0,"Equipe "&amp;$K2011,INDEX(Pessoas!$A$5:$A$44,_xludf.aggregate(15,6,(ROW(Pessoas!$A$5:$A$44)-4)/((Pessoas!$C$5:$C$44=$K2011)*(Pessoas!$G$5:$G$44="Ativo")),MOD(ROW()-6,MAX(1,COUNTIFS(Pessoas!$C$5:$C$44,$K2011,Pessoas!$G$5:$G$44,"Ativo")))+1)))</f>
        <v>Equipe Oficina Mecânica Central-Taisa</v>
      </c>
    </row>
    <row r="2012" spans="1:12" ht="15" customHeight="1" x14ac:dyDescent="0.4">
      <c r="A2012" s="25">
        <v>46603</v>
      </c>
      <c r="B2012" s="16">
        <v>49</v>
      </c>
      <c r="C2012" s="16">
        <v>4</v>
      </c>
      <c r="D2012" s="16">
        <v>8</v>
      </c>
      <c r="E2012" s="16" t="s">
        <v>1371</v>
      </c>
      <c r="F2012" s="16" t="s">
        <v>1174</v>
      </c>
      <c r="G2012" s="16" t="s">
        <v>526</v>
      </c>
      <c r="H2012" s="16" t="s">
        <v>140</v>
      </c>
      <c r="I2012" s="22" t="s">
        <v>861</v>
      </c>
      <c r="J2012" s="16">
        <f>IFERROR(INDEX(Aux_HH!$J$4:$J$31,MATCH($H2012&amp;"|"&amp;$I2012,Aux_HH!$A$4:$A$31,0)),"")</f>
        <v>4.5</v>
      </c>
      <c r="K2012" s="16" t="s">
        <v>76</v>
      </c>
      <c r="L2012" s="16" t="str">
        <f>IF(COUNTIFS(Pessoas!$C$5:$C$44,$K2012,Pessoas!$G$5:$G$44,"Ativo")=0,"Equipe "&amp;$K2012,INDEX(Pessoas!$A$5:$A$44,_xludf.aggregate(15,6,(ROW(Pessoas!$A$5:$A$44)-4)/((Pessoas!$C$5:$C$44=$K2012)*(Pessoas!$G$5:$G$44="Ativo")),MOD(ROW()-6,MAX(1,COUNTIFS(Pessoas!$C$5:$C$44,$K2012,Pessoas!$G$5:$G$44,"Ativo")))+1)))</f>
        <v>Equipe Oficina Mecânica Central-Taisa</v>
      </c>
    </row>
    <row r="2013" spans="1:12" ht="15" customHeight="1" x14ac:dyDescent="0.4">
      <c r="A2013" s="25">
        <v>46603</v>
      </c>
      <c r="B2013" s="16">
        <v>49</v>
      </c>
      <c r="C2013" s="16">
        <v>4</v>
      </c>
      <c r="D2013" s="16">
        <v>8</v>
      </c>
      <c r="E2013" s="16" t="s">
        <v>1371</v>
      </c>
      <c r="F2013" s="16" t="s">
        <v>1175</v>
      </c>
      <c r="G2013" s="16" t="s">
        <v>184</v>
      </c>
      <c r="H2013" s="16" t="s">
        <v>140</v>
      </c>
      <c r="I2013" s="22" t="s">
        <v>861</v>
      </c>
      <c r="J2013" s="16">
        <f>IFERROR(INDEX(Aux_HH!$J$4:$J$31,MATCH($H2013&amp;"|"&amp;$I2013,Aux_HH!$A$4:$A$31,0)),"")</f>
        <v>4.5</v>
      </c>
      <c r="K2013" s="16" t="s">
        <v>76</v>
      </c>
      <c r="L2013" s="16" t="str">
        <f>IF(COUNTIFS(Pessoas!$C$5:$C$44,$K2013,Pessoas!$G$5:$G$44,"Ativo")=0,"Equipe "&amp;$K2013,INDEX(Pessoas!$A$5:$A$44,_xludf.aggregate(15,6,(ROW(Pessoas!$A$5:$A$44)-4)/((Pessoas!$C$5:$C$44=$K2013)*(Pessoas!$G$5:$G$44="Ativo")),MOD(ROW()-6,MAX(1,COUNTIFS(Pessoas!$C$5:$C$44,$K2013,Pessoas!$G$5:$G$44,"Ativo")))+1)))</f>
        <v>Equipe Oficina Mecânica Central-Taisa</v>
      </c>
    </row>
    <row r="2014" spans="1:12" ht="15" customHeight="1" x14ac:dyDescent="0.4">
      <c r="A2014" s="25">
        <v>46603</v>
      </c>
      <c r="B2014" s="16">
        <v>49</v>
      </c>
      <c r="C2014" s="16">
        <v>4</v>
      </c>
      <c r="D2014" s="16">
        <v>8</v>
      </c>
      <c r="E2014" s="16" t="s">
        <v>1371</v>
      </c>
      <c r="F2014" s="16" t="s">
        <v>1176</v>
      </c>
      <c r="G2014" s="16" t="s">
        <v>526</v>
      </c>
      <c r="H2014" s="16" t="s">
        <v>140</v>
      </c>
      <c r="I2014" s="22" t="s">
        <v>861</v>
      </c>
      <c r="J2014" s="16">
        <f>IFERROR(INDEX(Aux_HH!$J$4:$J$31,MATCH($H2014&amp;"|"&amp;$I2014,Aux_HH!$A$4:$A$31,0)),"")</f>
        <v>4.5</v>
      </c>
      <c r="K2014" s="16" t="s">
        <v>76</v>
      </c>
      <c r="L2014" s="16" t="str">
        <f>IF(COUNTIFS(Pessoas!$C$5:$C$44,$K2014,Pessoas!$G$5:$G$44,"Ativo")=0,"Equipe "&amp;$K2014,INDEX(Pessoas!$A$5:$A$44,_xludf.aggregate(15,6,(ROW(Pessoas!$A$5:$A$44)-4)/((Pessoas!$C$5:$C$44=$K2014)*(Pessoas!$G$5:$G$44="Ativo")),MOD(ROW()-6,MAX(1,COUNTIFS(Pessoas!$C$5:$C$44,$K2014,Pessoas!$G$5:$G$44,"Ativo")))+1)))</f>
        <v>Equipe Oficina Mecânica Central-Taisa</v>
      </c>
    </row>
    <row r="2015" spans="1:12" ht="15" customHeight="1" x14ac:dyDescent="0.4">
      <c r="A2015" s="25">
        <v>46603</v>
      </c>
      <c r="B2015" s="16">
        <v>49</v>
      </c>
      <c r="C2015" s="16">
        <v>4</v>
      </c>
      <c r="D2015" s="16">
        <v>8</v>
      </c>
      <c r="E2015" s="16" t="s">
        <v>1371</v>
      </c>
      <c r="F2015" s="16" t="s">
        <v>1177</v>
      </c>
      <c r="G2015" s="16" t="s">
        <v>526</v>
      </c>
      <c r="H2015" s="16" t="s">
        <v>140</v>
      </c>
      <c r="I2015" s="22" t="s">
        <v>861</v>
      </c>
      <c r="J2015" s="16">
        <f>IFERROR(INDEX(Aux_HH!$J$4:$J$31,MATCH($H2015&amp;"|"&amp;$I2015,Aux_HH!$A$4:$A$31,0)),"")</f>
        <v>4.5</v>
      </c>
      <c r="K2015" s="16" t="s">
        <v>76</v>
      </c>
      <c r="L2015" s="16" t="str">
        <f>IF(COUNTIFS(Pessoas!$C$5:$C$44,$K2015,Pessoas!$G$5:$G$44,"Ativo")=0,"Equipe "&amp;$K2015,INDEX(Pessoas!$A$5:$A$44,_xludf.aggregate(15,6,(ROW(Pessoas!$A$5:$A$44)-4)/((Pessoas!$C$5:$C$44=$K2015)*(Pessoas!$G$5:$G$44="Ativo")),MOD(ROW()-6,MAX(1,COUNTIFS(Pessoas!$C$5:$C$44,$K2015,Pessoas!$G$5:$G$44,"Ativo")))+1)))</f>
        <v>Equipe Oficina Mecânica Central-Taisa</v>
      </c>
    </row>
    <row r="2016" spans="1:12" ht="15" customHeight="1" x14ac:dyDescent="0.4">
      <c r="A2016" s="25">
        <v>46603</v>
      </c>
      <c r="B2016" s="16">
        <v>49</v>
      </c>
      <c r="C2016" s="16">
        <v>4</v>
      </c>
      <c r="D2016" s="16">
        <v>8</v>
      </c>
      <c r="E2016" s="16" t="s">
        <v>1371</v>
      </c>
      <c r="F2016" s="16" t="s">
        <v>1178</v>
      </c>
      <c r="G2016" s="16" t="s">
        <v>526</v>
      </c>
      <c r="H2016" s="16" t="s">
        <v>140</v>
      </c>
      <c r="I2016" s="22" t="s">
        <v>861</v>
      </c>
      <c r="J2016" s="16">
        <f>IFERROR(INDEX(Aux_HH!$J$4:$J$31,MATCH($H2016&amp;"|"&amp;$I2016,Aux_HH!$A$4:$A$31,0)),"")</f>
        <v>4.5</v>
      </c>
      <c r="K2016" s="16" t="s">
        <v>76</v>
      </c>
      <c r="L2016" s="16" t="str">
        <f>IF(COUNTIFS(Pessoas!$C$5:$C$44,$K2016,Pessoas!$G$5:$G$44,"Ativo")=0,"Equipe "&amp;$K2016,INDEX(Pessoas!$A$5:$A$44,_xludf.aggregate(15,6,(ROW(Pessoas!$A$5:$A$44)-4)/((Pessoas!$C$5:$C$44=$K2016)*(Pessoas!$G$5:$G$44="Ativo")),MOD(ROW()-6,MAX(1,COUNTIFS(Pessoas!$C$5:$C$44,$K2016,Pessoas!$G$5:$G$44,"Ativo")))+1)))</f>
        <v>Equipe Oficina Mecânica Central-Taisa</v>
      </c>
    </row>
    <row r="2017" spans="1:12" ht="15" customHeight="1" x14ac:dyDescent="0.4">
      <c r="A2017" s="25">
        <v>46603</v>
      </c>
      <c r="B2017" s="16">
        <v>49</v>
      </c>
      <c r="C2017" s="16">
        <v>4</v>
      </c>
      <c r="D2017" s="16">
        <v>8</v>
      </c>
      <c r="E2017" s="16" t="s">
        <v>1371</v>
      </c>
      <c r="F2017" s="16" t="s">
        <v>1179</v>
      </c>
      <c r="G2017" s="16" t="s">
        <v>526</v>
      </c>
      <c r="H2017" s="16" t="s">
        <v>140</v>
      </c>
      <c r="I2017" s="22" t="s">
        <v>861</v>
      </c>
      <c r="J2017" s="16">
        <f>IFERROR(INDEX(Aux_HH!$J$4:$J$31,MATCH($H2017&amp;"|"&amp;$I2017,Aux_HH!$A$4:$A$31,0)),"")</f>
        <v>4.5</v>
      </c>
      <c r="K2017" s="16" t="s">
        <v>76</v>
      </c>
      <c r="L2017" s="16" t="str">
        <f>IF(COUNTIFS(Pessoas!$C$5:$C$44,$K2017,Pessoas!$G$5:$G$44,"Ativo")=0,"Equipe "&amp;$K2017,INDEX(Pessoas!$A$5:$A$44,_xludf.aggregate(15,6,(ROW(Pessoas!$A$5:$A$44)-4)/((Pessoas!$C$5:$C$44=$K2017)*(Pessoas!$G$5:$G$44="Ativo")),MOD(ROW()-6,MAX(1,COUNTIFS(Pessoas!$C$5:$C$44,$K2017,Pessoas!$G$5:$G$44,"Ativo")))+1)))</f>
        <v>Equipe Oficina Mecânica Central-Taisa</v>
      </c>
    </row>
    <row r="2018" spans="1:12" ht="15" customHeight="1" x14ac:dyDescent="0.4">
      <c r="A2018" s="25">
        <v>46603</v>
      </c>
      <c r="B2018" s="16">
        <v>49</v>
      </c>
      <c r="C2018" s="16">
        <v>4</v>
      </c>
      <c r="D2018" s="16">
        <v>8</v>
      </c>
      <c r="E2018" s="16" t="s">
        <v>1371</v>
      </c>
      <c r="F2018" s="16" t="s">
        <v>1180</v>
      </c>
      <c r="G2018" s="16" t="s">
        <v>526</v>
      </c>
      <c r="H2018" s="16" t="s">
        <v>140</v>
      </c>
      <c r="I2018" s="22" t="s">
        <v>861</v>
      </c>
      <c r="J2018" s="16">
        <f>IFERROR(INDEX(Aux_HH!$J$4:$J$31,MATCH($H2018&amp;"|"&amp;$I2018,Aux_HH!$A$4:$A$31,0)),"")</f>
        <v>4.5</v>
      </c>
      <c r="K2018" s="16" t="s">
        <v>76</v>
      </c>
      <c r="L2018" s="16" t="str">
        <f>IF(COUNTIFS(Pessoas!$C$5:$C$44,$K2018,Pessoas!$G$5:$G$44,"Ativo")=0,"Equipe "&amp;$K2018,INDEX(Pessoas!$A$5:$A$44,_xludf.aggregate(15,6,(ROW(Pessoas!$A$5:$A$44)-4)/((Pessoas!$C$5:$C$44=$K2018)*(Pessoas!$G$5:$G$44="Ativo")),MOD(ROW()-6,MAX(1,COUNTIFS(Pessoas!$C$5:$C$44,$K2018,Pessoas!$G$5:$G$44,"Ativo")))+1)))</f>
        <v>Equipe Oficina Mecânica Central-Taisa</v>
      </c>
    </row>
    <row r="2019" spans="1:12" ht="15" customHeight="1" x14ac:dyDescent="0.4">
      <c r="A2019" s="25">
        <v>46603</v>
      </c>
      <c r="B2019" s="16">
        <v>49</v>
      </c>
      <c r="C2019" s="16">
        <v>4</v>
      </c>
      <c r="D2019" s="16">
        <v>8</v>
      </c>
      <c r="E2019" s="16" t="s">
        <v>1371</v>
      </c>
      <c r="F2019" s="16" t="s">
        <v>1181</v>
      </c>
      <c r="G2019" s="16" t="s">
        <v>526</v>
      </c>
      <c r="H2019" s="16" t="s">
        <v>140</v>
      </c>
      <c r="I2019" s="22" t="s">
        <v>861</v>
      </c>
      <c r="J2019" s="16">
        <f>IFERROR(INDEX(Aux_HH!$J$4:$J$31,MATCH($H2019&amp;"|"&amp;$I2019,Aux_HH!$A$4:$A$31,0)),"")</f>
        <v>4.5</v>
      </c>
      <c r="K2019" s="16" t="s">
        <v>76</v>
      </c>
      <c r="L2019" s="16" t="str">
        <f>IF(COUNTIFS(Pessoas!$C$5:$C$44,$K2019,Pessoas!$G$5:$G$44,"Ativo")=0,"Equipe "&amp;$K2019,INDEX(Pessoas!$A$5:$A$44,_xludf.aggregate(15,6,(ROW(Pessoas!$A$5:$A$44)-4)/((Pessoas!$C$5:$C$44=$K2019)*(Pessoas!$G$5:$G$44="Ativo")),MOD(ROW()-6,MAX(1,COUNTIFS(Pessoas!$C$5:$C$44,$K2019,Pessoas!$G$5:$G$44,"Ativo")))+1)))</f>
        <v>Equipe Oficina Mecânica Central-Taisa</v>
      </c>
    </row>
    <row r="2020" spans="1:12" ht="15" customHeight="1" x14ac:dyDescent="0.4">
      <c r="A2020" s="25">
        <v>46603</v>
      </c>
      <c r="B2020" s="16">
        <v>49</v>
      </c>
      <c r="C2020" s="16">
        <v>4</v>
      </c>
      <c r="D2020" s="16">
        <v>8</v>
      </c>
      <c r="E2020" s="16" t="s">
        <v>1371</v>
      </c>
      <c r="F2020" s="16" t="s">
        <v>1205</v>
      </c>
      <c r="G2020" s="16" t="s">
        <v>526</v>
      </c>
      <c r="H2020" s="16" t="s">
        <v>140</v>
      </c>
      <c r="I2020" s="22" t="s">
        <v>861</v>
      </c>
      <c r="J2020" s="16">
        <f>IFERROR(INDEX(Aux_HH!$J$4:$J$31,MATCH($H2020&amp;"|"&amp;$I2020,Aux_HH!$A$4:$A$31,0)),"")</f>
        <v>4.5</v>
      </c>
      <c r="K2020" s="16" t="s">
        <v>76</v>
      </c>
      <c r="L2020" s="16" t="str">
        <f>IF(COUNTIFS(Pessoas!$C$5:$C$44,$K2020,Pessoas!$G$5:$G$44,"Ativo")=0,"Equipe "&amp;$K2020,INDEX(Pessoas!$A$5:$A$44,_xludf.aggregate(15,6,(ROW(Pessoas!$A$5:$A$44)-4)/((Pessoas!$C$5:$C$44=$K2020)*(Pessoas!$G$5:$G$44="Ativo")),MOD(ROW()-6,MAX(1,COUNTIFS(Pessoas!$C$5:$C$44,$K2020,Pessoas!$G$5:$G$44,"Ativo")))+1)))</f>
        <v>Equipe Oficina Mecânica Central-Taisa</v>
      </c>
    </row>
    <row r="2021" spans="1:12" ht="15" customHeight="1" x14ac:dyDescent="0.4">
      <c r="A2021" s="25">
        <v>46603</v>
      </c>
      <c r="B2021" s="16">
        <v>49</v>
      </c>
      <c r="C2021" s="16">
        <v>4</v>
      </c>
      <c r="D2021" s="16">
        <v>8</v>
      </c>
      <c r="E2021" s="16" t="s">
        <v>1371</v>
      </c>
      <c r="F2021" s="16" t="s">
        <v>1206</v>
      </c>
      <c r="G2021" s="16" t="s">
        <v>526</v>
      </c>
      <c r="H2021" s="16" t="s">
        <v>140</v>
      </c>
      <c r="I2021" s="22" t="s">
        <v>861</v>
      </c>
      <c r="J2021" s="16">
        <f>IFERROR(INDEX(Aux_HH!$J$4:$J$31,MATCH($H2021&amp;"|"&amp;$I2021,Aux_HH!$A$4:$A$31,0)),"")</f>
        <v>4.5</v>
      </c>
      <c r="K2021" s="16" t="s">
        <v>76</v>
      </c>
      <c r="L2021" s="16" t="str">
        <f>IF(COUNTIFS(Pessoas!$C$5:$C$44,$K2021,Pessoas!$G$5:$G$44,"Ativo")=0,"Equipe "&amp;$K2021,INDEX(Pessoas!$A$5:$A$44,_xludf.aggregate(15,6,(ROW(Pessoas!$A$5:$A$44)-4)/((Pessoas!$C$5:$C$44=$K2021)*(Pessoas!$G$5:$G$44="Ativo")),MOD(ROW()-6,MAX(1,COUNTIFS(Pessoas!$C$5:$C$44,$K2021,Pessoas!$G$5:$G$44,"Ativo")))+1)))</f>
        <v>Equipe Oficina Mecânica Central-Taisa</v>
      </c>
    </row>
    <row r="2022" spans="1:12" ht="15" customHeight="1" x14ac:dyDescent="0.4">
      <c r="A2022" s="25">
        <v>46603</v>
      </c>
      <c r="B2022" s="16">
        <v>49</v>
      </c>
      <c r="C2022" s="16">
        <v>4</v>
      </c>
      <c r="D2022" s="16">
        <v>8</v>
      </c>
      <c r="E2022" s="16" t="s">
        <v>1371</v>
      </c>
      <c r="F2022" s="16" t="s">
        <v>1207</v>
      </c>
      <c r="G2022" s="16" t="s">
        <v>526</v>
      </c>
      <c r="H2022" s="16" t="s">
        <v>140</v>
      </c>
      <c r="I2022" s="22" t="s">
        <v>861</v>
      </c>
      <c r="J2022" s="16">
        <f>IFERROR(INDEX(Aux_HH!$J$4:$J$31,MATCH($H2022&amp;"|"&amp;$I2022,Aux_HH!$A$4:$A$31,0)),"")</f>
        <v>4.5</v>
      </c>
      <c r="K2022" s="16" t="s">
        <v>76</v>
      </c>
      <c r="L2022" s="16" t="str">
        <f>IF(COUNTIFS(Pessoas!$C$5:$C$44,$K2022,Pessoas!$G$5:$G$44,"Ativo")=0,"Equipe "&amp;$K2022,INDEX(Pessoas!$A$5:$A$44,_xludf.aggregate(15,6,(ROW(Pessoas!$A$5:$A$44)-4)/((Pessoas!$C$5:$C$44=$K2022)*(Pessoas!$G$5:$G$44="Ativo")),MOD(ROW()-6,MAX(1,COUNTIFS(Pessoas!$C$5:$C$44,$K2022,Pessoas!$G$5:$G$44,"Ativo")))+1)))</f>
        <v>Equipe Oficina Mecânica Central-Taisa</v>
      </c>
    </row>
    <row r="2023" spans="1:12" ht="15" customHeight="1" x14ac:dyDescent="0.4">
      <c r="A2023" s="25">
        <v>46603</v>
      </c>
      <c r="B2023" s="16">
        <v>49</v>
      </c>
      <c r="C2023" s="16">
        <v>4</v>
      </c>
      <c r="D2023" s="16">
        <v>8</v>
      </c>
      <c r="E2023" s="16" t="s">
        <v>1371</v>
      </c>
      <c r="F2023" s="16" t="s">
        <v>1208</v>
      </c>
      <c r="G2023" s="16" t="s">
        <v>526</v>
      </c>
      <c r="H2023" s="16" t="s">
        <v>140</v>
      </c>
      <c r="I2023" s="22" t="s">
        <v>861</v>
      </c>
      <c r="J2023" s="16">
        <f>IFERROR(INDEX(Aux_HH!$J$4:$J$31,MATCH($H2023&amp;"|"&amp;$I2023,Aux_HH!$A$4:$A$31,0)),"")</f>
        <v>4.5</v>
      </c>
      <c r="K2023" s="16" t="s">
        <v>76</v>
      </c>
      <c r="L2023" s="16" t="str">
        <f>IF(COUNTIFS(Pessoas!$C$5:$C$44,$K2023,Pessoas!$G$5:$G$44,"Ativo")=0,"Equipe "&amp;$K2023,INDEX(Pessoas!$A$5:$A$44,_xludf.aggregate(15,6,(ROW(Pessoas!$A$5:$A$44)-4)/((Pessoas!$C$5:$C$44=$K2023)*(Pessoas!$G$5:$G$44="Ativo")),MOD(ROW()-6,MAX(1,COUNTIFS(Pessoas!$C$5:$C$44,$K2023,Pessoas!$G$5:$G$44,"Ativo")))+1)))</f>
        <v>Equipe Oficina Mecânica Central-Taisa</v>
      </c>
    </row>
    <row r="2024" spans="1:12" ht="15" customHeight="1" x14ac:dyDescent="0.4">
      <c r="A2024" s="25">
        <v>46603</v>
      </c>
      <c r="B2024" s="16">
        <v>49</v>
      </c>
      <c r="C2024" s="16">
        <v>4</v>
      </c>
      <c r="D2024" s="16">
        <v>8</v>
      </c>
      <c r="E2024" s="16" t="s">
        <v>1371</v>
      </c>
      <c r="F2024" s="16" t="s">
        <v>1210</v>
      </c>
      <c r="G2024" s="16" t="s">
        <v>184</v>
      </c>
      <c r="H2024" s="16" t="s">
        <v>140</v>
      </c>
      <c r="I2024" s="22" t="s">
        <v>861</v>
      </c>
      <c r="J2024" s="16">
        <f>IFERROR(INDEX(Aux_HH!$J$4:$J$31,MATCH($H2024&amp;"|"&amp;$I2024,Aux_HH!$A$4:$A$31,0)),"")</f>
        <v>4.5</v>
      </c>
      <c r="K2024" s="16" t="s">
        <v>76</v>
      </c>
      <c r="L2024" s="16" t="str">
        <f>IF(COUNTIFS(Pessoas!$C$5:$C$44,$K2024,Pessoas!$G$5:$G$44,"Ativo")=0,"Equipe "&amp;$K2024,INDEX(Pessoas!$A$5:$A$44,_xludf.aggregate(15,6,(ROW(Pessoas!$A$5:$A$44)-4)/((Pessoas!$C$5:$C$44=$K2024)*(Pessoas!$G$5:$G$44="Ativo")),MOD(ROW()-6,MAX(1,COUNTIFS(Pessoas!$C$5:$C$44,$K2024,Pessoas!$G$5:$G$44,"Ativo")))+1)))</f>
        <v>Equipe Oficina Mecânica Central-Taisa</v>
      </c>
    </row>
    <row r="2025" spans="1:12" ht="15" customHeight="1" x14ac:dyDescent="0.4">
      <c r="A2025" s="25">
        <v>46603</v>
      </c>
      <c r="B2025" s="16">
        <v>49</v>
      </c>
      <c r="C2025" s="16">
        <v>4</v>
      </c>
      <c r="D2025" s="16">
        <v>8</v>
      </c>
      <c r="E2025" s="16" t="s">
        <v>1371</v>
      </c>
      <c r="F2025" s="16" t="s">
        <v>1211</v>
      </c>
      <c r="G2025" s="16" t="s">
        <v>184</v>
      </c>
      <c r="H2025" s="16" t="s">
        <v>140</v>
      </c>
      <c r="I2025" s="22" t="s">
        <v>861</v>
      </c>
      <c r="J2025" s="16">
        <f>IFERROR(INDEX(Aux_HH!$J$4:$J$31,MATCH($H2025&amp;"|"&amp;$I2025,Aux_HH!$A$4:$A$31,0)),"")</f>
        <v>4.5</v>
      </c>
      <c r="K2025" s="16" t="s">
        <v>76</v>
      </c>
      <c r="L2025" s="16" t="str">
        <f>IF(COUNTIFS(Pessoas!$C$5:$C$44,$K2025,Pessoas!$G$5:$G$44,"Ativo")=0,"Equipe "&amp;$K2025,INDEX(Pessoas!$A$5:$A$44,_xludf.aggregate(15,6,(ROW(Pessoas!$A$5:$A$44)-4)/((Pessoas!$C$5:$C$44=$K2025)*(Pessoas!$G$5:$G$44="Ativo")),MOD(ROW()-6,MAX(1,COUNTIFS(Pessoas!$C$5:$C$44,$K2025,Pessoas!$G$5:$G$44,"Ativo")))+1)))</f>
        <v>Equipe Oficina Mecânica Central-Taisa</v>
      </c>
    </row>
    <row r="2026" spans="1:12" ht="15" customHeight="1" x14ac:dyDescent="0.4">
      <c r="A2026" s="25">
        <v>46603</v>
      </c>
      <c r="B2026" s="16">
        <v>49</v>
      </c>
      <c r="C2026" s="16">
        <v>4</v>
      </c>
      <c r="D2026" s="16">
        <v>8</v>
      </c>
      <c r="E2026" s="16" t="s">
        <v>1371</v>
      </c>
      <c r="F2026" s="16" t="s">
        <v>1212</v>
      </c>
      <c r="G2026" s="16" t="s">
        <v>526</v>
      </c>
      <c r="H2026" s="16" t="s">
        <v>140</v>
      </c>
      <c r="I2026" s="22" t="s">
        <v>861</v>
      </c>
      <c r="J2026" s="16">
        <f>IFERROR(INDEX(Aux_HH!$J$4:$J$31,MATCH($H2026&amp;"|"&amp;$I2026,Aux_HH!$A$4:$A$31,0)),"")</f>
        <v>4.5</v>
      </c>
      <c r="K2026" s="16" t="s">
        <v>76</v>
      </c>
      <c r="L2026" s="16" t="str">
        <f>IF(COUNTIFS(Pessoas!$C$5:$C$44,$K2026,Pessoas!$G$5:$G$44,"Ativo")=0,"Equipe "&amp;$K2026,INDEX(Pessoas!$A$5:$A$44,_xludf.aggregate(15,6,(ROW(Pessoas!$A$5:$A$44)-4)/((Pessoas!$C$5:$C$44=$K2026)*(Pessoas!$G$5:$G$44="Ativo")),MOD(ROW()-6,MAX(1,COUNTIFS(Pessoas!$C$5:$C$44,$K2026,Pessoas!$G$5:$G$44,"Ativo")))+1)))</f>
        <v>Equipe Oficina Mecânica Central-Taisa</v>
      </c>
    </row>
    <row r="2027" spans="1:12" ht="15" customHeight="1" x14ac:dyDescent="0.4">
      <c r="A2027" s="25">
        <v>46603</v>
      </c>
      <c r="B2027" s="16">
        <v>49</v>
      </c>
      <c r="C2027" s="16">
        <v>4</v>
      </c>
      <c r="D2027" s="16">
        <v>8</v>
      </c>
      <c r="E2027" s="16" t="s">
        <v>1371</v>
      </c>
      <c r="F2027" s="16" t="s">
        <v>1213</v>
      </c>
      <c r="G2027" s="16" t="s">
        <v>526</v>
      </c>
      <c r="H2027" s="16" t="s">
        <v>140</v>
      </c>
      <c r="I2027" s="22" t="s">
        <v>861</v>
      </c>
      <c r="J2027" s="16">
        <f>IFERROR(INDEX(Aux_HH!$J$4:$J$31,MATCH($H2027&amp;"|"&amp;$I2027,Aux_HH!$A$4:$A$31,0)),"")</f>
        <v>4.5</v>
      </c>
      <c r="K2027" s="16" t="s">
        <v>76</v>
      </c>
      <c r="L2027" s="16" t="str">
        <f>IF(COUNTIFS(Pessoas!$C$5:$C$44,$K2027,Pessoas!$G$5:$G$44,"Ativo")=0,"Equipe "&amp;$K2027,INDEX(Pessoas!$A$5:$A$44,_xludf.aggregate(15,6,(ROW(Pessoas!$A$5:$A$44)-4)/((Pessoas!$C$5:$C$44=$K2027)*(Pessoas!$G$5:$G$44="Ativo")),MOD(ROW()-6,MAX(1,COUNTIFS(Pessoas!$C$5:$C$44,$K2027,Pessoas!$G$5:$G$44,"Ativo")))+1)))</f>
        <v>Equipe Oficina Mecânica Central-Taisa</v>
      </c>
    </row>
    <row r="2028" spans="1:12" ht="15" customHeight="1" x14ac:dyDescent="0.4">
      <c r="A2028" s="25">
        <v>46603</v>
      </c>
      <c r="B2028" s="16">
        <v>49</v>
      </c>
      <c r="C2028" s="16">
        <v>4</v>
      </c>
      <c r="D2028" s="16">
        <v>8</v>
      </c>
      <c r="E2028" s="16" t="s">
        <v>1371</v>
      </c>
      <c r="F2028" s="16" t="s">
        <v>1214</v>
      </c>
      <c r="G2028" s="16" t="s">
        <v>526</v>
      </c>
      <c r="H2028" s="16" t="s">
        <v>140</v>
      </c>
      <c r="I2028" s="22" t="s">
        <v>861</v>
      </c>
      <c r="J2028" s="16">
        <f>IFERROR(INDEX(Aux_HH!$J$4:$J$31,MATCH($H2028&amp;"|"&amp;$I2028,Aux_HH!$A$4:$A$31,0)),"")</f>
        <v>4.5</v>
      </c>
      <c r="K2028" s="16" t="s">
        <v>76</v>
      </c>
      <c r="L2028" s="16" t="str">
        <f>IF(COUNTIFS(Pessoas!$C$5:$C$44,$K2028,Pessoas!$G$5:$G$44,"Ativo")=0,"Equipe "&amp;$K2028,INDEX(Pessoas!$A$5:$A$44,_xludf.aggregate(15,6,(ROW(Pessoas!$A$5:$A$44)-4)/((Pessoas!$C$5:$C$44=$K2028)*(Pessoas!$G$5:$G$44="Ativo")),MOD(ROW()-6,MAX(1,COUNTIFS(Pessoas!$C$5:$C$44,$K2028,Pessoas!$G$5:$G$44,"Ativo")))+1)))</f>
        <v>Equipe Oficina Mecânica Central-Taisa</v>
      </c>
    </row>
    <row r="2029" spans="1:12" ht="15" customHeight="1" x14ac:dyDescent="0.4">
      <c r="A2029" s="25">
        <v>46604</v>
      </c>
      <c r="B2029" s="16">
        <v>49</v>
      </c>
      <c r="C2029" s="16">
        <v>4</v>
      </c>
      <c r="D2029" s="16">
        <v>8</v>
      </c>
      <c r="E2029" s="16" t="s">
        <v>1371</v>
      </c>
      <c r="F2029" s="16" t="s">
        <v>981</v>
      </c>
      <c r="G2029" s="16" t="s">
        <v>184</v>
      </c>
      <c r="H2029" s="16" t="s">
        <v>138</v>
      </c>
      <c r="I2029" s="22" t="s">
        <v>856</v>
      </c>
      <c r="J2029" s="16">
        <f>IFERROR(INDEX(Aux_HH!$J$4:$J$31,MATCH($H2029&amp;"|"&amp;$I2029,Aux_HH!$A$4:$A$31,0)),"")</f>
        <v>3</v>
      </c>
      <c r="K2029" s="16" t="s">
        <v>76</v>
      </c>
      <c r="L2029" s="16" t="str">
        <f>IF(COUNTIFS(Pessoas!$C$5:$C$44,$K2029,Pessoas!$G$5:$G$44,"Ativo")=0,"Equipe "&amp;$K2029,INDEX(Pessoas!$A$5:$A$44,_xludf.aggregate(15,6,(ROW(Pessoas!$A$5:$A$44)-4)/((Pessoas!$C$5:$C$44=$K2029)*(Pessoas!$G$5:$G$44="Ativo")),MOD(ROW()-6,MAX(1,COUNTIFS(Pessoas!$C$5:$C$44,$K2029,Pessoas!$G$5:$G$44,"Ativo")))+1)))</f>
        <v>Equipe Oficina Mecânica Central-Taisa</v>
      </c>
    </row>
    <row r="2030" spans="1:12" ht="15" customHeight="1" x14ac:dyDescent="0.4">
      <c r="A2030" s="25">
        <v>46604</v>
      </c>
      <c r="B2030" s="16">
        <v>49</v>
      </c>
      <c r="C2030" s="16">
        <v>4</v>
      </c>
      <c r="D2030" s="16">
        <v>8</v>
      </c>
      <c r="E2030" s="16" t="s">
        <v>1371</v>
      </c>
      <c r="F2030" s="16" t="s">
        <v>983</v>
      </c>
      <c r="G2030" s="16" t="s">
        <v>184</v>
      </c>
      <c r="H2030" s="16" t="s">
        <v>138</v>
      </c>
      <c r="I2030" s="22" t="s">
        <v>856</v>
      </c>
      <c r="J2030" s="16">
        <f>IFERROR(INDEX(Aux_HH!$J$4:$J$31,MATCH($H2030&amp;"|"&amp;$I2030,Aux_HH!$A$4:$A$31,0)),"")</f>
        <v>3</v>
      </c>
      <c r="K2030" s="16" t="s">
        <v>76</v>
      </c>
      <c r="L2030" s="16" t="str">
        <f>IF(COUNTIFS(Pessoas!$C$5:$C$44,$K2030,Pessoas!$G$5:$G$44,"Ativo")=0,"Equipe "&amp;$K2030,INDEX(Pessoas!$A$5:$A$44,_xludf.aggregate(15,6,(ROW(Pessoas!$A$5:$A$44)-4)/((Pessoas!$C$5:$C$44=$K2030)*(Pessoas!$G$5:$G$44="Ativo")),MOD(ROW()-6,MAX(1,COUNTIFS(Pessoas!$C$5:$C$44,$K2030,Pessoas!$G$5:$G$44,"Ativo")))+1)))</f>
        <v>Equipe Oficina Mecânica Central-Taisa</v>
      </c>
    </row>
    <row r="2031" spans="1:12" ht="15" customHeight="1" x14ac:dyDescent="0.4">
      <c r="A2031" s="25">
        <v>46604</v>
      </c>
      <c r="B2031" s="16">
        <v>49</v>
      </c>
      <c r="C2031" s="16">
        <v>4</v>
      </c>
      <c r="D2031" s="16">
        <v>8</v>
      </c>
      <c r="E2031" s="16" t="s">
        <v>1371</v>
      </c>
      <c r="F2031" s="16" t="s">
        <v>1215</v>
      </c>
      <c r="G2031" s="16" t="s">
        <v>526</v>
      </c>
      <c r="H2031" s="16" t="s">
        <v>140</v>
      </c>
      <c r="I2031" s="22" t="s">
        <v>861</v>
      </c>
      <c r="J2031" s="16">
        <f>IFERROR(INDEX(Aux_HH!$J$4:$J$31,MATCH($H2031&amp;"|"&amp;$I2031,Aux_HH!$A$4:$A$31,0)),"")</f>
        <v>4.5</v>
      </c>
      <c r="K2031" s="16" t="s">
        <v>76</v>
      </c>
      <c r="L2031" s="16" t="str">
        <f>IF(COUNTIFS(Pessoas!$C$5:$C$44,$K2031,Pessoas!$G$5:$G$44,"Ativo")=0,"Equipe "&amp;$K2031,INDEX(Pessoas!$A$5:$A$44,_xludf.aggregate(15,6,(ROW(Pessoas!$A$5:$A$44)-4)/((Pessoas!$C$5:$C$44=$K2031)*(Pessoas!$G$5:$G$44="Ativo")),MOD(ROW()-6,MAX(1,COUNTIFS(Pessoas!$C$5:$C$44,$K2031,Pessoas!$G$5:$G$44,"Ativo")))+1)))</f>
        <v>Equipe Oficina Mecânica Central-Taisa</v>
      </c>
    </row>
    <row r="2032" spans="1:12" ht="15" customHeight="1" x14ac:dyDescent="0.4">
      <c r="A2032" s="25">
        <v>46604</v>
      </c>
      <c r="B2032" s="16">
        <v>49</v>
      </c>
      <c r="C2032" s="16">
        <v>4</v>
      </c>
      <c r="D2032" s="16">
        <v>8</v>
      </c>
      <c r="E2032" s="16" t="s">
        <v>1371</v>
      </c>
      <c r="F2032" s="16" t="s">
        <v>1216</v>
      </c>
      <c r="G2032" s="16" t="s">
        <v>526</v>
      </c>
      <c r="H2032" s="16" t="s">
        <v>140</v>
      </c>
      <c r="I2032" s="22" t="s">
        <v>861</v>
      </c>
      <c r="J2032" s="16">
        <f>IFERROR(INDEX(Aux_HH!$J$4:$J$31,MATCH($H2032&amp;"|"&amp;$I2032,Aux_HH!$A$4:$A$31,0)),"")</f>
        <v>4.5</v>
      </c>
      <c r="K2032" s="16" t="s">
        <v>76</v>
      </c>
      <c r="L2032" s="16" t="str">
        <f>IF(COUNTIFS(Pessoas!$C$5:$C$44,$K2032,Pessoas!$G$5:$G$44,"Ativo")=0,"Equipe "&amp;$K2032,INDEX(Pessoas!$A$5:$A$44,_xludf.aggregate(15,6,(ROW(Pessoas!$A$5:$A$44)-4)/((Pessoas!$C$5:$C$44=$K2032)*(Pessoas!$G$5:$G$44="Ativo")),MOD(ROW()-6,MAX(1,COUNTIFS(Pessoas!$C$5:$C$44,$K2032,Pessoas!$G$5:$G$44,"Ativo")))+1)))</f>
        <v>Equipe Oficina Mecânica Central-Taisa</v>
      </c>
    </row>
    <row r="2033" spans="1:12" ht="15" customHeight="1" x14ac:dyDescent="0.4">
      <c r="A2033" s="25">
        <v>46604</v>
      </c>
      <c r="B2033" s="16">
        <v>49</v>
      </c>
      <c r="C2033" s="16">
        <v>4</v>
      </c>
      <c r="D2033" s="16">
        <v>8</v>
      </c>
      <c r="E2033" s="16" t="s">
        <v>1371</v>
      </c>
      <c r="F2033" s="16" t="s">
        <v>1217</v>
      </c>
      <c r="G2033" s="16" t="s">
        <v>526</v>
      </c>
      <c r="H2033" s="16" t="s">
        <v>140</v>
      </c>
      <c r="I2033" s="22" t="s">
        <v>861</v>
      </c>
      <c r="J2033" s="16">
        <f>IFERROR(INDEX(Aux_HH!$J$4:$J$31,MATCH($H2033&amp;"|"&amp;$I2033,Aux_HH!$A$4:$A$31,0)),"")</f>
        <v>4.5</v>
      </c>
      <c r="K2033" s="16" t="s">
        <v>76</v>
      </c>
      <c r="L2033" s="16" t="str">
        <f>IF(COUNTIFS(Pessoas!$C$5:$C$44,$K2033,Pessoas!$G$5:$G$44,"Ativo")=0,"Equipe "&amp;$K2033,INDEX(Pessoas!$A$5:$A$44,_xludf.aggregate(15,6,(ROW(Pessoas!$A$5:$A$44)-4)/((Pessoas!$C$5:$C$44=$K2033)*(Pessoas!$G$5:$G$44="Ativo")),MOD(ROW()-6,MAX(1,COUNTIFS(Pessoas!$C$5:$C$44,$K2033,Pessoas!$G$5:$G$44,"Ativo")))+1)))</f>
        <v>Equipe Oficina Mecânica Central-Taisa</v>
      </c>
    </row>
    <row r="2034" spans="1:12" ht="15" customHeight="1" x14ac:dyDescent="0.4">
      <c r="A2034" s="25">
        <v>46604</v>
      </c>
      <c r="B2034" s="16">
        <v>49</v>
      </c>
      <c r="C2034" s="16">
        <v>4</v>
      </c>
      <c r="D2034" s="16">
        <v>8</v>
      </c>
      <c r="E2034" s="16" t="s">
        <v>1371</v>
      </c>
      <c r="F2034" s="16" t="s">
        <v>1218</v>
      </c>
      <c r="G2034" s="16" t="s">
        <v>184</v>
      </c>
      <c r="H2034" s="16" t="s">
        <v>140</v>
      </c>
      <c r="I2034" s="22" t="s">
        <v>861</v>
      </c>
      <c r="J2034" s="16">
        <f>IFERROR(INDEX(Aux_HH!$J$4:$J$31,MATCH($H2034&amp;"|"&amp;$I2034,Aux_HH!$A$4:$A$31,0)),"")</f>
        <v>4.5</v>
      </c>
      <c r="K2034" s="16" t="s">
        <v>76</v>
      </c>
      <c r="L2034" s="16" t="str">
        <f>IF(COUNTIFS(Pessoas!$C$5:$C$44,$K2034,Pessoas!$G$5:$G$44,"Ativo")=0,"Equipe "&amp;$K2034,INDEX(Pessoas!$A$5:$A$44,_xludf.aggregate(15,6,(ROW(Pessoas!$A$5:$A$44)-4)/((Pessoas!$C$5:$C$44=$K2034)*(Pessoas!$G$5:$G$44="Ativo")),MOD(ROW()-6,MAX(1,COUNTIFS(Pessoas!$C$5:$C$44,$K2034,Pessoas!$G$5:$G$44,"Ativo")))+1)))</f>
        <v>Equipe Oficina Mecânica Central-Taisa</v>
      </c>
    </row>
    <row r="2035" spans="1:12" ht="15" customHeight="1" x14ac:dyDescent="0.4">
      <c r="A2035" s="25">
        <v>46604</v>
      </c>
      <c r="B2035" s="16">
        <v>49</v>
      </c>
      <c r="C2035" s="16">
        <v>4</v>
      </c>
      <c r="D2035" s="16">
        <v>8</v>
      </c>
      <c r="E2035" s="16" t="s">
        <v>1371</v>
      </c>
      <c r="F2035" s="16" t="s">
        <v>1219</v>
      </c>
      <c r="G2035" s="16" t="s">
        <v>184</v>
      </c>
      <c r="H2035" s="16" t="s">
        <v>140</v>
      </c>
      <c r="I2035" s="22" t="s">
        <v>861</v>
      </c>
      <c r="J2035" s="16">
        <f>IFERROR(INDEX(Aux_HH!$J$4:$J$31,MATCH($H2035&amp;"|"&amp;$I2035,Aux_HH!$A$4:$A$31,0)),"")</f>
        <v>4.5</v>
      </c>
      <c r="K2035" s="16" t="s">
        <v>76</v>
      </c>
      <c r="L2035" s="16" t="str">
        <f>IF(COUNTIFS(Pessoas!$C$5:$C$44,$K2035,Pessoas!$G$5:$G$44,"Ativo")=0,"Equipe "&amp;$K2035,INDEX(Pessoas!$A$5:$A$44,_xludf.aggregate(15,6,(ROW(Pessoas!$A$5:$A$44)-4)/((Pessoas!$C$5:$C$44=$K2035)*(Pessoas!$G$5:$G$44="Ativo")),MOD(ROW()-6,MAX(1,COUNTIFS(Pessoas!$C$5:$C$44,$K2035,Pessoas!$G$5:$G$44,"Ativo")))+1)))</f>
        <v>Equipe Oficina Mecânica Central-Taisa</v>
      </c>
    </row>
    <row r="2036" spans="1:12" ht="15" customHeight="1" x14ac:dyDescent="0.4">
      <c r="A2036" s="25">
        <v>46604</v>
      </c>
      <c r="B2036" s="16">
        <v>49</v>
      </c>
      <c r="C2036" s="16">
        <v>4</v>
      </c>
      <c r="D2036" s="16">
        <v>8</v>
      </c>
      <c r="E2036" s="16" t="s">
        <v>1371</v>
      </c>
      <c r="F2036" s="16" t="s">
        <v>1220</v>
      </c>
      <c r="G2036" s="16" t="s">
        <v>184</v>
      </c>
      <c r="H2036" s="16" t="s">
        <v>140</v>
      </c>
      <c r="I2036" s="22" t="s">
        <v>861</v>
      </c>
      <c r="J2036" s="16">
        <f>IFERROR(INDEX(Aux_HH!$J$4:$J$31,MATCH($H2036&amp;"|"&amp;$I2036,Aux_HH!$A$4:$A$31,0)),"")</f>
        <v>4.5</v>
      </c>
      <c r="K2036" s="16" t="s">
        <v>76</v>
      </c>
      <c r="L2036" s="16" t="str">
        <f>IF(COUNTIFS(Pessoas!$C$5:$C$44,$K2036,Pessoas!$G$5:$G$44,"Ativo")=0,"Equipe "&amp;$K2036,INDEX(Pessoas!$A$5:$A$44,_xludf.aggregate(15,6,(ROW(Pessoas!$A$5:$A$44)-4)/((Pessoas!$C$5:$C$44=$K2036)*(Pessoas!$G$5:$G$44="Ativo")),MOD(ROW()-6,MAX(1,COUNTIFS(Pessoas!$C$5:$C$44,$K2036,Pessoas!$G$5:$G$44,"Ativo")))+1)))</f>
        <v>Equipe Oficina Mecânica Central-Taisa</v>
      </c>
    </row>
    <row r="2037" spans="1:12" ht="15" customHeight="1" x14ac:dyDescent="0.4">
      <c r="A2037" s="25">
        <v>46604</v>
      </c>
      <c r="B2037" s="16">
        <v>49</v>
      </c>
      <c r="C2037" s="16">
        <v>4</v>
      </c>
      <c r="D2037" s="16">
        <v>8</v>
      </c>
      <c r="E2037" s="16" t="s">
        <v>1371</v>
      </c>
      <c r="F2037" s="16" t="s">
        <v>1221</v>
      </c>
      <c r="G2037" s="16" t="s">
        <v>184</v>
      </c>
      <c r="H2037" s="16" t="s">
        <v>140</v>
      </c>
      <c r="I2037" s="22" t="s">
        <v>861</v>
      </c>
      <c r="J2037" s="16">
        <f>IFERROR(INDEX(Aux_HH!$J$4:$J$31,MATCH($H2037&amp;"|"&amp;$I2037,Aux_HH!$A$4:$A$31,0)),"")</f>
        <v>4.5</v>
      </c>
      <c r="K2037" s="16" t="s">
        <v>76</v>
      </c>
      <c r="L2037" s="16" t="str">
        <f>IF(COUNTIFS(Pessoas!$C$5:$C$44,$K2037,Pessoas!$G$5:$G$44,"Ativo")=0,"Equipe "&amp;$K2037,INDEX(Pessoas!$A$5:$A$44,_xludf.aggregate(15,6,(ROW(Pessoas!$A$5:$A$44)-4)/((Pessoas!$C$5:$C$44=$K2037)*(Pessoas!$G$5:$G$44="Ativo")),MOD(ROW()-6,MAX(1,COUNTIFS(Pessoas!$C$5:$C$44,$K2037,Pessoas!$G$5:$G$44,"Ativo")))+1)))</f>
        <v>Equipe Oficina Mecânica Central-Taisa</v>
      </c>
    </row>
    <row r="2038" spans="1:12" ht="15" customHeight="1" x14ac:dyDescent="0.4">
      <c r="A2038" s="25">
        <v>46604</v>
      </c>
      <c r="B2038" s="16">
        <v>49</v>
      </c>
      <c r="C2038" s="16">
        <v>4</v>
      </c>
      <c r="D2038" s="16">
        <v>8</v>
      </c>
      <c r="E2038" s="16" t="s">
        <v>1371</v>
      </c>
      <c r="F2038" s="16" t="s">
        <v>1222</v>
      </c>
      <c r="G2038" s="16" t="s">
        <v>526</v>
      </c>
      <c r="H2038" s="16" t="s">
        <v>140</v>
      </c>
      <c r="I2038" s="22" t="s">
        <v>861</v>
      </c>
      <c r="J2038" s="16">
        <f>IFERROR(INDEX(Aux_HH!$J$4:$J$31,MATCH($H2038&amp;"|"&amp;$I2038,Aux_HH!$A$4:$A$31,0)),"")</f>
        <v>4.5</v>
      </c>
      <c r="K2038" s="16" t="s">
        <v>76</v>
      </c>
      <c r="L2038" s="16" t="str">
        <f>IF(COUNTIFS(Pessoas!$C$5:$C$44,$K2038,Pessoas!$G$5:$G$44,"Ativo")=0,"Equipe "&amp;$K2038,INDEX(Pessoas!$A$5:$A$44,_xludf.aggregate(15,6,(ROW(Pessoas!$A$5:$A$44)-4)/((Pessoas!$C$5:$C$44=$K2038)*(Pessoas!$G$5:$G$44="Ativo")),MOD(ROW()-6,MAX(1,COUNTIFS(Pessoas!$C$5:$C$44,$K2038,Pessoas!$G$5:$G$44,"Ativo")))+1)))</f>
        <v>Equipe Oficina Mecânica Central-Taisa</v>
      </c>
    </row>
    <row r="2039" spans="1:12" ht="15" customHeight="1" x14ac:dyDescent="0.4">
      <c r="A2039" s="25">
        <v>46604</v>
      </c>
      <c r="B2039" s="16">
        <v>49</v>
      </c>
      <c r="C2039" s="16">
        <v>4</v>
      </c>
      <c r="D2039" s="16">
        <v>8</v>
      </c>
      <c r="E2039" s="16" t="s">
        <v>1371</v>
      </c>
      <c r="F2039" s="16" t="s">
        <v>1223</v>
      </c>
      <c r="G2039" s="16" t="s">
        <v>526</v>
      </c>
      <c r="H2039" s="16" t="s">
        <v>140</v>
      </c>
      <c r="I2039" s="22" t="s">
        <v>861</v>
      </c>
      <c r="J2039" s="16">
        <f>IFERROR(INDEX(Aux_HH!$J$4:$J$31,MATCH($H2039&amp;"|"&amp;$I2039,Aux_HH!$A$4:$A$31,0)),"")</f>
        <v>4.5</v>
      </c>
      <c r="K2039" s="16" t="s">
        <v>76</v>
      </c>
      <c r="L2039" s="16" t="str">
        <f>IF(COUNTIFS(Pessoas!$C$5:$C$44,$K2039,Pessoas!$G$5:$G$44,"Ativo")=0,"Equipe "&amp;$K2039,INDEX(Pessoas!$A$5:$A$44,_xludf.aggregate(15,6,(ROW(Pessoas!$A$5:$A$44)-4)/((Pessoas!$C$5:$C$44=$K2039)*(Pessoas!$G$5:$G$44="Ativo")),MOD(ROW()-6,MAX(1,COUNTIFS(Pessoas!$C$5:$C$44,$K2039,Pessoas!$G$5:$G$44,"Ativo")))+1)))</f>
        <v>Equipe Oficina Mecânica Central-Taisa</v>
      </c>
    </row>
    <row r="2040" spans="1:12" ht="15" customHeight="1" x14ac:dyDescent="0.4">
      <c r="A2040" s="25">
        <v>46604</v>
      </c>
      <c r="B2040" s="16">
        <v>49</v>
      </c>
      <c r="C2040" s="16">
        <v>4</v>
      </c>
      <c r="D2040" s="16">
        <v>8</v>
      </c>
      <c r="E2040" s="16" t="s">
        <v>1371</v>
      </c>
      <c r="F2040" s="16" t="s">
        <v>1224</v>
      </c>
      <c r="G2040" s="16" t="s">
        <v>526</v>
      </c>
      <c r="H2040" s="16" t="s">
        <v>140</v>
      </c>
      <c r="I2040" s="22" t="s">
        <v>861</v>
      </c>
      <c r="J2040" s="16">
        <f>IFERROR(INDEX(Aux_HH!$J$4:$J$31,MATCH($H2040&amp;"|"&amp;$I2040,Aux_HH!$A$4:$A$31,0)),"")</f>
        <v>4.5</v>
      </c>
      <c r="K2040" s="16" t="s">
        <v>76</v>
      </c>
      <c r="L2040" s="16" t="str">
        <f>IF(COUNTIFS(Pessoas!$C$5:$C$44,$K2040,Pessoas!$G$5:$G$44,"Ativo")=0,"Equipe "&amp;$K2040,INDEX(Pessoas!$A$5:$A$44,_xludf.aggregate(15,6,(ROW(Pessoas!$A$5:$A$44)-4)/((Pessoas!$C$5:$C$44=$K2040)*(Pessoas!$G$5:$G$44="Ativo")),MOD(ROW()-6,MAX(1,COUNTIFS(Pessoas!$C$5:$C$44,$K2040,Pessoas!$G$5:$G$44,"Ativo")))+1)))</f>
        <v>Equipe Oficina Mecânica Central-Taisa</v>
      </c>
    </row>
    <row r="2041" spans="1:12" ht="15" customHeight="1" x14ac:dyDescent="0.4">
      <c r="A2041" s="25">
        <v>46604</v>
      </c>
      <c r="B2041" s="16">
        <v>49</v>
      </c>
      <c r="C2041" s="16">
        <v>4</v>
      </c>
      <c r="D2041" s="16">
        <v>8</v>
      </c>
      <c r="E2041" s="16" t="s">
        <v>1371</v>
      </c>
      <c r="F2041" s="16" t="s">
        <v>1225</v>
      </c>
      <c r="G2041" s="16" t="s">
        <v>526</v>
      </c>
      <c r="H2041" s="16" t="s">
        <v>140</v>
      </c>
      <c r="I2041" s="22" t="s">
        <v>861</v>
      </c>
      <c r="J2041" s="16">
        <f>IFERROR(INDEX(Aux_HH!$J$4:$J$31,MATCH($H2041&amp;"|"&amp;$I2041,Aux_HH!$A$4:$A$31,0)),"")</f>
        <v>4.5</v>
      </c>
      <c r="K2041" s="16" t="s">
        <v>76</v>
      </c>
      <c r="L2041" s="16" t="str">
        <f>IF(COUNTIFS(Pessoas!$C$5:$C$44,$K2041,Pessoas!$G$5:$G$44,"Ativo")=0,"Equipe "&amp;$K2041,INDEX(Pessoas!$A$5:$A$44,_xludf.aggregate(15,6,(ROW(Pessoas!$A$5:$A$44)-4)/((Pessoas!$C$5:$C$44=$K2041)*(Pessoas!$G$5:$G$44="Ativo")),MOD(ROW()-6,MAX(1,COUNTIFS(Pessoas!$C$5:$C$44,$K2041,Pessoas!$G$5:$G$44,"Ativo")))+1)))</f>
        <v>Equipe Oficina Mecânica Central-Taisa</v>
      </c>
    </row>
    <row r="2042" spans="1:12" ht="15" customHeight="1" x14ac:dyDescent="0.4">
      <c r="A2042" s="25">
        <v>46604</v>
      </c>
      <c r="B2042" s="16">
        <v>49</v>
      </c>
      <c r="C2042" s="16">
        <v>4</v>
      </c>
      <c r="D2042" s="16">
        <v>8</v>
      </c>
      <c r="E2042" s="16" t="s">
        <v>1371</v>
      </c>
      <c r="F2042" s="16" t="s">
        <v>1226</v>
      </c>
      <c r="G2042" s="16" t="s">
        <v>526</v>
      </c>
      <c r="H2042" s="16" t="s">
        <v>140</v>
      </c>
      <c r="I2042" s="22" t="s">
        <v>861</v>
      </c>
      <c r="J2042" s="16">
        <f>IFERROR(INDEX(Aux_HH!$J$4:$J$31,MATCH($H2042&amp;"|"&amp;$I2042,Aux_HH!$A$4:$A$31,0)),"")</f>
        <v>4.5</v>
      </c>
      <c r="K2042" s="16" t="s">
        <v>76</v>
      </c>
      <c r="L2042" s="16" t="str">
        <f>IF(COUNTIFS(Pessoas!$C$5:$C$44,$K2042,Pessoas!$G$5:$G$44,"Ativo")=0,"Equipe "&amp;$K2042,INDEX(Pessoas!$A$5:$A$44,_xludf.aggregate(15,6,(ROW(Pessoas!$A$5:$A$44)-4)/((Pessoas!$C$5:$C$44=$K2042)*(Pessoas!$G$5:$G$44="Ativo")),MOD(ROW()-6,MAX(1,COUNTIFS(Pessoas!$C$5:$C$44,$K2042,Pessoas!$G$5:$G$44,"Ativo")))+1)))</f>
        <v>Equipe Oficina Mecânica Central-Taisa</v>
      </c>
    </row>
    <row r="2043" spans="1:12" ht="15" customHeight="1" x14ac:dyDescent="0.4">
      <c r="A2043" s="25">
        <v>46604</v>
      </c>
      <c r="B2043" s="16">
        <v>49</v>
      </c>
      <c r="C2043" s="16">
        <v>4</v>
      </c>
      <c r="D2043" s="16">
        <v>8</v>
      </c>
      <c r="E2043" s="16" t="s">
        <v>1371</v>
      </c>
      <c r="F2043" s="16" t="s">
        <v>1227</v>
      </c>
      <c r="G2043" s="16" t="s">
        <v>526</v>
      </c>
      <c r="H2043" s="16" t="s">
        <v>140</v>
      </c>
      <c r="I2043" s="22" t="s">
        <v>861</v>
      </c>
      <c r="J2043" s="16">
        <f>IFERROR(INDEX(Aux_HH!$J$4:$J$31,MATCH($H2043&amp;"|"&amp;$I2043,Aux_HH!$A$4:$A$31,0)),"")</f>
        <v>4.5</v>
      </c>
      <c r="K2043" s="16" t="s">
        <v>76</v>
      </c>
      <c r="L2043" s="16" t="str">
        <f>IF(COUNTIFS(Pessoas!$C$5:$C$44,$K2043,Pessoas!$G$5:$G$44,"Ativo")=0,"Equipe "&amp;$K2043,INDEX(Pessoas!$A$5:$A$44,_xludf.aggregate(15,6,(ROW(Pessoas!$A$5:$A$44)-4)/((Pessoas!$C$5:$C$44=$K2043)*(Pessoas!$G$5:$G$44="Ativo")),MOD(ROW()-6,MAX(1,COUNTIFS(Pessoas!$C$5:$C$44,$K2043,Pessoas!$G$5:$G$44,"Ativo")))+1)))</f>
        <v>Equipe Oficina Mecânica Central-Taisa</v>
      </c>
    </row>
    <row r="2044" spans="1:12" ht="15" customHeight="1" x14ac:dyDescent="0.4">
      <c r="A2044" s="25">
        <v>46604</v>
      </c>
      <c r="B2044" s="16">
        <v>49</v>
      </c>
      <c r="C2044" s="16">
        <v>4</v>
      </c>
      <c r="D2044" s="16">
        <v>8</v>
      </c>
      <c r="E2044" s="16" t="s">
        <v>1371</v>
      </c>
      <c r="F2044" s="16" t="s">
        <v>1251</v>
      </c>
      <c r="G2044" s="16" t="s">
        <v>526</v>
      </c>
      <c r="H2044" s="16" t="s">
        <v>140</v>
      </c>
      <c r="I2044" s="22" t="s">
        <v>861</v>
      </c>
      <c r="J2044" s="16">
        <f>IFERROR(INDEX(Aux_HH!$J$4:$J$31,MATCH($H2044&amp;"|"&amp;$I2044,Aux_HH!$A$4:$A$31,0)),"")</f>
        <v>4.5</v>
      </c>
      <c r="K2044" s="16" t="s">
        <v>76</v>
      </c>
      <c r="L2044" s="16" t="str">
        <f>IF(COUNTIFS(Pessoas!$C$5:$C$44,$K2044,Pessoas!$G$5:$G$44,"Ativo")=0,"Equipe "&amp;$K2044,INDEX(Pessoas!$A$5:$A$44,_xludf.aggregate(15,6,(ROW(Pessoas!$A$5:$A$44)-4)/((Pessoas!$C$5:$C$44=$K2044)*(Pessoas!$G$5:$G$44="Ativo")),MOD(ROW()-6,MAX(1,COUNTIFS(Pessoas!$C$5:$C$44,$K2044,Pessoas!$G$5:$G$44,"Ativo")))+1)))</f>
        <v>Equipe Oficina Mecânica Central-Taisa</v>
      </c>
    </row>
    <row r="2045" spans="1:12" ht="15" customHeight="1" x14ac:dyDescent="0.4">
      <c r="A2045" s="25">
        <v>46604</v>
      </c>
      <c r="B2045" s="16">
        <v>49</v>
      </c>
      <c r="C2045" s="16">
        <v>4</v>
      </c>
      <c r="D2045" s="16">
        <v>8</v>
      </c>
      <c r="E2045" s="16" t="s">
        <v>1371</v>
      </c>
      <c r="F2045" s="16" t="s">
        <v>1252</v>
      </c>
      <c r="G2045" s="16" t="s">
        <v>526</v>
      </c>
      <c r="H2045" s="16" t="s">
        <v>140</v>
      </c>
      <c r="I2045" s="22" t="s">
        <v>861</v>
      </c>
      <c r="J2045" s="16">
        <f>IFERROR(INDEX(Aux_HH!$J$4:$J$31,MATCH($H2045&amp;"|"&amp;$I2045,Aux_HH!$A$4:$A$31,0)),"")</f>
        <v>4.5</v>
      </c>
      <c r="K2045" s="16" t="s">
        <v>76</v>
      </c>
      <c r="L2045" s="16" t="str">
        <f>IF(COUNTIFS(Pessoas!$C$5:$C$44,$K2045,Pessoas!$G$5:$G$44,"Ativo")=0,"Equipe "&amp;$K2045,INDEX(Pessoas!$A$5:$A$44,_xludf.aggregate(15,6,(ROW(Pessoas!$A$5:$A$44)-4)/((Pessoas!$C$5:$C$44=$K2045)*(Pessoas!$G$5:$G$44="Ativo")),MOD(ROW()-6,MAX(1,COUNTIFS(Pessoas!$C$5:$C$44,$K2045,Pessoas!$G$5:$G$44,"Ativo")))+1)))</f>
        <v>Equipe Oficina Mecânica Central-Taisa</v>
      </c>
    </row>
    <row r="2046" spans="1:12" ht="15" customHeight="1" x14ac:dyDescent="0.4">
      <c r="A2046" s="25">
        <v>46604</v>
      </c>
      <c r="B2046" s="16">
        <v>49</v>
      </c>
      <c r="C2046" s="16">
        <v>4</v>
      </c>
      <c r="D2046" s="16">
        <v>8</v>
      </c>
      <c r="E2046" s="16" t="s">
        <v>1371</v>
      </c>
      <c r="F2046" s="16" t="s">
        <v>1254</v>
      </c>
      <c r="G2046" s="16" t="s">
        <v>184</v>
      </c>
      <c r="H2046" s="16" t="s">
        <v>140</v>
      </c>
      <c r="I2046" s="22" t="s">
        <v>861</v>
      </c>
      <c r="J2046" s="16">
        <f>IFERROR(INDEX(Aux_HH!$J$4:$J$31,MATCH($H2046&amp;"|"&amp;$I2046,Aux_HH!$A$4:$A$31,0)),"")</f>
        <v>4.5</v>
      </c>
      <c r="K2046" s="16" t="s">
        <v>76</v>
      </c>
      <c r="L2046" s="16" t="str">
        <f>IF(COUNTIFS(Pessoas!$C$5:$C$44,$K2046,Pessoas!$G$5:$G$44,"Ativo")=0,"Equipe "&amp;$K2046,INDEX(Pessoas!$A$5:$A$44,_xludf.aggregate(15,6,(ROW(Pessoas!$A$5:$A$44)-4)/((Pessoas!$C$5:$C$44=$K2046)*(Pessoas!$G$5:$G$44="Ativo")),MOD(ROW()-6,MAX(1,COUNTIFS(Pessoas!$C$5:$C$44,$K2046,Pessoas!$G$5:$G$44,"Ativo")))+1)))</f>
        <v>Equipe Oficina Mecânica Central-Taisa</v>
      </c>
    </row>
    <row r="2047" spans="1:12" ht="15" customHeight="1" x14ac:dyDescent="0.4">
      <c r="A2047" s="25">
        <v>46604</v>
      </c>
      <c r="B2047" s="16">
        <v>49</v>
      </c>
      <c r="C2047" s="16">
        <v>4</v>
      </c>
      <c r="D2047" s="16">
        <v>8</v>
      </c>
      <c r="E2047" s="16" t="s">
        <v>1371</v>
      </c>
      <c r="F2047" s="16" t="s">
        <v>1255</v>
      </c>
      <c r="G2047" s="16" t="s">
        <v>184</v>
      </c>
      <c r="H2047" s="16" t="s">
        <v>140</v>
      </c>
      <c r="I2047" s="22" t="s">
        <v>861</v>
      </c>
      <c r="J2047" s="16">
        <f>IFERROR(INDEX(Aux_HH!$J$4:$J$31,MATCH($H2047&amp;"|"&amp;$I2047,Aux_HH!$A$4:$A$31,0)),"")</f>
        <v>4.5</v>
      </c>
      <c r="K2047" s="16" t="s">
        <v>76</v>
      </c>
      <c r="L2047" s="16" t="str">
        <f>IF(COUNTIFS(Pessoas!$C$5:$C$44,$K2047,Pessoas!$G$5:$G$44,"Ativo")=0,"Equipe "&amp;$K2047,INDEX(Pessoas!$A$5:$A$44,_xludf.aggregate(15,6,(ROW(Pessoas!$A$5:$A$44)-4)/((Pessoas!$C$5:$C$44=$K2047)*(Pessoas!$G$5:$G$44="Ativo")),MOD(ROW()-6,MAX(1,COUNTIFS(Pessoas!$C$5:$C$44,$K2047,Pessoas!$G$5:$G$44,"Ativo")))+1)))</f>
        <v>Equipe Oficina Mecânica Central-Taisa</v>
      </c>
    </row>
    <row r="2048" spans="1:12" ht="15" customHeight="1" x14ac:dyDescent="0.4">
      <c r="A2048" s="25">
        <v>46604</v>
      </c>
      <c r="B2048" s="16">
        <v>49</v>
      </c>
      <c r="C2048" s="16">
        <v>4</v>
      </c>
      <c r="D2048" s="16">
        <v>8</v>
      </c>
      <c r="E2048" s="16" t="s">
        <v>1371</v>
      </c>
      <c r="F2048" s="16" t="s">
        <v>1256</v>
      </c>
      <c r="G2048" s="16" t="s">
        <v>184</v>
      </c>
      <c r="H2048" s="16" t="s">
        <v>140</v>
      </c>
      <c r="I2048" s="22" t="s">
        <v>861</v>
      </c>
      <c r="J2048" s="16">
        <f>IFERROR(INDEX(Aux_HH!$J$4:$J$31,MATCH($H2048&amp;"|"&amp;$I2048,Aux_HH!$A$4:$A$31,0)),"")</f>
        <v>4.5</v>
      </c>
      <c r="K2048" s="16" t="s">
        <v>76</v>
      </c>
      <c r="L2048" s="16" t="str">
        <f>IF(COUNTIFS(Pessoas!$C$5:$C$44,$K2048,Pessoas!$G$5:$G$44,"Ativo")=0,"Equipe "&amp;$K2048,INDEX(Pessoas!$A$5:$A$44,_xludf.aggregate(15,6,(ROW(Pessoas!$A$5:$A$44)-4)/((Pessoas!$C$5:$C$44=$K2048)*(Pessoas!$G$5:$G$44="Ativo")),MOD(ROW()-6,MAX(1,COUNTIFS(Pessoas!$C$5:$C$44,$K2048,Pessoas!$G$5:$G$44,"Ativo")))+1)))</f>
        <v>Equipe Oficina Mecânica Central-Taisa</v>
      </c>
    </row>
    <row r="2049" spans="1:12" ht="15" customHeight="1" x14ac:dyDescent="0.4">
      <c r="A2049" s="25">
        <v>46604</v>
      </c>
      <c r="B2049" s="16">
        <v>49</v>
      </c>
      <c r="C2049" s="16">
        <v>4</v>
      </c>
      <c r="D2049" s="16">
        <v>8</v>
      </c>
      <c r="E2049" s="16" t="s">
        <v>1371</v>
      </c>
      <c r="F2049" s="16" t="s">
        <v>1257</v>
      </c>
      <c r="G2049" s="16" t="s">
        <v>526</v>
      </c>
      <c r="H2049" s="16" t="s">
        <v>140</v>
      </c>
      <c r="I2049" s="22" t="s">
        <v>861</v>
      </c>
      <c r="J2049" s="16">
        <f>IFERROR(INDEX(Aux_HH!$J$4:$J$31,MATCH($H2049&amp;"|"&amp;$I2049,Aux_HH!$A$4:$A$31,0)),"")</f>
        <v>4.5</v>
      </c>
      <c r="K2049" s="16" t="s">
        <v>76</v>
      </c>
      <c r="L2049" s="16" t="str">
        <f>IF(COUNTIFS(Pessoas!$C$5:$C$44,$K2049,Pessoas!$G$5:$G$44,"Ativo")=0,"Equipe "&amp;$K2049,INDEX(Pessoas!$A$5:$A$44,_xludf.aggregate(15,6,(ROW(Pessoas!$A$5:$A$44)-4)/((Pessoas!$C$5:$C$44=$K2049)*(Pessoas!$G$5:$G$44="Ativo")),MOD(ROW()-6,MAX(1,COUNTIFS(Pessoas!$C$5:$C$44,$K2049,Pessoas!$G$5:$G$44,"Ativo")))+1)))</f>
        <v>Equipe Oficina Mecânica Central-Taisa</v>
      </c>
    </row>
    <row r="2050" spans="1:12" ht="15" customHeight="1" x14ac:dyDescent="0.4">
      <c r="A2050" s="25">
        <v>46604</v>
      </c>
      <c r="B2050" s="16">
        <v>49</v>
      </c>
      <c r="C2050" s="16">
        <v>4</v>
      </c>
      <c r="D2050" s="16">
        <v>8</v>
      </c>
      <c r="E2050" s="16" t="s">
        <v>1371</v>
      </c>
      <c r="F2050" s="16" t="s">
        <v>1258</v>
      </c>
      <c r="G2050" s="16" t="s">
        <v>526</v>
      </c>
      <c r="H2050" s="16" t="s">
        <v>140</v>
      </c>
      <c r="I2050" s="22" t="s">
        <v>861</v>
      </c>
      <c r="J2050" s="16">
        <f>IFERROR(INDEX(Aux_HH!$J$4:$J$31,MATCH($H2050&amp;"|"&amp;$I2050,Aux_HH!$A$4:$A$31,0)),"")</f>
        <v>4.5</v>
      </c>
      <c r="K2050" s="16" t="s">
        <v>76</v>
      </c>
      <c r="L2050" s="16" t="str">
        <f>IF(COUNTIFS(Pessoas!$C$5:$C$44,$K2050,Pessoas!$G$5:$G$44,"Ativo")=0,"Equipe "&amp;$K2050,INDEX(Pessoas!$A$5:$A$44,_xludf.aggregate(15,6,(ROW(Pessoas!$A$5:$A$44)-4)/((Pessoas!$C$5:$C$44=$K2050)*(Pessoas!$G$5:$G$44="Ativo")),MOD(ROW()-6,MAX(1,COUNTIFS(Pessoas!$C$5:$C$44,$K2050,Pessoas!$G$5:$G$44,"Ativo")))+1)))</f>
        <v>Equipe Oficina Mecânica Central-Taisa</v>
      </c>
    </row>
    <row r="2051" spans="1:12" ht="15" customHeight="1" x14ac:dyDescent="0.4">
      <c r="A2051" s="25">
        <v>46605</v>
      </c>
      <c r="B2051" s="16">
        <v>49</v>
      </c>
      <c r="C2051" s="16">
        <v>4</v>
      </c>
      <c r="D2051" s="16">
        <v>8</v>
      </c>
      <c r="E2051" s="16" t="s">
        <v>1371</v>
      </c>
      <c r="F2051" s="16" t="s">
        <v>985</v>
      </c>
      <c r="G2051" s="16" t="s">
        <v>184</v>
      </c>
      <c r="H2051" s="16" t="s">
        <v>138</v>
      </c>
      <c r="I2051" s="22" t="s">
        <v>856</v>
      </c>
      <c r="J2051" s="16">
        <f>IFERROR(INDEX(Aux_HH!$J$4:$J$31,MATCH($H2051&amp;"|"&amp;$I2051,Aux_HH!$A$4:$A$31,0)),"")</f>
        <v>3</v>
      </c>
      <c r="K2051" s="16" t="s">
        <v>76</v>
      </c>
      <c r="L2051" s="16" t="str">
        <f>IF(COUNTIFS(Pessoas!$C$5:$C$44,$K2051,Pessoas!$G$5:$G$44,"Ativo")=0,"Equipe "&amp;$K2051,INDEX(Pessoas!$A$5:$A$44,_xludf.aggregate(15,6,(ROW(Pessoas!$A$5:$A$44)-4)/((Pessoas!$C$5:$C$44=$K2051)*(Pessoas!$G$5:$G$44="Ativo")),MOD(ROW()-6,MAX(1,COUNTIFS(Pessoas!$C$5:$C$44,$K2051,Pessoas!$G$5:$G$44,"Ativo")))+1)))</f>
        <v>Equipe Oficina Mecânica Central-Taisa</v>
      </c>
    </row>
    <row r="2052" spans="1:12" ht="15" customHeight="1" x14ac:dyDescent="0.4">
      <c r="A2052" s="25">
        <v>46605</v>
      </c>
      <c r="B2052" s="16">
        <v>49</v>
      </c>
      <c r="C2052" s="16">
        <v>4</v>
      </c>
      <c r="D2052" s="16">
        <v>8</v>
      </c>
      <c r="E2052" s="16" t="s">
        <v>1371</v>
      </c>
      <c r="F2052" s="16" t="s">
        <v>987</v>
      </c>
      <c r="G2052" s="16" t="s">
        <v>526</v>
      </c>
      <c r="H2052" s="16" t="s">
        <v>138</v>
      </c>
      <c r="I2052" s="22" t="s">
        <v>856</v>
      </c>
      <c r="J2052" s="16">
        <f>IFERROR(INDEX(Aux_HH!$J$4:$J$31,MATCH($H2052&amp;"|"&amp;$I2052,Aux_HH!$A$4:$A$31,0)),"")</f>
        <v>3</v>
      </c>
      <c r="K2052" s="16" t="s">
        <v>76</v>
      </c>
      <c r="L2052" s="16" t="str">
        <f>IF(COUNTIFS(Pessoas!$C$5:$C$44,$K2052,Pessoas!$G$5:$G$44,"Ativo")=0,"Equipe "&amp;$K2052,INDEX(Pessoas!$A$5:$A$44,_xludf.aggregate(15,6,(ROW(Pessoas!$A$5:$A$44)-4)/((Pessoas!$C$5:$C$44=$K2052)*(Pessoas!$G$5:$G$44="Ativo")),MOD(ROW()-6,MAX(1,COUNTIFS(Pessoas!$C$5:$C$44,$K2052,Pessoas!$G$5:$G$44,"Ativo")))+1)))</f>
        <v>Equipe Oficina Mecânica Central-Taisa</v>
      </c>
    </row>
    <row r="2053" spans="1:12" ht="15" customHeight="1" x14ac:dyDescent="0.4">
      <c r="A2053" s="25">
        <v>46605</v>
      </c>
      <c r="B2053" s="16">
        <v>49</v>
      </c>
      <c r="C2053" s="16">
        <v>4</v>
      </c>
      <c r="D2053" s="16">
        <v>8</v>
      </c>
      <c r="E2053" s="16" t="s">
        <v>1371</v>
      </c>
      <c r="F2053" s="16" t="s">
        <v>1259</v>
      </c>
      <c r="G2053" s="16" t="s">
        <v>526</v>
      </c>
      <c r="H2053" s="16" t="s">
        <v>140</v>
      </c>
      <c r="I2053" s="22" t="s">
        <v>861</v>
      </c>
      <c r="J2053" s="16">
        <f>IFERROR(INDEX(Aux_HH!$J$4:$J$31,MATCH($H2053&amp;"|"&amp;$I2053,Aux_HH!$A$4:$A$31,0)),"")</f>
        <v>4.5</v>
      </c>
      <c r="K2053" s="16" t="s">
        <v>76</v>
      </c>
      <c r="L2053" s="16" t="str">
        <f>IF(COUNTIFS(Pessoas!$C$5:$C$44,$K2053,Pessoas!$G$5:$G$44,"Ativo")=0,"Equipe "&amp;$K2053,INDEX(Pessoas!$A$5:$A$44,_xludf.aggregate(15,6,(ROW(Pessoas!$A$5:$A$44)-4)/((Pessoas!$C$5:$C$44=$K2053)*(Pessoas!$G$5:$G$44="Ativo")),MOD(ROW()-6,MAX(1,COUNTIFS(Pessoas!$C$5:$C$44,$K2053,Pessoas!$G$5:$G$44,"Ativo")))+1)))</f>
        <v>Equipe Oficina Mecânica Central-Taisa</v>
      </c>
    </row>
    <row r="2054" spans="1:12" ht="15" customHeight="1" x14ac:dyDescent="0.4">
      <c r="A2054" s="25">
        <v>46605</v>
      </c>
      <c r="B2054" s="16">
        <v>49</v>
      </c>
      <c r="C2054" s="16">
        <v>4</v>
      </c>
      <c r="D2054" s="16">
        <v>8</v>
      </c>
      <c r="E2054" s="16" t="s">
        <v>1371</v>
      </c>
      <c r="F2054" s="16" t="s">
        <v>1260</v>
      </c>
      <c r="G2054" s="16" t="s">
        <v>526</v>
      </c>
      <c r="H2054" s="16" t="s">
        <v>140</v>
      </c>
      <c r="I2054" s="22" t="s">
        <v>861</v>
      </c>
      <c r="J2054" s="16">
        <f>IFERROR(INDEX(Aux_HH!$J$4:$J$31,MATCH($H2054&amp;"|"&amp;$I2054,Aux_HH!$A$4:$A$31,0)),"")</f>
        <v>4.5</v>
      </c>
      <c r="K2054" s="16" t="s">
        <v>76</v>
      </c>
      <c r="L2054" s="16" t="str">
        <f>IF(COUNTIFS(Pessoas!$C$5:$C$44,$K2054,Pessoas!$G$5:$G$44,"Ativo")=0,"Equipe "&amp;$K2054,INDEX(Pessoas!$A$5:$A$44,_xludf.aggregate(15,6,(ROW(Pessoas!$A$5:$A$44)-4)/((Pessoas!$C$5:$C$44=$K2054)*(Pessoas!$G$5:$G$44="Ativo")),MOD(ROW()-6,MAX(1,COUNTIFS(Pessoas!$C$5:$C$44,$K2054,Pessoas!$G$5:$G$44,"Ativo")))+1)))</f>
        <v>Equipe Oficina Mecânica Central-Taisa</v>
      </c>
    </row>
    <row r="2055" spans="1:12" ht="15" customHeight="1" x14ac:dyDescent="0.4">
      <c r="A2055" s="25">
        <v>46605</v>
      </c>
      <c r="B2055" s="16">
        <v>49</v>
      </c>
      <c r="C2055" s="16">
        <v>4</v>
      </c>
      <c r="D2055" s="16">
        <v>8</v>
      </c>
      <c r="E2055" s="16" t="s">
        <v>1371</v>
      </c>
      <c r="F2055" s="16" t="s">
        <v>1261</v>
      </c>
      <c r="G2055" s="16" t="s">
        <v>526</v>
      </c>
      <c r="H2055" s="16" t="s">
        <v>140</v>
      </c>
      <c r="I2055" s="22" t="s">
        <v>861</v>
      </c>
      <c r="J2055" s="16">
        <f>IFERROR(INDEX(Aux_HH!$J$4:$J$31,MATCH($H2055&amp;"|"&amp;$I2055,Aux_HH!$A$4:$A$31,0)),"")</f>
        <v>4.5</v>
      </c>
      <c r="K2055" s="16" t="s">
        <v>76</v>
      </c>
      <c r="L2055" s="16" t="str">
        <f>IF(COUNTIFS(Pessoas!$C$5:$C$44,$K2055,Pessoas!$G$5:$G$44,"Ativo")=0,"Equipe "&amp;$K2055,INDEX(Pessoas!$A$5:$A$44,_xludf.aggregate(15,6,(ROW(Pessoas!$A$5:$A$44)-4)/((Pessoas!$C$5:$C$44=$K2055)*(Pessoas!$G$5:$G$44="Ativo")),MOD(ROW()-6,MAX(1,COUNTIFS(Pessoas!$C$5:$C$44,$K2055,Pessoas!$G$5:$G$44,"Ativo")))+1)))</f>
        <v>Equipe Oficina Mecânica Central-Taisa</v>
      </c>
    </row>
    <row r="2056" spans="1:12" ht="15" customHeight="1" x14ac:dyDescent="0.4">
      <c r="A2056" s="25">
        <v>46605</v>
      </c>
      <c r="B2056" s="16">
        <v>49</v>
      </c>
      <c r="C2056" s="16">
        <v>4</v>
      </c>
      <c r="D2056" s="16">
        <v>8</v>
      </c>
      <c r="E2056" s="16" t="s">
        <v>1371</v>
      </c>
      <c r="F2056" s="16" t="s">
        <v>1262</v>
      </c>
      <c r="G2056" s="16" t="s">
        <v>184</v>
      </c>
      <c r="H2056" s="16" t="s">
        <v>140</v>
      </c>
      <c r="I2056" s="22" t="s">
        <v>861</v>
      </c>
      <c r="J2056" s="16">
        <f>IFERROR(INDEX(Aux_HH!$J$4:$J$31,MATCH($H2056&amp;"|"&amp;$I2056,Aux_HH!$A$4:$A$31,0)),"")</f>
        <v>4.5</v>
      </c>
      <c r="K2056" s="16" t="s">
        <v>76</v>
      </c>
      <c r="L2056" s="16" t="str">
        <f>IF(COUNTIFS(Pessoas!$C$5:$C$44,$K2056,Pessoas!$G$5:$G$44,"Ativo")=0,"Equipe "&amp;$K2056,INDEX(Pessoas!$A$5:$A$44,_xludf.aggregate(15,6,(ROW(Pessoas!$A$5:$A$44)-4)/((Pessoas!$C$5:$C$44=$K2056)*(Pessoas!$G$5:$G$44="Ativo")),MOD(ROW()-6,MAX(1,COUNTIFS(Pessoas!$C$5:$C$44,$K2056,Pessoas!$G$5:$G$44,"Ativo")))+1)))</f>
        <v>Equipe Oficina Mecânica Central-Taisa</v>
      </c>
    </row>
    <row r="2057" spans="1:12" ht="15" customHeight="1" x14ac:dyDescent="0.4">
      <c r="A2057" s="25">
        <v>46605</v>
      </c>
      <c r="B2057" s="16">
        <v>49</v>
      </c>
      <c r="C2057" s="16">
        <v>4</v>
      </c>
      <c r="D2057" s="16">
        <v>8</v>
      </c>
      <c r="E2057" s="16" t="s">
        <v>1371</v>
      </c>
      <c r="F2057" s="16" t="s">
        <v>1263</v>
      </c>
      <c r="G2057" s="16" t="s">
        <v>184</v>
      </c>
      <c r="H2057" s="16" t="s">
        <v>140</v>
      </c>
      <c r="I2057" s="22" t="s">
        <v>861</v>
      </c>
      <c r="J2057" s="16">
        <f>IFERROR(INDEX(Aux_HH!$J$4:$J$31,MATCH($H2057&amp;"|"&amp;$I2057,Aux_HH!$A$4:$A$31,0)),"")</f>
        <v>4.5</v>
      </c>
      <c r="K2057" s="16" t="s">
        <v>76</v>
      </c>
      <c r="L2057" s="16" t="str">
        <f>IF(COUNTIFS(Pessoas!$C$5:$C$44,$K2057,Pessoas!$G$5:$G$44,"Ativo")=0,"Equipe "&amp;$K2057,INDEX(Pessoas!$A$5:$A$44,_xludf.aggregate(15,6,(ROW(Pessoas!$A$5:$A$44)-4)/((Pessoas!$C$5:$C$44=$K2057)*(Pessoas!$G$5:$G$44="Ativo")),MOD(ROW()-6,MAX(1,COUNTIFS(Pessoas!$C$5:$C$44,$K2057,Pessoas!$G$5:$G$44,"Ativo")))+1)))</f>
        <v>Equipe Oficina Mecânica Central-Taisa</v>
      </c>
    </row>
    <row r="2058" spans="1:12" ht="15" customHeight="1" x14ac:dyDescent="0.4">
      <c r="A2058" s="25">
        <v>46605</v>
      </c>
      <c r="B2058" s="16">
        <v>49</v>
      </c>
      <c r="C2058" s="16">
        <v>4</v>
      </c>
      <c r="D2058" s="16">
        <v>8</v>
      </c>
      <c r="E2058" s="16" t="s">
        <v>1371</v>
      </c>
      <c r="F2058" s="16" t="s">
        <v>1264</v>
      </c>
      <c r="G2058" s="16" t="s">
        <v>184</v>
      </c>
      <c r="H2058" s="16" t="s">
        <v>140</v>
      </c>
      <c r="I2058" s="22" t="s">
        <v>861</v>
      </c>
      <c r="J2058" s="16">
        <f>IFERROR(INDEX(Aux_HH!$J$4:$J$31,MATCH($H2058&amp;"|"&amp;$I2058,Aux_HH!$A$4:$A$31,0)),"")</f>
        <v>4.5</v>
      </c>
      <c r="K2058" s="16" t="s">
        <v>76</v>
      </c>
      <c r="L2058" s="16" t="str">
        <f>IF(COUNTIFS(Pessoas!$C$5:$C$44,$K2058,Pessoas!$G$5:$G$44,"Ativo")=0,"Equipe "&amp;$K2058,INDEX(Pessoas!$A$5:$A$44,_xludf.aggregate(15,6,(ROW(Pessoas!$A$5:$A$44)-4)/((Pessoas!$C$5:$C$44=$K2058)*(Pessoas!$G$5:$G$44="Ativo")),MOD(ROW()-6,MAX(1,COUNTIFS(Pessoas!$C$5:$C$44,$K2058,Pessoas!$G$5:$G$44,"Ativo")))+1)))</f>
        <v>Equipe Oficina Mecânica Central-Taisa</v>
      </c>
    </row>
    <row r="2059" spans="1:12" ht="15" customHeight="1" x14ac:dyDescent="0.4">
      <c r="A2059" s="25">
        <v>46605</v>
      </c>
      <c r="B2059" s="16">
        <v>49</v>
      </c>
      <c r="C2059" s="16">
        <v>4</v>
      </c>
      <c r="D2059" s="16">
        <v>8</v>
      </c>
      <c r="E2059" s="16" t="s">
        <v>1371</v>
      </c>
      <c r="F2059" s="16" t="s">
        <v>1265</v>
      </c>
      <c r="G2059" s="16" t="s">
        <v>184</v>
      </c>
      <c r="H2059" s="16" t="s">
        <v>140</v>
      </c>
      <c r="I2059" s="22" t="s">
        <v>861</v>
      </c>
      <c r="J2059" s="16">
        <f>IFERROR(INDEX(Aux_HH!$J$4:$J$31,MATCH($H2059&amp;"|"&amp;$I2059,Aux_HH!$A$4:$A$31,0)),"")</f>
        <v>4.5</v>
      </c>
      <c r="K2059" s="16" t="s">
        <v>76</v>
      </c>
      <c r="L2059" s="16" t="str">
        <f>IF(COUNTIFS(Pessoas!$C$5:$C$44,$K2059,Pessoas!$G$5:$G$44,"Ativo")=0,"Equipe "&amp;$K2059,INDEX(Pessoas!$A$5:$A$44,_xludf.aggregate(15,6,(ROW(Pessoas!$A$5:$A$44)-4)/((Pessoas!$C$5:$C$44=$K2059)*(Pessoas!$G$5:$G$44="Ativo")),MOD(ROW()-6,MAX(1,COUNTIFS(Pessoas!$C$5:$C$44,$K2059,Pessoas!$G$5:$G$44,"Ativo")))+1)))</f>
        <v>Equipe Oficina Mecânica Central-Taisa</v>
      </c>
    </row>
    <row r="2060" spans="1:12" ht="15" customHeight="1" x14ac:dyDescent="0.4">
      <c r="A2060" s="25">
        <v>46605</v>
      </c>
      <c r="B2060" s="16">
        <v>49</v>
      </c>
      <c r="C2060" s="16">
        <v>4</v>
      </c>
      <c r="D2060" s="16">
        <v>8</v>
      </c>
      <c r="E2060" s="16" t="s">
        <v>1371</v>
      </c>
      <c r="F2060" s="16" t="s">
        <v>1266</v>
      </c>
      <c r="G2060" s="16" t="s">
        <v>526</v>
      </c>
      <c r="H2060" s="16" t="s">
        <v>140</v>
      </c>
      <c r="I2060" s="22" t="s">
        <v>861</v>
      </c>
      <c r="J2060" s="16">
        <f>IFERROR(INDEX(Aux_HH!$J$4:$J$31,MATCH($H2060&amp;"|"&amp;$I2060,Aux_HH!$A$4:$A$31,0)),"")</f>
        <v>4.5</v>
      </c>
      <c r="K2060" s="16" t="s">
        <v>76</v>
      </c>
      <c r="L2060" s="16" t="str">
        <f>IF(COUNTIFS(Pessoas!$C$5:$C$44,$K2060,Pessoas!$G$5:$G$44,"Ativo")=0,"Equipe "&amp;$K2060,INDEX(Pessoas!$A$5:$A$44,_xludf.aggregate(15,6,(ROW(Pessoas!$A$5:$A$44)-4)/((Pessoas!$C$5:$C$44=$K2060)*(Pessoas!$G$5:$G$44="Ativo")),MOD(ROW()-6,MAX(1,COUNTIFS(Pessoas!$C$5:$C$44,$K2060,Pessoas!$G$5:$G$44,"Ativo")))+1)))</f>
        <v>Equipe Oficina Mecânica Central-Taisa</v>
      </c>
    </row>
    <row r="2061" spans="1:12" ht="15" customHeight="1" x14ac:dyDescent="0.4">
      <c r="A2061" s="25">
        <v>46605</v>
      </c>
      <c r="B2061" s="16">
        <v>49</v>
      </c>
      <c r="C2061" s="16">
        <v>4</v>
      </c>
      <c r="D2061" s="16">
        <v>8</v>
      </c>
      <c r="E2061" s="16" t="s">
        <v>1371</v>
      </c>
      <c r="F2061" s="16" t="s">
        <v>1267</v>
      </c>
      <c r="G2061" s="16" t="s">
        <v>526</v>
      </c>
      <c r="H2061" s="16" t="s">
        <v>140</v>
      </c>
      <c r="I2061" s="22" t="s">
        <v>861</v>
      </c>
      <c r="J2061" s="16">
        <f>IFERROR(INDEX(Aux_HH!$J$4:$J$31,MATCH($H2061&amp;"|"&amp;$I2061,Aux_HH!$A$4:$A$31,0)),"")</f>
        <v>4.5</v>
      </c>
      <c r="K2061" s="16" t="s">
        <v>76</v>
      </c>
      <c r="L2061" s="16" t="str">
        <f>IF(COUNTIFS(Pessoas!$C$5:$C$44,$K2061,Pessoas!$G$5:$G$44,"Ativo")=0,"Equipe "&amp;$K2061,INDEX(Pessoas!$A$5:$A$44,_xludf.aggregate(15,6,(ROW(Pessoas!$A$5:$A$44)-4)/((Pessoas!$C$5:$C$44=$K2061)*(Pessoas!$G$5:$G$44="Ativo")),MOD(ROW()-6,MAX(1,COUNTIFS(Pessoas!$C$5:$C$44,$K2061,Pessoas!$G$5:$G$44,"Ativo")))+1)))</f>
        <v>Equipe Oficina Mecânica Central-Taisa</v>
      </c>
    </row>
    <row r="2062" spans="1:12" ht="15" customHeight="1" x14ac:dyDescent="0.4">
      <c r="A2062" s="25">
        <v>46605</v>
      </c>
      <c r="B2062" s="16">
        <v>49</v>
      </c>
      <c r="C2062" s="16">
        <v>4</v>
      </c>
      <c r="D2062" s="16">
        <v>8</v>
      </c>
      <c r="E2062" s="16" t="s">
        <v>1371</v>
      </c>
      <c r="F2062" s="16" t="s">
        <v>1268</v>
      </c>
      <c r="G2062" s="16" t="s">
        <v>526</v>
      </c>
      <c r="H2062" s="16" t="s">
        <v>140</v>
      </c>
      <c r="I2062" s="22" t="s">
        <v>861</v>
      </c>
      <c r="J2062" s="16">
        <f>IFERROR(INDEX(Aux_HH!$J$4:$J$31,MATCH($H2062&amp;"|"&amp;$I2062,Aux_HH!$A$4:$A$31,0)),"")</f>
        <v>4.5</v>
      </c>
      <c r="K2062" s="16" t="s">
        <v>76</v>
      </c>
      <c r="L2062" s="16" t="str">
        <f>IF(COUNTIFS(Pessoas!$C$5:$C$44,$K2062,Pessoas!$G$5:$G$44,"Ativo")=0,"Equipe "&amp;$K2062,INDEX(Pessoas!$A$5:$A$44,_xludf.aggregate(15,6,(ROW(Pessoas!$A$5:$A$44)-4)/((Pessoas!$C$5:$C$44=$K2062)*(Pessoas!$G$5:$G$44="Ativo")),MOD(ROW()-6,MAX(1,COUNTIFS(Pessoas!$C$5:$C$44,$K2062,Pessoas!$G$5:$G$44,"Ativo")))+1)))</f>
        <v>Equipe Oficina Mecânica Central-Taisa</v>
      </c>
    </row>
    <row r="2063" spans="1:12" ht="15" customHeight="1" x14ac:dyDescent="0.4">
      <c r="A2063" s="25">
        <v>46605</v>
      </c>
      <c r="B2063" s="16">
        <v>49</v>
      </c>
      <c r="C2063" s="16">
        <v>4</v>
      </c>
      <c r="D2063" s="16">
        <v>8</v>
      </c>
      <c r="E2063" s="16" t="s">
        <v>1371</v>
      </c>
      <c r="F2063" s="16" t="s">
        <v>1269</v>
      </c>
      <c r="G2063" s="16" t="s">
        <v>526</v>
      </c>
      <c r="H2063" s="16" t="s">
        <v>140</v>
      </c>
      <c r="I2063" s="22" t="s">
        <v>861</v>
      </c>
      <c r="J2063" s="16">
        <f>IFERROR(INDEX(Aux_HH!$J$4:$J$31,MATCH($H2063&amp;"|"&amp;$I2063,Aux_HH!$A$4:$A$31,0)),"")</f>
        <v>4.5</v>
      </c>
      <c r="K2063" s="16" t="s">
        <v>76</v>
      </c>
      <c r="L2063" s="16" t="str">
        <f>IF(COUNTIFS(Pessoas!$C$5:$C$44,$K2063,Pessoas!$G$5:$G$44,"Ativo")=0,"Equipe "&amp;$K2063,INDEX(Pessoas!$A$5:$A$44,_xludf.aggregate(15,6,(ROW(Pessoas!$A$5:$A$44)-4)/((Pessoas!$C$5:$C$44=$K2063)*(Pessoas!$G$5:$G$44="Ativo")),MOD(ROW()-6,MAX(1,COUNTIFS(Pessoas!$C$5:$C$44,$K2063,Pessoas!$G$5:$G$44,"Ativo")))+1)))</f>
        <v>Equipe Oficina Mecânica Central-Taisa</v>
      </c>
    </row>
    <row r="2064" spans="1:12" ht="15" customHeight="1" x14ac:dyDescent="0.4">
      <c r="A2064" s="25">
        <v>46605</v>
      </c>
      <c r="B2064" s="16">
        <v>49</v>
      </c>
      <c r="C2064" s="16">
        <v>4</v>
      </c>
      <c r="D2064" s="16">
        <v>8</v>
      </c>
      <c r="E2064" s="16" t="s">
        <v>1371</v>
      </c>
      <c r="F2064" s="16" t="s">
        <v>1270</v>
      </c>
      <c r="G2064" s="16" t="s">
        <v>526</v>
      </c>
      <c r="H2064" s="16" t="s">
        <v>140</v>
      </c>
      <c r="I2064" s="22" t="s">
        <v>861</v>
      </c>
      <c r="J2064" s="16">
        <f>IFERROR(INDEX(Aux_HH!$J$4:$J$31,MATCH($H2064&amp;"|"&amp;$I2064,Aux_HH!$A$4:$A$31,0)),"")</f>
        <v>4.5</v>
      </c>
      <c r="K2064" s="16" t="s">
        <v>76</v>
      </c>
      <c r="L2064" s="16" t="str">
        <f>IF(COUNTIFS(Pessoas!$C$5:$C$44,$K2064,Pessoas!$G$5:$G$44,"Ativo")=0,"Equipe "&amp;$K2064,INDEX(Pessoas!$A$5:$A$44,_xludf.aggregate(15,6,(ROW(Pessoas!$A$5:$A$44)-4)/((Pessoas!$C$5:$C$44=$K2064)*(Pessoas!$G$5:$G$44="Ativo")),MOD(ROW()-6,MAX(1,COUNTIFS(Pessoas!$C$5:$C$44,$K2064,Pessoas!$G$5:$G$44,"Ativo")))+1)))</f>
        <v>Equipe Oficina Mecânica Central-Taisa</v>
      </c>
    </row>
    <row r="2065" spans="1:12" ht="15" customHeight="1" x14ac:dyDescent="0.4">
      <c r="A2065" s="25">
        <v>46605</v>
      </c>
      <c r="B2065" s="16">
        <v>49</v>
      </c>
      <c r="C2065" s="16">
        <v>4</v>
      </c>
      <c r="D2065" s="16">
        <v>8</v>
      </c>
      <c r="E2065" s="16" t="s">
        <v>1371</v>
      </c>
      <c r="F2065" s="16" t="s">
        <v>1271</v>
      </c>
      <c r="G2065" s="16" t="s">
        <v>526</v>
      </c>
      <c r="H2065" s="16" t="s">
        <v>140</v>
      </c>
      <c r="I2065" s="22" t="s">
        <v>861</v>
      </c>
      <c r="J2065" s="16">
        <f>IFERROR(INDEX(Aux_HH!$J$4:$J$31,MATCH($H2065&amp;"|"&amp;$I2065,Aux_HH!$A$4:$A$31,0)),"")</f>
        <v>4.5</v>
      </c>
      <c r="K2065" s="16" t="s">
        <v>76</v>
      </c>
      <c r="L2065" s="16" t="str">
        <f>IF(COUNTIFS(Pessoas!$C$5:$C$44,$K2065,Pessoas!$G$5:$G$44,"Ativo")=0,"Equipe "&amp;$K2065,INDEX(Pessoas!$A$5:$A$44,_xludf.aggregate(15,6,(ROW(Pessoas!$A$5:$A$44)-4)/((Pessoas!$C$5:$C$44=$K2065)*(Pessoas!$G$5:$G$44="Ativo")),MOD(ROW()-6,MAX(1,COUNTIFS(Pessoas!$C$5:$C$44,$K2065,Pessoas!$G$5:$G$44,"Ativo")))+1)))</f>
        <v>Equipe Oficina Mecânica Central-Taisa</v>
      </c>
    </row>
    <row r="2066" spans="1:12" ht="15" customHeight="1" x14ac:dyDescent="0.4">
      <c r="A2066" s="25">
        <v>46605</v>
      </c>
      <c r="B2066" s="16">
        <v>49</v>
      </c>
      <c r="C2066" s="16">
        <v>4</v>
      </c>
      <c r="D2066" s="16">
        <v>8</v>
      </c>
      <c r="E2066" s="16" t="s">
        <v>1371</v>
      </c>
      <c r="F2066" s="16" t="s">
        <v>1296</v>
      </c>
      <c r="G2066" s="16" t="s">
        <v>526</v>
      </c>
      <c r="H2066" s="16" t="s">
        <v>140</v>
      </c>
      <c r="I2066" s="22" t="s">
        <v>861</v>
      </c>
      <c r="J2066" s="16">
        <f>IFERROR(INDEX(Aux_HH!$J$4:$J$31,MATCH($H2066&amp;"|"&amp;$I2066,Aux_HH!$A$4:$A$31,0)),"")</f>
        <v>4.5</v>
      </c>
      <c r="K2066" s="16" t="s">
        <v>76</v>
      </c>
      <c r="L2066" s="16" t="str">
        <f>IF(COUNTIFS(Pessoas!$C$5:$C$44,$K2066,Pessoas!$G$5:$G$44,"Ativo")=0,"Equipe "&amp;$K2066,INDEX(Pessoas!$A$5:$A$44,_xludf.aggregate(15,6,(ROW(Pessoas!$A$5:$A$44)-4)/((Pessoas!$C$5:$C$44=$K2066)*(Pessoas!$G$5:$G$44="Ativo")),MOD(ROW()-6,MAX(1,COUNTIFS(Pessoas!$C$5:$C$44,$K2066,Pessoas!$G$5:$G$44,"Ativo")))+1)))</f>
        <v>Equipe Oficina Mecânica Central-Taisa</v>
      </c>
    </row>
    <row r="2067" spans="1:12" ht="15" customHeight="1" x14ac:dyDescent="0.4">
      <c r="A2067" s="25">
        <v>46605</v>
      </c>
      <c r="B2067" s="16">
        <v>49</v>
      </c>
      <c r="C2067" s="16">
        <v>4</v>
      </c>
      <c r="D2067" s="16">
        <v>8</v>
      </c>
      <c r="E2067" s="16" t="s">
        <v>1371</v>
      </c>
      <c r="F2067" s="16" t="s">
        <v>1297</v>
      </c>
      <c r="G2067" s="16" t="s">
        <v>526</v>
      </c>
      <c r="H2067" s="16" t="s">
        <v>140</v>
      </c>
      <c r="I2067" s="22" t="s">
        <v>861</v>
      </c>
      <c r="J2067" s="16">
        <f>IFERROR(INDEX(Aux_HH!$J$4:$J$31,MATCH($H2067&amp;"|"&amp;$I2067,Aux_HH!$A$4:$A$31,0)),"")</f>
        <v>4.5</v>
      </c>
      <c r="K2067" s="16" t="s">
        <v>76</v>
      </c>
      <c r="L2067" s="16" t="str">
        <f>IF(COUNTIFS(Pessoas!$C$5:$C$44,$K2067,Pessoas!$G$5:$G$44,"Ativo")=0,"Equipe "&amp;$K2067,INDEX(Pessoas!$A$5:$A$44,_xludf.aggregate(15,6,(ROW(Pessoas!$A$5:$A$44)-4)/((Pessoas!$C$5:$C$44=$K2067)*(Pessoas!$G$5:$G$44="Ativo")),MOD(ROW()-6,MAX(1,COUNTIFS(Pessoas!$C$5:$C$44,$K2067,Pessoas!$G$5:$G$44,"Ativo")))+1)))</f>
        <v>Equipe Oficina Mecânica Central-Taisa</v>
      </c>
    </row>
    <row r="2068" spans="1:12" ht="15" customHeight="1" x14ac:dyDescent="0.4">
      <c r="A2068" s="25">
        <v>46605</v>
      </c>
      <c r="B2068" s="16">
        <v>49</v>
      </c>
      <c r="C2068" s="16">
        <v>4</v>
      </c>
      <c r="D2068" s="16">
        <v>8</v>
      </c>
      <c r="E2068" s="16" t="s">
        <v>1371</v>
      </c>
      <c r="F2068" s="16" t="s">
        <v>1298</v>
      </c>
      <c r="G2068" s="16" t="s">
        <v>184</v>
      </c>
      <c r="H2068" s="16" t="s">
        <v>140</v>
      </c>
      <c r="I2068" s="22" t="s">
        <v>861</v>
      </c>
      <c r="J2068" s="16">
        <f>IFERROR(INDEX(Aux_HH!$J$4:$J$31,MATCH($H2068&amp;"|"&amp;$I2068,Aux_HH!$A$4:$A$31,0)),"")</f>
        <v>4.5</v>
      </c>
      <c r="K2068" s="16" t="s">
        <v>76</v>
      </c>
      <c r="L2068" s="16" t="str">
        <f>IF(COUNTIFS(Pessoas!$C$5:$C$44,$K2068,Pessoas!$G$5:$G$44,"Ativo")=0,"Equipe "&amp;$K2068,INDEX(Pessoas!$A$5:$A$44,_xludf.aggregate(15,6,(ROW(Pessoas!$A$5:$A$44)-4)/((Pessoas!$C$5:$C$44=$K2068)*(Pessoas!$G$5:$G$44="Ativo")),MOD(ROW()-6,MAX(1,COUNTIFS(Pessoas!$C$5:$C$44,$K2068,Pessoas!$G$5:$G$44,"Ativo")))+1)))</f>
        <v>Equipe Oficina Mecânica Central-Taisa</v>
      </c>
    </row>
    <row r="2069" spans="1:12" ht="15" customHeight="1" x14ac:dyDescent="0.4">
      <c r="A2069" s="25">
        <v>46605</v>
      </c>
      <c r="B2069" s="16">
        <v>49</v>
      </c>
      <c r="C2069" s="16">
        <v>4</v>
      </c>
      <c r="D2069" s="16">
        <v>8</v>
      </c>
      <c r="E2069" s="16" t="s">
        <v>1371</v>
      </c>
      <c r="F2069" s="16" t="s">
        <v>1299</v>
      </c>
      <c r="G2069" s="16" t="s">
        <v>184</v>
      </c>
      <c r="H2069" s="16" t="s">
        <v>140</v>
      </c>
      <c r="I2069" s="22" t="s">
        <v>861</v>
      </c>
      <c r="J2069" s="16">
        <f>IFERROR(INDEX(Aux_HH!$J$4:$J$31,MATCH($H2069&amp;"|"&amp;$I2069,Aux_HH!$A$4:$A$31,0)),"")</f>
        <v>4.5</v>
      </c>
      <c r="K2069" s="16" t="s">
        <v>76</v>
      </c>
      <c r="L2069" s="16" t="str">
        <f>IF(COUNTIFS(Pessoas!$C$5:$C$44,$K2069,Pessoas!$G$5:$G$44,"Ativo")=0,"Equipe "&amp;$K2069,INDEX(Pessoas!$A$5:$A$44,_xludf.aggregate(15,6,(ROW(Pessoas!$A$5:$A$44)-4)/((Pessoas!$C$5:$C$44=$K2069)*(Pessoas!$G$5:$G$44="Ativo")),MOD(ROW()-6,MAX(1,COUNTIFS(Pessoas!$C$5:$C$44,$K2069,Pessoas!$G$5:$G$44,"Ativo")))+1)))</f>
        <v>Equipe Oficina Mecânica Central-Taisa</v>
      </c>
    </row>
    <row r="2070" spans="1:12" ht="15" customHeight="1" x14ac:dyDescent="0.4">
      <c r="A2070" s="25">
        <v>46605</v>
      </c>
      <c r="B2070" s="16">
        <v>49</v>
      </c>
      <c r="C2070" s="16">
        <v>4</v>
      </c>
      <c r="D2070" s="16">
        <v>8</v>
      </c>
      <c r="E2070" s="16" t="s">
        <v>1371</v>
      </c>
      <c r="F2070" s="16" t="s">
        <v>1300</v>
      </c>
      <c r="G2070" s="16" t="s">
        <v>526</v>
      </c>
      <c r="H2070" s="16" t="s">
        <v>140</v>
      </c>
      <c r="I2070" s="22" t="s">
        <v>861</v>
      </c>
      <c r="J2070" s="16">
        <f>IFERROR(INDEX(Aux_HH!$J$4:$J$31,MATCH($H2070&amp;"|"&amp;$I2070,Aux_HH!$A$4:$A$31,0)),"")</f>
        <v>4.5</v>
      </c>
      <c r="K2070" s="16" t="s">
        <v>76</v>
      </c>
      <c r="L2070" s="16" t="str">
        <f>IF(COUNTIFS(Pessoas!$C$5:$C$44,$K2070,Pessoas!$G$5:$G$44,"Ativo")=0,"Equipe "&amp;$K2070,INDEX(Pessoas!$A$5:$A$44,_xludf.aggregate(15,6,(ROW(Pessoas!$A$5:$A$44)-4)/((Pessoas!$C$5:$C$44=$K2070)*(Pessoas!$G$5:$G$44="Ativo")),MOD(ROW()-6,MAX(1,COUNTIFS(Pessoas!$C$5:$C$44,$K2070,Pessoas!$G$5:$G$44,"Ativo")))+1)))</f>
        <v>Equipe Oficina Mecânica Central-Taisa</v>
      </c>
    </row>
    <row r="2071" spans="1:12" ht="15" customHeight="1" x14ac:dyDescent="0.4">
      <c r="A2071" s="25">
        <v>46605</v>
      </c>
      <c r="B2071" s="16">
        <v>49</v>
      </c>
      <c r="C2071" s="16">
        <v>4</v>
      </c>
      <c r="D2071" s="16">
        <v>8</v>
      </c>
      <c r="E2071" s="16" t="s">
        <v>1371</v>
      </c>
      <c r="F2071" s="16" t="s">
        <v>1301</v>
      </c>
      <c r="G2071" s="16" t="s">
        <v>526</v>
      </c>
      <c r="H2071" s="16" t="s">
        <v>140</v>
      </c>
      <c r="I2071" s="22" t="s">
        <v>861</v>
      </c>
      <c r="J2071" s="16">
        <f>IFERROR(INDEX(Aux_HH!$J$4:$J$31,MATCH($H2071&amp;"|"&amp;$I2071,Aux_HH!$A$4:$A$31,0)),"")</f>
        <v>4.5</v>
      </c>
      <c r="K2071" s="16" t="s">
        <v>76</v>
      </c>
      <c r="L2071" s="16" t="str">
        <f>IF(COUNTIFS(Pessoas!$C$5:$C$44,$K2071,Pessoas!$G$5:$G$44,"Ativo")=0,"Equipe "&amp;$K2071,INDEX(Pessoas!$A$5:$A$44,_xludf.aggregate(15,6,(ROW(Pessoas!$A$5:$A$44)-4)/((Pessoas!$C$5:$C$44=$K2071)*(Pessoas!$G$5:$G$44="Ativo")),MOD(ROW()-6,MAX(1,COUNTIFS(Pessoas!$C$5:$C$44,$K2071,Pessoas!$G$5:$G$44,"Ativo")))+1)))</f>
        <v>Equipe Oficina Mecânica Central-Taisa</v>
      </c>
    </row>
    <row r="2072" spans="1:12" ht="15" customHeight="1" x14ac:dyDescent="0.4">
      <c r="A2072" s="25">
        <v>46605</v>
      </c>
      <c r="B2072" s="16">
        <v>49</v>
      </c>
      <c r="C2072" s="16">
        <v>4</v>
      </c>
      <c r="D2072" s="16">
        <v>8</v>
      </c>
      <c r="E2072" s="16" t="s">
        <v>1371</v>
      </c>
      <c r="F2072" s="16" t="s">
        <v>1302</v>
      </c>
      <c r="G2072" s="16" t="s">
        <v>526</v>
      </c>
      <c r="H2072" s="16" t="s">
        <v>140</v>
      </c>
      <c r="I2072" s="22" t="s">
        <v>861</v>
      </c>
      <c r="J2072" s="16">
        <f>IFERROR(INDEX(Aux_HH!$J$4:$J$31,MATCH($H2072&amp;"|"&amp;$I2072,Aux_HH!$A$4:$A$31,0)),"")</f>
        <v>4.5</v>
      </c>
      <c r="K2072" s="16" t="s">
        <v>76</v>
      </c>
      <c r="L2072" s="16" t="str">
        <f>IF(COUNTIFS(Pessoas!$C$5:$C$44,$K2072,Pessoas!$G$5:$G$44,"Ativo")=0,"Equipe "&amp;$K2072,INDEX(Pessoas!$A$5:$A$44,_xludf.aggregate(15,6,(ROW(Pessoas!$A$5:$A$44)-4)/((Pessoas!$C$5:$C$44=$K2072)*(Pessoas!$G$5:$G$44="Ativo")),MOD(ROW()-6,MAX(1,COUNTIFS(Pessoas!$C$5:$C$44,$K2072,Pessoas!$G$5:$G$44,"Ativo")))+1)))</f>
        <v>Equipe Oficina Mecânica Central-Taisa</v>
      </c>
    </row>
    <row r="2073" spans="1:12" ht="15" customHeight="1" x14ac:dyDescent="0.4">
      <c r="A2073" s="25">
        <v>46608</v>
      </c>
      <c r="B2073" s="16">
        <v>49</v>
      </c>
      <c r="C2073" s="16">
        <v>4</v>
      </c>
      <c r="D2073" s="16">
        <v>8</v>
      </c>
      <c r="E2073" s="16" t="s">
        <v>1371</v>
      </c>
      <c r="F2073" s="16" t="s">
        <v>988</v>
      </c>
      <c r="G2073" s="16" t="s">
        <v>184</v>
      </c>
      <c r="H2073" s="16" t="s">
        <v>138</v>
      </c>
      <c r="I2073" s="22" t="s">
        <v>856</v>
      </c>
      <c r="J2073" s="16">
        <f>IFERROR(INDEX(Aux_HH!$J$4:$J$31,MATCH($H2073&amp;"|"&amp;$I2073,Aux_HH!$A$4:$A$31,0)),"")</f>
        <v>3</v>
      </c>
      <c r="K2073" s="16" t="s">
        <v>76</v>
      </c>
      <c r="L2073" s="16" t="str">
        <f>IF(COUNTIFS(Pessoas!$C$5:$C$44,$K2073,Pessoas!$G$5:$G$44,"Ativo")=0,"Equipe "&amp;$K2073,INDEX(Pessoas!$A$5:$A$44,_xludf.aggregate(15,6,(ROW(Pessoas!$A$5:$A$44)-4)/((Pessoas!$C$5:$C$44=$K2073)*(Pessoas!$G$5:$G$44="Ativo")),MOD(ROW()-6,MAX(1,COUNTIFS(Pessoas!$C$5:$C$44,$K2073,Pessoas!$G$5:$G$44,"Ativo")))+1)))</f>
        <v>Equipe Oficina Mecânica Central-Taisa</v>
      </c>
    </row>
    <row r="2074" spans="1:12" ht="15" customHeight="1" x14ac:dyDescent="0.4">
      <c r="A2074" s="25">
        <v>46608</v>
      </c>
      <c r="B2074" s="16">
        <v>49</v>
      </c>
      <c r="C2074" s="16">
        <v>4</v>
      </c>
      <c r="D2074" s="16">
        <v>8</v>
      </c>
      <c r="E2074" s="16" t="s">
        <v>1371</v>
      </c>
      <c r="F2074" s="16" t="s">
        <v>990</v>
      </c>
      <c r="G2074" s="16" t="s">
        <v>526</v>
      </c>
      <c r="H2074" s="16" t="s">
        <v>138</v>
      </c>
      <c r="I2074" s="22" t="s">
        <v>856</v>
      </c>
      <c r="J2074" s="16">
        <f>IFERROR(INDEX(Aux_HH!$J$4:$J$31,MATCH($H2074&amp;"|"&amp;$I2074,Aux_HH!$A$4:$A$31,0)),"")</f>
        <v>3</v>
      </c>
      <c r="K2074" s="16" t="s">
        <v>76</v>
      </c>
      <c r="L2074" s="16" t="str">
        <f>IF(COUNTIFS(Pessoas!$C$5:$C$44,$K2074,Pessoas!$G$5:$G$44,"Ativo")=0,"Equipe "&amp;$K2074,INDEX(Pessoas!$A$5:$A$44,_xludf.aggregate(15,6,(ROW(Pessoas!$A$5:$A$44)-4)/((Pessoas!$C$5:$C$44=$K2074)*(Pessoas!$G$5:$G$44="Ativo")),MOD(ROW()-6,MAX(1,COUNTIFS(Pessoas!$C$5:$C$44,$K2074,Pessoas!$G$5:$G$44,"Ativo")))+1)))</f>
        <v>Equipe Oficina Mecânica Central-Taisa</v>
      </c>
    </row>
    <row r="2075" spans="1:12" ht="15" customHeight="1" x14ac:dyDescent="0.4">
      <c r="A2075" s="25">
        <v>46608</v>
      </c>
      <c r="B2075" s="16">
        <v>49</v>
      </c>
      <c r="C2075" s="16">
        <v>4</v>
      </c>
      <c r="D2075" s="16">
        <v>8</v>
      </c>
      <c r="E2075" s="16" t="s">
        <v>1371</v>
      </c>
      <c r="F2075" s="16" t="s">
        <v>1081</v>
      </c>
      <c r="G2075" s="16" t="s">
        <v>526</v>
      </c>
      <c r="H2075" s="16" t="s">
        <v>140</v>
      </c>
      <c r="I2075" s="22" t="s">
        <v>861</v>
      </c>
      <c r="J2075" s="16">
        <f>IFERROR(INDEX(Aux_HH!$J$4:$J$31,MATCH($H2075&amp;"|"&amp;$I2075,Aux_HH!$A$4:$A$31,0)),"")</f>
        <v>4.5</v>
      </c>
      <c r="K2075" s="16" t="s">
        <v>76</v>
      </c>
      <c r="L2075" s="16" t="str">
        <f>IF(COUNTIFS(Pessoas!$C$5:$C$44,$K2075,Pessoas!$G$5:$G$44,"Ativo")=0,"Equipe "&amp;$K2075,INDEX(Pessoas!$A$5:$A$44,_xludf.aggregate(15,6,(ROW(Pessoas!$A$5:$A$44)-4)/((Pessoas!$C$5:$C$44=$K2075)*(Pessoas!$G$5:$G$44="Ativo")),MOD(ROW()-6,MAX(1,COUNTIFS(Pessoas!$C$5:$C$44,$K2075,Pessoas!$G$5:$G$44,"Ativo")))+1)))</f>
        <v>Equipe Oficina Mecânica Central-Taisa</v>
      </c>
    </row>
    <row r="2076" spans="1:12" ht="15" customHeight="1" x14ac:dyDescent="0.4">
      <c r="A2076" s="25">
        <v>46608</v>
      </c>
      <c r="B2076" s="16">
        <v>49</v>
      </c>
      <c r="C2076" s="16">
        <v>4</v>
      </c>
      <c r="D2076" s="16">
        <v>8</v>
      </c>
      <c r="E2076" s="16" t="s">
        <v>1371</v>
      </c>
      <c r="F2076" s="16" t="s">
        <v>1082</v>
      </c>
      <c r="G2076" s="16" t="s">
        <v>184</v>
      </c>
      <c r="H2076" s="16" t="s">
        <v>140</v>
      </c>
      <c r="I2076" s="22" t="s">
        <v>861</v>
      </c>
      <c r="J2076" s="16">
        <f>IFERROR(INDEX(Aux_HH!$J$4:$J$31,MATCH($H2076&amp;"|"&amp;$I2076,Aux_HH!$A$4:$A$31,0)),"")</f>
        <v>4.5</v>
      </c>
      <c r="K2076" s="16" t="s">
        <v>76</v>
      </c>
      <c r="L2076" s="16" t="str">
        <f>IF(COUNTIFS(Pessoas!$C$5:$C$44,$K2076,Pessoas!$G$5:$G$44,"Ativo")=0,"Equipe "&amp;$K2076,INDEX(Pessoas!$A$5:$A$44,_xludf.aggregate(15,6,(ROW(Pessoas!$A$5:$A$44)-4)/((Pessoas!$C$5:$C$44=$K2076)*(Pessoas!$G$5:$G$44="Ativo")),MOD(ROW()-6,MAX(1,COUNTIFS(Pessoas!$C$5:$C$44,$K2076,Pessoas!$G$5:$G$44,"Ativo")))+1)))</f>
        <v>Equipe Oficina Mecânica Central-Taisa</v>
      </c>
    </row>
    <row r="2077" spans="1:12" ht="15" customHeight="1" x14ac:dyDescent="0.4">
      <c r="A2077" s="25">
        <v>46608</v>
      </c>
      <c r="B2077" s="16">
        <v>49</v>
      </c>
      <c r="C2077" s="16">
        <v>4</v>
      </c>
      <c r="D2077" s="16">
        <v>8</v>
      </c>
      <c r="E2077" s="16" t="s">
        <v>1371</v>
      </c>
      <c r="F2077" s="16" t="s">
        <v>1083</v>
      </c>
      <c r="G2077" s="16" t="s">
        <v>184</v>
      </c>
      <c r="H2077" s="16" t="s">
        <v>140</v>
      </c>
      <c r="I2077" s="22" t="s">
        <v>861</v>
      </c>
      <c r="J2077" s="16">
        <f>IFERROR(INDEX(Aux_HH!$J$4:$J$31,MATCH($H2077&amp;"|"&amp;$I2077,Aux_HH!$A$4:$A$31,0)),"")</f>
        <v>4.5</v>
      </c>
      <c r="K2077" s="16" t="s">
        <v>76</v>
      </c>
      <c r="L2077" s="16" t="str">
        <f>IF(COUNTIFS(Pessoas!$C$5:$C$44,$K2077,Pessoas!$G$5:$G$44,"Ativo")=0,"Equipe "&amp;$K2077,INDEX(Pessoas!$A$5:$A$44,_xludf.aggregate(15,6,(ROW(Pessoas!$A$5:$A$44)-4)/((Pessoas!$C$5:$C$44=$K2077)*(Pessoas!$G$5:$G$44="Ativo")),MOD(ROW()-6,MAX(1,COUNTIFS(Pessoas!$C$5:$C$44,$K2077,Pessoas!$G$5:$G$44,"Ativo")))+1)))</f>
        <v>Equipe Oficina Mecânica Central-Taisa</v>
      </c>
    </row>
    <row r="2078" spans="1:12" ht="15" customHeight="1" x14ac:dyDescent="0.4">
      <c r="A2078" s="25">
        <v>46608</v>
      </c>
      <c r="B2078" s="16">
        <v>49</v>
      </c>
      <c r="C2078" s="16">
        <v>4</v>
      </c>
      <c r="D2078" s="16">
        <v>8</v>
      </c>
      <c r="E2078" s="16" t="s">
        <v>1371</v>
      </c>
      <c r="F2078" s="16" t="s">
        <v>1084</v>
      </c>
      <c r="G2078" s="16" t="s">
        <v>184</v>
      </c>
      <c r="H2078" s="16" t="s">
        <v>140</v>
      </c>
      <c r="I2078" s="22" t="s">
        <v>861</v>
      </c>
      <c r="J2078" s="16">
        <f>IFERROR(INDEX(Aux_HH!$J$4:$J$31,MATCH($H2078&amp;"|"&amp;$I2078,Aux_HH!$A$4:$A$31,0)),"")</f>
        <v>4.5</v>
      </c>
      <c r="K2078" s="16" t="s">
        <v>76</v>
      </c>
      <c r="L2078" s="16" t="str">
        <f>IF(COUNTIFS(Pessoas!$C$5:$C$44,$K2078,Pessoas!$G$5:$G$44,"Ativo")=0,"Equipe "&amp;$K2078,INDEX(Pessoas!$A$5:$A$44,_xludf.aggregate(15,6,(ROW(Pessoas!$A$5:$A$44)-4)/((Pessoas!$C$5:$C$44=$K2078)*(Pessoas!$G$5:$G$44="Ativo")),MOD(ROW()-6,MAX(1,COUNTIFS(Pessoas!$C$5:$C$44,$K2078,Pessoas!$G$5:$G$44,"Ativo")))+1)))</f>
        <v>Equipe Oficina Mecânica Central-Taisa</v>
      </c>
    </row>
    <row r="2079" spans="1:12" ht="15" customHeight="1" x14ac:dyDescent="0.4">
      <c r="A2079" s="25">
        <v>46608</v>
      </c>
      <c r="B2079" s="16">
        <v>49</v>
      </c>
      <c r="C2079" s="16">
        <v>4</v>
      </c>
      <c r="D2079" s="16">
        <v>8</v>
      </c>
      <c r="E2079" s="16" t="s">
        <v>1371</v>
      </c>
      <c r="F2079" s="16" t="s">
        <v>1085</v>
      </c>
      <c r="G2079" s="16" t="s">
        <v>184</v>
      </c>
      <c r="H2079" s="16" t="s">
        <v>140</v>
      </c>
      <c r="I2079" s="22" t="s">
        <v>861</v>
      </c>
      <c r="J2079" s="16">
        <f>IFERROR(INDEX(Aux_HH!$J$4:$J$31,MATCH($H2079&amp;"|"&amp;$I2079,Aux_HH!$A$4:$A$31,0)),"")</f>
        <v>4.5</v>
      </c>
      <c r="K2079" s="16" t="s">
        <v>76</v>
      </c>
      <c r="L2079" s="16" t="str">
        <f>IF(COUNTIFS(Pessoas!$C$5:$C$44,$K2079,Pessoas!$G$5:$G$44,"Ativo")=0,"Equipe "&amp;$K2079,INDEX(Pessoas!$A$5:$A$44,_xludf.aggregate(15,6,(ROW(Pessoas!$A$5:$A$44)-4)/((Pessoas!$C$5:$C$44=$K2079)*(Pessoas!$G$5:$G$44="Ativo")),MOD(ROW()-6,MAX(1,COUNTIFS(Pessoas!$C$5:$C$44,$K2079,Pessoas!$G$5:$G$44,"Ativo")))+1)))</f>
        <v>Equipe Oficina Mecânica Central-Taisa</v>
      </c>
    </row>
    <row r="2080" spans="1:12" ht="15" customHeight="1" x14ac:dyDescent="0.4">
      <c r="A2080" s="25">
        <v>46608</v>
      </c>
      <c r="B2080" s="16">
        <v>49</v>
      </c>
      <c r="C2080" s="16">
        <v>4</v>
      </c>
      <c r="D2080" s="16">
        <v>8</v>
      </c>
      <c r="E2080" s="16" t="s">
        <v>1371</v>
      </c>
      <c r="F2080" s="16" t="s">
        <v>1086</v>
      </c>
      <c r="G2080" s="16" t="s">
        <v>184</v>
      </c>
      <c r="H2080" s="16" t="s">
        <v>140</v>
      </c>
      <c r="I2080" s="22" t="s">
        <v>861</v>
      </c>
      <c r="J2080" s="16">
        <f>IFERROR(INDEX(Aux_HH!$J$4:$J$31,MATCH($H2080&amp;"|"&amp;$I2080,Aux_HH!$A$4:$A$31,0)),"")</f>
        <v>4.5</v>
      </c>
      <c r="K2080" s="16" t="s">
        <v>76</v>
      </c>
      <c r="L2080" s="16" t="str">
        <f>IF(COUNTIFS(Pessoas!$C$5:$C$44,$K2080,Pessoas!$G$5:$G$44,"Ativo")=0,"Equipe "&amp;$K2080,INDEX(Pessoas!$A$5:$A$44,_xludf.aggregate(15,6,(ROW(Pessoas!$A$5:$A$44)-4)/((Pessoas!$C$5:$C$44=$K2080)*(Pessoas!$G$5:$G$44="Ativo")),MOD(ROW()-6,MAX(1,COUNTIFS(Pessoas!$C$5:$C$44,$K2080,Pessoas!$G$5:$G$44,"Ativo")))+1)))</f>
        <v>Equipe Oficina Mecânica Central-Taisa</v>
      </c>
    </row>
    <row r="2081" spans="1:12" ht="15" customHeight="1" x14ac:dyDescent="0.4">
      <c r="A2081" s="25">
        <v>46608</v>
      </c>
      <c r="B2081" s="16">
        <v>49</v>
      </c>
      <c r="C2081" s="16">
        <v>4</v>
      </c>
      <c r="D2081" s="16">
        <v>8</v>
      </c>
      <c r="E2081" s="16" t="s">
        <v>1371</v>
      </c>
      <c r="F2081" s="16" t="s">
        <v>1087</v>
      </c>
      <c r="G2081" s="16" t="s">
        <v>526</v>
      </c>
      <c r="H2081" s="16" t="s">
        <v>140</v>
      </c>
      <c r="I2081" s="22" t="s">
        <v>861</v>
      </c>
      <c r="J2081" s="16">
        <f>IFERROR(INDEX(Aux_HH!$J$4:$J$31,MATCH($H2081&amp;"|"&amp;$I2081,Aux_HH!$A$4:$A$31,0)),"")</f>
        <v>4.5</v>
      </c>
      <c r="K2081" s="16" t="s">
        <v>76</v>
      </c>
      <c r="L2081" s="16" t="str">
        <f>IF(COUNTIFS(Pessoas!$C$5:$C$44,$K2081,Pessoas!$G$5:$G$44,"Ativo")=0,"Equipe "&amp;$K2081,INDEX(Pessoas!$A$5:$A$44,_xludf.aggregate(15,6,(ROW(Pessoas!$A$5:$A$44)-4)/((Pessoas!$C$5:$C$44=$K2081)*(Pessoas!$G$5:$G$44="Ativo")),MOD(ROW()-6,MAX(1,COUNTIFS(Pessoas!$C$5:$C$44,$K2081,Pessoas!$G$5:$G$44,"Ativo")))+1)))</f>
        <v>Equipe Oficina Mecânica Central-Taisa</v>
      </c>
    </row>
    <row r="2082" spans="1:12" ht="15" customHeight="1" x14ac:dyDescent="0.4">
      <c r="A2082" s="25">
        <v>46608</v>
      </c>
      <c r="B2082" s="16">
        <v>49</v>
      </c>
      <c r="C2082" s="16">
        <v>4</v>
      </c>
      <c r="D2082" s="16">
        <v>8</v>
      </c>
      <c r="E2082" s="16" t="s">
        <v>1371</v>
      </c>
      <c r="F2082" s="16" t="s">
        <v>1088</v>
      </c>
      <c r="G2082" s="16" t="s">
        <v>526</v>
      </c>
      <c r="H2082" s="16" t="s">
        <v>140</v>
      </c>
      <c r="I2082" s="22" t="s">
        <v>861</v>
      </c>
      <c r="J2082" s="16">
        <f>IFERROR(INDEX(Aux_HH!$J$4:$J$31,MATCH($H2082&amp;"|"&amp;$I2082,Aux_HH!$A$4:$A$31,0)),"")</f>
        <v>4.5</v>
      </c>
      <c r="K2082" s="16" t="s">
        <v>76</v>
      </c>
      <c r="L2082" s="16" t="str">
        <f>IF(COUNTIFS(Pessoas!$C$5:$C$44,$K2082,Pessoas!$G$5:$G$44,"Ativo")=0,"Equipe "&amp;$K2082,INDEX(Pessoas!$A$5:$A$44,_xludf.aggregate(15,6,(ROW(Pessoas!$A$5:$A$44)-4)/((Pessoas!$C$5:$C$44=$K2082)*(Pessoas!$G$5:$G$44="Ativo")),MOD(ROW()-6,MAX(1,COUNTIFS(Pessoas!$C$5:$C$44,$K2082,Pessoas!$G$5:$G$44,"Ativo")))+1)))</f>
        <v>Equipe Oficina Mecânica Central-Taisa</v>
      </c>
    </row>
    <row r="2083" spans="1:12" ht="15" customHeight="1" x14ac:dyDescent="0.4">
      <c r="A2083" s="25">
        <v>46608</v>
      </c>
      <c r="B2083" s="16">
        <v>49</v>
      </c>
      <c r="C2083" s="16">
        <v>4</v>
      </c>
      <c r="D2083" s="16">
        <v>8</v>
      </c>
      <c r="E2083" s="16" t="s">
        <v>1371</v>
      </c>
      <c r="F2083" s="16" t="s">
        <v>1089</v>
      </c>
      <c r="G2083" s="16" t="s">
        <v>184</v>
      </c>
      <c r="H2083" s="16" t="s">
        <v>140</v>
      </c>
      <c r="I2083" s="22" t="s">
        <v>861</v>
      </c>
      <c r="J2083" s="16">
        <f>IFERROR(INDEX(Aux_HH!$J$4:$J$31,MATCH($H2083&amp;"|"&amp;$I2083,Aux_HH!$A$4:$A$31,0)),"")</f>
        <v>4.5</v>
      </c>
      <c r="K2083" s="16" t="s">
        <v>76</v>
      </c>
      <c r="L2083" s="16" t="str">
        <f>IF(COUNTIFS(Pessoas!$C$5:$C$44,$K2083,Pessoas!$G$5:$G$44,"Ativo")=0,"Equipe "&amp;$K2083,INDEX(Pessoas!$A$5:$A$44,_xludf.aggregate(15,6,(ROW(Pessoas!$A$5:$A$44)-4)/((Pessoas!$C$5:$C$44=$K2083)*(Pessoas!$G$5:$G$44="Ativo")),MOD(ROW()-6,MAX(1,COUNTIFS(Pessoas!$C$5:$C$44,$K2083,Pessoas!$G$5:$G$44,"Ativo")))+1)))</f>
        <v>Equipe Oficina Mecânica Central-Taisa</v>
      </c>
    </row>
    <row r="2084" spans="1:12" ht="15" customHeight="1" x14ac:dyDescent="0.4">
      <c r="A2084" s="25">
        <v>46608</v>
      </c>
      <c r="B2084" s="16">
        <v>49</v>
      </c>
      <c r="C2084" s="16">
        <v>4</v>
      </c>
      <c r="D2084" s="16">
        <v>8</v>
      </c>
      <c r="E2084" s="16" t="s">
        <v>1371</v>
      </c>
      <c r="F2084" s="16" t="s">
        <v>1090</v>
      </c>
      <c r="G2084" s="16" t="s">
        <v>526</v>
      </c>
      <c r="H2084" s="16" t="s">
        <v>140</v>
      </c>
      <c r="I2084" s="22" t="s">
        <v>861</v>
      </c>
      <c r="J2084" s="16">
        <f>IFERROR(INDEX(Aux_HH!$J$4:$J$31,MATCH($H2084&amp;"|"&amp;$I2084,Aux_HH!$A$4:$A$31,0)),"")</f>
        <v>4.5</v>
      </c>
      <c r="K2084" s="16" t="s">
        <v>76</v>
      </c>
      <c r="L2084" s="16" t="str">
        <f>IF(COUNTIFS(Pessoas!$C$5:$C$44,$K2084,Pessoas!$G$5:$G$44,"Ativo")=0,"Equipe "&amp;$K2084,INDEX(Pessoas!$A$5:$A$44,_xludf.aggregate(15,6,(ROW(Pessoas!$A$5:$A$44)-4)/((Pessoas!$C$5:$C$44=$K2084)*(Pessoas!$G$5:$G$44="Ativo")),MOD(ROW()-6,MAX(1,COUNTIFS(Pessoas!$C$5:$C$44,$K2084,Pessoas!$G$5:$G$44,"Ativo")))+1)))</f>
        <v>Equipe Oficina Mecânica Central-Taisa</v>
      </c>
    </row>
    <row r="2085" spans="1:12" ht="15" customHeight="1" x14ac:dyDescent="0.4">
      <c r="A2085" s="25">
        <v>46608</v>
      </c>
      <c r="B2085" s="16">
        <v>49</v>
      </c>
      <c r="C2085" s="16">
        <v>4</v>
      </c>
      <c r="D2085" s="16">
        <v>8</v>
      </c>
      <c r="E2085" s="16" t="s">
        <v>1371</v>
      </c>
      <c r="F2085" s="16" t="s">
        <v>1091</v>
      </c>
      <c r="G2085" s="16" t="s">
        <v>526</v>
      </c>
      <c r="H2085" s="16" t="s">
        <v>140</v>
      </c>
      <c r="I2085" s="22" t="s">
        <v>861</v>
      </c>
      <c r="J2085" s="16">
        <f>IFERROR(INDEX(Aux_HH!$J$4:$J$31,MATCH($H2085&amp;"|"&amp;$I2085,Aux_HH!$A$4:$A$31,0)),"")</f>
        <v>4.5</v>
      </c>
      <c r="K2085" s="16" t="s">
        <v>76</v>
      </c>
      <c r="L2085" s="16" t="str">
        <f>IF(COUNTIFS(Pessoas!$C$5:$C$44,$K2085,Pessoas!$G$5:$G$44,"Ativo")=0,"Equipe "&amp;$K2085,INDEX(Pessoas!$A$5:$A$44,_xludf.aggregate(15,6,(ROW(Pessoas!$A$5:$A$44)-4)/((Pessoas!$C$5:$C$44=$K2085)*(Pessoas!$G$5:$G$44="Ativo")),MOD(ROW()-6,MAX(1,COUNTIFS(Pessoas!$C$5:$C$44,$K2085,Pessoas!$G$5:$G$44,"Ativo")))+1)))</f>
        <v>Equipe Oficina Mecânica Central-Taisa</v>
      </c>
    </row>
    <row r="2086" spans="1:12" ht="15" customHeight="1" x14ac:dyDescent="0.4">
      <c r="A2086" s="25">
        <v>46608</v>
      </c>
      <c r="B2086" s="16">
        <v>49</v>
      </c>
      <c r="C2086" s="16">
        <v>4</v>
      </c>
      <c r="D2086" s="16">
        <v>8</v>
      </c>
      <c r="E2086" s="16" t="s">
        <v>1371</v>
      </c>
      <c r="F2086" s="16" t="s">
        <v>1092</v>
      </c>
      <c r="G2086" s="16" t="s">
        <v>526</v>
      </c>
      <c r="H2086" s="16" t="s">
        <v>140</v>
      </c>
      <c r="I2086" s="22" t="s">
        <v>861</v>
      </c>
      <c r="J2086" s="16">
        <f>IFERROR(INDEX(Aux_HH!$J$4:$J$31,MATCH($H2086&amp;"|"&amp;$I2086,Aux_HH!$A$4:$A$31,0)),"")</f>
        <v>4.5</v>
      </c>
      <c r="K2086" s="16" t="s">
        <v>76</v>
      </c>
      <c r="L2086" s="16" t="str">
        <f>IF(COUNTIFS(Pessoas!$C$5:$C$44,$K2086,Pessoas!$G$5:$G$44,"Ativo")=0,"Equipe "&amp;$K2086,INDEX(Pessoas!$A$5:$A$44,_xludf.aggregate(15,6,(ROW(Pessoas!$A$5:$A$44)-4)/((Pessoas!$C$5:$C$44=$K2086)*(Pessoas!$G$5:$G$44="Ativo")),MOD(ROW()-6,MAX(1,COUNTIFS(Pessoas!$C$5:$C$44,$K2086,Pessoas!$G$5:$G$44,"Ativo")))+1)))</f>
        <v>Equipe Oficina Mecânica Central-Taisa</v>
      </c>
    </row>
    <row r="2087" spans="1:12" ht="15" customHeight="1" x14ac:dyDescent="0.4">
      <c r="A2087" s="25">
        <v>46608</v>
      </c>
      <c r="B2087" s="16">
        <v>49</v>
      </c>
      <c r="C2087" s="16">
        <v>4</v>
      </c>
      <c r="D2087" s="16">
        <v>8</v>
      </c>
      <c r="E2087" s="16" t="s">
        <v>1371</v>
      </c>
      <c r="F2087" s="16" t="s">
        <v>1093</v>
      </c>
      <c r="G2087" s="16" t="s">
        <v>526</v>
      </c>
      <c r="H2087" s="16" t="s">
        <v>140</v>
      </c>
      <c r="I2087" s="22" t="s">
        <v>861</v>
      </c>
      <c r="J2087" s="16">
        <f>IFERROR(INDEX(Aux_HH!$J$4:$J$31,MATCH($H2087&amp;"|"&amp;$I2087,Aux_HH!$A$4:$A$31,0)),"")</f>
        <v>4.5</v>
      </c>
      <c r="K2087" s="16" t="s">
        <v>76</v>
      </c>
      <c r="L2087" s="16" t="str">
        <f>IF(COUNTIFS(Pessoas!$C$5:$C$44,$K2087,Pessoas!$G$5:$G$44,"Ativo")=0,"Equipe "&amp;$K2087,INDEX(Pessoas!$A$5:$A$44,_xludf.aggregate(15,6,(ROW(Pessoas!$A$5:$A$44)-4)/((Pessoas!$C$5:$C$44=$K2087)*(Pessoas!$G$5:$G$44="Ativo")),MOD(ROW()-6,MAX(1,COUNTIFS(Pessoas!$C$5:$C$44,$K2087,Pessoas!$G$5:$G$44,"Ativo")))+1)))</f>
        <v>Equipe Oficina Mecânica Central-Taisa</v>
      </c>
    </row>
    <row r="2088" spans="1:12" ht="15" customHeight="1" x14ac:dyDescent="0.4">
      <c r="A2088" s="25">
        <v>46608</v>
      </c>
      <c r="B2088" s="16">
        <v>49</v>
      </c>
      <c r="C2088" s="16">
        <v>4</v>
      </c>
      <c r="D2088" s="16">
        <v>8</v>
      </c>
      <c r="E2088" s="16" t="s">
        <v>1371</v>
      </c>
      <c r="F2088" s="16" t="s">
        <v>1117</v>
      </c>
      <c r="G2088" s="16" t="s">
        <v>526</v>
      </c>
      <c r="H2088" s="16" t="s">
        <v>140</v>
      </c>
      <c r="I2088" s="22" t="s">
        <v>861</v>
      </c>
      <c r="J2088" s="16">
        <f>IFERROR(INDEX(Aux_HH!$J$4:$J$31,MATCH($H2088&amp;"|"&amp;$I2088,Aux_HH!$A$4:$A$31,0)),"")</f>
        <v>4.5</v>
      </c>
      <c r="K2088" s="16" t="s">
        <v>76</v>
      </c>
      <c r="L2088" s="16" t="str">
        <f>IF(COUNTIFS(Pessoas!$C$5:$C$44,$K2088,Pessoas!$G$5:$G$44,"Ativo")=0,"Equipe "&amp;$K2088,INDEX(Pessoas!$A$5:$A$44,_xludf.aggregate(15,6,(ROW(Pessoas!$A$5:$A$44)-4)/((Pessoas!$C$5:$C$44=$K2088)*(Pessoas!$G$5:$G$44="Ativo")),MOD(ROW()-6,MAX(1,COUNTIFS(Pessoas!$C$5:$C$44,$K2088,Pessoas!$G$5:$G$44,"Ativo")))+1)))</f>
        <v>Equipe Oficina Mecânica Central-Taisa</v>
      </c>
    </row>
    <row r="2089" spans="1:12" ht="15" customHeight="1" x14ac:dyDescent="0.4">
      <c r="A2089" s="25">
        <v>46608</v>
      </c>
      <c r="B2089" s="16">
        <v>49</v>
      </c>
      <c r="C2089" s="16">
        <v>4</v>
      </c>
      <c r="D2089" s="16">
        <v>8</v>
      </c>
      <c r="E2089" s="16" t="s">
        <v>1371</v>
      </c>
      <c r="F2089" s="16" t="s">
        <v>1118</v>
      </c>
      <c r="G2089" s="16" t="s">
        <v>526</v>
      </c>
      <c r="H2089" s="16" t="s">
        <v>140</v>
      </c>
      <c r="I2089" s="22" t="s">
        <v>861</v>
      </c>
      <c r="J2089" s="16">
        <f>IFERROR(INDEX(Aux_HH!$J$4:$J$31,MATCH($H2089&amp;"|"&amp;$I2089,Aux_HH!$A$4:$A$31,0)),"")</f>
        <v>4.5</v>
      </c>
      <c r="K2089" s="16" t="s">
        <v>76</v>
      </c>
      <c r="L2089" s="16" t="str">
        <f>IF(COUNTIFS(Pessoas!$C$5:$C$44,$K2089,Pessoas!$G$5:$G$44,"Ativo")=0,"Equipe "&amp;$K2089,INDEX(Pessoas!$A$5:$A$44,_xludf.aggregate(15,6,(ROW(Pessoas!$A$5:$A$44)-4)/((Pessoas!$C$5:$C$44=$K2089)*(Pessoas!$G$5:$G$44="Ativo")),MOD(ROW()-6,MAX(1,COUNTIFS(Pessoas!$C$5:$C$44,$K2089,Pessoas!$G$5:$G$44,"Ativo")))+1)))</f>
        <v>Equipe Oficina Mecânica Central-Taisa</v>
      </c>
    </row>
    <row r="2090" spans="1:12" ht="15" customHeight="1" x14ac:dyDescent="0.4">
      <c r="A2090" s="25">
        <v>46608</v>
      </c>
      <c r="B2090" s="16">
        <v>49</v>
      </c>
      <c r="C2090" s="16">
        <v>4</v>
      </c>
      <c r="D2090" s="16">
        <v>8</v>
      </c>
      <c r="E2090" s="16" t="s">
        <v>1371</v>
      </c>
      <c r="F2090" s="16" t="s">
        <v>1119</v>
      </c>
      <c r="G2090" s="16" t="s">
        <v>184</v>
      </c>
      <c r="H2090" s="16" t="s">
        <v>140</v>
      </c>
      <c r="I2090" s="22" t="s">
        <v>861</v>
      </c>
      <c r="J2090" s="16">
        <f>IFERROR(INDEX(Aux_HH!$J$4:$J$31,MATCH($H2090&amp;"|"&amp;$I2090,Aux_HH!$A$4:$A$31,0)),"")</f>
        <v>4.5</v>
      </c>
      <c r="K2090" s="16" t="s">
        <v>76</v>
      </c>
      <c r="L2090" s="16" t="str">
        <f>IF(COUNTIFS(Pessoas!$C$5:$C$44,$K2090,Pessoas!$G$5:$G$44,"Ativo")=0,"Equipe "&amp;$K2090,INDEX(Pessoas!$A$5:$A$44,_xludf.aggregate(15,6,(ROW(Pessoas!$A$5:$A$44)-4)/((Pessoas!$C$5:$C$44=$K2090)*(Pessoas!$G$5:$G$44="Ativo")),MOD(ROW()-6,MAX(1,COUNTIFS(Pessoas!$C$5:$C$44,$K2090,Pessoas!$G$5:$G$44,"Ativo")))+1)))</f>
        <v>Equipe Oficina Mecânica Central-Taisa</v>
      </c>
    </row>
    <row r="2091" spans="1:12" ht="15" customHeight="1" x14ac:dyDescent="0.4">
      <c r="A2091" s="25">
        <v>46608</v>
      </c>
      <c r="B2091" s="16">
        <v>49</v>
      </c>
      <c r="C2091" s="16">
        <v>4</v>
      </c>
      <c r="D2091" s="16">
        <v>8</v>
      </c>
      <c r="E2091" s="16" t="s">
        <v>1371</v>
      </c>
      <c r="F2091" s="16" t="s">
        <v>1120</v>
      </c>
      <c r="G2091" s="16" t="s">
        <v>184</v>
      </c>
      <c r="H2091" s="16" t="s">
        <v>140</v>
      </c>
      <c r="I2091" s="22" t="s">
        <v>861</v>
      </c>
      <c r="J2091" s="16">
        <f>IFERROR(INDEX(Aux_HH!$J$4:$J$31,MATCH($H2091&amp;"|"&amp;$I2091,Aux_HH!$A$4:$A$31,0)),"")</f>
        <v>4.5</v>
      </c>
      <c r="K2091" s="16" t="s">
        <v>76</v>
      </c>
      <c r="L2091" s="16" t="str">
        <f>IF(COUNTIFS(Pessoas!$C$5:$C$44,$K2091,Pessoas!$G$5:$G$44,"Ativo")=0,"Equipe "&amp;$K2091,INDEX(Pessoas!$A$5:$A$44,_xludf.aggregate(15,6,(ROW(Pessoas!$A$5:$A$44)-4)/((Pessoas!$C$5:$C$44=$K2091)*(Pessoas!$G$5:$G$44="Ativo")),MOD(ROW()-6,MAX(1,COUNTIFS(Pessoas!$C$5:$C$44,$K2091,Pessoas!$G$5:$G$44,"Ativo")))+1)))</f>
        <v>Equipe Oficina Mecânica Central-Taisa</v>
      </c>
    </row>
    <row r="2092" spans="1:12" ht="15" customHeight="1" x14ac:dyDescent="0.4">
      <c r="A2092" s="25">
        <v>46608</v>
      </c>
      <c r="B2092" s="16">
        <v>49</v>
      </c>
      <c r="C2092" s="16">
        <v>4</v>
      </c>
      <c r="D2092" s="16">
        <v>8</v>
      </c>
      <c r="E2092" s="16" t="s">
        <v>1371</v>
      </c>
      <c r="F2092" s="16" t="s">
        <v>1121</v>
      </c>
      <c r="G2092" s="16" t="s">
        <v>526</v>
      </c>
      <c r="H2092" s="16" t="s">
        <v>140</v>
      </c>
      <c r="I2092" s="22" t="s">
        <v>861</v>
      </c>
      <c r="J2092" s="16">
        <f>IFERROR(INDEX(Aux_HH!$J$4:$J$31,MATCH($H2092&amp;"|"&amp;$I2092,Aux_HH!$A$4:$A$31,0)),"")</f>
        <v>4.5</v>
      </c>
      <c r="K2092" s="16" t="s">
        <v>76</v>
      </c>
      <c r="L2092" s="16" t="str">
        <f>IF(COUNTIFS(Pessoas!$C$5:$C$44,$K2092,Pessoas!$G$5:$G$44,"Ativo")=0,"Equipe "&amp;$K2092,INDEX(Pessoas!$A$5:$A$44,_xludf.aggregate(15,6,(ROW(Pessoas!$A$5:$A$44)-4)/((Pessoas!$C$5:$C$44=$K2092)*(Pessoas!$G$5:$G$44="Ativo")),MOD(ROW()-6,MAX(1,COUNTIFS(Pessoas!$C$5:$C$44,$K2092,Pessoas!$G$5:$G$44,"Ativo")))+1)))</f>
        <v>Equipe Oficina Mecânica Central-Taisa</v>
      </c>
    </row>
    <row r="2093" spans="1:12" ht="15" customHeight="1" x14ac:dyDescent="0.4">
      <c r="A2093" s="25">
        <v>46608</v>
      </c>
      <c r="B2093" s="16">
        <v>49</v>
      </c>
      <c r="C2093" s="16">
        <v>4</v>
      </c>
      <c r="D2093" s="16">
        <v>8</v>
      </c>
      <c r="E2093" s="16" t="s">
        <v>1371</v>
      </c>
      <c r="F2093" s="16" t="s">
        <v>1122</v>
      </c>
      <c r="G2093" s="16" t="s">
        <v>526</v>
      </c>
      <c r="H2093" s="16" t="s">
        <v>140</v>
      </c>
      <c r="I2093" s="22" t="s">
        <v>861</v>
      </c>
      <c r="J2093" s="16">
        <f>IFERROR(INDEX(Aux_HH!$J$4:$J$31,MATCH($H2093&amp;"|"&amp;$I2093,Aux_HH!$A$4:$A$31,0)),"")</f>
        <v>4.5</v>
      </c>
      <c r="K2093" s="16" t="s">
        <v>76</v>
      </c>
      <c r="L2093" s="16" t="str">
        <f>IF(COUNTIFS(Pessoas!$C$5:$C$44,$K2093,Pessoas!$G$5:$G$44,"Ativo")=0,"Equipe "&amp;$K2093,INDEX(Pessoas!$A$5:$A$44,_xludf.aggregate(15,6,(ROW(Pessoas!$A$5:$A$44)-4)/((Pessoas!$C$5:$C$44=$K2093)*(Pessoas!$G$5:$G$44="Ativo")),MOD(ROW()-6,MAX(1,COUNTIFS(Pessoas!$C$5:$C$44,$K2093,Pessoas!$G$5:$G$44,"Ativo")))+1)))</f>
        <v>Equipe Oficina Mecânica Central-Taisa</v>
      </c>
    </row>
    <row r="2094" spans="1:12" ht="15" customHeight="1" x14ac:dyDescent="0.4">
      <c r="A2094" s="25">
        <v>46608</v>
      </c>
      <c r="B2094" s="16">
        <v>49</v>
      </c>
      <c r="C2094" s="16">
        <v>4</v>
      </c>
      <c r="D2094" s="16">
        <v>8</v>
      </c>
      <c r="E2094" s="16" t="s">
        <v>1371</v>
      </c>
      <c r="F2094" s="16" t="s">
        <v>1123</v>
      </c>
      <c r="G2094" s="16" t="s">
        <v>526</v>
      </c>
      <c r="H2094" s="16" t="s">
        <v>140</v>
      </c>
      <c r="I2094" s="22" t="s">
        <v>861</v>
      </c>
      <c r="J2094" s="16">
        <f>IFERROR(INDEX(Aux_HH!$J$4:$J$31,MATCH($H2094&amp;"|"&amp;$I2094,Aux_HH!$A$4:$A$31,0)),"")</f>
        <v>4.5</v>
      </c>
      <c r="K2094" s="16" t="s">
        <v>76</v>
      </c>
      <c r="L2094" s="16" t="str">
        <f>IF(COUNTIFS(Pessoas!$C$5:$C$44,$K2094,Pessoas!$G$5:$G$44,"Ativo")=0,"Equipe "&amp;$K2094,INDEX(Pessoas!$A$5:$A$44,_xludf.aggregate(15,6,(ROW(Pessoas!$A$5:$A$44)-4)/((Pessoas!$C$5:$C$44=$K2094)*(Pessoas!$G$5:$G$44="Ativo")),MOD(ROW()-6,MAX(1,COUNTIFS(Pessoas!$C$5:$C$44,$K2094,Pessoas!$G$5:$G$44,"Ativo")))+1)))</f>
        <v>Equipe Oficina Mecânica Central-Taisa</v>
      </c>
    </row>
    <row r="2095" spans="1:12" ht="15" customHeight="1" x14ac:dyDescent="0.4">
      <c r="A2095" s="25">
        <v>46609</v>
      </c>
      <c r="B2095" s="16">
        <v>50</v>
      </c>
      <c r="C2095" s="16">
        <v>4</v>
      </c>
      <c r="D2095" s="16">
        <v>8</v>
      </c>
      <c r="E2095" s="16" t="s">
        <v>1371</v>
      </c>
      <c r="F2095" s="16" t="s">
        <v>1001</v>
      </c>
      <c r="G2095" s="16" t="s">
        <v>688</v>
      </c>
      <c r="H2095" s="16" t="s">
        <v>145</v>
      </c>
      <c r="I2095" s="22" t="s">
        <v>861</v>
      </c>
      <c r="J2095" s="16">
        <f>IFERROR(INDEX(Aux_HH!$J$4:$J$31,MATCH($H2095&amp;"|"&amp;$I2095,Aux_HH!$A$4:$A$31,0)),"")</f>
        <v>4</v>
      </c>
      <c r="K2095" s="16" t="s">
        <v>76</v>
      </c>
      <c r="L2095" s="16" t="str">
        <f>IF(COUNTIFS(Pessoas!$C$5:$C$44,$K2095,Pessoas!$G$5:$G$44,"Ativo")=0,"Equipe "&amp;$K2095,INDEX(Pessoas!$A$5:$A$44,_xludf.aggregate(15,6,(ROW(Pessoas!$A$5:$A$44)-4)/((Pessoas!$C$5:$C$44=$K2095)*(Pessoas!$G$5:$G$44="Ativo")),MOD(ROW()-6,MAX(1,COUNTIFS(Pessoas!$C$5:$C$44,$K2095,Pessoas!$G$5:$G$44,"Ativo")))+1)))</f>
        <v>Equipe Oficina Mecânica Central-Taisa</v>
      </c>
    </row>
    <row r="2096" spans="1:12" ht="15" customHeight="1" x14ac:dyDescent="0.4">
      <c r="A2096" s="25">
        <v>46609</v>
      </c>
      <c r="B2096" s="16">
        <v>50</v>
      </c>
      <c r="C2096" s="16">
        <v>4</v>
      </c>
      <c r="D2096" s="16">
        <v>8</v>
      </c>
      <c r="E2096" s="16" t="s">
        <v>1371</v>
      </c>
      <c r="F2096" s="16" t="s">
        <v>1002</v>
      </c>
      <c r="G2096" s="16" t="s">
        <v>688</v>
      </c>
      <c r="H2096" s="16" t="s">
        <v>145</v>
      </c>
      <c r="I2096" s="22" t="s">
        <v>861</v>
      </c>
      <c r="J2096" s="16">
        <f>IFERROR(INDEX(Aux_HH!$J$4:$J$31,MATCH($H2096&amp;"|"&amp;$I2096,Aux_HH!$A$4:$A$31,0)),"")</f>
        <v>4</v>
      </c>
      <c r="K2096" s="16" t="s">
        <v>76</v>
      </c>
      <c r="L2096" s="16" t="str">
        <f>IF(COUNTIFS(Pessoas!$C$5:$C$44,$K2096,Pessoas!$G$5:$G$44,"Ativo")=0,"Equipe "&amp;$K2096,INDEX(Pessoas!$A$5:$A$44,_xludf.aggregate(15,6,(ROW(Pessoas!$A$5:$A$44)-4)/((Pessoas!$C$5:$C$44=$K2096)*(Pessoas!$G$5:$G$44="Ativo")),MOD(ROW()-6,MAX(1,COUNTIFS(Pessoas!$C$5:$C$44,$K2096,Pessoas!$G$5:$G$44,"Ativo")))+1)))</f>
        <v>Equipe Oficina Mecânica Central-Taisa</v>
      </c>
    </row>
    <row r="2097" spans="1:12" ht="15" customHeight="1" x14ac:dyDescent="0.4">
      <c r="A2097" s="25">
        <v>46609</v>
      </c>
      <c r="B2097" s="16">
        <v>50</v>
      </c>
      <c r="C2097" s="16">
        <v>4</v>
      </c>
      <c r="D2097" s="16">
        <v>8</v>
      </c>
      <c r="E2097" s="16" t="s">
        <v>1371</v>
      </c>
      <c r="F2097" s="16" t="s">
        <v>1003</v>
      </c>
      <c r="G2097" s="16" t="s">
        <v>688</v>
      </c>
      <c r="H2097" s="16" t="s">
        <v>145</v>
      </c>
      <c r="I2097" s="22" t="s">
        <v>861</v>
      </c>
      <c r="J2097" s="16">
        <f>IFERROR(INDEX(Aux_HH!$J$4:$J$31,MATCH($H2097&amp;"|"&amp;$I2097,Aux_HH!$A$4:$A$31,0)),"")</f>
        <v>4</v>
      </c>
      <c r="K2097" s="16" t="s">
        <v>76</v>
      </c>
      <c r="L2097" s="16" t="str">
        <f>IF(COUNTIFS(Pessoas!$C$5:$C$44,$K2097,Pessoas!$G$5:$G$44,"Ativo")=0,"Equipe "&amp;$K2097,INDEX(Pessoas!$A$5:$A$44,_xludf.aggregate(15,6,(ROW(Pessoas!$A$5:$A$44)-4)/((Pessoas!$C$5:$C$44=$K2097)*(Pessoas!$G$5:$G$44="Ativo")),MOD(ROW()-6,MAX(1,COUNTIFS(Pessoas!$C$5:$C$44,$K2097,Pessoas!$G$5:$G$44,"Ativo")))+1)))</f>
        <v>Equipe Oficina Mecânica Central-Taisa</v>
      </c>
    </row>
    <row r="2098" spans="1:12" ht="15" customHeight="1" x14ac:dyDescent="0.4">
      <c r="A2098" s="25">
        <v>46610</v>
      </c>
      <c r="B2098" s="16">
        <v>50</v>
      </c>
      <c r="C2098" s="16">
        <v>4</v>
      </c>
      <c r="D2098" s="16">
        <v>8</v>
      </c>
      <c r="E2098" s="16" t="s">
        <v>1371</v>
      </c>
      <c r="F2098" s="16" t="s">
        <v>1004</v>
      </c>
      <c r="G2098" s="16" t="s">
        <v>688</v>
      </c>
      <c r="H2098" s="16" t="s">
        <v>145</v>
      </c>
      <c r="I2098" s="22" t="s">
        <v>861</v>
      </c>
      <c r="J2098" s="16">
        <f>IFERROR(INDEX(Aux_HH!$J$4:$J$31,MATCH($H2098&amp;"|"&amp;$I2098,Aux_HH!$A$4:$A$31,0)),"")</f>
        <v>4</v>
      </c>
      <c r="K2098" s="16" t="s">
        <v>76</v>
      </c>
      <c r="L2098" s="16" t="str">
        <f>IF(COUNTIFS(Pessoas!$C$5:$C$44,$K2098,Pessoas!$G$5:$G$44,"Ativo")=0,"Equipe "&amp;$K2098,INDEX(Pessoas!$A$5:$A$44,_xludf.aggregate(15,6,(ROW(Pessoas!$A$5:$A$44)-4)/((Pessoas!$C$5:$C$44=$K2098)*(Pessoas!$G$5:$G$44="Ativo")),MOD(ROW()-6,MAX(1,COUNTIFS(Pessoas!$C$5:$C$44,$K2098,Pessoas!$G$5:$G$44,"Ativo")))+1)))</f>
        <v>Equipe Oficina Mecânica Central-Taisa</v>
      </c>
    </row>
    <row r="2099" spans="1:12" ht="15" customHeight="1" x14ac:dyDescent="0.4">
      <c r="A2099" s="25">
        <v>46610</v>
      </c>
      <c r="B2099" s="16">
        <v>50</v>
      </c>
      <c r="C2099" s="16">
        <v>4</v>
      </c>
      <c r="D2099" s="16">
        <v>8</v>
      </c>
      <c r="E2099" s="16" t="s">
        <v>1371</v>
      </c>
      <c r="F2099" s="16" t="s">
        <v>1005</v>
      </c>
      <c r="G2099" s="16" t="s">
        <v>688</v>
      </c>
      <c r="H2099" s="16" t="s">
        <v>145</v>
      </c>
      <c r="I2099" s="22" t="s">
        <v>861</v>
      </c>
      <c r="J2099" s="16">
        <f>IFERROR(INDEX(Aux_HH!$J$4:$J$31,MATCH($H2099&amp;"|"&amp;$I2099,Aux_HH!$A$4:$A$31,0)),"")</f>
        <v>4</v>
      </c>
      <c r="K2099" s="16" t="s">
        <v>76</v>
      </c>
      <c r="L2099" s="16" t="str">
        <f>IF(COUNTIFS(Pessoas!$C$5:$C$44,$K2099,Pessoas!$G$5:$G$44,"Ativo")=0,"Equipe "&amp;$K2099,INDEX(Pessoas!$A$5:$A$44,_xludf.aggregate(15,6,(ROW(Pessoas!$A$5:$A$44)-4)/((Pessoas!$C$5:$C$44=$K2099)*(Pessoas!$G$5:$G$44="Ativo")),MOD(ROW()-6,MAX(1,COUNTIFS(Pessoas!$C$5:$C$44,$K2099,Pessoas!$G$5:$G$44,"Ativo")))+1)))</f>
        <v>Equipe Oficina Mecânica Central-Taisa</v>
      </c>
    </row>
    <row r="2100" spans="1:12" ht="15" customHeight="1" x14ac:dyDescent="0.4">
      <c r="A2100" s="25">
        <v>46610</v>
      </c>
      <c r="B2100" s="16">
        <v>50</v>
      </c>
      <c r="C2100" s="16">
        <v>4</v>
      </c>
      <c r="D2100" s="16">
        <v>8</v>
      </c>
      <c r="E2100" s="16" t="s">
        <v>1371</v>
      </c>
      <c r="F2100" s="16" t="s">
        <v>1006</v>
      </c>
      <c r="G2100" s="16" t="s">
        <v>688</v>
      </c>
      <c r="H2100" s="16" t="s">
        <v>145</v>
      </c>
      <c r="I2100" s="22" t="s">
        <v>861</v>
      </c>
      <c r="J2100" s="16">
        <f>IFERROR(INDEX(Aux_HH!$J$4:$J$31,MATCH($H2100&amp;"|"&amp;$I2100,Aux_HH!$A$4:$A$31,0)),"")</f>
        <v>4</v>
      </c>
      <c r="K2100" s="16" t="s">
        <v>76</v>
      </c>
      <c r="L2100" s="16" t="str">
        <f>IF(COUNTIFS(Pessoas!$C$5:$C$44,$K2100,Pessoas!$G$5:$G$44,"Ativo")=0,"Equipe "&amp;$K2100,INDEX(Pessoas!$A$5:$A$44,_xludf.aggregate(15,6,(ROW(Pessoas!$A$5:$A$44)-4)/((Pessoas!$C$5:$C$44=$K2100)*(Pessoas!$G$5:$G$44="Ativo")),MOD(ROW()-6,MAX(1,COUNTIFS(Pessoas!$C$5:$C$44,$K2100,Pessoas!$G$5:$G$44,"Ativo")))+1)))</f>
        <v>Equipe Oficina Mecânica Central-Taisa</v>
      </c>
    </row>
    <row r="2101" spans="1:12" ht="15" customHeight="1" x14ac:dyDescent="0.4">
      <c r="A2101" s="25">
        <v>46611</v>
      </c>
      <c r="B2101" s="16">
        <v>50</v>
      </c>
      <c r="C2101" s="16">
        <v>4</v>
      </c>
      <c r="D2101" s="16">
        <v>8</v>
      </c>
      <c r="E2101" s="16" t="s">
        <v>1371</v>
      </c>
      <c r="F2101" s="16" t="s">
        <v>994</v>
      </c>
      <c r="G2101" s="16" t="s">
        <v>688</v>
      </c>
      <c r="H2101" s="16" t="s">
        <v>145</v>
      </c>
      <c r="I2101" s="22" t="s">
        <v>861</v>
      </c>
      <c r="J2101" s="16">
        <f>IFERROR(INDEX(Aux_HH!$J$4:$J$31,MATCH($H2101&amp;"|"&amp;$I2101,Aux_HH!$A$4:$A$31,0)),"")</f>
        <v>4</v>
      </c>
      <c r="K2101" s="16" t="s">
        <v>76</v>
      </c>
      <c r="L2101" s="16" t="str">
        <f>IF(COUNTIFS(Pessoas!$C$5:$C$44,$K2101,Pessoas!$G$5:$G$44,"Ativo")=0,"Equipe "&amp;$K2101,INDEX(Pessoas!$A$5:$A$44,_xludf.aggregate(15,6,(ROW(Pessoas!$A$5:$A$44)-4)/((Pessoas!$C$5:$C$44=$K2101)*(Pessoas!$G$5:$G$44="Ativo")),MOD(ROW()-6,MAX(1,COUNTIFS(Pessoas!$C$5:$C$44,$K2101,Pessoas!$G$5:$G$44,"Ativo")))+1)))</f>
        <v>Equipe Oficina Mecânica Central-Taisa</v>
      </c>
    </row>
    <row r="2102" spans="1:12" ht="15" customHeight="1" x14ac:dyDescent="0.4">
      <c r="A2102" s="25">
        <v>46611</v>
      </c>
      <c r="B2102" s="16">
        <v>50</v>
      </c>
      <c r="C2102" s="16">
        <v>4</v>
      </c>
      <c r="D2102" s="16">
        <v>8</v>
      </c>
      <c r="E2102" s="16" t="s">
        <v>1371</v>
      </c>
      <c r="F2102" s="16" t="s">
        <v>995</v>
      </c>
      <c r="G2102" s="16" t="s">
        <v>688</v>
      </c>
      <c r="H2102" s="16" t="s">
        <v>145</v>
      </c>
      <c r="I2102" s="22" t="s">
        <v>861</v>
      </c>
      <c r="J2102" s="16">
        <f>IFERROR(INDEX(Aux_HH!$J$4:$J$31,MATCH($H2102&amp;"|"&amp;$I2102,Aux_HH!$A$4:$A$31,0)),"")</f>
        <v>4</v>
      </c>
      <c r="K2102" s="16" t="s">
        <v>76</v>
      </c>
      <c r="L2102" s="16" t="str">
        <f>IF(COUNTIFS(Pessoas!$C$5:$C$44,$K2102,Pessoas!$G$5:$G$44,"Ativo")=0,"Equipe "&amp;$K2102,INDEX(Pessoas!$A$5:$A$44,_xludf.aggregate(15,6,(ROW(Pessoas!$A$5:$A$44)-4)/((Pessoas!$C$5:$C$44=$K2102)*(Pessoas!$G$5:$G$44="Ativo")),MOD(ROW()-6,MAX(1,COUNTIFS(Pessoas!$C$5:$C$44,$K2102,Pessoas!$G$5:$G$44,"Ativo")))+1)))</f>
        <v>Equipe Oficina Mecânica Central-Taisa</v>
      </c>
    </row>
    <row r="2103" spans="1:12" ht="15" customHeight="1" x14ac:dyDescent="0.4">
      <c r="A2103" s="25">
        <v>46612</v>
      </c>
      <c r="B2103" s="16">
        <v>50</v>
      </c>
      <c r="C2103" s="16">
        <v>4</v>
      </c>
      <c r="D2103" s="16">
        <v>8</v>
      </c>
      <c r="E2103" s="16" t="s">
        <v>1371</v>
      </c>
      <c r="F2103" s="16" t="s">
        <v>996</v>
      </c>
      <c r="G2103" s="16" t="s">
        <v>688</v>
      </c>
      <c r="H2103" s="16" t="s">
        <v>145</v>
      </c>
      <c r="I2103" s="22" t="s">
        <v>861</v>
      </c>
      <c r="J2103" s="16">
        <f>IFERROR(INDEX(Aux_HH!$J$4:$J$31,MATCH($H2103&amp;"|"&amp;$I2103,Aux_HH!$A$4:$A$31,0)),"")</f>
        <v>4</v>
      </c>
      <c r="K2103" s="16" t="s">
        <v>76</v>
      </c>
      <c r="L2103" s="16" t="str">
        <f>IF(COUNTIFS(Pessoas!$C$5:$C$44,$K2103,Pessoas!$G$5:$G$44,"Ativo")=0,"Equipe "&amp;$K2103,INDEX(Pessoas!$A$5:$A$44,_xludf.aggregate(15,6,(ROW(Pessoas!$A$5:$A$44)-4)/((Pessoas!$C$5:$C$44=$K2103)*(Pessoas!$G$5:$G$44="Ativo")),MOD(ROW()-6,MAX(1,COUNTIFS(Pessoas!$C$5:$C$44,$K2103,Pessoas!$G$5:$G$44,"Ativo")))+1)))</f>
        <v>Equipe Oficina Mecânica Central-Taisa</v>
      </c>
    </row>
    <row r="2104" spans="1:12" ht="15" customHeight="1" x14ac:dyDescent="0.4">
      <c r="A2104" s="25">
        <v>46612</v>
      </c>
      <c r="B2104" s="16">
        <v>50</v>
      </c>
      <c r="C2104" s="16">
        <v>4</v>
      </c>
      <c r="D2104" s="16">
        <v>8</v>
      </c>
      <c r="E2104" s="16" t="s">
        <v>1371</v>
      </c>
      <c r="F2104" s="16" t="s">
        <v>997</v>
      </c>
      <c r="G2104" s="16" t="s">
        <v>688</v>
      </c>
      <c r="H2104" s="16" t="s">
        <v>145</v>
      </c>
      <c r="I2104" s="22" t="s">
        <v>861</v>
      </c>
      <c r="J2104" s="16">
        <f>IFERROR(INDEX(Aux_HH!$J$4:$J$31,MATCH($H2104&amp;"|"&amp;$I2104,Aux_HH!$A$4:$A$31,0)),"")</f>
        <v>4</v>
      </c>
      <c r="K2104" s="16" t="s">
        <v>76</v>
      </c>
      <c r="L2104" s="16" t="str">
        <f>IF(COUNTIFS(Pessoas!$C$5:$C$44,$K2104,Pessoas!$G$5:$G$44,"Ativo")=0,"Equipe "&amp;$K2104,INDEX(Pessoas!$A$5:$A$44,_xludf.aggregate(15,6,(ROW(Pessoas!$A$5:$A$44)-4)/((Pessoas!$C$5:$C$44=$K2104)*(Pessoas!$G$5:$G$44="Ativo")),MOD(ROW()-6,MAX(1,COUNTIFS(Pessoas!$C$5:$C$44,$K2104,Pessoas!$G$5:$G$44,"Ativo")))+1)))</f>
        <v>Equipe Oficina Mecânica Central-Taisa</v>
      </c>
    </row>
    <row r="2105" spans="1:12" ht="15" customHeight="1" x14ac:dyDescent="0.4">
      <c r="A2105" s="25">
        <v>46615</v>
      </c>
      <c r="B2105" s="16">
        <v>50</v>
      </c>
      <c r="C2105" s="16">
        <v>4</v>
      </c>
      <c r="D2105" s="16">
        <v>8</v>
      </c>
      <c r="E2105" s="16" t="s">
        <v>1371</v>
      </c>
      <c r="F2105" s="16" t="s">
        <v>998</v>
      </c>
      <c r="G2105" s="16" t="s">
        <v>688</v>
      </c>
      <c r="H2105" s="16" t="s">
        <v>145</v>
      </c>
      <c r="I2105" s="22" t="s">
        <v>861</v>
      </c>
      <c r="J2105" s="16">
        <f>IFERROR(INDEX(Aux_HH!$J$4:$J$31,MATCH($H2105&amp;"|"&amp;$I2105,Aux_HH!$A$4:$A$31,0)),"")</f>
        <v>4</v>
      </c>
      <c r="K2105" s="16" t="s">
        <v>76</v>
      </c>
      <c r="L2105" s="16" t="str">
        <f>IF(COUNTIFS(Pessoas!$C$5:$C$44,$K2105,Pessoas!$G$5:$G$44,"Ativo")=0,"Equipe "&amp;$K2105,INDEX(Pessoas!$A$5:$A$44,_xludf.aggregate(15,6,(ROW(Pessoas!$A$5:$A$44)-4)/((Pessoas!$C$5:$C$44=$K2105)*(Pessoas!$G$5:$G$44="Ativo")),MOD(ROW()-6,MAX(1,COUNTIFS(Pessoas!$C$5:$C$44,$K2105,Pessoas!$G$5:$G$44,"Ativo")))+1)))</f>
        <v>Equipe Oficina Mecânica Central-Taisa</v>
      </c>
    </row>
    <row r="2106" spans="1:12" ht="15" customHeight="1" x14ac:dyDescent="0.4">
      <c r="A2106" s="25">
        <v>46615</v>
      </c>
      <c r="B2106" s="16">
        <v>50</v>
      </c>
      <c r="C2106" s="16">
        <v>4</v>
      </c>
      <c r="D2106" s="16">
        <v>8</v>
      </c>
      <c r="E2106" s="16" t="s">
        <v>1371</v>
      </c>
      <c r="F2106" s="16" t="s">
        <v>1000</v>
      </c>
      <c r="G2106" s="16" t="s">
        <v>688</v>
      </c>
      <c r="H2106" s="16" t="s">
        <v>145</v>
      </c>
      <c r="I2106" s="22" t="s">
        <v>861</v>
      </c>
      <c r="J2106" s="16">
        <f>IFERROR(INDEX(Aux_HH!$J$4:$J$31,MATCH($H2106&amp;"|"&amp;$I2106,Aux_HH!$A$4:$A$31,0)),"")</f>
        <v>4</v>
      </c>
      <c r="K2106" s="16" t="s">
        <v>76</v>
      </c>
      <c r="L2106" s="16" t="str">
        <f>IF(COUNTIFS(Pessoas!$C$5:$C$44,$K2106,Pessoas!$G$5:$G$44,"Ativo")=0,"Equipe "&amp;$K2106,INDEX(Pessoas!$A$5:$A$44,_xludf.aggregate(15,6,(ROW(Pessoas!$A$5:$A$44)-4)/((Pessoas!$C$5:$C$44=$K2106)*(Pessoas!$G$5:$G$44="Ativo")),MOD(ROW()-6,MAX(1,COUNTIFS(Pessoas!$C$5:$C$44,$K2106,Pessoas!$G$5:$G$44,"Ativo")))+1)))</f>
        <v>Equipe Oficina Mecânica Central-Taisa</v>
      </c>
    </row>
  </sheetData>
  <autoFilter ref="A5:L2106" xr:uid="{00000000-0009-0000-0000-000009000000}"/>
  <mergeCells count="2">
    <mergeCell ref="A1:K1"/>
    <mergeCell ref="A2:K2"/>
  </mergeCells>
  <conditionalFormatting sqref="I6:I2106">
    <cfRule type="expression" dxfId="11" priority="2">
      <formula>OR(EXACT(I6,"B"),EXACT(I6,"C"))</formula>
    </cfRule>
    <cfRule type="expression" dxfId="10" priority="3">
      <formula>EXACT(I6,"A")</formula>
    </cfRule>
    <cfRule type="expression" dxfId="9" priority="4">
      <formula>EXACT(I6,"S")</formula>
    </cfRule>
  </conditionalFormatting>
  <conditionalFormatting sqref="N12:N23">
    <cfRule type="colorScale" priority="5">
      <colorScale>
        <cfvo type="min"/>
        <cfvo type="percentile" val="50"/>
        <cfvo type="max"/>
        <color rgb="FF00FF00"/>
        <color rgb="FFFFFF00"/>
        <color rgb="FFFF3300"/>
      </colorScale>
    </cfRule>
  </conditionalFormatting>
  <hyperlinks>
    <hyperlink ref="M1" r:id="rId1" location="Menu!A1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3"/>
  <sheetViews>
    <sheetView zoomScaleNormal="100" workbookViewId="0"/>
  </sheetViews>
  <sheetFormatPr defaultColWidth="8.69140625" defaultRowHeight="14.6" x14ac:dyDescent="0.4"/>
  <cols>
    <col min="1" max="1" width="20" customWidth="1"/>
    <col min="2" max="14" width="8" customWidth="1"/>
  </cols>
  <sheetData>
    <row r="1" spans="1:16" ht="16.75" x14ac:dyDescent="0.45">
      <c r="A1" s="3" t="s">
        <v>1372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5" t="s">
        <v>47</v>
      </c>
    </row>
    <row r="3" spans="1:16" x14ac:dyDescent="0.4">
      <c r="A3" s="4" t="s">
        <v>128</v>
      </c>
      <c r="B3" s="4" t="s">
        <v>83</v>
      </c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  <c r="I3" s="4" t="s">
        <v>90</v>
      </c>
      <c r="J3" s="4" t="s">
        <v>91</v>
      </c>
      <c r="K3" s="4" t="s">
        <v>92</v>
      </c>
      <c r="L3" s="4" t="s">
        <v>93</v>
      </c>
      <c r="M3" s="4" t="s">
        <v>94</v>
      </c>
      <c r="N3" s="4" t="s">
        <v>1373</v>
      </c>
    </row>
    <row r="4" spans="1:16" x14ac:dyDescent="0.4">
      <c r="A4" s="15" t="s">
        <v>138</v>
      </c>
      <c r="B4" s="16">
        <f>COUNTIFS(Agenda!$H$6:$H$2106,$A4,Agenda!$D$6:$D$2106,1)</f>
        <v>10</v>
      </c>
      <c r="C4" s="16">
        <f>COUNTIFS(Agenda!$H$6:$H$2106,$A4,Agenda!$D$6:$D$2106,2)</f>
        <v>16</v>
      </c>
      <c r="D4" s="16">
        <f>COUNTIFS(Agenda!$H$6:$H$2106,$A4,Agenda!$D$6:$D$2106,3)</f>
        <v>16</v>
      </c>
      <c r="E4" s="16">
        <f>COUNTIFS(Agenda!$H$6:$H$2106,$A4,Agenda!$D$6:$D$2106,4)</f>
        <v>0</v>
      </c>
      <c r="F4" s="16">
        <f>COUNTIFS(Agenda!$H$6:$H$2106,$A4,Agenda!$D$6:$D$2106,5)</f>
        <v>0</v>
      </c>
      <c r="G4" s="16">
        <f>COUNTIFS(Agenda!$H$6:$H$2106,$A4,Agenda!$D$6:$D$2106,6)</f>
        <v>0</v>
      </c>
      <c r="H4" s="16">
        <f>COUNTIFS(Agenda!$H$6:$H$2106,$A4,Agenda!$D$6:$D$2106,7)</f>
        <v>0</v>
      </c>
      <c r="I4" s="16">
        <f>COUNTIFS(Agenda!$H$6:$H$2106,$A4,Agenda!$D$6:$D$2106,8)</f>
        <v>8</v>
      </c>
      <c r="J4" s="16">
        <f>COUNTIFS(Agenda!$H$6:$H$2106,$A4,Agenda!$D$6:$D$2106,9)</f>
        <v>12</v>
      </c>
      <c r="K4" s="16">
        <f>COUNTIFS(Agenda!$H$6:$H$2106,$A4,Agenda!$D$6:$D$2106,10)</f>
        <v>12</v>
      </c>
      <c r="L4" s="16">
        <f>COUNTIFS(Agenda!$H$6:$H$2106,$A4,Agenda!$D$6:$D$2106,11)</f>
        <v>16</v>
      </c>
      <c r="M4" s="16">
        <f>COUNTIFS(Agenda!$H$6:$H$2106,$A4,Agenda!$D$6:$D$2106,12)</f>
        <v>14</v>
      </c>
      <c r="N4" s="19">
        <f t="shared" ref="N4:N10" si="0">SUM(B4:M4)</f>
        <v>104</v>
      </c>
    </row>
    <row r="5" spans="1:16" x14ac:dyDescent="0.4">
      <c r="A5" s="15" t="s">
        <v>140</v>
      </c>
      <c r="B5" s="16">
        <f>COUNTIFS(Agenda!$H$6:$H$2106,$A5,Agenda!$D$6:$D$2106,1)</f>
        <v>102</v>
      </c>
      <c r="C5" s="16">
        <f>COUNTIFS(Agenda!$H$6:$H$2106,$A5,Agenda!$D$6:$D$2106,2)</f>
        <v>102</v>
      </c>
      <c r="D5" s="16">
        <f>COUNTIFS(Agenda!$H$6:$H$2106,$A5,Agenda!$D$6:$D$2106,3)</f>
        <v>0</v>
      </c>
      <c r="E5" s="16">
        <f>COUNTIFS(Agenda!$H$6:$H$2106,$A5,Agenda!$D$6:$D$2106,4)</f>
        <v>102</v>
      </c>
      <c r="F5" s="16">
        <f>COUNTIFS(Agenda!$H$6:$H$2106,$A5,Agenda!$D$6:$D$2106,5)</f>
        <v>0</v>
      </c>
      <c r="G5" s="16">
        <f>COUNTIFS(Agenda!$H$6:$H$2106,$A5,Agenda!$D$6:$D$2106,6)</f>
        <v>0</v>
      </c>
      <c r="H5" s="16">
        <f>COUNTIFS(Agenda!$H$6:$H$2106,$A5,Agenda!$D$6:$D$2106,7)</f>
        <v>0</v>
      </c>
      <c r="I5" s="16">
        <f>COUNTIFS(Agenda!$H$6:$H$2106,$A5,Agenda!$D$6:$D$2106,8)</f>
        <v>102</v>
      </c>
      <c r="J5" s="16">
        <f>COUNTIFS(Agenda!$H$6:$H$2106,$A5,Agenda!$D$6:$D$2106,9)</f>
        <v>0</v>
      </c>
      <c r="K5" s="16">
        <f>COUNTIFS(Agenda!$H$6:$H$2106,$A5,Agenda!$D$6:$D$2106,10)</f>
        <v>102</v>
      </c>
      <c r="L5" s="16">
        <f>COUNTIFS(Agenda!$H$6:$H$2106,$A5,Agenda!$D$6:$D$2106,11)</f>
        <v>102</v>
      </c>
      <c r="M5" s="16">
        <f>COUNTIFS(Agenda!$H$6:$H$2106,$A5,Agenda!$D$6:$D$2106,12)</f>
        <v>0</v>
      </c>
      <c r="N5" s="19">
        <f t="shared" si="0"/>
        <v>612</v>
      </c>
    </row>
    <row r="6" spans="1:16" x14ac:dyDescent="0.4">
      <c r="A6" s="15" t="s">
        <v>141</v>
      </c>
      <c r="B6" s="16">
        <f>COUNTIFS(Agenda!$H$6:$H$2106,$A6,Agenda!$D$6:$D$2106,1)</f>
        <v>121</v>
      </c>
      <c r="C6" s="16">
        <f>COUNTIFS(Agenda!$H$6:$H$2106,$A6,Agenda!$D$6:$D$2106,2)</f>
        <v>0</v>
      </c>
      <c r="D6" s="16">
        <f>COUNTIFS(Agenda!$H$6:$H$2106,$A6,Agenda!$D$6:$D$2106,3)</f>
        <v>121</v>
      </c>
      <c r="E6" s="16">
        <f>COUNTIFS(Agenda!$H$6:$H$2106,$A6,Agenda!$D$6:$D$2106,4)</f>
        <v>0</v>
      </c>
      <c r="F6" s="16">
        <f>COUNTIFS(Agenda!$H$6:$H$2106,$A6,Agenda!$D$6:$D$2106,5)</f>
        <v>0</v>
      </c>
      <c r="G6" s="16">
        <f>COUNTIFS(Agenda!$H$6:$H$2106,$A6,Agenda!$D$6:$D$2106,6)</f>
        <v>121</v>
      </c>
      <c r="H6" s="16">
        <f>COUNTIFS(Agenda!$H$6:$H$2106,$A6,Agenda!$D$6:$D$2106,7)</f>
        <v>0</v>
      </c>
      <c r="I6" s="16">
        <f>COUNTIFS(Agenda!$H$6:$H$2106,$A6,Agenda!$D$6:$D$2106,8)</f>
        <v>0</v>
      </c>
      <c r="J6" s="16">
        <f>COUNTIFS(Agenda!$H$6:$H$2106,$A6,Agenda!$D$6:$D$2106,9)</f>
        <v>0</v>
      </c>
      <c r="K6" s="16">
        <f>COUNTIFS(Agenda!$H$6:$H$2106,$A6,Agenda!$D$6:$D$2106,10)</f>
        <v>121</v>
      </c>
      <c r="L6" s="16">
        <f>COUNTIFS(Agenda!$H$6:$H$2106,$A6,Agenda!$D$6:$D$2106,11)</f>
        <v>0</v>
      </c>
      <c r="M6" s="16">
        <f>COUNTIFS(Agenda!$H$6:$H$2106,$A6,Agenda!$D$6:$D$2106,12)</f>
        <v>121</v>
      </c>
      <c r="N6" s="19">
        <f t="shared" si="0"/>
        <v>605</v>
      </c>
    </row>
    <row r="7" spans="1:16" x14ac:dyDescent="0.4">
      <c r="A7" s="15" t="s">
        <v>143</v>
      </c>
      <c r="B7" s="16">
        <f>COUNTIFS(Agenda!$H$6:$H$2106,$A7,Agenda!$D$6:$D$2106,1)</f>
        <v>0</v>
      </c>
      <c r="C7" s="16">
        <f>COUNTIFS(Agenda!$H$6:$H$2106,$A7,Agenda!$D$6:$D$2106,2)</f>
        <v>73</v>
      </c>
      <c r="D7" s="16">
        <f>COUNTIFS(Agenda!$H$6:$H$2106,$A7,Agenda!$D$6:$D$2106,3)</f>
        <v>73</v>
      </c>
      <c r="E7" s="16">
        <f>COUNTIFS(Agenda!$H$6:$H$2106,$A7,Agenda!$D$6:$D$2106,4)</f>
        <v>0</v>
      </c>
      <c r="F7" s="16">
        <f>COUNTIFS(Agenda!$H$6:$H$2106,$A7,Agenda!$D$6:$D$2106,5)</f>
        <v>0</v>
      </c>
      <c r="G7" s="16">
        <f>COUNTIFS(Agenda!$H$6:$H$2106,$A7,Agenda!$D$6:$D$2106,6)</f>
        <v>73</v>
      </c>
      <c r="H7" s="16">
        <f>COUNTIFS(Agenda!$H$6:$H$2106,$A7,Agenda!$D$6:$D$2106,7)</f>
        <v>0</v>
      </c>
      <c r="I7" s="16">
        <f>COUNTIFS(Agenda!$H$6:$H$2106,$A7,Agenda!$D$6:$D$2106,8)</f>
        <v>0</v>
      </c>
      <c r="J7" s="16">
        <f>COUNTIFS(Agenda!$H$6:$H$2106,$A7,Agenda!$D$6:$D$2106,9)</f>
        <v>0</v>
      </c>
      <c r="K7" s="16">
        <f>COUNTIFS(Agenda!$H$6:$H$2106,$A7,Agenda!$D$6:$D$2106,10)</f>
        <v>73</v>
      </c>
      <c r="L7" s="16">
        <f>COUNTIFS(Agenda!$H$6:$H$2106,$A7,Agenda!$D$6:$D$2106,11)</f>
        <v>73</v>
      </c>
      <c r="M7" s="16">
        <f>COUNTIFS(Agenda!$H$6:$H$2106,$A7,Agenda!$D$6:$D$2106,12)</f>
        <v>73</v>
      </c>
      <c r="N7" s="19">
        <f t="shared" si="0"/>
        <v>438</v>
      </c>
    </row>
    <row r="8" spans="1:16" x14ac:dyDescent="0.4">
      <c r="A8" s="15" t="s">
        <v>144</v>
      </c>
      <c r="B8" s="16">
        <f>COUNTIFS(Agenda!$H$6:$H$2106,$A8,Agenda!$D$6:$D$2106,1)</f>
        <v>0</v>
      </c>
      <c r="C8" s="16">
        <f>COUNTIFS(Agenda!$H$6:$H$2106,$A8,Agenda!$D$6:$D$2106,2)</f>
        <v>0</v>
      </c>
      <c r="D8" s="16">
        <f>COUNTIFS(Agenda!$H$6:$H$2106,$A8,Agenda!$D$6:$D$2106,3)</f>
        <v>50</v>
      </c>
      <c r="E8" s="16">
        <f>COUNTIFS(Agenda!$H$6:$H$2106,$A8,Agenda!$D$6:$D$2106,4)</f>
        <v>0</v>
      </c>
      <c r="F8" s="16">
        <f>COUNTIFS(Agenda!$H$6:$H$2106,$A8,Agenda!$D$6:$D$2106,5)</f>
        <v>0</v>
      </c>
      <c r="G8" s="16">
        <f>COUNTIFS(Agenda!$H$6:$H$2106,$A8,Agenda!$D$6:$D$2106,6)</f>
        <v>0</v>
      </c>
      <c r="H8" s="16">
        <f>COUNTIFS(Agenda!$H$6:$H$2106,$A8,Agenda!$D$6:$D$2106,7)</f>
        <v>40</v>
      </c>
      <c r="I8" s="16">
        <f>COUNTIFS(Agenda!$H$6:$H$2106,$A8,Agenda!$D$6:$D$2106,8)</f>
        <v>10</v>
      </c>
      <c r="J8" s="16">
        <f>COUNTIFS(Agenda!$H$6:$H$2106,$A8,Agenda!$D$6:$D$2106,9)</f>
        <v>0</v>
      </c>
      <c r="K8" s="16">
        <f>COUNTIFS(Agenda!$H$6:$H$2106,$A8,Agenda!$D$6:$D$2106,10)</f>
        <v>0</v>
      </c>
      <c r="L8" s="16">
        <f>COUNTIFS(Agenda!$H$6:$H$2106,$A8,Agenda!$D$6:$D$2106,11)</f>
        <v>0</v>
      </c>
      <c r="M8" s="16">
        <f>COUNTIFS(Agenda!$H$6:$H$2106,$A8,Agenda!$D$6:$D$2106,12)</f>
        <v>50</v>
      </c>
      <c r="N8" s="19">
        <f t="shared" si="0"/>
        <v>150</v>
      </c>
    </row>
    <row r="9" spans="1:16" x14ac:dyDescent="0.4">
      <c r="A9" s="15" t="s">
        <v>145</v>
      </c>
      <c r="B9" s="16">
        <f>COUNTIFS(Agenda!$H$6:$H$2106,$A9,Agenda!$D$6:$D$2106,1)</f>
        <v>12</v>
      </c>
      <c r="C9" s="16">
        <f>COUNTIFS(Agenda!$H$6:$H$2106,$A9,Agenda!$D$6:$D$2106,2)</f>
        <v>12</v>
      </c>
      <c r="D9" s="16">
        <f>COUNTIFS(Agenda!$H$6:$H$2106,$A9,Agenda!$D$6:$D$2106,3)</f>
        <v>12</v>
      </c>
      <c r="E9" s="16">
        <f>COUNTIFS(Agenda!$H$6:$H$2106,$A9,Agenda!$D$6:$D$2106,4)</f>
        <v>10</v>
      </c>
      <c r="F9" s="16">
        <f>COUNTIFS(Agenda!$H$6:$H$2106,$A9,Agenda!$D$6:$D$2106,5)</f>
        <v>2</v>
      </c>
      <c r="G9" s="16">
        <f>COUNTIFS(Agenda!$H$6:$H$2106,$A9,Agenda!$D$6:$D$2106,6)</f>
        <v>12</v>
      </c>
      <c r="H9" s="16">
        <f>COUNTIFS(Agenda!$H$6:$H$2106,$A9,Agenda!$D$6:$D$2106,7)</f>
        <v>12</v>
      </c>
      <c r="I9" s="16">
        <f>COUNTIFS(Agenda!$H$6:$H$2106,$A9,Agenda!$D$6:$D$2106,8)</f>
        <v>12</v>
      </c>
      <c r="J9" s="16">
        <f>COUNTIFS(Agenda!$H$6:$H$2106,$A9,Agenda!$D$6:$D$2106,9)</f>
        <v>4</v>
      </c>
      <c r="K9" s="16">
        <f>COUNTIFS(Agenda!$H$6:$H$2106,$A9,Agenda!$D$6:$D$2106,10)</f>
        <v>8</v>
      </c>
      <c r="L9" s="16">
        <f>COUNTIFS(Agenda!$H$6:$H$2106,$A9,Agenda!$D$6:$D$2106,11)</f>
        <v>12</v>
      </c>
      <c r="M9" s="16">
        <f>COUNTIFS(Agenda!$H$6:$H$2106,$A9,Agenda!$D$6:$D$2106,12)</f>
        <v>12</v>
      </c>
      <c r="N9" s="19">
        <f t="shared" si="0"/>
        <v>120</v>
      </c>
    </row>
    <row r="10" spans="1:16" x14ac:dyDescent="0.4">
      <c r="A10" s="15" t="s">
        <v>146</v>
      </c>
      <c r="B10" s="16">
        <f>COUNTIFS(Agenda!$H$6:$H$2106,$A10,Agenda!$D$6:$D$2106,1)</f>
        <v>0</v>
      </c>
      <c r="C10" s="16">
        <f>COUNTIFS(Agenda!$H$6:$H$2106,$A10,Agenda!$D$6:$D$2106,2)</f>
        <v>18</v>
      </c>
      <c r="D10" s="16">
        <f>COUNTIFS(Agenda!$H$6:$H$2106,$A10,Agenda!$D$6:$D$2106,3)</f>
        <v>0</v>
      </c>
      <c r="E10" s="16">
        <f>COUNTIFS(Agenda!$H$6:$H$2106,$A10,Agenda!$D$6:$D$2106,4)</f>
        <v>0</v>
      </c>
      <c r="F10" s="16">
        <f>COUNTIFS(Agenda!$H$6:$H$2106,$A10,Agenda!$D$6:$D$2106,5)</f>
        <v>18</v>
      </c>
      <c r="G10" s="16">
        <f>COUNTIFS(Agenda!$H$6:$H$2106,$A10,Agenda!$D$6:$D$2106,6)</f>
        <v>0</v>
      </c>
      <c r="H10" s="16">
        <f>COUNTIFS(Agenda!$H$6:$H$2106,$A10,Agenda!$D$6:$D$2106,7)</f>
        <v>0</v>
      </c>
      <c r="I10" s="16">
        <f>COUNTIFS(Agenda!$H$6:$H$2106,$A10,Agenda!$D$6:$D$2106,8)</f>
        <v>0</v>
      </c>
      <c r="J10" s="16">
        <f>COUNTIFS(Agenda!$H$6:$H$2106,$A10,Agenda!$D$6:$D$2106,9)</f>
        <v>0</v>
      </c>
      <c r="K10" s="16">
        <f>COUNTIFS(Agenda!$H$6:$H$2106,$A10,Agenda!$D$6:$D$2106,10)</f>
        <v>18</v>
      </c>
      <c r="L10" s="16">
        <f>COUNTIFS(Agenda!$H$6:$H$2106,$A10,Agenda!$D$6:$D$2106,11)</f>
        <v>0</v>
      </c>
      <c r="M10" s="16">
        <f>COUNTIFS(Agenda!$H$6:$H$2106,$A10,Agenda!$D$6:$D$2106,12)</f>
        <v>18</v>
      </c>
      <c r="N10" s="19">
        <f t="shared" si="0"/>
        <v>72</v>
      </c>
    </row>
    <row r="11" spans="1:16" x14ac:dyDescent="0.4">
      <c r="A11" s="26" t="s">
        <v>1373</v>
      </c>
      <c r="B11" s="4">
        <f t="shared" ref="B11:N11" si="1">SUM(B4:B10)</f>
        <v>245</v>
      </c>
      <c r="C11" s="4">
        <f t="shared" si="1"/>
        <v>221</v>
      </c>
      <c r="D11" s="4">
        <f t="shared" si="1"/>
        <v>272</v>
      </c>
      <c r="E11" s="4">
        <f t="shared" si="1"/>
        <v>112</v>
      </c>
      <c r="F11" s="4">
        <f t="shared" si="1"/>
        <v>20</v>
      </c>
      <c r="G11" s="4">
        <f t="shared" si="1"/>
        <v>206</v>
      </c>
      <c r="H11" s="4">
        <f t="shared" si="1"/>
        <v>52</v>
      </c>
      <c r="I11" s="4">
        <f t="shared" si="1"/>
        <v>132</v>
      </c>
      <c r="J11" s="4">
        <f t="shared" si="1"/>
        <v>16</v>
      </c>
      <c r="K11" s="4">
        <f t="shared" si="1"/>
        <v>334</v>
      </c>
      <c r="L11" s="4">
        <f t="shared" si="1"/>
        <v>203</v>
      </c>
      <c r="M11" s="4">
        <f t="shared" si="1"/>
        <v>288</v>
      </c>
      <c r="N11" s="4">
        <f t="shared" si="1"/>
        <v>2101</v>
      </c>
    </row>
    <row r="13" spans="1:16" x14ac:dyDescent="0.4">
      <c r="A13" s="15" t="s">
        <v>1374</v>
      </c>
      <c r="B13" s="16">
        <f>ROUND(SUMIFS(Agenda!$J$6:$J$2106,Agenda!$D$6:$D$2106,1),0)</f>
        <v>743</v>
      </c>
      <c r="C13" s="16">
        <f>ROUND(SUMIFS(Agenda!$J$6:$J$2106,Agenda!$D$6:$D$2106,2),0)</f>
        <v>1523</v>
      </c>
      <c r="D13" s="16">
        <f>ROUND(SUMIFS(Agenda!$J$6:$J$2106,Agenda!$D$6:$D$2106,3),0)</f>
        <v>1469</v>
      </c>
      <c r="E13" s="16">
        <f>ROUND(SUMIFS(Agenda!$J$6:$J$2106,Agenda!$D$6:$D$2106,4),0)</f>
        <v>275</v>
      </c>
      <c r="F13" s="16">
        <f>ROUND(SUMIFS(Agenda!$J$6:$J$2106,Agenda!$D$6:$D$2106,5),0)</f>
        <v>58</v>
      </c>
      <c r="G13" s="16">
        <f>ROUND(SUMIFS(Agenda!$J$6:$J$2106,Agenda!$D$6:$D$2106,6),0)</f>
        <v>619</v>
      </c>
      <c r="H13" s="16">
        <f>ROUND(SUMIFS(Agenda!$J$6:$J$2106,Agenda!$D$6:$D$2106,7),0)</f>
        <v>84</v>
      </c>
      <c r="I13" s="16">
        <f>ROUND(SUMIFS(Agenda!$J$6:$J$2106,Agenda!$D$6:$D$2106,8),0)</f>
        <v>546</v>
      </c>
      <c r="J13" s="16">
        <f>ROUND(SUMIFS(Agenda!$J$6:$J$2106,Agenda!$D$6:$D$2106,9),0)</f>
        <v>56</v>
      </c>
      <c r="K13" s="16">
        <f>ROUND(SUMIFS(Agenda!$J$6:$J$2106,Agenda!$D$6:$D$2106,10),0)</f>
        <v>771</v>
      </c>
      <c r="L13" s="16">
        <f>ROUND(SUMIFS(Agenda!$J$6:$J$2106,Agenda!$D$6:$D$2106,11),0)</f>
        <v>956</v>
      </c>
      <c r="M13" s="16">
        <f>ROUND(SUMIFS(Agenda!$J$6:$J$2106,Agenda!$D$6:$D$2106,12),0)</f>
        <v>886</v>
      </c>
      <c r="N13" s="19">
        <f>SUM(B13:M13)</f>
        <v>7986</v>
      </c>
    </row>
  </sheetData>
  <mergeCells count="1">
    <mergeCell ref="A1:N1"/>
  </mergeCells>
  <conditionalFormatting sqref="B4:M10">
    <cfRule type="colorScale" priority="2">
      <colorScale>
        <cfvo type="num" val="0"/>
        <cfvo type="percentile" val="60"/>
        <cfvo type="max"/>
        <color rgb="FF00FF00"/>
        <color rgb="FFFFFF00"/>
        <color rgb="FFFF3300"/>
      </colorScale>
    </cfRule>
  </conditionalFormatting>
  <hyperlinks>
    <hyperlink ref="P1" r:id="rId1" location="Menu!A1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"/>
  <sheetViews>
    <sheetView zoomScaleNormal="100" workbookViewId="0"/>
  </sheetViews>
  <sheetFormatPr defaultColWidth="8.69140625" defaultRowHeight="14.6" x14ac:dyDescent="0.4"/>
  <cols>
    <col min="1" max="1" width="30" customWidth="1"/>
    <col min="2" max="13" width="9" customWidth="1"/>
    <col min="14" max="14" width="11" customWidth="1"/>
  </cols>
  <sheetData>
    <row r="1" spans="1:16" ht="15.75" customHeight="1" x14ac:dyDescent="0.45">
      <c r="A1" s="3" t="s">
        <v>1375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11" t="s">
        <v>47</v>
      </c>
    </row>
    <row r="3" spans="1:16" ht="15" customHeight="1" x14ac:dyDescent="0.4">
      <c r="A3" s="14" t="s">
        <v>71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93</v>
      </c>
      <c r="M3" s="14" t="s">
        <v>94</v>
      </c>
      <c r="N3" s="14" t="s">
        <v>1376</v>
      </c>
    </row>
    <row r="4" spans="1:16" ht="15" customHeight="1" x14ac:dyDescent="0.4">
      <c r="A4" s="15" t="s">
        <v>76</v>
      </c>
      <c r="B4" s="16">
        <f>ROUND(SUMIFS(Eventos!$G$4:$G$367,Eventos!$C$4:$C$367,1),1)</f>
        <v>737</v>
      </c>
      <c r="C4" s="16">
        <f>ROUND(SUMIFS(Eventos!$G$4:$G$367,Eventos!$C$4:$C$367,2),1)</f>
        <v>1523</v>
      </c>
      <c r="D4" s="16">
        <f>ROUND(SUMIFS(Eventos!$G$4:$G$367,Eventos!$C$4:$C$367,3),1)</f>
        <v>1468.5</v>
      </c>
      <c r="E4" s="16">
        <f>ROUND(SUMIFS(Eventos!$G$4:$G$367,Eventos!$C$4:$C$367,4),1)</f>
        <v>279</v>
      </c>
      <c r="F4" s="16">
        <f>ROUND(SUMIFS(Eventos!$G$4:$G$367,Eventos!$C$4:$C$367,5),1)</f>
        <v>54</v>
      </c>
      <c r="G4" s="16">
        <f>ROUND(SUMIFS(Eventos!$G$4:$G$367,Eventos!$C$4:$C$367,6),1)</f>
        <v>618.5</v>
      </c>
      <c r="H4" s="16">
        <f>ROUND(SUMIFS(Eventos!$G$4:$G$367,Eventos!$C$4:$C$367,7),1)</f>
        <v>99</v>
      </c>
      <c r="I4" s="16">
        <f>ROUND(SUMIFS(Eventos!$G$4:$G$367,Eventos!$C$4:$C$367,8),1)</f>
        <v>531</v>
      </c>
      <c r="J4" s="16">
        <f>ROUND(SUMIFS(Eventos!$G$4:$G$367,Eventos!$C$4:$C$367,9),1)</f>
        <v>96</v>
      </c>
      <c r="K4" s="16">
        <f>ROUND(SUMIFS(Eventos!$G$4:$G$367,Eventos!$C$4:$C$367,10),1)</f>
        <v>730.5</v>
      </c>
      <c r="L4" s="16">
        <f>ROUND(SUMIFS(Eventos!$G$4:$G$367,Eventos!$C$4:$C$367,11),1)</f>
        <v>955.5</v>
      </c>
      <c r="M4" s="16">
        <f>ROUND(SUMIFS(Eventos!$G$4:$G$367,Eventos!$C$4:$C$367,12),1)</f>
        <v>891.5</v>
      </c>
      <c r="N4" s="19">
        <f t="shared" ref="N4:N9" si="0">ROUND(SUM(B4:M4),1)</f>
        <v>7983.5</v>
      </c>
    </row>
    <row r="5" spans="1:16" ht="15" customHeight="1" x14ac:dyDescent="0.4">
      <c r="A5" s="15" t="s">
        <v>75</v>
      </c>
      <c r="B5" s="16">
        <f>ROUND(SUMIFS(Eventos!$H$4:$H$367,Eventos!$C$4:$C$367,1),1)</f>
        <v>0</v>
      </c>
      <c r="C5" s="16">
        <f>ROUND(SUMIFS(Eventos!$H$4:$H$367,Eventos!$C$4:$C$367,2),1)</f>
        <v>0</v>
      </c>
      <c r="D5" s="16">
        <f>ROUND(SUMIFS(Eventos!$H$4:$H$367,Eventos!$C$4:$C$367,3),1)</f>
        <v>0</v>
      </c>
      <c r="E5" s="16">
        <f>ROUND(SUMIFS(Eventos!$H$4:$H$367,Eventos!$C$4:$C$367,4),1)</f>
        <v>0</v>
      </c>
      <c r="F5" s="16">
        <f>ROUND(SUMIFS(Eventos!$H$4:$H$367,Eventos!$C$4:$C$367,5),1)</f>
        <v>0</v>
      </c>
      <c r="G5" s="16">
        <f>ROUND(SUMIFS(Eventos!$H$4:$H$367,Eventos!$C$4:$C$367,6),1)</f>
        <v>0</v>
      </c>
      <c r="H5" s="16">
        <f>ROUND(SUMIFS(Eventos!$H$4:$H$367,Eventos!$C$4:$C$367,7),1)</f>
        <v>0</v>
      </c>
      <c r="I5" s="16">
        <f>ROUND(SUMIFS(Eventos!$H$4:$H$367,Eventos!$C$4:$C$367,8),1)</f>
        <v>0</v>
      </c>
      <c r="J5" s="16">
        <f>ROUND(SUMIFS(Eventos!$H$4:$H$367,Eventos!$C$4:$C$367,9),1)</f>
        <v>0</v>
      </c>
      <c r="K5" s="16">
        <f>ROUND(SUMIFS(Eventos!$H$4:$H$367,Eventos!$C$4:$C$367,10),1)</f>
        <v>0</v>
      </c>
      <c r="L5" s="16">
        <f>ROUND(SUMIFS(Eventos!$H$4:$H$367,Eventos!$C$4:$C$367,11),1)</f>
        <v>0</v>
      </c>
      <c r="M5" s="16">
        <f>ROUND(SUMIFS(Eventos!$H$4:$H$367,Eventos!$C$4:$C$367,12),1)</f>
        <v>0</v>
      </c>
      <c r="N5" s="19">
        <f t="shared" si="0"/>
        <v>0</v>
      </c>
    </row>
    <row r="6" spans="1:16" ht="15" customHeight="1" x14ac:dyDescent="0.4">
      <c r="A6" s="15" t="s">
        <v>77</v>
      </c>
      <c r="B6" s="16">
        <f>ROUND(SUMIFS(Eventos!$I$4:$I$367,Eventos!$C$4:$C$367,1),1)</f>
        <v>0</v>
      </c>
      <c r="C6" s="16">
        <f>ROUND(SUMIFS(Eventos!$I$4:$I$367,Eventos!$C$4:$C$367,2),1)</f>
        <v>0</v>
      </c>
      <c r="D6" s="16">
        <f>ROUND(SUMIFS(Eventos!$I$4:$I$367,Eventos!$C$4:$C$367,3),1)</f>
        <v>0</v>
      </c>
      <c r="E6" s="16">
        <f>ROUND(SUMIFS(Eventos!$I$4:$I$367,Eventos!$C$4:$C$367,4),1)</f>
        <v>0</v>
      </c>
      <c r="F6" s="16">
        <f>ROUND(SUMIFS(Eventos!$I$4:$I$367,Eventos!$C$4:$C$367,5),1)</f>
        <v>0</v>
      </c>
      <c r="G6" s="16">
        <f>ROUND(SUMIFS(Eventos!$I$4:$I$367,Eventos!$C$4:$C$367,6),1)</f>
        <v>0</v>
      </c>
      <c r="H6" s="16">
        <f>ROUND(SUMIFS(Eventos!$I$4:$I$367,Eventos!$C$4:$C$367,7),1)</f>
        <v>0</v>
      </c>
      <c r="I6" s="16">
        <f>ROUND(SUMIFS(Eventos!$I$4:$I$367,Eventos!$C$4:$C$367,8),1)</f>
        <v>0</v>
      </c>
      <c r="J6" s="16">
        <f>ROUND(SUMIFS(Eventos!$I$4:$I$367,Eventos!$C$4:$C$367,9),1)</f>
        <v>0</v>
      </c>
      <c r="K6" s="16">
        <f>ROUND(SUMIFS(Eventos!$I$4:$I$367,Eventos!$C$4:$C$367,10),1)</f>
        <v>0</v>
      </c>
      <c r="L6" s="16">
        <f>ROUND(SUMIFS(Eventos!$I$4:$I$367,Eventos!$C$4:$C$367,11),1)</f>
        <v>0</v>
      </c>
      <c r="M6" s="16">
        <f>ROUND(SUMIFS(Eventos!$I$4:$I$367,Eventos!$C$4:$C$367,12),1)</f>
        <v>0</v>
      </c>
      <c r="N6" s="19">
        <f t="shared" si="0"/>
        <v>0</v>
      </c>
    </row>
    <row r="7" spans="1:16" ht="15" customHeight="1" x14ac:dyDescent="0.4">
      <c r="A7" s="15" t="s">
        <v>78</v>
      </c>
      <c r="B7" s="16">
        <f>ROUND(SUMIFS(Eventos!$J$4:$J$367,Eventos!$C$4:$C$367,1),1)</f>
        <v>0</v>
      </c>
      <c r="C7" s="16">
        <f>ROUND(SUMIFS(Eventos!$J$4:$J$367,Eventos!$C$4:$C$367,2),1)</f>
        <v>0</v>
      </c>
      <c r="D7" s="16">
        <f>ROUND(SUMIFS(Eventos!$J$4:$J$367,Eventos!$C$4:$C$367,3),1)</f>
        <v>0</v>
      </c>
      <c r="E7" s="16">
        <f>ROUND(SUMIFS(Eventos!$J$4:$J$367,Eventos!$C$4:$C$367,4),1)</f>
        <v>0</v>
      </c>
      <c r="F7" s="16">
        <f>ROUND(SUMIFS(Eventos!$J$4:$J$367,Eventos!$C$4:$C$367,5),1)</f>
        <v>0</v>
      </c>
      <c r="G7" s="16">
        <f>ROUND(SUMIFS(Eventos!$J$4:$J$367,Eventos!$C$4:$C$367,6),1)</f>
        <v>0</v>
      </c>
      <c r="H7" s="16">
        <f>ROUND(SUMIFS(Eventos!$J$4:$J$367,Eventos!$C$4:$C$367,7),1)</f>
        <v>0</v>
      </c>
      <c r="I7" s="16">
        <f>ROUND(SUMIFS(Eventos!$J$4:$J$367,Eventos!$C$4:$C$367,8),1)</f>
        <v>0</v>
      </c>
      <c r="J7" s="16">
        <f>ROUND(SUMIFS(Eventos!$J$4:$J$367,Eventos!$C$4:$C$367,9),1)</f>
        <v>0</v>
      </c>
      <c r="K7" s="16">
        <f>ROUND(SUMIFS(Eventos!$J$4:$J$367,Eventos!$C$4:$C$367,10),1)</f>
        <v>0</v>
      </c>
      <c r="L7" s="16">
        <f>ROUND(SUMIFS(Eventos!$J$4:$J$367,Eventos!$C$4:$C$367,11),1)</f>
        <v>0</v>
      </c>
      <c r="M7" s="16">
        <f>ROUND(SUMIFS(Eventos!$J$4:$J$367,Eventos!$C$4:$C$367,12),1)</f>
        <v>0</v>
      </c>
      <c r="N7" s="19">
        <f t="shared" si="0"/>
        <v>0</v>
      </c>
    </row>
    <row r="8" spans="1:16" ht="15" customHeight="1" x14ac:dyDescent="0.4">
      <c r="A8" s="15" t="s">
        <v>104</v>
      </c>
      <c r="B8" s="16">
        <f>ROUND(SUMIFS(Eventos!$K$4:$K$367,Eventos!$C$4:$C$367,1),1)</f>
        <v>0</v>
      </c>
      <c r="C8" s="16">
        <f>ROUND(SUMIFS(Eventos!$K$4:$K$367,Eventos!$C$4:$C$367,2),1)</f>
        <v>0</v>
      </c>
      <c r="D8" s="16">
        <f>ROUND(SUMIFS(Eventos!$K$4:$K$367,Eventos!$C$4:$C$367,3),1)</f>
        <v>0</v>
      </c>
      <c r="E8" s="16">
        <f>ROUND(SUMIFS(Eventos!$K$4:$K$367,Eventos!$C$4:$C$367,4),1)</f>
        <v>0</v>
      </c>
      <c r="F8" s="16">
        <f>ROUND(SUMIFS(Eventos!$K$4:$K$367,Eventos!$C$4:$C$367,5),1)</f>
        <v>0</v>
      </c>
      <c r="G8" s="16">
        <f>ROUND(SUMIFS(Eventos!$K$4:$K$367,Eventos!$C$4:$C$367,6),1)</f>
        <v>0</v>
      </c>
      <c r="H8" s="16">
        <f>ROUND(SUMIFS(Eventos!$K$4:$K$367,Eventos!$C$4:$C$367,7),1)</f>
        <v>0</v>
      </c>
      <c r="I8" s="16">
        <f>ROUND(SUMIFS(Eventos!$K$4:$K$367,Eventos!$C$4:$C$367,8),1)</f>
        <v>0</v>
      </c>
      <c r="J8" s="16">
        <f>ROUND(SUMIFS(Eventos!$K$4:$K$367,Eventos!$C$4:$C$367,9),1)</f>
        <v>0</v>
      </c>
      <c r="K8" s="16">
        <f>ROUND(SUMIFS(Eventos!$K$4:$K$367,Eventos!$C$4:$C$367,10),1)</f>
        <v>0</v>
      </c>
      <c r="L8" s="16">
        <f>ROUND(SUMIFS(Eventos!$K$4:$K$367,Eventos!$C$4:$C$367,11),1)</f>
        <v>0</v>
      </c>
      <c r="M8" s="16">
        <f>ROUND(SUMIFS(Eventos!$K$4:$K$367,Eventos!$C$4:$C$367,12),1)</f>
        <v>0</v>
      </c>
      <c r="N8" s="19">
        <f t="shared" si="0"/>
        <v>0</v>
      </c>
    </row>
    <row r="9" spans="1:16" ht="15" customHeight="1" x14ac:dyDescent="0.4">
      <c r="A9" s="15" t="s">
        <v>80</v>
      </c>
      <c r="B9" s="16">
        <f>ROUND(SUMIFS(Eventos!$L$4:$L$367,Eventos!$C$4:$C$367,1),1)</f>
        <v>0</v>
      </c>
      <c r="C9" s="16">
        <f>ROUND(SUMIFS(Eventos!$L$4:$L$367,Eventos!$C$4:$C$367,2),1)</f>
        <v>0</v>
      </c>
      <c r="D9" s="16">
        <f>ROUND(SUMIFS(Eventos!$L$4:$L$367,Eventos!$C$4:$C$367,3),1)</f>
        <v>0</v>
      </c>
      <c r="E9" s="16">
        <f>ROUND(SUMIFS(Eventos!$L$4:$L$367,Eventos!$C$4:$C$367,4),1)</f>
        <v>0</v>
      </c>
      <c r="F9" s="16">
        <f>ROUND(SUMIFS(Eventos!$L$4:$L$367,Eventos!$C$4:$C$367,5),1)</f>
        <v>0</v>
      </c>
      <c r="G9" s="16">
        <f>ROUND(SUMIFS(Eventos!$L$4:$L$367,Eventos!$C$4:$C$367,6),1)</f>
        <v>0</v>
      </c>
      <c r="H9" s="16">
        <f>ROUND(SUMIFS(Eventos!$L$4:$L$367,Eventos!$C$4:$C$367,7),1)</f>
        <v>0</v>
      </c>
      <c r="I9" s="16">
        <f>ROUND(SUMIFS(Eventos!$L$4:$L$367,Eventos!$C$4:$C$367,8),1)</f>
        <v>0</v>
      </c>
      <c r="J9" s="16">
        <f>ROUND(SUMIFS(Eventos!$L$4:$L$367,Eventos!$C$4:$C$367,9),1)</f>
        <v>0</v>
      </c>
      <c r="K9" s="16">
        <f>ROUND(SUMIFS(Eventos!$L$4:$L$367,Eventos!$C$4:$C$367,10),1)</f>
        <v>0</v>
      </c>
      <c r="L9" s="16">
        <f>ROUND(SUMIFS(Eventos!$L$4:$L$367,Eventos!$C$4:$C$367,11),1)</f>
        <v>0</v>
      </c>
      <c r="M9" s="16">
        <f>ROUND(SUMIFS(Eventos!$L$4:$L$367,Eventos!$C$4:$C$367,12),1)</f>
        <v>0</v>
      </c>
      <c r="N9" s="19">
        <f t="shared" si="0"/>
        <v>0</v>
      </c>
    </row>
    <row r="10" spans="1:16" ht="15" customHeight="1" x14ac:dyDescent="0.4">
      <c r="A10" s="26" t="s">
        <v>1373</v>
      </c>
      <c r="B10" s="4">
        <f t="shared" ref="B10:N10" si="1">ROUND(SUM(B4:B9),1)</f>
        <v>737</v>
      </c>
      <c r="C10" s="4">
        <f t="shared" si="1"/>
        <v>1523</v>
      </c>
      <c r="D10" s="4">
        <f t="shared" si="1"/>
        <v>1468.5</v>
      </c>
      <c r="E10" s="4">
        <f t="shared" si="1"/>
        <v>279</v>
      </c>
      <c r="F10" s="4">
        <f t="shared" si="1"/>
        <v>54</v>
      </c>
      <c r="G10" s="4">
        <f t="shared" si="1"/>
        <v>618.5</v>
      </c>
      <c r="H10" s="4">
        <f t="shared" si="1"/>
        <v>99</v>
      </c>
      <c r="I10" s="4">
        <f t="shared" si="1"/>
        <v>531</v>
      </c>
      <c r="J10" s="4">
        <f t="shared" si="1"/>
        <v>96</v>
      </c>
      <c r="K10" s="4">
        <f t="shared" si="1"/>
        <v>730.5</v>
      </c>
      <c r="L10" s="4">
        <f t="shared" si="1"/>
        <v>955.5</v>
      </c>
      <c r="M10" s="4">
        <f t="shared" si="1"/>
        <v>891.5</v>
      </c>
      <c r="N10" s="4">
        <f t="shared" si="1"/>
        <v>7983.5</v>
      </c>
    </row>
  </sheetData>
  <mergeCells count="1">
    <mergeCell ref="A1:N1"/>
  </mergeCells>
  <hyperlinks>
    <hyperlink ref="P1" r:id="rId1" location="Menu!A1" xr:uid="{00000000-0004-0000-0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"/>
  <sheetViews>
    <sheetView zoomScaleNormal="100" workbookViewId="0"/>
  </sheetViews>
  <sheetFormatPr defaultColWidth="8.69140625" defaultRowHeight="14.6" x14ac:dyDescent="0.4"/>
  <cols>
    <col min="1" max="1" width="30" customWidth="1"/>
    <col min="2" max="13" width="9" customWidth="1"/>
    <col min="14" max="14" width="11" customWidth="1"/>
  </cols>
  <sheetData>
    <row r="1" spans="1:16" ht="15.75" customHeight="1" x14ac:dyDescent="0.45">
      <c r="A1" s="3" t="s">
        <v>1377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11" t="s">
        <v>47</v>
      </c>
    </row>
    <row r="3" spans="1:16" ht="15" customHeight="1" x14ac:dyDescent="0.4">
      <c r="A3" s="14" t="s">
        <v>71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93</v>
      </c>
      <c r="M3" s="14" t="s">
        <v>94</v>
      </c>
      <c r="N3" s="14" t="s">
        <v>1376</v>
      </c>
    </row>
    <row r="4" spans="1:16" ht="15" customHeight="1" x14ac:dyDescent="0.4">
      <c r="A4" s="15" t="s">
        <v>76</v>
      </c>
      <c r="B4" s="16">
        <f>ROUND(MAX(0,Plan_Prev!B4*(Premissas!$C$5/MAX(0.01,Premissas!$B$5))*(1-(Premissas!$E$5/100)*((0)/11+0.5)*0.5)*Premissas!$C$23),1)</f>
        <v>2320.6</v>
      </c>
      <c r="C4" s="16">
        <f>ROUND(MAX(0,Plan_Prev!C4*(Premissas!$C$5/MAX(0.01,Premissas!$B$5))*(1-(Premissas!$E$5/100)*((1)/11+0.5)*0.5)*Premissas!$C$24),1)</f>
        <v>4630.1000000000004</v>
      </c>
      <c r="D4" s="16">
        <f>ROUND(MAX(0,Plan_Prev!D4*(Premissas!$C$5/MAX(0.01,Premissas!$B$5))*(1-(Premissas!$E$5/100)*((2)/11+0.5)*0.5)*Premissas!$C$25),1)</f>
        <v>4045.8</v>
      </c>
      <c r="E4" s="16">
        <f>ROUND(MAX(0,Plan_Prev!E4*(Premissas!$C$5/MAX(0.01,Premissas!$B$5))*(1-(Premissas!$E$5/100)*((3)/11+0.5)*0.5)*Premissas!$C$26),1)</f>
        <v>485.5</v>
      </c>
      <c r="F4" s="16">
        <f>ROUND(MAX(0,Plan_Prev!F4*(Premissas!$C$5/MAX(0.01,Premissas!$B$5))*(1-(Premissas!$E$5/100)*((4)/11+0.5)*0.5)*Premissas!$C$27),1)</f>
        <v>67.900000000000006</v>
      </c>
      <c r="G4" s="16">
        <f>ROUND(MAX(0,Plan_Prev!G4*(Premissas!$C$5/MAX(0.01,Premissas!$B$5))*(1-(Premissas!$E$5/100)*((5)/11+0.5)*0.5)*Premissas!$C$28),1)</f>
        <v>558.9</v>
      </c>
      <c r="H4" s="16">
        <f>ROUND(MAX(0,Plan_Prev!H4*(Premissas!$C$5/MAX(0.01,Premissas!$B$5))*(1-(Premissas!$E$5/100)*((6)/11+0.5)*0.5)*Premissas!$C$29),1)</f>
        <v>114</v>
      </c>
      <c r="I4" s="16">
        <f>ROUND(MAX(0,Plan_Prev!I4*(Premissas!$C$5/MAX(0.01,Premissas!$B$5))*(1-(Premissas!$E$5/100)*((7)/11+0.5)*0.5)*Premissas!$C$30),1)</f>
        <v>1406.2</v>
      </c>
      <c r="J4" s="16">
        <f>ROUND(MAX(0,Plan_Prev!J4*(Premissas!$C$5/MAX(0.01,Premissas!$B$5))*(1-(Premissas!$E$5/100)*((8)/11+0.5)*0.5)*Premissas!$C$31),1)</f>
        <v>299.10000000000002</v>
      </c>
      <c r="K4" s="16">
        <f>ROUND(MAX(0,Plan_Prev!K4*(Premissas!$C$5/MAX(0.01,Premissas!$B$5))*(1-(Premissas!$E$5/100)*((9)/11+0.5)*0.5)*Premissas!$C$32),1)</f>
        <v>2579.5</v>
      </c>
      <c r="L4" s="16">
        <f>ROUND(MAX(0,Plan_Prev!L4*(Premissas!$C$5/MAX(0.01,Premissas!$B$5))*(1-(Premissas!$E$5/100)*((10)/11+0.5)*0.5)*Premissas!$C$33),1)</f>
        <v>3318.6</v>
      </c>
      <c r="M4" s="16">
        <f>ROUND(MAX(0,Plan_Prev!M4*(Premissas!$C$5/MAX(0.01,Premissas!$B$5))*(1-(Premissas!$E$5/100)*((11)/11+0.5)*0.5)*Premissas!$C$34),1)</f>
        <v>2934.6</v>
      </c>
      <c r="N4" s="19">
        <f t="shared" ref="N4:N9" si="0">ROUND(SUM(B4:M4),1)</f>
        <v>22760.799999999999</v>
      </c>
    </row>
    <row r="5" spans="1:16" ht="15" customHeight="1" x14ac:dyDescent="0.4">
      <c r="A5" s="15" t="s">
        <v>75</v>
      </c>
      <c r="B5" s="16">
        <f>ROUND(MAX(0,Plan_Prev!B5*(Premissas!$C$6/MAX(0.01,Premissas!$B$6))*(1-(Premissas!$E$6/100)*((0)/11+0.5)*0.5)*Premissas!$C$23),1)</f>
        <v>0</v>
      </c>
      <c r="C5" s="16">
        <f>ROUND(MAX(0,Plan_Prev!C5*(Premissas!$C$6/MAX(0.01,Premissas!$B$6))*(1-(Premissas!$E$6/100)*((1)/11+0.5)*0.5)*Premissas!$C$24),1)</f>
        <v>0</v>
      </c>
      <c r="D5" s="16">
        <f>ROUND(MAX(0,Plan_Prev!D5*(Premissas!$C$6/MAX(0.01,Premissas!$B$6))*(1-(Premissas!$E$6/100)*((2)/11+0.5)*0.5)*Premissas!$C$25),1)</f>
        <v>0</v>
      </c>
      <c r="E5" s="16">
        <f>ROUND(MAX(0,Plan_Prev!E5*(Premissas!$C$6/MAX(0.01,Premissas!$B$6))*(1-(Premissas!$E$6/100)*((3)/11+0.5)*0.5)*Premissas!$C$26),1)</f>
        <v>0</v>
      </c>
      <c r="F5" s="16">
        <f>ROUND(MAX(0,Plan_Prev!F5*(Premissas!$C$6/MAX(0.01,Premissas!$B$6))*(1-(Premissas!$E$6/100)*((4)/11+0.5)*0.5)*Premissas!$C$27),1)</f>
        <v>0</v>
      </c>
      <c r="G5" s="16">
        <f>ROUND(MAX(0,Plan_Prev!G5*(Premissas!$C$6/MAX(0.01,Premissas!$B$6))*(1-(Premissas!$E$6/100)*((5)/11+0.5)*0.5)*Premissas!$C$28),1)</f>
        <v>0</v>
      </c>
      <c r="H5" s="16">
        <f>ROUND(MAX(0,Plan_Prev!H5*(Premissas!$C$6/MAX(0.01,Premissas!$B$6))*(1-(Premissas!$E$6/100)*((6)/11+0.5)*0.5)*Premissas!$C$29),1)</f>
        <v>0</v>
      </c>
      <c r="I5" s="16">
        <f>ROUND(MAX(0,Plan_Prev!I5*(Premissas!$C$6/MAX(0.01,Premissas!$B$6))*(1-(Premissas!$E$6/100)*((7)/11+0.5)*0.5)*Premissas!$C$30),1)</f>
        <v>0</v>
      </c>
      <c r="J5" s="16">
        <f>ROUND(MAX(0,Plan_Prev!J5*(Premissas!$C$6/MAX(0.01,Premissas!$B$6))*(1-(Premissas!$E$6/100)*((8)/11+0.5)*0.5)*Premissas!$C$31),1)</f>
        <v>0</v>
      </c>
      <c r="K5" s="16">
        <f>ROUND(MAX(0,Plan_Prev!K5*(Premissas!$C$6/MAX(0.01,Premissas!$B$6))*(1-(Premissas!$E$6/100)*((9)/11+0.5)*0.5)*Premissas!$C$32),1)</f>
        <v>0</v>
      </c>
      <c r="L5" s="16">
        <f>ROUND(MAX(0,Plan_Prev!L5*(Premissas!$C$6/MAX(0.01,Premissas!$B$6))*(1-(Premissas!$E$6/100)*((10)/11+0.5)*0.5)*Premissas!$C$33),1)</f>
        <v>0</v>
      </c>
      <c r="M5" s="16">
        <f>ROUND(MAX(0,Plan_Prev!M5*(Premissas!$C$6/MAX(0.01,Premissas!$B$6))*(1-(Premissas!$E$6/100)*((11)/11+0.5)*0.5)*Premissas!$C$34),1)</f>
        <v>0</v>
      </c>
      <c r="N5" s="19">
        <f t="shared" si="0"/>
        <v>0</v>
      </c>
    </row>
    <row r="6" spans="1:16" ht="15" customHeight="1" x14ac:dyDescent="0.4">
      <c r="A6" s="15" t="s">
        <v>77</v>
      </c>
      <c r="B6" s="16">
        <f>ROUND(MAX(0,Plan_Prev!B6*(Premissas!$C$7/MAX(0.01,Premissas!$B$7))*(1-(Premissas!$E$7/100)*((0)/11+0.5)*0.5)*Premissas!$C$23),1)</f>
        <v>0</v>
      </c>
      <c r="C6" s="16">
        <f>ROUND(MAX(0,Plan_Prev!C6*(Premissas!$C$7/MAX(0.01,Premissas!$B$7))*(1-(Premissas!$E$7/100)*((1)/11+0.5)*0.5)*Premissas!$C$24),1)</f>
        <v>0</v>
      </c>
      <c r="D6" s="16">
        <f>ROUND(MAX(0,Plan_Prev!D6*(Premissas!$C$7/MAX(0.01,Premissas!$B$7))*(1-(Premissas!$E$7/100)*((2)/11+0.5)*0.5)*Premissas!$C$25),1)</f>
        <v>0</v>
      </c>
      <c r="E6" s="16">
        <f>ROUND(MAX(0,Plan_Prev!E6*(Premissas!$C$7/MAX(0.01,Premissas!$B$7))*(1-(Premissas!$E$7/100)*((3)/11+0.5)*0.5)*Premissas!$C$26),1)</f>
        <v>0</v>
      </c>
      <c r="F6" s="16">
        <f>ROUND(MAX(0,Plan_Prev!F6*(Premissas!$C$7/MAX(0.01,Premissas!$B$7))*(1-(Premissas!$E$7/100)*((4)/11+0.5)*0.5)*Premissas!$C$27),1)</f>
        <v>0</v>
      </c>
      <c r="G6" s="16">
        <f>ROUND(MAX(0,Plan_Prev!G6*(Premissas!$C$7/MAX(0.01,Premissas!$B$7))*(1-(Premissas!$E$7/100)*((5)/11+0.5)*0.5)*Premissas!$C$28),1)</f>
        <v>0</v>
      </c>
      <c r="H6" s="16">
        <f>ROUND(MAX(0,Plan_Prev!H6*(Premissas!$C$7/MAX(0.01,Premissas!$B$7))*(1-(Premissas!$E$7/100)*((6)/11+0.5)*0.5)*Premissas!$C$29),1)</f>
        <v>0</v>
      </c>
      <c r="I6" s="16">
        <f>ROUND(MAX(0,Plan_Prev!I6*(Premissas!$C$7/MAX(0.01,Premissas!$B$7))*(1-(Premissas!$E$7/100)*((7)/11+0.5)*0.5)*Premissas!$C$30),1)</f>
        <v>0</v>
      </c>
      <c r="J6" s="16">
        <f>ROUND(MAX(0,Plan_Prev!J6*(Premissas!$C$7/MAX(0.01,Premissas!$B$7))*(1-(Premissas!$E$7/100)*((8)/11+0.5)*0.5)*Premissas!$C$31),1)</f>
        <v>0</v>
      </c>
      <c r="K6" s="16">
        <f>ROUND(MAX(0,Plan_Prev!K6*(Premissas!$C$7/MAX(0.01,Premissas!$B$7))*(1-(Premissas!$E$7/100)*((9)/11+0.5)*0.5)*Premissas!$C$32),1)</f>
        <v>0</v>
      </c>
      <c r="L6" s="16">
        <f>ROUND(MAX(0,Plan_Prev!L6*(Premissas!$C$7/MAX(0.01,Premissas!$B$7))*(1-(Premissas!$E$7/100)*((10)/11+0.5)*0.5)*Premissas!$C$33),1)</f>
        <v>0</v>
      </c>
      <c r="M6" s="16">
        <f>ROUND(MAX(0,Plan_Prev!M6*(Premissas!$C$7/MAX(0.01,Premissas!$B$7))*(1-(Premissas!$E$7/100)*((11)/11+0.5)*0.5)*Premissas!$C$34),1)</f>
        <v>0</v>
      </c>
      <c r="N6" s="19">
        <f t="shared" si="0"/>
        <v>0</v>
      </c>
    </row>
    <row r="7" spans="1:16" ht="15" customHeight="1" x14ac:dyDescent="0.4">
      <c r="A7" s="15" t="s">
        <v>78</v>
      </c>
      <c r="B7" s="16">
        <f>ROUND(MAX(0,Plan_Prev!B7*(Premissas!$C$8/MAX(0.01,Premissas!$B$8))*(1-(Premissas!$E$8/100)*((0)/11+0.5)*0.5)*Premissas!$C$23),1)</f>
        <v>0</v>
      </c>
      <c r="C7" s="16">
        <f>ROUND(MAX(0,Plan_Prev!C7*(Premissas!$C$8/MAX(0.01,Premissas!$B$8))*(1-(Premissas!$E$8/100)*((1)/11+0.5)*0.5)*Premissas!$C$24),1)</f>
        <v>0</v>
      </c>
      <c r="D7" s="16">
        <f>ROUND(MAX(0,Plan_Prev!D7*(Premissas!$C$8/MAX(0.01,Premissas!$B$8))*(1-(Premissas!$E$8/100)*((2)/11+0.5)*0.5)*Premissas!$C$25),1)</f>
        <v>0</v>
      </c>
      <c r="E7" s="16">
        <f>ROUND(MAX(0,Plan_Prev!E7*(Premissas!$C$8/MAX(0.01,Premissas!$B$8))*(1-(Premissas!$E$8/100)*((3)/11+0.5)*0.5)*Premissas!$C$26),1)</f>
        <v>0</v>
      </c>
      <c r="F7" s="16">
        <f>ROUND(MAX(0,Plan_Prev!F7*(Premissas!$C$8/MAX(0.01,Premissas!$B$8))*(1-(Premissas!$E$8/100)*((4)/11+0.5)*0.5)*Premissas!$C$27),1)</f>
        <v>0</v>
      </c>
      <c r="G7" s="16">
        <f>ROUND(MAX(0,Plan_Prev!G7*(Premissas!$C$8/MAX(0.01,Premissas!$B$8))*(1-(Premissas!$E$8/100)*((5)/11+0.5)*0.5)*Premissas!$C$28),1)</f>
        <v>0</v>
      </c>
      <c r="H7" s="16">
        <f>ROUND(MAX(0,Plan_Prev!H7*(Premissas!$C$8/MAX(0.01,Premissas!$B$8))*(1-(Premissas!$E$8/100)*((6)/11+0.5)*0.5)*Premissas!$C$29),1)</f>
        <v>0</v>
      </c>
      <c r="I7" s="16">
        <f>ROUND(MAX(0,Plan_Prev!I7*(Premissas!$C$8/MAX(0.01,Premissas!$B$8))*(1-(Premissas!$E$8/100)*((7)/11+0.5)*0.5)*Premissas!$C$30),1)</f>
        <v>0</v>
      </c>
      <c r="J7" s="16">
        <f>ROUND(MAX(0,Plan_Prev!J7*(Premissas!$C$8/MAX(0.01,Premissas!$B$8))*(1-(Premissas!$E$8/100)*((8)/11+0.5)*0.5)*Premissas!$C$31),1)</f>
        <v>0</v>
      </c>
      <c r="K7" s="16">
        <f>ROUND(MAX(0,Plan_Prev!K7*(Premissas!$C$8/MAX(0.01,Premissas!$B$8))*(1-(Premissas!$E$8/100)*((9)/11+0.5)*0.5)*Premissas!$C$32),1)</f>
        <v>0</v>
      </c>
      <c r="L7" s="16">
        <f>ROUND(MAX(0,Plan_Prev!L7*(Premissas!$C$8/MAX(0.01,Premissas!$B$8))*(1-(Premissas!$E$8/100)*((10)/11+0.5)*0.5)*Premissas!$C$33),1)</f>
        <v>0</v>
      </c>
      <c r="M7" s="16">
        <f>ROUND(MAX(0,Plan_Prev!M7*(Premissas!$C$8/MAX(0.01,Premissas!$B$8))*(1-(Premissas!$E$8/100)*((11)/11+0.5)*0.5)*Premissas!$C$34),1)</f>
        <v>0</v>
      </c>
      <c r="N7" s="19">
        <f t="shared" si="0"/>
        <v>0</v>
      </c>
    </row>
    <row r="8" spans="1:16" ht="15" customHeight="1" x14ac:dyDescent="0.4">
      <c r="A8" s="15" t="s">
        <v>104</v>
      </c>
      <c r="B8" s="16">
        <f>ROUND(MAX(0,Plan_Prev!B8*(Premissas!$C$9/MAX(0.01,Premissas!$B$9))*(1-(Premissas!$E$9/100)*((0)/11+0.5)*0.5)*Premissas!$C$23),1)</f>
        <v>0</v>
      </c>
      <c r="C8" s="16">
        <f>ROUND(MAX(0,Plan_Prev!C8*(Premissas!$C$9/MAX(0.01,Premissas!$B$9))*(1-(Premissas!$E$9/100)*((1)/11+0.5)*0.5)*Premissas!$C$24),1)</f>
        <v>0</v>
      </c>
      <c r="D8" s="16">
        <f>ROUND(MAX(0,Plan_Prev!D8*(Premissas!$C$9/MAX(0.01,Premissas!$B$9))*(1-(Premissas!$E$9/100)*((2)/11+0.5)*0.5)*Premissas!$C$25),1)</f>
        <v>0</v>
      </c>
      <c r="E8" s="16">
        <f>ROUND(MAX(0,Plan_Prev!E8*(Premissas!$C$9/MAX(0.01,Premissas!$B$9))*(1-(Premissas!$E$9/100)*((3)/11+0.5)*0.5)*Premissas!$C$26),1)</f>
        <v>0</v>
      </c>
      <c r="F8" s="16">
        <f>ROUND(MAX(0,Plan_Prev!F8*(Premissas!$C$9/MAX(0.01,Premissas!$B$9))*(1-(Premissas!$E$9/100)*((4)/11+0.5)*0.5)*Premissas!$C$27),1)</f>
        <v>0</v>
      </c>
      <c r="G8" s="16">
        <f>ROUND(MAX(0,Plan_Prev!G8*(Premissas!$C$9/MAX(0.01,Premissas!$B$9))*(1-(Premissas!$E$9/100)*((5)/11+0.5)*0.5)*Premissas!$C$28),1)</f>
        <v>0</v>
      </c>
      <c r="H8" s="16">
        <f>ROUND(MAX(0,Plan_Prev!H8*(Premissas!$C$9/MAX(0.01,Premissas!$B$9))*(1-(Premissas!$E$9/100)*((6)/11+0.5)*0.5)*Premissas!$C$29),1)</f>
        <v>0</v>
      </c>
      <c r="I8" s="16">
        <f>ROUND(MAX(0,Plan_Prev!I8*(Premissas!$C$9/MAX(0.01,Premissas!$B$9))*(1-(Premissas!$E$9/100)*((7)/11+0.5)*0.5)*Premissas!$C$30),1)</f>
        <v>0</v>
      </c>
      <c r="J8" s="16">
        <f>ROUND(MAX(0,Plan_Prev!J8*(Premissas!$C$9/MAX(0.01,Premissas!$B$9))*(1-(Premissas!$E$9/100)*((8)/11+0.5)*0.5)*Premissas!$C$31),1)</f>
        <v>0</v>
      </c>
      <c r="K8" s="16">
        <f>ROUND(MAX(0,Plan_Prev!K8*(Premissas!$C$9/MAX(0.01,Premissas!$B$9))*(1-(Premissas!$E$9/100)*((9)/11+0.5)*0.5)*Premissas!$C$32),1)</f>
        <v>0</v>
      </c>
      <c r="L8" s="16">
        <f>ROUND(MAX(0,Plan_Prev!L8*(Premissas!$C$9/MAX(0.01,Premissas!$B$9))*(1-(Premissas!$E$9/100)*((10)/11+0.5)*0.5)*Premissas!$C$33),1)</f>
        <v>0</v>
      </c>
      <c r="M8" s="16">
        <f>ROUND(MAX(0,Plan_Prev!M8*(Premissas!$C$9/MAX(0.01,Premissas!$B$9))*(1-(Premissas!$E$9/100)*((11)/11+0.5)*0.5)*Premissas!$C$34),1)</f>
        <v>0</v>
      </c>
      <c r="N8" s="19">
        <f t="shared" si="0"/>
        <v>0</v>
      </c>
    </row>
    <row r="9" spans="1:16" ht="15" customHeight="1" x14ac:dyDescent="0.4">
      <c r="A9" s="15" t="s">
        <v>80</v>
      </c>
      <c r="B9" s="16">
        <f>ROUND(MAX(0,Plan_Prev!B9*(Premissas!$C$10/MAX(0.01,Premissas!$B$10))*(1-(Premissas!$E$10/100)*((0)/11+0.5)*0.5)*Premissas!$C$23),1)</f>
        <v>0</v>
      </c>
      <c r="C9" s="16">
        <f>ROUND(MAX(0,Plan_Prev!C9*(Premissas!$C$10/MAX(0.01,Premissas!$B$10))*(1-(Premissas!$E$10/100)*((1)/11+0.5)*0.5)*Premissas!$C$24),1)</f>
        <v>0</v>
      </c>
      <c r="D9" s="16">
        <f>ROUND(MAX(0,Plan_Prev!D9*(Premissas!$C$10/MAX(0.01,Premissas!$B$10))*(1-(Premissas!$E$10/100)*((2)/11+0.5)*0.5)*Premissas!$C$25),1)</f>
        <v>0</v>
      </c>
      <c r="E9" s="16">
        <f>ROUND(MAX(0,Plan_Prev!E9*(Premissas!$C$10/MAX(0.01,Premissas!$B$10))*(1-(Premissas!$E$10/100)*((3)/11+0.5)*0.5)*Premissas!$C$26),1)</f>
        <v>0</v>
      </c>
      <c r="F9" s="16">
        <f>ROUND(MAX(0,Plan_Prev!F9*(Premissas!$C$10/MAX(0.01,Premissas!$B$10))*(1-(Premissas!$E$10/100)*((4)/11+0.5)*0.5)*Premissas!$C$27),1)</f>
        <v>0</v>
      </c>
      <c r="G9" s="16">
        <f>ROUND(MAX(0,Plan_Prev!G9*(Premissas!$C$10/MAX(0.01,Premissas!$B$10))*(1-(Premissas!$E$10/100)*((5)/11+0.5)*0.5)*Premissas!$C$28),1)</f>
        <v>0</v>
      </c>
      <c r="H9" s="16">
        <f>ROUND(MAX(0,Plan_Prev!H9*(Premissas!$C$10/MAX(0.01,Premissas!$B$10))*(1-(Premissas!$E$10/100)*((6)/11+0.5)*0.5)*Premissas!$C$29),1)</f>
        <v>0</v>
      </c>
      <c r="I9" s="16">
        <f>ROUND(MAX(0,Plan_Prev!I9*(Premissas!$C$10/MAX(0.01,Premissas!$B$10))*(1-(Premissas!$E$10/100)*((7)/11+0.5)*0.5)*Premissas!$C$30),1)</f>
        <v>0</v>
      </c>
      <c r="J9" s="16">
        <f>ROUND(MAX(0,Plan_Prev!J9*(Premissas!$C$10/MAX(0.01,Premissas!$B$10))*(1-(Premissas!$E$10/100)*((8)/11+0.5)*0.5)*Premissas!$C$31),1)</f>
        <v>0</v>
      </c>
      <c r="K9" s="16">
        <f>ROUND(MAX(0,Plan_Prev!K9*(Premissas!$C$10/MAX(0.01,Premissas!$B$10))*(1-(Premissas!$E$10/100)*((9)/11+0.5)*0.5)*Premissas!$C$32),1)</f>
        <v>0</v>
      </c>
      <c r="L9" s="16">
        <f>ROUND(MAX(0,Plan_Prev!L9*(Premissas!$C$10/MAX(0.01,Premissas!$B$10))*(1-(Premissas!$E$10/100)*((10)/11+0.5)*0.5)*Premissas!$C$33),1)</f>
        <v>0</v>
      </c>
      <c r="M9" s="16">
        <f>ROUND(MAX(0,Plan_Prev!M9*(Premissas!$C$10/MAX(0.01,Premissas!$B$10))*(1-(Premissas!$E$10/100)*((11)/11+0.5)*0.5)*Premissas!$C$34),1)</f>
        <v>0</v>
      </c>
      <c r="N9" s="19">
        <f t="shared" si="0"/>
        <v>0</v>
      </c>
    </row>
    <row r="10" spans="1:16" ht="15" customHeight="1" x14ac:dyDescent="0.4">
      <c r="A10" s="26" t="s">
        <v>1373</v>
      </c>
      <c r="B10" s="4">
        <f t="shared" ref="B10:N10" si="1">ROUND(SUM(B4:B9),1)</f>
        <v>2320.6</v>
      </c>
      <c r="C10" s="4">
        <f t="shared" si="1"/>
        <v>4630.1000000000004</v>
      </c>
      <c r="D10" s="4">
        <f t="shared" si="1"/>
        <v>4045.8</v>
      </c>
      <c r="E10" s="4">
        <f t="shared" si="1"/>
        <v>485.5</v>
      </c>
      <c r="F10" s="4">
        <f t="shared" si="1"/>
        <v>67.900000000000006</v>
      </c>
      <c r="G10" s="4">
        <f t="shared" si="1"/>
        <v>558.9</v>
      </c>
      <c r="H10" s="4">
        <f t="shared" si="1"/>
        <v>114</v>
      </c>
      <c r="I10" s="4">
        <f t="shared" si="1"/>
        <v>1406.2</v>
      </c>
      <c r="J10" s="4">
        <f t="shared" si="1"/>
        <v>299.10000000000002</v>
      </c>
      <c r="K10" s="4">
        <f t="shared" si="1"/>
        <v>2579.5</v>
      </c>
      <c r="L10" s="4">
        <f t="shared" si="1"/>
        <v>3318.6</v>
      </c>
      <c r="M10" s="4">
        <f t="shared" si="1"/>
        <v>2934.6</v>
      </c>
      <c r="N10" s="4">
        <f t="shared" si="1"/>
        <v>22760.799999999999</v>
      </c>
    </row>
  </sheetData>
  <mergeCells count="1">
    <mergeCell ref="A1:N1"/>
  </mergeCells>
  <hyperlinks>
    <hyperlink ref="P1" r:id="rId1" location="Menu!A1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9"/>
  <sheetViews>
    <sheetView zoomScaleNormal="100" workbookViewId="0"/>
  </sheetViews>
  <sheetFormatPr defaultColWidth="8.69140625" defaultRowHeight="14.6" x14ac:dyDescent="0.4"/>
  <cols>
    <col min="1" max="1" width="30" customWidth="1"/>
    <col min="2" max="13" width="9" customWidth="1"/>
    <col min="14" max="14" width="11" customWidth="1"/>
  </cols>
  <sheetData>
    <row r="1" spans="1:16" ht="15.75" customHeight="1" x14ac:dyDescent="0.45">
      <c r="A1" s="3" t="s">
        <v>1378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11" t="s">
        <v>47</v>
      </c>
    </row>
    <row r="2" spans="1:16" ht="15" customHeight="1" x14ac:dyDescent="0.4">
      <c r="A2" s="2" t="s">
        <v>1379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6" ht="15" customHeight="1" x14ac:dyDescent="0.4">
      <c r="A4" s="14" t="s">
        <v>1380</v>
      </c>
      <c r="B4" s="14" t="s">
        <v>83</v>
      </c>
      <c r="C4" s="14" t="s">
        <v>84</v>
      </c>
      <c r="D4" s="14" t="s">
        <v>85</v>
      </c>
      <c r="E4" s="14" t="s">
        <v>86</v>
      </c>
      <c r="F4" s="14" t="s">
        <v>87</v>
      </c>
      <c r="G4" s="14" t="s">
        <v>88</v>
      </c>
      <c r="H4" s="14" t="s">
        <v>89</v>
      </c>
      <c r="I4" s="14" t="s">
        <v>90</v>
      </c>
      <c r="J4" s="14" t="s">
        <v>91</v>
      </c>
      <c r="K4" s="14" t="s">
        <v>92</v>
      </c>
      <c r="L4" s="14" t="s">
        <v>93</v>
      </c>
      <c r="M4" s="14" t="s">
        <v>94</v>
      </c>
      <c r="N4" s="14" t="s">
        <v>1376</v>
      </c>
    </row>
    <row r="5" spans="1:16" ht="15" customHeight="1" x14ac:dyDescent="0.4">
      <c r="A5" s="15" t="s">
        <v>76</v>
      </c>
      <c r="B5" s="16">
        <f>ROUND(COUNTIFS(Pessoas!$C$5:$C$44,$A5,Pessoas!$G$5:$G$44,"Ativo")*Premissas!$B$23*VLOOKUP($A5,Premissas!$A$14:$K$19,11,0),1)</f>
        <v>0</v>
      </c>
      <c r="C5" s="16">
        <f>ROUND(COUNTIFS(Pessoas!$C$5:$C$44,$A5,Pessoas!$G$5:$G$44,"Ativo")*Premissas!$B$24*VLOOKUP($A5,Premissas!$A$14:$K$19,11,0),1)</f>
        <v>0</v>
      </c>
      <c r="D5" s="16">
        <f>ROUND(COUNTIFS(Pessoas!$C$5:$C$44,$A5,Pessoas!$G$5:$G$44,"Ativo")*Premissas!$B$25*VLOOKUP($A5,Premissas!$A$14:$K$19,11,0),1)</f>
        <v>0</v>
      </c>
      <c r="E5" s="16">
        <f>ROUND(COUNTIFS(Pessoas!$C$5:$C$44,$A5,Pessoas!$G$5:$G$44,"Ativo")*Premissas!$B$26*VLOOKUP($A5,Premissas!$A$14:$K$19,11,0),1)</f>
        <v>0</v>
      </c>
      <c r="F5" s="16">
        <f>ROUND(COUNTIFS(Pessoas!$C$5:$C$44,$A5,Pessoas!$G$5:$G$44,"Ativo")*Premissas!$B$27*VLOOKUP($A5,Premissas!$A$14:$K$19,11,0),1)</f>
        <v>0</v>
      </c>
      <c r="G5" s="16">
        <f>ROUND(COUNTIFS(Pessoas!$C$5:$C$44,$A5,Pessoas!$G$5:$G$44,"Ativo")*Premissas!$B$28*VLOOKUP($A5,Premissas!$A$14:$K$19,11,0),1)</f>
        <v>0</v>
      </c>
      <c r="H5" s="16">
        <f>ROUND(COUNTIFS(Pessoas!$C$5:$C$44,$A5,Pessoas!$G$5:$G$44,"Ativo")*Premissas!$B$29*VLOOKUP($A5,Premissas!$A$14:$K$19,11,0),1)</f>
        <v>0</v>
      </c>
      <c r="I5" s="16">
        <f>ROUND(COUNTIFS(Pessoas!$C$5:$C$44,$A5,Pessoas!$G$5:$G$44,"Ativo")*Premissas!$B$30*VLOOKUP($A5,Premissas!$A$14:$K$19,11,0),1)</f>
        <v>0</v>
      </c>
      <c r="J5" s="16">
        <f>ROUND(COUNTIFS(Pessoas!$C$5:$C$44,$A5,Pessoas!$G$5:$G$44,"Ativo")*Premissas!$B$31*VLOOKUP($A5,Premissas!$A$14:$K$19,11,0),1)</f>
        <v>0</v>
      </c>
      <c r="K5" s="16">
        <f>ROUND(COUNTIFS(Pessoas!$C$5:$C$44,$A5,Pessoas!$G$5:$G$44,"Ativo")*Premissas!$B$32*VLOOKUP($A5,Premissas!$A$14:$K$19,11,0),1)</f>
        <v>0</v>
      </c>
      <c r="L5" s="16">
        <f>ROUND(COUNTIFS(Pessoas!$C$5:$C$44,$A5,Pessoas!$G$5:$G$44,"Ativo")*Premissas!$B$33*VLOOKUP($A5,Premissas!$A$14:$K$19,11,0),1)</f>
        <v>0</v>
      </c>
      <c r="M5" s="16">
        <f>ROUND(COUNTIFS(Pessoas!$C$5:$C$44,$A5,Pessoas!$G$5:$G$44,"Ativo")*Premissas!$B$34*VLOOKUP($A5,Premissas!$A$14:$K$19,11,0),1)</f>
        <v>0</v>
      </c>
      <c r="N5" s="19">
        <f t="shared" ref="N5:N10" si="0">ROUND(SUM(B5:M5),1)</f>
        <v>0</v>
      </c>
    </row>
    <row r="6" spans="1:16" ht="15" customHeight="1" x14ac:dyDescent="0.4">
      <c r="A6" s="15" t="s">
        <v>75</v>
      </c>
      <c r="B6" s="16">
        <f>ROUND(COUNTIFS(Pessoas!$C$5:$C$44,$A6,Pessoas!$G$5:$G$44,"Ativo")*Premissas!$B$23*VLOOKUP($A6,Premissas!$A$14:$K$19,11,0),1)</f>
        <v>0</v>
      </c>
      <c r="C6" s="16">
        <f>ROUND(COUNTIFS(Pessoas!$C$5:$C$44,$A6,Pessoas!$G$5:$G$44,"Ativo")*Premissas!$B$24*VLOOKUP($A6,Premissas!$A$14:$K$19,11,0),1)</f>
        <v>0</v>
      </c>
      <c r="D6" s="16">
        <f>ROUND(COUNTIFS(Pessoas!$C$5:$C$44,$A6,Pessoas!$G$5:$G$44,"Ativo")*Premissas!$B$25*VLOOKUP($A6,Premissas!$A$14:$K$19,11,0),1)</f>
        <v>0</v>
      </c>
      <c r="E6" s="16">
        <f>ROUND(COUNTIFS(Pessoas!$C$5:$C$44,$A6,Pessoas!$G$5:$G$44,"Ativo")*Premissas!$B$26*VLOOKUP($A6,Premissas!$A$14:$K$19,11,0),1)</f>
        <v>0</v>
      </c>
      <c r="F6" s="16">
        <f>ROUND(COUNTIFS(Pessoas!$C$5:$C$44,$A6,Pessoas!$G$5:$G$44,"Ativo")*Premissas!$B$27*VLOOKUP($A6,Premissas!$A$14:$K$19,11,0),1)</f>
        <v>0</v>
      </c>
      <c r="G6" s="16">
        <f>ROUND(COUNTIFS(Pessoas!$C$5:$C$44,$A6,Pessoas!$G$5:$G$44,"Ativo")*Premissas!$B$28*VLOOKUP($A6,Premissas!$A$14:$K$19,11,0),1)</f>
        <v>0</v>
      </c>
      <c r="H6" s="16">
        <f>ROUND(COUNTIFS(Pessoas!$C$5:$C$44,$A6,Pessoas!$G$5:$G$44,"Ativo")*Premissas!$B$29*VLOOKUP($A6,Premissas!$A$14:$K$19,11,0),1)</f>
        <v>0</v>
      </c>
      <c r="I6" s="16">
        <f>ROUND(COUNTIFS(Pessoas!$C$5:$C$44,$A6,Pessoas!$G$5:$G$44,"Ativo")*Premissas!$B$30*VLOOKUP($A6,Premissas!$A$14:$K$19,11,0),1)</f>
        <v>0</v>
      </c>
      <c r="J6" s="16">
        <f>ROUND(COUNTIFS(Pessoas!$C$5:$C$44,$A6,Pessoas!$G$5:$G$44,"Ativo")*Premissas!$B$31*VLOOKUP($A6,Premissas!$A$14:$K$19,11,0),1)</f>
        <v>0</v>
      </c>
      <c r="K6" s="16">
        <f>ROUND(COUNTIFS(Pessoas!$C$5:$C$44,$A6,Pessoas!$G$5:$G$44,"Ativo")*Premissas!$B$32*VLOOKUP($A6,Premissas!$A$14:$K$19,11,0),1)</f>
        <v>0</v>
      </c>
      <c r="L6" s="16">
        <f>ROUND(COUNTIFS(Pessoas!$C$5:$C$44,$A6,Pessoas!$G$5:$G$44,"Ativo")*Premissas!$B$33*VLOOKUP($A6,Premissas!$A$14:$K$19,11,0),1)</f>
        <v>0</v>
      </c>
      <c r="M6" s="16">
        <f>ROUND(COUNTIFS(Pessoas!$C$5:$C$44,$A6,Pessoas!$G$5:$G$44,"Ativo")*Premissas!$B$34*VLOOKUP($A6,Premissas!$A$14:$K$19,11,0),1)</f>
        <v>0</v>
      </c>
      <c r="N6" s="19">
        <f t="shared" si="0"/>
        <v>0</v>
      </c>
    </row>
    <row r="7" spans="1:16" ht="15" customHeight="1" x14ac:dyDescent="0.4">
      <c r="A7" s="15" t="s">
        <v>77</v>
      </c>
      <c r="B7" s="16">
        <f>ROUND(COUNTIFS(Pessoas!$C$5:$C$44,$A7,Pessoas!$G$5:$G$44,"Ativo")*Premissas!$B$23*VLOOKUP($A7,Premissas!$A$14:$K$19,11,0),1)</f>
        <v>0</v>
      </c>
      <c r="C7" s="16">
        <f>ROUND(COUNTIFS(Pessoas!$C$5:$C$44,$A7,Pessoas!$G$5:$G$44,"Ativo")*Premissas!$B$24*VLOOKUP($A7,Premissas!$A$14:$K$19,11,0),1)</f>
        <v>0</v>
      </c>
      <c r="D7" s="16">
        <f>ROUND(COUNTIFS(Pessoas!$C$5:$C$44,$A7,Pessoas!$G$5:$G$44,"Ativo")*Premissas!$B$25*VLOOKUP($A7,Premissas!$A$14:$K$19,11,0),1)</f>
        <v>0</v>
      </c>
      <c r="E7" s="16">
        <f>ROUND(COUNTIFS(Pessoas!$C$5:$C$44,$A7,Pessoas!$G$5:$G$44,"Ativo")*Premissas!$B$26*VLOOKUP($A7,Premissas!$A$14:$K$19,11,0),1)</f>
        <v>0</v>
      </c>
      <c r="F7" s="16">
        <f>ROUND(COUNTIFS(Pessoas!$C$5:$C$44,$A7,Pessoas!$G$5:$G$44,"Ativo")*Premissas!$B$27*VLOOKUP($A7,Premissas!$A$14:$K$19,11,0),1)</f>
        <v>0</v>
      </c>
      <c r="G7" s="16">
        <f>ROUND(COUNTIFS(Pessoas!$C$5:$C$44,$A7,Pessoas!$G$5:$G$44,"Ativo")*Premissas!$B$28*VLOOKUP($A7,Premissas!$A$14:$K$19,11,0),1)</f>
        <v>0</v>
      </c>
      <c r="H7" s="16">
        <f>ROUND(COUNTIFS(Pessoas!$C$5:$C$44,$A7,Pessoas!$G$5:$G$44,"Ativo")*Premissas!$B$29*VLOOKUP($A7,Premissas!$A$14:$K$19,11,0),1)</f>
        <v>0</v>
      </c>
      <c r="I7" s="16">
        <f>ROUND(COUNTIFS(Pessoas!$C$5:$C$44,$A7,Pessoas!$G$5:$G$44,"Ativo")*Premissas!$B$30*VLOOKUP($A7,Premissas!$A$14:$K$19,11,0),1)</f>
        <v>0</v>
      </c>
      <c r="J7" s="16">
        <f>ROUND(COUNTIFS(Pessoas!$C$5:$C$44,$A7,Pessoas!$G$5:$G$44,"Ativo")*Premissas!$B$31*VLOOKUP($A7,Premissas!$A$14:$K$19,11,0),1)</f>
        <v>0</v>
      </c>
      <c r="K7" s="16">
        <f>ROUND(COUNTIFS(Pessoas!$C$5:$C$44,$A7,Pessoas!$G$5:$G$44,"Ativo")*Premissas!$B$32*VLOOKUP($A7,Premissas!$A$14:$K$19,11,0),1)</f>
        <v>0</v>
      </c>
      <c r="L7" s="16">
        <f>ROUND(COUNTIFS(Pessoas!$C$5:$C$44,$A7,Pessoas!$G$5:$G$44,"Ativo")*Premissas!$B$33*VLOOKUP($A7,Premissas!$A$14:$K$19,11,0),1)</f>
        <v>0</v>
      </c>
      <c r="M7" s="16">
        <f>ROUND(COUNTIFS(Pessoas!$C$5:$C$44,$A7,Pessoas!$G$5:$G$44,"Ativo")*Premissas!$B$34*VLOOKUP($A7,Premissas!$A$14:$K$19,11,0),1)</f>
        <v>0</v>
      </c>
      <c r="N7" s="19">
        <f t="shared" si="0"/>
        <v>0</v>
      </c>
    </row>
    <row r="8" spans="1:16" ht="15" customHeight="1" x14ac:dyDescent="0.4">
      <c r="A8" s="15" t="s">
        <v>78</v>
      </c>
      <c r="B8" s="16">
        <f>ROUND(COUNTIFS(Pessoas!$C$5:$C$44,$A8,Pessoas!$G$5:$G$44,"Ativo")*Premissas!$B$23*VLOOKUP($A8,Premissas!$A$14:$K$19,11,0),1)</f>
        <v>0</v>
      </c>
      <c r="C8" s="16">
        <f>ROUND(COUNTIFS(Pessoas!$C$5:$C$44,$A8,Pessoas!$G$5:$G$44,"Ativo")*Premissas!$B$24*VLOOKUP($A8,Premissas!$A$14:$K$19,11,0),1)</f>
        <v>0</v>
      </c>
      <c r="D8" s="16">
        <f>ROUND(COUNTIFS(Pessoas!$C$5:$C$44,$A8,Pessoas!$G$5:$G$44,"Ativo")*Premissas!$B$25*VLOOKUP($A8,Premissas!$A$14:$K$19,11,0),1)</f>
        <v>0</v>
      </c>
      <c r="E8" s="16">
        <f>ROUND(COUNTIFS(Pessoas!$C$5:$C$44,$A8,Pessoas!$G$5:$G$44,"Ativo")*Premissas!$B$26*VLOOKUP($A8,Premissas!$A$14:$K$19,11,0),1)</f>
        <v>0</v>
      </c>
      <c r="F8" s="16">
        <f>ROUND(COUNTIFS(Pessoas!$C$5:$C$44,$A8,Pessoas!$G$5:$G$44,"Ativo")*Premissas!$B$27*VLOOKUP($A8,Premissas!$A$14:$K$19,11,0),1)</f>
        <v>0</v>
      </c>
      <c r="G8" s="16">
        <f>ROUND(COUNTIFS(Pessoas!$C$5:$C$44,$A8,Pessoas!$G$5:$G$44,"Ativo")*Premissas!$B$28*VLOOKUP($A8,Premissas!$A$14:$K$19,11,0),1)</f>
        <v>0</v>
      </c>
      <c r="H8" s="16">
        <f>ROUND(COUNTIFS(Pessoas!$C$5:$C$44,$A8,Pessoas!$G$5:$G$44,"Ativo")*Premissas!$B$29*VLOOKUP($A8,Premissas!$A$14:$K$19,11,0),1)</f>
        <v>0</v>
      </c>
      <c r="I8" s="16">
        <f>ROUND(COUNTIFS(Pessoas!$C$5:$C$44,$A8,Pessoas!$G$5:$G$44,"Ativo")*Premissas!$B$30*VLOOKUP($A8,Premissas!$A$14:$K$19,11,0),1)</f>
        <v>0</v>
      </c>
      <c r="J8" s="16">
        <f>ROUND(COUNTIFS(Pessoas!$C$5:$C$44,$A8,Pessoas!$G$5:$G$44,"Ativo")*Premissas!$B$31*VLOOKUP($A8,Premissas!$A$14:$K$19,11,0),1)</f>
        <v>0</v>
      </c>
      <c r="K8" s="16">
        <f>ROUND(COUNTIFS(Pessoas!$C$5:$C$44,$A8,Pessoas!$G$5:$G$44,"Ativo")*Premissas!$B$32*VLOOKUP($A8,Premissas!$A$14:$K$19,11,0),1)</f>
        <v>0</v>
      </c>
      <c r="L8" s="16">
        <f>ROUND(COUNTIFS(Pessoas!$C$5:$C$44,$A8,Pessoas!$G$5:$G$44,"Ativo")*Premissas!$B$33*VLOOKUP($A8,Premissas!$A$14:$K$19,11,0),1)</f>
        <v>0</v>
      </c>
      <c r="M8" s="16">
        <f>ROUND(COUNTIFS(Pessoas!$C$5:$C$44,$A8,Pessoas!$G$5:$G$44,"Ativo")*Premissas!$B$34*VLOOKUP($A8,Premissas!$A$14:$K$19,11,0),1)</f>
        <v>0</v>
      </c>
      <c r="N8" s="19">
        <f t="shared" si="0"/>
        <v>0</v>
      </c>
    </row>
    <row r="9" spans="1:16" ht="15" customHeight="1" x14ac:dyDescent="0.4">
      <c r="A9" s="15" t="s">
        <v>104</v>
      </c>
      <c r="B9" s="16">
        <f>ROUND(COUNTIFS(Pessoas!$C$5:$C$44,$A9,Pessoas!$G$5:$G$44,"Ativo")*Premissas!$B$23*VLOOKUP($A9,Premissas!$A$14:$K$19,11,0),1)</f>
        <v>0</v>
      </c>
      <c r="C9" s="16">
        <f>ROUND(COUNTIFS(Pessoas!$C$5:$C$44,$A9,Pessoas!$G$5:$G$44,"Ativo")*Premissas!$B$24*VLOOKUP($A9,Premissas!$A$14:$K$19,11,0),1)</f>
        <v>0</v>
      </c>
      <c r="D9" s="16">
        <f>ROUND(COUNTIFS(Pessoas!$C$5:$C$44,$A9,Pessoas!$G$5:$G$44,"Ativo")*Premissas!$B$25*VLOOKUP($A9,Premissas!$A$14:$K$19,11,0),1)</f>
        <v>0</v>
      </c>
      <c r="E9" s="16">
        <f>ROUND(COUNTIFS(Pessoas!$C$5:$C$44,$A9,Pessoas!$G$5:$G$44,"Ativo")*Premissas!$B$26*VLOOKUP($A9,Premissas!$A$14:$K$19,11,0),1)</f>
        <v>0</v>
      </c>
      <c r="F9" s="16">
        <f>ROUND(COUNTIFS(Pessoas!$C$5:$C$44,$A9,Pessoas!$G$5:$G$44,"Ativo")*Premissas!$B$27*VLOOKUP($A9,Premissas!$A$14:$K$19,11,0),1)</f>
        <v>0</v>
      </c>
      <c r="G9" s="16">
        <f>ROUND(COUNTIFS(Pessoas!$C$5:$C$44,$A9,Pessoas!$G$5:$G$44,"Ativo")*Premissas!$B$28*VLOOKUP($A9,Premissas!$A$14:$K$19,11,0),1)</f>
        <v>0</v>
      </c>
      <c r="H9" s="16">
        <f>ROUND(COUNTIFS(Pessoas!$C$5:$C$44,$A9,Pessoas!$G$5:$G$44,"Ativo")*Premissas!$B$29*VLOOKUP($A9,Premissas!$A$14:$K$19,11,0),1)</f>
        <v>0</v>
      </c>
      <c r="I9" s="16">
        <f>ROUND(COUNTIFS(Pessoas!$C$5:$C$44,$A9,Pessoas!$G$5:$G$44,"Ativo")*Premissas!$B$30*VLOOKUP($A9,Premissas!$A$14:$K$19,11,0),1)</f>
        <v>0</v>
      </c>
      <c r="J9" s="16">
        <f>ROUND(COUNTIFS(Pessoas!$C$5:$C$44,$A9,Pessoas!$G$5:$G$44,"Ativo")*Premissas!$B$31*VLOOKUP($A9,Premissas!$A$14:$K$19,11,0),1)</f>
        <v>0</v>
      </c>
      <c r="K9" s="16">
        <f>ROUND(COUNTIFS(Pessoas!$C$5:$C$44,$A9,Pessoas!$G$5:$G$44,"Ativo")*Premissas!$B$32*VLOOKUP($A9,Premissas!$A$14:$K$19,11,0),1)</f>
        <v>0</v>
      </c>
      <c r="L9" s="16">
        <f>ROUND(COUNTIFS(Pessoas!$C$5:$C$44,$A9,Pessoas!$G$5:$G$44,"Ativo")*Premissas!$B$33*VLOOKUP($A9,Premissas!$A$14:$K$19,11,0),1)</f>
        <v>0</v>
      </c>
      <c r="M9" s="16">
        <f>ROUND(COUNTIFS(Pessoas!$C$5:$C$44,$A9,Pessoas!$G$5:$G$44,"Ativo")*Premissas!$B$34*VLOOKUP($A9,Premissas!$A$14:$K$19,11,0),1)</f>
        <v>0</v>
      </c>
      <c r="N9" s="19">
        <f t="shared" si="0"/>
        <v>0</v>
      </c>
    </row>
    <row r="10" spans="1:16" ht="15" customHeight="1" x14ac:dyDescent="0.4">
      <c r="A10" s="15" t="s">
        <v>80</v>
      </c>
      <c r="B10" s="16">
        <f>ROUND(COUNTIFS(Pessoas!$C$5:$C$44,$A10,Pessoas!$G$5:$G$44,"Ativo")*Premissas!$B$23*VLOOKUP($A10,Premissas!$A$14:$K$19,11,0),1)</f>
        <v>0</v>
      </c>
      <c r="C10" s="16">
        <f>ROUND(COUNTIFS(Pessoas!$C$5:$C$44,$A10,Pessoas!$G$5:$G$44,"Ativo")*Premissas!$B$24*VLOOKUP($A10,Premissas!$A$14:$K$19,11,0),1)</f>
        <v>0</v>
      </c>
      <c r="D10" s="16">
        <f>ROUND(COUNTIFS(Pessoas!$C$5:$C$44,$A10,Pessoas!$G$5:$G$44,"Ativo")*Premissas!$B$25*VLOOKUP($A10,Premissas!$A$14:$K$19,11,0),1)</f>
        <v>0</v>
      </c>
      <c r="E10" s="16">
        <f>ROUND(COUNTIFS(Pessoas!$C$5:$C$44,$A10,Pessoas!$G$5:$G$44,"Ativo")*Premissas!$B$26*VLOOKUP($A10,Premissas!$A$14:$K$19,11,0),1)</f>
        <v>0</v>
      </c>
      <c r="F10" s="16">
        <f>ROUND(COUNTIFS(Pessoas!$C$5:$C$44,$A10,Pessoas!$G$5:$G$44,"Ativo")*Premissas!$B$27*VLOOKUP($A10,Premissas!$A$14:$K$19,11,0),1)</f>
        <v>0</v>
      </c>
      <c r="G10" s="16">
        <f>ROUND(COUNTIFS(Pessoas!$C$5:$C$44,$A10,Pessoas!$G$5:$G$44,"Ativo")*Premissas!$B$28*VLOOKUP($A10,Premissas!$A$14:$K$19,11,0),1)</f>
        <v>0</v>
      </c>
      <c r="H10" s="16">
        <f>ROUND(COUNTIFS(Pessoas!$C$5:$C$44,$A10,Pessoas!$G$5:$G$44,"Ativo")*Premissas!$B$29*VLOOKUP($A10,Premissas!$A$14:$K$19,11,0),1)</f>
        <v>0</v>
      </c>
      <c r="I10" s="16">
        <f>ROUND(COUNTIFS(Pessoas!$C$5:$C$44,$A10,Pessoas!$G$5:$G$44,"Ativo")*Premissas!$B$30*VLOOKUP($A10,Premissas!$A$14:$K$19,11,0),1)</f>
        <v>0</v>
      </c>
      <c r="J10" s="16">
        <f>ROUND(COUNTIFS(Pessoas!$C$5:$C$44,$A10,Pessoas!$G$5:$G$44,"Ativo")*Premissas!$B$31*VLOOKUP($A10,Premissas!$A$14:$K$19,11,0),1)</f>
        <v>0</v>
      </c>
      <c r="K10" s="16">
        <f>ROUND(COUNTIFS(Pessoas!$C$5:$C$44,$A10,Pessoas!$G$5:$G$44,"Ativo")*Premissas!$B$32*VLOOKUP($A10,Premissas!$A$14:$K$19,11,0),1)</f>
        <v>0</v>
      </c>
      <c r="L10" s="16">
        <f>ROUND(COUNTIFS(Pessoas!$C$5:$C$44,$A10,Pessoas!$G$5:$G$44,"Ativo")*Premissas!$B$33*VLOOKUP($A10,Premissas!$A$14:$K$19,11,0),1)</f>
        <v>0</v>
      </c>
      <c r="M10" s="16">
        <f>ROUND(COUNTIFS(Pessoas!$C$5:$C$44,$A10,Pessoas!$G$5:$G$44,"Ativo")*Premissas!$B$34*VLOOKUP($A10,Premissas!$A$14:$K$19,11,0),1)</f>
        <v>0</v>
      </c>
      <c r="N10" s="19">
        <f t="shared" si="0"/>
        <v>0</v>
      </c>
    </row>
    <row r="11" spans="1:16" ht="15" customHeight="1" x14ac:dyDescent="0.4">
      <c r="A11" s="26" t="s">
        <v>1373</v>
      </c>
      <c r="B11" s="4">
        <f t="shared" ref="B11:N11" si="1">ROUND(SUM(B5:B10),1)</f>
        <v>0</v>
      </c>
      <c r="C11" s="4">
        <f t="shared" si="1"/>
        <v>0</v>
      </c>
      <c r="D11" s="4">
        <f t="shared" si="1"/>
        <v>0</v>
      </c>
      <c r="E11" s="4">
        <f t="shared" si="1"/>
        <v>0</v>
      </c>
      <c r="F11" s="4">
        <f t="shared" si="1"/>
        <v>0</v>
      </c>
      <c r="G11" s="4">
        <f t="shared" si="1"/>
        <v>0</v>
      </c>
      <c r="H11" s="4">
        <f t="shared" si="1"/>
        <v>0</v>
      </c>
      <c r="I11" s="4">
        <f t="shared" si="1"/>
        <v>0</v>
      </c>
      <c r="J11" s="4">
        <f t="shared" si="1"/>
        <v>0</v>
      </c>
      <c r="K11" s="4">
        <f t="shared" si="1"/>
        <v>0</v>
      </c>
      <c r="L11" s="4">
        <f t="shared" si="1"/>
        <v>0</v>
      </c>
      <c r="M11" s="4">
        <f t="shared" si="1"/>
        <v>0</v>
      </c>
      <c r="N11" s="4">
        <f t="shared" si="1"/>
        <v>0</v>
      </c>
    </row>
    <row r="13" spans="1:16" ht="15" customHeight="1" x14ac:dyDescent="0.4">
      <c r="A13" s="14" t="s">
        <v>1381</v>
      </c>
      <c r="B13" s="14" t="s">
        <v>83</v>
      </c>
      <c r="C13" s="14" t="s">
        <v>84</v>
      </c>
      <c r="D13" s="14" t="s">
        <v>85</v>
      </c>
      <c r="E13" s="14" t="s">
        <v>86</v>
      </c>
      <c r="F13" s="14" t="s">
        <v>87</v>
      </c>
      <c r="G13" s="14" t="s">
        <v>88</v>
      </c>
      <c r="H13" s="14" t="s">
        <v>89</v>
      </c>
      <c r="I13" s="14" t="s">
        <v>90</v>
      </c>
      <c r="J13" s="14" t="s">
        <v>91</v>
      </c>
      <c r="K13" s="14" t="s">
        <v>92</v>
      </c>
      <c r="L13" s="14" t="s">
        <v>93</v>
      </c>
      <c r="M13" s="14" t="s">
        <v>94</v>
      </c>
      <c r="N13" s="14" t="s">
        <v>1376</v>
      </c>
    </row>
    <row r="14" spans="1:16" ht="15" customHeight="1" x14ac:dyDescent="0.4">
      <c r="A14" s="15" t="s">
        <v>76</v>
      </c>
      <c r="B14" s="16">
        <f>ROUND(Plan_Prev!B4+Plan_Corr!B4,1)</f>
        <v>3057.6</v>
      </c>
      <c r="C14" s="16">
        <f>ROUND(Plan_Prev!C4+Plan_Corr!C4,1)</f>
        <v>6153.1</v>
      </c>
      <c r="D14" s="16">
        <f>ROUND(Plan_Prev!D4+Plan_Corr!D4,1)</f>
        <v>5514.3</v>
      </c>
      <c r="E14" s="16">
        <f>ROUND(Plan_Prev!E4+Plan_Corr!E4,1)</f>
        <v>764.5</v>
      </c>
      <c r="F14" s="16">
        <f>ROUND(Plan_Prev!F4+Plan_Corr!F4,1)</f>
        <v>121.9</v>
      </c>
      <c r="G14" s="16">
        <f>ROUND(Plan_Prev!G4+Plan_Corr!G4,1)</f>
        <v>1177.4000000000001</v>
      </c>
      <c r="H14" s="16">
        <f>ROUND(Plan_Prev!H4+Plan_Corr!H4,1)</f>
        <v>213</v>
      </c>
      <c r="I14" s="16">
        <f>ROUND(Plan_Prev!I4+Plan_Corr!I4,1)</f>
        <v>1937.2</v>
      </c>
      <c r="J14" s="16">
        <f>ROUND(Plan_Prev!J4+Plan_Corr!J4,1)</f>
        <v>395.1</v>
      </c>
      <c r="K14" s="16">
        <f>ROUND(Plan_Prev!K4+Plan_Corr!K4,1)</f>
        <v>3310</v>
      </c>
      <c r="L14" s="16">
        <f>ROUND(Plan_Prev!L4+Plan_Corr!L4,1)</f>
        <v>4274.1000000000004</v>
      </c>
      <c r="M14" s="16">
        <f>ROUND(Plan_Prev!M4+Plan_Corr!M4,1)</f>
        <v>3826.1</v>
      </c>
      <c r="N14" s="19">
        <f t="shared" ref="N14:N19" si="2">ROUND(SUM(B14:M14),1)</f>
        <v>30744.3</v>
      </c>
    </row>
    <row r="15" spans="1:16" ht="15" customHeight="1" x14ac:dyDescent="0.4">
      <c r="A15" s="15" t="s">
        <v>75</v>
      </c>
      <c r="B15" s="16">
        <f>ROUND(Plan_Prev!B5+Plan_Corr!B5,1)</f>
        <v>0</v>
      </c>
      <c r="C15" s="16">
        <f>ROUND(Plan_Prev!C5+Plan_Corr!C5,1)</f>
        <v>0</v>
      </c>
      <c r="D15" s="16">
        <f>ROUND(Plan_Prev!D5+Plan_Corr!D5,1)</f>
        <v>0</v>
      </c>
      <c r="E15" s="16">
        <f>ROUND(Plan_Prev!E5+Plan_Corr!E5,1)</f>
        <v>0</v>
      </c>
      <c r="F15" s="16">
        <f>ROUND(Plan_Prev!F5+Plan_Corr!F5,1)</f>
        <v>0</v>
      </c>
      <c r="G15" s="16">
        <f>ROUND(Plan_Prev!G5+Plan_Corr!G5,1)</f>
        <v>0</v>
      </c>
      <c r="H15" s="16">
        <f>ROUND(Plan_Prev!H5+Plan_Corr!H5,1)</f>
        <v>0</v>
      </c>
      <c r="I15" s="16">
        <f>ROUND(Plan_Prev!I5+Plan_Corr!I5,1)</f>
        <v>0</v>
      </c>
      <c r="J15" s="16">
        <f>ROUND(Plan_Prev!J5+Plan_Corr!J5,1)</f>
        <v>0</v>
      </c>
      <c r="K15" s="16">
        <f>ROUND(Plan_Prev!K5+Plan_Corr!K5,1)</f>
        <v>0</v>
      </c>
      <c r="L15" s="16">
        <f>ROUND(Plan_Prev!L5+Plan_Corr!L5,1)</f>
        <v>0</v>
      </c>
      <c r="M15" s="16">
        <f>ROUND(Plan_Prev!M5+Plan_Corr!M5,1)</f>
        <v>0</v>
      </c>
      <c r="N15" s="19">
        <f t="shared" si="2"/>
        <v>0</v>
      </c>
    </row>
    <row r="16" spans="1:16" ht="15" customHeight="1" x14ac:dyDescent="0.4">
      <c r="A16" s="15" t="s">
        <v>77</v>
      </c>
      <c r="B16" s="16">
        <f>ROUND(Plan_Prev!B6+Plan_Corr!B6,1)</f>
        <v>0</v>
      </c>
      <c r="C16" s="16">
        <f>ROUND(Plan_Prev!C6+Plan_Corr!C6,1)</f>
        <v>0</v>
      </c>
      <c r="D16" s="16">
        <f>ROUND(Plan_Prev!D6+Plan_Corr!D6,1)</f>
        <v>0</v>
      </c>
      <c r="E16" s="16">
        <f>ROUND(Plan_Prev!E6+Plan_Corr!E6,1)</f>
        <v>0</v>
      </c>
      <c r="F16" s="16">
        <f>ROUND(Plan_Prev!F6+Plan_Corr!F6,1)</f>
        <v>0</v>
      </c>
      <c r="G16" s="16">
        <f>ROUND(Plan_Prev!G6+Plan_Corr!G6,1)</f>
        <v>0</v>
      </c>
      <c r="H16" s="16">
        <f>ROUND(Plan_Prev!H6+Plan_Corr!H6,1)</f>
        <v>0</v>
      </c>
      <c r="I16" s="16">
        <f>ROUND(Plan_Prev!I6+Plan_Corr!I6,1)</f>
        <v>0</v>
      </c>
      <c r="J16" s="16">
        <f>ROUND(Plan_Prev!J6+Plan_Corr!J6,1)</f>
        <v>0</v>
      </c>
      <c r="K16" s="16">
        <f>ROUND(Plan_Prev!K6+Plan_Corr!K6,1)</f>
        <v>0</v>
      </c>
      <c r="L16" s="16">
        <f>ROUND(Plan_Prev!L6+Plan_Corr!L6,1)</f>
        <v>0</v>
      </c>
      <c r="M16" s="16">
        <f>ROUND(Plan_Prev!M6+Plan_Corr!M6,1)</f>
        <v>0</v>
      </c>
      <c r="N16" s="19">
        <f t="shared" si="2"/>
        <v>0</v>
      </c>
    </row>
    <row r="17" spans="1:14" ht="15" customHeight="1" x14ac:dyDescent="0.4">
      <c r="A17" s="15" t="s">
        <v>78</v>
      </c>
      <c r="B17" s="16">
        <f>ROUND(Plan_Prev!B7+Plan_Corr!B7,1)</f>
        <v>0</v>
      </c>
      <c r="C17" s="16">
        <f>ROUND(Plan_Prev!C7+Plan_Corr!C7,1)</f>
        <v>0</v>
      </c>
      <c r="D17" s="16">
        <f>ROUND(Plan_Prev!D7+Plan_Corr!D7,1)</f>
        <v>0</v>
      </c>
      <c r="E17" s="16">
        <f>ROUND(Plan_Prev!E7+Plan_Corr!E7,1)</f>
        <v>0</v>
      </c>
      <c r="F17" s="16">
        <f>ROUND(Plan_Prev!F7+Plan_Corr!F7,1)</f>
        <v>0</v>
      </c>
      <c r="G17" s="16">
        <f>ROUND(Plan_Prev!G7+Plan_Corr!G7,1)</f>
        <v>0</v>
      </c>
      <c r="H17" s="16">
        <f>ROUND(Plan_Prev!H7+Plan_Corr!H7,1)</f>
        <v>0</v>
      </c>
      <c r="I17" s="16">
        <f>ROUND(Plan_Prev!I7+Plan_Corr!I7,1)</f>
        <v>0</v>
      </c>
      <c r="J17" s="16">
        <f>ROUND(Plan_Prev!J7+Plan_Corr!J7,1)</f>
        <v>0</v>
      </c>
      <c r="K17" s="16">
        <f>ROUND(Plan_Prev!K7+Plan_Corr!K7,1)</f>
        <v>0</v>
      </c>
      <c r="L17" s="16">
        <f>ROUND(Plan_Prev!L7+Plan_Corr!L7,1)</f>
        <v>0</v>
      </c>
      <c r="M17" s="16">
        <f>ROUND(Plan_Prev!M7+Plan_Corr!M7,1)</f>
        <v>0</v>
      </c>
      <c r="N17" s="19">
        <f t="shared" si="2"/>
        <v>0</v>
      </c>
    </row>
    <row r="18" spans="1:14" ht="15" customHeight="1" x14ac:dyDescent="0.4">
      <c r="A18" s="15" t="s">
        <v>104</v>
      </c>
      <c r="B18" s="16">
        <f>ROUND(Plan_Prev!B8+Plan_Corr!B8,1)</f>
        <v>0</v>
      </c>
      <c r="C18" s="16">
        <f>ROUND(Plan_Prev!C8+Plan_Corr!C8,1)</f>
        <v>0</v>
      </c>
      <c r="D18" s="16">
        <f>ROUND(Plan_Prev!D8+Plan_Corr!D8,1)</f>
        <v>0</v>
      </c>
      <c r="E18" s="16">
        <f>ROUND(Plan_Prev!E8+Plan_Corr!E8,1)</f>
        <v>0</v>
      </c>
      <c r="F18" s="16">
        <f>ROUND(Plan_Prev!F8+Plan_Corr!F8,1)</f>
        <v>0</v>
      </c>
      <c r="G18" s="16">
        <f>ROUND(Plan_Prev!G8+Plan_Corr!G8,1)</f>
        <v>0</v>
      </c>
      <c r="H18" s="16">
        <f>ROUND(Plan_Prev!H8+Plan_Corr!H8,1)</f>
        <v>0</v>
      </c>
      <c r="I18" s="16">
        <f>ROUND(Plan_Prev!I8+Plan_Corr!I8,1)</f>
        <v>0</v>
      </c>
      <c r="J18" s="16">
        <f>ROUND(Plan_Prev!J8+Plan_Corr!J8,1)</f>
        <v>0</v>
      </c>
      <c r="K18" s="16">
        <f>ROUND(Plan_Prev!K8+Plan_Corr!K8,1)</f>
        <v>0</v>
      </c>
      <c r="L18" s="16">
        <f>ROUND(Plan_Prev!L8+Plan_Corr!L8,1)</f>
        <v>0</v>
      </c>
      <c r="M18" s="16">
        <f>ROUND(Plan_Prev!M8+Plan_Corr!M8,1)</f>
        <v>0</v>
      </c>
      <c r="N18" s="19">
        <f t="shared" si="2"/>
        <v>0</v>
      </c>
    </row>
    <row r="19" spans="1:14" ht="15" customHeight="1" x14ac:dyDescent="0.4">
      <c r="A19" s="15" t="s">
        <v>80</v>
      </c>
      <c r="B19" s="16">
        <f>ROUND(Plan_Prev!B9+Plan_Corr!B9,1)</f>
        <v>0</v>
      </c>
      <c r="C19" s="16">
        <f>ROUND(Plan_Prev!C9+Plan_Corr!C9,1)</f>
        <v>0</v>
      </c>
      <c r="D19" s="16">
        <f>ROUND(Plan_Prev!D9+Plan_Corr!D9,1)</f>
        <v>0</v>
      </c>
      <c r="E19" s="16">
        <f>ROUND(Plan_Prev!E9+Plan_Corr!E9,1)</f>
        <v>0</v>
      </c>
      <c r="F19" s="16">
        <f>ROUND(Plan_Prev!F9+Plan_Corr!F9,1)</f>
        <v>0</v>
      </c>
      <c r="G19" s="16">
        <f>ROUND(Plan_Prev!G9+Plan_Corr!G9,1)</f>
        <v>0</v>
      </c>
      <c r="H19" s="16">
        <f>ROUND(Plan_Prev!H9+Plan_Corr!H9,1)</f>
        <v>0</v>
      </c>
      <c r="I19" s="16">
        <f>ROUND(Plan_Prev!I9+Plan_Corr!I9,1)</f>
        <v>0</v>
      </c>
      <c r="J19" s="16">
        <f>ROUND(Plan_Prev!J9+Plan_Corr!J9,1)</f>
        <v>0</v>
      </c>
      <c r="K19" s="16">
        <f>ROUND(Plan_Prev!K9+Plan_Corr!K9,1)</f>
        <v>0</v>
      </c>
      <c r="L19" s="16">
        <f>ROUND(Plan_Prev!L9+Plan_Corr!L9,1)</f>
        <v>0</v>
      </c>
      <c r="M19" s="16">
        <f>ROUND(Plan_Prev!M9+Plan_Corr!M9,1)</f>
        <v>0</v>
      </c>
      <c r="N19" s="19">
        <f t="shared" si="2"/>
        <v>0</v>
      </c>
    </row>
    <row r="20" spans="1:14" ht="15" customHeight="1" x14ac:dyDescent="0.4">
      <c r="A20" s="26" t="s">
        <v>1373</v>
      </c>
      <c r="B20" s="4">
        <f t="shared" ref="B20:N20" si="3">ROUND(SUM(B14:B19),1)</f>
        <v>3057.6</v>
      </c>
      <c r="C20" s="4">
        <f t="shared" si="3"/>
        <v>6153.1</v>
      </c>
      <c r="D20" s="4">
        <f t="shared" si="3"/>
        <v>5514.3</v>
      </c>
      <c r="E20" s="4">
        <f t="shared" si="3"/>
        <v>764.5</v>
      </c>
      <c r="F20" s="4">
        <f t="shared" si="3"/>
        <v>121.9</v>
      </c>
      <c r="G20" s="4">
        <f t="shared" si="3"/>
        <v>1177.4000000000001</v>
      </c>
      <c r="H20" s="4">
        <f t="shared" si="3"/>
        <v>213</v>
      </c>
      <c r="I20" s="4">
        <f t="shared" si="3"/>
        <v>1937.2</v>
      </c>
      <c r="J20" s="4">
        <f t="shared" si="3"/>
        <v>395.1</v>
      </c>
      <c r="K20" s="4">
        <f t="shared" si="3"/>
        <v>3310</v>
      </c>
      <c r="L20" s="4">
        <f t="shared" si="3"/>
        <v>4274.1000000000004</v>
      </c>
      <c r="M20" s="4">
        <f t="shared" si="3"/>
        <v>3826.1</v>
      </c>
      <c r="N20" s="4">
        <f t="shared" si="3"/>
        <v>30744.3</v>
      </c>
    </row>
    <row r="22" spans="1:14" ht="15" customHeight="1" x14ac:dyDescent="0.4">
      <c r="A22" s="14" t="s">
        <v>1382</v>
      </c>
      <c r="B22" s="14" t="s">
        <v>83</v>
      </c>
      <c r="C22" s="14" t="s">
        <v>84</v>
      </c>
      <c r="D22" s="14" t="s">
        <v>85</v>
      </c>
      <c r="E22" s="14" t="s">
        <v>86</v>
      </c>
      <c r="F22" s="14" t="s">
        <v>87</v>
      </c>
      <c r="G22" s="14" t="s">
        <v>88</v>
      </c>
      <c r="H22" s="14" t="s">
        <v>89</v>
      </c>
      <c r="I22" s="14" t="s">
        <v>90</v>
      </c>
      <c r="J22" s="14" t="s">
        <v>91</v>
      </c>
      <c r="K22" s="14" t="s">
        <v>92</v>
      </c>
      <c r="L22" s="14" t="s">
        <v>93</v>
      </c>
      <c r="M22" s="14" t="s">
        <v>94</v>
      </c>
      <c r="N22" s="14" t="s">
        <v>1376</v>
      </c>
    </row>
    <row r="23" spans="1:14" ht="15" customHeight="1" x14ac:dyDescent="0.4">
      <c r="A23" s="15" t="s">
        <v>76</v>
      </c>
      <c r="B23" s="16">
        <f t="shared" ref="B23:M23" si="4">ROUND(B5-B14,1)</f>
        <v>-3057.6</v>
      </c>
      <c r="C23" s="16">
        <f t="shared" si="4"/>
        <v>-6153.1</v>
      </c>
      <c r="D23" s="16">
        <f t="shared" si="4"/>
        <v>-5514.3</v>
      </c>
      <c r="E23" s="16">
        <f t="shared" si="4"/>
        <v>-764.5</v>
      </c>
      <c r="F23" s="16">
        <f t="shared" si="4"/>
        <v>-121.9</v>
      </c>
      <c r="G23" s="16">
        <f t="shared" si="4"/>
        <v>-1177.4000000000001</v>
      </c>
      <c r="H23" s="16">
        <f t="shared" si="4"/>
        <v>-213</v>
      </c>
      <c r="I23" s="16">
        <f t="shared" si="4"/>
        <v>-1937.2</v>
      </c>
      <c r="J23" s="16">
        <f t="shared" si="4"/>
        <v>-395.1</v>
      </c>
      <c r="K23" s="16">
        <f t="shared" si="4"/>
        <v>-3310</v>
      </c>
      <c r="L23" s="16">
        <f t="shared" si="4"/>
        <v>-4274.1000000000004</v>
      </c>
      <c r="M23" s="16">
        <f t="shared" si="4"/>
        <v>-3826.1</v>
      </c>
      <c r="N23" s="16">
        <f t="shared" ref="N23:N28" si="5">ROUND(SUM(B23:M23),1)</f>
        <v>-30744.3</v>
      </c>
    </row>
    <row r="24" spans="1:14" ht="15" customHeight="1" x14ac:dyDescent="0.4">
      <c r="A24" s="15" t="s">
        <v>75</v>
      </c>
      <c r="B24" s="16">
        <f t="shared" ref="B24:M24" si="6">ROUND(B6-B15,1)</f>
        <v>0</v>
      </c>
      <c r="C24" s="16">
        <f t="shared" si="6"/>
        <v>0</v>
      </c>
      <c r="D24" s="16">
        <f t="shared" si="6"/>
        <v>0</v>
      </c>
      <c r="E24" s="16">
        <f t="shared" si="6"/>
        <v>0</v>
      </c>
      <c r="F24" s="16">
        <f t="shared" si="6"/>
        <v>0</v>
      </c>
      <c r="G24" s="16">
        <f t="shared" si="6"/>
        <v>0</v>
      </c>
      <c r="H24" s="16">
        <f t="shared" si="6"/>
        <v>0</v>
      </c>
      <c r="I24" s="16">
        <f t="shared" si="6"/>
        <v>0</v>
      </c>
      <c r="J24" s="16">
        <f t="shared" si="6"/>
        <v>0</v>
      </c>
      <c r="K24" s="16">
        <f t="shared" si="6"/>
        <v>0</v>
      </c>
      <c r="L24" s="16">
        <f t="shared" si="6"/>
        <v>0</v>
      </c>
      <c r="M24" s="16">
        <f t="shared" si="6"/>
        <v>0</v>
      </c>
      <c r="N24" s="16">
        <f t="shared" si="5"/>
        <v>0</v>
      </c>
    </row>
    <row r="25" spans="1:14" ht="15" customHeight="1" x14ac:dyDescent="0.4">
      <c r="A25" s="15" t="s">
        <v>77</v>
      </c>
      <c r="B25" s="16">
        <f t="shared" ref="B25:M25" si="7">ROUND(B7-B16,1)</f>
        <v>0</v>
      </c>
      <c r="C25" s="16">
        <f t="shared" si="7"/>
        <v>0</v>
      </c>
      <c r="D25" s="16">
        <f t="shared" si="7"/>
        <v>0</v>
      </c>
      <c r="E25" s="16">
        <f t="shared" si="7"/>
        <v>0</v>
      </c>
      <c r="F25" s="16">
        <f t="shared" si="7"/>
        <v>0</v>
      </c>
      <c r="G25" s="16">
        <f t="shared" si="7"/>
        <v>0</v>
      </c>
      <c r="H25" s="16">
        <f t="shared" si="7"/>
        <v>0</v>
      </c>
      <c r="I25" s="16">
        <f t="shared" si="7"/>
        <v>0</v>
      </c>
      <c r="J25" s="16">
        <f t="shared" si="7"/>
        <v>0</v>
      </c>
      <c r="K25" s="16">
        <f t="shared" si="7"/>
        <v>0</v>
      </c>
      <c r="L25" s="16">
        <f t="shared" si="7"/>
        <v>0</v>
      </c>
      <c r="M25" s="16">
        <f t="shared" si="7"/>
        <v>0</v>
      </c>
      <c r="N25" s="16">
        <f t="shared" si="5"/>
        <v>0</v>
      </c>
    </row>
    <row r="26" spans="1:14" ht="15" customHeight="1" x14ac:dyDescent="0.4">
      <c r="A26" s="15" t="s">
        <v>78</v>
      </c>
      <c r="B26" s="16">
        <f t="shared" ref="B26:M26" si="8">ROUND(B8-B17,1)</f>
        <v>0</v>
      </c>
      <c r="C26" s="16">
        <f t="shared" si="8"/>
        <v>0</v>
      </c>
      <c r="D26" s="16">
        <f t="shared" si="8"/>
        <v>0</v>
      </c>
      <c r="E26" s="16">
        <f t="shared" si="8"/>
        <v>0</v>
      </c>
      <c r="F26" s="16">
        <f t="shared" si="8"/>
        <v>0</v>
      </c>
      <c r="G26" s="16">
        <f t="shared" si="8"/>
        <v>0</v>
      </c>
      <c r="H26" s="16">
        <f t="shared" si="8"/>
        <v>0</v>
      </c>
      <c r="I26" s="16">
        <f t="shared" si="8"/>
        <v>0</v>
      </c>
      <c r="J26" s="16">
        <f t="shared" si="8"/>
        <v>0</v>
      </c>
      <c r="K26" s="16">
        <f t="shared" si="8"/>
        <v>0</v>
      </c>
      <c r="L26" s="16">
        <f t="shared" si="8"/>
        <v>0</v>
      </c>
      <c r="M26" s="16">
        <f t="shared" si="8"/>
        <v>0</v>
      </c>
      <c r="N26" s="16">
        <f t="shared" si="5"/>
        <v>0</v>
      </c>
    </row>
    <row r="27" spans="1:14" ht="15" customHeight="1" x14ac:dyDescent="0.4">
      <c r="A27" s="15" t="s">
        <v>104</v>
      </c>
      <c r="B27" s="16">
        <f t="shared" ref="B27:M27" si="9">ROUND(B9-B18,1)</f>
        <v>0</v>
      </c>
      <c r="C27" s="16">
        <f t="shared" si="9"/>
        <v>0</v>
      </c>
      <c r="D27" s="16">
        <f t="shared" si="9"/>
        <v>0</v>
      </c>
      <c r="E27" s="16">
        <f t="shared" si="9"/>
        <v>0</v>
      </c>
      <c r="F27" s="16">
        <f t="shared" si="9"/>
        <v>0</v>
      </c>
      <c r="G27" s="16">
        <f t="shared" si="9"/>
        <v>0</v>
      </c>
      <c r="H27" s="16">
        <f t="shared" si="9"/>
        <v>0</v>
      </c>
      <c r="I27" s="16">
        <f t="shared" si="9"/>
        <v>0</v>
      </c>
      <c r="J27" s="16">
        <f t="shared" si="9"/>
        <v>0</v>
      </c>
      <c r="K27" s="16">
        <f t="shared" si="9"/>
        <v>0</v>
      </c>
      <c r="L27" s="16">
        <f t="shared" si="9"/>
        <v>0</v>
      </c>
      <c r="M27" s="16">
        <f t="shared" si="9"/>
        <v>0</v>
      </c>
      <c r="N27" s="16">
        <f t="shared" si="5"/>
        <v>0</v>
      </c>
    </row>
    <row r="28" spans="1:14" ht="15" customHeight="1" x14ac:dyDescent="0.4">
      <c r="A28" s="15" t="s">
        <v>80</v>
      </c>
      <c r="B28" s="16">
        <f t="shared" ref="B28:M28" si="10">ROUND(B10-B19,1)</f>
        <v>0</v>
      </c>
      <c r="C28" s="16">
        <f t="shared" si="10"/>
        <v>0</v>
      </c>
      <c r="D28" s="16">
        <f t="shared" si="10"/>
        <v>0</v>
      </c>
      <c r="E28" s="16">
        <f t="shared" si="10"/>
        <v>0</v>
      </c>
      <c r="F28" s="16">
        <f t="shared" si="10"/>
        <v>0</v>
      </c>
      <c r="G28" s="16">
        <f t="shared" si="10"/>
        <v>0</v>
      </c>
      <c r="H28" s="16">
        <f t="shared" si="10"/>
        <v>0</v>
      </c>
      <c r="I28" s="16">
        <f t="shared" si="10"/>
        <v>0</v>
      </c>
      <c r="J28" s="16">
        <f t="shared" si="10"/>
        <v>0</v>
      </c>
      <c r="K28" s="16">
        <f t="shared" si="10"/>
        <v>0</v>
      </c>
      <c r="L28" s="16">
        <f t="shared" si="10"/>
        <v>0</v>
      </c>
      <c r="M28" s="16">
        <f t="shared" si="10"/>
        <v>0</v>
      </c>
      <c r="N28" s="16">
        <f t="shared" si="5"/>
        <v>0</v>
      </c>
    </row>
    <row r="29" spans="1:14" ht="15" customHeight="1" x14ac:dyDescent="0.4">
      <c r="A29" s="26" t="s">
        <v>1373</v>
      </c>
      <c r="B29" s="4">
        <f t="shared" ref="B29:N29" si="11">ROUND(SUM(B23:B28),1)</f>
        <v>-3057.6</v>
      </c>
      <c r="C29" s="4">
        <f t="shared" si="11"/>
        <v>-6153.1</v>
      </c>
      <c r="D29" s="4">
        <f t="shared" si="11"/>
        <v>-5514.3</v>
      </c>
      <c r="E29" s="4">
        <f t="shared" si="11"/>
        <v>-764.5</v>
      </c>
      <c r="F29" s="4">
        <f t="shared" si="11"/>
        <v>-121.9</v>
      </c>
      <c r="G29" s="4">
        <f t="shared" si="11"/>
        <v>-1177.4000000000001</v>
      </c>
      <c r="H29" s="4">
        <f t="shared" si="11"/>
        <v>-213</v>
      </c>
      <c r="I29" s="4">
        <f t="shared" si="11"/>
        <v>-1937.2</v>
      </c>
      <c r="J29" s="4">
        <f t="shared" si="11"/>
        <v>-395.1</v>
      </c>
      <c r="K29" s="4">
        <f t="shared" si="11"/>
        <v>-3310</v>
      </c>
      <c r="L29" s="4">
        <f t="shared" si="11"/>
        <v>-4274.1000000000004</v>
      </c>
      <c r="M29" s="4">
        <f t="shared" si="11"/>
        <v>-3826.1</v>
      </c>
      <c r="N29" s="4">
        <f t="shared" si="11"/>
        <v>-30744.3</v>
      </c>
    </row>
  </sheetData>
  <mergeCells count="2">
    <mergeCell ref="A1:N1"/>
    <mergeCell ref="A2:N2"/>
  </mergeCells>
  <conditionalFormatting sqref="B23:N29">
    <cfRule type="expression" dxfId="8" priority="2">
      <formula>AND(ISNUMBER(B23),B23&lt;0)</formula>
    </cfRule>
    <cfRule type="expression" dxfId="7" priority="3">
      <formula>AND(ISNUMBER(B23),B23&lt;0.1*B5)</formula>
    </cfRule>
    <cfRule type="expression" dxfId="6" priority="4">
      <formula>ISNUMBER(B23)</formula>
    </cfRule>
  </conditionalFormatting>
  <hyperlinks>
    <hyperlink ref="P1" r:id="rId1" location="Menu!A1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1"/>
  <sheetViews>
    <sheetView zoomScaleNormal="100" workbookViewId="0"/>
  </sheetViews>
  <sheetFormatPr defaultColWidth="8.69140625" defaultRowHeight="14.6" x14ac:dyDescent="0.4"/>
  <cols>
    <col min="1" max="1" width="30" customWidth="1"/>
    <col min="2" max="13" width="9" customWidth="1"/>
    <col min="14" max="14" width="11" customWidth="1"/>
  </cols>
  <sheetData>
    <row r="1" spans="1:16" ht="15.75" customHeight="1" x14ac:dyDescent="0.45">
      <c r="A1" s="3" t="s">
        <v>1383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11" t="s">
        <v>47</v>
      </c>
    </row>
    <row r="4" spans="1:16" ht="15" customHeight="1" x14ac:dyDescent="0.4">
      <c r="A4" s="14" t="s">
        <v>1384</v>
      </c>
      <c r="B4" s="14" t="s">
        <v>83</v>
      </c>
      <c r="C4" s="14" t="s">
        <v>84</v>
      </c>
      <c r="D4" s="14" t="s">
        <v>85</v>
      </c>
      <c r="E4" s="14" t="s">
        <v>86</v>
      </c>
      <c r="F4" s="14" t="s">
        <v>87</v>
      </c>
      <c r="G4" s="14" t="s">
        <v>88</v>
      </c>
      <c r="H4" s="14" t="s">
        <v>89</v>
      </c>
      <c r="I4" s="14" t="s">
        <v>90</v>
      </c>
      <c r="J4" s="14" t="s">
        <v>91</v>
      </c>
      <c r="K4" s="14" t="s">
        <v>92</v>
      </c>
      <c r="L4" s="14" t="s">
        <v>93</v>
      </c>
      <c r="M4" s="14" t="s">
        <v>94</v>
      </c>
      <c r="N4" s="14" t="s">
        <v>1376</v>
      </c>
    </row>
    <row r="5" spans="1:16" ht="15" customHeight="1" x14ac:dyDescent="0.4">
      <c r="A5" s="15" t="s">
        <v>76</v>
      </c>
      <c r="B5" s="16">
        <f>ROUND((Plan_Prev!B4+Plan_Corr!B4)/MAX(1,Premissas!$B$23*VLOOKUP($A5,Premissas!$A$14:$K$19,11,0)),1)</f>
        <v>25.9</v>
      </c>
      <c r="C5" s="16">
        <f>ROUND((Plan_Prev!C4+Plan_Corr!C4)/MAX(1,Premissas!$B$24*VLOOKUP($A5,Premissas!$A$14:$K$19,11,0)),1)</f>
        <v>57.3</v>
      </c>
      <c r="D5" s="16">
        <f>ROUND((Plan_Prev!D4+Plan_Corr!D4)/MAX(1,Premissas!$B$25*VLOOKUP($A5,Premissas!$A$14:$K$19,11,0)),1)</f>
        <v>46.7</v>
      </c>
      <c r="E5" s="16">
        <f>ROUND((Plan_Prev!E4+Plan_Corr!E4)/MAX(1,Premissas!$B$26*VLOOKUP($A5,Premissas!$A$14:$K$19,11,0)),1)</f>
        <v>7.1</v>
      </c>
      <c r="F5" s="16">
        <f>ROUND((Plan_Prev!F4+Plan_Corr!F4)/MAX(1,Premissas!$B$27*VLOOKUP($A5,Premissas!$A$14:$K$19,11,0)),1)</f>
        <v>1.1000000000000001</v>
      </c>
      <c r="G5" s="16">
        <f>ROUND((Plan_Prev!G4+Plan_Corr!G4)/MAX(1,Premissas!$B$28*VLOOKUP($A5,Premissas!$A$14:$K$19,11,0)),1)</f>
        <v>10</v>
      </c>
      <c r="H5" s="16">
        <f>ROUND((Plan_Prev!H4+Plan_Corr!H4)/MAX(1,Premissas!$B$29*VLOOKUP($A5,Premissas!$A$14:$K$19,11,0)),1)</f>
        <v>1.9</v>
      </c>
      <c r="I5" s="16">
        <f>ROUND((Plan_Prev!I4+Plan_Corr!I4)/MAX(1,Premissas!$B$30*VLOOKUP($A5,Premissas!$A$14:$K$19,11,0)),1)</f>
        <v>18</v>
      </c>
      <c r="J5" s="16">
        <f>ROUND((Plan_Prev!J4+Plan_Corr!J4)/MAX(1,Premissas!$B$31*VLOOKUP($A5,Premissas!$A$14:$K$19,11,0)),1)</f>
        <v>3.2</v>
      </c>
      <c r="K5" s="16">
        <f>ROUND((Plan_Prev!K4+Plan_Corr!K4)/MAX(1,Premissas!$B$32*VLOOKUP($A5,Premissas!$A$14:$K$19,11,0)),1)</f>
        <v>28</v>
      </c>
      <c r="L5" s="16">
        <f>ROUND((Plan_Prev!L4+Plan_Corr!L4)/MAX(1,Premissas!$B$33*VLOOKUP($A5,Premissas!$A$14:$K$19,11,0)),1)</f>
        <v>37.9</v>
      </c>
      <c r="M5" s="16">
        <f>ROUND((Plan_Prev!M4+Plan_Corr!M4)/MAX(1,Premissas!$B$34*VLOOKUP($A5,Premissas!$A$14:$K$19,11,0)),1)</f>
        <v>31</v>
      </c>
      <c r="N5" s="19">
        <f t="shared" ref="N5:N10" si="0">ROUND(SUM(B5:M5),1)</f>
        <v>268.10000000000002</v>
      </c>
    </row>
    <row r="6" spans="1:16" ht="15" customHeight="1" x14ac:dyDescent="0.4">
      <c r="A6" s="15" t="s">
        <v>75</v>
      </c>
      <c r="B6" s="16">
        <f>ROUND((Plan_Prev!B5+Plan_Corr!B5)/MAX(1,Premissas!$B$23*VLOOKUP($A6,Premissas!$A$14:$K$19,11,0)),1)</f>
        <v>0</v>
      </c>
      <c r="C6" s="16">
        <f>ROUND((Plan_Prev!C5+Plan_Corr!C5)/MAX(1,Premissas!$B$24*VLOOKUP($A6,Premissas!$A$14:$K$19,11,0)),1)</f>
        <v>0</v>
      </c>
      <c r="D6" s="16">
        <f>ROUND((Plan_Prev!D5+Plan_Corr!D5)/MAX(1,Premissas!$B$25*VLOOKUP($A6,Premissas!$A$14:$K$19,11,0)),1)</f>
        <v>0</v>
      </c>
      <c r="E6" s="16">
        <f>ROUND((Plan_Prev!E5+Plan_Corr!E5)/MAX(1,Premissas!$B$26*VLOOKUP($A6,Premissas!$A$14:$K$19,11,0)),1)</f>
        <v>0</v>
      </c>
      <c r="F6" s="16">
        <f>ROUND((Plan_Prev!F5+Plan_Corr!F5)/MAX(1,Premissas!$B$27*VLOOKUP($A6,Premissas!$A$14:$K$19,11,0)),1)</f>
        <v>0</v>
      </c>
      <c r="G6" s="16">
        <f>ROUND((Plan_Prev!G5+Plan_Corr!G5)/MAX(1,Premissas!$B$28*VLOOKUP($A6,Premissas!$A$14:$K$19,11,0)),1)</f>
        <v>0</v>
      </c>
      <c r="H6" s="16">
        <f>ROUND((Plan_Prev!H5+Plan_Corr!H5)/MAX(1,Premissas!$B$29*VLOOKUP($A6,Premissas!$A$14:$K$19,11,0)),1)</f>
        <v>0</v>
      </c>
      <c r="I6" s="16">
        <f>ROUND((Plan_Prev!I5+Plan_Corr!I5)/MAX(1,Premissas!$B$30*VLOOKUP($A6,Premissas!$A$14:$K$19,11,0)),1)</f>
        <v>0</v>
      </c>
      <c r="J6" s="16">
        <f>ROUND((Plan_Prev!J5+Plan_Corr!J5)/MAX(1,Premissas!$B$31*VLOOKUP($A6,Premissas!$A$14:$K$19,11,0)),1)</f>
        <v>0</v>
      </c>
      <c r="K6" s="16">
        <f>ROUND((Plan_Prev!K5+Plan_Corr!K5)/MAX(1,Premissas!$B$32*VLOOKUP($A6,Premissas!$A$14:$K$19,11,0)),1)</f>
        <v>0</v>
      </c>
      <c r="L6" s="16">
        <f>ROUND((Plan_Prev!L5+Plan_Corr!L5)/MAX(1,Premissas!$B$33*VLOOKUP($A6,Premissas!$A$14:$K$19,11,0)),1)</f>
        <v>0</v>
      </c>
      <c r="M6" s="16">
        <f>ROUND((Plan_Prev!M5+Plan_Corr!M5)/MAX(1,Premissas!$B$34*VLOOKUP($A6,Premissas!$A$14:$K$19,11,0)),1)</f>
        <v>0</v>
      </c>
      <c r="N6" s="19">
        <f t="shared" si="0"/>
        <v>0</v>
      </c>
    </row>
    <row r="7" spans="1:16" ht="15" customHeight="1" x14ac:dyDescent="0.4">
      <c r="A7" s="15" t="s">
        <v>77</v>
      </c>
      <c r="B7" s="16">
        <f>ROUND((Plan_Prev!B6+Plan_Corr!B6)/MAX(1,Premissas!$B$23*VLOOKUP($A7,Premissas!$A$14:$K$19,11,0)),1)</f>
        <v>0</v>
      </c>
      <c r="C7" s="16">
        <f>ROUND((Plan_Prev!C6+Plan_Corr!C6)/MAX(1,Premissas!$B$24*VLOOKUP($A7,Premissas!$A$14:$K$19,11,0)),1)</f>
        <v>0</v>
      </c>
      <c r="D7" s="16">
        <f>ROUND((Plan_Prev!D6+Plan_Corr!D6)/MAX(1,Premissas!$B$25*VLOOKUP($A7,Premissas!$A$14:$K$19,11,0)),1)</f>
        <v>0</v>
      </c>
      <c r="E7" s="16">
        <f>ROUND((Plan_Prev!E6+Plan_Corr!E6)/MAX(1,Premissas!$B$26*VLOOKUP($A7,Premissas!$A$14:$K$19,11,0)),1)</f>
        <v>0</v>
      </c>
      <c r="F7" s="16">
        <f>ROUND((Plan_Prev!F6+Plan_Corr!F6)/MAX(1,Premissas!$B$27*VLOOKUP($A7,Premissas!$A$14:$K$19,11,0)),1)</f>
        <v>0</v>
      </c>
      <c r="G7" s="16">
        <f>ROUND((Plan_Prev!G6+Plan_Corr!G6)/MAX(1,Premissas!$B$28*VLOOKUP($A7,Premissas!$A$14:$K$19,11,0)),1)</f>
        <v>0</v>
      </c>
      <c r="H7" s="16">
        <f>ROUND((Plan_Prev!H6+Plan_Corr!H6)/MAX(1,Premissas!$B$29*VLOOKUP($A7,Premissas!$A$14:$K$19,11,0)),1)</f>
        <v>0</v>
      </c>
      <c r="I7" s="16">
        <f>ROUND((Plan_Prev!I6+Plan_Corr!I6)/MAX(1,Premissas!$B$30*VLOOKUP($A7,Premissas!$A$14:$K$19,11,0)),1)</f>
        <v>0</v>
      </c>
      <c r="J7" s="16">
        <f>ROUND((Plan_Prev!J6+Plan_Corr!J6)/MAX(1,Premissas!$B$31*VLOOKUP($A7,Premissas!$A$14:$K$19,11,0)),1)</f>
        <v>0</v>
      </c>
      <c r="K7" s="16">
        <f>ROUND((Plan_Prev!K6+Plan_Corr!K6)/MAX(1,Premissas!$B$32*VLOOKUP($A7,Premissas!$A$14:$K$19,11,0)),1)</f>
        <v>0</v>
      </c>
      <c r="L7" s="16">
        <f>ROUND((Plan_Prev!L6+Plan_Corr!L6)/MAX(1,Premissas!$B$33*VLOOKUP($A7,Premissas!$A$14:$K$19,11,0)),1)</f>
        <v>0</v>
      </c>
      <c r="M7" s="16">
        <f>ROUND((Plan_Prev!M6+Plan_Corr!M6)/MAX(1,Premissas!$B$34*VLOOKUP($A7,Premissas!$A$14:$K$19,11,0)),1)</f>
        <v>0</v>
      </c>
      <c r="N7" s="19">
        <f t="shared" si="0"/>
        <v>0</v>
      </c>
    </row>
    <row r="8" spans="1:16" ht="15" customHeight="1" x14ac:dyDescent="0.4">
      <c r="A8" s="15" t="s">
        <v>78</v>
      </c>
      <c r="B8" s="16">
        <f>ROUND((Plan_Prev!B7+Plan_Corr!B7)/MAX(1,Premissas!$B$23*VLOOKUP($A8,Premissas!$A$14:$K$19,11,0)),1)</f>
        <v>0</v>
      </c>
      <c r="C8" s="16">
        <f>ROUND((Plan_Prev!C7+Plan_Corr!C7)/MAX(1,Premissas!$B$24*VLOOKUP($A8,Premissas!$A$14:$K$19,11,0)),1)</f>
        <v>0</v>
      </c>
      <c r="D8" s="16">
        <f>ROUND((Plan_Prev!D7+Plan_Corr!D7)/MAX(1,Premissas!$B$25*VLOOKUP($A8,Premissas!$A$14:$K$19,11,0)),1)</f>
        <v>0</v>
      </c>
      <c r="E8" s="16">
        <f>ROUND((Plan_Prev!E7+Plan_Corr!E7)/MAX(1,Premissas!$B$26*VLOOKUP($A8,Premissas!$A$14:$K$19,11,0)),1)</f>
        <v>0</v>
      </c>
      <c r="F8" s="16">
        <f>ROUND((Plan_Prev!F7+Plan_Corr!F7)/MAX(1,Premissas!$B$27*VLOOKUP($A8,Premissas!$A$14:$K$19,11,0)),1)</f>
        <v>0</v>
      </c>
      <c r="G8" s="16">
        <f>ROUND((Plan_Prev!G7+Plan_Corr!G7)/MAX(1,Premissas!$B$28*VLOOKUP($A8,Premissas!$A$14:$K$19,11,0)),1)</f>
        <v>0</v>
      </c>
      <c r="H8" s="16">
        <f>ROUND((Plan_Prev!H7+Plan_Corr!H7)/MAX(1,Premissas!$B$29*VLOOKUP($A8,Premissas!$A$14:$K$19,11,0)),1)</f>
        <v>0</v>
      </c>
      <c r="I8" s="16">
        <f>ROUND((Plan_Prev!I7+Plan_Corr!I7)/MAX(1,Premissas!$B$30*VLOOKUP($A8,Premissas!$A$14:$K$19,11,0)),1)</f>
        <v>0</v>
      </c>
      <c r="J8" s="16">
        <f>ROUND((Plan_Prev!J7+Plan_Corr!J7)/MAX(1,Premissas!$B$31*VLOOKUP($A8,Premissas!$A$14:$K$19,11,0)),1)</f>
        <v>0</v>
      </c>
      <c r="K8" s="16">
        <f>ROUND((Plan_Prev!K7+Plan_Corr!K7)/MAX(1,Premissas!$B$32*VLOOKUP($A8,Premissas!$A$14:$K$19,11,0)),1)</f>
        <v>0</v>
      </c>
      <c r="L8" s="16">
        <f>ROUND((Plan_Prev!L7+Plan_Corr!L7)/MAX(1,Premissas!$B$33*VLOOKUP($A8,Premissas!$A$14:$K$19,11,0)),1)</f>
        <v>0</v>
      </c>
      <c r="M8" s="16">
        <f>ROUND((Plan_Prev!M7+Plan_Corr!M7)/MAX(1,Premissas!$B$34*VLOOKUP($A8,Premissas!$A$14:$K$19,11,0)),1)</f>
        <v>0</v>
      </c>
      <c r="N8" s="19">
        <f t="shared" si="0"/>
        <v>0</v>
      </c>
    </row>
    <row r="9" spans="1:16" ht="15" customHeight="1" x14ac:dyDescent="0.4">
      <c r="A9" s="15" t="s">
        <v>104</v>
      </c>
      <c r="B9" s="16">
        <f>ROUND((Plan_Prev!B8+Plan_Corr!B8)/MAX(1,Premissas!$B$23*VLOOKUP($A9,Premissas!$A$14:$K$19,11,0)),1)</f>
        <v>0</v>
      </c>
      <c r="C9" s="16">
        <f>ROUND((Plan_Prev!C8+Plan_Corr!C8)/MAX(1,Premissas!$B$24*VLOOKUP($A9,Premissas!$A$14:$K$19,11,0)),1)</f>
        <v>0</v>
      </c>
      <c r="D9" s="16">
        <f>ROUND((Plan_Prev!D8+Plan_Corr!D8)/MAX(1,Premissas!$B$25*VLOOKUP($A9,Premissas!$A$14:$K$19,11,0)),1)</f>
        <v>0</v>
      </c>
      <c r="E9" s="16">
        <f>ROUND((Plan_Prev!E8+Plan_Corr!E8)/MAX(1,Premissas!$B$26*VLOOKUP($A9,Premissas!$A$14:$K$19,11,0)),1)</f>
        <v>0</v>
      </c>
      <c r="F9" s="16">
        <f>ROUND((Plan_Prev!F8+Plan_Corr!F8)/MAX(1,Premissas!$B$27*VLOOKUP($A9,Premissas!$A$14:$K$19,11,0)),1)</f>
        <v>0</v>
      </c>
      <c r="G9" s="16">
        <f>ROUND((Plan_Prev!G8+Plan_Corr!G8)/MAX(1,Premissas!$B$28*VLOOKUP($A9,Premissas!$A$14:$K$19,11,0)),1)</f>
        <v>0</v>
      </c>
      <c r="H9" s="16">
        <f>ROUND((Plan_Prev!H8+Plan_Corr!H8)/MAX(1,Premissas!$B$29*VLOOKUP($A9,Premissas!$A$14:$K$19,11,0)),1)</f>
        <v>0</v>
      </c>
      <c r="I9" s="16">
        <f>ROUND((Plan_Prev!I8+Plan_Corr!I8)/MAX(1,Premissas!$B$30*VLOOKUP($A9,Premissas!$A$14:$K$19,11,0)),1)</f>
        <v>0</v>
      </c>
      <c r="J9" s="16">
        <f>ROUND((Plan_Prev!J8+Plan_Corr!J8)/MAX(1,Premissas!$B$31*VLOOKUP($A9,Premissas!$A$14:$K$19,11,0)),1)</f>
        <v>0</v>
      </c>
      <c r="K9" s="16">
        <f>ROUND((Plan_Prev!K8+Plan_Corr!K8)/MAX(1,Premissas!$B$32*VLOOKUP($A9,Premissas!$A$14:$K$19,11,0)),1)</f>
        <v>0</v>
      </c>
      <c r="L9" s="16">
        <f>ROUND((Plan_Prev!L8+Plan_Corr!L8)/MAX(1,Premissas!$B$33*VLOOKUP($A9,Premissas!$A$14:$K$19,11,0)),1)</f>
        <v>0</v>
      </c>
      <c r="M9" s="16">
        <f>ROUND((Plan_Prev!M8+Plan_Corr!M8)/MAX(1,Premissas!$B$34*VLOOKUP($A9,Premissas!$A$14:$K$19,11,0)),1)</f>
        <v>0</v>
      </c>
      <c r="N9" s="19">
        <f t="shared" si="0"/>
        <v>0</v>
      </c>
    </row>
    <row r="10" spans="1:16" ht="15" customHeight="1" x14ac:dyDescent="0.4">
      <c r="A10" s="15" t="s">
        <v>80</v>
      </c>
      <c r="B10" s="16">
        <f>ROUND((Plan_Prev!B9+Plan_Corr!B9)/MAX(1,Premissas!$B$23*VLOOKUP($A10,Premissas!$A$14:$K$19,11,0)),1)</f>
        <v>0</v>
      </c>
      <c r="C10" s="16">
        <f>ROUND((Plan_Prev!C9+Plan_Corr!C9)/MAX(1,Premissas!$B$24*VLOOKUP($A10,Premissas!$A$14:$K$19,11,0)),1)</f>
        <v>0</v>
      </c>
      <c r="D10" s="16">
        <f>ROUND((Plan_Prev!D9+Plan_Corr!D9)/MAX(1,Premissas!$B$25*VLOOKUP($A10,Premissas!$A$14:$K$19,11,0)),1)</f>
        <v>0</v>
      </c>
      <c r="E10" s="16">
        <f>ROUND((Plan_Prev!E9+Plan_Corr!E9)/MAX(1,Premissas!$B$26*VLOOKUP($A10,Premissas!$A$14:$K$19,11,0)),1)</f>
        <v>0</v>
      </c>
      <c r="F10" s="16">
        <f>ROUND((Plan_Prev!F9+Plan_Corr!F9)/MAX(1,Premissas!$B$27*VLOOKUP($A10,Premissas!$A$14:$K$19,11,0)),1)</f>
        <v>0</v>
      </c>
      <c r="G10" s="16">
        <f>ROUND((Plan_Prev!G9+Plan_Corr!G9)/MAX(1,Premissas!$B$28*VLOOKUP($A10,Premissas!$A$14:$K$19,11,0)),1)</f>
        <v>0</v>
      </c>
      <c r="H10" s="16">
        <f>ROUND((Plan_Prev!H9+Plan_Corr!H9)/MAX(1,Premissas!$B$29*VLOOKUP($A10,Premissas!$A$14:$K$19,11,0)),1)</f>
        <v>0</v>
      </c>
      <c r="I10" s="16">
        <f>ROUND((Plan_Prev!I9+Plan_Corr!I9)/MAX(1,Premissas!$B$30*VLOOKUP($A10,Premissas!$A$14:$K$19,11,0)),1)</f>
        <v>0</v>
      </c>
      <c r="J10" s="16">
        <f>ROUND((Plan_Prev!J9+Plan_Corr!J9)/MAX(1,Premissas!$B$31*VLOOKUP($A10,Premissas!$A$14:$K$19,11,0)),1)</f>
        <v>0</v>
      </c>
      <c r="K10" s="16">
        <f>ROUND((Plan_Prev!K9+Plan_Corr!K9)/MAX(1,Premissas!$B$32*VLOOKUP($A10,Premissas!$A$14:$K$19,11,0)),1)</f>
        <v>0</v>
      </c>
      <c r="L10" s="16">
        <f>ROUND((Plan_Prev!L9+Plan_Corr!L9)/MAX(1,Premissas!$B$33*VLOOKUP($A10,Premissas!$A$14:$K$19,11,0)),1)</f>
        <v>0</v>
      </c>
      <c r="M10" s="16">
        <f>ROUND((Plan_Prev!M9+Plan_Corr!M9)/MAX(1,Premissas!$B$34*VLOOKUP($A10,Premissas!$A$14:$K$19,11,0)),1)</f>
        <v>0</v>
      </c>
      <c r="N10" s="19">
        <f t="shared" si="0"/>
        <v>0</v>
      </c>
    </row>
    <row r="11" spans="1:16" ht="15" customHeight="1" x14ac:dyDescent="0.4">
      <c r="A11" s="26" t="s">
        <v>1373</v>
      </c>
      <c r="B11" s="4">
        <f t="shared" ref="B11:N11" si="1">ROUND(SUM(B5:B10),1)</f>
        <v>25.9</v>
      </c>
      <c r="C11" s="4">
        <f t="shared" si="1"/>
        <v>57.3</v>
      </c>
      <c r="D11" s="4">
        <f t="shared" si="1"/>
        <v>46.7</v>
      </c>
      <c r="E11" s="4">
        <f t="shared" si="1"/>
        <v>7.1</v>
      </c>
      <c r="F11" s="4">
        <f t="shared" si="1"/>
        <v>1.1000000000000001</v>
      </c>
      <c r="G11" s="4">
        <f t="shared" si="1"/>
        <v>10</v>
      </c>
      <c r="H11" s="4">
        <f t="shared" si="1"/>
        <v>1.9</v>
      </c>
      <c r="I11" s="4">
        <f t="shared" si="1"/>
        <v>18</v>
      </c>
      <c r="J11" s="4">
        <f t="shared" si="1"/>
        <v>3.2</v>
      </c>
      <c r="K11" s="4">
        <f t="shared" si="1"/>
        <v>28</v>
      </c>
      <c r="L11" s="4">
        <f t="shared" si="1"/>
        <v>37.9</v>
      </c>
      <c r="M11" s="4">
        <f t="shared" si="1"/>
        <v>31</v>
      </c>
      <c r="N11" s="4">
        <f t="shared" si="1"/>
        <v>268.10000000000002</v>
      </c>
    </row>
    <row r="13" spans="1:16" ht="15" customHeight="1" x14ac:dyDescent="0.4">
      <c r="A13" s="14" t="s">
        <v>1385</v>
      </c>
      <c r="B13" s="14" t="s">
        <v>83</v>
      </c>
      <c r="C13" s="14" t="s">
        <v>84</v>
      </c>
      <c r="D13" s="14" t="s">
        <v>85</v>
      </c>
      <c r="E13" s="14" t="s">
        <v>86</v>
      </c>
      <c r="F13" s="14" t="s">
        <v>87</v>
      </c>
      <c r="G13" s="14" t="s">
        <v>88</v>
      </c>
      <c r="H13" s="14" t="s">
        <v>89</v>
      </c>
      <c r="I13" s="14" t="s">
        <v>90</v>
      </c>
      <c r="J13" s="14" t="s">
        <v>91</v>
      </c>
      <c r="K13" s="14" t="s">
        <v>92</v>
      </c>
      <c r="L13" s="14" t="s">
        <v>93</v>
      </c>
      <c r="M13" s="14" t="s">
        <v>94</v>
      </c>
      <c r="N13" s="14" t="s">
        <v>45</v>
      </c>
    </row>
    <row r="14" spans="1:16" ht="15" customHeight="1" x14ac:dyDescent="0.4">
      <c r="A14" s="15" t="s">
        <v>76</v>
      </c>
      <c r="B14" s="16">
        <f>ROUND(COUNTIFS(Pessoas!$C$5:$C$44,$A14,Pessoas!$G$5:$G$44,"Ativo")-B5,1)</f>
        <v>-25.9</v>
      </c>
      <c r="C14" s="16">
        <f>ROUND(COUNTIFS(Pessoas!$C$5:$C$44,$A14,Pessoas!$G$5:$G$44,"Ativo")-C5,1)</f>
        <v>-57.3</v>
      </c>
      <c r="D14" s="16">
        <f>ROUND(COUNTIFS(Pessoas!$C$5:$C$44,$A14,Pessoas!$G$5:$G$44,"Ativo")-D5,1)</f>
        <v>-46.7</v>
      </c>
      <c r="E14" s="16">
        <f>ROUND(COUNTIFS(Pessoas!$C$5:$C$44,$A14,Pessoas!$G$5:$G$44,"Ativo")-E5,1)</f>
        <v>-7.1</v>
      </c>
      <c r="F14" s="16">
        <f>ROUND(COUNTIFS(Pessoas!$C$5:$C$44,$A14,Pessoas!$G$5:$G$44,"Ativo")-F5,1)</f>
        <v>-1.1000000000000001</v>
      </c>
      <c r="G14" s="16">
        <f>ROUND(COUNTIFS(Pessoas!$C$5:$C$44,$A14,Pessoas!$G$5:$G$44,"Ativo")-G5,1)</f>
        <v>-10</v>
      </c>
      <c r="H14" s="16">
        <f>ROUND(COUNTIFS(Pessoas!$C$5:$C$44,$A14,Pessoas!$G$5:$G$44,"Ativo")-H5,1)</f>
        <v>-1.9</v>
      </c>
      <c r="I14" s="16">
        <f>ROUND(COUNTIFS(Pessoas!$C$5:$C$44,$A14,Pessoas!$G$5:$G$44,"Ativo")-I5,1)</f>
        <v>-18</v>
      </c>
      <c r="J14" s="16">
        <f>ROUND(COUNTIFS(Pessoas!$C$5:$C$44,$A14,Pessoas!$G$5:$G$44,"Ativo")-J5,1)</f>
        <v>-3.2</v>
      </c>
      <c r="K14" s="16">
        <f>ROUND(COUNTIFS(Pessoas!$C$5:$C$44,$A14,Pessoas!$G$5:$G$44,"Ativo")-K5,1)</f>
        <v>-28</v>
      </c>
      <c r="L14" s="16">
        <f>ROUND(COUNTIFS(Pessoas!$C$5:$C$44,$A14,Pessoas!$G$5:$G$44,"Ativo")-L5,1)</f>
        <v>-37.9</v>
      </c>
      <c r="M14" s="16">
        <f>ROUND(COUNTIFS(Pessoas!$C$5:$C$44,$A14,Pessoas!$G$5:$G$44,"Ativo")-M5,1)</f>
        <v>-31</v>
      </c>
      <c r="N14" s="16"/>
    </row>
    <row r="15" spans="1:16" ht="15" customHeight="1" x14ac:dyDescent="0.4">
      <c r="A15" s="15" t="s">
        <v>75</v>
      </c>
      <c r="B15" s="16">
        <f>ROUND(COUNTIFS(Pessoas!$C$5:$C$44,$A15,Pessoas!$G$5:$G$44,"Ativo")-B6,1)</f>
        <v>0</v>
      </c>
      <c r="C15" s="16">
        <f>ROUND(COUNTIFS(Pessoas!$C$5:$C$44,$A15,Pessoas!$G$5:$G$44,"Ativo")-C6,1)</f>
        <v>0</v>
      </c>
      <c r="D15" s="16">
        <f>ROUND(COUNTIFS(Pessoas!$C$5:$C$44,$A15,Pessoas!$G$5:$G$44,"Ativo")-D6,1)</f>
        <v>0</v>
      </c>
      <c r="E15" s="16">
        <f>ROUND(COUNTIFS(Pessoas!$C$5:$C$44,$A15,Pessoas!$G$5:$G$44,"Ativo")-E6,1)</f>
        <v>0</v>
      </c>
      <c r="F15" s="16">
        <f>ROUND(COUNTIFS(Pessoas!$C$5:$C$44,$A15,Pessoas!$G$5:$G$44,"Ativo")-F6,1)</f>
        <v>0</v>
      </c>
      <c r="G15" s="16">
        <f>ROUND(COUNTIFS(Pessoas!$C$5:$C$44,$A15,Pessoas!$G$5:$G$44,"Ativo")-G6,1)</f>
        <v>0</v>
      </c>
      <c r="H15" s="16">
        <f>ROUND(COUNTIFS(Pessoas!$C$5:$C$44,$A15,Pessoas!$G$5:$G$44,"Ativo")-H6,1)</f>
        <v>0</v>
      </c>
      <c r="I15" s="16">
        <f>ROUND(COUNTIFS(Pessoas!$C$5:$C$44,$A15,Pessoas!$G$5:$G$44,"Ativo")-I6,1)</f>
        <v>0</v>
      </c>
      <c r="J15" s="16">
        <f>ROUND(COUNTIFS(Pessoas!$C$5:$C$44,$A15,Pessoas!$G$5:$G$44,"Ativo")-J6,1)</f>
        <v>0</v>
      </c>
      <c r="K15" s="16">
        <f>ROUND(COUNTIFS(Pessoas!$C$5:$C$44,$A15,Pessoas!$G$5:$G$44,"Ativo")-K6,1)</f>
        <v>0</v>
      </c>
      <c r="L15" s="16">
        <f>ROUND(COUNTIFS(Pessoas!$C$5:$C$44,$A15,Pessoas!$G$5:$G$44,"Ativo")-L6,1)</f>
        <v>0</v>
      </c>
      <c r="M15" s="16">
        <f>ROUND(COUNTIFS(Pessoas!$C$5:$C$44,$A15,Pessoas!$G$5:$G$44,"Ativo")-M6,1)</f>
        <v>0</v>
      </c>
      <c r="N15" s="16"/>
    </row>
    <row r="16" spans="1:16" ht="15" customHeight="1" x14ac:dyDescent="0.4">
      <c r="A16" s="15" t="s">
        <v>77</v>
      </c>
      <c r="B16" s="16">
        <f>ROUND(COUNTIFS(Pessoas!$C$5:$C$44,$A16,Pessoas!$G$5:$G$44,"Ativo")-B7,1)</f>
        <v>0</v>
      </c>
      <c r="C16" s="16">
        <f>ROUND(COUNTIFS(Pessoas!$C$5:$C$44,$A16,Pessoas!$G$5:$G$44,"Ativo")-C7,1)</f>
        <v>0</v>
      </c>
      <c r="D16" s="16">
        <f>ROUND(COUNTIFS(Pessoas!$C$5:$C$44,$A16,Pessoas!$G$5:$G$44,"Ativo")-D7,1)</f>
        <v>0</v>
      </c>
      <c r="E16" s="16">
        <f>ROUND(COUNTIFS(Pessoas!$C$5:$C$44,$A16,Pessoas!$G$5:$G$44,"Ativo")-E7,1)</f>
        <v>0</v>
      </c>
      <c r="F16" s="16">
        <f>ROUND(COUNTIFS(Pessoas!$C$5:$C$44,$A16,Pessoas!$G$5:$G$44,"Ativo")-F7,1)</f>
        <v>0</v>
      </c>
      <c r="G16" s="16">
        <f>ROUND(COUNTIFS(Pessoas!$C$5:$C$44,$A16,Pessoas!$G$5:$G$44,"Ativo")-G7,1)</f>
        <v>0</v>
      </c>
      <c r="H16" s="16">
        <f>ROUND(COUNTIFS(Pessoas!$C$5:$C$44,$A16,Pessoas!$G$5:$G$44,"Ativo")-H7,1)</f>
        <v>0</v>
      </c>
      <c r="I16" s="16">
        <f>ROUND(COUNTIFS(Pessoas!$C$5:$C$44,$A16,Pessoas!$G$5:$G$44,"Ativo")-I7,1)</f>
        <v>0</v>
      </c>
      <c r="J16" s="16">
        <f>ROUND(COUNTIFS(Pessoas!$C$5:$C$44,$A16,Pessoas!$G$5:$G$44,"Ativo")-J7,1)</f>
        <v>0</v>
      </c>
      <c r="K16" s="16">
        <f>ROUND(COUNTIFS(Pessoas!$C$5:$C$44,$A16,Pessoas!$G$5:$G$44,"Ativo")-K7,1)</f>
        <v>0</v>
      </c>
      <c r="L16" s="16">
        <f>ROUND(COUNTIFS(Pessoas!$C$5:$C$44,$A16,Pessoas!$G$5:$G$44,"Ativo")-L7,1)</f>
        <v>0</v>
      </c>
      <c r="M16" s="16">
        <f>ROUND(COUNTIFS(Pessoas!$C$5:$C$44,$A16,Pessoas!$G$5:$G$44,"Ativo")-M7,1)</f>
        <v>0</v>
      </c>
      <c r="N16" s="16"/>
    </row>
    <row r="17" spans="1:14" ht="15" customHeight="1" x14ac:dyDescent="0.4">
      <c r="A17" s="15" t="s">
        <v>78</v>
      </c>
      <c r="B17" s="16">
        <f>ROUND(COUNTIFS(Pessoas!$C$5:$C$44,$A17,Pessoas!$G$5:$G$44,"Ativo")-B8,1)</f>
        <v>0</v>
      </c>
      <c r="C17" s="16">
        <f>ROUND(COUNTIFS(Pessoas!$C$5:$C$44,$A17,Pessoas!$G$5:$G$44,"Ativo")-C8,1)</f>
        <v>0</v>
      </c>
      <c r="D17" s="16">
        <f>ROUND(COUNTIFS(Pessoas!$C$5:$C$44,$A17,Pessoas!$G$5:$G$44,"Ativo")-D8,1)</f>
        <v>0</v>
      </c>
      <c r="E17" s="16">
        <f>ROUND(COUNTIFS(Pessoas!$C$5:$C$44,$A17,Pessoas!$G$5:$G$44,"Ativo")-E8,1)</f>
        <v>0</v>
      </c>
      <c r="F17" s="16">
        <f>ROUND(COUNTIFS(Pessoas!$C$5:$C$44,$A17,Pessoas!$G$5:$G$44,"Ativo")-F8,1)</f>
        <v>0</v>
      </c>
      <c r="G17" s="16">
        <f>ROUND(COUNTIFS(Pessoas!$C$5:$C$44,$A17,Pessoas!$G$5:$G$44,"Ativo")-G8,1)</f>
        <v>0</v>
      </c>
      <c r="H17" s="16">
        <f>ROUND(COUNTIFS(Pessoas!$C$5:$C$44,$A17,Pessoas!$G$5:$G$44,"Ativo")-H8,1)</f>
        <v>0</v>
      </c>
      <c r="I17" s="16">
        <f>ROUND(COUNTIFS(Pessoas!$C$5:$C$44,$A17,Pessoas!$G$5:$G$44,"Ativo")-I8,1)</f>
        <v>0</v>
      </c>
      <c r="J17" s="16">
        <f>ROUND(COUNTIFS(Pessoas!$C$5:$C$44,$A17,Pessoas!$G$5:$G$44,"Ativo")-J8,1)</f>
        <v>0</v>
      </c>
      <c r="K17" s="16">
        <f>ROUND(COUNTIFS(Pessoas!$C$5:$C$44,$A17,Pessoas!$G$5:$G$44,"Ativo")-K8,1)</f>
        <v>0</v>
      </c>
      <c r="L17" s="16">
        <f>ROUND(COUNTIFS(Pessoas!$C$5:$C$44,$A17,Pessoas!$G$5:$G$44,"Ativo")-L8,1)</f>
        <v>0</v>
      </c>
      <c r="M17" s="16">
        <f>ROUND(COUNTIFS(Pessoas!$C$5:$C$44,$A17,Pessoas!$G$5:$G$44,"Ativo")-M8,1)</f>
        <v>0</v>
      </c>
      <c r="N17" s="16"/>
    </row>
    <row r="18" spans="1:14" ht="15" customHeight="1" x14ac:dyDescent="0.4">
      <c r="A18" s="15" t="s">
        <v>104</v>
      </c>
      <c r="B18" s="16">
        <f>ROUND(COUNTIFS(Pessoas!$C$5:$C$44,$A18,Pessoas!$G$5:$G$44,"Ativo")-B9,1)</f>
        <v>0</v>
      </c>
      <c r="C18" s="16">
        <f>ROUND(COUNTIFS(Pessoas!$C$5:$C$44,$A18,Pessoas!$G$5:$G$44,"Ativo")-C9,1)</f>
        <v>0</v>
      </c>
      <c r="D18" s="16">
        <f>ROUND(COUNTIFS(Pessoas!$C$5:$C$44,$A18,Pessoas!$G$5:$G$44,"Ativo")-D9,1)</f>
        <v>0</v>
      </c>
      <c r="E18" s="16">
        <f>ROUND(COUNTIFS(Pessoas!$C$5:$C$44,$A18,Pessoas!$G$5:$G$44,"Ativo")-E9,1)</f>
        <v>0</v>
      </c>
      <c r="F18" s="16">
        <f>ROUND(COUNTIFS(Pessoas!$C$5:$C$44,$A18,Pessoas!$G$5:$G$44,"Ativo")-F9,1)</f>
        <v>0</v>
      </c>
      <c r="G18" s="16">
        <f>ROUND(COUNTIFS(Pessoas!$C$5:$C$44,$A18,Pessoas!$G$5:$G$44,"Ativo")-G9,1)</f>
        <v>0</v>
      </c>
      <c r="H18" s="16">
        <f>ROUND(COUNTIFS(Pessoas!$C$5:$C$44,$A18,Pessoas!$G$5:$G$44,"Ativo")-H9,1)</f>
        <v>0</v>
      </c>
      <c r="I18" s="16">
        <f>ROUND(COUNTIFS(Pessoas!$C$5:$C$44,$A18,Pessoas!$G$5:$G$44,"Ativo")-I9,1)</f>
        <v>0</v>
      </c>
      <c r="J18" s="16">
        <f>ROUND(COUNTIFS(Pessoas!$C$5:$C$44,$A18,Pessoas!$G$5:$G$44,"Ativo")-J9,1)</f>
        <v>0</v>
      </c>
      <c r="K18" s="16">
        <f>ROUND(COUNTIFS(Pessoas!$C$5:$C$44,$A18,Pessoas!$G$5:$G$44,"Ativo")-K9,1)</f>
        <v>0</v>
      </c>
      <c r="L18" s="16">
        <f>ROUND(COUNTIFS(Pessoas!$C$5:$C$44,$A18,Pessoas!$G$5:$G$44,"Ativo")-L9,1)</f>
        <v>0</v>
      </c>
      <c r="M18" s="16">
        <f>ROUND(COUNTIFS(Pessoas!$C$5:$C$44,$A18,Pessoas!$G$5:$G$44,"Ativo")-M9,1)</f>
        <v>0</v>
      </c>
      <c r="N18" s="16"/>
    </row>
    <row r="19" spans="1:14" ht="15" customHeight="1" x14ac:dyDescent="0.4">
      <c r="A19" s="15" t="s">
        <v>80</v>
      </c>
      <c r="B19" s="16">
        <f>ROUND(COUNTIFS(Pessoas!$C$5:$C$44,$A19,Pessoas!$G$5:$G$44,"Ativo")-B10,1)</f>
        <v>0</v>
      </c>
      <c r="C19" s="16">
        <f>ROUND(COUNTIFS(Pessoas!$C$5:$C$44,$A19,Pessoas!$G$5:$G$44,"Ativo")-C10,1)</f>
        <v>0</v>
      </c>
      <c r="D19" s="16">
        <f>ROUND(COUNTIFS(Pessoas!$C$5:$C$44,$A19,Pessoas!$G$5:$G$44,"Ativo")-D10,1)</f>
        <v>0</v>
      </c>
      <c r="E19" s="16">
        <f>ROUND(COUNTIFS(Pessoas!$C$5:$C$44,$A19,Pessoas!$G$5:$G$44,"Ativo")-E10,1)</f>
        <v>0</v>
      </c>
      <c r="F19" s="16">
        <f>ROUND(COUNTIFS(Pessoas!$C$5:$C$44,$A19,Pessoas!$G$5:$G$44,"Ativo")-F10,1)</f>
        <v>0</v>
      </c>
      <c r="G19" s="16">
        <f>ROUND(COUNTIFS(Pessoas!$C$5:$C$44,$A19,Pessoas!$G$5:$G$44,"Ativo")-G10,1)</f>
        <v>0</v>
      </c>
      <c r="H19" s="16">
        <f>ROUND(COUNTIFS(Pessoas!$C$5:$C$44,$A19,Pessoas!$G$5:$G$44,"Ativo")-H10,1)</f>
        <v>0</v>
      </c>
      <c r="I19" s="16">
        <f>ROUND(COUNTIFS(Pessoas!$C$5:$C$44,$A19,Pessoas!$G$5:$G$44,"Ativo")-I10,1)</f>
        <v>0</v>
      </c>
      <c r="J19" s="16">
        <f>ROUND(COUNTIFS(Pessoas!$C$5:$C$44,$A19,Pessoas!$G$5:$G$44,"Ativo")-J10,1)</f>
        <v>0</v>
      </c>
      <c r="K19" s="16">
        <f>ROUND(COUNTIFS(Pessoas!$C$5:$C$44,$A19,Pessoas!$G$5:$G$44,"Ativo")-K10,1)</f>
        <v>0</v>
      </c>
      <c r="L19" s="16">
        <f>ROUND(COUNTIFS(Pessoas!$C$5:$C$44,$A19,Pessoas!$G$5:$G$44,"Ativo")-L10,1)</f>
        <v>0</v>
      </c>
      <c r="M19" s="16">
        <f>ROUND(COUNTIFS(Pessoas!$C$5:$C$44,$A19,Pessoas!$G$5:$G$44,"Ativo")-M10,1)</f>
        <v>0</v>
      </c>
      <c r="N19" s="16"/>
    </row>
    <row r="21" spans="1:14" ht="15" customHeight="1" x14ac:dyDescent="0.4">
      <c r="A21" s="2" t="s">
        <v>1386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</sheetData>
  <mergeCells count="2">
    <mergeCell ref="A1:N1"/>
    <mergeCell ref="A21:N21"/>
  </mergeCells>
  <conditionalFormatting sqref="B14:M19">
    <cfRule type="expression" dxfId="5" priority="2">
      <formula>AND(ISNUMBER(B14),B14&lt;0)</formula>
    </cfRule>
    <cfRule type="expression" dxfId="4" priority="3">
      <formula>AND(ISNUMBER(B14),B14&lt;0.5)</formula>
    </cfRule>
    <cfRule type="expression" dxfId="3" priority="4">
      <formula>ISNUMBER(B14)</formula>
    </cfRule>
  </conditionalFormatting>
  <hyperlinks>
    <hyperlink ref="P1" r:id="rId1" location="Menu!A1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2"/>
  <sheetViews>
    <sheetView zoomScaleNormal="100" workbookViewId="0">
      <pane ySplit="4" topLeftCell="A5" activePane="bottomLeft" state="frozen"/>
      <selection pane="bottomLeft"/>
    </sheetView>
  </sheetViews>
  <sheetFormatPr defaultColWidth="8.69140625" defaultRowHeight="14.6" x14ac:dyDescent="0.4"/>
  <cols>
    <col min="1" max="1" width="19" customWidth="1"/>
    <col min="2" max="2" width="7" customWidth="1"/>
    <col min="3" max="4" width="18" customWidth="1"/>
    <col min="5" max="5" width="26" customWidth="1"/>
    <col min="6" max="6" width="13" customWidth="1"/>
    <col min="7" max="7" width="7" customWidth="1"/>
    <col min="8" max="8" width="12" customWidth="1"/>
  </cols>
  <sheetData>
    <row r="1" spans="1:10" ht="15.75" customHeight="1" x14ac:dyDescent="0.45">
      <c r="A1" s="3" t="s">
        <v>1387</v>
      </c>
      <c r="B1" s="3"/>
      <c r="C1" s="3"/>
      <c r="D1" s="3"/>
      <c r="E1" s="3"/>
      <c r="F1" s="3"/>
      <c r="G1" s="3"/>
      <c r="H1" s="3"/>
      <c r="J1" s="11" t="s">
        <v>47</v>
      </c>
    </row>
    <row r="2" spans="1:10" ht="20.25" customHeight="1" x14ac:dyDescent="0.4">
      <c r="A2" s="2" t="s">
        <v>1388</v>
      </c>
      <c r="B2" s="2"/>
      <c r="C2" s="2"/>
      <c r="D2" s="2"/>
      <c r="E2" s="2"/>
      <c r="F2" s="2"/>
      <c r="G2" s="2"/>
      <c r="H2" s="2"/>
    </row>
    <row r="4" spans="1:10" ht="23.25" customHeight="1" x14ac:dyDescent="0.4">
      <c r="A4" s="14" t="s">
        <v>128</v>
      </c>
      <c r="B4" s="14" t="s">
        <v>976</v>
      </c>
      <c r="C4" s="14" t="s">
        <v>1389</v>
      </c>
      <c r="D4" s="14" t="s">
        <v>1390</v>
      </c>
      <c r="E4" s="14" t="s">
        <v>1391</v>
      </c>
      <c r="F4" s="14" t="s">
        <v>1392</v>
      </c>
      <c r="G4" s="14" t="s">
        <v>853</v>
      </c>
      <c r="H4" s="14" t="s">
        <v>1393</v>
      </c>
    </row>
    <row r="5" spans="1:10" ht="15" customHeight="1" x14ac:dyDescent="0.4">
      <c r="A5" s="15" t="s">
        <v>138</v>
      </c>
      <c r="B5" s="22" t="s">
        <v>856</v>
      </c>
      <c r="C5" s="16">
        <f>ROUND(SUMIFS(Eventos!$F$4:$F$367,Eventos!$A$4:$A$367,$A5,Eventos!$D$4:$D$367,$B5),0)</f>
        <v>56</v>
      </c>
      <c r="D5" s="16">
        <f>ROUND(SUMIFS(Eventos!$F$4:$F$367,Eventos!$A$4:$A$367,$A5,Eventos!$D$4:$D$367,"S")+SUMIFS(Eventos!$F$4:$F$367,Eventos!$A$4:$A$367,$A5,Eventos!$D$4:$D$367,"A")+SUMIFS(Eventos!$F$4:$F$367,Eventos!$A$4:$A$367,$A5,Eventos!$D$4:$D$367,"B")+SUMIFS(Eventos!$F$4:$F$367,Eventos!$A$4:$A$367,$A5,Eventos!$D$4:$D$367,"C"),0)</f>
        <v>104</v>
      </c>
      <c r="E5" s="20"/>
      <c r="F5" s="20"/>
      <c r="G5" s="20"/>
      <c r="H5" s="16" t="str">
        <f t="shared" ref="H5:H32" si="0">IF(OR($E5="",$F5=""),"",ROUND($F5*$D5,1))</f>
        <v/>
      </c>
    </row>
    <row r="6" spans="1:10" ht="15" customHeight="1" x14ac:dyDescent="0.4">
      <c r="A6" s="15" t="s">
        <v>138</v>
      </c>
      <c r="B6" s="22" t="s">
        <v>861</v>
      </c>
      <c r="C6" s="16">
        <f>ROUND(SUMIFS(Eventos!$F$4:$F$367,Eventos!$A$4:$A$367,$A6,Eventos!$D$4:$D$367,$B6),0)</f>
        <v>24</v>
      </c>
      <c r="D6" s="16">
        <f>ROUND(SUMIFS(Eventos!$F$4:$F$367,Eventos!$A$4:$A$367,$A6,Eventos!$D$4:$D$367,"A")+SUMIFS(Eventos!$F$4:$F$367,Eventos!$A$4:$A$367,$A6,Eventos!$D$4:$D$367,"B")+SUMIFS(Eventos!$F$4:$F$367,Eventos!$A$4:$A$367,$A6,Eventos!$D$4:$D$367,"C"),0)</f>
        <v>48</v>
      </c>
      <c r="E6" s="20"/>
      <c r="F6" s="20"/>
      <c r="G6" s="20"/>
      <c r="H6" s="16" t="str">
        <f t="shared" si="0"/>
        <v/>
      </c>
    </row>
    <row r="7" spans="1:10" ht="15" customHeight="1" x14ac:dyDescent="0.4">
      <c r="A7" s="15" t="s">
        <v>138</v>
      </c>
      <c r="B7" s="22" t="s">
        <v>864</v>
      </c>
      <c r="C7" s="16">
        <f>ROUND(SUMIFS(Eventos!$F$4:$F$367,Eventos!$A$4:$A$367,$A7,Eventos!$D$4:$D$367,$B7),0)</f>
        <v>16</v>
      </c>
      <c r="D7" s="16">
        <f>ROUND(SUMIFS(Eventos!$F$4:$F$367,Eventos!$A$4:$A$367,$A7,Eventos!$D$4:$D$367,"B")+SUMIFS(Eventos!$F$4:$F$367,Eventos!$A$4:$A$367,$A7,Eventos!$D$4:$D$367,"C"),0)</f>
        <v>24</v>
      </c>
      <c r="E7" s="20"/>
      <c r="F7" s="20"/>
      <c r="G7" s="20"/>
      <c r="H7" s="16" t="str">
        <f t="shared" si="0"/>
        <v/>
      </c>
    </row>
    <row r="8" spans="1:10" ht="15" customHeight="1" x14ac:dyDescent="0.4">
      <c r="A8" s="15" t="s">
        <v>138</v>
      </c>
      <c r="B8" s="22" t="s">
        <v>867</v>
      </c>
      <c r="C8" s="16">
        <f>ROUND(SUMIFS(Eventos!$F$4:$F$367,Eventos!$A$4:$A$367,$A8,Eventos!$D$4:$D$367,$B8),0)</f>
        <v>8</v>
      </c>
      <c r="D8" s="16">
        <f>ROUND(SUMIFS(Eventos!$F$4:$F$367,Eventos!$A$4:$A$367,$A8,Eventos!$D$4:$D$367,"C"),0)</f>
        <v>8</v>
      </c>
      <c r="E8" s="20"/>
      <c r="F8" s="20"/>
      <c r="G8" s="20"/>
      <c r="H8" s="16" t="str">
        <f t="shared" si="0"/>
        <v/>
      </c>
    </row>
    <row r="9" spans="1:10" ht="15" customHeight="1" x14ac:dyDescent="0.4">
      <c r="A9" s="15" t="s">
        <v>140</v>
      </c>
      <c r="B9" s="22" t="s">
        <v>856</v>
      </c>
      <c r="C9" s="16">
        <f>ROUND(SUMIFS(Eventos!$F$4:$F$367,Eventos!$A$4:$A$367,$A9,Eventos!$D$4:$D$367,$B9),0)</f>
        <v>306</v>
      </c>
      <c r="D9" s="16">
        <f>ROUND(SUMIFS(Eventos!$F$4:$F$367,Eventos!$A$4:$A$367,$A9,Eventos!$D$4:$D$367,"S")+SUMIFS(Eventos!$F$4:$F$367,Eventos!$A$4:$A$367,$A9,Eventos!$D$4:$D$367,"A")+SUMIFS(Eventos!$F$4:$F$367,Eventos!$A$4:$A$367,$A9,Eventos!$D$4:$D$367,"B")+SUMIFS(Eventos!$F$4:$F$367,Eventos!$A$4:$A$367,$A9,Eventos!$D$4:$D$367,"C"),0)</f>
        <v>612</v>
      </c>
      <c r="E9" s="20"/>
      <c r="F9" s="20"/>
      <c r="G9" s="20"/>
      <c r="H9" s="16" t="str">
        <f t="shared" si="0"/>
        <v/>
      </c>
    </row>
    <row r="10" spans="1:10" ht="15" customHeight="1" x14ac:dyDescent="0.4">
      <c r="A10" s="15" t="s">
        <v>140</v>
      </c>
      <c r="B10" s="22" t="s">
        <v>861</v>
      </c>
      <c r="C10" s="16">
        <f>ROUND(SUMIFS(Eventos!$F$4:$F$367,Eventos!$A$4:$A$367,$A10,Eventos!$D$4:$D$367,$B10),0)</f>
        <v>204</v>
      </c>
      <c r="D10" s="16">
        <f>ROUND(SUMIFS(Eventos!$F$4:$F$367,Eventos!$A$4:$A$367,$A10,Eventos!$D$4:$D$367,"A")+SUMIFS(Eventos!$F$4:$F$367,Eventos!$A$4:$A$367,$A10,Eventos!$D$4:$D$367,"B")+SUMIFS(Eventos!$F$4:$F$367,Eventos!$A$4:$A$367,$A10,Eventos!$D$4:$D$367,"C"),0)</f>
        <v>306</v>
      </c>
      <c r="E10" s="20"/>
      <c r="F10" s="20"/>
      <c r="G10" s="20"/>
      <c r="H10" s="16" t="str">
        <f t="shared" si="0"/>
        <v/>
      </c>
    </row>
    <row r="11" spans="1:10" ht="15" customHeight="1" x14ac:dyDescent="0.4">
      <c r="A11" s="15" t="s">
        <v>140</v>
      </c>
      <c r="B11" s="22" t="s">
        <v>864</v>
      </c>
      <c r="C11" s="16">
        <f>ROUND(SUMIFS(Eventos!$F$4:$F$367,Eventos!$A$4:$A$367,$A11,Eventos!$D$4:$D$367,$B11),0)</f>
        <v>102</v>
      </c>
      <c r="D11" s="16">
        <f>ROUND(SUMIFS(Eventos!$F$4:$F$367,Eventos!$A$4:$A$367,$A11,Eventos!$D$4:$D$367,"B")+SUMIFS(Eventos!$F$4:$F$367,Eventos!$A$4:$A$367,$A11,Eventos!$D$4:$D$367,"C"),0)</f>
        <v>102</v>
      </c>
      <c r="E11" s="20"/>
      <c r="F11" s="20"/>
      <c r="G11" s="20"/>
      <c r="H11" s="16" t="str">
        <f t="shared" si="0"/>
        <v/>
      </c>
    </row>
    <row r="12" spans="1:10" ht="15" customHeight="1" x14ac:dyDescent="0.4">
      <c r="A12" s="15" t="s">
        <v>140</v>
      </c>
      <c r="B12" s="22" t="s">
        <v>867</v>
      </c>
      <c r="C12" s="16">
        <f>ROUND(SUMIFS(Eventos!$F$4:$F$367,Eventos!$A$4:$A$367,$A12,Eventos!$D$4:$D$367,$B12),0)</f>
        <v>0</v>
      </c>
      <c r="D12" s="16">
        <f>ROUND(SUMIFS(Eventos!$F$4:$F$367,Eventos!$A$4:$A$367,$A12,Eventos!$D$4:$D$367,"C"),0)</f>
        <v>0</v>
      </c>
      <c r="E12" s="20"/>
      <c r="F12" s="20"/>
      <c r="G12" s="20"/>
      <c r="H12" s="16" t="str">
        <f t="shared" si="0"/>
        <v/>
      </c>
    </row>
    <row r="13" spans="1:10" ht="15" customHeight="1" x14ac:dyDescent="0.4">
      <c r="A13" s="15" t="s">
        <v>141</v>
      </c>
      <c r="B13" s="22" t="s">
        <v>856</v>
      </c>
      <c r="C13" s="16">
        <f>ROUND(SUMIFS(Eventos!$F$4:$F$367,Eventos!$A$4:$A$367,$A13,Eventos!$D$4:$D$367,$B13),0)</f>
        <v>363</v>
      </c>
      <c r="D13" s="16">
        <f>ROUND(SUMIFS(Eventos!$F$4:$F$367,Eventos!$A$4:$A$367,$A13,Eventos!$D$4:$D$367,"S")+SUMIFS(Eventos!$F$4:$F$367,Eventos!$A$4:$A$367,$A13,Eventos!$D$4:$D$367,"A")+SUMIFS(Eventos!$F$4:$F$367,Eventos!$A$4:$A$367,$A13,Eventos!$D$4:$D$367,"B")+SUMIFS(Eventos!$F$4:$F$367,Eventos!$A$4:$A$367,$A13,Eventos!$D$4:$D$367,"C"),0)</f>
        <v>605</v>
      </c>
      <c r="E13" s="20"/>
      <c r="F13" s="20"/>
      <c r="G13" s="20"/>
      <c r="H13" s="16" t="str">
        <f t="shared" si="0"/>
        <v/>
      </c>
    </row>
    <row r="14" spans="1:10" ht="15" customHeight="1" x14ac:dyDescent="0.4">
      <c r="A14" s="15" t="s">
        <v>141</v>
      </c>
      <c r="B14" s="22" t="s">
        <v>861</v>
      </c>
      <c r="C14" s="16">
        <f>ROUND(SUMIFS(Eventos!$F$4:$F$367,Eventos!$A$4:$A$367,$A14,Eventos!$D$4:$D$367,$B14),0)</f>
        <v>121</v>
      </c>
      <c r="D14" s="16">
        <f>ROUND(SUMIFS(Eventos!$F$4:$F$367,Eventos!$A$4:$A$367,$A14,Eventos!$D$4:$D$367,"A")+SUMIFS(Eventos!$F$4:$F$367,Eventos!$A$4:$A$367,$A14,Eventos!$D$4:$D$367,"B")+SUMIFS(Eventos!$F$4:$F$367,Eventos!$A$4:$A$367,$A14,Eventos!$D$4:$D$367,"C"),0)</f>
        <v>242</v>
      </c>
      <c r="E14" s="20"/>
      <c r="F14" s="20"/>
      <c r="G14" s="20"/>
      <c r="H14" s="16" t="str">
        <f t="shared" si="0"/>
        <v/>
      </c>
    </row>
    <row r="15" spans="1:10" ht="15" customHeight="1" x14ac:dyDescent="0.4">
      <c r="A15" s="15" t="s">
        <v>141</v>
      </c>
      <c r="B15" s="22" t="s">
        <v>864</v>
      </c>
      <c r="C15" s="16">
        <f>ROUND(SUMIFS(Eventos!$F$4:$F$367,Eventos!$A$4:$A$367,$A15,Eventos!$D$4:$D$367,$B15),0)</f>
        <v>121</v>
      </c>
      <c r="D15" s="16">
        <f>ROUND(SUMIFS(Eventos!$F$4:$F$367,Eventos!$A$4:$A$367,$A15,Eventos!$D$4:$D$367,"B")+SUMIFS(Eventos!$F$4:$F$367,Eventos!$A$4:$A$367,$A15,Eventos!$D$4:$D$367,"C"),0)</f>
        <v>121</v>
      </c>
      <c r="E15" s="20"/>
      <c r="F15" s="20"/>
      <c r="G15" s="20"/>
      <c r="H15" s="16" t="str">
        <f t="shared" si="0"/>
        <v/>
      </c>
    </row>
    <row r="16" spans="1:10" ht="15" customHeight="1" x14ac:dyDescent="0.4">
      <c r="A16" s="15" t="s">
        <v>141</v>
      </c>
      <c r="B16" s="22" t="s">
        <v>867</v>
      </c>
      <c r="C16" s="16">
        <f>ROUND(SUMIFS(Eventos!$F$4:$F$367,Eventos!$A$4:$A$367,$A16,Eventos!$D$4:$D$367,$B16),0)</f>
        <v>0</v>
      </c>
      <c r="D16" s="16">
        <f>ROUND(SUMIFS(Eventos!$F$4:$F$367,Eventos!$A$4:$A$367,$A16,Eventos!$D$4:$D$367,"C"),0)</f>
        <v>0</v>
      </c>
      <c r="E16" s="20"/>
      <c r="F16" s="20"/>
      <c r="G16" s="20"/>
      <c r="H16" s="16" t="str">
        <f t="shared" si="0"/>
        <v/>
      </c>
    </row>
    <row r="17" spans="1:8" ht="15" customHeight="1" x14ac:dyDescent="0.4">
      <c r="A17" s="15" t="s">
        <v>143</v>
      </c>
      <c r="B17" s="22" t="s">
        <v>856</v>
      </c>
      <c r="C17" s="16">
        <f>ROUND(SUMIFS(Eventos!$F$4:$F$367,Eventos!$A$4:$A$367,$A17,Eventos!$D$4:$D$367,$B17),0)</f>
        <v>219</v>
      </c>
      <c r="D17" s="16">
        <f>ROUND(SUMIFS(Eventos!$F$4:$F$367,Eventos!$A$4:$A$367,$A17,Eventos!$D$4:$D$367,"S")+SUMIFS(Eventos!$F$4:$F$367,Eventos!$A$4:$A$367,$A17,Eventos!$D$4:$D$367,"A")+SUMIFS(Eventos!$F$4:$F$367,Eventos!$A$4:$A$367,$A17,Eventos!$D$4:$D$367,"B")+SUMIFS(Eventos!$F$4:$F$367,Eventos!$A$4:$A$367,$A17,Eventos!$D$4:$D$367,"C"),0)</f>
        <v>438</v>
      </c>
      <c r="E17" s="20"/>
      <c r="F17" s="20"/>
      <c r="G17" s="20"/>
      <c r="H17" s="16" t="str">
        <f t="shared" si="0"/>
        <v/>
      </c>
    </row>
    <row r="18" spans="1:8" ht="15" customHeight="1" x14ac:dyDescent="0.4">
      <c r="A18" s="15" t="s">
        <v>143</v>
      </c>
      <c r="B18" s="22" t="s">
        <v>861</v>
      </c>
      <c r="C18" s="16">
        <f>ROUND(SUMIFS(Eventos!$F$4:$F$367,Eventos!$A$4:$A$367,$A18,Eventos!$D$4:$D$367,$B18),0)</f>
        <v>146</v>
      </c>
      <c r="D18" s="16">
        <f>ROUND(SUMIFS(Eventos!$F$4:$F$367,Eventos!$A$4:$A$367,$A18,Eventos!$D$4:$D$367,"A")+SUMIFS(Eventos!$F$4:$F$367,Eventos!$A$4:$A$367,$A18,Eventos!$D$4:$D$367,"B")+SUMIFS(Eventos!$F$4:$F$367,Eventos!$A$4:$A$367,$A18,Eventos!$D$4:$D$367,"C"),0)</f>
        <v>219</v>
      </c>
      <c r="E18" s="20"/>
      <c r="F18" s="20"/>
      <c r="G18" s="20"/>
      <c r="H18" s="16" t="str">
        <f t="shared" si="0"/>
        <v/>
      </c>
    </row>
    <row r="19" spans="1:8" ht="15" customHeight="1" x14ac:dyDescent="0.4">
      <c r="A19" s="15" t="s">
        <v>143</v>
      </c>
      <c r="B19" s="22" t="s">
        <v>864</v>
      </c>
      <c r="C19" s="16">
        <f>ROUND(SUMIFS(Eventos!$F$4:$F$367,Eventos!$A$4:$A$367,$A19,Eventos!$D$4:$D$367,$B19),0)</f>
        <v>73</v>
      </c>
      <c r="D19" s="16">
        <f>ROUND(SUMIFS(Eventos!$F$4:$F$367,Eventos!$A$4:$A$367,$A19,Eventos!$D$4:$D$367,"B")+SUMIFS(Eventos!$F$4:$F$367,Eventos!$A$4:$A$367,$A19,Eventos!$D$4:$D$367,"C"),0)</f>
        <v>73</v>
      </c>
      <c r="E19" s="20"/>
      <c r="F19" s="20"/>
      <c r="G19" s="20"/>
      <c r="H19" s="16" t="str">
        <f t="shared" si="0"/>
        <v/>
      </c>
    </row>
    <row r="20" spans="1:8" ht="15" customHeight="1" x14ac:dyDescent="0.4">
      <c r="A20" s="15" t="s">
        <v>143</v>
      </c>
      <c r="B20" s="22" t="s">
        <v>867</v>
      </c>
      <c r="C20" s="16">
        <f>ROUND(SUMIFS(Eventos!$F$4:$F$367,Eventos!$A$4:$A$367,$A20,Eventos!$D$4:$D$367,$B20),0)</f>
        <v>0</v>
      </c>
      <c r="D20" s="16">
        <f>ROUND(SUMIFS(Eventos!$F$4:$F$367,Eventos!$A$4:$A$367,$A20,Eventos!$D$4:$D$367,"C"),0)</f>
        <v>0</v>
      </c>
      <c r="E20" s="20"/>
      <c r="F20" s="20"/>
      <c r="G20" s="20"/>
      <c r="H20" s="16" t="str">
        <f t="shared" si="0"/>
        <v/>
      </c>
    </row>
    <row r="21" spans="1:8" ht="15" customHeight="1" x14ac:dyDescent="0.4">
      <c r="A21" s="15" t="s">
        <v>144</v>
      </c>
      <c r="B21" s="22" t="s">
        <v>856</v>
      </c>
      <c r="C21" s="16">
        <f>ROUND(SUMIFS(Eventos!$F$4:$F$367,Eventos!$A$4:$A$367,$A21,Eventos!$D$4:$D$367,$B21),0)</f>
        <v>100</v>
      </c>
      <c r="D21" s="16">
        <f>ROUND(SUMIFS(Eventos!$F$4:$F$367,Eventos!$A$4:$A$367,$A21,Eventos!$D$4:$D$367,"S")+SUMIFS(Eventos!$F$4:$F$367,Eventos!$A$4:$A$367,$A21,Eventos!$D$4:$D$367,"A")+SUMIFS(Eventos!$F$4:$F$367,Eventos!$A$4:$A$367,$A21,Eventos!$D$4:$D$367,"B")+SUMIFS(Eventos!$F$4:$F$367,Eventos!$A$4:$A$367,$A21,Eventos!$D$4:$D$367,"C"),0)</f>
        <v>150</v>
      </c>
      <c r="E21" s="20"/>
      <c r="F21" s="20"/>
      <c r="G21" s="20"/>
      <c r="H21" s="16" t="str">
        <f t="shared" si="0"/>
        <v/>
      </c>
    </row>
    <row r="22" spans="1:8" ht="15" customHeight="1" x14ac:dyDescent="0.4">
      <c r="A22" s="15" t="s">
        <v>144</v>
      </c>
      <c r="B22" s="22" t="s">
        <v>861</v>
      </c>
      <c r="C22" s="16">
        <f>ROUND(SUMIFS(Eventos!$F$4:$F$367,Eventos!$A$4:$A$367,$A22,Eventos!$D$4:$D$367,$B22),0)</f>
        <v>50</v>
      </c>
      <c r="D22" s="16">
        <f>ROUND(SUMIFS(Eventos!$F$4:$F$367,Eventos!$A$4:$A$367,$A22,Eventos!$D$4:$D$367,"A")+SUMIFS(Eventos!$F$4:$F$367,Eventos!$A$4:$A$367,$A22,Eventos!$D$4:$D$367,"B")+SUMIFS(Eventos!$F$4:$F$367,Eventos!$A$4:$A$367,$A22,Eventos!$D$4:$D$367,"C"),0)</f>
        <v>50</v>
      </c>
      <c r="E22" s="20"/>
      <c r="F22" s="20"/>
      <c r="G22" s="20"/>
      <c r="H22" s="16" t="str">
        <f t="shared" si="0"/>
        <v/>
      </c>
    </row>
    <row r="23" spans="1:8" ht="15" customHeight="1" x14ac:dyDescent="0.4">
      <c r="A23" s="15" t="s">
        <v>144</v>
      </c>
      <c r="B23" s="22" t="s">
        <v>864</v>
      </c>
      <c r="C23" s="16">
        <f>ROUND(SUMIFS(Eventos!$F$4:$F$367,Eventos!$A$4:$A$367,$A23,Eventos!$D$4:$D$367,$B23),0)</f>
        <v>0</v>
      </c>
      <c r="D23" s="16">
        <f>ROUND(SUMIFS(Eventos!$F$4:$F$367,Eventos!$A$4:$A$367,$A23,Eventos!$D$4:$D$367,"B")+SUMIFS(Eventos!$F$4:$F$367,Eventos!$A$4:$A$367,$A23,Eventos!$D$4:$D$367,"C"),0)</f>
        <v>0</v>
      </c>
      <c r="E23" s="20"/>
      <c r="F23" s="20"/>
      <c r="G23" s="20"/>
      <c r="H23" s="16" t="str">
        <f t="shared" si="0"/>
        <v/>
      </c>
    </row>
    <row r="24" spans="1:8" ht="15" customHeight="1" x14ac:dyDescent="0.4">
      <c r="A24" s="15" t="s">
        <v>144</v>
      </c>
      <c r="B24" s="22" t="s">
        <v>867</v>
      </c>
      <c r="C24" s="16">
        <f>ROUND(SUMIFS(Eventos!$F$4:$F$367,Eventos!$A$4:$A$367,$A24,Eventos!$D$4:$D$367,$B24),0)</f>
        <v>0</v>
      </c>
      <c r="D24" s="16">
        <f>ROUND(SUMIFS(Eventos!$F$4:$F$367,Eventos!$A$4:$A$367,$A24,Eventos!$D$4:$D$367,"C"),0)</f>
        <v>0</v>
      </c>
      <c r="E24" s="20"/>
      <c r="F24" s="20"/>
      <c r="G24" s="20"/>
      <c r="H24" s="16" t="str">
        <f t="shared" si="0"/>
        <v/>
      </c>
    </row>
    <row r="25" spans="1:8" ht="15" customHeight="1" x14ac:dyDescent="0.4">
      <c r="A25" s="15" t="s">
        <v>145</v>
      </c>
      <c r="B25" s="22" t="s">
        <v>856</v>
      </c>
      <c r="C25" s="16">
        <f>ROUND(SUMIFS(Eventos!$F$4:$F$367,Eventos!$A$4:$A$367,$A25,Eventos!$D$4:$D$367,$B25),0)</f>
        <v>60</v>
      </c>
      <c r="D25" s="16">
        <f>ROUND(SUMIFS(Eventos!$F$4:$F$367,Eventos!$A$4:$A$367,$A25,Eventos!$D$4:$D$367,"S")+SUMIFS(Eventos!$F$4:$F$367,Eventos!$A$4:$A$367,$A25,Eventos!$D$4:$D$367,"A")+SUMIFS(Eventos!$F$4:$F$367,Eventos!$A$4:$A$367,$A25,Eventos!$D$4:$D$367,"B")+SUMIFS(Eventos!$F$4:$F$367,Eventos!$A$4:$A$367,$A25,Eventos!$D$4:$D$367,"C"),0)</f>
        <v>120</v>
      </c>
      <c r="E25" s="20"/>
      <c r="F25" s="20"/>
      <c r="G25" s="20"/>
      <c r="H25" s="16" t="str">
        <f t="shared" si="0"/>
        <v/>
      </c>
    </row>
    <row r="26" spans="1:8" ht="15" customHeight="1" x14ac:dyDescent="0.4">
      <c r="A26" s="15" t="s">
        <v>145</v>
      </c>
      <c r="B26" s="22" t="s">
        <v>861</v>
      </c>
      <c r="C26" s="16">
        <f>ROUND(SUMIFS(Eventos!$F$4:$F$367,Eventos!$A$4:$A$367,$A26,Eventos!$D$4:$D$367,$B26),0)</f>
        <v>60</v>
      </c>
      <c r="D26" s="16">
        <f>ROUND(SUMIFS(Eventos!$F$4:$F$367,Eventos!$A$4:$A$367,$A26,Eventos!$D$4:$D$367,"A")+SUMIFS(Eventos!$F$4:$F$367,Eventos!$A$4:$A$367,$A26,Eventos!$D$4:$D$367,"B")+SUMIFS(Eventos!$F$4:$F$367,Eventos!$A$4:$A$367,$A26,Eventos!$D$4:$D$367,"C"),0)</f>
        <v>60</v>
      </c>
      <c r="E26" s="20"/>
      <c r="F26" s="20"/>
      <c r="G26" s="20"/>
      <c r="H26" s="16" t="str">
        <f t="shared" si="0"/>
        <v/>
      </c>
    </row>
    <row r="27" spans="1:8" ht="15" customHeight="1" x14ac:dyDescent="0.4">
      <c r="A27" s="15" t="s">
        <v>145</v>
      </c>
      <c r="B27" s="22" t="s">
        <v>864</v>
      </c>
      <c r="C27" s="16">
        <f>ROUND(SUMIFS(Eventos!$F$4:$F$367,Eventos!$A$4:$A$367,$A27,Eventos!$D$4:$D$367,$B27),0)</f>
        <v>0</v>
      </c>
      <c r="D27" s="16">
        <f>ROUND(SUMIFS(Eventos!$F$4:$F$367,Eventos!$A$4:$A$367,$A27,Eventos!$D$4:$D$367,"B")+SUMIFS(Eventos!$F$4:$F$367,Eventos!$A$4:$A$367,$A27,Eventos!$D$4:$D$367,"C"),0)</f>
        <v>0</v>
      </c>
      <c r="E27" s="20"/>
      <c r="F27" s="20"/>
      <c r="G27" s="20"/>
      <c r="H27" s="16" t="str">
        <f t="shared" si="0"/>
        <v/>
      </c>
    </row>
    <row r="28" spans="1:8" ht="15" customHeight="1" x14ac:dyDescent="0.4">
      <c r="A28" s="15" t="s">
        <v>145</v>
      </c>
      <c r="B28" s="22" t="s">
        <v>867</v>
      </c>
      <c r="C28" s="16">
        <f>ROUND(SUMIFS(Eventos!$F$4:$F$367,Eventos!$A$4:$A$367,$A28,Eventos!$D$4:$D$367,$B28),0)</f>
        <v>0</v>
      </c>
      <c r="D28" s="16">
        <f>ROUND(SUMIFS(Eventos!$F$4:$F$367,Eventos!$A$4:$A$367,$A28,Eventos!$D$4:$D$367,"C"),0)</f>
        <v>0</v>
      </c>
      <c r="E28" s="20"/>
      <c r="F28" s="20"/>
      <c r="G28" s="20"/>
      <c r="H28" s="16" t="str">
        <f t="shared" si="0"/>
        <v/>
      </c>
    </row>
    <row r="29" spans="1:8" ht="15" customHeight="1" x14ac:dyDescent="0.4">
      <c r="A29" s="15" t="s">
        <v>146</v>
      </c>
      <c r="B29" s="22" t="s">
        <v>856</v>
      </c>
      <c r="C29" s="16">
        <f>ROUND(SUMIFS(Eventos!$F$4:$F$367,Eventos!$A$4:$A$367,$A29,Eventos!$D$4:$D$367,$B29),0)</f>
        <v>36</v>
      </c>
      <c r="D29" s="16">
        <f>ROUND(SUMIFS(Eventos!$F$4:$F$367,Eventos!$A$4:$A$367,$A29,Eventos!$D$4:$D$367,"S")+SUMIFS(Eventos!$F$4:$F$367,Eventos!$A$4:$A$367,$A29,Eventos!$D$4:$D$367,"A")+SUMIFS(Eventos!$F$4:$F$367,Eventos!$A$4:$A$367,$A29,Eventos!$D$4:$D$367,"B")+SUMIFS(Eventos!$F$4:$F$367,Eventos!$A$4:$A$367,$A29,Eventos!$D$4:$D$367,"C"),0)</f>
        <v>72</v>
      </c>
      <c r="E29" s="20"/>
      <c r="F29" s="20"/>
      <c r="G29" s="20"/>
      <c r="H29" s="16" t="str">
        <f t="shared" si="0"/>
        <v/>
      </c>
    </row>
    <row r="30" spans="1:8" ht="15" customHeight="1" x14ac:dyDescent="0.4">
      <c r="A30" s="15" t="s">
        <v>146</v>
      </c>
      <c r="B30" s="22" t="s">
        <v>861</v>
      </c>
      <c r="C30" s="16">
        <f>ROUND(SUMIFS(Eventos!$F$4:$F$367,Eventos!$A$4:$A$367,$A30,Eventos!$D$4:$D$367,$B30),0)</f>
        <v>36</v>
      </c>
      <c r="D30" s="16">
        <f>ROUND(SUMIFS(Eventos!$F$4:$F$367,Eventos!$A$4:$A$367,$A30,Eventos!$D$4:$D$367,"A")+SUMIFS(Eventos!$F$4:$F$367,Eventos!$A$4:$A$367,$A30,Eventos!$D$4:$D$367,"B")+SUMIFS(Eventos!$F$4:$F$367,Eventos!$A$4:$A$367,$A30,Eventos!$D$4:$D$367,"C"),0)</f>
        <v>36</v>
      </c>
      <c r="E30" s="20"/>
      <c r="F30" s="20"/>
      <c r="G30" s="20"/>
      <c r="H30" s="16" t="str">
        <f t="shared" si="0"/>
        <v/>
      </c>
    </row>
    <row r="31" spans="1:8" ht="15" customHeight="1" x14ac:dyDescent="0.4">
      <c r="A31" s="15" t="s">
        <v>146</v>
      </c>
      <c r="B31" s="22" t="s">
        <v>864</v>
      </c>
      <c r="C31" s="16">
        <f>ROUND(SUMIFS(Eventos!$F$4:$F$367,Eventos!$A$4:$A$367,$A31,Eventos!$D$4:$D$367,$B31),0)</f>
        <v>0</v>
      </c>
      <c r="D31" s="16">
        <f>ROUND(SUMIFS(Eventos!$F$4:$F$367,Eventos!$A$4:$A$367,$A31,Eventos!$D$4:$D$367,"B")+SUMIFS(Eventos!$F$4:$F$367,Eventos!$A$4:$A$367,$A31,Eventos!$D$4:$D$367,"C"),0)</f>
        <v>0</v>
      </c>
      <c r="E31" s="20"/>
      <c r="F31" s="20"/>
      <c r="G31" s="20"/>
      <c r="H31" s="16" t="str">
        <f t="shared" si="0"/>
        <v/>
      </c>
    </row>
    <row r="32" spans="1:8" ht="15" customHeight="1" x14ac:dyDescent="0.4">
      <c r="A32" s="15" t="s">
        <v>146</v>
      </c>
      <c r="B32" s="22" t="s">
        <v>867</v>
      </c>
      <c r="C32" s="16">
        <f>ROUND(SUMIFS(Eventos!$F$4:$F$367,Eventos!$A$4:$A$367,$A32,Eventos!$D$4:$D$367,$B32),0)</f>
        <v>0</v>
      </c>
      <c r="D32" s="16">
        <f>ROUND(SUMIFS(Eventos!$F$4:$F$367,Eventos!$A$4:$A$367,$A32,Eventos!$D$4:$D$367,"C"),0)</f>
        <v>0</v>
      </c>
      <c r="E32" s="20"/>
      <c r="F32" s="20"/>
      <c r="G32" s="20"/>
      <c r="H32" s="16" t="str">
        <f t="shared" si="0"/>
        <v/>
      </c>
    </row>
  </sheetData>
  <autoFilter ref="A4:H32" xr:uid="{00000000-0009-0000-0000-00000F000000}"/>
  <mergeCells count="2">
    <mergeCell ref="A1:H1"/>
    <mergeCell ref="A2:H2"/>
  </mergeCells>
  <hyperlinks>
    <hyperlink ref="J1" r:id="rId1" location="Menu!A1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3"/>
  <sheetViews>
    <sheetView zoomScaleNormal="100" workbookViewId="0"/>
  </sheetViews>
  <sheetFormatPr defaultColWidth="8.69140625" defaultRowHeight="14.6" x14ac:dyDescent="0.4"/>
  <cols>
    <col min="1" max="1" width="30" customWidth="1"/>
    <col min="2" max="13" width="9" customWidth="1"/>
    <col min="14" max="14" width="12" customWidth="1"/>
  </cols>
  <sheetData>
    <row r="1" spans="1:16" ht="15.75" customHeight="1" x14ac:dyDescent="0.45">
      <c r="A1" s="3" t="s">
        <v>1394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11" t="s">
        <v>47</v>
      </c>
    </row>
    <row r="4" spans="1:16" ht="15" customHeight="1" x14ac:dyDescent="0.4">
      <c r="A4" s="14" t="s">
        <v>1395</v>
      </c>
      <c r="B4" s="14" t="s">
        <v>83</v>
      </c>
      <c r="C4" s="14" t="s">
        <v>84</v>
      </c>
      <c r="D4" s="14" t="s">
        <v>85</v>
      </c>
      <c r="E4" s="14" t="s">
        <v>86</v>
      </c>
      <c r="F4" s="14" t="s">
        <v>87</v>
      </c>
      <c r="G4" s="14" t="s">
        <v>88</v>
      </c>
      <c r="H4" s="14" t="s">
        <v>89</v>
      </c>
      <c r="I4" s="14" t="s">
        <v>90</v>
      </c>
      <c r="J4" s="14" t="s">
        <v>91</v>
      </c>
      <c r="K4" s="14" t="s">
        <v>92</v>
      </c>
      <c r="L4" s="14" t="s">
        <v>93</v>
      </c>
      <c r="M4" s="14" t="s">
        <v>94</v>
      </c>
      <c r="N4" s="14" t="s">
        <v>1376</v>
      </c>
    </row>
    <row r="5" spans="1:16" ht="15" customHeight="1" x14ac:dyDescent="0.4">
      <c r="A5" s="15" t="s">
        <v>76</v>
      </c>
      <c r="B5" s="16">
        <f>ROUND(MAX(0,Plan_Prev!B4*(Premissas!$C$5/MAX(0.01,Premissas!$B$5))*Premissas!$C$23),1)</f>
        <v>2350</v>
      </c>
      <c r="C5" s="16">
        <f>ROUND(MAX(0,Plan_Prev!C4*(Premissas!$C$5/MAX(0.01,Premissas!$B$5))*Premissas!$C$24),1)</f>
        <v>4699.5</v>
      </c>
      <c r="D5" s="16">
        <f>ROUND(MAX(0,Plan_Prev!D4*(Premissas!$C$5/MAX(0.01,Premissas!$B$5))*Premissas!$C$25),1)</f>
        <v>4116</v>
      </c>
      <c r="E5" s="16">
        <f>ROUND(MAX(0,Plan_Prev!E4*(Premissas!$C$5/MAX(0.01,Premissas!$B$5))*Premissas!$C$26),1)</f>
        <v>495</v>
      </c>
      <c r="F5" s="16">
        <f>ROUND(MAX(0,Plan_Prev!F4*(Premissas!$C$5/MAX(0.01,Premissas!$B$5))*Premissas!$C$27),1)</f>
        <v>69.400000000000006</v>
      </c>
      <c r="G5" s="16">
        <f>ROUND(MAX(0,Plan_Prev!G4*(Premissas!$C$5/MAX(0.01,Premissas!$B$5))*Premissas!$C$28),1)</f>
        <v>572.6</v>
      </c>
      <c r="H5" s="16">
        <f>ROUND(MAX(0,Plan_Prev!H4*(Premissas!$C$5/MAX(0.01,Premissas!$B$5))*Premissas!$C$29),1)</f>
        <v>117.1</v>
      </c>
      <c r="I5" s="16">
        <f>ROUND(MAX(0,Plan_Prev!I4*(Premissas!$C$5/MAX(0.01,Premissas!$B$5))*Premissas!$C$30),1)</f>
        <v>1447.4</v>
      </c>
      <c r="J5" s="16">
        <f>ROUND(MAX(0,Plan_Prev!J4*(Premissas!$C$5/MAX(0.01,Premissas!$B$5))*Premissas!$C$31),1)</f>
        <v>308.60000000000002</v>
      </c>
      <c r="K5" s="16">
        <f>ROUND(MAX(0,Plan_Prev!K4*(Premissas!$C$5/MAX(0.01,Premissas!$B$5))*Premissas!$C$32),1)</f>
        <v>2667.4</v>
      </c>
      <c r="L5" s="16">
        <f>ROUND(MAX(0,Plan_Prev!L4*(Premissas!$C$5/MAX(0.01,Premissas!$B$5))*Premissas!$C$33),1)</f>
        <v>3439.8</v>
      </c>
      <c r="M5" s="16">
        <f>ROUND(MAX(0,Plan_Prev!M4*(Premissas!$C$5/MAX(0.01,Premissas!$B$5))*Premissas!$C$34),1)</f>
        <v>3048.9</v>
      </c>
      <c r="N5" s="19">
        <f t="shared" ref="N5:N10" si="0">ROUND(SUM(B5:M5),1)</f>
        <v>23331.7</v>
      </c>
    </row>
    <row r="6" spans="1:16" ht="15" customHeight="1" x14ac:dyDescent="0.4">
      <c r="A6" s="15" t="s">
        <v>75</v>
      </c>
      <c r="B6" s="16">
        <f>ROUND(MAX(0,Plan_Prev!B5*(Premissas!$C$6/MAX(0.01,Premissas!$B$6))*Premissas!$C$23),1)</f>
        <v>0</v>
      </c>
      <c r="C6" s="16">
        <f>ROUND(MAX(0,Plan_Prev!C5*(Premissas!$C$6/MAX(0.01,Premissas!$B$6))*Premissas!$C$24),1)</f>
        <v>0</v>
      </c>
      <c r="D6" s="16">
        <f>ROUND(MAX(0,Plan_Prev!D5*(Premissas!$C$6/MAX(0.01,Premissas!$B$6))*Premissas!$C$25),1)</f>
        <v>0</v>
      </c>
      <c r="E6" s="16">
        <f>ROUND(MAX(0,Plan_Prev!E5*(Premissas!$C$6/MAX(0.01,Premissas!$B$6))*Premissas!$C$26),1)</f>
        <v>0</v>
      </c>
      <c r="F6" s="16">
        <f>ROUND(MAX(0,Plan_Prev!F5*(Premissas!$C$6/MAX(0.01,Premissas!$B$6))*Premissas!$C$27),1)</f>
        <v>0</v>
      </c>
      <c r="G6" s="16">
        <f>ROUND(MAX(0,Plan_Prev!G5*(Premissas!$C$6/MAX(0.01,Premissas!$B$6))*Premissas!$C$28),1)</f>
        <v>0</v>
      </c>
      <c r="H6" s="16">
        <f>ROUND(MAX(0,Plan_Prev!H5*(Premissas!$C$6/MAX(0.01,Premissas!$B$6))*Premissas!$C$29),1)</f>
        <v>0</v>
      </c>
      <c r="I6" s="16">
        <f>ROUND(MAX(0,Plan_Prev!I5*(Premissas!$C$6/MAX(0.01,Premissas!$B$6))*Premissas!$C$30),1)</f>
        <v>0</v>
      </c>
      <c r="J6" s="16">
        <f>ROUND(MAX(0,Plan_Prev!J5*(Premissas!$C$6/MAX(0.01,Premissas!$B$6))*Premissas!$C$31),1)</f>
        <v>0</v>
      </c>
      <c r="K6" s="16">
        <f>ROUND(MAX(0,Plan_Prev!K5*(Premissas!$C$6/MAX(0.01,Premissas!$B$6))*Premissas!$C$32),1)</f>
        <v>0</v>
      </c>
      <c r="L6" s="16">
        <f>ROUND(MAX(0,Plan_Prev!L5*(Premissas!$C$6/MAX(0.01,Premissas!$B$6))*Premissas!$C$33),1)</f>
        <v>0</v>
      </c>
      <c r="M6" s="16">
        <f>ROUND(MAX(0,Plan_Prev!M5*(Premissas!$C$6/MAX(0.01,Premissas!$B$6))*Premissas!$C$34),1)</f>
        <v>0</v>
      </c>
      <c r="N6" s="19">
        <f t="shared" si="0"/>
        <v>0</v>
      </c>
    </row>
    <row r="7" spans="1:16" ht="15" customHeight="1" x14ac:dyDescent="0.4">
      <c r="A7" s="15" t="s">
        <v>77</v>
      </c>
      <c r="B7" s="16">
        <f>ROUND(MAX(0,Plan_Prev!B6*(Premissas!$C$7/MAX(0.01,Premissas!$B$7))*Premissas!$C$23),1)</f>
        <v>0</v>
      </c>
      <c r="C7" s="16">
        <f>ROUND(MAX(0,Plan_Prev!C6*(Premissas!$C$7/MAX(0.01,Premissas!$B$7))*Premissas!$C$24),1)</f>
        <v>0</v>
      </c>
      <c r="D7" s="16">
        <f>ROUND(MAX(0,Plan_Prev!D6*(Premissas!$C$7/MAX(0.01,Premissas!$B$7))*Premissas!$C$25),1)</f>
        <v>0</v>
      </c>
      <c r="E7" s="16">
        <f>ROUND(MAX(0,Plan_Prev!E6*(Premissas!$C$7/MAX(0.01,Premissas!$B$7))*Premissas!$C$26),1)</f>
        <v>0</v>
      </c>
      <c r="F7" s="16">
        <f>ROUND(MAX(0,Plan_Prev!F6*(Premissas!$C$7/MAX(0.01,Premissas!$B$7))*Premissas!$C$27),1)</f>
        <v>0</v>
      </c>
      <c r="G7" s="16">
        <f>ROUND(MAX(0,Plan_Prev!G6*(Premissas!$C$7/MAX(0.01,Premissas!$B$7))*Premissas!$C$28),1)</f>
        <v>0</v>
      </c>
      <c r="H7" s="16">
        <f>ROUND(MAX(0,Plan_Prev!H6*(Premissas!$C$7/MAX(0.01,Premissas!$B$7))*Premissas!$C$29),1)</f>
        <v>0</v>
      </c>
      <c r="I7" s="16">
        <f>ROUND(MAX(0,Plan_Prev!I6*(Premissas!$C$7/MAX(0.01,Premissas!$B$7))*Premissas!$C$30),1)</f>
        <v>0</v>
      </c>
      <c r="J7" s="16">
        <f>ROUND(MAX(0,Plan_Prev!J6*(Premissas!$C$7/MAX(0.01,Premissas!$B$7))*Premissas!$C$31),1)</f>
        <v>0</v>
      </c>
      <c r="K7" s="16">
        <f>ROUND(MAX(0,Plan_Prev!K6*(Premissas!$C$7/MAX(0.01,Premissas!$B$7))*Premissas!$C$32),1)</f>
        <v>0</v>
      </c>
      <c r="L7" s="16">
        <f>ROUND(MAX(0,Plan_Prev!L6*(Premissas!$C$7/MAX(0.01,Premissas!$B$7))*Premissas!$C$33),1)</f>
        <v>0</v>
      </c>
      <c r="M7" s="16">
        <f>ROUND(MAX(0,Plan_Prev!M6*(Premissas!$C$7/MAX(0.01,Premissas!$B$7))*Premissas!$C$34),1)</f>
        <v>0</v>
      </c>
      <c r="N7" s="19">
        <f t="shared" si="0"/>
        <v>0</v>
      </c>
    </row>
    <row r="8" spans="1:16" ht="15" customHeight="1" x14ac:dyDescent="0.4">
      <c r="A8" s="15" t="s">
        <v>78</v>
      </c>
      <c r="B8" s="16">
        <f>ROUND(MAX(0,Plan_Prev!B7*(Premissas!$C$8/MAX(0.01,Premissas!$B$8))*Premissas!$C$23),1)</f>
        <v>0</v>
      </c>
      <c r="C8" s="16">
        <f>ROUND(MAX(0,Plan_Prev!C7*(Premissas!$C$8/MAX(0.01,Premissas!$B$8))*Premissas!$C$24),1)</f>
        <v>0</v>
      </c>
      <c r="D8" s="16">
        <f>ROUND(MAX(0,Plan_Prev!D7*(Premissas!$C$8/MAX(0.01,Premissas!$B$8))*Premissas!$C$25),1)</f>
        <v>0</v>
      </c>
      <c r="E8" s="16">
        <f>ROUND(MAX(0,Plan_Prev!E7*(Premissas!$C$8/MAX(0.01,Premissas!$B$8))*Premissas!$C$26),1)</f>
        <v>0</v>
      </c>
      <c r="F8" s="16">
        <f>ROUND(MAX(0,Plan_Prev!F7*(Premissas!$C$8/MAX(0.01,Premissas!$B$8))*Premissas!$C$27),1)</f>
        <v>0</v>
      </c>
      <c r="G8" s="16">
        <f>ROUND(MAX(0,Plan_Prev!G7*(Premissas!$C$8/MAX(0.01,Premissas!$B$8))*Premissas!$C$28),1)</f>
        <v>0</v>
      </c>
      <c r="H8" s="16">
        <f>ROUND(MAX(0,Plan_Prev!H7*(Premissas!$C$8/MAX(0.01,Premissas!$B$8))*Premissas!$C$29),1)</f>
        <v>0</v>
      </c>
      <c r="I8" s="16">
        <f>ROUND(MAX(0,Plan_Prev!I7*(Premissas!$C$8/MAX(0.01,Premissas!$B$8))*Premissas!$C$30),1)</f>
        <v>0</v>
      </c>
      <c r="J8" s="16">
        <f>ROUND(MAX(0,Plan_Prev!J7*(Premissas!$C$8/MAX(0.01,Premissas!$B$8))*Premissas!$C$31),1)</f>
        <v>0</v>
      </c>
      <c r="K8" s="16">
        <f>ROUND(MAX(0,Plan_Prev!K7*(Premissas!$C$8/MAX(0.01,Premissas!$B$8))*Premissas!$C$32),1)</f>
        <v>0</v>
      </c>
      <c r="L8" s="16">
        <f>ROUND(MAX(0,Plan_Prev!L7*(Premissas!$C$8/MAX(0.01,Premissas!$B$8))*Premissas!$C$33),1)</f>
        <v>0</v>
      </c>
      <c r="M8" s="16">
        <f>ROUND(MAX(0,Plan_Prev!M7*(Premissas!$C$8/MAX(0.01,Premissas!$B$8))*Premissas!$C$34),1)</f>
        <v>0</v>
      </c>
      <c r="N8" s="19">
        <f t="shared" si="0"/>
        <v>0</v>
      </c>
    </row>
    <row r="9" spans="1:16" ht="15" customHeight="1" x14ac:dyDescent="0.4">
      <c r="A9" s="15" t="s">
        <v>104</v>
      </c>
      <c r="B9" s="16">
        <f>ROUND(MAX(0,Plan_Prev!B8*(Premissas!$C$9/MAX(0.01,Premissas!$B$9))*Premissas!$C$23),1)</f>
        <v>0</v>
      </c>
      <c r="C9" s="16">
        <f>ROUND(MAX(0,Plan_Prev!C8*(Premissas!$C$9/MAX(0.01,Premissas!$B$9))*Premissas!$C$24),1)</f>
        <v>0</v>
      </c>
      <c r="D9" s="16">
        <f>ROUND(MAX(0,Plan_Prev!D8*(Premissas!$C$9/MAX(0.01,Premissas!$B$9))*Premissas!$C$25),1)</f>
        <v>0</v>
      </c>
      <c r="E9" s="16">
        <f>ROUND(MAX(0,Plan_Prev!E8*(Premissas!$C$9/MAX(0.01,Premissas!$B$9))*Premissas!$C$26),1)</f>
        <v>0</v>
      </c>
      <c r="F9" s="16">
        <f>ROUND(MAX(0,Plan_Prev!F8*(Premissas!$C$9/MAX(0.01,Premissas!$B$9))*Premissas!$C$27),1)</f>
        <v>0</v>
      </c>
      <c r="G9" s="16">
        <f>ROUND(MAX(0,Plan_Prev!G8*(Premissas!$C$9/MAX(0.01,Premissas!$B$9))*Premissas!$C$28),1)</f>
        <v>0</v>
      </c>
      <c r="H9" s="16">
        <f>ROUND(MAX(0,Plan_Prev!H8*(Premissas!$C$9/MAX(0.01,Premissas!$B$9))*Premissas!$C$29),1)</f>
        <v>0</v>
      </c>
      <c r="I9" s="16">
        <f>ROUND(MAX(0,Plan_Prev!I8*(Premissas!$C$9/MAX(0.01,Premissas!$B$9))*Premissas!$C$30),1)</f>
        <v>0</v>
      </c>
      <c r="J9" s="16">
        <f>ROUND(MAX(0,Plan_Prev!J8*(Premissas!$C$9/MAX(0.01,Premissas!$B$9))*Premissas!$C$31),1)</f>
        <v>0</v>
      </c>
      <c r="K9" s="16">
        <f>ROUND(MAX(0,Plan_Prev!K8*(Premissas!$C$9/MAX(0.01,Premissas!$B$9))*Premissas!$C$32),1)</f>
        <v>0</v>
      </c>
      <c r="L9" s="16">
        <f>ROUND(MAX(0,Plan_Prev!L8*(Premissas!$C$9/MAX(0.01,Premissas!$B$9))*Premissas!$C$33),1)</f>
        <v>0</v>
      </c>
      <c r="M9" s="16">
        <f>ROUND(MAX(0,Plan_Prev!M8*(Premissas!$C$9/MAX(0.01,Premissas!$B$9))*Premissas!$C$34),1)</f>
        <v>0</v>
      </c>
      <c r="N9" s="19">
        <f t="shared" si="0"/>
        <v>0</v>
      </c>
    </row>
    <row r="10" spans="1:16" ht="15" customHeight="1" x14ac:dyDescent="0.4">
      <c r="A10" s="15" t="s">
        <v>80</v>
      </c>
      <c r="B10" s="16">
        <f>ROUND(MAX(0,Plan_Prev!B9*(Premissas!$C$10/MAX(0.01,Premissas!$B$10))*Premissas!$C$23),1)</f>
        <v>0</v>
      </c>
      <c r="C10" s="16">
        <f>ROUND(MAX(0,Plan_Prev!C9*(Premissas!$C$10/MAX(0.01,Premissas!$B$10))*Premissas!$C$24),1)</f>
        <v>0</v>
      </c>
      <c r="D10" s="16">
        <f>ROUND(MAX(0,Plan_Prev!D9*(Premissas!$C$10/MAX(0.01,Premissas!$B$10))*Premissas!$C$25),1)</f>
        <v>0</v>
      </c>
      <c r="E10" s="16">
        <f>ROUND(MAX(0,Plan_Prev!E9*(Premissas!$C$10/MAX(0.01,Premissas!$B$10))*Premissas!$C$26),1)</f>
        <v>0</v>
      </c>
      <c r="F10" s="16">
        <f>ROUND(MAX(0,Plan_Prev!F9*(Premissas!$C$10/MAX(0.01,Premissas!$B$10))*Premissas!$C$27),1)</f>
        <v>0</v>
      </c>
      <c r="G10" s="16">
        <f>ROUND(MAX(0,Plan_Prev!G9*(Premissas!$C$10/MAX(0.01,Premissas!$B$10))*Premissas!$C$28),1)</f>
        <v>0</v>
      </c>
      <c r="H10" s="16">
        <f>ROUND(MAX(0,Plan_Prev!H9*(Premissas!$C$10/MAX(0.01,Premissas!$B$10))*Premissas!$C$29),1)</f>
        <v>0</v>
      </c>
      <c r="I10" s="16">
        <f>ROUND(MAX(0,Plan_Prev!I9*(Premissas!$C$10/MAX(0.01,Premissas!$B$10))*Premissas!$C$30),1)</f>
        <v>0</v>
      </c>
      <c r="J10" s="16">
        <f>ROUND(MAX(0,Plan_Prev!J9*(Premissas!$C$10/MAX(0.01,Premissas!$B$10))*Premissas!$C$31),1)</f>
        <v>0</v>
      </c>
      <c r="K10" s="16">
        <f>ROUND(MAX(0,Plan_Prev!K9*(Premissas!$C$10/MAX(0.01,Premissas!$B$10))*Premissas!$C$32),1)</f>
        <v>0</v>
      </c>
      <c r="L10" s="16">
        <f>ROUND(MAX(0,Plan_Prev!L9*(Premissas!$C$10/MAX(0.01,Premissas!$B$10))*Premissas!$C$33),1)</f>
        <v>0</v>
      </c>
      <c r="M10" s="16">
        <f>ROUND(MAX(0,Plan_Prev!M9*(Premissas!$C$10/MAX(0.01,Premissas!$B$10))*Premissas!$C$34),1)</f>
        <v>0</v>
      </c>
      <c r="N10" s="19">
        <f t="shared" si="0"/>
        <v>0</v>
      </c>
    </row>
    <row r="11" spans="1:16" ht="15" customHeight="1" x14ac:dyDescent="0.4">
      <c r="A11" s="26" t="s">
        <v>1373</v>
      </c>
      <c r="B11" s="4">
        <f t="shared" ref="B11:N11" si="1">ROUND(SUM(B5:B10),1)</f>
        <v>2350</v>
      </c>
      <c r="C11" s="4">
        <f t="shared" si="1"/>
        <v>4699.5</v>
      </c>
      <c r="D11" s="4">
        <f t="shared" si="1"/>
        <v>4116</v>
      </c>
      <c r="E11" s="4">
        <f t="shared" si="1"/>
        <v>495</v>
      </c>
      <c r="F11" s="4">
        <f t="shared" si="1"/>
        <v>69.400000000000006</v>
      </c>
      <c r="G11" s="4">
        <f t="shared" si="1"/>
        <v>572.6</v>
      </c>
      <c r="H11" s="4">
        <f t="shared" si="1"/>
        <v>117.1</v>
      </c>
      <c r="I11" s="4">
        <f t="shared" si="1"/>
        <v>1447.4</v>
      </c>
      <c r="J11" s="4">
        <f t="shared" si="1"/>
        <v>308.60000000000002</v>
      </c>
      <c r="K11" s="4">
        <f t="shared" si="1"/>
        <v>2667.4</v>
      </c>
      <c r="L11" s="4">
        <f t="shared" si="1"/>
        <v>3439.8</v>
      </c>
      <c r="M11" s="4">
        <f t="shared" si="1"/>
        <v>3048.9</v>
      </c>
      <c r="N11" s="4">
        <f t="shared" si="1"/>
        <v>23331.7</v>
      </c>
    </row>
    <row r="13" spans="1:16" ht="15" customHeight="1" x14ac:dyDescent="0.4">
      <c r="A13" s="14" t="s">
        <v>1396</v>
      </c>
      <c r="B13" s="14" t="s">
        <v>83</v>
      </c>
      <c r="C13" s="14" t="s">
        <v>84</v>
      </c>
      <c r="D13" s="14" t="s">
        <v>85</v>
      </c>
      <c r="E13" s="14" t="s">
        <v>86</v>
      </c>
      <c r="F13" s="14" t="s">
        <v>87</v>
      </c>
      <c r="G13" s="14" t="s">
        <v>88</v>
      </c>
      <c r="H13" s="14" t="s">
        <v>89</v>
      </c>
      <c r="I13" s="14" t="s">
        <v>90</v>
      </c>
      <c r="J13" s="14" t="s">
        <v>91</v>
      </c>
      <c r="K13" s="14" t="s">
        <v>92</v>
      </c>
      <c r="L13" s="14" t="s">
        <v>93</v>
      </c>
      <c r="M13" s="14" t="s">
        <v>94</v>
      </c>
      <c r="N13" s="14" t="s">
        <v>1376</v>
      </c>
    </row>
    <row r="14" spans="1:16" ht="15" customHeight="1" x14ac:dyDescent="0.4">
      <c r="A14" s="15" t="s">
        <v>76</v>
      </c>
      <c r="B14" s="16">
        <f>ROUND(MAX(0,B5-Plan_Corr!B4),1)</f>
        <v>29.4</v>
      </c>
      <c r="C14" s="16">
        <f>ROUND(MAX(0,C5-Plan_Corr!C4),1)</f>
        <v>69.400000000000006</v>
      </c>
      <c r="D14" s="16">
        <f>ROUND(MAX(0,D5-Plan_Corr!D4),1)</f>
        <v>70.2</v>
      </c>
      <c r="E14" s="16">
        <f>ROUND(MAX(0,E5-Plan_Corr!E4),1)</f>
        <v>9.5</v>
      </c>
      <c r="F14" s="16">
        <f>ROUND(MAX(0,F5-Plan_Corr!F4),1)</f>
        <v>1.5</v>
      </c>
      <c r="G14" s="16">
        <f>ROUND(MAX(0,G5-Plan_Corr!G4),1)</f>
        <v>13.7</v>
      </c>
      <c r="H14" s="16">
        <f>ROUND(MAX(0,H5-Plan_Corr!H4),1)</f>
        <v>3.1</v>
      </c>
      <c r="I14" s="16">
        <f>ROUND(MAX(0,I5-Plan_Corr!I4),1)</f>
        <v>41.2</v>
      </c>
      <c r="J14" s="16">
        <f>ROUND(MAX(0,J5-Plan_Corr!J4),1)</f>
        <v>9.5</v>
      </c>
      <c r="K14" s="16">
        <f>ROUND(MAX(0,K5-Plan_Corr!K4),1)</f>
        <v>87.9</v>
      </c>
      <c r="L14" s="16">
        <f>ROUND(MAX(0,L5-Plan_Corr!L4),1)</f>
        <v>121.2</v>
      </c>
      <c r="M14" s="16">
        <f>ROUND(MAX(0,M5-Plan_Corr!M4),1)</f>
        <v>114.3</v>
      </c>
      <c r="N14" s="16">
        <f t="shared" ref="N14:N19" si="2">ROUND(SUM(B14:M14),1)</f>
        <v>570.9</v>
      </c>
    </row>
    <row r="15" spans="1:16" ht="15" customHeight="1" x14ac:dyDescent="0.4">
      <c r="A15" s="15" t="s">
        <v>75</v>
      </c>
      <c r="B15" s="16">
        <f>ROUND(MAX(0,B6-Plan_Corr!B5),1)</f>
        <v>0</v>
      </c>
      <c r="C15" s="16">
        <f>ROUND(MAX(0,C6-Plan_Corr!C5),1)</f>
        <v>0</v>
      </c>
      <c r="D15" s="16">
        <f>ROUND(MAX(0,D6-Plan_Corr!D5),1)</f>
        <v>0</v>
      </c>
      <c r="E15" s="16">
        <f>ROUND(MAX(0,E6-Plan_Corr!E5),1)</f>
        <v>0</v>
      </c>
      <c r="F15" s="16">
        <f>ROUND(MAX(0,F6-Plan_Corr!F5),1)</f>
        <v>0</v>
      </c>
      <c r="G15" s="16">
        <f>ROUND(MAX(0,G6-Plan_Corr!G5),1)</f>
        <v>0</v>
      </c>
      <c r="H15" s="16">
        <f>ROUND(MAX(0,H6-Plan_Corr!H5),1)</f>
        <v>0</v>
      </c>
      <c r="I15" s="16">
        <f>ROUND(MAX(0,I6-Plan_Corr!I5),1)</f>
        <v>0</v>
      </c>
      <c r="J15" s="16">
        <f>ROUND(MAX(0,J6-Plan_Corr!J5),1)</f>
        <v>0</v>
      </c>
      <c r="K15" s="16">
        <f>ROUND(MAX(0,K6-Plan_Corr!K5),1)</f>
        <v>0</v>
      </c>
      <c r="L15" s="16">
        <f>ROUND(MAX(0,L6-Plan_Corr!L5),1)</f>
        <v>0</v>
      </c>
      <c r="M15" s="16">
        <f>ROUND(MAX(0,M6-Plan_Corr!M5),1)</f>
        <v>0</v>
      </c>
      <c r="N15" s="16">
        <f t="shared" si="2"/>
        <v>0</v>
      </c>
    </row>
    <row r="16" spans="1:16" ht="15" customHeight="1" x14ac:dyDescent="0.4">
      <c r="A16" s="15" t="s">
        <v>77</v>
      </c>
      <c r="B16" s="16">
        <f>ROUND(MAX(0,B7-Plan_Corr!B6),1)</f>
        <v>0</v>
      </c>
      <c r="C16" s="16">
        <f>ROUND(MAX(0,C7-Plan_Corr!C6),1)</f>
        <v>0</v>
      </c>
      <c r="D16" s="16">
        <f>ROUND(MAX(0,D7-Plan_Corr!D6),1)</f>
        <v>0</v>
      </c>
      <c r="E16" s="16">
        <f>ROUND(MAX(0,E7-Plan_Corr!E6),1)</f>
        <v>0</v>
      </c>
      <c r="F16" s="16">
        <f>ROUND(MAX(0,F7-Plan_Corr!F6),1)</f>
        <v>0</v>
      </c>
      <c r="G16" s="16">
        <f>ROUND(MAX(0,G7-Plan_Corr!G6),1)</f>
        <v>0</v>
      </c>
      <c r="H16" s="16">
        <f>ROUND(MAX(0,H7-Plan_Corr!H6),1)</f>
        <v>0</v>
      </c>
      <c r="I16" s="16">
        <f>ROUND(MAX(0,I7-Plan_Corr!I6),1)</f>
        <v>0</v>
      </c>
      <c r="J16" s="16">
        <f>ROUND(MAX(0,J7-Plan_Corr!J6),1)</f>
        <v>0</v>
      </c>
      <c r="K16" s="16">
        <f>ROUND(MAX(0,K7-Plan_Corr!K6),1)</f>
        <v>0</v>
      </c>
      <c r="L16" s="16">
        <f>ROUND(MAX(0,L7-Plan_Corr!L6),1)</f>
        <v>0</v>
      </c>
      <c r="M16" s="16">
        <f>ROUND(MAX(0,M7-Plan_Corr!M6),1)</f>
        <v>0</v>
      </c>
      <c r="N16" s="16">
        <f t="shared" si="2"/>
        <v>0</v>
      </c>
    </row>
    <row r="17" spans="1:14" ht="15" customHeight="1" x14ac:dyDescent="0.4">
      <c r="A17" s="15" t="s">
        <v>78</v>
      </c>
      <c r="B17" s="16">
        <f>ROUND(MAX(0,B8-Plan_Corr!B7),1)</f>
        <v>0</v>
      </c>
      <c r="C17" s="16">
        <f>ROUND(MAX(0,C8-Plan_Corr!C7),1)</f>
        <v>0</v>
      </c>
      <c r="D17" s="16">
        <f>ROUND(MAX(0,D8-Plan_Corr!D7),1)</f>
        <v>0</v>
      </c>
      <c r="E17" s="16">
        <f>ROUND(MAX(0,E8-Plan_Corr!E7),1)</f>
        <v>0</v>
      </c>
      <c r="F17" s="16">
        <f>ROUND(MAX(0,F8-Plan_Corr!F7),1)</f>
        <v>0</v>
      </c>
      <c r="G17" s="16">
        <f>ROUND(MAX(0,G8-Plan_Corr!G7),1)</f>
        <v>0</v>
      </c>
      <c r="H17" s="16">
        <f>ROUND(MAX(0,H8-Plan_Corr!H7),1)</f>
        <v>0</v>
      </c>
      <c r="I17" s="16">
        <f>ROUND(MAX(0,I8-Plan_Corr!I7),1)</f>
        <v>0</v>
      </c>
      <c r="J17" s="16">
        <f>ROUND(MAX(0,J8-Plan_Corr!J7),1)</f>
        <v>0</v>
      </c>
      <c r="K17" s="16">
        <f>ROUND(MAX(0,K8-Plan_Corr!K7),1)</f>
        <v>0</v>
      </c>
      <c r="L17" s="16">
        <f>ROUND(MAX(0,L8-Plan_Corr!L7),1)</f>
        <v>0</v>
      </c>
      <c r="M17" s="16">
        <f>ROUND(MAX(0,M8-Plan_Corr!M7),1)</f>
        <v>0</v>
      </c>
      <c r="N17" s="16">
        <f t="shared" si="2"/>
        <v>0</v>
      </c>
    </row>
    <row r="18" spans="1:14" ht="15" customHeight="1" x14ac:dyDescent="0.4">
      <c r="A18" s="15" t="s">
        <v>104</v>
      </c>
      <c r="B18" s="16">
        <f>ROUND(MAX(0,B9-Plan_Corr!B8),1)</f>
        <v>0</v>
      </c>
      <c r="C18" s="16">
        <f>ROUND(MAX(0,C9-Plan_Corr!C8),1)</f>
        <v>0</v>
      </c>
      <c r="D18" s="16">
        <f>ROUND(MAX(0,D9-Plan_Corr!D8),1)</f>
        <v>0</v>
      </c>
      <c r="E18" s="16">
        <f>ROUND(MAX(0,E9-Plan_Corr!E8),1)</f>
        <v>0</v>
      </c>
      <c r="F18" s="16">
        <f>ROUND(MAX(0,F9-Plan_Corr!F8),1)</f>
        <v>0</v>
      </c>
      <c r="G18" s="16">
        <f>ROUND(MAX(0,G9-Plan_Corr!G8),1)</f>
        <v>0</v>
      </c>
      <c r="H18" s="16">
        <f>ROUND(MAX(0,H9-Plan_Corr!H8),1)</f>
        <v>0</v>
      </c>
      <c r="I18" s="16">
        <f>ROUND(MAX(0,I9-Plan_Corr!I8),1)</f>
        <v>0</v>
      </c>
      <c r="J18" s="16">
        <f>ROUND(MAX(0,J9-Plan_Corr!J8),1)</f>
        <v>0</v>
      </c>
      <c r="K18" s="16">
        <f>ROUND(MAX(0,K9-Plan_Corr!K8),1)</f>
        <v>0</v>
      </c>
      <c r="L18" s="16">
        <f>ROUND(MAX(0,L9-Plan_Corr!L8),1)</f>
        <v>0</v>
      </c>
      <c r="M18" s="16">
        <f>ROUND(MAX(0,M9-Plan_Corr!M8),1)</f>
        <v>0</v>
      </c>
      <c r="N18" s="16">
        <f t="shared" si="2"/>
        <v>0</v>
      </c>
    </row>
    <row r="19" spans="1:14" ht="15" customHeight="1" x14ac:dyDescent="0.4">
      <c r="A19" s="15" t="s">
        <v>80</v>
      </c>
      <c r="B19" s="16">
        <f>ROUND(MAX(0,B10-Plan_Corr!B9),1)</f>
        <v>0</v>
      </c>
      <c r="C19" s="16">
        <f>ROUND(MAX(0,C10-Plan_Corr!C9),1)</f>
        <v>0</v>
      </c>
      <c r="D19" s="16">
        <f>ROUND(MAX(0,D10-Plan_Corr!D9),1)</f>
        <v>0</v>
      </c>
      <c r="E19" s="16">
        <f>ROUND(MAX(0,E10-Plan_Corr!E9),1)</f>
        <v>0</v>
      </c>
      <c r="F19" s="16">
        <f>ROUND(MAX(0,F10-Plan_Corr!F9),1)</f>
        <v>0</v>
      </c>
      <c r="G19" s="16">
        <f>ROUND(MAX(0,G10-Plan_Corr!G9),1)</f>
        <v>0</v>
      </c>
      <c r="H19" s="16">
        <f>ROUND(MAX(0,H10-Plan_Corr!H9),1)</f>
        <v>0</v>
      </c>
      <c r="I19" s="16">
        <f>ROUND(MAX(0,I10-Plan_Corr!I9),1)</f>
        <v>0</v>
      </c>
      <c r="J19" s="16">
        <f>ROUND(MAX(0,J10-Plan_Corr!J9),1)</f>
        <v>0</v>
      </c>
      <c r="K19" s="16">
        <f>ROUND(MAX(0,K10-Plan_Corr!K9),1)</f>
        <v>0</v>
      </c>
      <c r="L19" s="16">
        <f>ROUND(MAX(0,L10-Plan_Corr!L9),1)</f>
        <v>0</v>
      </c>
      <c r="M19" s="16">
        <f>ROUND(MAX(0,M10-Plan_Corr!M9),1)</f>
        <v>0</v>
      </c>
      <c r="N19" s="16">
        <f t="shared" si="2"/>
        <v>0</v>
      </c>
    </row>
    <row r="20" spans="1:14" ht="15" customHeight="1" x14ac:dyDescent="0.4">
      <c r="A20" s="26" t="s">
        <v>1397</v>
      </c>
      <c r="B20" s="4">
        <f t="shared" ref="B20:N20" si="3">ROUND(SUM(B14:B19),1)</f>
        <v>29.4</v>
      </c>
      <c r="C20" s="4">
        <f t="shared" si="3"/>
        <v>69.400000000000006</v>
      </c>
      <c r="D20" s="4">
        <f t="shared" si="3"/>
        <v>70.2</v>
      </c>
      <c r="E20" s="4">
        <f t="shared" si="3"/>
        <v>9.5</v>
      </c>
      <c r="F20" s="4">
        <f t="shared" si="3"/>
        <v>1.5</v>
      </c>
      <c r="G20" s="4">
        <f t="shared" si="3"/>
        <v>13.7</v>
      </c>
      <c r="H20" s="4">
        <f t="shared" si="3"/>
        <v>3.1</v>
      </c>
      <c r="I20" s="4">
        <f t="shared" si="3"/>
        <v>41.2</v>
      </c>
      <c r="J20" s="4">
        <f t="shared" si="3"/>
        <v>9.5</v>
      </c>
      <c r="K20" s="4">
        <f t="shared" si="3"/>
        <v>87.9</v>
      </c>
      <c r="L20" s="4">
        <f t="shared" si="3"/>
        <v>121.2</v>
      </c>
      <c r="M20" s="4">
        <f t="shared" si="3"/>
        <v>114.3</v>
      </c>
      <c r="N20" s="4">
        <f t="shared" si="3"/>
        <v>570.9</v>
      </c>
    </row>
    <row r="22" spans="1:14" ht="10.5" customHeight="1" x14ac:dyDescent="0.4">
      <c r="A22" s="2" t="s">
        <v>1398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" customHeight="1" x14ac:dyDescent="0.4">
      <c r="A23" s="15" t="s">
        <v>1399</v>
      </c>
      <c r="B23" s="27">
        <f>ROUND(N14*IFERROR(AVERAGEIFS(Pessoas!$I$5:$I$44,Pessoas!$C$5:$C$44,"Oficina Mecânica Central-Taisa",Pessoas!$G$5:$G$44,"Ativo"),0)+N15*IFERROR(AVERAGEIFS(Pessoas!$I$5:$I$44,Pessoas!$C$5:$C$44,"Oficina Volante-Socorro",Pessoas!$G$5:$G$44,"Ativo"),0)+N16*IFERROR(AVERAGEIFS(Pessoas!$I$5:$I$44,Pessoas!$C$5:$C$44,"Oficina Implementos Rodoviários",Pessoas!$G$5:$G$44,"Ativo"),0)+N17*IFERROR(AVERAGEIFS(Pessoas!$I$5:$I$44,Pessoas!$C$5:$C$44,"Oficina Mecânica Externa",Pessoas!$G$5:$G$44,"Ativo"),0)+N18*IFERROR(AVERAGEIFS(Pessoas!$I$5:$I$44,Pessoas!$C$5:$C$44,"Oficina Implementos Agrícolas",Pessoas!$G$5:$G$44,"Ativo"),0)+N19*IFERROR(AVERAGEIFS(Pessoas!$I$5:$I$44,Pessoas!$C$5:$C$44,"PitStop",Pessoas!$G$5:$G$44,"Ativo"),0),0)</f>
        <v>0</v>
      </c>
    </row>
  </sheetData>
  <mergeCells count="2">
    <mergeCell ref="A1:N1"/>
    <mergeCell ref="A22:N22"/>
  </mergeCells>
  <hyperlinks>
    <hyperlink ref="P1" r:id="rId1" location="Menu!A1" xr:uid="{00000000-0004-0000-1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8"/>
  <sheetViews>
    <sheetView zoomScaleNormal="100" workbookViewId="0"/>
  </sheetViews>
  <sheetFormatPr defaultColWidth="8.69140625" defaultRowHeight="14.6" x14ac:dyDescent="0.4"/>
  <cols>
    <col min="1" max="1" width="36" customWidth="1"/>
    <col min="2" max="2" width="16" customWidth="1"/>
    <col min="3" max="3" width="13" customWidth="1"/>
    <col min="4" max="4" width="34" customWidth="1"/>
  </cols>
  <sheetData>
    <row r="1" spans="1:6" ht="15.75" customHeight="1" x14ac:dyDescent="0.45">
      <c r="A1" s="3" t="s">
        <v>1400</v>
      </c>
      <c r="B1" s="3"/>
      <c r="C1" s="3"/>
      <c r="D1" s="3"/>
      <c r="F1" s="11" t="s">
        <v>47</v>
      </c>
    </row>
    <row r="3" spans="1:6" ht="15" customHeight="1" x14ac:dyDescent="0.4">
      <c r="A3" s="14" t="s">
        <v>1401</v>
      </c>
      <c r="B3" s="14" t="s">
        <v>1402</v>
      </c>
      <c r="C3" s="14" t="s">
        <v>129</v>
      </c>
      <c r="D3" s="14" t="s">
        <v>1403</v>
      </c>
    </row>
    <row r="4" spans="1:6" ht="15" customHeight="1" x14ac:dyDescent="0.4">
      <c r="A4" s="15" t="s">
        <v>1404</v>
      </c>
      <c r="B4" s="27">
        <f>COUNTA(Frota!$A$5:$A$388)</f>
        <v>384</v>
      </c>
      <c r="C4" s="16" t="s">
        <v>1405</v>
      </c>
      <c r="D4" s="16" t="s">
        <v>1406</v>
      </c>
    </row>
    <row r="5" spans="1:6" ht="15" customHeight="1" x14ac:dyDescent="0.4">
      <c r="A5" s="15" t="s">
        <v>1407</v>
      </c>
      <c r="B5" s="27">
        <f>SUM(Eventos!$F$4:$F$367)</f>
        <v>2101</v>
      </c>
      <c r="C5" s="16" t="s">
        <v>1408</v>
      </c>
      <c r="D5" s="16" t="s">
        <v>1409</v>
      </c>
    </row>
    <row r="6" spans="1:6" ht="15" customHeight="1" x14ac:dyDescent="0.4">
      <c r="A6" s="15" t="s">
        <v>1410</v>
      </c>
      <c r="B6" s="27">
        <f>Plan_Prev!N10</f>
        <v>7983.5</v>
      </c>
      <c r="C6" s="16" t="s">
        <v>850</v>
      </c>
      <c r="D6" s="16" t="s">
        <v>1411</v>
      </c>
    </row>
    <row r="7" spans="1:6" ht="15" customHeight="1" x14ac:dyDescent="0.4">
      <c r="A7" s="15" t="s">
        <v>1412</v>
      </c>
      <c r="B7" s="27">
        <f>Plan_Corr!N10</f>
        <v>22760.799999999999</v>
      </c>
      <c r="C7" s="16" t="s">
        <v>850</v>
      </c>
      <c r="D7" s="16" t="s">
        <v>1413</v>
      </c>
    </row>
    <row r="8" spans="1:6" ht="15" customHeight="1" x14ac:dyDescent="0.4">
      <c r="A8" s="15" t="s">
        <v>1414</v>
      </c>
      <c r="B8" s="27">
        <f>Disponibilidade!N11</f>
        <v>0</v>
      </c>
      <c r="C8" s="16" t="s">
        <v>850</v>
      </c>
      <c r="D8" s="16" t="s">
        <v>1415</v>
      </c>
    </row>
    <row r="9" spans="1:6" ht="15" customHeight="1" x14ac:dyDescent="0.4">
      <c r="A9" s="15" t="s">
        <v>1416</v>
      </c>
      <c r="B9" s="27">
        <f>Disponibilidade!N29</f>
        <v>-30744.3</v>
      </c>
      <c r="C9" s="16" t="s">
        <v>850</v>
      </c>
      <c r="D9" s="16" t="s">
        <v>1415</v>
      </c>
    </row>
    <row r="10" spans="1:6" ht="15" customHeight="1" x14ac:dyDescent="0.4">
      <c r="A10" s="15" t="s">
        <v>1417</v>
      </c>
      <c r="B10" s="27">
        <f>Saving!N20</f>
        <v>570.9</v>
      </c>
      <c r="C10" s="16" t="s">
        <v>850</v>
      </c>
      <c r="D10" s="16" t="s">
        <v>1418</v>
      </c>
    </row>
    <row r="11" spans="1:6" ht="15" customHeight="1" x14ac:dyDescent="0.4">
      <c r="A11" s="15" t="s">
        <v>1419</v>
      </c>
      <c r="B11" s="27">
        <f>COUNTIFS(Pessoas!$G$5:$G$44,"Ativo",Pessoas!$A$5:$A$44,"&lt;&gt;")</f>
        <v>0</v>
      </c>
      <c r="C11" s="16" t="s">
        <v>1420</v>
      </c>
      <c r="D11" s="16" t="s">
        <v>1421</v>
      </c>
    </row>
    <row r="12" spans="1:6" ht="15" customHeight="1" x14ac:dyDescent="0.4">
      <c r="A12" s="15" t="s">
        <v>1422</v>
      </c>
      <c r="B12" s="27">
        <f>ROUND(SUMPRODUCT((Pessoas!$G$5:$G$44="Ativo")*N(Pessoas!$E$5:$E$44)*(1+N(Pessoas!$F$5:$F$44)/100)),0)</f>
        <v>0</v>
      </c>
      <c r="C12" s="16" t="s">
        <v>1423</v>
      </c>
      <c r="D12" s="16" t="s">
        <v>1415</v>
      </c>
    </row>
    <row r="13" spans="1:6" ht="15" customHeight="1" x14ac:dyDescent="0.4">
      <c r="A13" s="15" t="s">
        <v>1424</v>
      </c>
      <c r="B13" s="27">
        <f>Saving!B23</f>
        <v>0</v>
      </c>
      <c r="C13" s="16" t="s">
        <v>1425</v>
      </c>
      <c r="D13" s="16" t="s">
        <v>1426</v>
      </c>
    </row>
    <row r="15" spans="1:6" ht="15" customHeight="1" x14ac:dyDescent="0.4">
      <c r="A15" s="4" t="s">
        <v>1427</v>
      </c>
      <c r="B15" s="4" t="s">
        <v>852</v>
      </c>
      <c r="C15" s="4" t="s">
        <v>1428</v>
      </c>
    </row>
    <row r="16" spans="1:6" ht="15" customHeight="1" x14ac:dyDescent="0.4">
      <c r="A16" s="15" t="s">
        <v>1429</v>
      </c>
      <c r="B16" s="16">
        <f>SUMIFS(Eventos!$F$4:$F$367,Eventos!$D$4:$D$367,"S")</f>
        <v>1140</v>
      </c>
      <c r="C16" s="16">
        <f>ROUND(SUMIFS(Eventos!$G$4:$G$367,Eventos!$D$4:$D$367,"S")+SUMIFS(Eventos!$H$4:$H$367,Eventos!$D$4:$D$367,"S")+SUMIFS(Eventos!$I$4:$I$367,Eventos!$D$4:$D$367,"S")+SUMIFS(Eventos!$J$4:$J$367,Eventos!$D$4:$D$367,"S")+SUMIFS(Eventos!$K$4:$K$367,Eventos!$D$4:$D$367,"S")+SUMIFS(Eventos!$L$4:$L$367,Eventos!$D$4:$D$367,"S"),0)</f>
        <v>2531</v>
      </c>
    </row>
    <row r="17" spans="1:3" ht="15" customHeight="1" x14ac:dyDescent="0.4">
      <c r="A17" s="15" t="s">
        <v>1430</v>
      </c>
      <c r="B17" s="16">
        <f>SUMIFS(Eventos!$F$4:$F$367,Eventos!$D$4:$D$367,"A")</f>
        <v>641</v>
      </c>
      <c r="C17" s="16">
        <f>ROUND(SUMIFS(Eventos!$G$4:$G$367,Eventos!$D$4:$D$367,"A")+SUMIFS(Eventos!$H$4:$H$367,Eventos!$D$4:$D$367,"A")+SUMIFS(Eventos!$I$4:$I$367,Eventos!$D$4:$D$367,"A")+SUMIFS(Eventos!$J$4:$J$367,Eventos!$D$4:$D$367,"A")+SUMIFS(Eventos!$K$4:$K$367,Eventos!$D$4:$D$367,"A")+SUMIFS(Eventos!$L$4:$L$367,Eventos!$D$4:$D$367,"A"),0)</f>
        <v>2701</v>
      </c>
    </row>
    <row r="18" spans="1:3" ht="15" customHeight="1" x14ac:dyDescent="0.4">
      <c r="A18" s="15" t="s">
        <v>1431</v>
      </c>
      <c r="B18" s="16">
        <f>SUMIFS(Eventos!$F$4:$F$367,Eventos!$D$4:$D$367,"B")</f>
        <v>312</v>
      </c>
      <c r="C18" s="16">
        <f>ROUND(SUMIFS(Eventos!$G$4:$G$367,Eventos!$D$4:$D$367,"B")+SUMIFS(Eventos!$H$4:$H$367,Eventos!$D$4:$D$367,"B")+SUMIFS(Eventos!$I$4:$I$367,Eventos!$D$4:$D$367,"B")+SUMIFS(Eventos!$J$4:$J$367,Eventos!$D$4:$D$367,"B")+SUMIFS(Eventos!$K$4:$K$367,Eventos!$D$4:$D$367,"B")+SUMIFS(Eventos!$L$4:$L$367,Eventos!$D$4:$D$367,"B"),0)</f>
        <v>2560</v>
      </c>
    </row>
    <row r="19" spans="1:3" ht="15" customHeight="1" x14ac:dyDescent="0.4">
      <c r="A19" s="15" t="s">
        <v>1432</v>
      </c>
      <c r="B19" s="16">
        <f>SUMIFS(Eventos!$F$4:$F$367,Eventos!$D$4:$D$367,"C")</f>
        <v>8</v>
      </c>
      <c r="C19" s="16">
        <f>ROUND(SUMIFS(Eventos!$G$4:$G$367,Eventos!$D$4:$D$367,"C")+SUMIFS(Eventos!$H$4:$H$367,Eventos!$D$4:$D$367,"C")+SUMIFS(Eventos!$I$4:$I$367,Eventos!$D$4:$D$367,"C")+SUMIFS(Eventos!$J$4:$J$367,Eventos!$D$4:$D$367,"C")+SUMIFS(Eventos!$K$4:$K$367,Eventos!$D$4:$D$367,"C")+SUMIFS(Eventos!$L$4:$L$367,Eventos!$D$4:$D$367,"C"),0)</f>
        <v>192</v>
      </c>
    </row>
    <row r="21" spans="1:3" ht="15" customHeight="1" x14ac:dyDescent="0.4">
      <c r="A21" s="4" t="s">
        <v>1433</v>
      </c>
      <c r="B21" s="4" t="s">
        <v>136</v>
      </c>
      <c r="C21" s="4" t="s">
        <v>1428</v>
      </c>
    </row>
    <row r="22" spans="1:3" ht="15" customHeight="1" x14ac:dyDescent="0.4">
      <c r="A22" s="15" t="s">
        <v>138</v>
      </c>
      <c r="B22" s="16">
        <f>Premissas!$I$39</f>
        <v>8</v>
      </c>
      <c r="C22" s="16">
        <f>ROUND(SUMIFS(Eventos!$G$4:$G$367,Eventos!$A$4:$A$367,"Colhedora")+SUMIFS(Eventos!$H$4:$H$367,Eventos!$A$4:$A$367,"Colhedora")+SUMIFS(Eventos!$I$4:$I$367,Eventos!$A$4:$A$367,"Colhedora")+SUMIFS(Eventos!$J$4:$J$367,Eventos!$A$4:$A$367,"Colhedora")+SUMIFS(Eventos!$K$4:$K$367,Eventos!$A$4:$A$367,"Colhedora")+SUMIFS(Eventos!$L$4:$L$367,Eventos!$A$4:$A$367,"Colhedora"),0)</f>
        <v>696</v>
      </c>
    </row>
    <row r="23" spans="1:3" ht="15" customHeight="1" x14ac:dyDescent="0.4">
      <c r="A23" s="15" t="s">
        <v>140</v>
      </c>
      <c r="B23" s="16">
        <f>Premissas!$I$40</f>
        <v>102</v>
      </c>
      <c r="C23" s="16">
        <f>ROUND(SUMIFS(Eventos!$G$4:$G$367,Eventos!$A$4:$A$367,"Trator")+SUMIFS(Eventos!$H$4:$H$367,Eventos!$A$4:$A$367,"Trator")+SUMIFS(Eventos!$I$4:$I$367,Eventos!$A$4:$A$367,"Trator")+SUMIFS(Eventos!$J$4:$J$367,Eventos!$A$4:$A$367,"Trator")+SUMIFS(Eventos!$K$4:$K$367,Eventos!$A$4:$A$367,"Trator")+SUMIFS(Eventos!$L$4:$L$367,Eventos!$A$4:$A$367,"Trator"),0)</f>
        <v>2499</v>
      </c>
    </row>
    <row r="24" spans="1:3" ht="15" customHeight="1" x14ac:dyDescent="0.4">
      <c r="A24" s="15" t="s">
        <v>141</v>
      </c>
      <c r="B24" s="16">
        <f>Premissas!$I$41</f>
        <v>121</v>
      </c>
      <c r="C24" s="16">
        <f>ROUND(SUMIFS(Eventos!$G$4:$G$367,Eventos!$A$4:$A$367,"Caminhão")+SUMIFS(Eventos!$H$4:$H$367,Eventos!$A$4:$A$367,"Caminhão")+SUMIFS(Eventos!$I$4:$I$367,Eventos!$A$4:$A$367,"Caminhão")+SUMIFS(Eventos!$J$4:$J$367,Eventos!$A$4:$A$367,"Caminhão")+SUMIFS(Eventos!$K$4:$K$367,Eventos!$A$4:$A$367,"Caminhão")+SUMIFS(Eventos!$L$4:$L$367,Eventos!$A$4:$A$367,"Caminhão"),0)</f>
        <v>2178</v>
      </c>
    </row>
    <row r="25" spans="1:3" ht="15" customHeight="1" x14ac:dyDescent="0.4">
      <c r="A25" s="15" t="s">
        <v>143</v>
      </c>
      <c r="B25" s="16">
        <f>Premissas!$I$42</f>
        <v>73</v>
      </c>
      <c r="C25" s="16">
        <f>ROUND(SUMIFS(Eventos!$G$4:$G$367,Eventos!$A$4:$A$367,"Carregadeira/Pesada")+SUMIFS(Eventos!$H$4:$H$367,Eventos!$A$4:$A$367,"Carregadeira/Pesada")+SUMIFS(Eventos!$I$4:$I$367,Eventos!$A$4:$A$367,"Carregadeira/Pesada")+SUMIFS(Eventos!$J$4:$J$367,Eventos!$A$4:$A$367,"Carregadeira/Pesada")+SUMIFS(Eventos!$K$4:$K$367,Eventos!$A$4:$A$367,"Carregadeira/Pesada")+SUMIFS(Eventos!$L$4:$L$367,Eventos!$A$4:$A$367,"Carregadeira/Pesada"),0)</f>
        <v>1789</v>
      </c>
    </row>
    <row r="26" spans="1:3" ht="15" customHeight="1" x14ac:dyDescent="0.4">
      <c r="A26" s="15" t="s">
        <v>144</v>
      </c>
      <c r="B26" s="16">
        <f>Premissas!$I$43</f>
        <v>50</v>
      </c>
      <c r="C26" s="16">
        <f>ROUND(SUMIFS(Eventos!$G$4:$G$367,Eventos!$A$4:$A$367,"Veículo Leve")+SUMIFS(Eventos!$H$4:$H$367,Eventos!$A$4:$A$367,"Veículo Leve")+SUMIFS(Eventos!$I$4:$I$367,Eventos!$A$4:$A$367,"Veículo Leve")+SUMIFS(Eventos!$J$4:$J$367,Eventos!$A$4:$A$367,"Veículo Leve")+SUMIFS(Eventos!$K$4:$K$367,Eventos!$A$4:$A$367,"Veículo Leve")+SUMIFS(Eventos!$L$4:$L$367,Eventos!$A$4:$A$367,"Veículo Leve"),0)</f>
        <v>300</v>
      </c>
    </row>
    <row r="27" spans="1:3" ht="15" customHeight="1" x14ac:dyDescent="0.4">
      <c r="A27" s="15" t="s">
        <v>145</v>
      </c>
      <c r="B27" s="16">
        <f>Premissas!$I$44</f>
        <v>12</v>
      </c>
      <c r="C27" s="16">
        <f>ROUND(SUMIFS(Eventos!$G$4:$G$367,Eventos!$A$4:$A$367,"Pulverizador")+SUMIFS(Eventos!$H$4:$H$367,Eventos!$A$4:$A$367,"Pulverizador")+SUMIFS(Eventos!$I$4:$I$367,Eventos!$A$4:$A$367,"Pulverizador")+SUMIFS(Eventos!$J$4:$J$367,Eventos!$A$4:$A$367,"Pulverizador")+SUMIFS(Eventos!$K$4:$K$367,Eventos!$A$4:$A$367,"Pulverizador")+SUMIFS(Eventos!$L$4:$L$367,Eventos!$A$4:$A$367,"Pulverizador"),0)</f>
        <v>360</v>
      </c>
    </row>
    <row r="28" spans="1:3" ht="15" customHeight="1" x14ac:dyDescent="0.4">
      <c r="A28" s="15" t="s">
        <v>146</v>
      </c>
      <c r="B28" s="16">
        <f>Premissas!$I$45</f>
        <v>18</v>
      </c>
      <c r="C28" s="16">
        <f>ROUND(SUMIFS(Eventos!$G$4:$G$367,Eventos!$A$4:$A$367,"Implemento")+SUMIFS(Eventos!$H$4:$H$367,Eventos!$A$4:$A$367,"Implemento")+SUMIFS(Eventos!$I$4:$I$367,Eventos!$A$4:$A$367,"Implemento")+SUMIFS(Eventos!$J$4:$J$367,Eventos!$A$4:$A$367,"Implemento")+SUMIFS(Eventos!$K$4:$K$367,Eventos!$A$4:$A$367,"Implemento")+SUMIFS(Eventos!$L$4:$L$367,Eventos!$A$4:$A$367,"Implemento"),0)</f>
        <v>162</v>
      </c>
    </row>
  </sheetData>
  <mergeCells count="1">
    <mergeCell ref="A1:D1"/>
  </mergeCells>
  <conditionalFormatting sqref="B9">
    <cfRule type="expression" dxfId="2" priority="2">
      <formula>AND(ISNUMBER(B9),B9&lt;0)</formula>
    </cfRule>
    <cfRule type="expression" dxfId="1" priority="3">
      <formula>ISNUMBER(B9)</formula>
    </cfRule>
  </conditionalFormatting>
  <conditionalFormatting sqref="B11">
    <cfRule type="expression" dxfId="0" priority="4">
      <formula>AND(ISNUMBER(B11),B11=0)</formula>
    </cfRule>
  </conditionalFormatting>
  <hyperlinks>
    <hyperlink ref="F1" r:id="rId1" location="Menu!A1" xr:uid="{00000000-0004-0000-1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2B5B7"/>
  </sheetPr>
  <dimension ref="A1:E54"/>
  <sheetViews>
    <sheetView zoomScaleNormal="100" workbookViewId="0"/>
  </sheetViews>
  <sheetFormatPr defaultColWidth="8.69140625" defaultRowHeight="14.6" x14ac:dyDescent="0.4"/>
  <cols>
    <col min="1" max="1" width="9" customWidth="1"/>
    <col min="2" max="3" width="13" customWidth="1"/>
    <col min="4" max="5" width="10" customWidth="1"/>
  </cols>
  <sheetData>
    <row r="1" spans="1:5" ht="15.75" customHeight="1" x14ac:dyDescent="0.45">
      <c r="A1" s="3" t="s">
        <v>1434</v>
      </c>
      <c r="B1" s="3"/>
      <c r="C1" s="3"/>
      <c r="D1" s="3"/>
      <c r="E1" s="3"/>
    </row>
    <row r="2" spans="1:5" ht="15" customHeight="1" x14ac:dyDescent="0.4">
      <c r="A2" s="14" t="s">
        <v>973</v>
      </c>
      <c r="B2" s="14" t="s">
        <v>1435</v>
      </c>
      <c r="C2" s="14" t="s">
        <v>1436</v>
      </c>
      <c r="D2" s="14" t="s">
        <v>1437</v>
      </c>
      <c r="E2" s="14" t="s">
        <v>1438</v>
      </c>
    </row>
    <row r="3" spans="1:5" ht="15" customHeight="1" x14ac:dyDescent="0.4">
      <c r="A3" s="16">
        <v>1</v>
      </c>
      <c r="B3" s="25">
        <f>DATE(VALUE(LEFT(Premissas!$G$21,4)),VALUE(MID(Premissas!$G$21,6,2)),VALUE(RIGHT(Premissas!$G$21,2)))</f>
        <v>46266</v>
      </c>
      <c r="C3" s="25">
        <f t="shared" ref="C3:C34" si="0">B3+6</f>
        <v>46272</v>
      </c>
      <c r="D3" s="16">
        <f>IF(AND(B3&gt;=$B$3,B3&lt;=DATE(VALUE(LEFT(Premissas!$G$22,4)),VALUE(MID(Premissas!$G$22,6,2)),VALUE(RIGHT(Premissas!$G$22,2)))),1,0)</f>
        <v>1</v>
      </c>
      <c r="E3" s="16">
        <f t="shared" ref="E3:E34" si="1">MONTH(B3)</f>
        <v>9</v>
      </c>
    </row>
    <row r="4" spans="1:5" ht="15" customHeight="1" x14ac:dyDescent="0.4">
      <c r="A4" s="16">
        <v>2</v>
      </c>
      <c r="B4" s="25">
        <f t="shared" ref="B4:B35" si="2">B3+7</f>
        <v>46273</v>
      </c>
      <c r="C4" s="25">
        <f t="shared" si="0"/>
        <v>46279</v>
      </c>
      <c r="D4" s="16">
        <f>IF(AND(B4&gt;=$B$3,B4&lt;=DATE(VALUE(LEFT(Premissas!$G$22,4)),VALUE(MID(Premissas!$G$22,6,2)),VALUE(RIGHT(Premissas!$G$22,2)))),1,0)</f>
        <v>1</v>
      </c>
      <c r="E4" s="16">
        <f t="shared" si="1"/>
        <v>9</v>
      </c>
    </row>
    <row r="5" spans="1:5" ht="15" customHeight="1" x14ac:dyDescent="0.4">
      <c r="A5" s="16">
        <v>3</v>
      </c>
      <c r="B5" s="25">
        <f t="shared" si="2"/>
        <v>46280</v>
      </c>
      <c r="C5" s="25">
        <f t="shared" si="0"/>
        <v>46286</v>
      </c>
      <c r="D5" s="16">
        <f>IF(AND(B5&gt;=$B$3,B5&lt;=DATE(VALUE(LEFT(Premissas!$G$22,4)),VALUE(MID(Premissas!$G$22,6,2)),VALUE(RIGHT(Premissas!$G$22,2)))),1,0)</f>
        <v>1</v>
      </c>
      <c r="E5" s="16">
        <f t="shared" si="1"/>
        <v>9</v>
      </c>
    </row>
    <row r="6" spans="1:5" ht="15" customHeight="1" x14ac:dyDescent="0.4">
      <c r="A6" s="16">
        <v>4</v>
      </c>
      <c r="B6" s="25">
        <f t="shared" si="2"/>
        <v>46287</v>
      </c>
      <c r="C6" s="25">
        <f t="shared" si="0"/>
        <v>46293</v>
      </c>
      <c r="D6" s="16">
        <f>IF(AND(B6&gt;=$B$3,B6&lt;=DATE(VALUE(LEFT(Premissas!$G$22,4)),VALUE(MID(Premissas!$G$22,6,2)),VALUE(RIGHT(Premissas!$G$22,2)))),1,0)</f>
        <v>1</v>
      </c>
      <c r="E6" s="16">
        <f t="shared" si="1"/>
        <v>9</v>
      </c>
    </row>
    <row r="7" spans="1:5" ht="15" customHeight="1" x14ac:dyDescent="0.4">
      <c r="A7" s="16">
        <v>5</v>
      </c>
      <c r="B7" s="25">
        <f t="shared" si="2"/>
        <v>46294</v>
      </c>
      <c r="C7" s="25">
        <f t="shared" si="0"/>
        <v>46300</v>
      </c>
      <c r="D7" s="16">
        <f>IF(AND(B7&gt;=$B$3,B7&lt;=DATE(VALUE(LEFT(Premissas!$G$22,4)),VALUE(MID(Premissas!$G$22,6,2)),VALUE(RIGHT(Premissas!$G$22,2)))),1,0)</f>
        <v>1</v>
      </c>
      <c r="E7" s="16">
        <f t="shared" si="1"/>
        <v>9</v>
      </c>
    </row>
    <row r="8" spans="1:5" ht="15" customHeight="1" x14ac:dyDescent="0.4">
      <c r="A8" s="16">
        <v>6</v>
      </c>
      <c r="B8" s="25">
        <f t="shared" si="2"/>
        <v>46301</v>
      </c>
      <c r="C8" s="25">
        <f t="shared" si="0"/>
        <v>46307</v>
      </c>
      <c r="D8" s="16">
        <f>IF(AND(B8&gt;=$B$3,B8&lt;=DATE(VALUE(LEFT(Premissas!$G$22,4)),VALUE(MID(Premissas!$G$22,6,2)),VALUE(RIGHT(Premissas!$G$22,2)))),1,0)</f>
        <v>1</v>
      </c>
      <c r="E8" s="16">
        <f t="shared" si="1"/>
        <v>10</v>
      </c>
    </row>
    <row r="9" spans="1:5" ht="15" customHeight="1" x14ac:dyDescent="0.4">
      <c r="A9" s="16">
        <v>7</v>
      </c>
      <c r="B9" s="25">
        <f t="shared" si="2"/>
        <v>46308</v>
      </c>
      <c r="C9" s="25">
        <f t="shared" si="0"/>
        <v>46314</v>
      </c>
      <c r="D9" s="16">
        <f>IF(AND(B9&gt;=$B$3,B9&lt;=DATE(VALUE(LEFT(Premissas!$G$22,4)),VALUE(MID(Premissas!$G$22,6,2)),VALUE(RIGHT(Premissas!$G$22,2)))),1,0)</f>
        <v>1</v>
      </c>
      <c r="E9" s="16">
        <f t="shared" si="1"/>
        <v>10</v>
      </c>
    </row>
    <row r="10" spans="1:5" ht="15" customHeight="1" x14ac:dyDescent="0.4">
      <c r="A10" s="16">
        <v>8</v>
      </c>
      <c r="B10" s="25">
        <f t="shared" si="2"/>
        <v>46315</v>
      </c>
      <c r="C10" s="25">
        <f t="shared" si="0"/>
        <v>46321</v>
      </c>
      <c r="D10" s="16">
        <f>IF(AND(B10&gt;=$B$3,B10&lt;=DATE(VALUE(LEFT(Premissas!$G$22,4)),VALUE(MID(Premissas!$G$22,6,2)),VALUE(RIGHT(Premissas!$G$22,2)))),1,0)</f>
        <v>1</v>
      </c>
      <c r="E10" s="16">
        <f t="shared" si="1"/>
        <v>10</v>
      </c>
    </row>
    <row r="11" spans="1:5" ht="15" customHeight="1" x14ac:dyDescent="0.4">
      <c r="A11" s="16">
        <v>9</v>
      </c>
      <c r="B11" s="25">
        <f t="shared" si="2"/>
        <v>46322</v>
      </c>
      <c r="C11" s="25">
        <f t="shared" si="0"/>
        <v>46328</v>
      </c>
      <c r="D11" s="16">
        <f>IF(AND(B11&gt;=$B$3,B11&lt;=DATE(VALUE(LEFT(Premissas!$G$22,4)),VALUE(MID(Premissas!$G$22,6,2)),VALUE(RIGHT(Premissas!$G$22,2)))),1,0)</f>
        <v>1</v>
      </c>
      <c r="E11" s="16">
        <f t="shared" si="1"/>
        <v>10</v>
      </c>
    </row>
    <row r="12" spans="1:5" ht="15" customHeight="1" x14ac:dyDescent="0.4">
      <c r="A12" s="16">
        <v>10</v>
      </c>
      <c r="B12" s="25">
        <f t="shared" si="2"/>
        <v>46329</v>
      </c>
      <c r="C12" s="25">
        <f t="shared" si="0"/>
        <v>46335</v>
      </c>
      <c r="D12" s="16">
        <f>IF(AND(B12&gt;=$B$3,B12&lt;=DATE(VALUE(LEFT(Premissas!$G$22,4)),VALUE(MID(Premissas!$G$22,6,2)),VALUE(RIGHT(Premissas!$G$22,2)))),1,0)</f>
        <v>1</v>
      </c>
      <c r="E12" s="16">
        <f t="shared" si="1"/>
        <v>11</v>
      </c>
    </row>
    <row r="13" spans="1:5" ht="15" customHeight="1" x14ac:dyDescent="0.4">
      <c r="A13" s="16">
        <v>11</v>
      </c>
      <c r="B13" s="25">
        <f t="shared" si="2"/>
        <v>46336</v>
      </c>
      <c r="C13" s="25">
        <f t="shared" si="0"/>
        <v>46342</v>
      </c>
      <c r="D13" s="16">
        <f>IF(AND(B13&gt;=$B$3,B13&lt;=DATE(VALUE(LEFT(Premissas!$G$22,4)),VALUE(MID(Premissas!$G$22,6,2)),VALUE(RIGHT(Premissas!$G$22,2)))),1,0)</f>
        <v>1</v>
      </c>
      <c r="E13" s="16">
        <f t="shared" si="1"/>
        <v>11</v>
      </c>
    </row>
    <row r="14" spans="1:5" ht="15" customHeight="1" x14ac:dyDescent="0.4">
      <c r="A14" s="16">
        <v>12</v>
      </c>
      <c r="B14" s="25">
        <f t="shared" si="2"/>
        <v>46343</v>
      </c>
      <c r="C14" s="25">
        <f t="shared" si="0"/>
        <v>46349</v>
      </c>
      <c r="D14" s="16">
        <f>IF(AND(B14&gt;=$B$3,B14&lt;=DATE(VALUE(LEFT(Premissas!$G$22,4)),VALUE(MID(Premissas!$G$22,6,2)),VALUE(RIGHT(Premissas!$G$22,2)))),1,0)</f>
        <v>1</v>
      </c>
      <c r="E14" s="16">
        <f t="shared" si="1"/>
        <v>11</v>
      </c>
    </row>
    <row r="15" spans="1:5" ht="15" customHeight="1" x14ac:dyDescent="0.4">
      <c r="A15" s="16">
        <v>13</v>
      </c>
      <c r="B15" s="25">
        <f t="shared" si="2"/>
        <v>46350</v>
      </c>
      <c r="C15" s="25">
        <f t="shared" si="0"/>
        <v>46356</v>
      </c>
      <c r="D15" s="16">
        <f>IF(AND(B15&gt;=$B$3,B15&lt;=DATE(VALUE(LEFT(Premissas!$G$22,4)),VALUE(MID(Premissas!$G$22,6,2)),VALUE(RIGHT(Premissas!$G$22,2)))),1,0)</f>
        <v>1</v>
      </c>
      <c r="E15" s="16">
        <f t="shared" si="1"/>
        <v>11</v>
      </c>
    </row>
    <row r="16" spans="1:5" ht="15" customHeight="1" x14ac:dyDescent="0.4">
      <c r="A16" s="16">
        <v>14</v>
      </c>
      <c r="B16" s="25">
        <f t="shared" si="2"/>
        <v>46357</v>
      </c>
      <c r="C16" s="25">
        <f t="shared" si="0"/>
        <v>46363</v>
      </c>
      <c r="D16" s="16">
        <f>IF(AND(B16&gt;=$B$3,B16&lt;=DATE(VALUE(LEFT(Premissas!$G$22,4)),VALUE(MID(Premissas!$G$22,6,2)),VALUE(RIGHT(Premissas!$G$22,2)))),1,0)</f>
        <v>1</v>
      </c>
      <c r="E16" s="16">
        <f t="shared" si="1"/>
        <v>12</v>
      </c>
    </row>
    <row r="17" spans="1:5" ht="15" customHeight="1" x14ac:dyDescent="0.4">
      <c r="A17" s="16">
        <v>15</v>
      </c>
      <c r="B17" s="25">
        <f t="shared" si="2"/>
        <v>46364</v>
      </c>
      <c r="C17" s="25">
        <f t="shared" si="0"/>
        <v>46370</v>
      </c>
      <c r="D17" s="16">
        <f>IF(AND(B17&gt;=$B$3,B17&lt;=DATE(VALUE(LEFT(Premissas!$G$22,4)),VALUE(MID(Premissas!$G$22,6,2)),VALUE(RIGHT(Premissas!$G$22,2)))),1,0)</f>
        <v>1</v>
      </c>
      <c r="E17" s="16">
        <f t="shared" si="1"/>
        <v>12</v>
      </c>
    </row>
    <row r="18" spans="1:5" ht="15" customHeight="1" x14ac:dyDescent="0.4">
      <c r="A18" s="16">
        <v>16</v>
      </c>
      <c r="B18" s="25">
        <f t="shared" si="2"/>
        <v>46371</v>
      </c>
      <c r="C18" s="25">
        <f t="shared" si="0"/>
        <v>46377</v>
      </c>
      <c r="D18" s="16">
        <f>IF(AND(B18&gt;=$B$3,B18&lt;=DATE(VALUE(LEFT(Premissas!$G$22,4)),VALUE(MID(Premissas!$G$22,6,2)),VALUE(RIGHT(Premissas!$G$22,2)))),1,0)</f>
        <v>1</v>
      </c>
      <c r="E18" s="16">
        <f t="shared" si="1"/>
        <v>12</v>
      </c>
    </row>
    <row r="19" spans="1:5" ht="15" customHeight="1" x14ac:dyDescent="0.4">
      <c r="A19" s="16">
        <v>17</v>
      </c>
      <c r="B19" s="25">
        <f t="shared" si="2"/>
        <v>46378</v>
      </c>
      <c r="C19" s="25">
        <f t="shared" si="0"/>
        <v>46384</v>
      </c>
      <c r="D19" s="16">
        <f>IF(AND(B19&gt;=$B$3,B19&lt;=DATE(VALUE(LEFT(Premissas!$G$22,4)),VALUE(MID(Premissas!$G$22,6,2)),VALUE(RIGHT(Premissas!$G$22,2)))),1,0)</f>
        <v>1</v>
      </c>
      <c r="E19" s="16">
        <f t="shared" si="1"/>
        <v>12</v>
      </c>
    </row>
    <row r="20" spans="1:5" ht="15" customHeight="1" x14ac:dyDescent="0.4">
      <c r="A20" s="16">
        <v>18</v>
      </c>
      <c r="B20" s="25">
        <f t="shared" si="2"/>
        <v>46385</v>
      </c>
      <c r="C20" s="25">
        <f t="shared" si="0"/>
        <v>46391</v>
      </c>
      <c r="D20" s="16">
        <f>IF(AND(B20&gt;=$B$3,B20&lt;=DATE(VALUE(LEFT(Premissas!$G$22,4)),VALUE(MID(Premissas!$G$22,6,2)),VALUE(RIGHT(Premissas!$G$22,2)))),1,0)</f>
        <v>1</v>
      </c>
      <c r="E20" s="16">
        <f t="shared" si="1"/>
        <v>12</v>
      </c>
    </row>
    <row r="21" spans="1:5" ht="15" customHeight="1" x14ac:dyDescent="0.4">
      <c r="A21" s="16">
        <v>19</v>
      </c>
      <c r="B21" s="25">
        <f t="shared" si="2"/>
        <v>46392</v>
      </c>
      <c r="C21" s="25">
        <f t="shared" si="0"/>
        <v>46398</v>
      </c>
      <c r="D21" s="16">
        <f>IF(AND(B21&gt;=$B$3,B21&lt;=DATE(VALUE(LEFT(Premissas!$G$22,4)),VALUE(MID(Premissas!$G$22,6,2)),VALUE(RIGHT(Premissas!$G$22,2)))),1,0)</f>
        <v>1</v>
      </c>
      <c r="E21" s="16">
        <f t="shared" si="1"/>
        <v>1</v>
      </c>
    </row>
    <row r="22" spans="1:5" ht="15" customHeight="1" x14ac:dyDescent="0.4">
      <c r="A22" s="16">
        <v>20</v>
      </c>
      <c r="B22" s="25">
        <f t="shared" si="2"/>
        <v>46399</v>
      </c>
      <c r="C22" s="25">
        <f t="shared" si="0"/>
        <v>46405</v>
      </c>
      <c r="D22" s="16">
        <f>IF(AND(B22&gt;=$B$3,B22&lt;=DATE(VALUE(LEFT(Premissas!$G$22,4)),VALUE(MID(Premissas!$G$22,6,2)),VALUE(RIGHT(Premissas!$G$22,2)))),1,0)</f>
        <v>1</v>
      </c>
      <c r="E22" s="16">
        <f t="shared" si="1"/>
        <v>1</v>
      </c>
    </row>
    <row r="23" spans="1:5" ht="15" customHeight="1" x14ac:dyDescent="0.4">
      <c r="A23" s="16">
        <v>21</v>
      </c>
      <c r="B23" s="25">
        <f t="shared" si="2"/>
        <v>46406</v>
      </c>
      <c r="C23" s="25">
        <f t="shared" si="0"/>
        <v>46412</v>
      </c>
      <c r="D23" s="16">
        <f>IF(AND(B23&gt;=$B$3,B23&lt;=DATE(VALUE(LEFT(Premissas!$G$22,4)),VALUE(MID(Premissas!$G$22,6,2)),VALUE(RIGHT(Premissas!$G$22,2)))),1,0)</f>
        <v>1</v>
      </c>
      <c r="E23" s="16">
        <f t="shared" si="1"/>
        <v>1</v>
      </c>
    </row>
    <row r="24" spans="1:5" ht="15" customHeight="1" x14ac:dyDescent="0.4">
      <c r="A24" s="16">
        <v>22</v>
      </c>
      <c r="B24" s="25">
        <f t="shared" si="2"/>
        <v>46413</v>
      </c>
      <c r="C24" s="25">
        <f t="shared" si="0"/>
        <v>46419</v>
      </c>
      <c r="D24" s="16">
        <f>IF(AND(B24&gt;=$B$3,B24&lt;=DATE(VALUE(LEFT(Premissas!$G$22,4)),VALUE(MID(Premissas!$G$22,6,2)),VALUE(RIGHT(Premissas!$G$22,2)))),1,0)</f>
        <v>1</v>
      </c>
      <c r="E24" s="16">
        <f t="shared" si="1"/>
        <v>1</v>
      </c>
    </row>
    <row r="25" spans="1:5" ht="15" customHeight="1" x14ac:dyDescent="0.4">
      <c r="A25" s="16">
        <v>23</v>
      </c>
      <c r="B25" s="25">
        <f t="shared" si="2"/>
        <v>46420</v>
      </c>
      <c r="C25" s="25">
        <f t="shared" si="0"/>
        <v>46426</v>
      </c>
      <c r="D25" s="16">
        <f>IF(AND(B25&gt;=$B$3,B25&lt;=DATE(VALUE(LEFT(Premissas!$G$22,4)),VALUE(MID(Premissas!$G$22,6,2)),VALUE(RIGHT(Premissas!$G$22,2)))),1,0)</f>
        <v>1</v>
      </c>
      <c r="E25" s="16">
        <f t="shared" si="1"/>
        <v>2</v>
      </c>
    </row>
    <row r="26" spans="1:5" ht="15" customHeight="1" x14ac:dyDescent="0.4">
      <c r="A26" s="16">
        <v>24</v>
      </c>
      <c r="B26" s="25">
        <f t="shared" si="2"/>
        <v>46427</v>
      </c>
      <c r="C26" s="25">
        <f t="shared" si="0"/>
        <v>46433</v>
      </c>
      <c r="D26" s="16">
        <f>IF(AND(B26&gt;=$B$3,B26&lt;=DATE(VALUE(LEFT(Premissas!$G$22,4)),VALUE(MID(Premissas!$G$22,6,2)),VALUE(RIGHT(Premissas!$G$22,2)))),1,0)</f>
        <v>1</v>
      </c>
      <c r="E26" s="16">
        <f t="shared" si="1"/>
        <v>2</v>
      </c>
    </row>
    <row r="27" spans="1:5" ht="15" customHeight="1" x14ac:dyDescent="0.4">
      <c r="A27" s="16">
        <v>25</v>
      </c>
      <c r="B27" s="25">
        <f t="shared" si="2"/>
        <v>46434</v>
      </c>
      <c r="C27" s="25">
        <f t="shared" si="0"/>
        <v>46440</v>
      </c>
      <c r="D27" s="16">
        <f>IF(AND(B27&gt;=$B$3,B27&lt;=DATE(VALUE(LEFT(Premissas!$G$22,4)),VALUE(MID(Premissas!$G$22,6,2)),VALUE(RIGHT(Premissas!$G$22,2)))),1,0)</f>
        <v>1</v>
      </c>
      <c r="E27" s="16">
        <f t="shared" si="1"/>
        <v>2</v>
      </c>
    </row>
    <row r="28" spans="1:5" ht="15" customHeight="1" x14ac:dyDescent="0.4">
      <c r="A28" s="16">
        <v>26</v>
      </c>
      <c r="B28" s="25">
        <f t="shared" si="2"/>
        <v>46441</v>
      </c>
      <c r="C28" s="25">
        <f t="shared" si="0"/>
        <v>46447</v>
      </c>
      <c r="D28" s="16">
        <f>IF(AND(B28&gt;=$B$3,B28&lt;=DATE(VALUE(LEFT(Premissas!$G$22,4)),VALUE(MID(Premissas!$G$22,6,2)),VALUE(RIGHT(Premissas!$G$22,2)))),1,0)</f>
        <v>1</v>
      </c>
      <c r="E28" s="16">
        <f t="shared" si="1"/>
        <v>2</v>
      </c>
    </row>
    <row r="29" spans="1:5" ht="15" customHeight="1" x14ac:dyDescent="0.4">
      <c r="A29" s="16">
        <v>27</v>
      </c>
      <c r="B29" s="25">
        <f t="shared" si="2"/>
        <v>46448</v>
      </c>
      <c r="C29" s="25">
        <f t="shared" si="0"/>
        <v>46454</v>
      </c>
      <c r="D29" s="16">
        <f>IF(AND(B29&gt;=$B$3,B29&lt;=DATE(VALUE(LEFT(Premissas!$G$22,4)),VALUE(MID(Premissas!$G$22,6,2)),VALUE(RIGHT(Premissas!$G$22,2)))),1,0)</f>
        <v>1</v>
      </c>
      <c r="E29" s="16">
        <f t="shared" si="1"/>
        <v>3</v>
      </c>
    </row>
    <row r="30" spans="1:5" ht="15" customHeight="1" x14ac:dyDescent="0.4">
      <c r="A30" s="16">
        <v>28</v>
      </c>
      <c r="B30" s="25">
        <f t="shared" si="2"/>
        <v>46455</v>
      </c>
      <c r="C30" s="25">
        <f t="shared" si="0"/>
        <v>46461</v>
      </c>
      <c r="D30" s="16">
        <f>IF(AND(B30&gt;=$B$3,B30&lt;=DATE(VALUE(LEFT(Premissas!$G$22,4)),VALUE(MID(Premissas!$G$22,6,2)),VALUE(RIGHT(Premissas!$G$22,2)))),1,0)</f>
        <v>1</v>
      </c>
      <c r="E30" s="16">
        <f t="shared" si="1"/>
        <v>3</v>
      </c>
    </row>
    <row r="31" spans="1:5" ht="15" customHeight="1" x14ac:dyDescent="0.4">
      <c r="A31" s="16">
        <v>29</v>
      </c>
      <c r="B31" s="25">
        <f t="shared" si="2"/>
        <v>46462</v>
      </c>
      <c r="C31" s="25">
        <f t="shared" si="0"/>
        <v>46468</v>
      </c>
      <c r="D31" s="16">
        <f>IF(AND(B31&gt;=$B$3,B31&lt;=DATE(VALUE(LEFT(Premissas!$G$22,4)),VALUE(MID(Premissas!$G$22,6,2)),VALUE(RIGHT(Premissas!$G$22,2)))),1,0)</f>
        <v>1</v>
      </c>
      <c r="E31" s="16">
        <f t="shared" si="1"/>
        <v>3</v>
      </c>
    </row>
    <row r="32" spans="1:5" ht="15" customHeight="1" x14ac:dyDescent="0.4">
      <c r="A32" s="16">
        <v>30</v>
      </c>
      <c r="B32" s="25">
        <f t="shared" si="2"/>
        <v>46469</v>
      </c>
      <c r="C32" s="25">
        <f t="shared" si="0"/>
        <v>46475</v>
      </c>
      <c r="D32" s="16">
        <f>IF(AND(B32&gt;=$B$3,B32&lt;=DATE(VALUE(LEFT(Premissas!$G$22,4)),VALUE(MID(Premissas!$G$22,6,2)),VALUE(RIGHT(Premissas!$G$22,2)))),1,0)</f>
        <v>1</v>
      </c>
      <c r="E32" s="16">
        <f t="shared" si="1"/>
        <v>3</v>
      </c>
    </row>
    <row r="33" spans="1:5" ht="15" customHeight="1" x14ac:dyDescent="0.4">
      <c r="A33" s="16">
        <v>31</v>
      </c>
      <c r="B33" s="25">
        <f t="shared" si="2"/>
        <v>46476</v>
      </c>
      <c r="C33" s="25">
        <f t="shared" si="0"/>
        <v>46482</v>
      </c>
      <c r="D33" s="16">
        <f>IF(AND(B33&gt;=$B$3,B33&lt;=DATE(VALUE(LEFT(Premissas!$G$22,4)),VALUE(MID(Premissas!$G$22,6,2)),VALUE(RIGHT(Premissas!$G$22,2)))),1,0)</f>
        <v>1</v>
      </c>
      <c r="E33" s="16">
        <f t="shared" si="1"/>
        <v>3</v>
      </c>
    </row>
    <row r="34" spans="1:5" ht="15" customHeight="1" x14ac:dyDescent="0.4">
      <c r="A34" s="16">
        <v>32</v>
      </c>
      <c r="B34" s="25">
        <f t="shared" si="2"/>
        <v>46483</v>
      </c>
      <c r="C34" s="25">
        <f t="shared" si="0"/>
        <v>46489</v>
      </c>
      <c r="D34" s="16">
        <f>IF(AND(B34&gt;=$B$3,B34&lt;=DATE(VALUE(LEFT(Premissas!$G$22,4)),VALUE(MID(Premissas!$G$22,6,2)),VALUE(RIGHT(Premissas!$G$22,2)))),1,0)</f>
        <v>0</v>
      </c>
      <c r="E34" s="16">
        <f t="shared" si="1"/>
        <v>4</v>
      </c>
    </row>
    <row r="35" spans="1:5" ht="15" customHeight="1" x14ac:dyDescent="0.4">
      <c r="A35" s="16">
        <v>33</v>
      </c>
      <c r="B35" s="25">
        <f t="shared" si="2"/>
        <v>46490</v>
      </c>
      <c r="C35" s="25">
        <f t="shared" ref="C35:C66" si="3">B35+6</f>
        <v>46496</v>
      </c>
      <c r="D35" s="16">
        <f>IF(AND(B35&gt;=$B$3,B35&lt;=DATE(VALUE(LEFT(Premissas!$G$22,4)),VALUE(MID(Premissas!$G$22,6,2)),VALUE(RIGHT(Premissas!$G$22,2)))),1,0)</f>
        <v>0</v>
      </c>
      <c r="E35" s="16">
        <f t="shared" ref="E35:E54" si="4">MONTH(B35)</f>
        <v>4</v>
      </c>
    </row>
    <row r="36" spans="1:5" ht="15" customHeight="1" x14ac:dyDescent="0.4">
      <c r="A36" s="16">
        <v>34</v>
      </c>
      <c r="B36" s="25">
        <f t="shared" ref="B36:B54" si="5">B35+7</f>
        <v>46497</v>
      </c>
      <c r="C36" s="25">
        <f t="shared" si="3"/>
        <v>46503</v>
      </c>
      <c r="D36" s="16">
        <f>IF(AND(B36&gt;=$B$3,B36&lt;=DATE(VALUE(LEFT(Premissas!$G$22,4)),VALUE(MID(Premissas!$G$22,6,2)),VALUE(RIGHT(Premissas!$G$22,2)))),1,0)</f>
        <v>0</v>
      </c>
      <c r="E36" s="16">
        <f t="shared" si="4"/>
        <v>4</v>
      </c>
    </row>
    <row r="37" spans="1:5" ht="15" customHeight="1" x14ac:dyDescent="0.4">
      <c r="A37" s="16">
        <v>35</v>
      </c>
      <c r="B37" s="25">
        <f t="shared" si="5"/>
        <v>46504</v>
      </c>
      <c r="C37" s="25">
        <f t="shared" si="3"/>
        <v>46510</v>
      </c>
      <c r="D37" s="16">
        <f>IF(AND(B37&gt;=$B$3,B37&lt;=DATE(VALUE(LEFT(Premissas!$G$22,4)),VALUE(MID(Premissas!$G$22,6,2)),VALUE(RIGHT(Premissas!$G$22,2)))),1,0)</f>
        <v>0</v>
      </c>
      <c r="E37" s="16">
        <f t="shared" si="4"/>
        <v>4</v>
      </c>
    </row>
    <row r="38" spans="1:5" ht="15" customHeight="1" x14ac:dyDescent="0.4">
      <c r="A38" s="16">
        <v>36</v>
      </c>
      <c r="B38" s="25">
        <f t="shared" si="5"/>
        <v>46511</v>
      </c>
      <c r="C38" s="25">
        <f t="shared" si="3"/>
        <v>46517</v>
      </c>
      <c r="D38" s="16">
        <f>IF(AND(B38&gt;=$B$3,B38&lt;=DATE(VALUE(LEFT(Premissas!$G$22,4)),VALUE(MID(Premissas!$G$22,6,2)),VALUE(RIGHT(Premissas!$G$22,2)))),1,0)</f>
        <v>0</v>
      </c>
      <c r="E38" s="16">
        <f t="shared" si="4"/>
        <v>5</v>
      </c>
    </row>
    <row r="39" spans="1:5" ht="15" customHeight="1" x14ac:dyDescent="0.4">
      <c r="A39" s="16">
        <v>37</v>
      </c>
      <c r="B39" s="25">
        <f t="shared" si="5"/>
        <v>46518</v>
      </c>
      <c r="C39" s="25">
        <f t="shared" si="3"/>
        <v>46524</v>
      </c>
      <c r="D39" s="16">
        <f>IF(AND(B39&gt;=$B$3,B39&lt;=DATE(VALUE(LEFT(Premissas!$G$22,4)),VALUE(MID(Premissas!$G$22,6,2)),VALUE(RIGHT(Premissas!$G$22,2)))),1,0)</f>
        <v>0</v>
      </c>
      <c r="E39" s="16">
        <f t="shared" si="4"/>
        <v>5</v>
      </c>
    </row>
    <row r="40" spans="1:5" ht="15" customHeight="1" x14ac:dyDescent="0.4">
      <c r="A40" s="16">
        <v>38</v>
      </c>
      <c r="B40" s="25">
        <f t="shared" si="5"/>
        <v>46525</v>
      </c>
      <c r="C40" s="25">
        <f t="shared" si="3"/>
        <v>46531</v>
      </c>
      <c r="D40" s="16">
        <f>IF(AND(B40&gt;=$B$3,B40&lt;=DATE(VALUE(LEFT(Premissas!$G$22,4)),VALUE(MID(Premissas!$G$22,6,2)),VALUE(RIGHT(Premissas!$G$22,2)))),1,0)</f>
        <v>0</v>
      </c>
      <c r="E40" s="16">
        <f t="shared" si="4"/>
        <v>5</v>
      </c>
    </row>
    <row r="41" spans="1:5" ht="15" customHeight="1" x14ac:dyDescent="0.4">
      <c r="A41" s="16">
        <v>39</v>
      </c>
      <c r="B41" s="25">
        <f t="shared" si="5"/>
        <v>46532</v>
      </c>
      <c r="C41" s="25">
        <f t="shared" si="3"/>
        <v>46538</v>
      </c>
      <c r="D41" s="16">
        <f>IF(AND(B41&gt;=$B$3,B41&lt;=DATE(VALUE(LEFT(Premissas!$G$22,4)),VALUE(MID(Premissas!$G$22,6,2)),VALUE(RIGHT(Premissas!$G$22,2)))),1,0)</f>
        <v>0</v>
      </c>
      <c r="E41" s="16">
        <f t="shared" si="4"/>
        <v>5</v>
      </c>
    </row>
    <row r="42" spans="1:5" ht="15" customHeight="1" x14ac:dyDescent="0.4">
      <c r="A42" s="16">
        <v>40</v>
      </c>
      <c r="B42" s="25">
        <f t="shared" si="5"/>
        <v>46539</v>
      </c>
      <c r="C42" s="25">
        <f t="shared" si="3"/>
        <v>46545</v>
      </c>
      <c r="D42" s="16">
        <f>IF(AND(B42&gt;=$B$3,B42&lt;=DATE(VALUE(LEFT(Premissas!$G$22,4)),VALUE(MID(Premissas!$G$22,6,2)),VALUE(RIGHT(Premissas!$G$22,2)))),1,0)</f>
        <v>0</v>
      </c>
      <c r="E42" s="16">
        <f t="shared" si="4"/>
        <v>6</v>
      </c>
    </row>
    <row r="43" spans="1:5" ht="15" customHeight="1" x14ac:dyDescent="0.4">
      <c r="A43" s="16">
        <v>41</v>
      </c>
      <c r="B43" s="25">
        <f t="shared" si="5"/>
        <v>46546</v>
      </c>
      <c r="C43" s="25">
        <f t="shared" si="3"/>
        <v>46552</v>
      </c>
      <c r="D43" s="16">
        <f>IF(AND(B43&gt;=$B$3,B43&lt;=DATE(VALUE(LEFT(Premissas!$G$22,4)),VALUE(MID(Premissas!$G$22,6,2)),VALUE(RIGHT(Premissas!$G$22,2)))),1,0)</f>
        <v>0</v>
      </c>
      <c r="E43" s="16">
        <f t="shared" si="4"/>
        <v>6</v>
      </c>
    </row>
    <row r="44" spans="1:5" ht="15" customHeight="1" x14ac:dyDescent="0.4">
      <c r="A44" s="16">
        <v>42</v>
      </c>
      <c r="B44" s="25">
        <f t="shared" si="5"/>
        <v>46553</v>
      </c>
      <c r="C44" s="25">
        <f t="shared" si="3"/>
        <v>46559</v>
      </c>
      <c r="D44" s="16">
        <f>IF(AND(B44&gt;=$B$3,B44&lt;=DATE(VALUE(LEFT(Premissas!$G$22,4)),VALUE(MID(Premissas!$G$22,6,2)),VALUE(RIGHT(Premissas!$G$22,2)))),1,0)</f>
        <v>0</v>
      </c>
      <c r="E44" s="16">
        <f t="shared" si="4"/>
        <v>6</v>
      </c>
    </row>
    <row r="45" spans="1:5" ht="15" customHeight="1" x14ac:dyDescent="0.4">
      <c r="A45" s="16">
        <v>43</v>
      </c>
      <c r="B45" s="25">
        <f t="shared" si="5"/>
        <v>46560</v>
      </c>
      <c r="C45" s="25">
        <f t="shared" si="3"/>
        <v>46566</v>
      </c>
      <c r="D45" s="16">
        <f>IF(AND(B45&gt;=$B$3,B45&lt;=DATE(VALUE(LEFT(Premissas!$G$22,4)),VALUE(MID(Premissas!$G$22,6,2)),VALUE(RIGHT(Premissas!$G$22,2)))),1,0)</f>
        <v>0</v>
      </c>
      <c r="E45" s="16">
        <f t="shared" si="4"/>
        <v>6</v>
      </c>
    </row>
    <row r="46" spans="1:5" ht="15" customHeight="1" x14ac:dyDescent="0.4">
      <c r="A46" s="16">
        <v>44</v>
      </c>
      <c r="B46" s="25">
        <f t="shared" si="5"/>
        <v>46567</v>
      </c>
      <c r="C46" s="25">
        <f t="shared" si="3"/>
        <v>46573</v>
      </c>
      <c r="D46" s="16">
        <f>IF(AND(B46&gt;=$B$3,B46&lt;=DATE(VALUE(LEFT(Premissas!$G$22,4)),VALUE(MID(Premissas!$G$22,6,2)),VALUE(RIGHT(Premissas!$G$22,2)))),1,0)</f>
        <v>0</v>
      </c>
      <c r="E46" s="16">
        <f t="shared" si="4"/>
        <v>6</v>
      </c>
    </row>
    <row r="47" spans="1:5" ht="15" customHeight="1" x14ac:dyDescent="0.4">
      <c r="A47" s="16">
        <v>45</v>
      </c>
      <c r="B47" s="25">
        <f t="shared" si="5"/>
        <v>46574</v>
      </c>
      <c r="C47" s="25">
        <f t="shared" si="3"/>
        <v>46580</v>
      </c>
      <c r="D47" s="16">
        <f>IF(AND(B47&gt;=$B$3,B47&lt;=DATE(VALUE(LEFT(Premissas!$G$22,4)),VALUE(MID(Premissas!$G$22,6,2)),VALUE(RIGHT(Premissas!$G$22,2)))),1,0)</f>
        <v>0</v>
      </c>
      <c r="E47" s="16">
        <f t="shared" si="4"/>
        <v>7</v>
      </c>
    </row>
    <row r="48" spans="1:5" ht="15" customHeight="1" x14ac:dyDescent="0.4">
      <c r="A48" s="16">
        <v>46</v>
      </c>
      <c r="B48" s="25">
        <f t="shared" si="5"/>
        <v>46581</v>
      </c>
      <c r="C48" s="25">
        <f t="shared" si="3"/>
        <v>46587</v>
      </c>
      <c r="D48" s="16">
        <f>IF(AND(B48&gt;=$B$3,B48&lt;=DATE(VALUE(LEFT(Premissas!$G$22,4)),VALUE(MID(Premissas!$G$22,6,2)),VALUE(RIGHT(Premissas!$G$22,2)))),1,0)</f>
        <v>0</v>
      </c>
      <c r="E48" s="16">
        <f t="shared" si="4"/>
        <v>7</v>
      </c>
    </row>
    <row r="49" spans="1:5" ht="15" customHeight="1" x14ac:dyDescent="0.4">
      <c r="A49" s="16">
        <v>47</v>
      </c>
      <c r="B49" s="25">
        <f t="shared" si="5"/>
        <v>46588</v>
      </c>
      <c r="C49" s="25">
        <f t="shared" si="3"/>
        <v>46594</v>
      </c>
      <c r="D49" s="16">
        <f>IF(AND(B49&gt;=$B$3,B49&lt;=DATE(VALUE(LEFT(Premissas!$G$22,4)),VALUE(MID(Premissas!$G$22,6,2)),VALUE(RIGHT(Premissas!$G$22,2)))),1,0)</f>
        <v>0</v>
      </c>
      <c r="E49" s="16">
        <f t="shared" si="4"/>
        <v>7</v>
      </c>
    </row>
    <row r="50" spans="1:5" ht="15" customHeight="1" x14ac:dyDescent="0.4">
      <c r="A50" s="16">
        <v>48</v>
      </c>
      <c r="B50" s="25">
        <f t="shared" si="5"/>
        <v>46595</v>
      </c>
      <c r="C50" s="25">
        <f t="shared" si="3"/>
        <v>46601</v>
      </c>
      <c r="D50" s="16">
        <f>IF(AND(B50&gt;=$B$3,B50&lt;=DATE(VALUE(LEFT(Premissas!$G$22,4)),VALUE(MID(Premissas!$G$22,6,2)),VALUE(RIGHT(Premissas!$G$22,2)))),1,0)</f>
        <v>0</v>
      </c>
      <c r="E50" s="16">
        <f t="shared" si="4"/>
        <v>7</v>
      </c>
    </row>
    <row r="51" spans="1:5" ht="15" customHeight="1" x14ac:dyDescent="0.4">
      <c r="A51" s="16">
        <v>49</v>
      </c>
      <c r="B51" s="25">
        <f t="shared" si="5"/>
        <v>46602</v>
      </c>
      <c r="C51" s="25">
        <f t="shared" si="3"/>
        <v>46608</v>
      </c>
      <c r="D51" s="16">
        <f>IF(AND(B51&gt;=$B$3,B51&lt;=DATE(VALUE(LEFT(Premissas!$G$22,4)),VALUE(MID(Premissas!$G$22,6,2)),VALUE(RIGHT(Premissas!$G$22,2)))),1,0)</f>
        <v>0</v>
      </c>
      <c r="E51" s="16">
        <f t="shared" si="4"/>
        <v>8</v>
      </c>
    </row>
    <row r="52" spans="1:5" ht="15" customHeight="1" x14ac:dyDescent="0.4">
      <c r="A52" s="16">
        <v>50</v>
      </c>
      <c r="B52" s="25">
        <f t="shared" si="5"/>
        <v>46609</v>
      </c>
      <c r="C52" s="25">
        <f t="shared" si="3"/>
        <v>46615</v>
      </c>
      <c r="D52" s="16">
        <f>IF(AND(B52&gt;=$B$3,B52&lt;=DATE(VALUE(LEFT(Premissas!$G$22,4)),VALUE(MID(Premissas!$G$22,6,2)),VALUE(RIGHT(Premissas!$G$22,2)))),1,0)</f>
        <v>0</v>
      </c>
      <c r="E52" s="16">
        <f t="shared" si="4"/>
        <v>8</v>
      </c>
    </row>
    <row r="53" spans="1:5" ht="15" customHeight="1" x14ac:dyDescent="0.4">
      <c r="A53" s="16">
        <v>51</v>
      </c>
      <c r="B53" s="25">
        <f t="shared" si="5"/>
        <v>46616</v>
      </c>
      <c r="C53" s="25">
        <f t="shared" si="3"/>
        <v>46622</v>
      </c>
      <c r="D53" s="16">
        <f>IF(AND(B53&gt;=$B$3,B53&lt;=DATE(VALUE(LEFT(Premissas!$G$22,4)),VALUE(MID(Premissas!$G$22,6,2)),VALUE(RIGHT(Premissas!$G$22,2)))),1,0)</f>
        <v>0</v>
      </c>
      <c r="E53" s="16">
        <f t="shared" si="4"/>
        <v>8</v>
      </c>
    </row>
    <row r="54" spans="1:5" ht="15" customHeight="1" x14ac:dyDescent="0.4">
      <c r="A54" s="16">
        <v>52</v>
      </c>
      <c r="B54" s="25">
        <f t="shared" si="5"/>
        <v>46623</v>
      </c>
      <c r="C54" s="25">
        <f t="shared" si="3"/>
        <v>46629</v>
      </c>
      <c r="D54" s="16">
        <f>IF(AND(B54&gt;=$B$3,B54&lt;=DATE(VALUE(LEFT(Premissas!$G$22,4)),VALUE(MID(Premissas!$G$22,6,2)),VALUE(RIGHT(Premissas!$G$22,2)))),1,0)</f>
        <v>0</v>
      </c>
      <c r="E54" s="16">
        <f t="shared" si="4"/>
        <v>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2B5B7"/>
  </sheetPr>
  <dimension ref="A1:BA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9140625" defaultRowHeight="14.6" x14ac:dyDescent="0.4"/>
  <cols>
    <col min="1" max="1" width="20" customWidth="1"/>
    <col min="2" max="53" width="9" customWidth="1"/>
  </cols>
  <sheetData>
    <row r="1" spans="1:53" ht="15.75" customHeight="1" x14ac:dyDescent="0.45">
      <c r="A1" s="3" t="s">
        <v>1439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53" ht="15" customHeight="1" x14ac:dyDescent="0.4">
      <c r="A2" s="12" t="s">
        <v>1440</v>
      </c>
      <c r="B2">
        <f>INDEX(Semanas!$E$3:$E$54,1)</f>
        <v>9</v>
      </c>
      <c r="C2">
        <f>INDEX(Semanas!$E$3:$E$54,2)</f>
        <v>9</v>
      </c>
      <c r="D2">
        <f>INDEX(Semanas!$E$3:$E$54,3)</f>
        <v>9</v>
      </c>
      <c r="E2">
        <f>INDEX(Semanas!$E$3:$E$54,4)</f>
        <v>9</v>
      </c>
      <c r="F2">
        <f>INDEX(Semanas!$E$3:$E$54,5)</f>
        <v>9</v>
      </c>
      <c r="G2">
        <f>INDEX(Semanas!$E$3:$E$54,6)</f>
        <v>10</v>
      </c>
      <c r="H2">
        <f>INDEX(Semanas!$E$3:$E$54,7)</f>
        <v>10</v>
      </c>
      <c r="I2">
        <f>INDEX(Semanas!$E$3:$E$54,8)</f>
        <v>10</v>
      </c>
      <c r="J2">
        <f>INDEX(Semanas!$E$3:$E$54,9)</f>
        <v>10</v>
      </c>
      <c r="K2">
        <f>INDEX(Semanas!$E$3:$E$54,10)</f>
        <v>11</v>
      </c>
      <c r="L2">
        <f>INDEX(Semanas!$E$3:$E$54,11)</f>
        <v>11</v>
      </c>
      <c r="M2">
        <f>INDEX(Semanas!$E$3:$E$54,12)</f>
        <v>11</v>
      </c>
      <c r="N2">
        <f>INDEX(Semanas!$E$3:$E$54,13)</f>
        <v>11</v>
      </c>
      <c r="O2">
        <f>INDEX(Semanas!$E$3:$E$54,14)</f>
        <v>12</v>
      </c>
      <c r="P2">
        <f>INDEX(Semanas!$E$3:$E$54,15)</f>
        <v>12</v>
      </c>
      <c r="Q2">
        <f>INDEX(Semanas!$E$3:$E$54,16)</f>
        <v>12</v>
      </c>
      <c r="R2">
        <f>INDEX(Semanas!$E$3:$E$54,17)</f>
        <v>12</v>
      </c>
      <c r="S2">
        <f>INDEX(Semanas!$E$3:$E$54,18)</f>
        <v>12</v>
      </c>
      <c r="T2">
        <f>INDEX(Semanas!$E$3:$E$54,19)</f>
        <v>1</v>
      </c>
      <c r="U2">
        <f>INDEX(Semanas!$E$3:$E$54,20)</f>
        <v>1</v>
      </c>
      <c r="V2">
        <f>INDEX(Semanas!$E$3:$E$54,21)</f>
        <v>1</v>
      </c>
      <c r="W2">
        <f>INDEX(Semanas!$E$3:$E$54,22)</f>
        <v>1</v>
      </c>
      <c r="X2">
        <f>INDEX(Semanas!$E$3:$E$54,23)</f>
        <v>2</v>
      </c>
      <c r="Y2">
        <f>INDEX(Semanas!$E$3:$E$54,24)</f>
        <v>2</v>
      </c>
      <c r="Z2">
        <f>INDEX(Semanas!$E$3:$E$54,25)</f>
        <v>2</v>
      </c>
      <c r="AA2">
        <f>INDEX(Semanas!$E$3:$E$54,26)</f>
        <v>2</v>
      </c>
      <c r="AB2">
        <f>INDEX(Semanas!$E$3:$E$54,27)</f>
        <v>3</v>
      </c>
      <c r="AC2">
        <f>INDEX(Semanas!$E$3:$E$54,28)</f>
        <v>3</v>
      </c>
      <c r="AD2">
        <f>INDEX(Semanas!$E$3:$E$54,29)</f>
        <v>3</v>
      </c>
      <c r="AE2">
        <f>INDEX(Semanas!$E$3:$E$54,30)</f>
        <v>3</v>
      </c>
      <c r="AF2">
        <f>INDEX(Semanas!$E$3:$E$54,31)</f>
        <v>3</v>
      </c>
      <c r="AG2">
        <f>INDEX(Semanas!$E$3:$E$54,32)</f>
        <v>4</v>
      </c>
      <c r="AH2">
        <f>INDEX(Semanas!$E$3:$E$54,33)</f>
        <v>4</v>
      </c>
      <c r="AI2">
        <f>INDEX(Semanas!$E$3:$E$54,34)</f>
        <v>4</v>
      </c>
      <c r="AJ2">
        <f>INDEX(Semanas!$E$3:$E$54,35)</f>
        <v>4</v>
      </c>
      <c r="AK2">
        <f>INDEX(Semanas!$E$3:$E$54,36)</f>
        <v>5</v>
      </c>
      <c r="AL2">
        <f>INDEX(Semanas!$E$3:$E$54,37)</f>
        <v>5</v>
      </c>
      <c r="AM2">
        <f>INDEX(Semanas!$E$3:$E$54,38)</f>
        <v>5</v>
      </c>
      <c r="AN2">
        <f>INDEX(Semanas!$E$3:$E$54,39)</f>
        <v>5</v>
      </c>
      <c r="AO2">
        <f>INDEX(Semanas!$E$3:$E$54,40)</f>
        <v>6</v>
      </c>
      <c r="AP2">
        <f>INDEX(Semanas!$E$3:$E$54,41)</f>
        <v>6</v>
      </c>
      <c r="AQ2">
        <f>INDEX(Semanas!$E$3:$E$54,42)</f>
        <v>6</v>
      </c>
      <c r="AR2">
        <f>INDEX(Semanas!$E$3:$E$54,43)</f>
        <v>6</v>
      </c>
      <c r="AS2">
        <f>INDEX(Semanas!$E$3:$E$54,44)</f>
        <v>6</v>
      </c>
      <c r="AT2">
        <f>INDEX(Semanas!$E$3:$E$54,45)</f>
        <v>7</v>
      </c>
      <c r="AU2">
        <f>INDEX(Semanas!$E$3:$E$54,46)</f>
        <v>7</v>
      </c>
      <c r="AV2">
        <f>INDEX(Semanas!$E$3:$E$54,47)</f>
        <v>7</v>
      </c>
      <c r="AW2">
        <f>INDEX(Semanas!$E$3:$E$54,48)</f>
        <v>7</v>
      </c>
      <c r="AX2">
        <f>INDEX(Semanas!$E$3:$E$54,49)</f>
        <v>8</v>
      </c>
      <c r="AY2">
        <f>INDEX(Semanas!$E$3:$E$54,50)</f>
        <v>8</v>
      </c>
      <c r="AZ2">
        <f>INDEX(Semanas!$E$3:$E$54,51)</f>
        <v>8</v>
      </c>
      <c r="BA2">
        <f>INDEX(Semanas!$E$3:$E$54,52)</f>
        <v>8</v>
      </c>
    </row>
    <row r="3" spans="1:53" ht="15" customHeight="1" x14ac:dyDescent="0.4">
      <c r="A3" s="12" t="s">
        <v>1441</v>
      </c>
      <c r="B3">
        <f>INDEX(Semanas!$D$3:$D$54,1)</f>
        <v>1</v>
      </c>
      <c r="C3">
        <f>INDEX(Semanas!$D$3:$D$54,2)</f>
        <v>1</v>
      </c>
      <c r="D3">
        <f>INDEX(Semanas!$D$3:$D$54,3)</f>
        <v>1</v>
      </c>
      <c r="E3">
        <f>INDEX(Semanas!$D$3:$D$54,4)</f>
        <v>1</v>
      </c>
      <c r="F3">
        <f>INDEX(Semanas!$D$3:$D$54,5)</f>
        <v>1</v>
      </c>
      <c r="G3">
        <f>INDEX(Semanas!$D$3:$D$54,6)</f>
        <v>1</v>
      </c>
      <c r="H3">
        <f>INDEX(Semanas!$D$3:$D$54,7)</f>
        <v>1</v>
      </c>
      <c r="I3">
        <f>INDEX(Semanas!$D$3:$D$54,8)</f>
        <v>1</v>
      </c>
      <c r="J3">
        <f>INDEX(Semanas!$D$3:$D$54,9)</f>
        <v>1</v>
      </c>
      <c r="K3">
        <f>INDEX(Semanas!$D$3:$D$54,10)</f>
        <v>1</v>
      </c>
      <c r="L3">
        <f>INDEX(Semanas!$D$3:$D$54,11)</f>
        <v>1</v>
      </c>
      <c r="M3">
        <f>INDEX(Semanas!$D$3:$D$54,12)</f>
        <v>1</v>
      </c>
      <c r="N3">
        <f>INDEX(Semanas!$D$3:$D$54,13)</f>
        <v>1</v>
      </c>
      <c r="O3">
        <f>INDEX(Semanas!$D$3:$D$54,14)</f>
        <v>1</v>
      </c>
      <c r="P3">
        <f>INDEX(Semanas!$D$3:$D$54,15)</f>
        <v>1</v>
      </c>
      <c r="Q3">
        <f>INDEX(Semanas!$D$3:$D$54,16)</f>
        <v>1</v>
      </c>
      <c r="R3">
        <f>INDEX(Semanas!$D$3:$D$54,17)</f>
        <v>1</v>
      </c>
      <c r="S3">
        <f>INDEX(Semanas!$D$3:$D$54,18)</f>
        <v>1</v>
      </c>
      <c r="T3">
        <f>INDEX(Semanas!$D$3:$D$54,19)</f>
        <v>1</v>
      </c>
      <c r="U3">
        <f>INDEX(Semanas!$D$3:$D$54,20)</f>
        <v>1</v>
      </c>
      <c r="V3">
        <f>INDEX(Semanas!$D$3:$D$54,21)</f>
        <v>1</v>
      </c>
      <c r="W3">
        <f>INDEX(Semanas!$D$3:$D$54,22)</f>
        <v>1</v>
      </c>
      <c r="X3">
        <f>INDEX(Semanas!$D$3:$D$54,23)</f>
        <v>1</v>
      </c>
      <c r="Y3">
        <f>INDEX(Semanas!$D$3:$D$54,24)</f>
        <v>1</v>
      </c>
      <c r="Z3">
        <f>INDEX(Semanas!$D$3:$D$54,25)</f>
        <v>1</v>
      </c>
      <c r="AA3">
        <f>INDEX(Semanas!$D$3:$D$54,26)</f>
        <v>1</v>
      </c>
      <c r="AB3">
        <f>INDEX(Semanas!$D$3:$D$54,27)</f>
        <v>1</v>
      </c>
      <c r="AC3">
        <f>INDEX(Semanas!$D$3:$D$54,28)</f>
        <v>1</v>
      </c>
      <c r="AD3">
        <f>INDEX(Semanas!$D$3:$D$54,29)</f>
        <v>1</v>
      </c>
      <c r="AE3">
        <f>INDEX(Semanas!$D$3:$D$54,30)</f>
        <v>1</v>
      </c>
      <c r="AF3">
        <f>INDEX(Semanas!$D$3:$D$54,31)</f>
        <v>1</v>
      </c>
      <c r="AG3">
        <f>INDEX(Semanas!$D$3:$D$54,32)</f>
        <v>0</v>
      </c>
      <c r="AH3">
        <f>INDEX(Semanas!$D$3:$D$54,33)</f>
        <v>0</v>
      </c>
      <c r="AI3">
        <f>INDEX(Semanas!$D$3:$D$54,34)</f>
        <v>0</v>
      </c>
      <c r="AJ3">
        <f>INDEX(Semanas!$D$3:$D$54,35)</f>
        <v>0</v>
      </c>
      <c r="AK3">
        <f>INDEX(Semanas!$D$3:$D$54,36)</f>
        <v>0</v>
      </c>
      <c r="AL3">
        <f>INDEX(Semanas!$D$3:$D$54,37)</f>
        <v>0</v>
      </c>
      <c r="AM3">
        <f>INDEX(Semanas!$D$3:$D$54,38)</f>
        <v>0</v>
      </c>
      <c r="AN3">
        <f>INDEX(Semanas!$D$3:$D$54,39)</f>
        <v>0</v>
      </c>
      <c r="AO3">
        <f>INDEX(Semanas!$D$3:$D$54,40)</f>
        <v>0</v>
      </c>
      <c r="AP3">
        <f>INDEX(Semanas!$D$3:$D$54,41)</f>
        <v>0</v>
      </c>
      <c r="AQ3">
        <f>INDEX(Semanas!$D$3:$D$54,42)</f>
        <v>0</v>
      </c>
      <c r="AR3">
        <f>INDEX(Semanas!$D$3:$D$54,43)</f>
        <v>0</v>
      </c>
      <c r="AS3">
        <f>INDEX(Semanas!$D$3:$D$54,44)</f>
        <v>0</v>
      </c>
      <c r="AT3">
        <f>INDEX(Semanas!$D$3:$D$54,45)</f>
        <v>0</v>
      </c>
      <c r="AU3">
        <f>INDEX(Semanas!$D$3:$D$54,46)</f>
        <v>0</v>
      </c>
      <c r="AV3">
        <f>INDEX(Semanas!$D$3:$D$54,47)</f>
        <v>0</v>
      </c>
      <c r="AW3">
        <f>INDEX(Semanas!$D$3:$D$54,48)</f>
        <v>0</v>
      </c>
      <c r="AX3">
        <f>INDEX(Semanas!$D$3:$D$54,49)</f>
        <v>0</v>
      </c>
      <c r="AY3">
        <f>INDEX(Semanas!$D$3:$D$54,50)</f>
        <v>0</v>
      </c>
      <c r="AZ3">
        <f>INDEX(Semanas!$D$3:$D$54,51)</f>
        <v>0</v>
      </c>
      <c r="BA3">
        <f>INDEX(Semanas!$D$3:$D$54,52)</f>
        <v>0</v>
      </c>
    </row>
    <row r="4" spans="1:53" ht="15" customHeight="1" x14ac:dyDescent="0.4">
      <c r="A4" s="26" t="s">
        <v>128</v>
      </c>
      <c r="B4" s="26" t="s">
        <v>910</v>
      </c>
      <c r="C4" s="26" t="s">
        <v>911</v>
      </c>
      <c r="D4" s="26" t="s">
        <v>912</v>
      </c>
      <c r="E4" s="26" t="s">
        <v>913</v>
      </c>
      <c r="F4" s="26" t="s">
        <v>914</v>
      </c>
      <c r="G4" s="26" t="s">
        <v>915</v>
      </c>
      <c r="H4" s="26" t="s">
        <v>916</v>
      </c>
      <c r="I4" s="26" t="s">
        <v>917</v>
      </c>
      <c r="J4" s="26" t="s">
        <v>918</v>
      </c>
      <c r="K4" s="26" t="s">
        <v>919</v>
      </c>
      <c r="L4" s="26" t="s">
        <v>920</v>
      </c>
      <c r="M4" s="26" t="s">
        <v>921</v>
      </c>
      <c r="N4" s="26" t="s">
        <v>922</v>
      </c>
      <c r="O4" s="26" t="s">
        <v>923</v>
      </c>
      <c r="P4" s="26" t="s">
        <v>924</v>
      </c>
      <c r="Q4" s="26" t="s">
        <v>925</v>
      </c>
      <c r="R4" s="26" t="s">
        <v>926</v>
      </c>
      <c r="S4" s="26" t="s">
        <v>927</v>
      </c>
      <c r="T4" s="26" t="s">
        <v>928</v>
      </c>
      <c r="U4" s="26" t="s">
        <v>929</v>
      </c>
      <c r="V4" s="26" t="s">
        <v>930</v>
      </c>
      <c r="W4" s="26" t="s">
        <v>931</v>
      </c>
      <c r="X4" s="26" t="s">
        <v>932</v>
      </c>
      <c r="Y4" s="26" t="s">
        <v>933</v>
      </c>
      <c r="Z4" s="26" t="s">
        <v>934</v>
      </c>
      <c r="AA4" s="26" t="s">
        <v>935</v>
      </c>
      <c r="AB4" s="26" t="s">
        <v>936</v>
      </c>
      <c r="AC4" s="26" t="s">
        <v>937</v>
      </c>
      <c r="AD4" s="26" t="s">
        <v>938</v>
      </c>
      <c r="AE4" s="26" t="s">
        <v>939</v>
      </c>
      <c r="AF4" s="26" t="s">
        <v>940</v>
      </c>
      <c r="AG4" s="26" t="s">
        <v>941</v>
      </c>
      <c r="AH4" s="26" t="s">
        <v>942</v>
      </c>
      <c r="AI4" s="26" t="s">
        <v>943</v>
      </c>
      <c r="AJ4" s="26" t="s">
        <v>944</v>
      </c>
      <c r="AK4" s="26" t="s">
        <v>945</v>
      </c>
      <c r="AL4" s="26" t="s">
        <v>946</v>
      </c>
      <c r="AM4" s="26" t="s">
        <v>947</v>
      </c>
      <c r="AN4" s="26" t="s">
        <v>948</v>
      </c>
      <c r="AO4" s="26" t="s">
        <v>949</v>
      </c>
      <c r="AP4" s="26" t="s">
        <v>950</v>
      </c>
      <c r="AQ4" s="26" t="s">
        <v>951</v>
      </c>
      <c r="AR4" s="26" t="s">
        <v>952</v>
      </c>
      <c r="AS4" s="26" t="s">
        <v>953</v>
      </c>
      <c r="AT4" s="26" t="s">
        <v>954</v>
      </c>
      <c r="AU4" s="26" t="s">
        <v>955</v>
      </c>
      <c r="AV4" s="26" t="s">
        <v>956</v>
      </c>
      <c r="AW4" s="26" t="s">
        <v>957</v>
      </c>
      <c r="AX4" s="26" t="s">
        <v>958</v>
      </c>
      <c r="AY4" s="26" t="s">
        <v>959</v>
      </c>
      <c r="AZ4" s="26" t="s">
        <v>960</v>
      </c>
      <c r="BA4" s="26" t="s">
        <v>961</v>
      </c>
    </row>
    <row r="5" spans="1:53" ht="15" customHeight="1" x14ac:dyDescent="0.4">
      <c r="A5" s="12" t="str">
        <f>Premissas!$A$39</f>
        <v>Colhedora</v>
      </c>
      <c r="B5">
        <f>ROUND(Premissas!$J$39+IF(B$3=1,Premissas!$G$39,Premissas!$H$39),2)</f>
        <v>60</v>
      </c>
      <c r="C5">
        <f>ROUND(B5+IF(C$3=1,Premissas!$G$39,Premissas!$H$39),2)</f>
        <v>120</v>
      </c>
      <c r="D5">
        <f>ROUND(C5+IF(D$3=1,Premissas!$G$39,Premissas!$H$39),2)</f>
        <v>180</v>
      </c>
      <c r="E5">
        <f>ROUND(D5+IF(E$3=1,Premissas!$G$39,Premissas!$H$39),2)</f>
        <v>240</v>
      </c>
      <c r="F5">
        <f>ROUND(E5+IF(F$3=1,Premissas!$G$39,Premissas!$H$39),2)</f>
        <v>300</v>
      </c>
      <c r="G5">
        <f>ROUND(F5+IF(G$3=1,Premissas!$G$39,Premissas!$H$39),2)</f>
        <v>360</v>
      </c>
      <c r="H5">
        <f>ROUND(G5+IF(H$3=1,Premissas!$G$39,Premissas!$H$39),2)</f>
        <v>420</v>
      </c>
      <c r="I5">
        <f>ROUND(H5+IF(I$3=1,Premissas!$G$39,Premissas!$H$39),2)</f>
        <v>480</v>
      </c>
      <c r="J5">
        <f>ROUND(I5+IF(J$3=1,Premissas!$G$39,Premissas!$H$39),2)</f>
        <v>540</v>
      </c>
      <c r="K5">
        <f>ROUND(J5+IF(K$3=1,Premissas!$G$39,Premissas!$H$39),2)</f>
        <v>600</v>
      </c>
      <c r="L5">
        <f>ROUND(K5+IF(L$3=1,Premissas!$G$39,Premissas!$H$39),2)</f>
        <v>660</v>
      </c>
      <c r="M5">
        <f>ROUND(L5+IF(M$3=1,Premissas!$G$39,Premissas!$H$39),2)</f>
        <v>720</v>
      </c>
      <c r="N5">
        <f>ROUND(M5+IF(N$3=1,Premissas!$G$39,Premissas!$H$39),2)</f>
        <v>780</v>
      </c>
      <c r="O5">
        <f>ROUND(N5+IF(O$3=1,Premissas!$G$39,Premissas!$H$39),2)</f>
        <v>840</v>
      </c>
      <c r="P5">
        <f>ROUND(O5+IF(P$3=1,Premissas!$G$39,Premissas!$H$39),2)</f>
        <v>900</v>
      </c>
      <c r="Q5">
        <f>ROUND(P5+IF(Q$3=1,Premissas!$G$39,Premissas!$H$39),2)</f>
        <v>960</v>
      </c>
      <c r="R5">
        <f>ROUND(Q5+IF(R$3=1,Premissas!$G$39,Premissas!$H$39),2)</f>
        <v>1020</v>
      </c>
      <c r="S5">
        <f>ROUND(R5+IF(S$3=1,Premissas!$G$39,Premissas!$H$39),2)</f>
        <v>1080</v>
      </c>
      <c r="T5">
        <f>ROUND(S5+IF(T$3=1,Premissas!$G$39,Premissas!$H$39),2)</f>
        <v>1140</v>
      </c>
      <c r="U5">
        <f>ROUND(T5+IF(U$3=1,Premissas!$G$39,Premissas!$H$39),2)</f>
        <v>1200</v>
      </c>
      <c r="V5">
        <f>ROUND(U5+IF(V$3=1,Premissas!$G$39,Premissas!$H$39),2)</f>
        <v>1260</v>
      </c>
      <c r="W5">
        <f>ROUND(V5+IF(W$3=1,Premissas!$G$39,Premissas!$H$39),2)</f>
        <v>1320</v>
      </c>
      <c r="X5">
        <f>ROUND(W5+IF(X$3=1,Premissas!$G$39,Premissas!$H$39),2)</f>
        <v>1380</v>
      </c>
      <c r="Y5">
        <f>ROUND(X5+IF(Y$3=1,Premissas!$G$39,Premissas!$H$39),2)</f>
        <v>1440</v>
      </c>
      <c r="Z5">
        <f>ROUND(Y5+IF(Z$3=1,Premissas!$G$39,Premissas!$H$39),2)</f>
        <v>1500</v>
      </c>
      <c r="AA5">
        <f>ROUND(Z5+IF(AA$3=1,Premissas!$G$39,Premissas!$H$39),2)</f>
        <v>1560</v>
      </c>
      <c r="AB5">
        <f>ROUND(AA5+IF(AB$3=1,Premissas!$G$39,Premissas!$H$39),2)</f>
        <v>1620</v>
      </c>
      <c r="AC5">
        <f>ROUND(AB5+IF(AC$3=1,Premissas!$G$39,Premissas!$H$39),2)</f>
        <v>1680</v>
      </c>
      <c r="AD5">
        <f>ROUND(AC5+IF(AD$3=1,Premissas!$G$39,Premissas!$H$39),2)</f>
        <v>1740</v>
      </c>
      <c r="AE5">
        <f>ROUND(AD5+IF(AE$3=1,Premissas!$G$39,Premissas!$H$39),2)</f>
        <v>1800</v>
      </c>
      <c r="AF5">
        <f>ROUND(AE5+IF(AF$3=1,Premissas!$G$39,Premissas!$H$39),2)</f>
        <v>1860</v>
      </c>
      <c r="AG5">
        <f>ROUND(AF5+IF(AG$3=1,Premissas!$G$39,Premissas!$H$39),2)</f>
        <v>1865</v>
      </c>
      <c r="AH5">
        <f>ROUND(AG5+IF(AH$3=1,Premissas!$G$39,Premissas!$H$39),2)</f>
        <v>1870</v>
      </c>
      <c r="AI5">
        <f>ROUND(AH5+IF(AI$3=1,Premissas!$G$39,Premissas!$H$39),2)</f>
        <v>1875</v>
      </c>
      <c r="AJ5">
        <f>ROUND(AI5+IF(AJ$3=1,Premissas!$G$39,Premissas!$H$39),2)</f>
        <v>1880</v>
      </c>
      <c r="AK5">
        <f>ROUND(AJ5+IF(AK$3=1,Premissas!$G$39,Premissas!$H$39),2)</f>
        <v>1885</v>
      </c>
      <c r="AL5">
        <f>ROUND(AK5+IF(AL$3=1,Premissas!$G$39,Premissas!$H$39),2)</f>
        <v>1890</v>
      </c>
      <c r="AM5">
        <f>ROUND(AL5+IF(AM$3=1,Premissas!$G$39,Premissas!$H$39),2)</f>
        <v>1895</v>
      </c>
      <c r="AN5">
        <f>ROUND(AM5+IF(AN$3=1,Premissas!$G$39,Premissas!$H$39),2)</f>
        <v>1900</v>
      </c>
      <c r="AO5">
        <f>ROUND(AN5+IF(AO$3=1,Premissas!$G$39,Premissas!$H$39),2)</f>
        <v>1905</v>
      </c>
      <c r="AP5">
        <f>ROUND(AO5+IF(AP$3=1,Premissas!$G$39,Premissas!$H$39),2)</f>
        <v>1910</v>
      </c>
      <c r="AQ5">
        <f>ROUND(AP5+IF(AQ$3=1,Premissas!$G$39,Premissas!$H$39),2)</f>
        <v>1915</v>
      </c>
      <c r="AR5">
        <f>ROUND(AQ5+IF(AR$3=1,Premissas!$G$39,Premissas!$H$39),2)</f>
        <v>1920</v>
      </c>
      <c r="AS5">
        <f>ROUND(AR5+IF(AS$3=1,Premissas!$G$39,Premissas!$H$39),2)</f>
        <v>1925</v>
      </c>
      <c r="AT5">
        <f>ROUND(AS5+IF(AT$3=1,Premissas!$G$39,Premissas!$H$39),2)</f>
        <v>1930</v>
      </c>
      <c r="AU5">
        <f>ROUND(AT5+IF(AU$3=1,Premissas!$G$39,Premissas!$H$39),2)</f>
        <v>1935</v>
      </c>
      <c r="AV5">
        <f>ROUND(AU5+IF(AV$3=1,Premissas!$G$39,Premissas!$H$39),2)</f>
        <v>1940</v>
      </c>
      <c r="AW5">
        <f>ROUND(AV5+IF(AW$3=1,Premissas!$G$39,Premissas!$H$39),2)</f>
        <v>1945</v>
      </c>
      <c r="AX5">
        <f>ROUND(AW5+IF(AX$3=1,Premissas!$G$39,Premissas!$H$39),2)</f>
        <v>1950</v>
      </c>
      <c r="AY5">
        <f>ROUND(AX5+IF(AY$3=1,Premissas!$G$39,Premissas!$H$39),2)</f>
        <v>1955</v>
      </c>
      <c r="AZ5">
        <f>ROUND(AY5+IF(AZ$3=1,Premissas!$G$39,Premissas!$H$39),2)</f>
        <v>1960</v>
      </c>
      <c r="BA5">
        <f>ROUND(AZ5+IF(BA$3=1,Premissas!$G$39,Premissas!$H$39),2)</f>
        <v>1965</v>
      </c>
    </row>
    <row r="6" spans="1:53" ht="15" customHeight="1" x14ac:dyDescent="0.4">
      <c r="A6" s="12" t="str">
        <f>Premissas!$A$40</f>
        <v>Trator</v>
      </c>
      <c r="B6">
        <f>ROUND(Premissas!$J$40+IF(B$3=1,Premissas!$G$40,Premissas!$H$40),2)</f>
        <v>40</v>
      </c>
      <c r="C6">
        <f>ROUND(B6+IF(C$3=1,Premissas!$G$40,Premissas!$H$40),2)</f>
        <v>80</v>
      </c>
      <c r="D6">
        <f>ROUND(C6+IF(D$3=1,Premissas!$G$40,Premissas!$H$40),2)</f>
        <v>120</v>
      </c>
      <c r="E6">
        <f>ROUND(D6+IF(E$3=1,Premissas!$G$40,Premissas!$H$40),2)</f>
        <v>160</v>
      </c>
      <c r="F6">
        <f>ROUND(E6+IF(F$3=1,Premissas!$G$40,Premissas!$H$40),2)</f>
        <v>200</v>
      </c>
      <c r="G6">
        <f>ROUND(F6+IF(G$3=1,Premissas!$G$40,Premissas!$H$40),2)</f>
        <v>240</v>
      </c>
      <c r="H6">
        <f>ROUND(G6+IF(H$3=1,Premissas!$G$40,Premissas!$H$40),2)</f>
        <v>280</v>
      </c>
      <c r="I6">
        <f>ROUND(H6+IF(I$3=1,Premissas!$G$40,Premissas!$H$40),2)</f>
        <v>320</v>
      </c>
      <c r="J6">
        <f>ROUND(I6+IF(J$3=1,Premissas!$G$40,Premissas!$H$40),2)</f>
        <v>360</v>
      </c>
      <c r="K6">
        <f>ROUND(J6+IF(K$3=1,Premissas!$G$40,Premissas!$H$40),2)</f>
        <v>400</v>
      </c>
      <c r="L6">
        <f>ROUND(K6+IF(L$3=1,Premissas!$G$40,Premissas!$H$40),2)</f>
        <v>440</v>
      </c>
      <c r="M6">
        <f>ROUND(L6+IF(M$3=1,Premissas!$G$40,Premissas!$H$40),2)</f>
        <v>480</v>
      </c>
      <c r="N6">
        <f>ROUND(M6+IF(N$3=1,Premissas!$G$40,Premissas!$H$40),2)</f>
        <v>520</v>
      </c>
      <c r="O6">
        <f>ROUND(N6+IF(O$3=1,Premissas!$G$40,Premissas!$H$40),2)</f>
        <v>560</v>
      </c>
      <c r="P6">
        <f>ROUND(O6+IF(P$3=1,Premissas!$G$40,Premissas!$H$40),2)</f>
        <v>600</v>
      </c>
      <c r="Q6">
        <f>ROUND(P6+IF(Q$3=1,Premissas!$G$40,Premissas!$H$40),2)</f>
        <v>640</v>
      </c>
      <c r="R6">
        <f>ROUND(Q6+IF(R$3=1,Premissas!$G$40,Premissas!$H$40),2)</f>
        <v>680</v>
      </c>
      <c r="S6">
        <f>ROUND(R6+IF(S$3=1,Premissas!$G$40,Premissas!$H$40),2)</f>
        <v>720</v>
      </c>
      <c r="T6">
        <f>ROUND(S6+IF(T$3=1,Premissas!$G$40,Premissas!$H$40),2)</f>
        <v>760</v>
      </c>
      <c r="U6">
        <f>ROUND(T6+IF(U$3=1,Premissas!$G$40,Premissas!$H$40),2)</f>
        <v>800</v>
      </c>
      <c r="V6">
        <f>ROUND(U6+IF(V$3=1,Premissas!$G$40,Premissas!$H$40),2)</f>
        <v>840</v>
      </c>
      <c r="W6">
        <f>ROUND(V6+IF(W$3=1,Premissas!$G$40,Premissas!$H$40),2)</f>
        <v>880</v>
      </c>
      <c r="X6">
        <f>ROUND(W6+IF(X$3=1,Premissas!$G$40,Premissas!$H$40),2)</f>
        <v>920</v>
      </c>
      <c r="Y6">
        <f>ROUND(X6+IF(Y$3=1,Premissas!$G$40,Premissas!$H$40),2)</f>
        <v>960</v>
      </c>
      <c r="Z6">
        <f>ROUND(Y6+IF(Z$3=1,Premissas!$G$40,Premissas!$H$40),2)</f>
        <v>1000</v>
      </c>
      <c r="AA6">
        <f>ROUND(Z6+IF(AA$3=1,Premissas!$G$40,Premissas!$H$40),2)</f>
        <v>1040</v>
      </c>
      <c r="AB6">
        <f>ROUND(AA6+IF(AB$3=1,Premissas!$G$40,Premissas!$H$40),2)</f>
        <v>1080</v>
      </c>
      <c r="AC6">
        <f>ROUND(AB6+IF(AC$3=1,Premissas!$G$40,Premissas!$H$40),2)</f>
        <v>1120</v>
      </c>
      <c r="AD6">
        <f>ROUND(AC6+IF(AD$3=1,Premissas!$G$40,Premissas!$H$40),2)</f>
        <v>1160</v>
      </c>
      <c r="AE6">
        <f>ROUND(AD6+IF(AE$3=1,Premissas!$G$40,Premissas!$H$40),2)</f>
        <v>1200</v>
      </c>
      <c r="AF6">
        <f>ROUND(AE6+IF(AF$3=1,Premissas!$G$40,Premissas!$H$40),2)</f>
        <v>1240</v>
      </c>
      <c r="AG6">
        <f>ROUND(AF6+IF(AG$3=1,Premissas!$G$40,Premissas!$H$40),2)</f>
        <v>1255</v>
      </c>
      <c r="AH6">
        <f>ROUND(AG6+IF(AH$3=1,Premissas!$G$40,Premissas!$H$40),2)</f>
        <v>1270</v>
      </c>
      <c r="AI6">
        <f>ROUND(AH6+IF(AI$3=1,Premissas!$G$40,Premissas!$H$40),2)</f>
        <v>1285</v>
      </c>
      <c r="AJ6">
        <f>ROUND(AI6+IF(AJ$3=1,Premissas!$G$40,Premissas!$H$40),2)</f>
        <v>1300</v>
      </c>
      <c r="AK6">
        <f>ROUND(AJ6+IF(AK$3=1,Premissas!$G$40,Premissas!$H$40),2)</f>
        <v>1315</v>
      </c>
      <c r="AL6">
        <f>ROUND(AK6+IF(AL$3=1,Premissas!$G$40,Premissas!$H$40),2)</f>
        <v>1330</v>
      </c>
      <c r="AM6">
        <f>ROUND(AL6+IF(AM$3=1,Premissas!$G$40,Premissas!$H$40),2)</f>
        <v>1345</v>
      </c>
      <c r="AN6">
        <f>ROUND(AM6+IF(AN$3=1,Premissas!$G$40,Premissas!$H$40),2)</f>
        <v>1360</v>
      </c>
      <c r="AO6">
        <f>ROUND(AN6+IF(AO$3=1,Premissas!$G$40,Premissas!$H$40),2)</f>
        <v>1375</v>
      </c>
      <c r="AP6">
        <f>ROUND(AO6+IF(AP$3=1,Premissas!$G$40,Premissas!$H$40),2)</f>
        <v>1390</v>
      </c>
      <c r="AQ6">
        <f>ROUND(AP6+IF(AQ$3=1,Premissas!$G$40,Premissas!$H$40),2)</f>
        <v>1405</v>
      </c>
      <c r="AR6">
        <f>ROUND(AQ6+IF(AR$3=1,Premissas!$G$40,Premissas!$H$40),2)</f>
        <v>1420</v>
      </c>
      <c r="AS6">
        <f>ROUND(AR6+IF(AS$3=1,Premissas!$G$40,Premissas!$H$40),2)</f>
        <v>1435</v>
      </c>
      <c r="AT6">
        <f>ROUND(AS6+IF(AT$3=1,Premissas!$G$40,Premissas!$H$40),2)</f>
        <v>1450</v>
      </c>
      <c r="AU6">
        <f>ROUND(AT6+IF(AU$3=1,Premissas!$G$40,Premissas!$H$40),2)</f>
        <v>1465</v>
      </c>
      <c r="AV6">
        <f>ROUND(AU6+IF(AV$3=1,Premissas!$G$40,Premissas!$H$40),2)</f>
        <v>1480</v>
      </c>
      <c r="AW6">
        <f>ROUND(AV6+IF(AW$3=1,Premissas!$G$40,Premissas!$H$40),2)</f>
        <v>1495</v>
      </c>
      <c r="AX6">
        <f>ROUND(AW6+IF(AX$3=1,Premissas!$G$40,Premissas!$H$40),2)</f>
        <v>1510</v>
      </c>
      <c r="AY6">
        <f>ROUND(AX6+IF(AY$3=1,Premissas!$G$40,Premissas!$H$40),2)</f>
        <v>1525</v>
      </c>
      <c r="AZ6">
        <f>ROUND(AY6+IF(AZ$3=1,Premissas!$G$40,Premissas!$H$40),2)</f>
        <v>1540</v>
      </c>
      <c r="BA6">
        <f>ROUND(AZ6+IF(BA$3=1,Premissas!$G$40,Premissas!$H$40),2)</f>
        <v>1555</v>
      </c>
    </row>
    <row r="7" spans="1:53" ht="15" customHeight="1" x14ac:dyDescent="0.4">
      <c r="A7" s="12" t="str">
        <f>Premissas!$A$41</f>
        <v>Caminhão</v>
      </c>
      <c r="B7">
        <f>ROUND(Premissas!$J$41+IF(B$3=1,Premissas!$G$41,Premissas!$H$41),2)</f>
        <v>1500</v>
      </c>
      <c r="C7">
        <f>ROUND(B7+IF(C$3=1,Premissas!$G$41,Premissas!$H$41),2)</f>
        <v>3000</v>
      </c>
      <c r="D7">
        <f>ROUND(C7+IF(D$3=1,Premissas!$G$41,Premissas!$H$41),2)</f>
        <v>4500</v>
      </c>
      <c r="E7">
        <f>ROUND(D7+IF(E$3=1,Premissas!$G$41,Premissas!$H$41),2)</f>
        <v>6000</v>
      </c>
      <c r="F7">
        <f>ROUND(E7+IF(F$3=1,Premissas!$G$41,Premissas!$H$41),2)</f>
        <v>7500</v>
      </c>
      <c r="G7">
        <f>ROUND(F7+IF(G$3=1,Premissas!$G$41,Premissas!$H$41),2)</f>
        <v>9000</v>
      </c>
      <c r="H7">
        <f>ROUND(G7+IF(H$3=1,Premissas!$G$41,Premissas!$H$41),2)</f>
        <v>10500</v>
      </c>
      <c r="I7">
        <f>ROUND(H7+IF(I$3=1,Premissas!$G$41,Premissas!$H$41),2)</f>
        <v>12000</v>
      </c>
      <c r="J7">
        <f>ROUND(I7+IF(J$3=1,Premissas!$G$41,Premissas!$H$41),2)</f>
        <v>13500</v>
      </c>
      <c r="K7">
        <f>ROUND(J7+IF(K$3=1,Premissas!$G$41,Premissas!$H$41),2)</f>
        <v>15000</v>
      </c>
      <c r="L7">
        <f>ROUND(K7+IF(L$3=1,Premissas!$G$41,Premissas!$H$41),2)</f>
        <v>16500</v>
      </c>
      <c r="M7">
        <f>ROUND(L7+IF(M$3=1,Premissas!$G$41,Premissas!$H$41),2)</f>
        <v>18000</v>
      </c>
      <c r="N7">
        <f>ROUND(M7+IF(N$3=1,Premissas!$G$41,Premissas!$H$41),2)</f>
        <v>19500</v>
      </c>
      <c r="O7">
        <f>ROUND(N7+IF(O$3=1,Premissas!$G$41,Premissas!$H$41),2)</f>
        <v>21000</v>
      </c>
      <c r="P7">
        <f>ROUND(O7+IF(P$3=1,Premissas!$G$41,Premissas!$H$41),2)</f>
        <v>22500</v>
      </c>
      <c r="Q7">
        <f>ROUND(P7+IF(Q$3=1,Premissas!$G$41,Premissas!$H$41),2)</f>
        <v>24000</v>
      </c>
      <c r="R7">
        <f>ROUND(Q7+IF(R$3=1,Premissas!$G$41,Premissas!$H$41),2)</f>
        <v>25500</v>
      </c>
      <c r="S7">
        <f>ROUND(R7+IF(S$3=1,Premissas!$G$41,Premissas!$H$41),2)</f>
        <v>27000</v>
      </c>
      <c r="T7">
        <f>ROUND(S7+IF(T$3=1,Premissas!$G$41,Premissas!$H$41),2)</f>
        <v>28500</v>
      </c>
      <c r="U7">
        <f>ROUND(T7+IF(U$3=1,Premissas!$G$41,Premissas!$H$41),2)</f>
        <v>30000</v>
      </c>
      <c r="V7">
        <f>ROUND(U7+IF(V$3=1,Premissas!$G$41,Premissas!$H$41),2)</f>
        <v>31500</v>
      </c>
      <c r="W7">
        <f>ROUND(V7+IF(W$3=1,Premissas!$G$41,Premissas!$H$41),2)</f>
        <v>33000</v>
      </c>
      <c r="X7">
        <f>ROUND(W7+IF(X$3=1,Premissas!$G$41,Premissas!$H$41),2)</f>
        <v>34500</v>
      </c>
      <c r="Y7">
        <f>ROUND(X7+IF(Y$3=1,Premissas!$G$41,Premissas!$H$41),2)</f>
        <v>36000</v>
      </c>
      <c r="Z7">
        <f>ROUND(Y7+IF(Z$3=1,Premissas!$G$41,Premissas!$H$41),2)</f>
        <v>37500</v>
      </c>
      <c r="AA7">
        <f>ROUND(Z7+IF(AA$3=1,Premissas!$G$41,Premissas!$H$41),2)</f>
        <v>39000</v>
      </c>
      <c r="AB7">
        <f>ROUND(AA7+IF(AB$3=1,Premissas!$G$41,Premissas!$H$41),2)</f>
        <v>40500</v>
      </c>
      <c r="AC7">
        <f>ROUND(AB7+IF(AC$3=1,Premissas!$G$41,Premissas!$H$41),2)</f>
        <v>42000</v>
      </c>
      <c r="AD7">
        <f>ROUND(AC7+IF(AD$3=1,Premissas!$G$41,Premissas!$H$41),2)</f>
        <v>43500</v>
      </c>
      <c r="AE7">
        <f>ROUND(AD7+IF(AE$3=1,Premissas!$G$41,Premissas!$H$41),2)</f>
        <v>45000</v>
      </c>
      <c r="AF7">
        <f>ROUND(AE7+IF(AF$3=1,Premissas!$G$41,Premissas!$H$41),2)</f>
        <v>46500</v>
      </c>
      <c r="AG7">
        <f>ROUND(AF7+IF(AG$3=1,Premissas!$G$41,Premissas!$H$41),2)</f>
        <v>46900</v>
      </c>
      <c r="AH7">
        <f>ROUND(AG7+IF(AH$3=1,Premissas!$G$41,Premissas!$H$41),2)</f>
        <v>47300</v>
      </c>
      <c r="AI7">
        <f>ROUND(AH7+IF(AI$3=1,Premissas!$G$41,Premissas!$H$41),2)</f>
        <v>47700</v>
      </c>
      <c r="AJ7">
        <f>ROUND(AI7+IF(AJ$3=1,Premissas!$G$41,Premissas!$H$41),2)</f>
        <v>48100</v>
      </c>
      <c r="AK7">
        <f>ROUND(AJ7+IF(AK$3=1,Premissas!$G$41,Premissas!$H$41),2)</f>
        <v>48500</v>
      </c>
      <c r="AL7">
        <f>ROUND(AK7+IF(AL$3=1,Premissas!$G$41,Premissas!$H$41),2)</f>
        <v>48900</v>
      </c>
      <c r="AM7">
        <f>ROUND(AL7+IF(AM$3=1,Premissas!$G$41,Premissas!$H$41),2)</f>
        <v>49300</v>
      </c>
      <c r="AN7">
        <f>ROUND(AM7+IF(AN$3=1,Premissas!$G$41,Premissas!$H$41),2)</f>
        <v>49700</v>
      </c>
      <c r="AO7">
        <f>ROUND(AN7+IF(AO$3=1,Premissas!$G$41,Premissas!$H$41),2)</f>
        <v>50100</v>
      </c>
      <c r="AP7">
        <f>ROUND(AO7+IF(AP$3=1,Premissas!$G$41,Premissas!$H$41),2)</f>
        <v>50500</v>
      </c>
      <c r="AQ7">
        <f>ROUND(AP7+IF(AQ$3=1,Premissas!$G$41,Premissas!$H$41),2)</f>
        <v>50900</v>
      </c>
      <c r="AR7">
        <f>ROUND(AQ7+IF(AR$3=1,Premissas!$G$41,Premissas!$H$41),2)</f>
        <v>51300</v>
      </c>
      <c r="AS7">
        <f>ROUND(AR7+IF(AS$3=1,Premissas!$G$41,Premissas!$H$41),2)</f>
        <v>51700</v>
      </c>
      <c r="AT7">
        <f>ROUND(AS7+IF(AT$3=1,Premissas!$G$41,Premissas!$H$41),2)</f>
        <v>52100</v>
      </c>
      <c r="AU7">
        <f>ROUND(AT7+IF(AU$3=1,Premissas!$G$41,Premissas!$H$41),2)</f>
        <v>52500</v>
      </c>
      <c r="AV7">
        <f>ROUND(AU7+IF(AV$3=1,Premissas!$G$41,Premissas!$H$41),2)</f>
        <v>52900</v>
      </c>
      <c r="AW7">
        <f>ROUND(AV7+IF(AW$3=1,Premissas!$G$41,Premissas!$H$41),2)</f>
        <v>53300</v>
      </c>
      <c r="AX7">
        <f>ROUND(AW7+IF(AX$3=1,Premissas!$G$41,Premissas!$H$41),2)</f>
        <v>53700</v>
      </c>
      <c r="AY7">
        <f>ROUND(AX7+IF(AY$3=1,Premissas!$G$41,Premissas!$H$41),2)</f>
        <v>54100</v>
      </c>
      <c r="AZ7">
        <f>ROUND(AY7+IF(AZ$3=1,Premissas!$G$41,Premissas!$H$41),2)</f>
        <v>54500</v>
      </c>
      <c r="BA7">
        <f>ROUND(AZ7+IF(BA$3=1,Premissas!$G$41,Premissas!$H$41),2)</f>
        <v>54900</v>
      </c>
    </row>
    <row r="8" spans="1:53" ht="15" customHeight="1" x14ac:dyDescent="0.4">
      <c r="A8" s="12" t="str">
        <f>Premissas!$A$42</f>
        <v>Carregadeira/Pesada</v>
      </c>
      <c r="B8">
        <f>ROUND(Premissas!$J$42+IF(B$3=1,Premissas!$G$42,Premissas!$H$42),2)</f>
        <v>45</v>
      </c>
      <c r="C8">
        <f>ROUND(B8+IF(C$3=1,Premissas!$G$42,Premissas!$H$42),2)</f>
        <v>90</v>
      </c>
      <c r="D8">
        <f>ROUND(C8+IF(D$3=1,Premissas!$G$42,Premissas!$H$42),2)</f>
        <v>135</v>
      </c>
      <c r="E8">
        <f>ROUND(D8+IF(E$3=1,Premissas!$G$42,Premissas!$H$42),2)</f>
        <v>180</v>
      </c>
      <c r="F8">
        <f>ROUND(E8+IF(F$3=1,Premissas!$G$42,Premissas!$H$42),2)</f>
        <v>225</v>
      </c>
      <c r="G8">
        <f>ROUND(F8+IF(G$3=1,Premissas!$G$42,Premissas!$H$42),2)</f>
        <v>270</v>
      </c>
      <c r="H8">
        <f>ROUND(G8+IF(H$3=1,Premissas!$G$42,Premissas!$H$42),2)</f>
        <v>315</v>
      </c>
      <c r="I8">
        <f>ROUND(H8+IF(I$3=1,Premissas!$G$42,Premissas!$H$42),2)</f>
        <v>360</v>
      </c>
      <c r="J8">
        <f>ROUND(I8+IF(J$3=1,Premissas!$G$42,Premissas!$H$42),2)</f>
        <v>405</v>
      </c>
      <c r="K8">
        <f>ROUND(J8+IF(K$3=1,Premissas!$G$42,Premissas!$H$42),2)</f>
        <v>450</v>
      </c>
      <c r="L8">
        <f>ROUND(K8+IF(L$3=1,Premissas!$G$42,Premissas!$H$42),2)</f>
        <v>495</v>
      </c>
      <c r="M8">
        <f>ROUND(L8+IF(M$3=1,Premissas!$G$42,Premissas!$H$42),2)</f>
        <v>540</v>
      </c>
      <c r="N8">
        <f>ROUND(M8+IF(N$3=1,Premissas!$G$42,Premissas!$H$42),2)</f>
        <v>585</v>
      </c>
      <c r="O8">
        <f>ROUND(N8+IF(O$3=1,Premissas!$G$42,Premissas!$H$42),2)</f>
        <v>630</v>
      </c>
      <c r="P8">
        <f>ROUND(O8+IF(P$3=1,Premissas!$G$42,Premissas!$H$42),2)</f>
        <v>675</v>
      </c>
      <c r="Q8">
        <f>ROUND(P8+IF(Q$3=1,Premissas!$G$42,Premissas!$H$42),2)</f>
        <v>720</v>
      </c>
      <c r="R8">
        <f>ROUND(Q8+IF(R$3=1,Premissas!$G$42,Premissas!$H$42),2)</f>
        <v>765</v>
      </c>
      <c r="S8">
        <f>ROUND(R8+IF(S$3=1,Premissas!$G$42,Premissas!$H$42),2)</f>
        <v>810</v>
      </c>
      <c r="T8">
        <f>ROUND(S8+IF(T$3=1,Premissas!$G$42,Premissas!$H$42),2)</f>
        <v>855</v>
      </c>
      <c r="U8">
        <f>ROUND(T8+IF(U$3=1,Premissas!$G$42,Premissas!$H$42),2)</f>
        <v>900</v>
      </c>
      <c r="V8">
        <f>ROUND(U8+IF(V$3=1,Premissas!$G$42,Premissas!$H$42),2)</f>
        <v>945</v>
      </c>
      <c r="W8">
        <f>ROUND(V8+IF(W$3=1,Premissas!$G$42,Premissas!$H$42),2)</f>
        <v>990</v>
      </c>
      <c r="X8">
        <f>ROUND(W8+IF(X$3=1,Premissas!$G$42,Premissas!$H$42),2)</f>
        <v>1035</v>
      </c>
      <c r="Y8">
        <f>ROUND(X8+IF(Y$3=1,Premissas!$G$42,Premissas!$H$42),2)</f>
        <v>1080</v>
      </c>
      <c r="Z8">
        <f>ROUND(Y8+IF(Z$3=1,Premissas!$G$42,Premissas!$H$42),2)</f>
        <v>1125</v>
      </c>
      <c r="AA8">
        <f>ROUND(Z8+IF(AA$3=1,Premissas!$G$42,Premissas!$H$42),2)</f>
        <v>1170</v>
      </c>
      <c r="AB8">
        <f>ROUND(AA8+IF(AB$3=1,Premissas!$G$42,Premissas!$H$42),2)</f>
        <v>1215</v>
      </c>
      <c r="AC8">
        <f>ROUND(AB8+IF(AC$3=1,Premissas!$G$42,Premissas!$H$42),2)</f>
        <v>1260</v>
      </c>
      <c r="AD8">
        <f>ROUND(AC8+IF(AD$3=1,Premissas!$G$42,Premissas!$H$42),2)</f>
        <v>1305</v>
      </c>
      <c r="AE8">
        <f>ROUND(AD8+IF(AE$3=1,Premissas!$G$42,Premissas!$H$42),2)</f>
        <v>1350</v>
      </c>
      <c r="AF8">
        <f>ROUND(AE8+IF(AF$3=1,Premissas!$G$42,Premissas!$H$42),2)</f>
        <v>1395</v>
      </c>
      <c r="AG8">
        <f>ROUND(AF8+IF(AG$3=1,Premissas!$G$42,Premissas!$H$42),2)</f>
        <v>1405</v>
      </c>
      <c r="AH8">
        <f>ROUND(AG8+IF(AH$3=1,Premissas!$G$42,Premissas!$H$42),2)</f>
        <v>1415</v>
      </c>
      <c r="AI8">
        <f>ROUND(AH8+IF(AI$3=1,Premissas!$G$42,Premissas!$H$42),2)</f>
        <v>1425</v>
      </c>
      <c r="AJ8">
        <f>ROUND(AI8+IF(AJ$3=1,Premissas!$G$42,Premissas!$H$42),2)</f>
        <v>1435</v>
      </c>
      <c r="AK8">
        <f>ROUND(AJ8+IF(AK$3=1,Premissas!$G$42,Premissas!$H$42),2)</f>
        <v>1445</v>
      </c>
      <c r="AL8">
        <f>ROUND(AK8+IF(AL$3=1,Premissas!$G$42,Premissas!$H$42),2)</f>
        <v>1455</v>
      </c>
      <c r="AM8">
        <f>ROUND(AL8+IF(AM$3=1,Premissas!$G$42,Premissas!$H$42),2)</f>
        <v>1465</v>
      </c>
      <c r="AN8">
        <f>ROUND(AM8+IF(AN$3=1,Premissas!$G$42,Premissas!$H$42),2)</f>
        <v>1475</v>
      </c>
      <c r="AO8">
        <f>ROUND(AN8+IF(AO$3=1,Premissas!$G$42,Premissas!$H$42),2)</f>
        <v>1485</v>
      </c>
      <c r="AP8">
        <f>ROUND(AO8+IF(AP$3=1,Premissas!$G$42,Premissas!$H$42),2)</f>
        <v>1495</v>
      </c>
      <c r="AQ8">
        <f>ROUND(AP8+IF(AQ$3=1,Premissas!$G$42,Premissas!$H$42),2)</f>
        <v>1505</v>
      </c>
      <c r="AR8">
        <f>ROUND(AQ8+IF(AR$3=1,Premissas!$G$42,Premissas!$H$42),2)</f>
        <v>1515</v>
      </c>
      <c r="AS8">
        <f>ROUND(AR8+IF(AS$3=1,Premissas!$G$42,Premissas!$H$42),2)</f>
        <v>1525</v>
      </c>
      <c r="AT8">
        <f>ROUND(AS8+IF(AT$3=1,Premissas!$G$42,Premissas!$H$42),2)</f>
        <v>1535</v>
      </c>
      <c r="AU8">
        <f>ROUND(AT8+IF(AU$3=1,Premissas!$G$42,Premissas!$H$42),2)</f>
        <v>1545</v>
      </c>
      <c r="AV8">
        <f>ROUND(AU8+IF(AV$3=1,Premissas!$G$42,Premissas!$H$42),2)</f>
        <v>1555</v>
      </c>
      <c r="AW8">
        <f>ROUND(AV8+IF(AW$3=1,Premissas!$G$42,Premissas!$H$42),2)</f>
        <v>1565</v>
      </c>
      <c r="AX8">
        <f>ROUND(AW8+IF(AX$3=1,Premissas!$G$42,Premissas!$H$42),2)</f>
        <v>1575</v>
      </c>
      <c r="AY8">
        <f>ROUND(AX8+IF(AY$3=1,Premissas!$G$42,Premissas!$H$42),2)</f>
        <v>1585</v>
      </c>
      <c r="AZ8">
        <f>ROUND(AY8+IF(AZ$3=1,Premissas!$G$42,Premissas!$H$42),2)</f>
        <v>1595</v>
      </c>
      <c r="BA8">
        <f>ROUND(AZ8+IF(BA$3=1,Premissas!$G$42,Premissas!$H$42),2)</f>
        <v>1605</v>
      </c>
    </row>
    <row r="9" spans="1:53" ht="15" customHeight="1" x14ac:dyDescent="0.4">
      <c r="A9" s="12" t="str">
        <f>Premissas!$A$43</f>
        <v>Veículo Leve</v>
      </c>
      <c r="B9">
        <f>ROUND(Premissas!$J$43+IF(B$3=1,Premissas!$G$43,Premissas!$H$43),2)</f>
        <v>700</v>
      </c>
      <c r="C9">
        <f>ROUND(B9+IF(C$3=1,Premissas!$G$43,Premissas!$H$43),2)</f>
        <v>1400</v>
      </c>
      <c r="D9">
        <f>ROUND(C9+IF(D$3=1,Premissas!$G$43,Premissas!$H$43),2)</f>
        <v>2100</v>
      </c>
      <c r="E9">
        <f>ROUND(D9+IF(E$3=1,Premissas!$G$43,Premissas!$H$43),2)</f>
        <v>2800</v>
      </c>
      <c r="F9">
        <f>ROUND(E9+IF(F$3=1,Premissas!$G$43,Premissas!$H$43),2)</f>
        <v>3500</v>
      </c>
      <c r="G9">
        <f>ROUND(F9+IF(G$3=1,Premissas!$G$43,Premissas!$H$43),2)</f>
        <v>4200</v>
      </c>
      <c r="H9">
        <f>ROUND(G9+IF(H$3=1,Premissas!$G$43,Premissas!$H$43),2)</f>
        <v>4900</v>
      </c>
      <c r="I9">
        <f>ROUND(H9+IF(I$3=1,Premissas!$G$43,Premissas!$H$43),2)</f>
        <v>5600</v>
      </c>
      <c r="J9">
        <f>ROUND(I9+IF(J$3=1,Premissas!$G$43,Premissas!$H$43),2)</f>
        <v>6300</v>
      </c>
      <c r="K9">
        <f>ROUND(J9+IF(K$3=1,Premissas!$G$43,Premissas!$H$43),2)</f>
        <v>7000</v>
      </c>
      <c r="L9">
        <f>ROUND(K9+IF(L$3=1,Premissas!$G$43,Premissas!$H$43),2)</f>
        <v>7700</v>
      </c>
      <c r="M9">
        <f>ROUND(L9+IF(M$3=1,Premissas!$G$43,Premissas!$H$43),2)</f>
        <v>8400</v>
      </c>
      <c r="N9">
        <f>ROUND(M9+IF(N$3=1,Premissas!$G$43,Premissas!$H$43),2)</f>
        <v>9100</v>
      </c>
      <c r="O9">
        <f>ROUND(N9+IF(O$3=1,Premissas!$G$43,Premissas!$H$43),2)</f>
        <v>9800</v>
      </c>
      <c r="P9">
        <f>ROUND(O9+IF(P$3=1,Premissas!$G$43,Premissas!$H$43),2)</f>
        <v>10500</v>
      </c>
      <c r="Q9">
        <f>ROUND(P9+IF(Q$3=1,Premissas!$G$43,Premissas!$H$43),2)</f>
        <v>11200</v>
      </c>
      <c r="R9">
        <f>ROUND(Q9+IF(R$3=1,Premissas!$G$43,Premissas!$H$43),2)</f>
        <v>11900</v>
      </c>
      <c r="S9">
        <f>ROUND(R9+IF(S$3=1,Premissas!$G$43,Premissas!$H$43),2)</f>
        <v>12600</v>
      </c>
      <c r="T9">
        <f>ROUND(S9+IF(T$3=1,Premissas!$G$43,Premissas!$H$43),2)</f>
        <v>13300</v>
      </c>
      <c r="U9">
        <f>ROUND(T9+IF(U$3=1,Premissas!$G$43,Premissas!$H$43),2)</f>
        <v>14000</v>
      </c>
      <c r="V9">
        <f>ROUND(U9+IF(V$3=1,Premissas!$G$43,Premissas!$H$43),2)</f>
        <v>14700</v>
      </c>
      <c r="W9">
        <f>ROUND(V9+IF(W$3=1,Premissas!$G$43,Premissas!$H$43),2)</f>
        <v>15400</v>
      </c>
      <c r="X9">
        <f>ROUND(W9+IF(X$3=1,Premissas!$G$43,Premissas!$H$43),2)</f>
        <v>16100</v>
      </c>
      <c r="Y9">
        <f>ROUND(X9+IF(Y$3=1,Premissas!$G$43,Premissas!$H$43),2)</f>
        <v>16800</v>
      </c>
      <c r="Z9">
        <f>ROUND(Y9+IF(Z$3=1,Premissas!$G$43,Premissas!$H$43),2)</f>
        <v>17500</v>
      </c>
      <c r="AA9">
        <f>ROUND(Z9+IF(AA$3=1,Premissas!$G$43,Premissas!$H$43),2)</f>
        <v>18200</v>
      </c>
      <c r="AB9">
        <f>ROUND(AA9+IF(AB$3=1,Premissas!$G$43,Premissas!$H$43),2)</f>
        <v>18900</v>
      </c>
      <c r="AC9">
        <f>ROUND(AB9+IF(AC$3=1,Premissas!$G$43,Premissas!$H$43),2)</f>
        <v>19600</v>
      </c>
      <c r="AD9">
        <f>ROUND(AC9+IF(AD$3=1,Premissas!$G$43,Premissas!$H$43),2)</f>
        <v>20300</v>
      </c>
      <c r="AE9">
        <f>ROUND(AD9+IF(AE$3=1,Premissas!$G$43,Premissas!$H$43),2)</f>
        <v>21000</v>
      </c>
      <c r="AF9">
        <f>ROUND(AE9+IF(AF$3=1,Premissas!$G$43,Premissas!$H$43),2)</f>
        <v>21700</v>
      </c>
      <c r="AG9">
        <f>ROUND(AF9+IF(AG$3=1,Premissas!$G$43,Premissas!$H$43),2)</f>
        <v>22200</v>
      </c>
      <c r="AH9">
        <f>ROUND(AG9+IF(AH$3=1,Premissas!$G$43,Premissas!$H$43),2)</f>
        <v>22700</v>
      </c>
      <c r="AI9">
        <f>ROUND(AH9+IF(AI$3=1,Premissas!$G$43,Premissas!$H$43),2)</f>
        <v>23200</v>
      </c>
      <c r="AJ9">
        <f>ROUND(AI9+IF(AJ$3=1,Premissas!$G$43,Premissas!$H$43),2)</f>
        <v>23700</v>
      </c>
      <c r="AK9">
        <f>ROUND(AJ9+IF(AK$3=1,Premissas!$G$43,Premissas!$H$43),2)</f>
        <v>24200</v>
      </c>
      <c r="AL9">
        <f>ROUND(AK9+IF(AL$3=1,Premissas!$G$43,Premissas!$H$43),2)</f>
        <v>24700</v>
      </c>
      <c r="AM9">
        <f>ROUND(AL9+IF(AM$3=1,Premissas!$G$43,Premissas!$H$43),2)</f>
        <v>25200</v>
      </c>
      <c r="AN9">
        <f>ROUND(AM9+IF(AN$3=1,Premissas!$G$43,Premissas!$H$43),2)</f>
        <v>25700</v>
      </c>
      <c r="AO9">
        <f>ROUND(AN9+IF(AO$3=1,Premissas!$G$43,Premissas!$H$43),2)</f>
        <v>26200</v>
      </c>
      <c r="AP9">
        <f>ROUND(AO9+IF(AP$3=1,Premissas!$G$43,Premissas!$H$43),2)</f>
        <v>26700</v>
      </c>
      <c r="AQ9">
        <f>ROUND(AP9+IF(AQ$3=1,Premissas!$G$43,Premissas!$H$43),2)</f>
        <v>27200</v>
      </c>
      <c r="AR9">
        <f>ROUND(AQ9+IF(AR$3=1,Premissas!$G$43,Premissas!$H$43),2)</f>
        <v>27700</v>
      </c>
      <c r="AS9">
        <f>ROUND(AR9+IF(AS$3=1,Premissas!$G$43,Premissas!$H$43),2)</f>
        <v>28200</v>
      </c>
      <c r="AT9">
        <f>ROUND(AS9+IF(AT$3=1,Premissas!$G$43,Premissas!$H$43),2)</f>
        <v>28700</v>
      </c>
      <c r="AU9">
        <f>ROUND(AT9+IF(AU$3=1,Premissas!$G$43,Premissas!$H$43),2)</f>
        <v>29200</v>
      </c>
      <c r="AV9">
        <f>ROUND(AU9+IF(AV$3=1,Premissas!$G$43,Premissas!$H$43),2)</f>
        <v>29700</v>
      </c>
      <c r="AW9">
        <f>ROUND(AV9+IF(AW$3=1,Premissas!$G$43,Premissas!$H$43),2)</f>
        <v>30200</v>
      </c>
      <c r="AX9">
        <f>ROUND(AW9+IF(AX$3=1,Premissas!$G$43,Premissas!$H$43),2)</f>
        <v>30700</v>
      </c>
      <c r="AY9">
        <f>ROUND(AX9+IF(AY$3=1,Premissas!$G$43,Premissas!$H$43),2)</f>
        <v>31200</v>
      </c>
      <c r="AZ9">
        <f>ROUND(AY9+IF(AZ$3=1,Premissas!$G$43,Premissas!$H$43),2)</f>
        <v>31700</v>
      </c>
      <c r="BA9">
        <f>ROUND(AZ9+IF(BA$3=1,Premissas!$G$43,Premissas!$H$43),2)</f>
        <v>32200</v>
      </c>
    </row>
    <row r="10" spans="1:53" ht="15" customHeight="1" x14ac:dyDescent="0.4">
      <c r="A10" s="12" t="str">
        <f>Premissas!$A$44</f>
        <v>Pulverizador</v>
      </c>
      <c r="B10">
        <f>ROUND(Premissas!$J$44+IF(B$3=1,Premissas!$G$44,Premissas!$H$44),2)</f>
        <v>20</v>
      </c>
      <c r="C10">
        <f>ROUND(B10+IF(C$3=1,Premissas!$G$44,Premissas!$H$44),2)</f>
        <v>40</v>
      </c>
      <c r="D10">
        <f>ROUND(C10+IF(D$3=1,Premissas!$G$44,Premissas!$H$44),2)</f>
        <v>60</v>
      </c>
      <c r="E10">
        <f>ROUND(D10+IF(E$3=1,Premissas!$G$44,Premissas!$H$44),2)</f>
        <v>80</v>
      </c>
      <c r="F10">
        <f>ROUND(E10+IF(F$3=1,Premissas!$G$44,Premissas!$H$44),2)</f>
        <v>100</v>
      </c>
      <c r="G10">
        <f>ROUND(F10+IF(G$3=1,Premissas!$G$44,Premissas!$H$44),2)</f>
        <v>120</v>
      </c>
      <c r="H10">
        <f>ROUND(G10+IF(H$3=1,Premissas!$G$44,Premissas!$H$44),2)</f>
        <v>140</v>
      </c>
      <c r="I10">
        <f>ROUND(H10+IF(I$3=1,Premissas!$G$44,Premissas!$H$44),2)</f>
        <v>160</v>
      </c>
      <c r="J10">
        <f>ROUND(I10+IF(J$3=1,Premissas!$G$44,Premissas!$H$44),2)</f>
        <v>180</v>
      </c>
      <c r="K10">
        <f>ROUND(J10+IF(K$3=1,Premissas!$G$44,Premissas!$H$44),2)</f>
        <v>200</v>
      </c>
      <c r="L10">
        <f>ROUND(K10+IF(L$3=1,Premissas!$G$44,Premissas!$H$44),2)</f>
        <v>220</v>
      </c>
      <c r="M10">
        <f>ROUND(L10+IF(M$3=1,Premissas!$G$44,Premissas!$H$44),2)</f>
        <v>240</v>
      </c>
      <c r="N10">
        <f>ROUND(M10+IF(N$3=1,Premissas!$G$44,Premissas!$H$44),2)</f>
        <v>260</v>
      </c>
      <c r="O10">
        <f>ROUND(N10+IF(O$3=1,Premissas!$G$44,Premissas!$H$44),2)</f>
        <v>280</v>
      </c>
      <c r="P10">
        <f>ROUND(O10+IF(P$3=1,Premissas!$G$44,Premissas!$H$44),2)</f>
        <v>300</v>
      </c>
      <c r="Q10">
        <f>ROUND(P10+IF(Q$3=1,Premissas!$G$44,Premissas!$H$44),2)</f>
        <v>320</v>
      </c>
      <c r="R10">
        <f>ROUND(Q10+IF(R$3=1,Premissas!$G$44,Premissas!$H$44),2)</f>
        <v>340</v>
      </c>
      <c r="S10">
        <f>ROUND(R10+IF(S$3=1,Premissas!$G$44,Premissas!$H$44),2)</f>
        <v>360</v>
      </c>
      <c r="T10">
        <f>ROUND(S10+IF(T$3=1,Premissas!$G$44,Premissas!$H$44),2)</f>
        <v>380</v>
      </c>
      <c r="U10">
        <f>ROUND(T10+IF(U$3=1,Premissas!$G$44,Premissas!$H$44),2)</f>
        <v>400</v>
      </c>
      <c r="V10">
        <f>ROUND(U10+IF(V$3=1,Premissas!$G$44,Premissas!$H$44),2)</f>
        <v>420</v>
      </c>
      <c r="W10">
        <f>ROUND(V10+IF(W$3=1,Premissas!$G$44,Premissas!$H$44),2)</f>
        <v>440</v>
      </c>
      <c r="X10">
        <f>ROUND(W10+IF(X$3=1,Premissas!$G$44,Premissas!$H$44),2)</f>
        <v>460</v>
      </c>
      <c r="Y10">
        <f>ROUND(X10+IF(Y$3=1,Premissas!$G$44,Premissas!$H$44),2)</f>
        <v>480</v>
      </c>
      <c r="Z10">
        <f>ROUND(Y10+IF(Z$3=1,Premissas!$G$44,Premissas!$H$44),2)</f>
        <v>500</v>
      </c>
      <c r="AA10">
        <f>ROUND(Z10+IF(AA$3=1,Premissas!$G$44,Premissas!$H$44),2)</f>
        <v>520</v>
      </c>
      <c r="AB10">
        <f>ROUND(AA10+IF(AB$3=1,Premissas!$G$44,Premissas!$H$44),2)</f>
        <v>540</v>
      </c>
      <c r="AC10">
        <f>ROUND(AB10+IF(AC$3=1,Premissas!$G$44,Premissas!$H$44),2)</f>
        <v>560</v>
      </c>
      <c r="AD10">
        <f>ROUND(AC10+IF(AD$3=1,Premissas!$G$44,Premissas!$H$44),2)</f>
        <v>580</v>
      </c>
      <c r="AE10">
        <f>ROUND(AD10+IF(AE$3=1,Premissas!$G$44,Premissas!$H$44),2)</f>
        <v>600</v>
      </c>
      <c r="AF10">
        <f>ROUND(AE10+IF(AF$3=1,Premissas!$G$44,Premissas!$H$44),2)</f>
        <v>620</v>
      </c>
      <c r="AG10">
        <f>ROUND(AF10+IF(AG$3=1,Premissas!$G$44,Premissas!$H$44),2)</f>
        <v>640</v>
      </c>
      <c r="AH10">
        <f>ROUND(AG10+IF(AH$3=1,Premissas!$G$44,Premissas!$H$44),2)</f>
        <v>660</v>
      </c>
      <c r="AI10">
        <f>ROUND(AH10+IF(AI$3=1,Premissas!$G$44,Premissas!$H$44),2)</f>
        <v>680</v>
      </c>
      <c r="AJ10">
        <f>ROUND(AI10+IF(AJ$3=1,Premissas!$G$44,Premissas!$H$44),2)</f>
        <v>700</v>
      </c>
      <c r="AK10">
        <f>ROUND(AJ10+IF(AK$3=1,Premissas!$G$44,Premissas!$H$44),2)</f>
        <v>720</v>
      </c>
      <c r="AL10">
        <f>ROUND(AK10+IF(AL$3=1,Premissas!$G$44,Premissas!$H$44),2)</f>
        <v>740</v>
      </c>
      <c r="AM10">
        <f>ROUND(AL10+IF(AM$3=1,Premissas!$G$44,Premissas!$H$44),2)</f>
        <v>760</v>
      </c>
      <c r="AN10">
        <f>ROUND(AM10+IF(AN$3=1,Premissas!$G$44,Premissas!$H$44),2)</f>
        <v>780</v>
      </c>
      <c r="AO10">
        <f>ROUND(AN10+IF(AO$3=1,Premissas!$G$44,Premissas!$H$44),2)</f>
        <v>800</v>
      </c>
      <c r="AP10">
        <f>ROUND(AO10+IF(AP$3=1,Premissas!$G$44,Premissas!$H$44),2)</f>
        <v>820</v>
      </c>
      <c r="AQ10">
        <f>ROUND(AP10+IF(AQ$3=1,Premissas!$G$44,Premissas!$H$44),2)</f>
        <v>840</v>
      </c>
      <c r="AR10">
        <f>ROUND(AQ10+IF(AR$3=1,Premissas!$G$44,Premissas!$H$44),2)</f>
        <v>860</v>
      </c>
      <c r="AS10">
        <f>ROUND(AR10+IF(AS$3=1,Premissas!$G$44,Premissas!$H$44),2)</f>
        <v>880</v>
      </c>
      <c r="AT10">
        <f>ROUND(AS10+IF(AT$3=1,Premissas!$G$44,Premissas!$H$44),2)</f>
        <v>900</v>
      </c>
      <c r="AU10">
        <f>ROUND(AT10+IF(AU$3=1,Premissas!$G$44,Premissas!$H$44),2)</f>
        <v>920</v>
      </c>
      <c r="AV10">
        <f>ROUND(AU10+IF(AV$3=1,Premissas!$G$44,Premissas!$H$44),2)</f>
        <v>940</v>
      </c>
      <c r="AW10">
        <f>ROUND(AV10+IF(AW$3=1,Premissas!$G$44,Premissas!$H$44),2)</f>
        <v>960</v>
      </c>
      <c r="AX10">
        <f>ROUND(AW10+IF(AX$3=1,Premissas!$G$44,Premissas!$H$44),2)</f>
        <v>980</v>
      </c>
      <c r="AY10">
        <f>ROUND(AX10+IF(AY$3=1,Premissas!$G$44,Premissas!$H$44),2)</f>
        <v>1000</v>
      </c>
      <c r="AZ10">
        <f>ROUND(AY10+IF(AZ$3=1,Premissas!$G$44,Premissas!$H$44),2)</f>
        <v>1020</v>
      </c>
      <c r="BA10">
        <f>ROUND(AZ10+IF(BA$3=1,Premissas!$G$44,Premissas!$H$44),2)</f>
        <v>1040</v>
      </c>
    </row>
    <row r="11" spans="1:53" ht="15" customHeight="1" x14ac:dyDescent="0.4">
      <c r="A11" s="12" t="str">
        <f>Premissas!$A$45</f>
        <v>Implemento</v>
      </c>
      <c r="B11">
        <f>ROUND(Premissas!$J$45+IF(B$3=1,Premissas!$G$45,Premissas!$H$45),2)</f>
        <v>25</v>
      </c>
      <c r="C11">
        <f>ROUND(B11+IF(C$3=1,Premissas!$G$45,Premissas!$H$45),2)</f>
        <v>50</v>
      </c>
      <c r="D11">
        <f>ROUND(C11+IF(D$3=1,Premissas!$G$45,Premissas!$H$45),2)</f>
        <v>75</v>
      </c>
      <c r="E11">
        <f>ROUND(D11+IF(E$3=1,Premissas!$G$45,Premissas!$H$45),2)</f>
        <v>100</v>
      </c>
      <c r="F11">
        <f>ROUND(E11+IF(F$3=1,Premissas!$G$45,Premissas!$H$45),2)</f>
        <v>125</v>
      </c>
      <c r="G11">
        <f>ROUND(F11+IF(G$3=1,Premissas!$G$45,Premissas!$H$45),2)</f>
        <v>150</v>
      </c>
      <c r="H11">
        <f>ROUND(G11+IF(H$3=1,Premissas!$G$45,Premissas!$H$45),2)</f>
        <v>175</v>
      </c>
      <c r="I11">
        <f>ROUND(H11+IF(I$3=1,Premissas!$G$45,Premissas!$H$45),2)</f>
        <v>200</v>
      </c>
      <c r="J11">
        <f>ROUND(I11+IF(J$3=1,Premissas!$G$45,Premissas!$H$45),2)</f>
        <v>225</v>
      </c>
      <c r="K11">
        <f>ROUND(J11+IF(K$3=1,Premissas!$G$45,Premissas!$H$45),2)</f>
        <v>250</v>
      </c>
      <c r="L11">
        <f>ROUND(K11+IF(L$3=1,Premissas!$G$45,Premissas!$H$45),2)</f>
        <v>275</v>
      </c>
      <c r="M11">
        <f>ROUND(L11+IF(M$3=1,Premissas!$G$45,Premissas!$H$45),2)</f>
        <v>300</v>
      </c>
      <c r="N11">
        <f>ROUND(M11+IF(N$3=1,Premissas!$G$45,Premissas!$H$45),2)</f>
        <v>325</v>
      </c>
      <c r="O11">
        <f>ROUND(N11+IF(O$3=1,Premissas!$G$45,Premissas!$H$45),2)</f>
        <v>350</v>
      </c>
      <c r="P11">
        <f>ROUND(O11+IF(P$3=1,Premissas!$G$45,Premissas!$H$45),2)</f>
        <v>375</v>
      </c>
      <c r="Q11">
        <f>ROUND(P11+IF(Q$3=1,Premissas!$G$45,Premissas!$H$45),2)</f>
        <v>400</v>
      </c>
      <c r="R11">
        <f>ROUND(Q11+IF(R$3=1,Premissas!$G$45,Premissas!$H$45),2)</f>
        <v>425</v>
      </c>
      <c r="S11">
        <f>ROUND(R11+IF(S$3=1,Premissas!$G$45,Premissas!$H$45),2)</f>
        <v>450</v>
      </c>
      <c r="T11">
        <f>ROUND(S11+IF(T$3=1,Premissas!$G$45,Premissas!$H$45),2)</f>
        <v>475</v>
      </c>
      <c r="U11">
        <f>ROUND(T11+IF(U$3=1,Premissas!$G$45,Premissas!$H$45),2)</f>
        <v>500</v>
      </c>
      <c r="V11">
        <f>ROUND(U11+IF(V$3=1,Premissas!$G$45,Premissas!$H$45),2)</f>
        <v>525</v>
      </c>
      <c r="W11">
        <f>ROUND(V11+IF(W$3=1,Premissas!$G$45,Premissas!$H$45),2)</f>
        <v>550</v>
      </c>
      <c r="X11">
        <f>ROUND(W11+IF(X$3=1,Premissas!$G$45,Premissas!$H$45),2)</f>
        <v>575</v>
      </c>
      <c r="Y11">
        <f>ROUND(X11+IF(Y$3=1,Premissas!$G$45,Premissas!$H$45),2)</f>
        <v>600</v>
      </c>
      <c r="Z11">
        <f>ROUND(Y11+IF(Z$3=1,Premissas!$G$45,Premissas!$H$45),2)</f>
        <v>625</v>
      </c>
      <c r="AA11">
        <f>ROUND(Z11+IF(AA$3=1,Premissas!$G$45,Premissas!$H$45),2)</f>
        <v>650</v>
      </c>
      <c r="AB11">
        <f>ROUND(AA11+IF(AB$3=1,Premissas!$G$45,Premissas!$H$45),2)</f>
        <v>675</v>
      </c>
      <c r="AC11">
        <f>ROUND(AB11+IF(AC$3=1,Premissas!$G$45,Premissas!$H$45),2)</f>
        <v>700</v>
      </c>
      <c r="AD11">
        <f>ROUND(AC11+IF(AD$3=1,Premissas!$G$45,Premissas!$H$45),2)</f>
        <v>725</v>
      </c>
      <c r="AE11">
        <f>ROUND(AD11+IF(AE$3=1,Premissas!$G$45,Premissas!$H$45),2)</f>
        <v>750</v>
      </c>
      <c r="AF11">
        <f>ROUND(AE11+IF(AF$3=1,Premissas!$G$45,Premissas!$H$45),2)</f>
        <v>775</v>
      </c>
      <c r="AG11">
        <f>ROUND(AF11+IF(AG$3=1,Premissas!$G$45,Premissas!$H$45),2)</f>
        <v>780</v>
      </c>
      <c r="AH11">
        <f>ROUND(AG11+IF(AH$3=1,Premissas!$G$45,Premissas!$H$45),2)</f>
        <v>785</v>
      </c>
      <c r="AI11">
        <f>ROUND(AH11+IF(AI$3=1,Premissas!$G$45,Premissas!$H$45),2)</f>
        <v>790</v>
      </c>
      <c r="AJ11">
        <f>ROUND(AI11+IF(AJ$3=1,Premissas!$G$45,Premissas!$H$45),2)</f>
        <v>795</v>
      </c>
      <c r="AK11">
        <f>ROUND(AJ11+IF(AK$3=1,Premissas!$G$45,Premissas!$H$45),2)</f>
        <v>800</v>
      </c>
      <c r="AL11">
        <f>ROUND(AK11+IF(AL$3=1,Premissas!$G$45,Premissas!$H$45),2)</f>
        <v>805</v>
      </c>
      <c r="AM11">
        <f>ROUND(AL11+IF(AM$3=1,Premissas!$G$45,Premissas!$H$45),2)</f>
        <v>810</v>
      </c>
      <c r="AN11">
        <f>ROUND(AM11+IF(AN$3=1,Premissas!$G$45,Premissas!$H$45),2)</f>
        <v>815</v>
      </c>
      <c r="AO11">
        <f>ROUND(AN11+IF(AO$3=1,Premissas!$G$45,Premissas!$H$45),2)</f>
        <v>820</v>
      </c>
      <c r="AP11">
        <f>ROUND(AO11+IF(AP$3=1,Premissas!$G$45,Premissas!$H$45),2)</f>
        <v>825</v>
      </c>
      <c r="AQ11">
        <f>ROUND(AP11+IF(AQ$3=1,Premissas!$G$45,Premissas!$H$45),2)</f>
        <v>830</v>
      </c>
      <c r="AR11">
        <f>ROUND(AQ11+IF(AR$3=1,Premissas!$G$45,Premissas!$H$45),2)</f>
        <v>835</v>
      </c>
      <c r="AS11">
        <f>ROUND(AR11+IF(AS$3=1,Premissas!$G$45,Premissas!$H$45),2)</f>
        <v>840</v>
      </c>
      <c r="AT11">
        <f>ROUND(AS11+IF(AT$3=1,Premissas!$G$45,Premissas!$H$45),2)</f>
        <v>845</v>
      </c>
      <c r="AU11">
        <f>ROUND(AT11+IF(AU$3=1,Premissas!$G$45,Premissas!$H$45),2)</f>
        <v>850</v>
      </c>
      <c r="AV11">
        <f>ROUND(AU11+IF(AV$3=1,Premissas!$G$45,Premissas!$H$45),2)</f>
        <v>855</v>
      </c>
      <c r="AW11">
        <f>ROUND(AV11+IF(AW$3=1,Premissas!$G$45,Premissas!$H$45),2)</f>
        <v>860</v>
      </c>
      <c r="AX11">
        <f>ROUND(AW11+IF(AX$3=1,Premissas!$G$45,Premissas!$H$45),2)</f>
        <v>865</v>
      </c>
      <c r="AY11">
        <f>ROUND(AX11+IF(AY$3=1,Premissas!$G$45,Premissas!$H$45),2)</f>
        <v>870</v>
      </c>
      <c r="AZ11">
        <f>ROUND(AY11+IF(AZ$3=1,Premissas!$G$45,Premissas!$H$45),2)</f>
        <v>875</v>
      </c>
      <c r="BA11">
        <f>ROUND(AZ11+IF(BA$3=1,Premissas!$G$45,Premissas!$H$45),2)</f>
        <v>880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2B5B7"/>
  </sheetPr>
  <dimension ref="A1:K31"/>
  <sheetViews>
    <sheetView zoomScaleNormal="100" workbookViewId="0"/>
  </sheetViews>
  <sheetFormatPr defaultColWidth="8.69140625" defaultRowHeight="14.6" x14ac:dyDescent="0.4"/>
  <cols>
    <col min="1" max="1" width="26" customWidth="1"/>
    <col min="2" max="2" width="18" customWidth="1"/>
    <col min="3" max="3" width="7" customWidth="1"/>
    <col min="4" max="9" width="13" customWidth="1"/>
    <col min="10" max="10" width="9" customWidth="1"/>
  </cols>
  <sheetData>
    <row r="1" spans="1:11" ht="15.75" customHeight="1" x14ac:dyDescent="0.45">
      <c r="A1" s="3" t="s">
        <v>1442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34.5" customHeight="1" x14ac:dyDescent="0.4">
      <c r="A3" s="14" t="s">
        <v>1443</v>
      </c>
      <c r="B3" s="14" t="s">
        <v>128</v>
      </c>
      <c r="C3" s="14" t="s">
        <v>976</v>
      </c>
      <c r="D3" s="14" t="s">
        <v>76</v>
      </c>
      <c r="E3" s="14" t="s">
        <v>75</v>
      </c>
      <c r="F3" s="14" t="s">
        <v>77</v>
      </c>
      <c r="G3" s="14" t="s">
        <v>78</v>
      </c>
      <c r="H3" s="14" t="s">
        <v>104</v>
      </c>
      <c r="I3" s="14" t="s">
        <v>80</v>
      </c>
      <c r="J3" s="14" t="s">
        <v>1444</v>
      </c>
    </row>
    <row r="4" spans="1:11" ht="15" customHeight="1" x14ac:dyDescent="0.4">
      <c r="A4" s="16" t="str">
        <f t="shared" ref="A4:A31" si="0">B4&amp;"|"&amp;C4</f>
        <v>Colhedora|S</v>
      </c>
      <c r="B4" s="16" t="s">
        <v>138</v>
      </c>
      <c r="C4" s="16" t="s">
        <v>856</v>
      </c>
      <c r="D4" s="16">
        <f>ROUND(SUMIFS(Checklist!$H$5:$H$64,Checklist!$C$5:$C$64,$B4,Checklist!$D$5:$D$64,D$3,Checklist!$B$5:$B$64,"S"),2)</f>
        <v>3</v>
      </c>
      <c r="E4" s="16">
        <f>ROUND(SUMIFS(Checklist!$H$5:$H$64,Checklist!$C$5:$C$64,$B4,Checklist!$D$5:$D$64,E$3,Checklist!$B$5:$B$64,"S"),2)</f>
        <v>0</v>
      </c>
      <c r="F4" s="16">
        <f>ROUND(SUMIFS(Checklist!$H$5:$H$64,Checklist!$C$5:$C$64,$B4,Checklist!$D$5:$D$64,F$3,Checklist!$B$5:$B$64,"S"),2)</f>
        <v>0</v>
      </c>
      <c r="G4" s="16">
        <f>ROUND(SUMIFS(Checklist!$H$5:$H$64,Checklist!$C$5:$C$64,$B4,Checklist!$D$5:$D$64,G$3,Checklist!$B$5:$B$64,"S"),2)</f>
        <v>0</v>
      </c>
      <c r="H4" s="16">
        <f>ROUND(SUMIFS(Checklist!$H$5:$H$64,Checklist!$C$5:$C$64,$B4,Checklist!$D$5:$D$64,H$3,Checklist!$B$5:$B$64,"S"),2)</f>
        <v>0</v>
      </c>
      <c r="I4" s="16">
        <f>ROUND(SUMIFS(Checklist!$H$5:$H$64,Checklist!$C$5:$C$64,$B4,Checklist!$D$5:$D$64,I$3,Checklist!$B$5:$B$64,"S"),2)</f>
        <v>0</v>
      </c>
      <c r="J4" s="16">
        <f t="shared" ref="J4:J31" si="1">ROUND(SUM(D4:I4),2)</f>
        <v>3</v>
      </c>
    </row>
    <row r="5" spans="1:11" ht="15" customHeight="1" x14ac:dyDescent="0.4">
      <c r="A5" s="16" t="str">
        <f t="shared" si="0"/>
        <v>Colhedora|A</v>
      </c>
      <c r="B5" s="16" t="s">
        <v>138</v>
      </c>
      <c r="C5" s="16" t="s">
        <v>861</v>
      </c>
      <c r="D5" s="16">
        <f>ROUND(SUMIFS(Checklist!$H$5:$H$64,Checklist!$C$5:$C$64,$B5,Checklist!$D$5:$D$64,D$3,Checklist!$B$5:$B$64,"S")+SUMIFS(Checklist!$H$5:$H$64,Checklist!$C$5:$C$64,$B5,Checklist!$D$5:$D$64,D$3,Checklist!$B$5:$B$64,"A"),2)</f>
        <v>6</v>
      </c>
      <c r="E5" s="16">
        <f>ROUND(SUMIFS(Checklist!$H$5:$H$64,Checklist!$C$5:$C$64,$B5,Checklist!$D$5:$D$64,E$3,Checklist!$B$5:$B$64,"S")+SUMIFS(Checklist!$H$5:$H$64,Checklist!$C$5:$C$64,$B5,Checklist!$D$5:$D$64,E$3,Checklist!$B$5:$B$64,"A"),2)</f>
        <v>0</v>
      </c>
      <c r="F5" s="16">
        <f>ROUND(SUMIFS(Checklist!$H$5:$H$64,Checklist!$C$5:$C$64,$B5,Checklist!$D$5:$D$64,F$3,Checklist!$B$5:$B$64,"S")+SUMIFS(Checklist!$H$5:$H$64,Checklist!$C$5:$C$64,$B5,Checklist!$D$5:$D$64,F$3,Checklist!$B$5:$B$64,"A"),2)</f>
        <v>0</v>
      </c>
      <c r="G5" s="16">
        <f>ROUND(SUMIFS(Checklist!$H$5:$H$64,Checklist!$C$5:$C$64,$B5,Checklist!$D$5:$D$64,G$3,Checklist!$B$5:$B$64,"S")+SUMIFS(Checklist!$H$5:$H$64,Checklist!$C$5:$C$64,$B5,Checklist!$D$5:$D$64,G$3,Checklist!$B$5:$B$64,"A"),2)</f>
        <v>0</v>
      </c>
      <c r="H5" s="16">
        <f>ROUND(SUMIFS(Checklist!$H$5:$H$64,Checklist!$C$5:$C$64,$B5,Checklist!$D$5:$D$64,H$3,Checklist!$B$5:$B$64,"S")+SUMIFS(Checklist!$H$5:$H$64,Checklist!$C$5:$C$64,$B5,Checklist!$D$5:$D$64,H$3,Checklist!$B$5:$B$64,"A"),2)</f>
        <v>0</v>
      </c>
      <c r="I5" s="16">
        <f>ROUND(SUMIFS(Checklist!$H$5:$H$64,Checklist!$C$5:$C$64,$B5,Checklist!$D$5:$D$64,I$3,Checklist!$B$5:$B$64,"S")+SUMIFS(Checklist!$H$5:$H$64,Checklist!$C$5:$C$64,$B5,Checklist!$D$5:$D$64,I$3,Checklist!$B$5:$B$64,"A"),2)</f>
        <v>0</v>
      </c>
      <c r="J5" s="16">
        <f t="shared" si="1"/>
        <v>6</v>
      </c>
    </row>
    <row r="6" spans="1:11" ht="15" customHeight="1" x14ac:dyDescent="0.4">
      <c r="A6" s="16" t="str">
        <f t="shared" si="0"/>
        <v>Colhedora|B</v>
      </c>
      <c r="B6" s="16" t="s">
        <v>138</v>
      </c>
      <c r="C6" s="16" t="s">
        <v>864</v>
      </c>
      <c r="D6" s="16">
        <f>ROUND(SUMIFS(Checklist!$H$5:$H$64,Checklist!$C$5:$C$64,$B6,Checklist!$D$5:$D$64,D$3,Checklist!$B$5:$B$64,"S")+SUMIFS(Checklist!$H$5:$H$64,Checklist!$C$5:$C$64,$B6,Checklist!$D$5:$D$64,D$3,Checklist!$B$5:$B$64,"A")+SUMIFS(Checklist!$H$5:$H$64,Checklist!$C$5:$C$64,$B6,Checklist!$D$5:$D$64,D$3,Checklist!$B$5:$B$64,"B"),2)</f>
        <v>12</v>
      </c>
      <c r="E6" s="16">
        <f>ROUND(SUMIFS(Checklist!$H$5:$H$64,Checklist!$C$5:$C$64,$B6,Checklist!$D$5:$D$64,E$3,Checklist!$B$5:$B$64,"S")+SUMIFS(Checklist!$H$5:$H$64,Checklist!$C$5:$C$64,$B6,Checklist!$D$5:$D$64,E$3,Checklist!$B$5:$B$64,"A")+SUMIFS(Checklist!$H$5:$H$64,Checklist!$C$5:$C$64,$B6,Checklist!$D$5:$D$64,E$3,Checklist!$B$5:$B$64,"B"),2)</f>
        <v>0</v>
      </c>
      <c r="F6" s="16">
        <f>ROUND(SUMIFS(Checklist!$H$5:$H$64,Checklist!$C$5:$C$64,$B6,Checklist!$D$5:$D$64,F$3,Checklist!$B$5:$B$64,"S")+SUMIFS(Checklist!$H$5:$H$64,Checklist!$C$5:$C$64,$B6,Checklist!$D$5:$D$64,F$3,Checklist!$B$5:$B$64,"A")+SUMIFS(Checklist!$H$5:$H$64,Checklist!$C$5:$C$64,$B6,Checklist!$D$5:$D$64,F$3,Checklist!$B$5:$B$64,"B"),2)</f>
        <v>0</v>
      </c>
      <c r="G6" s="16">
        <f>ROUND(SUMIFS(Checklist!$H$5:$H$64,Checklist!$C$5:$C$64,$B6,Checklist!$D$5:$D$64,G$3,Checklist!$B$5:$B$64,"S")+SUMIFS(Checklist!$H$5:$H$64,Checklist!$C$5:$C$64,$B6,Checklist!$D$5:$D$64,G$3,Checklist!$B$5:$B$64,"A")+SUMIFS(Checklist!$H$5:$H$64,Checklist!$C$5:$C$64,$B6,Checklist!$D$5:$D$64,G$3,Checklist!$B$5:$B$64,"B"),2)</f>
        <v>0</v>
      </c>
      <c r="H6" s="16">
        <f>ROUND(SUMIFS(Checklist!$H$5:$H$64,Checklist!$C$5:$C$64,$B6,Checklist!$D$5:$D$64,H$3,Checklist!$B$5:$B$64,"S")+SUMIFS(Checklist!$H$5:$H$64,Checklist!$C$5:$C$64,$B6,Checklist!$D$5:$D$64,H$3,Checklist!$B$5:$B$64,"A")+SUMIFS(Checklist!$H$5:$H$64,Checklist!$C$5:$C$64,$B6,Checklist!$D$5:$D$64,H$3,Checklist!$B$5:$B$64,"B"),2)</f>
        <v>0</v>
      </c>
      <c r="I6" s="16">
        <f>ROUND(SUMIFS(Checklist!$H$5:$H$64,Checklist!$C$5:$C$64,$B6,Checklist!$D$5:$D$64,I$3,Checklist!$B$5:$B$64,"S")+SUMIFS(Checklist!$H$5:$H$64,Checklist!$C$5:$C$64,$B6,Checklist!$D$5:$D$64,I$3,Checklist!$B$5:$B$64,"A")+SUMIFS(Checklist!$H$5:$H$64,Checklist!$C$5:$C$64,$B6,Checklist!$D$5:$D$64,I$3,Checklist!$B$5:$B$64,"B"),2)</f>
        <v>0</v>
      </c>
      <c r="J6" s="16">
        <f t="shared" si="1"/>
        <v>12</v>
      </c>
    </row>
    <row r="7" spans="1:11" ht="15" customHeight="1" x14ac:dyDescent="0.4">
      <c r="A7" s="16" t="str">
        <f t="shared" si="0"/>
        <v>Colhedora|C</v>
      </c>
      <c r="B7" s="16" t="s">
        <v>138</v>
      </c>
      <c r="C7" s="16" t="s">
        <v>867</v>
      </c>
      <c r="D7" s="16">
        <f>ROUND(SUMIFS(Checklist!$H$5:$H$64,Checklist!$C$5:$C$64,$B7,Checklist!$D$5:$D$64,D$3,Checklist!$B$5:$B$64,"S")+SUMIFS(Checklist!$H$5:$H$64,Checklist!$C$5:$C$64,$B7,Checklist!$D$5:$D$64,D$3,Checklist!$B$5:$B$64,"A")+SUMIFS(Checklist!$H$5:$H$64,Checklist!$C$5:$C$64,$B7,Checklist!$D$5:$D$64,D$3,Checklist!$B$5:$B$64,"B")+SUMIFS(Checklist!$H$5:$H$64,Checklist!$C$5:$C$64,$B7,Checklist!$D$5:$D$64,D$3,Checklist!$B$5:$B$64,"C"),2)</f>
        <v>24</v>
      </c>
      <c r="E7" s="16">
        <f>ROUND(SUMIFS(Checklist!$H$5:$H$64,Checklist!$C$5:$C$64,$B7,Checklist!$D$5:$D$64,E$3,Checklist!$B$5:$B$64,"S")+SUMIFS(Checklist!$H$5:$H$64,Checklist!$C$5:$C$64,$B7,Checklist!$D$5:$D$64,E$3,Checklist!$B$5:$B$64,"A")+SUMIFS(Checklist!$H$5:$H$64,Checklist!$C$5:$C$64,$B7,Checklist!$D$5:$D$64,E$3,Checklist!$B$5:$B$64,"B")+SUMIFS(Checklist!$H$5:$H$64,Checklist!$C$5:$C$64,$B7,Checklist!$D$5:$D$64,E$3,Checklist!$B$5:$B$64,"C"),2)</f>
        <v>0</v>
      </c>
      <c r="F7" s="16">
        <f>ROUND(SUMIFS(Checklist!$H$5:$H$64,Checklist!$C$5:$C$64,$B7,Checklist!$D$5:$D$64,F$3,Checklist!$B$5:$B$64,"S")+SUMIFS(Checklist!$H$5:$H$64,Checklist!$C$5:$C$64,$B7,Checklist!$D$5:$D$64,F$3,Checklist!$B$5:$B$64,"A")+SUMIFS(Checklist!$H$5:$H$64,Checklist!$C$5:$C$64,$B7,Checklist!$D$5:$D$64,F$3,Checklist!$B$5:$B$64,"B")+SUMIFS(Checklist!$H$5:$H$64,Checklist!$C$5:$C$64,$B7,Checklist!$D$5:$D$64,F$3,Checklist!$B$5:$B$64,"C"),2)</f>
        <v>0</v>
      </c>
      <c r="G7" s="16">
        <f>ROUND(SUMIFS(Checklist!$H$5:$H$64,Checklist!$C$5:$C$64,$B7,Checklist!$D$5:$D$64,G$3,Checklist!$B$5:$B$64,"S")+SUMIFS(Checklist!$H$5:$H$64,Checklist!$C$5:$C$64,$B7,Checklist!$D$5:$D$64,G$3,Checklist!$B$5:$B$64,"A")+SUMIFS(Checklist!$H$5:$H$64,Checklist!$C$5:$C$64,$B7,Checklist!$D$5:$D$64,G$3,Checklist!$B$5:$B$64,"B")+SUMIFS(Checklist!$H$5:$H$64,Checklist!$C$5:$C$64,$B7,Checklist!$D$5:$D$64,G$3,Checklist!$B$5:$B$64,"C"),2)</f>
        <v>0</v>
      </c>
      <c r="H7" s="16">
        <f>ROUND(SUMIFS(Checklist!$H$5:$H$64,Checklist!$C$5:$C$64,$B7,Checklist!$D$5:$D$64,H$3,Checklist!$B$5:$B$64,"S")+SUMIFS(Checklist!$H$5:$H$64,Checklist!$C$5:$C$64,$B7,Checklist!$D$5:$D$64,H$3,Checklist!$B$5:$B$64,"A")+SUMIFS(Checklist!$H$5:$H$64,Checklist!$C$5:$C$64,$B7,Checklist!$D$5:$D$64,H$3,Checklist!$B$5:$B$64,"B")+SUMIFS(Checklist!$H$5:$H$64,Checklist!$C$5:$C$64,$B7,Checklist!$D$5:$D$64,H$3,Checklist!$B$5:$B$64,"C"),2)</f>
        <v>0</v>
      </c>
      <c r="I7" s="16">
        <f>ROUND(SUMIFS(Checklist!$H$5:$H$64,Checklist!$C$5:$C$64,$B7,Checklist!$D$5:$D$64,I$3,Checklist!$B$5:$B$64,"S")+SUMIFS(Checklist!$H$5:$H$64,Checklist!$C$5:$C$64,$B7,Checklist!$D$5:$D$64,I$3,Checklist!$B$5:$B$64,"A")+SUMIFS(Checklist!$H$5:$H$64,Checklist!$C$5:$C$64,$B7,Checklist!$D$5:$D$64,I$3,Checklist!$B$5:$B$64,"B")+SUMIFS(Checklist!$H$5:$H$64,Checklist!$C$5:$C$64,$B7,Checklist!$D$5:$D$64,I$3,Checklist!$B$5:$B$64,"C"),2)</f>
        <v>0</v>
      </c>
      <c r="J7" s="16">
        <f t="shared" si="1"/>
        <v>24</v>
      </c>
    </row>
    <row r="8" spans="1:11" ht="15" customHeight="1" x14ac:dyDescent="0.4">
      <c r="A8" s="16" t="str">
        <f t="shared" si="0"/>
        <v>Trator|S</v>
      </c>
      <c r="B8" s="16" t="s">
        <v>140</v>
      </c>
      <c r="C8" s="16" t="s">
        <v>856</v>
      </c>
      <c r="D8" s="16">
        <f>ROUND(SUMIFS(Checklist!$H$5:$H$64,Checklist!$C$5:$C$64,$B8,Checklist!$D$5:$D$64,D$3,Checklist!$B$5:$B$64,"S"),2)</f>
        <v>2.5</v>
      </c>
      <c r="E8" s="16">
        <f>ROUND(SUMIFS(Checklist!$H$5:$H$64,Checklist!$C$5:$C$64,$B8,Checklist!$D$5:$D$64,E$3,Checklist!$B$5:$B$64,"S"),2)</f>
        <v>0</v>
      </c>
      <c r="F8" s="16">
        <f>ROUND(SUMIFS(Checklist!$H$5:$H$64,Checklist!$C$5:$C$64,$B8,Checklist!$D$5:$D$64,F$3,Checklist!$B$5:$B$64,"S"),2)</f>
        <v>0</v>
      </c>
      <c r="G8" s="16">
        <f>ROUND(SUMIFS(Checklist!$H$5:$H$64,Checklist!$C$5:$C$64,$B8,Checklist!$D$5:$D$64,G$3,Checklist!$B$5:$B$64,"S"),2)</f>
        <v>0</v>
      </c>
      <c r="H8" s="16">
        <f>ROUND(SUMIFS(Checklist!$H$5:$H$64,Checklist!$C$5:$C$64,$B8,Checklist!$D$5:$D$64,H$3,Checklist!$B$5:$B$64,"S"),2)</f>
        <v>0</v>
      </c>
      <c r="I8" s="16">
        <f>ROUND(SUMIFS(Checklist!$H$5:$H$64,Checklist!$C$5:$C$64,$B8,Checklist!$D$5:$D$64,I$3,Checklist!$B$5:$B$64,"S"),2)</f>
        <v>0</v>
      </c>
      <c r="J8" s="16">
        <f t="shared" si="1"/>
        <v>2.5</v>
      </c>
    </row>
    <row r="9" spans="1:11" ht="15" customHeight="1" x14ac:dyDescent="0.4">
      <c r="A9" s="16" t="str">
        <f t="shared" si="0"/>
        <v>Trator|A</v>
      </c>
      <c r="B9" s="16" t="s">
        <v>140</v>
      </c>
      <c r="C9" s="16" t="s">
        <v>861</v>
      </c>
      <c r="D9" s="16">
        <f>ROUND(SUMIFS(Checklist!$H$5:$H$64,Checklist!$C$5:$C$64,$B9,Checklist!$D$5:$D$64,D$3,Checklist!$B$5:$B$64,"S")+SUMIFS(Checklist!$H$5:$H$64,Checklist!$C$5:$C$64,$B9,Checklist!$D$5:$D$64,D$3,Checklist!$B$5:$B$64,"A"),2)</f>
        <v>4.5</v>
      </c>
      <c r="E9" s="16">
        <f>ROUND(SUMIFS(Checklist!$H$5:$H$64,Checklist!$C$5:$C$64,$B9,Checklist!$D$5:$D$64,E$3,Checklist!$B$5:$B$64,"S")+SUMIFS(Checklist!$H$5:$H$64,Checklist!$C$5:$C$64,$B9,Checklist!$D$5:$D$64,E$3,Checklist!$B$5:$B$64,"A"),2)</f>
        <v>0</v>
      </c>
      <c r="F9" s="16">
        <f>ROUND(SUMIFS(Checklist!$H$5:$H$64,Checklist!$C$5:$C$64,$B9,Checklist!$D$5:$D$64,F$3,Checklist!$B$5:$B$64,"S")+SUMIFS(Checklist!$H$5:$H$64,Checklist!$C$5:$C$64,$B9,Checklist!$D$5:$D$64,F$3,Checklist!$B$5:$B$64,"A"),2)</f>
        <v>0</v>
      </c>
      <c r="G9" s="16">
        <f>ROUND(SUMIFS(Checklist!$H$5:$H$64,Checklist!$C$5:$C$64,$B9,Checklist!$D$5:$D$64,G$3,Checklist!$B$5:$B$64,"S")+SUMIFS(Checklist!$H$5:$H$64,Checklist!$C$5:$C$64,$B9,Checklist!$D$5:$D$64,G$3,Checklist!$B$5:$B$64,"A"),2)</f>
        <v>0</v>
      </c>
      <c r="H9" s="16">
        <f>ROUND(SUMIFS(Checklist!$H$5:$H$64,Checklist!$C$5:$C$64,$B9,Checklist!$D$5:$D$64,H$3,Checklist!$B$5:$B$64,"S")+SUMIFS(Checklist!$H$5:$H$64,Checklist!$C$5:$C$64,$B9,Checklist!$D$5:$D$64,H$3,Checklist!$B$5:$B$64,"A"),2)</f>
        <v>0</v>
      </c>
      <c r="I9" s="16">
        <f>ROUND(SUMIFS(Checklist!$H$5:$H$64,Checklist!$C$5:$C$64,$B9,Checklist!$D$5:$D$64,I$3,Checklist!$B$5:$B$64,"S")+SUMIFS(Checklist!$H$5:$H$64,Checklist!$C$5:$C$64,$B9,Checklist!$D$5:$D$64,I$3,Checklist!$B$5:$B$64,"A"),2)</f>
        <v>0</v>
      </c>
      <c r="J9" s="16">
        <f t="shared" si="1"/>
        <v>4.5</v>
      </c>
    </row>
    <row r="10" spans="1:11" ht="15" customHeight="1" x14ac:dyDescent="0.4">
      <c r="A10" s="16" t="str">
        <f t="shared" si="0"/>
        <v>Trator|B</v>
      </c>
      <c r="B10" s="16" t="s">
        <v>140</v>
      </c>
      <c r="C10" s="16" t="s">
        <v>864</v>
      </c>
      <c r="D10" s="16">
        <f>ROUND(SUMIFS(Checklist!$H$5:$H$64,Checklist!$C$5:$C$64,$B10,Checklist!$D$5:$D$64,D$3,Checklist!$B$5:$B$64,"S")+SUMIFS(Checklist!$H$5:$H$64,Checklist!$C$5:$C$64,$B10,Checklist!$D$5:$D$64,D$3,Checklist!$B$5:$B$64,"A")+SUMIFS(Checklist!$H$5:$H$64,Checklist!$C$5:$C$64,$B10,Checklist!$D$5:$D$64,D$3,Checklist!$B$5:$B$64,"B"),2)</f>
        <v>8</v>
      </c>
      <c r="E10" s="16">
        <f>ROUND(SUMIFS(Checklist!$H$5:$H$64,Checklist!$C$5:$C$64,$B10,Checklist!$D$5:$D$64,E$3,Checklist!$B$5:$B$64,"S")+SUMIFS(Checklist!$H$5:$H$64,Checklist!$C$5:$C$64,$B10,Checklist!$D$5:$D$64,E$3,Checklist!$B$5:$B$64,"A")+SUMIFS(Checklist!$H$5:$H$64,Checklist!$C$5:$C$64,$B10,Checklist!$D$5:$D$64,E$3,Checklist!$B$5:$B$64,"B"),2)</f>
        <v>0</v>
      </c>
      <c r="F10" s="16">
        <f>ROUND(SUMIFS(Checklist!$H$5:$H$64,Checklist!$C$5:$C$64,$B10,Checklist!$D$5:$D$64,F$3,Checklist!$B$5:$B$64,"S")+SUMIFS(Checklist!$H$5:$H$64,Checklist!$C$5:$C$64,$B10,Checklist!$D$5:$D$64,F$3,Checklist!$B$5:$B$64,"A")+SUMIFS(Checklist!$H$5:$H$64,Checklist!$C$5:$C$64,$B10,Checklist!$D$5:$D$64,F$3,Checklist!$B$5:$B$64,"B"),2)</f>
        <v>0</v>
      </c>
      <c r="G10" s="16">
        <f>ROUND(SUMIFS(Checklist!$H$5:$H$64,Checklist!$C$5:$C$64,$B10,Checklist!$D$5:$D$64,G$3,Checklist!$B$5:$B$64,"S")+SUMIFS(Checklist!$H$5:$H$64,Checklist!$C$5:$C$64,$B10,Checklist!$D$5:$D$64,G$3,Checklist!$B$5:$B$64,"A")+SUMIFS(Checklist!$H$5:$H$64,Checklist!$C$5:$C$64,$B10,Checklist!$D$5:$D$64,G$3,Checklist!$B$5:$B$64,"B"),2)</f>
        <v>0</v>
      </c>
      <c r="H10" s="16">
        <f>ROUND(SUMIFS(Checklist!$H$5:$H$64,Checklist!$C$5:$C$64,$B10,Checklist!$D$5:$D$64,H$3,Checklist!$B$5:$B$64,"S")+SUMIFS(Checklist!$H$5:$H$64,Checklist!$C$5:$C$64,$B10,Checklist!$D$5:$D$64,H$3,Checklist!$B$5:$B$64,"A")+SUMIFS(Checklist!$H$5:$H$64,Checklist!$C$5:$C$64,$B10,Checklist!$D$5:$D$64,H$3,Checklist!$B$5:$B$64,"B"),2)</f>
        <v>0</v>
      </c>
      <c r="I10" s="16">
        <f>ROUND(SUMIFS(Checklist!$H$5:$H$64,Checklist!$C$5:$C$64,$B10,Checklist!$D$5:$D$64,I$3,Checklist!$B$5:$B$64,"S")+SUMIFS(Checklist!$H$5:$H$64,Checklist!$C$5:$C$64,$B10,Checklist!$D$5:$D$64,I$3,Checklist!$B$5:$B$64,"A")+SUMIFS(Checklist!$H$5:$H$64,Checklist!$C$5:$C$64,$B10,Checklist!$D$5:$D$64,I$3,Checklist!$B$5:$B$64,"B"),2)</f>
        <v>0</v>
      </c>
      <c r="J10" s="16">
        <f t="shared" si="1"/>
        <v>8</v>
      </c>
    </row>
    <row r="11" spans="1:11" ht="15" customHeight="1" x14ac:dyDescent="0.4">
      <c r="A11" s="16" t="str">
        <f t="shared" si="0"/>
        <v>Trator|C</v>
      </c>
      <c r="B11" s="16" t="s">
        <v>140</v>
      </c>
      <c r="C11" s="16" t="s">
        <v>867</v>
      </c>
      <c r="D11" s="16">
        <f>ROUND(SUMIFS(Checklist!$H$5:$H$64,Checklist!$C$5:$C$64,$B11,Checklist!$D$5:$D$64,D$3,Checklist!$B$5:$B$64,"S")+SUMIFS(Checklist!$H$5:$H$64,Checklist!$C$5:$C$64,$B11,Checklist!$D$5:$D$64,D$3,Checklist!$B$5:$B$64,"A")+SUMIFS(Checklist!$H$5:$H$64,Checklist!$C$5:$C$64,$B11,Checklist!$D$5:$D$64,D$3,Checklist!$B$5:$B$64,"B")+SUMIFS(Checklist!$H$5:$H$64,Checklist!$C$5:$C$64,$B11,Checklist!$D$5:$D$64,D$3,Checklist!$B$5:$B$64,"C"),2)</f>
        <v>16</v>
      </c>
      <c r="E11" s="16">
        <f>ROUND(SUMIFS(Checklist!$H$5:$H$64,Checklist!$C$5:$C$64,$B11,Checklist!$D$5:$D$64,E$3,Checklist!$B$5:$B$64,"S")+SUMIFS(Checklist!$H$5:$H$64,Checklist!$C$5:$C$64,$B11,Checklist!$D$5:$D$64,E$3,Checklist!$B$5:$B$64,"A")+SUMIFS(Checklist!$H$5:$H$64,Checklist!$C$5:$C$64,$B11,Checklist!$D$5:$D$64,E$3,Checklist!$B$5:$B$64,"B")+SUMIFS(Checklist!$H$5:$H$64,Checklist!$C$5:$C$64,$B11,Checklist!$D$5:$D$64,E$3,Checklist!$B$5:$B$64,"C"),2)</f>
        <v>0</v>
      </c>
      <c r="F11" s="16">
        <f>ROUND(SUMIFS(Checklist!$H$5:$H$64,Checklist!$C$5:$C$64,$B11,Checklist!$D$5:$D$64,F$3,Checklist!$B$5:$B$64,"S")+SUMIFS(Checklist!$H$5:$H$64,Checklist!$C$5:$C$64,$B11,Checklist!$D$5:$D$64,F$3,Checklist!$B$5:$B$64,"A")+SUMIFS(Checklist!$H$5:$H$64,Checklist!$C$5:$C$64,$B11,Checklist!$D$5:$D$64,F$3,Checklist!$B$5:$B$64,"B")+SUMIFS(Checklist!$H$5:$H$64,Checklist!$C$5:$C$64,$B11,Checklist!$D$5:$D$64,F$3,Checklist!$B$5:$B$64,"C"),2)</f>
        <v>0</v>
      </c>
      <c r="G11" s="16">
        <f>ROUND(SUMIFS(Checklist!$H$5:$H$64,Checklist!$C$5:$C$64,$B11,Checklist!$D$5:$D$64,G$3,Checklist!$B$5:$B$64,"S")+SUMIFS(Checklist!$H$5:$H$64,Checklist!$C$5:$C$64,$B11,Checklist!$D$5:$D$64,G$3,Checklist!$B$5:$B$64,"A")+SUMIFS(Checklist!$H$5:$H$64,Checklist!$C$5:$C$64,$B11,Checklist!$D$5:$D$64,G$3,Checklist!$B$5:$B$64,"B")+SUMIFS(Checklist!$H$5:$H$64,Checklist!$C$5:$C$64,$B11,Checklist!$D$5:$D$64,G$3,Checklist!$B$5:$B$64,"C"),2)</f>
        <v>0</v>
      </c>
      <c r="H11" s="16">
        <f>ROUND(SUMIFS(Checklist!$H$5:$H$64,Checklist!$C$5:$C$64,$B11,Checklist!$D$5:$D$64,H$3,Checklist!$B$5:$B$64,"S")+SUMIFS(Checklist!$H$5:$H$64,Checklist!$C$5:$C$64,$B11,Checklist!$D$5:$D$64,H$3,Checklist!$B$5:$B$64,"A")+SUMIFS(Checklist!$H$5:$H$64,Checklist!$C$5:$C$64,$B11,Checklist!$D$5:$D$64,H$3,Checklist!$B$5:$B$64,"B")+SUMIFS(Checklist!$H$5:$H$64,Checklist!$C$5:$C$64,$B11,Checklist!$D$5:$D$64,H$3,Checklist!$B$5:$B$64,"C"),2)</f>
        <v>0</v>
      </c>
      <c r="I11" s="16">
        <f>ROUND(SUMIFS(Checklist!$H$5:$H$64,Checklist!$C$5:$C$64,$B11,Checklist!$D$5:$D$64,I$3,Checklist!$B$5:$B$64,"S")+SUMIFS(Checklist!$H$5:$H$64,Checklist!$C$5:$C$64,$B11,Checklist!$D$5:$D$64,I$3,Checklist!$B$5:$B$64,"A")+SUMIFS(Checklist!$H$5:$H$64,Checklist!$C$5:$C$64,$B11,Checklist!$D$5:$D$64,I$3,Checklist!$B$5:$B$64,"B")+SUMIFS(Checklist!$H$5:$H$64,Checklist!$C$5:$C$64,$B11,Checklist!$D$5:$D$64,I$3,Checklist!$B$5:$B$64,"C"),2)</f>
        <v>0</v>
      </c>
      <c r="J11" s="16">
        <f t="shared" si="1"/>
        <v>16</v>
      </c>
    </row>
    <row r="12" spans="1:11" ht="15" customHeight="1" x14ac:dyDescent="0.4">
      <c r="A12" s="16" t="str">
        <f t="shared" si="0"/>
        <v>Caminhão|S</v>
      </c>
      <c r="B12" s="16" t="s">
        <v>141</v>
      </c>
      <c r="C12" s="16" t="s">
        <v>856</v>
      </c>
      <c r="D12" s="16">
        <f>ROUND(SUMIFS(Checklist!$H$5:$H$64,Checklist!$C$5:$C$64,$B12,Checklist!$D$5:$D$64,D$3,Checklist!$B$5:$B$64,"S"),2)</f>
        <v>2</v>
      </c>
      <c r="E12" s="16">
        <f>ROUND(SUMIFS(Checklist!$H$5:$H$64,Checklist!$C$5:$C$64,$B12,Checklist!$D$5:$D$64,E$3,Checklist!$B$5:$B$64,"S"),2)</f>
        <v>0</v>
      </c>
      <c r="F12" s="16">
        <f>ROUND(SUMIFS(Checklist!$H$5:$H$64,Checklist!$C$5:$C$64,$B12,Checklist!$D$5:$D$64,F$3,Checklist!$B$5:$B$64,"S"),2)</f>
        <v>0</v>
      </c>
      <c r="G12" s="16">
        <f>ROUND(SUMIFS(Checklist!$H$5:$H$64,Checklist!$C$5:$C$64,$B12,Checklist!$D$5:$D$64,G$3,Checklist!$B$5:$B$64,"S"),2)</f>
        <v>0</v>
      </c>
      <c r="H12" s="16">
        <f>ROUND(SUMIFS(Checklist!$H$5:$H$64,Checklist!$C$5:$C$64,$B12,Checklist!$D$5:$D$64,H$3,Checklist!$B$5:$B$64,"S"),2)</f>
        <v>0</v>
      </c>
      <c r="I12" s="16">
        <f>ROUND(SUMIFS(Checklist!$H$5:$H$64,Checklist!$C$5:$C$64,$B12,Checklist!$D$5:$D$64,I$3,Checklist!$B$5:$B$64,"S"),2)</f>
        <v>0</v>
      </c>
      <c r="J12" s="16">
        <f t="shared" si="1"/>
        <v>2</v>
      </c>
    </row>
    <row r="13" spans="1:11" ht="15" customHeight="1" x14ac:dyDescent="0.4">
      <c r="A13" s="16" t="str">
        <f t="shared" si="0"/>
        <v>Caminhão|A</v>
      </c>
      <c r="B13" s="16" t="s">
        <v>141</v>
      </c>
      <c r="C13" s="16" t="s">
        <v>861</v>
      </c>
      <c r="D13" s="16">
        <f>ROUND(SUMIFS(Checklist!$H$5:$H$64,Checklist!$C$5:$C$64,$B13,Checklist!$D$5:$D$64,D$3,Checklist!$B$5:$B$64,"S")+SUMIFS(Checklist!$H$5:$H$64,Checklist!$C$5:$C$64,$B13,Checklist!$D$5:$D$64,D$3,Checklist!$B$5:$B$64,"A"),2)</f>
        <v>4</v>
      </c>
      <c r="E13" s="16">
        <f>ROUND(SUMIFS(Checklist!$H$5:$H$64,Checklist!$C$5:$C$64,$B13,Checklist!$D$5:$D$64,E$3,Checklist!$B$5:$B$64,"S")+SUMIFS(Checklist!$H$5:$H$64,Checklist!$C$5:$C$64,$B13,Checklist!$D$5:$D$64,E$3,Checklist!$B$5:$B$64,"A"),2)</f>
        <v>0</v>
      </c>
      <c r="F13" s="16">
        <f>ROUND(SUMIFS(Checklist!$H$5:$H$64,Checklist!$C$5:$C$64,$B13,Checklist!$D$5:$D$64,F$3,Checklist!$B$5:$B$64,"S")+SUMIFS(Checklist!$H$5:$H$64,Checklist!$C$5:$C$64,$B13,Checklist!$D$5:$D$64,F$3,Checklist!$B$5:$B$64,"A"),2)</f>
        <v>0</v>
      </c>
      <c r="G13" s="16">
        <f>ROUND(SUMIFS(Checklist!$H$5:$H$64,Checklist!$C$5:$C$64,$B13,Checklist!$D$5:$D$64,G$3,Checklist!$B$5:$B$64,"S")+SUMIFS(Checklist!$H$5:$H$64,Checklist!$C$5:$C$64,$B13,Checklist!$D$5:$D$64,G$3,Checklist!$B$5:$B$64,"A"),2)</f>
        <v>0</v>
      </c>
      <c r="H13" s="16">
        <f>ROUND(SUMIFS(Checklist!$H$5:$H$64,Checklist!$C$5:$C$64,$B13,Checklist!$D$5:$D$64,H$3,Checklist!$B$5:$B$64,"S")+SUMIFS(Checklist!$H$5:$H$64,Checklist!$C$5:$C$64,$B13,Checklist!$D$5:$D$64,H$3,Checklist!$B$5:$B$64,"A"),2)</f>
        <v>0</v>
      </c>
      <c r="I13" s="16">
        <f>ROUND(SUMIFS(Checklist!$H$5:$H$64,Checklist!$C$5:$C$64,$B13,Checklist!$D$5:$D$64,I$3,Checklist!$B$5:$B$64,"S")+SUMIFS(Checklist!$H$5:$H$64,Checklist!$C$5:$C$64,$B13,Checklist!$D$5:$D$64,I$3,Checklist!$B$5:$B$64,"A"),2)</f>
        <v>0</v>
      </c>
      <c r="J13" s="16">
        <f t="shared" si="1"/>
        <v>4</v>
      </c>
    </row>
    <row r="14" spans="1:11" ht="15" customHeight="1" x14ac:dyDescent="0.4">
      <c r="A14" s="16" t="str">
        <f t="shared" si="0"/>
        <v>Caminhão|B</v>
      </c>
      <c r="B14" s="16" t="s">
        <v>141</v>
      </c>
      <c r="C14" s="16" t="s">
        <v>864</v>
      </c>
      <c r="D14" s="16">
        <f>ROUND(SUMIFS(Checklist!$H$5:$H$64,Checklist!$C$5:$C$64,$B14,Checklist!$D$5:$D$64,D$3,Checklist!$B$5:$B$64,"S")+SUMIFS(Checklist!$H$5:$H$64,Checklist!$C$5:$C$64,$B14,Checklist!$D$5:$D$64,D$3,Checklist!$B$5:$B$64,"A")+SUMIFS(Checklist!$H$5:$H$64,Checklist!$C$5:$C$64,$B14,Checklist!$D$5:$D$64,D$3,Checklist!$B$5:$B$64,"B"),2)</f>
        <v>8</v>
      </c>
      <c r="E14" s="16">
        <f>ROUND(SUMIFS(Checklist!$H$5:$H$64,Checklist!$C$5:$C$64,$B14,Checklist!$D$5:$D$64,E$3,Checklist!$B$5:$B$64,"S")+SUMIFS(Checklist!$H$5:$H$64,Checklist!$C$5:$C$64,$B14,Checklist!$D$5:$D$64,E$3,Checklist!$B$5:$B$64,"A")+SUMIFS(Checklist!$H$5:$H$64,Checklist!$C$5:$C$64,$B14,Checklist!$D$5:$D$64,E$3,Checklist!$B$5:$B$64,"B"),2)</f>
        <v>0</v>
      </c>
      <c r="F14" s="16">
        <f>ROUND(SUMIFS(Checklist!$H$5:$H$64,Checklist!$C$5:$C$64,$B14,Checklist!$D$5:$D$64,F$3,Checklist!$B$5:$B$64,"S")+SUMIFS(Checklist!$H$5:$H$64,Checklist!$C$5:$C$64,$B14,Checklist!$D$5:$D$64,F$3,Checklist!$B$5:$B$64,"A")+SUMIFS(Checklist!$H$5:$H$64,Checklist!$C$5:$C$64,$B14,Checklist!$D$5:$D$64,F$3,Checklist!$B$5:$B$64,"B"),2)</f>
        <v>0</v>
      </c>
      <c r="G14" s="16">
        <f>ROUND(SUMIFS(Checklist!$H$5:$H$64,Checklist!$C$5:$C$64,$B14,Checklist!$D$5:$D$64,G$3,Checklist!$B$5:$B$64,"S")+SUMIFS(Checklist!$H$5:$H$64,Checklist!$C$5:$C$64,$B14,Checklist!$D$5:$D$64,G$3,Checklist!$B$5:$B$64,"A")+SUMIFS(Checklist!$H$5:$H$64,Checklist!$C$5:$C$64,$B14,Checklist!$D$5:$D$64,G$3,Checklist!$B$5:$B$64,"B"),2)</f>
        <v>0</v>
      </c>
      <c r="H14" s="16">
        <f>ROUND(SUMIFS(Checklist!$H$5:$H$64,Checklist!$C$5:$C$64,$B14,Checklist!$D$5:$D$64,H$3,Checklist!$B$5:$B$64,"S")+SUMIFS(Checklist!$H$5:$H$64,Checklist!$C$5:$C$64,$B14,Checklist!$D$5:$D$64,H$3,Checklist!$B$5:$B$64,"A")+SUMIFS(Checklist!$H$5:$H$64,Checklist!$C$5:$C$64,$B14,Checklist!$D$5:$D$64,H$3,Checklist!$B$5:$B$64,"B"),2)</f>
        <v>0</v>
      </c>
      <c r="I14" s="16">
        <f>ROUND(SUMIFS(Checklist!$H$5:$H$64,Checklist!$C$5:$C$64,$B14,Checklist!$D$5:$D$64,I$3,Checklist!$B$5:$B$64,"S")+SUMIFS(Checklist!$H$5:$H$64,Checklist!$C$5:$C$64,$B14,Checklist!$D$5:$D$64,I$3,Checklist!$B$5:$B$64,"A")+SUMIFS(Checklist!$H$5:$H$64,Checklist!$C$5:$C$64,$B14,Checklist!$D$5:$D$64,I$3,Checklist!$B$5:$B$64,"B"),2)</f>
        <v>0</v>
      </c>
      <c r="J14" s="16">
        <f t="shared" si="1"/>
        <v>8</v>
      </c>
    </row>
    <row r="15" spans="1:11" ht="15" customHeight="1" x14ac:dyDescent="0.4">
      <c r="A15" s="16" t="str">
        <f t="shared" si="0"/>
        <v>Caminhão|C</v>
      </c>
      <c r="B15" s="16" t="s">
        <v>141</v>
      </c>
      <c r="C15" s="16" t="s">
        <v>867</v>
      </c>
      <c r="D15" s="16">
        <f>ROUND(SUMIFS(Checklist!$H$5:$H$64,Checklist!$C$5:$C$64,$B15,Checklist!$D$5:$D$64,D$3,Checklist!$B$5:$B$64,"S")+SUMIFS(Checklist!$H$5:$H$64,Checklist!$C$5:$C$64,$B15,Checklist!$D$5:$D$64,D$3,Checklist!$B$5:$B$64,"A")+SUMIFS(Checklist!$H$5:$H$64,Checklist!$C$5:$C$64,$B15,Checklist!$D$5:$D$64,D$3,Checklist!$B$5:$B$64,"B")+SUMIFS(Checklist!$H$5:$H$64,Checklist!$C$5:$C$64,$B15,Checklist!$D$5:$D$64,D$3,Checklist!$B$5:$B$64,"C"),2)</f>
        <v>16</v>
      </c>
      <c r="E15" s="16">
        <f>ROUND(SUMIFS(Checklist!$H$5:$H$64,Checklist!$C$5:$C$64,$B15,Checklist!$D$5:$D$64,E$3,Checklist!$B$5:$B$64,"S")+SUMIFS(Checklist!$H$5:$H$64,Checklist!$C$5:$C$64,$B15,Checklist!$D$5:$D$64,E$3,Checklist!$B$5:$B$64,"A")+SUMIFS(Checklist!$H$5:$H$64,Checklist!$C$5:$C$64,$B15,Checklist!$D$5:$D$64,E$3,Checklist!$B$5:$B$64,"B")+SUMIFS(Checklist!$H$5:$H$64,Checklist!$C$5:$C$64,$B15,Checklist!$D$5:$D$64,E$3,Checklist!$B$5:$B$64,"C"),2)</f>
        <v>0</v>
      </c>
      <c r="F15" s="16">
        <f>ROUND(SUMIFS(Checklist!$H$5:$H$64,Checklist!$C$5:$C$64,$B15,Checklist!$D$5:$D$64,F$3,Checklist!$B$5:$B$64,"S")+SUMIFS(Checklist!$H$5:$H$64,Checklist!$C$5:$C$64,$B15,Checklist!$D$5:$D$64,F$3,Checklist!$B$5:$B$64,"A")+SUMIFS(Checklist!$H$5:$H$64,Checklist!$C$5:$C$64,$B15,Checklist!$D$5:$D$64,F$3,Checklist!$B$5:$B$64,"B")+SUMIFS(Checklist!$H$5:$H$64,Checklist!$C$5:$C$64,$B15,Checklist!$D$5:$D$64,F$3,Checklist!$B$5:$B$64,"C"),2)</f>
        <v>0</v>
      </c>
      <c r="G15" s="16">
        <f>ROUND(SUMIFS(Checklist!$H$5:$H$64,Checklist!$C$5:$C$64,$B15,Checklist!$D$5:$D$64,G$3,Checklist!$B$5:$B$64,"S")+SUMIFS(Checklist!$H$5:$H$64,Checklist!$C$5:$C$64,$B15,Checklist!$D$5:$D$64,G$3,Checklist!$B$5:$B$64,"A")+SUMIFS(Checklist!$H$5:$H$64,Checklist!$C$5:$C$64,$B15,Checklist!$D$5:$D$64,G$3,Checklist!$B$5:$B$64,"B")+SUMIFS(Checklist!$H$5:$H$64,Checklist!$C$5:$C$64,$B15,Checklist!$D$5:$D$64,G$3,Checklist!$B$5:$B$64,"C"),2)</f>
        <v>0</v>
      </c>
      <c r="H15" s="16">
        <f>ROUND(SUMIFS(Checklist!$H$5:$H$64,Checklist!$C$5:$C$64,$B15,Checklist!$D$5:$D$64,H$3,Checklist!$B$5:$B$64,"S")+SUMIFS(Checklist!$H$5:$H$64,Checklist!$C$5:$C$64,$B15,Checklist!$D$5:$D$64,H$3,Checklist!$B$5:$B$64,"A")+SUMIFS(Checklist!$H$5:$H$64,Checklist!$C$5:$C$64,$B15,Checklist!$D$5:$D$64,H$3,Checklist!$B$5:$B$64,"B")+SUMIFS(Checklist!$H$5:$H$64,Checklist!$C$5:$C$64,$B15,Checklist!$D$5:$D$64,H$3,Checklist!$B$5:$B$64,"C"),2)</f>
        <v>0</v>
      </c>
      <c r="I15" s="16">
        <f>ROUND(SUMIFS(Checklist!$H$5:$H$64,Checklist!$C$5:$C$64,$B15,Checklist!$D$5:$D$64,I$3,Checklist!$B$5:$B$64,"S")+SUMIFS(Checklist!$H$5:$H$64,Checklist!$C$5:$C$64,$B15,Checklist!$D$5:$D$64,I$3,Checklist!$B$5:$B$64,"A")+SUMIFS(Checklist!$H$5:$H$64,Checklist!$C$5:$C$64,$B15,Checklist!$D$5:$D$64,I$3,Checklist!$B$5:$B$64,"B")+SUMIFS(Checklist!$H$5:$H$64,Checklist!$C$5:$C$64,$B15,Checklist!$D$5:$D$64,I$3,Checklist!$B$5:$B$64,"C"),2)</f>
        <v>0</v>
      </c>
      <c r="J15" s="16">
        <f t="shared" si="1"/>
        <v>16</v>
      </c>
    </row>
    <row r="16" spans="1:11" ht="15" customHeight="1" x14ac:dyDescent="0.4">
      <c r="A16" s="16" t="str">
        <f t="shared" si="0"/>
        <v>Carregadeira/Pesada|S</v>
      </c>
      <c r="B16" s="16" t="s">
        <v>143</v>
      </c>
      <c r="C16" s="16" t="s">
        <v>856</v>
      </c>
      <c r="D16" s="16">
        <f>ROUND(SUMIFS(Checklist!$H$5:$H$64,Checklist!$C$5:$C$64,$B16,Checklist!$D$5:$D$64,D$3,Checklist!$B$5:$B$64,"S"),2)</f>
        <v>2.5</v>
      </c>
      <c r="E16" s="16">
        <f>ROUND(SUMIFS(Checklist!$H$5:$H$64,Checklist!$C$5:$C$64,$B16,Checklist!$D$5:$D$64,E$3,Checklist!$B$5:$B$64,"S"),2)</f>
        <v>0</v>
      </c>
      <c r="F16" s="16">
        <f>ROUND(SUMIFS(Checklist!$H$5:$H$64,Checklist!$C$5:$C$64,$B16,Checklist!$D$5:$D$64,F$3,Checklist!$B$5:$B$64,"S"),2)</f>
        <v>0</v>
      </c>
      <c r="G16" s="16">
        <f>ROUND(SUMIFS(Checklist!$H$5:$H$64,Checklist!$C$5:$C$64,$B16,Checklist!$D$5:$D$64,G$3,Checklist!$B$5:$B$64,"S"),2)</f>
        <v>0</v>
      </c>
      <c r="H16" s="16">
        <f>ROUND(SUMIFS(Checklist!$H$5:$H$64,Checklist!$C$5:$C$64,$B16,Checklist!$D$5:$D$64,H$3,Checklist!$B$5:$B$64,"S"),2)</f>
        <v>0</v>
      </c>
      <c r="I16" s="16">
        <f>ROUND(SUMIFS(Checklist!$H$5:$H$64,Checklist!$C$5:$C$64,$B16,Checklist!$D$5:$D$64,I$3,Checklist!$B$5:$B$64,"S"),2)</f>
        <v>0</v>
      </c>
      <c r="J16" s="16">
        <f t="shared" si="1"/>
        <v>2.5</v>
      </c>
    </row>
    <row r="17" spans="1:10" ht="15" customHeight="1" x14ac:dyDescent="0.4">
      <c r="A17" s="16" t="str">
        <f t="shared" si="0"/>
        <v>Carregadeira/Pesada|A</v>
      </c>
      <c r="B17" s="16" t="s">
        <v>143</v>
      </c>
      <c r="C17" s="16" t="s">
        <v>861</v>
      </c>
      <c r="D17" s="16">
        <f>ROUND(SUMIFS(Checklist!$H$5:$H$64,Checklist!$C$5:$C$64,$B17,Checklist!$D$5:$D$64,D$3,Checklist!$B$5:$B$64,"S")+SUMIFS(Checklist!$H$5:$H$64,Checklist!$C$5:$C$64,$B17,Checklist!$D$5:$D$64,D$3,Checklist!$B$5:$B$64,"A"),2)</f>
        <v>4.5</v>
      </c>
      <c r="E17" s="16">
        <f>ROUND(SUMIFS(Checklist!$H$5:$H$64,Checklist!$C$5:$C$64,$B17,Checklist!$D$5:$D$64,E$3,Checklist!$B$5:$B$64,"S")+SUMIFS(Checklist!$H$5:$H$64,Checklist!$C$5:$C$64,$B17,Checklist!$D$5:$D$64,E$3,Checklist!$B$5:$B$64,"A"),2)</f>
        <v>0</v>
      </c>
      <c r="F17" s="16">
        <f>ROUND(SUMIFS(Checklist!$H$5:$H$64,Checklist!$C$5:$C$64,$B17,Checklist!$D$5:$D$64,F$3,Checklist!$B$5:$B$64,"S")+SUMIFS(Checklist!$H$5:$H$64,Checklist!$C$5:$C$64,$B17,Checklist!$D$5:$D$64,F$3,Checklist!$B$5:$B$64,"A"),2)</f>
        <v>0</v>
      </c>
      <c r="G17" s="16">
        <f>ROUND(SUMIFS(Checklist!$H$5:$H$64,Checklist!$C$5:$C$64,$B17,Checklist!$D$5:$D$64,G$3,Checklist!$B$5:$B$64,"S")+SUMIFS(Checklist!$H$5:$H$64,Checklist!$C$5:$C$64,$B17,Checklist!$D$5:$D$64,G$3,Checklist!$B$5:$B$64,"A"),2)</f>
        <v>0</v>
      </c>
      <c r="H17" s="16">
        <f>ROUND(SUMIFS(Checklist!$H$5:$H$64,Checklist!$C$5:$C$64,$B17,Checklist!$D$5:$D$64,H$3,Checklist!$B$5:$B$64,"S")+SUMIFS(Checklist!$H$5:$H$64,Checklist!$C$5:$C$64,$B17,Checklist!$D$5:$D$64,H$3,Checklist!$B$5:$B$64,"A"),2)</f>
        <v>0</v>
      </c>
      <c r="I17" s="16">
        <f>ROUND(SUMIFS(Checklist!$H$5:$H$64,Checklist!$C$5:$C$64,$B17,Checklist!$D$5:$D$64,I$3,Checklist!$B$5:$B$64,"S")+SUMIFS(Checklist!$H$5:$H$64,Checklist!$C$5:$C$64,$B17,Checklist!$D$5:$D$64,I$3,Checklist!$B$5:$B$64,"A"),2)</f>
        <v>0</v>
      </c>
      <c r="J17" s="16">
        <f t="shared" si="1"/>
        <v>4.5</v>
      </c>
    </row>
    <row r="18" spans="1:10" ht="15" customHeight="1" x14ac:dyDescent="0.4">
      <c r="A18" s="16" t="str">
        <f t="shared" si="0"/>
        <v>Carregadeira/Pesada|B</v>
      </c>
      <c r="B18" s="16" t="s">
        <v>143</v>
      </c>
      <c r="C18" s="16" t="s">
        <v>864</v>
      </c>
      <c r="D18" s="16">
        <f>ROUND(SUMIFS(Checklist!$H$5:$H$64,Checklist!$C$5:$C$64,$B18,Checklist!$D$5:$D$64,D$3,Checklist!$B$5:$B$64,"S")+SUMIFS(Checklist!$H$5:$H$64,Checklist!$C$5:$C$64,$B18,Checklist!$D$5:$D$64,D$3,Checklist!$B$5:$B$64,"A")+SUMIFS(Checklist!$H$5:$H$64,Checklist!$C$5:$C$64,$B18,Checklist!$D$5:$D$64,D$3,Checklist!$B$5:$B$64,"B"),2)</f>
        <v>8</v>
      </c>
      <c r="E18" s="16">
        <f>ROUND(SUMIFS(Checklist!$H$5:$H$64,Checklist!$C$5:$C$64,$B18,Checklist!$D$5:$D$64,E$3,Checklist!$B$5:$B$64,"S")+SUMIFS(Checklist!$H$5:$H$64,Checklist!$C$5:$C$64,$B18,Checklist!$D$5:$D$64,E$3,Checklist!$B$5:$B$64,"A")+SUMIFS(Checklist!$H$5:$H$64,Checklist!$C$5:$C$64,$B18,Checklist!$D$5:$D$64,E$3,Checklist!$B$5:$B$64,"B"),2)</f>
        <v>0</v>
      </c>
      <c r="F18" s="16">
        <f>ROUND(SUMIFS(Checklist!$H$5:$H$64,Checklist!$C$5:$C$64,$B18,Checklist!$D$5:$D$64,F$3,Checklist!$B$5:$B$64,"S")+SUMIFS(Checklist!$H$5:$H$64,Checklist!$C$5:$C$64,$B18,Checklist!$D$5:$D$64,F$3,Checklist!$B$5:$B$64,"A")+SUMIFS(Checklist!$H$5:$H$64,Checklist!$C$5:$C$64,$B18,Checklist!$D$5:$D$64,F$3,Checklist!$B$5:$B$64,"B"),2)</f>
        <v>0</v>
      </c>
      <c r="G18" s="16">
        <f>ROUND(SUMIFS(Checklist!$H$5:$H$64,Checklist!$C$5:$C$64,$B18,Checklist!$D$5:$D$64,G$3,Checklist!$B$5:$B$64,"S")+SUMIFS(Checklist!$H$5:$H$64,Checklist!$C$5:$C$64,$B18,Checklist!$D$5:$D$64,G$3,Checklist!$B$5:$B$64,"A")+SUMIFS(Checklist!$H$5:$H$64,Checklist!$C$5:$C$64,$B18,Checklist!$D$5:$D$64,G$3,Checklist!$B$5:$B$64,"B"),2)</f>
        <v>0</v>
      </c>
      <c r="H18" s="16">
        <f>ROUND(SUMIFS(Checklist!$H$5:$H$64,Checklist!$C$5:$C$64,$B18,Checklist!$D$5:$D$64,H$3,Checklist!$B$5:$B$64,"S")+SUMIFS(Checklist!$H$5:$H$64,Checklist!$C$5:$C$64,$B18,Checklist!$D$5:$D$64,H$3,Checklist!$B$5:$B$64,"A")+SUMIFS(Checklist!$H$5:$H$64,Checklist!$C$5:$C$64,$B18,Checklist!$D$5:$D$64,H$3,Checklist!$B$5:$B$64,"B"),2)</f>
        <v>0</v>
      </c>
      <c r="I18" s="16">
        <f>ROUND(SUMIFS(Checklist!$H$5:$H$64,Checklist!$C$5:$C$64,$B18,Checklist!$D$5:$D$64,I$3,Checklist!$B$5:$B$64,"S")+SUMIFS(Checklist!$H$5:$H$64,Checklist!$C$5:$C$64,$B18,Checklist!$D$5:$D$64,I$3,Checklist!$B$5:$B$64,"A")+SUMIFS(Checklist!$H$5:$H$64,Checklist!$C$5:$C$64,$B18,Checklist!$D$5:$D$64,I$3,Checklist!$B$5:$B$64,"B"),2)</f>
        <v>0</v>
      </c>
      <c r="J18" s="16">
        <f t="shared" si="1"/>
        <v>8</v>
      </c>
    </row>
    <row r="19" spans="1:10" ht="15" customHeight="1" x14ac:dyDescent="0.4">
      <c r="A19" s="16" t="str">
        <f t="shared" si="0"/>
        <v>Carregadeira/Pesada|C</v>
      </c>
      <c r="B19" s="16" t="s">
        <v>143</v>
      </c>
      <c r="C19" s="16" t="s">
        <v>867</v>
      </c>
      <c r="D19" s="16">
        <f>ROUND(SUMIFS(Checklist!$H$5:$H$64,Checklist!$C$5:$C$64,$B19,Checklist!$D$5:$D$64,D$3,Checklist!$B$5:$B$64,"S")+SUMIFS(Checklist!$H$5:$H$64,Checklist!$C$5:$C$64,$B19,Checklist!$D$5:$D$64,D$3,Checklist!$B$5:$B$64,"A")+SUMIFS(Checklist!$H$5:$H$64,Checklist!$C$5:$C$64,$B19,Checklist!$D$5:$D$64,D$3,Checklist!$B$5:$B$64,"B")+SUMIFS(Checklist!$H$5:$H$64,Checklist!$C$5:$C$64,$B19,Checklist!$D$5:$D$64,D$3,Checklist!$B$5:$B$64,"C"),2)</f>
        <v>16</v>
      </c>
      <c r="E19" s="16">
        <f>ROUND(SUMIFS(Checklist!$H$5:$H$64,Checklist!$C$5:$C$64,$B19,Checklist!$D$5:$D$64,E$3,Checklist!$B$5:$B$64,"S")+SUMIFS(Checklist!$H$5:$H$64,Checklist!$C$5:$C$64,$B19,Checklist!$D$5:$D$64,E$3,Checklist!$B$5:$B$64,"A")+SUMIFS(Checklist!$H$5:$H$64,Checklist!$C$5:$C$64,$B19,Checklist!$D$5:$D$64,E$3,Checklist!$B$5:$B$64,"B")+SUMIFS(Checklist!$H$5:$H$64,Checklist!$C$5:$C$64,$B19,Checklist!$D$5:$D$64,E$3,Checklist!$B$5:$B$64,"C"),2)</f>
        <v>0</v>
      </c>
      <c r="F19" s="16">
        <f>ROUND(SUMIFS(Checklist!$H$5:$H$64,Checklist!$C$5:$C$64,$B19,Checklist!$D$5:$D$64,F$3,Checklist!$B$5:$B$64,"S")+SUMIFS(Checklist!$H$5:$H$64,Checklist!$C$5:$C$64,$B19,Checklist!$D$5:$D$64,F$3,Checklist!$B$5:$B$64,"A")+SUMIFS(Checklist!$H$5:$H$64,Checklist!$C$5:$C$64,$B19,Checklist!$D$5:$D$64,F$3,Checklist!$B$5:$B$64,"B")+SUMIFS(Checklist!$H$5:$H$64,Checklist!$C$5:$C$64,$B19,Checklist!$D$5:$D$64,F$3,Checklist!$B$5:$B$64,"C"),2)</f>
        <v>0</v>
      </c>
      <c r="G19" s="16">
        <f>ROUND(SUMIFS(Checklist!$H$5:$H$64,Checklist!$C$5:$C$64,$B19,Checklist!$D$5:$D$64,G$3,Checklist!$B$5:$B$64,"S")+SUMIFS(Checklist!$H$5:$H$64,Checklist!$C$5:$C$64,$B19,Checklist!$D$5:$D$64,G$3,Checklist!$B$5:$B$64,"A")+SUMIFS(Checklist!$H$5:$H$64,Checklist!$C$5:$C$64,$B19,Checklist!$D$5:$D$64,G$3,Checklist!$B$5:$B$64,"B")+SUMIFS(Checklist!$H$5:$H$64,Checklist!$C$5:$C$64,$B19,Checklist!$D$5:$D$64,G$3,Checklist!$B$5:$B$64,"C"),2)</f>
        <v>0</v>
      </c>
      <c r="H19" s="16">
        <f>ROUND(SUMIFS(Checklist!$H$5:$H$64,Checklist!$C$5:$C$64,$B19,Checklist!$D$5:$D$64,H$3,Checklist!$B$5:$B$64,"S")+SUMIFS(Checklist!$H$5:$H$64,Checklist!$C$5:$C$64,$B19,Checklist!$D$5:$D$64,H$3,Checklist!$B$5:$B$64,"A")+SUMIFS(Checklist!$H$5:$H$64,Checklist!$C$5:$C$64,$B19,Checklist!$D$5:$D$64,H$3,Checklist!$B$5:$B$64,"B")+SUMIFS(Checklist!$H$5:$H$64,Checklist!$C$5:$C$64,$B19,Checklist!$D$5:$D$64,H$3,Checklist!$B$5:$B$64,"C"),2)</f>
        <v>0</v>
      </c>
      <c r="I19" s="16">
        <f>ROUND(SUMIFS(Checklist!$H$5:$H$64,Checklist!$C$5:$C$64,$B19,Checklist!$D$5:$D$64,I$3,Checklist!$B$5:$B$64,"S")+SUMIFS(Checklist!$H$5:$H$64,Checklist!$C$5:$C$64,$B19,Checklist!$D$5:$D$64,I$3,Checklist!$B$5:$B$64,"A")+SUMIFS(Checklist!$H$5:$H$64,Checklist!$C$5:$C$64,$B19,Checklist!$D$5:$D$64,I$3,Checklist!$B$5:$B$64,"B")+SUMIFS(Checklist!$H$5:$H$64,Checklist!$C$5:$C$64,$B19,Checklist!$D$5:$D$64,I$3,Checklist!$B$5:$B$64,"C"),2)</f>
        <v>0</v>
      </c>
      <c r="J19" s="16">
        <f t="shared" si="1"/>
        <v>16</v>
      </c>
    </row>
    <row r="20" spans="1:10" ht="15" customHeight="1" x14ac:dyDescent="0.4">
      <c r="A20" s="16" t="str">
        <f t="shared" si="0"/>
        <v>Veículo Leve|S</v>
      </c>
      <c r="B20" s="16" t="s">
        <v>144</v>
      </c>
      <c r="C20" s="16" t="s">
        <v>856</v>
      </c>
      <c r="D20" s="16">
        <f>ROUND(SUMIFS(Checklist!$H$5:$H$64,Checklist!$C$5:$C$64,$B20,Checklist!$D$5:$D$64,D$3,Checklist!$B$5:$B$64,"S"),2)</f>
        <v>1.5</v>
      </c>
      <c r="E20" s="16">
        <f>ROUND(SUMIFS(Checklist!$H$5:$H$64,Checklist!$C$5:$C$64,$B20,Checklist!$D$5:$D$64,E$3,Checklist!$B$5:$B$64,"S"),2)</f>
        <v>0</v>
      </c>
      <c r="F20" s="16">
        <f>ROUND(SUMIFS(Checklist!$H$5:$H$64,Checklist!$C$5:$C$64,$B20,Checklist!$D$5:$D$64,F$3,Checklist!$B$5:$B$64,"S"),2)</f>
        <v>0</v>
      </c>
      <c r="G20" s="16">
        <f>ROUND(SUMIFS(Checklist!$H$5:$H$64,Checklist!$C$5:$C$64,$B20,Checklist!$D$5:$D$64,G$3,Checklist!$B$5:$B$64,"S"),2)</f>
        <v>0</v>
      </c>
      <c r="H20" s="16">
        <f>ROUND(SUMIFS(Checklist!$H$5:$H$64,Checklist!$C$5:$C$64,$B20,Checklist!$D$5:$D$64,H$3,Checklist!$B$5:$B$64,"S"),2)</f>
        <v>0</v>
      </c>
      <c r="I20" s="16">
        <f>ROUND(SUMIFS(Checklist!$H$5:$H$64,Checklist!$C$5:$C$64,$B20,Checklist!$D$5:$D$64,I$3,Checklist!$B$5:$B$64,"S"),2)</f>
        <v>0</v>
      </c>
      <c r="J20" s="16">
        <f t="shared" si="1"/>
        <v>1.5</v>
      </c>
    </row>
    <row r="21" spans="1:10" ht="15" customHeight="1" x14ac:dyDescent="0.4">
      <c r="A21" s="16" t="str">
        <f t="shared" si="0"/>
        <v>Veículo Leve|A</v>
      </c>
      <c r="B21" s="16" t="s">
        <v>144</v>
      </c>
      <c r="C21" s="16" t="s">
        <v>861</v>
      </c>
      <c r="D21" s="16">
        <f>ROUND(SUMIFS(Checklist!$H$5:$H$64,Checklist!$C$5:$C$64,$B21,Checklist!$D$5:$D$64,D$3,Checklist!$B$5:$B$64,"S")+SUMIFS(Checklist!$H$5:$H$64,Checklist!$C$5:$C$64,$B21,Checklist!$D$5:$D$64,D$3,Checklist!$B$5:$B$64,"A"),2)</f>
        <v>3</v>
      </c>
      <c r="E21" s="16">
        <f>ROUND(SUMIFS(Checklist!$H$5:$H$64,Checklist!$C$5:$C$64,$B21,Checklist!$D$5:$D$64,E$3,Checklist!$B$5:$B$64,"S")+SUMIFS(Checklist!$H$5:$H$64,Checklist!$C$5:$C$64,$B21,Checklist!$D$5:$D$64,E$3,Checklist!$B$5:$B$64,"A"),2)</f>
        <v>0</v>
      </c>
      <c r="F21" s="16">
        <f>ROUND(SUMIFS(Checklist!$H$5:$H$64,Checklist!$C$5:$C$64,$B21,Checklist!$D$5:$D$64,F$3,Checklist!$B$5:$B$64,"S")+SUMIFS(Checklist!$H$5:$H$64,Checklist!$C$5:$C$64,$B21,Checklist!$D$5:$D$64,F$3,Checklist!$B$5:$B$64,"A"),2)</f>
        <v>0</v>
      </c>
      <c r="G21" s="16">
        <f>ROUND(SUMIFS(Checklist!$H$5:$H$64,Checklist!$C$5:$C$64,$B21,Checklist!$D$5:$D$64,G$3,Checklist!$B$5:$B$64,"S")+SUMIFS(Checklist!$H$5:$H$64,Checklist!$C$5:$C$64,$B21,Checklist!$D$5:$D$64,G$3,Checklist!$B$5:$B$64,"A"),2)</f>
        <v>0</v>
      </c>
      <c r="H21" s="16">
        <f>ROUND(SUMIFS(Checklist!$H$5:$H$64,Checklist!$C$5:$C$64,$B21,Checklist!$D$5:$D$64,H$3,Checklist!$B$5:$B$64,"S")+SUMIFS(Checklist!$H$5:$H$64,Checklist!$C$5:$C$64,$B21,Checklist!$D$5:$D$64,H$3,Checklist!$B$5:$B$64,"A"),2)</f>
        <v>0</v>
      </c>
      <c r="I21" s="16">
        <f>ROUND(SUMIFS(Checklist!$H$5:$H$64,Checklist!$C$5:$C$64,$B21,Checklist!$D$5:$D$64,I$3,Checklist!$B$5:$B$64,"S")+SUMIFS(Checklist!$H$5:$H$64,Checklist!$C$5:$C$64,$B21,Checklist!$D$5:$D$64,I$3,Checklist!$B$5:$B$64,"A"),2)</f>
        <v>0</v>
      </c>
      <c r="J21" s="16">
        <f t="shared" si="1"/>
        <v>3</v>
      </c>
    </row>
    <row r="22" spans="1:10" ht="15" customHeight="1" x14ac:dyDescent="0.4">
      <c r="A22" s="16" t="str">
        <f t="shared" si="0"/>
        <v>Veículo Leve|B</v>
      </c>
      <c r="B22" s="16" t="s">
        <v>144</v>
      </c>
      <c r="C22" s="16" t="s">
        <v>864</v>
      </c>
      <c r="D22" s="16">
        <f>ROUND(SUMIFS(Checklist!$H$5:$H$64,Checklist!$C$5:$C$64,$B22,Checklist!$D$5:$D$64,D$3,Checklist!$B$5:$B$64,"S")+SUMIFS(Checklist!$H$5:$H$64,Checklist!$C$5:$C$64,$B22,Checklist!$D$5:$D$64,D$3,Checklist!$B$5:$B$64,"A")+SUMIFS(Checklist!$H$5:$H$64,Checklist!$C$5:$C$64,$B22,Checklist!$D$5:$D$64,D$3,Checklist!$B$5:$B$64,"B"),2)</f>
        <v>6</v>
      </c>
      <c r="E22" s="16">
        <f>ROUND(SUMIFS(Checklist!$H$5:$H$64,Checklist!$C$5:$C$64,$B22,Checklist!$D$5:$D$64,E$3,Checklist!$B$5:$B$64,"S")+SUMIFS(Checklist!$H$5:$H$64,Checklist!$C$5:$C$64,$B22,Checklist!$D$5:$D$64,E$3,Checklist!$B$5:$B$64,"A")+SUMIFS(Checklist!$H$5:$H$64,Checklist!$C$5:$C$64,$B22,Checklist!$D$5:$D$64,E$3,Checklist!$B$5:$B$64,"B"),2)</f>
        <v>0</v>
      </c>
      <c r="F22" s="16">
        <f>ROUND(SUMIFS(Checklist!$H$5:$H$64,Checklist!$C$5:$C$64,$B22,Checklist!$D$5:$D$64,F$3,Checklist!$B$5:$B$64,"S")+SUMIFS(Checklist!$H$5:$H$64,Checklist!$C$5:$C$64,$B22,Checklist!$D$5:$D$64,F$3,Checklist!$B$5:$B$64,"A")+SUMIFS(Checklist!$H$5:$H$64,Checklist!$C$5:$C$64,$B22,Checklist!$D$5:$D$64,F$3,Checklist!$B$5:$B$64,"B"),2)</f>
        <v>0</v>
      </c>
      <c r="G22" s="16">
        <f>ROUND(SUMIFS(Checklist!$H$5:$H$64,Checklist!$C$5:$C$64,$B22,Checklist!$D$5:$D$64,G$3,Checklist!$B$5:$B$64,"S")+SUMIFS(Checklist!$H$5:$H$64,Checklist!$C$5:$C$64,$B22,Checklist!$D$5:$D$64,G$3,Checklist!$B$5:$B$64,"A")+SUMIFS(Checklist!$H$5:$H$64,Checklist!$C$5:$C$64,$B22,Checklist!$D$5:$D$64,G$3,Checklist!$B$5:$B$64,"B"),2)</f>
        <v>0</v>
      </c>
      <c r="H22" s="16">
        <f>ROUND(SUMIFS(Checklist!$H$5:$H$64,Checklist!$C$5:$C$64,$B22,Checklist!$D$5:$D$64,H$3,Checklist!$B$5:$B$64,"S")+SUMIFS(Checklist!$H$5:$H$64,Checklist!$C$5:$C$64,$B22,Checklist!$D$5:$D$64,H$3,Checklist!$B$5:$B$64,"A")+SUMIFS(Checklist!$H$5:$H$64,Checklist!$C$5:$C$64,$B22,Checklist!$D$5:$D$64,H$3,Checklist!$B$5:$B$64,"B"),2)</f>
        <v>0</v>
      </c>
      <c r="I22" s="16">
        <f>ROUND(SUMIFS(Checklist!$H$5:$H$64,Checklist!$C$5:$C$64,$B22,Checklist!$D$5:$D$64,I$3,Checklist!$B$5:$B$64,"S")+SUMIFS(Checklist!$H$5:$H$64,Checklist!$C$5:$C$64,$B22,Checklist!$D$5:$D$64,I$3,Checklist!$B$5:$B$64,"A")+SUMIFS(Checklist!$H$5:$H$64,Checklist!$C$5:$C$64,$B22,Checklist!$D$5:$D$64,I$3,Checklist!$B$5:$B$64,"B"),2)</f>
        <v>0</v>
      </c>
      <c r="J22" s="16">
        <f t="shared" si="1"/>
        <v>6</v>
      </c>
    </row>
    <row r="23" spans="1:10" ht="15" customHeight="1" x14ac:dyDescent="0.4">
      <c r="A23" s="16" t="str">
        <f t="shared" si="0"/>
        <v>Veículo Leve|C</v>
      </c>
      <c r="B23" s="16" t="s">
        <v>144</v>
      </c>
      <c r="C23" s="16" t="s">
        <v>867</v>
      </c>
      <c r="D23" s="16">
        <f>ROUND(SUMIFS(Checklist!$H$5:$H$64,Checklist!$C$5:$C$64,$B23,Checklist!$D$5:$D$64,D$3,Checklist!$B$5:$B$64,"S")+SUMIFS(Checklist!$H$5:$H$64,Checklist!$C$5:$C$64,$B23,Checklist!$D$5:$D$64,D$3,Checklist!$B$5:$B$64,"A")+SUMIFS(Checklist!$H$5:$H$64,Checklist!$C$5:$C$64,$B23,Checklist!$D$5:$D$64,D$3,Checklist!$B$5:$B$64,"B")+SUMIFS(Checklist!$H$5:$H$64,Checklist!$C$5:$C$64,$B23,Checklist!$D$5:$D$64,D$3,Checklist!$B$5:$B$64,"C"),2)</f>
        <v>6</v>
      </c>
      <c r="E23" s="16">
        <f>ROUND(SUMIFS(Checklist!$H$5:$H$64,Checklist!$C$5:$C$64,$B23,Checklist!$D$5:$D$64,E$3,Checklist!$B$5:$B$64,"S")+SUMIFS(Checklist!$H$5:$H$64,Checklist!$C$5:$C$64,$B23,Checklist!$D$5:$D$64,E$3,Checklist!$B$5:$B$64,"A")+SUMIFS(Checklist!$H$5:$H$64,Checklist!$C$5:$C$64,$B23,Checklist!$D$5:$D$64,E$3,Checklist!$B$5:$B$64,"B")+SUMIFS(Checklist!$H$5:$H$64,Checklist!$C$5:$C$64,$B23,Checklist!$D$5:$D$64,E$3,Checklist!$B$5:$B$64,"C"),2)</f>
        <v>0</v>
      </c>
      <c r="F23" s="16">
        <f>ROUND(SUMIFS(Checklist!$H$5:$H$64,Checklist!$C$5:$C$64,$B23,Checklist!$D$5:$D$64,F$3,Checklist!$B$5:$B$64,"S")+SUMIFS(Checklist!$H$5:$H$64,Checklist!$C$5:$C$64,$B23,Checklist!$D$5:$D$64,F$3,Checklist!$B$5:$B$64,"A")+SUMIFS(Checklist!$H$5:$H$64,Checklist!$C$5:$C$64,$B23,Checklist!$D$5:$D$64,F$3,Checklist!$B$5:$B$64,"B")+SUMIFS(Checklist!$H$5:$H$64,Checklist!$C$5:$C$64,$B23,Checklist!$D$5:$D$64,F$3,Checklist!$B$5:$B$64,"C"),2)</f>
        <v>0</v>
      </c>
      <c r="G23" s="16">
        <f>ROUND(SUMIFS(Checklist!$H$5:$H$64,Checklist!$C$5:$C$64,$B23,Checklist!$D$5:$D$64,G$3,Checklist!$B$5:$B$64,"S")+SUMIFS(Checklist!$H$5:$H$64,Checklist!$C$5:$C$64,$B23,Checklist!$D$5:$D$64,G$3,Checklist!$B$5:$B$64,"A")+SUMIFS(Checklist!$H$5:$H$64,Checklist!$C$5:$C$64,$B23,Checklist!$D$5:$D$64,G$3,Checklist!$B$5:$B$64,"B")+SUMIFS(Checklist!$H$5:$H$64,Checklist!$C$5:$C$64,$B23,Checklist!$D$5:$D$64,G$3,Checklist!$B$5:$B$64,"C"),2)</f>
        <v>0</v>
      </c>
      <c r="H23" s="16">
        <f>ROUND(SUMIFS(Checklist!$H$5:$H$64,Checklist!$C$5:$C$64,$B23,Checklist!$D$5:$D$64,H$3,Checklist!$B$5:$B$64,"S")+SUMIFS(Checklist!$H$5:$H$64,Checklist!$C$5:$C$64,$B23,Checklist!$D$5:$D$64,H$3,Checklist!$B$5:$B$64,"A")+SUMIFS(Checklist!$H$5:$H$64,Checklist!$C$5:$C$64,$B23,Checklist!$D$5:$D$64,H$3,Checklist!$B$5:$B$64,"B")+SUMIFS(Checklist!$H$5:$H$64,Checklist!$C$5:$C$64,$B23,Checklist!$D$5:$D$64,H$3,Checklist!$B$5:$B$64,"C"),2)</f>
        <v>0</v>
      </c>
      <c r="I23" s="16">
        <f>ROUND(SUMIFS(Checklist!$H$5:$H$64,Checklist!$C$5:$C$64,$B23,Checklist!$D$5:$D$64,I$3,Checklist!$B$5:$B$64,"S")+SUMIFS(Checklist!$H$5:$H$64,Checklist!$C$5:$C$64,$B23,Checklist!$D$5:$D$64,I$3,Checklist!$B$5:$B$64,"A")+SUMIFS(Checklist!$H$5:$H$64,Checklist!$C$5:$C$64,$B23,Checklist!$D$5:$D$64,I$3,Checklist!$B$5:$B$64,"B")+SUMIFS(Checklist!$H$5:$H$64,Checklist!$C$5:$C$64,$B23,Checklist!$D$5:$D$64,I$3,Checklist!$B$5:$B$64,"C"),2)</f>
        <v>0</v>
      </c>
      <c r="J23" s="16">
        <f t="shared" si="1"/>
        <v>6</v>
      </c>
    </row>
    <row r="24" spans="1:10" ht="15" customHeight="1" x14ac:dyDescent="0.4">
      <c r="A24" s="16" t="str">
        <f t="shared" si="0"/>
        <v>Pulverizador|S</v>
      </c>
      <c r="B24" s="16" t="s">
        <v>145</v>
      </c>
      <c r="C24" s="16" t="s">
        <v>856</v>
      </c>
      <c r="D24" s="16">
        <f>ROUND(SUMIFS(Checklist!$H$5:$H$64,Checklist!$C$5:$C$64,$B24,Checklist!$D$5:$D$64,D$3,Checklist!$B$5:$B$64,"S"),2)</f>
        <v>2</v>
      </c>
      <c r="E24" s="16">
        <f>ROUND(SUMIFS(Checklist!$H$5:$H$64,Checklist!$C$5:$C$64,$B24,Checklist!$D$5:$D$64,E$3,Checklist!$B$5:$B$64,"S"),2)</f>
        <v>0</v>
      </c>
      <c r="F24" s="16">
        <f>ROUND(SUMIFS(Checklist!$H$5:$H$64,Checklist!$C$5:$C$64,$B24,Checklist!$D$5:$D$64,F$3,Checklist!$B$5:$B$64,"S"),2)</f>
        <v>0</v>
      </c>
      <c r="G24" s="16">
        <f>ROUND(SUMIFS(Checklist!$H$5:$H$64,Checklist!$C$5:$C$64,$B24,Checklist!$D$5:$D$64,G$3,Checklist!$B$5:$B$64,"S"),2)</f>
        <v>0</v>
      </c>
      <c r="H24" s="16">
        <f>ROUND(SUMIFS(Checklist!$H$5:$H$64,Checklist!$C$5:$C$64,$B24,Checklist!$D$5:$D$64,H$3,Checklist!$B$5:$B$64,"S"),2)</f>
        <v>0</v>
      </c>
      <c r="I24" s="16">
        <f>ROUND(SUMIFS(Checklist!$H$5:$H$64,Checklist!$C$5:$C$64,$B24,Checklist!$D$5:$D$64,I$3,Checklist!$B$5:$B$64,"S"),2)</f>
        <v>0</v>
      </c>
      <c r="J24" s="16">
        <f t="shared" si="1"/>
        <v>2</v>
      </c>
    </row>
    <row r="25" spans="1:10" ht="15" customHeight="1" x14ac:dyDescent="0.4">
      <c r="A25" s="16" t="str">
        <f t="shared" si="0"/>
        <v>Pulverizador|A</v>
      </c>
      <c r="B25" s="16" t="s">
        <v>145</v>
      </c>
      <c r="C25" s="16" t="s">
        <v>861</v>
      </c>
      <c r="D25" s="16">
        <f>ROUND(SUMIFS(Checklist!$H$5:$H$64,Checklist!$C$5:$C$64,$B25,Checklist!$D$5:$D$64,D$3,Checklist!$B$5:$B$64,"S")+SUMIFS(Checklist!$H$5:$H$64,Checklist!$C$5:$C$64,$B25,Checklist!$D$5:$D$64,D$3,Checklist!$B$5:$B$64,"A"),2)</f>
        <v>4</v>
      </c>
      <c r="E25" s="16">
        <f>ROUND(SUMIFS(Checklist!$H$5:$H$64,Checklist!$C$5:$C$64,$B25,Checklist!$D$5:$D$64,E$3,Checklist!$B$5:$B$64,"S")+SUMIFS(Checklist!$H$5:$H$64,Checklist!$C$5:$C$64,$B25,Checklist!$D$5:$D$64,E$3,Checklist!$B$5:$B$64,"A"),2)</f>
        <v>0</v>
      </c>
      <c r="F25" s="16">
        <f>ROUND(SUMIFS(Checklist!$H$5:$H$64,Checklist!$C$5:$C$64,$B25,Checklist!$D$5:$D$64,F$3,Checklist!$B$5:$B$64,"S")+SUMIFS(Checklist!$H$5:$H$64,Checklist!$C$5:$C$64,$B25,Checklist!$D$5:$D$64,F$3,Checklist!$B$5:$B$64,"A"),2)</f>
        <v>0</v>
      </c>
      <c r="G25" s="16">
        <f>ROUND(SUMIFS(Checklist!$H$5:$H$64,Checklist!$C$5:$C$64,$B25,Checklist!$D$5:$D$64,G$3,Checklist!$B$5:$B$64,"S")+SUMIFS(Checklist!$H$5:$H$64,Checklist!$C$5:$C$64,$B25,Checklist!$D$5:$D$64,G$3,Checklist!$B$5:$B$64,"A"),2)</f>
        <v>0</v>
      </c>
      <c r="H25" s="16">
        <f>ROUND(SUMIFS(Checklist!$H$5:$H$64,Checklist!$C$5:$C$64,$B25,Checklist!$D$5:$D$64,H$3,Checklist!$B$5:$B$64,"S")+SUMIFS(Checklist!$H$5:$H$64,Checklist!$C$5:$C$64,$B25,Checklist!$D$5:$D$64,H$3,Checklist!$B$5:$B$64,"A"),2)</f>
        <v>0</v>
      </c>
      <c r="I25" s="16">
        <f>ROUND(SUMIFS(Checklist!$H$5:$H$64,Checklist!$C$5:$C$64,$B25,Checklist!$D$5:$D$64,I$3,Checklist!$B$5:$B$64,"S")+SUMIFS(Checklist!$H$5:$H$64,Checklist!$C$5:$C$64,$B25,Checklist!$D$5:$D$64,I$3,Checklist!$B$5:$B$64,"A"),2)</f>
        <v>0</v>
      </c>
      <c r="J25" s="16">
        <f t="shared" si="1"/>
        <v>4</v>
      </c>
    </row>
    <row r="26" spans="1:10" ht="15" customHeight="1" x14ac:dyDescent="0.4">
      <c r="A26" s="16" t="str">
        <f t="shared" si="0"/>
        <v>Pulverizador|B</v>
      </c>
      <c r="B26" s="16" t="s">
        <v>145</v>
      </c>
      <c r="C26" s="16" t="s">
        <v>864</v>
      </c>
      <c r="D26" s="16">
        <f>ROUND(SUMIFS(Checklist!$H$5:$H$64,Checklist!$C$5:$C$64,$B26,Checklist!$D$5:$D$64,D$3,Checklist!$B$5:$B$64,"S")+SUMIFS(Checklist!$H$5:$H$64,Checklist!$C$5:$C$64,$B26,Checklist!$D$5:$D$64,D$3,Checklist!$B$5:$B$64,"A")+SUMIFS(Checklist!$H$5:$H$64,Checklist!$C$5:$C$64,$B26,Checklist!$D$5:$D$64,D$3,Checklist!$B$5:$B$64,"B"),2)</f>
        <v>4</v>
      </c>
      <c r="E26" s="16">
        <f>ROUND(SUMIFS(Checklist!$H$5:$H$64,Checklist!$C$5:$C$64,$B26,Checklist!$D$5:$D$64,E$3,Checklist!$B$5:$B$64,"S")+SUMIFS(Checklist!$H$5:$H$64,Checklist!$C$5:$C$64,$B26,Checklist!$D$5:$D$64,E$3,Checklist!$B$5:$B$64,"A")+SUMIFS(Checklist!$H$5:$H$64,Checklist!$C$5:$C$64,$B26,Checklist!$D$5:$D$64,E$3,Checklist!$B$5:$B$64,"B"),2)</f>
        <v>0</v>
      </c>
      <c r="F26" s="16">
        <f>ROUND(SUMIFS(Checklist!$H$5:$H$64,Checklist!$C$5:$C$64,$B26,Checklist!$D$5:$D$64,F$3,Checklist!$B$5:$B$64,"S")+SUMIFS(Checklist!$H$5:$H$64,Checklist!$C$5:$C$64,$B26,Checklist!$D$5:$D$64,F$3,Checklist!$B$5:$B$64,"A")+SUMIFS(Checklist!$H$5:$H$64,Checklist!$C$5:$C$64,$B26,Checklist!$D$5:$D$64,F$3,Checklist!$B$5:$B$64,"B"),2)</f>
        <v>0</v>
      </c>
      <c r="G26" s="16">
        <f>ROUND(SUMIFS(Checklist!$H$5:$H$64,Checklist!$C$5:$C$64,$B26,Checklist!$D$5:$D$64,G$3,Checklist!$B$5:$B$64,"S")+SUMIFS(Checklist!$H$5:$H$64,Checklist!$C$5:$C$64,$B26,Checklist!$D$5:$D$64,G$3,Checklist!$B$5:$B$64,"A")+SUMIFS(Checklist!$H$5:$H$64,Checklist!$C$5:$C$64,$B26,Checklist!$D$5:$D$64,G$3,Checklist!$B$5:$B$64,"B"),2)</f>
        <v>0</v>
      </c>
      <c r="H26" s="16">
        <f>ROUND(SUMIFS(Checklist!$H$5:$H$64,Checklist!$C$5:$C$64,$B26,Checklist!$D$5:$D$64,H$3,Checklist!$B$5:$B$64,"S")+SUMIFS(Checklist!$H$5:$H$64,Checklist!$C$5:$C$64,$B26,Checklist!$D$5:$D$64,H$3,Checklist!$B$5:$B$64,"A")+SUMIFS(Checklist!$H$5:$H$64,Checklist!$C$5:$C$64,$B26,Checklist!$D$5:$D$64,H$3,Checklist!$B$5:$B$64,"B"),2)</f>
        <v>0</v>
      </c>
      <c r="I26" s="16">
        <f>ROUND(SUMIFS(Checklist!$H$5:$H$64,Checklist!$C$5:$C$64,$B26,Checklist!$D$5:$D$64,I$3,Checklist!$B$5:$B$64,"S")+SUMIFS(Checklist!$H$5:$H$64,Checklist!$C$5:$C$64,$B26,Checklist!$D$5:$D$64,I$3,Checklist!$B$5:$B$64,"A")+SUMIFS(Checklist!$H$5:$H$64,Checklist!$C$5:$C$64,$B26,Checklist!$D$5:$D$64,I$3,Checklist!$B$5:$B$64,"B"),2)</f>
        <v>0</v>
      </c>
      <c r="J26" s="16">
        <f t="shared" si="1"/>
        <v>4</v>
      </c>
    </row>
    <row r="27" spans="1:10" ht="15" customHeight="1" x14ac:dyDescent="0.4">
      <c r="A27" s="16" t="str">
        <f t="shared" si="0"/>
        <v>Pulverizador|C</v>
      </c>
      <c r="B27" s="16" t="s">
        <v>145</v>
      </c>
      <c r="C27" s="16" t="s">
        <v>867</v>
      </c>
      <c r="D27" s="16">
        <f>ROUND(SUMIFS(Checklist!$H$5:$H$64,Checklist!$C$5:$C$64,$B27,Checklist!$D$5:$D$64,D$3,Checklist!$B$5:$B$64,"S")+SUMIFS(Checklist!$H$5:$H$64,Checklist!$C$5:$C$64,$B27,Checklist!$D$5:$D$64,D$3,Checklist!$B$5:$B$64,"A")+SUMIFS(Checklist!$H$5:$H$64,Checklist!$C$5:$C$64,$B27,Checklist!$D$5:$D$64,D$3,Checklist!$B$5:$B$64,"B")+SUMIFS(Checklist!$H$5:$H$64,Checklist!$C$5:$C$64,$B27,Checklist!$D$5:$D$64,D$3,Checklist!$B$5:$B$64,"C"),2)</f>
        <v>4</v>
      </c>
      <c r="E27" s="16">
        <f>ROUND(SUMIFS(Checklist!$H$5:$H$64,Checklist!$C$5:$C$64,$B27,Checklist!$D$5:$D$64,E$3,Checklist!$B$5:$B$64,"S")+SUMIFS(Checklist!$H$5:$H$64,Checklist!$C$5:$C$64,$B27,Checklist!$D$5:$D$64,E$3,Checklist!$B$5:$B$64,"A")+SUMIFS(Checklist!$H$5:$H$64,Checklist!$C$5:$C$64,$B27,Checklist!$D$5:$D$64,E$3,Checklist!$B$5:$B$64,"B")+SUMIFS(Checklist!$H$5:$H$64,Checklist!$C$5:$C$64,$B27,Checklist!$D$5:$D$64,E$3,Checklist!$B$5:$B$64,"C"),2)</f>
        <v>0</v>
      </c>
      <c r="F27" s="16">
        <f>ROUND(SUMIFS(Checklist!$H$5:$H$64,Checklist!$C$5:$C$64,$B27,Checklist!$D$5:$D$64,F$3,Checklist!$B$5:$B$64,"S")+SUMIFS(Checklist!$H$5:$H$64,Checklist!$C$5:$C$64,$B27,Checklist!$D$5:$D$64,F$3,Checklist!$B$5:$B$64,"A")+SUMIFS(Checklist!$H$5:$H$64,Checklist!$C$5:$C$64,$B27,Checklist!$D$5:$D$64,F$3,Checklist!$B$5:$B$64,"B")+SUMIFS(Checklist!$H$5:$H$64,Checklist!$C$5:$C$64,$B27,Checklist!$D$5:$D$64,F$3,Checklist!$B$5:$B$64,"C"),2)</f>
        <v>0</v>
      </c>
      <c r="G27" s="16">
        <f>ROUND(SUMIFS(Checklist!$H$5:$H$64,Checklist!$C$5:$C$64,$B27,Checklist!$D$5:$D$64,G$3,Checklist!$B$5:$B$64,"S")+SUMIFS(Checklist!$H$5:$H$64,Checklist!$C$5:$C$64,$B27,Checklist!$D$5:$D$64,G$3,Checklist!$B$5:$B$64,"A")+SUMIFS(Checklist!$H$5:$H$64,Checklist!$C$5:$C$64,$B27,Checklist!$D$5:$D$64,G$3,Checklist!$B$5:$B$64,"B")+SUMIFS(Checklist!$H$5:$H$64,Checklist!$C$5:$C$64,$B27,Checklist!$D$5:$D$64,G$3,Checklist!$B$5:$B$64,"C"),2)</f>
        <v>0</v>
      </c>
      <c r="H27" s="16">
        <f>ROUND(SUMIFS(Checklist!$H$5:$H$64,Checklist!$C$5:$C$64,$B27,Checklist!$D$5:$D$64,H$3,Checklist!$B$5:$B$64,"S")+SUMIFS(Checklist!$H$5:$H$64,Checklist!$C$5:$C$64,$B27,Checklist!$D$5:$D$64,H$3,Checklist!$B$5:$B$64,"A")+SUMIFS(Checklist!$H$5:$H$64,Checklist!$C$5:$C$64,$B27,Checklist!$D$5:$D$64,H$3,Checklist!$B$5:$B$64,"B")+SUMIFS(Checklist!$H$5:$H$64,Checklist!$C$5:$C$64,$B27,Checklist!$D$5:$D$64,H$3,Checklist!$B$5:$B$64,"C"),2)</f>
        <v>0</v>
      </c>
      <c r="I27" s="16">
        <f>ROUND(SUMIFS(Checklist!$H$5:$H$64,Checklist!$C$5:$C$64,$B27,Checklist!$D$5:$D$64,I$3,Checklist!$B$5:$B$64,"S")+SUMIFS(Checklist!$H$5:$H$64,Checklist!$C$5:$C$64,$B27,Checklist!$D$5:$D$64,I$3,Checklist!$B$5:$B$64,"A")+SUMIFS(Checklist!$H$5:$H$64,Checklist!$C$5:$C$64,$B27,Checklist!$D$5:$D$64,I$3,Checklist!$B$5:$B$64,"B")+SUMIFS(Checklist!$H$5:$H$64,Checklist!$C$5:$C$64,$B27,Checklist!$D$5:$D$64,I$3,Checklist!$B$5:$B$64,"C"),2)</f>
        <v>0</v>
      </c>
      <c r="J27" s="16">
        <f t="shared" si="1"/>
        <v>4</v>
      </c>
    </row>
    <row r="28" spans="1:10" ht="15" customHeight="1" x14ac:dyDescent="0.4">
      <c r="A28" s="16" t="str">
        <f t="shared" si="0"/>
        <v>Implemento|S</v>
      </c>
      <c r="B28" s="16" t="s">
        <v>146</v>
      </c>
      <c r="C28" s="16" t="s">
        <v>856</v>
      </c>
      <c r="D28" s="16">
        <f>ROUND(SUMIFS(Checklist!$H$5:$H$64,Checklist!$C$5:$C$64,$B28,Checklist!$D$5:$D$64,D$3,Checklist!$B$5:$B$64,"S"),2)</f>
        <v>1.5</v>
      </c>
      <c r="E28" s="16">
        <f>ROUND(SUMIFS(Checklist!$H$5:$H$64,Checklist!$C$5:$C$64,$B28,Checklist!$D$5:$D$64,E$3,Checklist!$B$5:$B$64,"S"),2)</f>
        <v>0</v>
      </c>
      <c r="F28" s="16">
        <f>ROUND(SUMIFS(Checklist!$H$5:$H$64,Checklist!$C$5:$C$64,$B28,Checklist!$D$5:$D$64,F$3,Checklist!$B$5:$B$64,"S"),2)</f>
        <v>0</v>
      </c>
      <c r="G28" s="16">
        <f>ROUND(SUMIFS(Checklist!$H$5:$H$64,Checklist!$C$5:$C$64,$B28,Checklist!$D$5:$D$64,G$3,Checklist!$B$5:$B$64,"S"),2)</f>
        <v>0</v>
      </c>
      <c r="H28" s="16">
        <f>ROUND(SUMIFS(Checklist!$H$5:$H$64,Checklist!$C$5:$C$64,$B28,Checklist!$D$5:$D$64,H$3,Checklist!$B$5:$B$64,"S"),2)</f>
        <v>0</v>
      </c>
      <c r="I28" s="16">
        <f>ROUND(SUMIFS(Checklist!$H$5:$H$64,Checklist!$C$5:$C$64,$B28,Checklist!$D$5:$D$64,I$3,Checklist!$B$5:$B$64,"S"),2)</f>
        <v>0</v>
      </c>
      <c r="J28" s="16">
        <f t="shared" si="1"/>
        <v>1.5</v>
      </c>
    </row>
    <row r="29" spans="1:10" ht="15" customHeight="1" x14ac:dyDescent="0.4">
      <c r="A29" s="16" t="str">
        <f t="shared" si="0"/>
        <v>Implemento|A</v>
      </c>
      <c r="B29" s="16" t="s">
        <v>146</v>
      </c>
      <c r="C29" s="16" t="s">
        <v>861</v>
      </c>
      <c r="D29" s="16">
        <f>ROUND(SUMIFS(Checklist!$H$5:$H$64,Checklist!$C$5:$C$64,$B29,Checklist!$D$5:$D$64,D$3,Checklist!$B$5:$B$64,"S")+SUMIFS(Checklist!$H$5:$H$64,Checklist!$C$5:$C$64,$B29,Checklist!$D$5:$D$64,D$3,Checklist!$B$5:$B$64,"A"),2)</f>
        <v>3</v>
      </c>
      <c r="E29" s="16">
        <f>ROUND(SUMIFS(Checklist!$H$5:$H$64,Checklist!$C$5:$C$64,$B29,Checklist!$D$5:$D$64,E$3,Checklist!$B$5:$B$64,"S")+SUMIFS(Checklist!$H$5:$H$64,Checklist!$C$5:$C$64,$B29,Checklist!$D$5:$D$64,E$3,Checklist!$B$5:$B$64,"A"),2)</f>
        <v>0</v>
      </c>
      <c r="F29" s="16">
        <f>ROUND(SUMIFS(Checklist!$H$5:$H$64,Checklist!$C$5:$C$64,$B29,Checklist!$D$5:$D$64,F$3,Checklist!$B$5:$B$64,"S")+SUMIFS(Checklist!$H$5:$H$64,Checklist!$C$5:$C$64,$B29,Checklist!$D$5:$D$64,F$3,Checklist!$B$5:$B$64,"A"),2)</f>
        <v>0</v>
      </c>
      <c r="G29" s="16">
        <f>ROUND(SUMIFS(Checklist!$H$5:$H$64,Checklist!$C$5:$C$64,$B29,Checklist!$D$5:$D$64,G$3,Checklist!$B$5:$B$64,"S")+SUMIFS(Checklist!$H$5:$H$64,Checklist!$C$5:$C$64,$B29,Checklist!$D$5:$D$64,G$3,Checklist!$B$5:$B$64,"A"),2)</f>
        <v>0</v>
      </c>
      <c r="H29" s="16">
        <f>ROUND(SUMIFS(Checklist!$H$5:$H$64,Checklist!$C$5:$C$64,$B29,Checklist!$D$5:$D$64,H$3,Checklist!$B$5:$B$64,"S")+SUMIFS(Checklist!$H$5:$H$64,Checklist!$C$5:$C$64,$B29,Checklist!$D$5:$D$64,H$3,Checklist!$B$5:$B$64,"A"),2)</f>
        <v>0</v>
      </c>
      <c r="I29" s="16">
        <f>ROUND(SUMIFS(Checklist!$H$5:$H$64,Checklist!$C$5:$C$64,$B29,Checklist!$D$5:$D$64,I$3,Checklist!$B$5:$B$64,"S")+SUMIFS(Checklist!$H$5:$H$64,Checklist!$C$5:$C$64,$B29,Checklist!$D$5:$D$64,I$3,Checklist!$B$5:$B$64,"A"),2)</f>
        <v>0</v>
      </c>
      <c r="J29" s="16">
        <f t="shared" si="1"/>
        <v>3</v>
      </c>
    </row>
    <row r="30" spans="1:10" ht="15" customHeight="1" x14ac:dyDescent="0.4">
      <c r="A30" s="16" t="str">
        <f t="shared" si="0"/>
        <v>Implemento|B</v>
      </c>
      <c r="B30" s="16" t="s">
        <v>146</v>
      </c>
      <c r="C30" s="16" t="s">
        <v>864</v>
      </c>
      <c r="D30" s="16">
        <f>ROUND(SUMIFS(Checklist!$H$5:$H$64,Checklist!$C$5:$C$64,$B30,Checklist!$D$5:$D$64,D$3,Checklist!$B$5:$B$64,"S")+SUMIFS(Checklist!$H$5:$H$64,Checklist!$C$5:$C$64,$B30,Checklist!$D$5:$D$64,D$3,Checklist!$B$5:$B$64,"A")+SUMIFS(Checklist!$H$5:$H$64,Checklist!$C$5:$C$64,$B30,Checklist!$D$5:$D$64,D$3,Checklist!$B$5:$B$64,"B"),2)</f>
        <v>3</v>
      </c>
      <c r="E30" s="16">
        <f>ROUND(SUMIFS(Checklist!$H$5:$H$64,Checklist!$C$5:$C$64,$B30,Checklist!$D$5:$D$64,E$3,Checklist!$B$5:$B$64,"S")+SUMIFS(Checklist!$H$5:$H$64,Checklist!$C$5:$C$64,$B30,Checklist!$D$5:$D$64,E$3,Checklist!$B$5:$B$64,"A")+SUMIFS(Checklist!$H$5:$H$64,Checklist!$C$5:$C$64,$B30,Checklist!$D$5:$D$64,E$3,Checklist!$B$5:$B$64,"B"),2)</f>
        <v>0</v>
      </c>
      <c r="F30" s="16">
        <f>ROUND(SUMIFS(Checklist!$H$5:$H$64,Checklist!$C$5:$C$64,$B30,Checklist!$D$5:$D$64,F$3,Checklist!$B$5:$B$64,"S")+SUMIFS(Checklist!$H$5:$H$64,Checklist!$C$5:$C$64,$B30,Checklist!$D$5:$D$64,F$3,Checklist!$B$5:$B$64,"A")+SUMIFS(Checklist!$H$5:$H$64,Checklist!$C$5:$C$64,$B30,Checklist!$D$5:$D$64,F$3,Checklist!$B$5:$B$64,"B"),2)</f>
        <v>0</v>
      </c>
      <c r="G30" s="16">
        <f>ROUND(SUMIFS(Checklist!$H$5:$H$64,Checklist!$C$5:$C$64,$B30,Checklist!$D$5:$D$64,G$3,Checklist!$B$5:$B$64,"S")+SUMIFS(Checklist!$H$5:$H$64,Checklist!$C$5:$C$64,$B30,Checklist!$D$5:$D$64,G$3,Checklist!$B$5:$B$64,"A")+SUMIFS(Checklist!$H$5:$H$64,Checklist!$C$5:$C$64,$B30,Checklist!$D$5:$D$64,G$3,Checklist!$B$5:$B$64,"B"),2)</f>
        <v>0</v>
      </c>
      <c r="H30" s="16">
        <f>ROUND(SUMIFS(Checklist!$H$5:$H$64,Checklist!$C$5:$C$64,$B30,Checklist!$D$5:$D$64,H$3,Checklist!$B$5:$B$64,"S")+SUMIFS(Checklist!$H$5:$H$64,Checklist!$C$5:$C$64,$B30,Checklist!$D$5:$D$64,H$3,Checklist!$B$5:$B$64,"A")+SUMIFS(Checklist!$H$5:$H$64,Checklist!$C$5:$C$64,$B30,Checklist!$D$5:$D$64,H$3,Checklist!$B$5:$B$64,"B"),2)</f>
        <v>0</v>
      </c>
      <c r="I30" s="16">
        <f>ROUND(SUMIFS(Checklist!$H$5:$H$64,Checklist!$C$5:$C$64,$B30,Checklist!$D$5:$D$64,I$3,Checklist!$B$5:$B$64,"S")+SUMIFS(Checklist!$H$5:$H$64,Checklist!$C$5:$C$64,$B30,Checklist!$D$5:$D$64,I$3,Checklist!$B$5:$B$64,"A")+SUMIFS(Checklist!$H$5:$H$64,Checklist!$C$5:$C$64,$B30,Checklist!$D$5:$D$64,I$3,Checklist!$B$5:$B$64,"B"),2)</f>
        <v>0</v>
      </c>
      <c r="J30" s="16">
        <f t="shared" si="1"/>
        <v>3</v>
      </c>
    </row>
    <row r="31" spans="1:10" ht="15" customHeight="1" x14ac:dyDescent="0.4">
      <c r="A31" s="16" t="str">
        <f t="shared" si="0"/>
        <v>Implemento|C</v>
      </c>
      <c r="B31" s="16" t="s">
        <v>146</v>
      </c>
      <c r="C31" s="16" t="s">
        <v>867</v>
      </c>
      <c r="D31" s="16">
        <f>ROUND(SUMIFS(Checklist!$H$5:$H$64,Checklist!$C$5:$C$64,$B31,Checklist!$D$5:$D$64,D$3,Checklist!$B$5:$B$64,"S")+SUMIFS(Checklist!$H$5:$H$64,Checklist!$C$5:$C$64,$B31,Checklist!$D$5:$D$64,D$3,Checklist!$B$5:$B$64,"A")+SUMIFS(Checklist!$H$5:$H$64,Checklist!$C$5:$C$64,$B31,Checklist!$D$5:$D$64,D$3,Checklist!$B$5:$B$64,"B")+SUMIFS(Checklist!$H$5:$H$64,Checklist!$C$5:$C$64,$B31,Checklist!$D$5:$D$64,D$3,Checklist!$B$5:$B$64,"C"),2)</f>
        <v>3</v>
      </c>
      <c r="E31" s="16">
        <f>ROUND(SUMIFS(Checklist!$H$5:$H$64,Checklist!$C$5:$C$64,$B31,Checklist!$D$5:$D$64,E$3,Checklist!$B$5:$B$64,"S")+SUMIFS(Checklist!$H$5:$H$64,Checklist!$C$5:$C$64,$B31,Checklist!$D$5:$D$64,E$3,Checklist!$B$5:$B$64,"A")+SUMIFS(Checklist!$H$5:$H$64,Checklist!$C$5:$C$64,$B31,Checklist!$D$5:$D$64,E$3,Checklist!$B$5:$B$64,"B")+SUMIFS(Checklist!$H$5:$H$64,Checklist!$C$5:$C$64,$B31,Checklist!$D$5:$D$64,E$3,Checklist!$B$5:$B$64,"C"),2)</f>
        <v>0</v>
      </c>
      <c r="F31" s="16">
        <f>ROUND(SUMIFS(Checklist!$H$5:$H$64,Checklist!$C$5:$C$64,$B31,Checklist!$D$5:$D$64,F$3,Checklist!$B$5:$B$64,"S")+SUMIFS(Checklist!$H$5:$H$64,Checklist!$C$5:$C$64,$B31,Checklist!$D$5:$D$64,F$3,Checklist!$B$5:$B$64,"A")+SUMIFS(Checklist!$H$5:$H$64,Checklist!$C$5:$C$64,$B31,Checklist!$D$5:$D$64,F$3,Checklist!$B$5:$B$64,"B")+SUMIFS(Checklist!$H$5:$H$64,Checklist!$C$5:$C$64,$B31,Checklist!$D$5:$D$64,F$3,Checklist!$B$5:$B$64,"C"),2)</f>
        <v>0</v>
      </c>
      <c r="G31" s="16">
        <f>ROUND(SUMIFS(Checklist!$H$5:$H$64,Checklist!$C$5:$C$64,$B31,Checklist!$D$5:$D$64,G$3,Checklist!$B$5:$B$64,"S")+SUMIFS(Checklist!$H$5:$H$64,Checklist!$C$5:$C$64,$B31,Checklist!$D$5:$D$64,G$3,Checklist!$B$5:$B$64,"A")+SUMIFS(Checklist!$H$5:$H$64,Checklist!$C$5:$C$64,$B31,Checklist!$D$5:$D$64,G$3,Checklist!$B$5:$B$64,"B")+SUMIFS(Checklist!$H$5:$H$64,Checklist!$C$5:$C$64,$B31,Checklist!$D$5:$D$64,G$3,Checklist!$B$5:$B$64,"C"),2)</f>
        <v>0</v>
      </c>
      <c r="H31" s="16">
        <f>ROUND(SUMIFS(Checklist!$H$5:$H$64,Checklist!$C$5:$C$64,$B31,Checklist!$D$5:$D$64,H$3,Checklist!$B$5:$B$64,"S")+SUMIFS(Checklist!$H$5:$H$64,Checklist!$C$5:$C$64,$B31,Checklist!$D$5:$D$64,H$3,Checklist!$B$5:$B$64,"A")+SUMIFS(Checklist!$H$5:$H$64,Checklist!$C$5:$C$64,$B31,Checklist!$D$5:$D$64,H$3,Checklist!$B$5:$B$64,"B")+SUMIFS(Checklist!$H$5:$H$64,Checklist!$C$5:$C$64,$B31,Checklist!$D$5:$D$64,H$3,Checklist!$B$5:$B$64,"C"),2)</f>
        <v>0</v>
      </c>
      <c r="I31" s="16">
        <f>ROUND(SUMIFS(Checklist!$H$5:$H$64,Checklist!$C$5:$C$64,$B31,Checklist!$D$5:$D$64,I$3,Checklist!$B$5:$B$64,"S")+SUMIFS(Checklist!$H$5:$H$64,Checklist!$C$5:$C$64,$B31,Checklist!$D$5:$D$64,I$3,Checklist!$B$5:$B$64,"A")+SUMIFS(Checklist!$H$5:$H$64,Checklist!$C$5:$C$64,$B31,Checklist!$D$5:$D$64,I$3,Checklist!$B$5:$B$64,"B")+SUMIFS(Checklist!$H$5:$H$64,Checklist!$C$5:$C$64,$B31,Checklist!$D$5:$D$64,I$3,Checklist!$B$5:$B$64,"C"),2)</f>
        <v>0</v>
      </c>
      <c r="J31" s="16">
        <f t="shared" si="1"/>
        <v>3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2B5B7"/>
  </sheetPr>
  <dimension ref="A1:L367"/>
  <sheetViews>
    <sheetView zoomScaleNormal="100" workbookViewId="0"/>
  </sheetViews>
  <sheetFormatPr defaultColWidth="8.69140625" defaultRowHeight="14.6" x14ac:dyDescent="0.4"/>
  <cols>
    <col min="1" max="1" width="20" customWidth="1"/>
    <col min="2" max="2" width="8" customWidth="1"/>
    <col min="3" max="4" width="6" customWidth="1"/>
    <col min="5" max="5" width="9" customWidth="1"/>
    <col min="6" max="6" width="10" customWidth="1"/>
    <col min="7" max="12" width="13" customWidth="1"/>
  </cols>
  <sheetData>
    <row r="1" spans="1:12" ht="15.75" customHeight="1" x14ac:dyDescent="0.45">
      <c r="A1" s="3" t="s">
        <v>1445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ht="34.5" customHeight="1" x14ac:dyDescent="0.4">
      <c r="A3" s="14" t="s">
        <v>128</v>
      </c>
      <c r="B3" s="14" t="s">
        <v>973</v>
      </c>
      <c r="C3" s="14" t="s">
        <v>82</v>
      </c>
      <c r="D3" s="14" t="s">
        <v>976</v>
      </c>
      <c r="E3" s="14" t="s">
        <v>136</v>
      </c>
      <c r="F3" s="14" t="s">
        <v>1446</v>
      </c>
      <c r="G3" s="14" t="s">
        <v>1447</v>
      </c>
      <c r="H3" s="14" t="s">
        <v>1448</v>
      </c>
      <c r="I3" s="14" t="s">
        <v>1449</v>
      </c>
      <c r="J3" s="14" t="s">
        <v>1450</v>
      </c>
      <c r="K3" s="14" t="s">
        <v>1451</v>
      </c>
      <c r="L3" s="14" t="s">
        <v>1452</v>
      </c>
    </row>
    <row r="4" spans="1:12" ht="15" customHeight="1" x14ac:dyDescent="0.4">
      <c r="A4" t="str">
        <f>Premissas!$A$39</f>
        <v>Colhedora</v>
      </c>
      <c r="B4">
        <v>1</v>
      </c>
      <c r="C4">
        <f>INDEX(Semanas!$E$3:$E$54,1)</f>
        <v>9</v>
      </c>
      <c r="D4" t="str">
        <f>Cronograma!B5</f>
        <v/>
      </c>
      <c r="E4">
        <f>Premissas!$I$39</f>
        <v>8</v>
      </c>
      <c r="F4">
        <f t="shared" ref="F4:F67" si="0">IF($D4="",0,$E4)</f>
        <v>0</v>
      </c>
      <c r="G4">
        <f>IF($D4="",0,$E4*INDEX(Aux_HH!$D$4:$D$31,MATCH($A4&amp;"|"&amp;$D4,Aux_HH!$A$4:$A$31,0)))</f>
        <v>0</v>
      </c>
      <c r="H4">
        <f>IF($D4="",0,$E4*INDEX(Aux_HH!$E$4:$E$31,MATCH($A4&amp;"|"&amp;$D4,Aux_HH!$A$4:$A$31,0)))</f>
        <v>0</v>
      </c>
      <c r="I4">
        <f>IF($D4="",0,$E4*INDEX(Aux_HH!$F$4:$F$31,MATCH($A4&amp;"|"&amp;$D4,Aux_HH!$A$4:$A$31,0)))</f>
        <v>0</v>
      </c>
      <c r="J4">
        <f>IF($D4="",0,$E4*INDEX(Aux_HH!$G$4:$G$31,MATCH($A4&amp;"|"&amp;$D4,Aux_HH!$A$4:$A$31,0)))</f>
        <v>0</v>
      </c>
      <c r="K4">
        <f>IF($D4="",0,$E4*INDEX(Aux_HH!$H$4:$H$31,MATCH($A4&amp;"|"&amp;$D4,Aux_HH!$A$4:$A$31,0)))</f>
        <v>0</v>
      </c>
      <c r="L4">
        <f>IF($D4="",0,$E4*INDEX(Aux_HH!$I$4:$I$31,MATCH($A4&amp;"|"&amp;$D4,Aux_HH!$A$4:$A$31,0)))</f>
        <v>0</v>
      </c>
    </row>
    <row r="5" spans="1:12" ht="15" customHeight="1" x14ac:dyDescent="0.4">
      <c r="A5" t="str">
        <f>Premissas!$A$39</f>
        <v>Colhedora</v>
      </c>
      <c r="B5">
        <v>2</v>
      </c>
      <c r="C5">
        <f>INDEX(Semanas!$E$3:$E$54,2)</f>
        <v>9</v>
      </c>
      <c r="D5" t="str">
        <f>Cronograma!C5</f>
        <v/>
      </c>
      <c r="E5">
        <f>Premissas!$I$39</f>
        <v>8</v>
      </c>
      <c r="F5">
        <f t="shared" si="0"/>
        <v>0</v>
      </c>
      <c r="G5">
        <f>IF($D5="",0,$E5*INDEX(Aux_HH!$D$4:$D$31,MATCH($A5&amp;"|"&amp;$D5,Aux_HH!$A$4:$A$31,0)))</f>
        <v>0</v>
      </c>
      <c r="H5">
        <f>IF($D5="",0,$E5*INDEX(Aux_HH!$E$4:$E$31,MATCH($A5&amp;"|"&amp;$D5,Aux_HH!$A$4:$A$31,0)))</f>
        <v>0</v>
      </c>
      <c r="I5">
        <f>IF($D5="",0,$E5*INDEX(Aux_HH!$F$4:$F$31,MATCH($A5&amp;"|"&amp;$D5,Aux_HH!$A$4:$A$31,0)))</f>
        <v>0</v>
      </c>
      <c r="J5">
        <f>IF($D5="",0,$E5*INDEX(Aux_HH!$G$4:$G$31,MATCH($A5&amp;"|"&amp;$D5,Aux_HH!$A$4:$A$31,0)))</f>
        <v>0</v>
      </c>
      <c r="K5">
        <f>IF($D5="",0,$E5*INDEX(Aux_HH!$H$4:$H$31,MATCH($A5&amp;"|"&amp;$D5,Aux_HH!$A$4:$A$31,0)))</f>
        <v>0</v>
      </c>
      <c r="L5">
        <f>IF($D5="",0,$E5*INDEX(Aux_HH!$I$4:$I$31,MATCH($A5&amp;"|"&amp;$D5,Aux_HH!$A$4:$A$31,0)))</f>
        <v>0</v>
      </c>
    </row>
    <row r="6" spans="1:12" ht="15" customHeight="1" x14ac:dyDescent="0.4">
      <c r="A6" t="str">
        <f>Premissas!$A$39</f>
        <v>Colhedora</v>
      </c>
      <c r="B6">
        <v>3</v>
      </c>
      <c r="C6">
        <f>INDEX(Semanas!$E$3:$E$54,3)</f>
        <v>9</v>
      </c>
      <c r="D6" t="str">
        <f>Cronograma!D5</f>
        <v>S</v>
      </c>
      <c r="E6">
        <f>Premissas!$I$39</f>
        <v>8</v>
      </c>
      <c r="F6">
        <f t="shared" si="0"/>
        <v>8</v>
      </c>
      <c r="G6">
        <f>IF($D6="",0,$E6*INDEX(Aux_HH!$D$4:$D$31,MATCH($A6&amp;"|"&amp;$D6,Aux_HH!$A$4:$A$31,0)))</f>
        <v>24</v>
      </c>
      <c r="H6">
        <f>IF($D6="",0,$E6*INDEX(Aux_HH!$E$4:$E$31,MATCH($A6&amp;"|"&amp;$D6,Aux_HH!$A$4:$A$31,0)))</f>
        <v>0</v>
      </c>
      <c r="I6">
        <f>IF($D6="",0,$E6*INDEX(Aux_HH!$F$4:$F$31,MATCH($A6&amp;"|"&amp;$D6,Aux_HH!$A$4:$A$31,0)))</f>
        <v>0</v>
      </c>
      <c r="J6">
        <f>IF($D6="",0,$E6*INDEX(Aux_HH!$G$4:$G$31,MATCH($A6&amp;"|"&amp;$D6,Aux_HH!$A$4:$A$31,0)))</f>
        <v>0</v>
      </c>
      <c r="K6">
        <f>IF($D6="",0,$E6*INDEX(Aux_HH!$H$4:$H$31,MATCH($A6&amp;"|"&amp;$D6,Aux_HH!$A$4:$A$31,0)))</f>
        <v>0</v>
      </c>
      <c r="L6">
        <f>IF($D6="",0,$E6*INDEX(Aux_HH!$I$4:$I$31,MATCH($A6&amp;"|"&amp;$D6,Aux_HH!$A$4:$A$31,0)))</f>
        <v>0</v>
      </c>
    </row>
    <row r="7" spans="1:12" ht="15" customHeight="1" x14ac:dyDescent="0.4">
      <c r="A7" t="str">
        <f>Premissas!$A$39</f>
        <v>Colhedora</v>
      </c>
      <c r="B7">
        <v>4</v>
      </c>
      <c r="C7">
        <f>INDEX(Semanas!$E$3:$E$54,4)</f>
        <v>9</v>
      </c>
      <c r="D7" t="str">
        <f>Cronograma!E5</f>
        <v/>
      </c>
      <c r="E7">
        <f>Premissas!$I$39</f>
        <v>8</v>
      </c>
      <c r="F7">
        <f t="shared" si="0"/>
        <v>0</v>
      </c>
      <c r="G7">
        <f>IF($D7="",0,$E7*INDEX(Aux_HH!$D$4:$D$31,MATCH($A7&amp;"|"&amp;$D7,Aux_HH!$A$4:$A$31,0)))</f>
        <v>0</v>
      </c>
      <c r="H7">
        <f>IF($D7="",0,$E7*INDEX(Aux_HH!$E$4:$E$31,MATCH($A7&amp;"|"&amp;$D7,Aux_HH!$A$4:$A$31,0)))</f>
        <v>0</v>
      </c>
      <c r="I7">
        <f>IF($D7="",0,$E7*INDEX(Aux_HH!$F$4:$F$31,MATCH($A7&amp;"|"&amp;$D7,Aux_HH!$A$4:$A$31,0)))</f>
        <v>0</v>
      </c>
      <c r="J7">
        <f>IF($D7="",0,$E7*INDEX(Aux_HH!$G$4:$G$31,MATCH($A7&amp;"|"&amp;$D7,Aux_HH!$A$4:$A$31,0)))</f>
        <v>0</v>
      </c>
      <c r="K7">
        <f>IF($D7="",0,$E7*INDEX(Aux_HH!$H$4:$H$31,MATCH($A7&amp;"|"&amp;$D7,Aux_HH!$A$4:$A$31,0)))</f>
        <v>0</v>
      </c>
      <c r="L7">
        <f>IF($D7="",0,$E7*INDEX(Aux_HH!$I$4:$I$31,MATCH($A7&amp;"|"&amp;$D7,Aux_HH!$A$4:$A$31,0)))</f>
        <v>0</v>
      </c>
    </row>
    <row r="8" spans="1:12" ht="15" customHeight="1" x14ac:dyDescent="0.4">
      <c r="A8" t="str">
        <f>Premissas!$A$39</f>
        <v>Colhedora</v>
      </c>
      <c r="B8">
        <v>5</v>
      </c>
      <c r="C8">
        <f>INDEX(Semanas!$E$3:$E$54,5)</f>
        <v>9</v>
      </c>
      <c r="D8" t="str">
        <f>Cronograma!F5</f>
        <v>A</v>
      </c>
      <c r="E8">
        <f>Premissas!$I$39</f>
        <v>8</v>
      </c>
      <c r="F8">
        <f t="shared" si="0"/>
        <v>8</v>
      </c>
      <c r="G8">
        <f>IF($D8="",0,$E8*INDEX(Aux_HH!$D$4:$D$31,MATCH($A8&amp;"|"&amp;$D8,Aux_HH!$A$4:$A$31,0)))</f>
        <v>48</v>
      </c>
      <c r="H8">
        <f>IF($D8="",0,$E8*INDEX(Aux_HH!$E$4:$E$31,MATCH($A8&amp;"|"&amp;$D8,Aux_HH!$A$4:$A$31,0)))</f>
        <v>0</v>
      </c>
      <c r="I8">
        <f>IF($D8="",0,$E8*INDEX(Aux_HH!$F$4:$F$31,MATCH($A8&amp;"|"&amp;$D8,Aux_HH!$A$4:$A$31,0)))</f>
        <v>0</v>
      </c>
      <c r="J8">
        <f>IF($D8="",0,$E8*INDEX(Aux_HH!$G$4:$G$31,MATCH($A8&amp;"|"&amp;$D8,Aux_HH!$A$4:$A$31,0)))</f>
        <v>0</v>
      </c>
      <c r="K8">
        <f>IF($D8="",0,$E8*INDEX(Aux_HH!$H$4:$H$31,MATCH($A8&amp;"|"&amp;$D8,Aux_HH!$A$4:$A$31,0)))</f>
        <v>0</v>
      </c>
      <c r="L8">
        <f>IF($D8="",0,$E8*INDEX(Aux_HH!$I$4:$I$31,MATCH($A8&amp;"|"&amp;$D8,Aux_HH!$A$4:$A$31,0)))</f>
        <v>0</v>
      </c>
    </row>
    <row r="9" spans="1:12" ht="15" customHeight="1" x14ac:dyDescent="0.4">
      <c r="A9" t="str">
        <f>Premissas!$A$39</f>
        <v>Colhedora</v>
      </c>
      <c r="B9">
        <v>6</v>
      </c>
      <c r="C9">
        <f>INDEX(Semanas!$E$3:$E$54,6)</f>
        <v>10</v>
      </c>
      <c r="D9" t="str">
        <f>Cronograma!G5</f>
        <v/>
      </c>
      <c r="E9">
        <f>Premissas!$I$39</f>
        <v>8</v>
      </c>
      <c r="F9">
        <f t="shared" si="0"/>
        <v>0</v>
      </c>
      <c r="G9">
        <f>IF($D9="",0,$E9*INDEX(Aux_HH!$D$4:$D$31,MATCH($A9&amp;"|"&amp;$D9,Aux_HH!$A$4:$A$31,0)))</f>
        <v>0</v>
      </c>
      <c r="H9">
        <f>IF($D9="",0,$E9*INDEX(Aux_HH!$E$4:$E$31,MATCH($A9&amp;"|"&amp;$D9,Aux_HH!$A$4:$A$31,0)))</f>
        <v>0</v>
      </c>
      <c r="I9">
        <f>IF($D9="",0,$E9*INDEX(Aux_HH!$F$4:$F$31,MATCH($A9&amp;"|"&amp;$D9,Aux_HH!$A$4:$A$31,0)))</f>
        <v>0</v>
      </c>
      <c r="J9">
        <f>IF($D9="",0,$E9*INDEX(Aux_HH!$G$4:$G$31,MATCH($A9&amp;"|"&amp;$D9,Aux_HH!$A$4:$A$31,0)))</f>
        <v>0</v>
      </c>
      <c r="K9">
        <f>IF($D9="",0,$E9*INDEX(Aux_HH!$H$4:$H$31,MATCH($A9&amp;"|"&amp;$D9,Aux_HH!$A$4:$A$31,0)))</f>
        <v>0</v>
      </c>
      <c r="L9">
        <f>IF($D9="",0,$E9*INDEX(Aux_HH!$I$4:$I$31,MATCH($A9&amp;"|"&amp;$D9,Aux_HH!$A$4:$A$31,0)))</f>
        <v>0</v>
      </c>
    </row>
    <row r="10" spans="1:12" ht="15" customHeight="1" x14ac:dyDescent="0.4">
      <c r="A10" t="str">
        <f>Premissas!$A$39</f>
        <v>Colhedora</v>
      </c>
      <c r="B10">
        <v>7</v>
      </c>
      <c r="C10">
        <f>INDEX(Semanas!$E$3:$E$54,7)</f>
        <v>10</v>
      </c>
      <c r="D10" t="str">
        <f>Cronograma!H5</f>
        <v/>
      </c>
      <c r="E10">
        <f>Premissas!$I$39</f>
        <v>8</v>
      </c>
      <c r="F10">
        <f t="shared" si="0"/>
        <v>0</v>
      </c>
      <c r="G10">
        <f>IF($D10="",0,$E10*INDEX(Aux_HH!$D$4:$D$31,MATCH($A10&amp;"|"&amp;$D10,Aux_HH!$A$4:$A$31,0)))</f>
        <v>0</v>
      </c>
      <c r="H10">
        <f>IF($D10="",0,$E10*INDEX(Aux_HH!$E$4:$E$31,MATCH($A10&amp;"|"&amp;$D10,Aux_HH!$A$4:$A$31,0)))</f>
        <v>0</v>
      </c>
      <c r="I10">
        <f>IF($D10="",0,$E10*INDEX(Aux_HH!$F$4:$F$31,MATCH($A10&amp;"|"&amp;$D10,Aux_HH!$A$4:$A$31,0)))</f>
        <v>0</v>
      </c>
      <c r="J10">
        <f>IF($D10="",0,$E10*INDEX(Aux_HH!$G$4:$G$31,MATCH($A10&amp;"|"&amp;$D10,Aux_HH!$A$4:$A$31,0)))</f>
        <v>0</v>
      </c>
      <c r="K10">
        <f>IF($D10="",0,$E10*INDEX(Aux_HH!$H$4:$H$31,MATCH($A10&amp;"|"&amp;$D10,Aux_HH!$A$4:$A$31,0)))</f>
        <v>0</v>
      </c>
      <c r="L10">
        <f>IF($D10="",0,$E10*INDEX(Aux_HH!$I$4:$I$31,MATCH($A10&amp;"|"&amp;$D10,Aux_HH!$A$4:$A$31,0)))</f>
        <v>0</v>
      </c>
    </row>
    <row r="11" spans="1:12" ht="15" customHeight="1" x14ac:dyDescent="0.4">
      <c r="A11" t="str">
        <f>Premissas!$A$39</f>
        <v>Colhedora</v>
      </c>
      <c r="B11">
        <v>8</v>
      </c>
      <c r="C11">
        <f>INDEX(Semanas!$E$3:$E$54,8)</f>
        <v>10</v>
      </c>
      <c r="D11" t="str">
        <f>Cronograma!I5</f>
        <v>S</v>
      </c>
      <c r="E11">
        <f>Premissas!$I$39</f>
        <v>8</v>
      </c>
      <c r="F11">
        <f t="shared" si="0"/>
        <v>8</v>
      </c>
      <c r="G11">
        <f>IF($D11="",0,$E11*INDEX(Aux_HH!$D$4:$D$31,MATCH($A11&amp;"|"&amp;$D11,Aux_HH!$A$4:$A$31,0)))</f>
        <v>24</v>
      </c>
      <c r="H11">
        <f>IF($D11="",0,$E11*INDEX(Aux_HH!$E$4:$E$31,MATCH($A11&amp;"|"&amp;$D11,Aux_HH!$A$4:$A$31,0)))</f>
        <v>0</v>
      </c>
      <c r="I11">
        <f>IF($D11="",0,$E11*INDEX(Aux_HH!$F$4:$F$31,MATCH($A11&amp;"|"&amp;$D11,Aux_HH!$A$4:$A$31,0)))</f>
        <v>0</v>
      </c>
      <c r="J11">
        <f>IF($D11="",0,$E11*INDEX(Aux_HH!$G$4:$G$31,MATCH($A11&amp;"|"&amp;$D11,Aux_HH!$A$4:$A$31,0)))</f>
        <v>0</v>
      </c>
      <c r="K11">
        <f>IF($D11="",0,$E11*INDEX(Aux_HH!$H$4:$H$31,MATCH($A11&amp;"|"&amp;$D11,Aux_HH!$A$4:$A$31,0)))</f>
        <v>0</v>
      </c>
      <c r="L11">
        <f>IF($D11="",0,$E11*INDEX(Aux_HH!$I$4:$I$31,MATCH($A11&amp;"|"&amp;$D11,Aux_HH!$A$4:$A$31,0)))</f>
        <v>0</v>
      </c>
    </row>
    <row r="12" spans="1:12" ht="15" customHeight="1" x14ac:dyDescent="0.4">
      <c r="A12" t="str">
        <f>Premissas!$A$39</f>
        <v>Colhedora</v>
      </c>
      <c r="B12">
        <v>9</v>
      </c>
      <c r="C12">
        <f>INDEX(Semanas!$E$3:$E$54,9)</f>
        <v>10</v>
      </c>
      <c r="D12" t="str">
        <f>Cronograma!J5</f>
        <v/>
      </c>
      <c r="E12">
        <f>Premissas!$I$39</f>
        <v>8</v>
      </c>
      <c r="F12">
        <f t="shared" si="0"/>
        <v>0</v>
      </c>
      <c r="G12">
        <f>IF($D12="",0,$E12*INDEX(Aux_HH!$D$4:$D$31,MATCH($A12&amp;"|"&amp;$D12,Aux_HH!$A$4:$A$31,0)))</f>
        <v>0</v>
      </c>
      <c r="H12">
        <f>IF($D12="",0,$E12*INDEX(Aux_HH!$E$4:$E$31,MATCH($A12&amp;"|"&amp;$D12,Aux_HH!$A$4:$A$31,0)))</f>
        <v>0</v>
      </c>
      <c r="I12">
        <f>IF($D12="",0,$E12*INDEX(Aux_HH!$F$4:$F$31,MATCH($A12&amp;"|"&amp;$D12,Aux_HH!$A$4:$A$31,0)))</f>
        <v>0</v>
      </c>
      <c r="J12">
        <f>IF($D12="",0,$E12*INDEX(Aux_HH!$G$4:$G$31,MATCH($A12&amp;"|"&amp;$D12,Aux_HH!$A$4:$A$31,0)))</f>
        <v>0</v>
      </c>
      <c r="K12">
        <f>IF($D12="",0,$E12*INDEX(Aux_HH!$H$4:$H$31,MATCH($A12&amp;"|"&amp;$D12,Aux_HH!$A$4:$A$31,0)))</f>
        <v>0</v>
      </c>
      <c r="L12">
        <f>IF($D12="",0,$E12*INDEX(Aux_HH!$I$4:$I$31,MATCH($A12&amp;"|"&amp;$D12,Aux_HH!$A$4:$A$31,0)))</f>
        <v>0</v>
      </c>
    </row>
    <row r="13" spans="1:12" ht="15" customHeight="1" x14ac:dyDescent="0.4">
      <c r="A13" t="str">
        <f>Premissas!$A$39</f>
        <v>Colhedora</v>
      </c>
      <c r="B13">
        <v>10</v>
      </c>
      <c r="C13">
        <f>INDEX(Semanas!$E$3:$E$54,10)</f>
        <v>11</v>
      </c>
      <c r="D13" t="str">
        <f>Cronograma!K5</f>
        <v>B</v>
      </c>
      <c r="E13">
        <f>Premissas!$I$39</f>
        <v>8</v>
      </c>
      <c r="F13">
        <f t="shared" si="0"/>
        <v>8</v>
      </c>
      <c r="G13">
        <f>IF($D13="",0,$E13*INDEX(Aux_HH!$D$4:$D$31,MATCH($A13&amp;"|"&amp;$D13,Aux_HH!$A$4:$A$31,0)))</f>
        <v>96</v>
      </c>
      <c r="H13">
        <f>IF($D13="",0,$E13*INDEX(Aux_HH!$E$4:$E$31,MATCH($A13&amp;"|"&amp;$D13,Aux_HH!$A$4:$A$31,0)))</f>
        <v>0</v>
      </c>
      <c r="I13">
        <f>IF($D13="",0,$E13*INDEX(Aux_HH!$F$4:$F$31,MATCH($A13&amp;"|"&amp;$D13,Aux_HH!$A$4:$A$31,0)))</f>
        <v>0</v>
      </c>
      <c r="J13">
        <f>IF($D13="",0,$E13*INDEX(Aux_HH!$G$4:$G$31,MATCH($A13&amp;"|"&amp;$D13,Aux_HH!$A$4:$A$31,0)))</f>
        <v>0</v>
      </c>
      <c r="K13">
        <f>IF($D13="",0,$E13*INDEX(Aux_HH!$H$4:$H$31,MATCH($A13&amp;"|"&amp;$D13,Aux_HH!$A$4:$A$31,0)))</f>
        <v>0</v>
      </c>
      <c r="L13">
        <f>IF($D13="",0,$E13*INDEX(Aux_HH!$I$4:$I$31,MATCH($A13&amp;"|"&amp;$D13,Aux_HH!$A$4:$A$31,0)))</f>
        <v>0</v>
      </c>
    </row>
    <row r="14" spans="1:12" ht="15" customHeight="1" x14ac:dyDescent="0.4">
      <c r="A14" t="str">
        <f>Premissas!$A$39</f>
        <v>Colhedora</v>
      </c>
      <c r="B14">
        <v>11</v>
      </c>
      <c r="C14">
        <f>INDEX(Semanas!$E$3:$E$54,11)</f>
        <v>11</v>
      </c>
      <c r="D14" t="str">
        <f>Cronograma!L5</f>
        <v/>
      </c>
      <c r="E14">
        <f>Premissas!$I$39</f>
        <v>8</v>
      </c>
      <c r="F14">
        <f t="shared" si="0"/>
        <v>0</v>
      </c>
      <c r="G14">
        <f>IF($D14="",0,$E14*INDEX(Aux_HH!$D$4:$D$31,MATCH($A14&amp;"|"&amp;$D14,Aux_HH!$A$4:$A$31,0)))</f>
        <v>0</v>
      </c>
      <c r="H14">
        <f>IF($D14="",0,$E14*INDEX(Aux_HH!$E$4:$E$31,MATCH($A14&amp;"|"&amp;$D14,Aux_HH!$A$4:$A$31,0)))</f>
        <v>0</v>
      </c>
      <c r="I14">
        <f>IF($D14="",0,$E14*INDEX(Aux_HH!$F$4:$F$31,MATCH($A14&amp;"|"&amp;$D14,Aux_HH!$A$4:$A$31,0)))</f>
        <v>0</v>
      </c>
      <c r="J14">
        <f>IF($D14="",0,$E14*INDEX(Aux_HH!$G$4:$G$31,MATCH($A14&amp;"|"&amp;$D14,Aux_HH!$A$4:$A$31,0)))</f>
        <v>0</v>
      </c>
      <c r="K14">
        <f>IF($D14="",0,$E14*INDEX(Aux_HH!$H$4:$H$31,MATCH($A14&amp;"|"&amp;$D14,Aux_HH!$A$4:$A$31,0)))</f>
        <v>0</v>
      </c>
      <c r="L14">
        <f>IF($D14="",0,$E14*INDEX(Aux_HH!$I$4:$I$31,MATCH($A14&amp;"|"&amp;$D14,Aux_HH!$A$4:$A$31,0)))</f>
        <v>0</v>
      </c>
    </row>
    <row r="15" spans="1:12" ht="15" customHeight="1" x14ac:dyDescent="0.4">
      <c r="A15" t="str">
        <f>Premissas!$A$39</f>
        <v>Colhedora</v>
      </c>
      <c r="B15">
        <v>12</v>
      </c>
      <c r="C15">
        <f>INDEX(Semanas!$E$3:$E$54,12)</f>
        <v>11</v>
      </c>
      <c r="D15" t="str">
        <f>Cronograma!M5</f>
        <v/>
      </c>
      <c r="E15">
        <f>Premissas!$I$39</f>
        <v>8</v>
      </c>
      <c r="F15">
        <f t="shared" si="0"/>
        <v>0</v>
      </c>
      <c r="G15">
        <f>IF($D15="",0,$E15*INDEX(Aux_HH!$D$4:$D$31,MATCH($A15&amp;"|"&amp;$D15,Aux_HH!$A$4:$A$31,0)))</f>
        <v>0</v>
      </c>
      <c r="H15">
        <f>IF($D15="",0,$E15*INDEX(Aux_HH!$E$4:$E$31,MATCH($A15&amp;"|"&amp;$D15,Aux_HH!$A$4:$A$31,0)))</f>
        <v>0</v>
      </c>
      <c r="I15">
        <f>IF($D15="",0,$E15*INDEX(Aux_HH!$F$4:$F$31,MATCH($A15&amp;"|"&amp;$D15,Aux_HH!$A$4:$A$31,0)))</f>
        <v>0</v>
      </c>
      <c r="J15">
        <f>IF($D15="",0,$E15*INDEX(Aux_HH!$G$4:$G$31,MATCH($A15&amp;"|"&amp;$D15,Aux_HH!$A$4:$A$31,0)))</f>
        <v>0</v>
      </c>
      <c r="K15">
        <f>IF($D15="",0,$E15*INDEX(Aux_HH!$H$4:$H$31,MATCH($A15&amp;"|"&amp;$D15,Aux_HH!$A$4:$A$31,0)))</f>
        <v>0</v>
      </c>
      <c r="L15">
        <f>IF($D15="",0,$E15*INDEX(Aux_HH!$I$4:$I$31,MATCH($A15&amp;"|"&amp;$D15,Aux_HH!$A$4:$A$31,0)))</f>
        <v>0</v>
      </c>
    </row>
    <row r="16" spans="1:12" ht="15" customHeight="1" x14ac:dyDescent="0.4">
      <c r="A16" t="str">
        <f>Premissas!$A$39</f>
        <v>Colhedora</v>
      </c>
      <c r="B16">
        <v>13</v>
      </c>
      <c r="C16">
        <f>INDEX(Semanas!$E$3:$E$54,13)</f>
        <v>11</v>
      </c>
      <c r="D16" t="str">
        <f>Cronograma!N5</f>
        <v>S</v>
      </c>
      <c r="E16">
        <f>Premissas!$I$39</f>
        <v>8</v>
      </c>
      <c r="F16">
        <f t="shared" si="0"/>
        <v>8</v>
      </c>
      <c r="G16">
        <f>IF($D16="",0,$E16*INDEX(Aux_HH!$D$4:$D$31,MATCH($A16&amp;"|"&amp;$D16,Aux_HH!$A$4:$A$31,0)))</f>
        <v>24</v>
      </c>
      <c r="H16">
        <f>IF($D16="",0,$E16*INDEX(Aux_HH!$E$4:$E$31,MATCH($A16&amp;"|"&amp;$D16,Aux_HH!$A$4:$A$31,0)))</f>
        <v>0</v>
      </c>
      <c r="I16">
        <f>IF($D16="",0,$E16*INDEX(Aux_HH!$F$4:$F$31,MATCH($A16&amp;"|"&amp;$D16,Aux_HH!$A$4:$A$31,0)))</f>
        <v>0</v>
      </c>
      <c r="J16">
        <f>IF($D16="",0,$E16*INDEX(Aux_HH!$G$4:$G$31,MATCH($A16&amp;"|"&amp;$D16,Aux_HH!$A$4:$A$31,0)))</f>
        <v>0</v>
      </c>
      <c r="K16">
        <f>IF($D16="",0,$E16*INDEX(Aux_HH!$H$4:$H$31,MATCH($A16&amp;"|"&amp;$D16,Aux_HH!$A$4:$A$31,0)))</f>
        <v>0</v>
      </c>
      <c r="L16">
        <f>IF($D16="",0,$E16*INDEX(Aux_HH!$I$4:$I$31,MATCH($A16&amp;"|"&amp;$D16,Aux_HH!$A$4:$A$31,0)))</f>
        <v>0</v>
      </c>
    </row>
    <row r="17" spans="1:12" ht="15" customHeight="1" x14ac:dyDescent="0.4">
      <c r="A17" t="str">
        <f>Premissas!$A$39</f>
        <v>Colhedora</v>
      </c>
      <c r="B17">
        <v>14</v>
      </c>
      <c r="C17">
        <f>INDEX(Semanas!$E$3:$E$54,14)</f>
        <v>12</v>
      </c>
      <c r="D17" t="str">
        <f>Cronograma!O5</f>
        <v/>
      </c>
      <c r="E17">
        <f>Premissas!$I$39</f>
        <v>8</v>
      </c>
      <c r="F17">
        <f t="shared" si="0"/>
        <v>0</v>
      </c>
      <c r="G17">
        <f>IF($D17="",0,$E17*INDEX(Aux_HH!$D$4:$D$31,MATCH($A17&amp;"|"&amp;$D17,Aux_HH!$A$4:$A$31,0)))</f>
        <v>0</v>
      </c>
      <c r="H17">
        <f>IF($D17="",0,$E17*INDEX(Aux_HH!$E$4:$E$31,MATCH($A17&amp;"|"&amp;$D17,Aux_HH!$A$4:$A$31,0)))</f>
        <v>0</v>
      </c>
      <c r="I17">
        <f>IF($D17="",0,$E17*INDEX(Aux_HH!$F$4:$F$31,MATCH($A17&amp;"|"&amp;$D17,Aux_HH!$A$4:$A$31,0)))</f>
        <v>0</v>
      </c>
      <c r="J17">
        <f>IF($D17="",0,$E17*INDEX(Aux_HH!$G$4:$G$31,MATCH($A17&amp;"|"&amp;$D17,Aux_HH!$A$4:$A$31,0)))</f>
        <v>0</v>
      </c>
      <c r="K17">
        <f>IF($D17="",0,$E17*INDEX(Aux_HH!$H$4:$H$31,MATCH($A17&amp;"|"&amp;$D17,Aux_HH!$A$4:$A$31,0)))</f>
        <v>0</v>
      </c>
      <c r="L17">
        <f>IF($D17="",0,$E17*INDEX(Aux_HH!$I$4:$I$31,MATCH($A17&amp;"|"&amp;$D17,Aux_HH!$A$4:$A$31,0)))</f>
        <v>0</v>
      </c>
    </row>
    <row r="18" spans="1:12" ht="15" customHeight="1" x14ac:dyDescent="0.4">
      <c r="A18" t="str">
        <f>Premissas!$A$39</f>
        <v>Colhedora</v>
      </c>
      <c r="B18">
        <v>15</v>
      </c>
      <c r="C18">
        <f>INDEX(Semanas!$E$3:$E$54,15)</f>
        <v>12</v>
      </c>
      <c r="D18" t="str">
        <f>Cronograma!P5</f>
        <v>A</v>
      </c>
      <c r="E18">
        <f>Premissas!$I$39</f>
        <v>8</v>
      </c>
      <c r="F18">
        <f t="shared" si="0"/>
        <v>8</v>
      </c>
      <c r="G18">
        <f>IF($D18="",0,$E18*INDEX(Aux_HH!$D$4:$D$31,MATCH($A18&amp;"|"&amp;$D18,Aux_HH!$A$4:$A$31,0)))</f>
        <v>48</v>
      </c>
      <c r="H18">
        <f>IF($D18="",0,$E18*INDEX(Aux_HH!$E$4:$E$31,MATCH($A18&amp;"|"&amp;$D18,Aux_HH!$A$4:$A$31,0)))</f>
        <v>0</v>
      </c>
      <c r="I18">
        <f>IF($D18="",0,$E18*INDEX(Aux_HH!$F$4:$F$31,MATCH($A18&amp;"|"&amp;$D18,Aux_HH!$A$4:$A$31,0)))</f>
        <v>0</v>
      </c>
      <c r="J18">
        <f>IF($D18="",0,$E18*INDEX(Aux_HH!$G$4:$G$31,MATCH($A18&amp;"|"&amp;$D18,Aux_HH!$A$4:$A$31,0)))</f>
        <v>0</v>
      </c>
      <c r="K18">
        <f>IF($D18="",0,$E18*INDEX(Aux_HH!$H$4:$H$31,MATCH($A18&amp;"|"&amp;$D18,Aux_HH!$A$4:$A$31,0)))</f>
        <v>0</v>
      </c>
      <c r="L18">
        <f>IF($D18="",0,$E18*INDEX(Aux_HH!$I$4:$I$31,MATCH($A18&amp;"|"&amp;$D18,Aux_HH!$A$4:$A$31,0)))</f>
        <v>0</v>
      </c>
    </row>
    <row r="19" spans="1:12" ht="15" customHeight="1" x14ac:dyDescent="0.4">
      <c r="A19" t="str">
        <f>Premissas!$A$39</f>
        <v>Colhedora</v>
      </c>
      <c r="B19">
        <v>16</v>
      </c>
      <c r="C19">
        <f>INDEX(Semanas!$E$3:$E$54,16)</f>
        <v>12</v>
      </c>
      <c r="D19" t="str">
        <f>Cronograma!Q5</f>
        <v/>
      </c>
      <c r="E19">
        <f>Premissas!$I$39</f>
        <v>8</v>
      </c>
      <c r="F19">
        <f t="shared" si="0"/>
        <v>0</v>
      </c>
      <c r="G19">
        <f>IF($D19="",0,$E19*INDEX(Aux_HH!$D$4:$D$31,MATCH($A19&amp;"|"&amp;$D19,Aux_HH!$A$4:$A$31,0)))</f>
        <v>0</v>
      </c>
      <c r="H19">
        <f>IF($D19="",0,$E19*INDEX(Aux_HH!$E$4:$E$31,MATCH($A19&amp;"|"&amp;$D19,Aux_HH!$A$4:$A$31,0)))</f>
        <v>0</v>
      </c>
      <c r="I19">
        <f>IF($D19="",0,$E19*INDEX(Aux_HH!$F$4:$F$31,MATCH($A19&amp;"|"&amp;$D19,Aux_HH!$A$4:$A$31,0)))</f>
        <v>0</v>
      </c>
      <c r="J19">
        <f>IF($D19="",0,$E19*INDEX(Aux_HH!$G$4:$G$31,MATCH($A19&amp;"|"&amp;$D19,Aux_HH!$A$4:$A$31,0)))</f>
        <v>0</v>
      </c>
      <c r="K19">
        <f>IF($D19="",0,$E19*INDEX(Aux_HH!$H$4:$H$31,MATCH($A19&amp;"|"&amp;$D19,Aux_HH!$A$4:$A$31,0)))</f>
        <v>0</v>
      </c>
      <c r="L19">
        <f>IF($D19="",0,$E19*INDEX(Aux_HH!$I$4:$I$31,MATCH($A19&amp;"|"&amp;$D19,Aux_HH!$A$4:$A$31,0)))</f>
        <v>0</v>
      </c>
    </row>
    <row r="20" spans="1:12" ht="15" customHeight="1" x14ac:dyDescent="0.4">
      <c r="A20" t="str">
        <f>Premissas!$A$39</f>
        <v>Colhedora</v>
      </c>
      <c r="B20">
        <v>17</v>
      </c>
      <c r="C20">
        <f>INDEX(Semanas!$E$3:$E$54,17)</f>
        <v>12</v>
      </c>
      <c r="D20" t="str">
        <f>Cronograma!R5</f>
        <v/>
      </c>
      <c r="E20">
        <f>Premissas!$I$39</f>
        <v>8</v>
      </c>
      <c r="F20">
        <f t="shared" si="0"/>
        <v>0</v>
      </c>
      <c r="G20">
        <f>IF($D20="",0,$E20*INDEX(Aux_HH!$D$4:$D$31,MATCH($A20&amp;"|"&amp;$D20,Aux_HH!$A$4:$A$31,0)))</f>
        <v>0</v>
      </c>
      <c r="H20">
        <f>IF($D20="",0,$E20*INDEX(Aux_HH!$E$4:$E$31,MATCH($A20&amp;"|"&amp;$D20,Aux_HH!$A$4:$A$31,0)))</f>
        <v>0</v>
      </c>
      <c r="I20">
        <f>IF($D20="",0,$E20*INDEX(Aux_HH!$F$4:$F$31,MATCH($A20&amp;"|"&amp;$D20,Aux_HH!$A$4:$A$31,0)))</f>
        <v>0</v>
      </c>
      <c r="J20">
        <f>IF($D20="",0,$E20*INDEX(Aux_HH!$G$4:$G$31,MATCH($A20&amp;"|"&amp;$D20,Aux_HH!$A$4:$A$31,0)))</f>
        <v>0</v>
      </c>
      <c r="K20">
        <f>IF($D20="",0,$E20*INDEX(Aux_HH!$H$4:$H$31,MATCH($A20&amp;"|"&amp;$D20,Aux_HH!$A$4:$A$31,0)))</f>
        <v>0</v>
      </c>
      <c r="L20">
        <f>IF($D20="",0,$E20*INDEX(Aux_HH!$I$4:$I$31,MATCH($A20&amp;"|"&amp;$D20,Aux_HH!$A$4:$A$31,0)))</f>
        <v>0</v>
      </c>
    </row>
    <row r="21" spans="1:12" ht="15" customHeight="1" x14ac:dyDescent="0.4">
      <c r="A21" t="str">
        <f>Premissas!$A$39</f>
        <v>Colhedora</v>
      </c>
      <c r="B21">
        <v>18</v>
      </c>
      <c r="C21">
        <f>INDEX(Semanas!$E$3:$E$54,18)</f>
        <v>12</v>
      </c>
      <c r="D21" t="str">
        <f>Cronograma!S5</f>
        <v>S</v>
      </c>
      <c r="E21">
        <f>Premissas!$I$39</f>
        <v>8</v>
      </c>
      <c r="F21">
        <f t="shared" si="0"/>
        <v>8</v>
      </c>
      <c r="G21">
        <f>IF($D21="",0,$E21*INDEX(Aux_HH!$D$4:$D$31,MATCH($A21&amp;"|"&amp;$D21,Aux_HH!$A$4:$A$31,0)))</f>
        <v>24</v>
      </c>
      <c r="H21">
        <f>IF($D21="",0,$E21*INDEX(Aux_HH!$E$4:$E$31,MATCH($A21&amp;"|"&amp;$D21,Aux_HH!$A$4:$A$31,0)))</f>
        <v>0</v>
      </c>
      <c r="I21">
        <f>IF($D21="",0,$E21*INDEX(Aux_HH!$F$4:$F$31,MATCH($A21&amp;"|"&amp;$D21,Aux_HH!$A$4:$A$31,0)))</f>
        <v>0</v>
      </c>
      <c r="J21">
        <f>IF($D21="",0,$E21*INDEX(Aux_HH!$G$4:$G$31,MATCH($A21&amp;"|"&amp;$D21,Aux_HH!$A$4:$A$31,0)))</f>
        <v>0</v>
      </c>
      <c r="K21">
        <f>IF($D21="",0,$E21*INDEX(Aux_HH!$H$4:$H$31,MATCH($A21&amp;"|"&amp;$D21,Aux_HH!$A$4:$A$31,0)))</f>
        <v>0</v>
      </c>
      <c r="L21">
        <f>IF($D21="",0,$E21*INDEX(Aux_HH!$I$4:$I$31,MATCH($A21&amp;"|"&amp;$D21,Aux_HH!$A$4:$A$31,0)))</f>
        <v>0</v>
      </c>
    </row>
    <row r="22" spans="1:12" ht="15" customHeight="1" x14ac:dyDescent="0.4">
      <c r="A22" t="str">
        <f>Premissas!$A$39</f>
        <v>Colhedora</v>
      </c>
      <c r="B22">
        <v>19</v>
      </c>
      <c r="C22">
        <f>INDEX(Semanas!$E$3:$E$54,19)</f>
        <v>1</v>
      </c>
      <c r="D22" t="str">
        <f>Cronograma!T5</f>
        <v/>
      </c>
      <c r="E22">
        <f>Premissas!$I$39</f>
        <v>8</v>
      </c>
      <c r="F22">
        <f t="shared" si="0"/>
        <v>0</v>
      </c>
      <c r="G22">
        <f>IF($D22="",0,$E22*INDEX(Aux_HH!$D$4:$D$31,MATCH($A22&amp;"|"&amp;$D22,Aux_HH!$A$4:$A$31,0)))</f>
        <v>0</v>
      </c>
      <c r="H22">
        <f>IF($D22="",0,$E22*INDEX(Aux_HH!$E$4:$E$31,MATCH($A22&amp;"|"&amp;$D22,Aux_HH!$A$4:$A$31,0)))</f>
        <v>0</v>
      </c>
      <c r="I22">
        <f>IF($D22="",0,$E22*INDEX(Aux_HH!$F$4:$F$31,MATCH($A22&amp;"|"&amp;$D22,Aux_HH!$A$4:$A$31,0)))</f>
        <v>0</v>
      </c>
      <c r="J22">
        <f>IF($D22="",0,$E22*INDEX(Aux_HH!$G$4:$G$31,MATCH($A22&amp;"|"&amp;$D22,Aux_HH!$A$4:$A$31,0)))</f>
        <v>0</v>
      </c>
      <c r="K22">
        <f>IF($D22="",0,$E22*INDEX(Aux_HH!$H$4:$H$31,MATCH($A22&amp;"|"&amp;$D22,Aux_HH!$A$4:$A$31,0)))</f>
        <v>0</v>
      </c>
      <c r="L22">
        <f>IF($D22="",0,$E22*INDEX(Aux_HH!$I$4:$I$31,MATCH($A22&amp;"|"&amp;$D22,Aux_HH!$A$4:$A$31,0)))</f>
        <v>0</v>
      </c>
    </row>
    <row r="23" spans="1:12" ht="15" customHeight="1" x14ac:dyDescent="0.4">
      <c r="A23" t="str">
        <f>Premissas!$A$39</f>
        <v>Colhedora</v>
      </c>
      <c r="B23">
        <v>20</v>
      </c>
      <c r="C23">
        <f>INDEX(Semanas!$E$3:$E$54,20)</f>
        <v>1</v>
      </c>
      <c r="D23" t="str">
        <f>Cronograma!U5</f>
        <v>C</v>
      </c>
      <c r="E23">
        <f>Premissas!$I$39</f>
        <v>8</v>
      </c>
      <c r="F23">
        <f t="shared" si="0"/>
        <v>8</v>
      </c>
      <c r="G23">
        <f>IF($D23="",0,$E23*INDEX(Aux_HH!$D$4:$D$31,MATCH($A23&amp;"|"&amp;$D23,Aux_HH!$A$4:$A$31,0)))</f>
        <v>192</v>
      </c>
      <c r="H23">
        <f>IF($D23="",0,$E23*INDEX(Aux_HH!$E$4:$E$31,MATCH($A23&amp;"|"&amp;$D23,Aux_HH!$A$4:$A$31,0)))</f>
        <v>0</v>
      </c>
      <c r="I23">
        <f>IF($D23="",0,$E23*INDEX(Aux_HH!$F$4:$F$31,MATCH($A23&amp;"|"&amp;$D23,Aux_HH!$A$4:$A$31,0)))</f>
        <v>0</v>
      </c>
      <c r="J23">
        <f>IF($D23="",0,$E23*INDEX(Aux_HH!$G$4:$G$31,MATCH($A23&amp;"|"&amp;$D23,Aux_HH!$A$4:$A$31,0)))</f>
        <v>0</v>
      </c>
      <c r="K23">
        <f>IF($D23="",0,$E23*INDEX(Aux_HH!$H$4:$H$31,MATCH($A23&amp;"|"&amp;$D23,Aux_HH!$A$4:$A$31,0)))</f>
        <v>0</v>
      </c>
      <c r="L23">
        <f>IF($D23="",0,$E23*INDEX(Aux_HH!$I$4:$I$31,MATCH($A23&amp;"|"&amp;$D23,Aux_HH!$A$4:$A$31,0)))</f>
        <v>0</v>
      </c>
    </row>
    <row r="24" spans="1:12" ht="15" customHeight="1" x14ac:dyDescent="0.4">
      <c r="A24" t="str">
        <f>Premissas!$A$39</f>
        <v>Colhedora</v>
      </c>
      <c r="B24">
        <v>21</v>
      </c>
      <c r="C24">
        <f>INDEX(Semanas!$E$3:$E$54,21)</f>
        <v>1</v>
      </c>
      <c r="D24" t="str">
        <f>Cronograma!V5</f>
        <v/>
      </c>
      <c r="E24">
        <f>Premissas!$I$39</f>
        <v>8</v>
      </c>
      <c r="F24">
        <f t="shared" si="0"/>
        <v>0</v>
      </c>
      <c r="G24">
        <f>IF($D24="",0,$E24*INDEX(Aux_HH!$D$4:$D$31,MATCH($A24&amp;"|"&amp;$D24,Aux_HH!$A$4:$A$31,0)))</f>
        <v>0</v>
      </c>
      <c r="H24">
        <f>IF($D24="",0,$E24*INDEX(Aux_HH!$E$4:$E$31,MATCH($A24&amp;"|"&amp;$D24,Aux_HH!$A$4:$A$31,0)))</f>
        <v>0</v>
      </c>
      <c r="I24">
        <f>IF($D24="",0,$E24*INDEX(Aux_HH!$F$4:$F$31,MATCH($A24&amp;"|"&amp;$D24,Aux_HH!$A$4:$A$31,0)))</f>
        <v>0</v>
      </c>
      <c r="J24">
        <f>IF($D24="",0,$E24*INDEX(Aux_HH!$G$4:$G$31,MATCH($A24&amp;"|"&amp;$D24,Aux_HH!$A$4:$A$31,0)))</f>
        <v>0</v>
      </c>
      <c r="K24">
        <f>IF($D24="",0,$E24*INDEX(Aux_HH!$H$4:$H$31,MATCH($A24&amp;"|"&amp;$D24,Aux_HH!$A$4:$A$31,0)))</f>
        <v>0</v>
      </c>
      <c r="L24">
        <f>IF($D24="",0,$E24*INDEX(Aux_HH!$I$4:$I$31,MATCH($A24&amp;"|"&amp;$D24,Aux_HH!$A$4:$A$31,0)))</f>
        <v>0</v>
      </c>
    </row>
    <row r="25" spans="1:12" ht="15" customHeight="1" x14ac:dyDescent="0.4">
      <c r="A25" t="str">
        <f>Premissas!$A$39</f>
        <v>Colhedora</v>
      </c>
      <c r="B25">
        <v>22</v>
      </c>
      <c r="C25">
        <f>INDEX(Semanas!$E$3:$E$54,22)</f>
        <v>1</v>
      </c>
      <c r="D25" t="str">
        <f>Cronograma!W5</f>
        <v/>
      </c>
      <c r="E25">
        <f>Premissas!$I$39</f>
        <v>8</v>
      </c>
      <c r="F25">
        <f t="shared" si="0"/>
        <v>0</v>
      </c>
      <c r="G25">
        <f>IF($D25="",0,$E25*INDEX(Aux_HH!$D$4:$D$31,MATCH($A25&amp;"|"&amp;$D25,Aux_HH!$A$4:$A$31,0)))</f>
        <v>0</v>
      </c>
      <c r="H25">
        <f>IF($D25="",0,$E25*INDEX(Aux_HH!$E$4:$E$31,MATCH($A25&amp;"|"&amp;$D25,Aux_HH!$A$4:$A$31,0)))</f>
        <v>0</v>
      </c>
      <c r="I25">
        <f>IF($D25="",0,$E25*INDEX(Aux_HH!$F$4:$F$31,MATCH($A25&amp;"|"&amp;$D25,Aux_HH!$A$4:$A$31,0)))</f>
        <v>0</v>
      </c>
      <c r="J25">
        <f>IF($D25="",0,$E25*INDEX(Aux_HH!$G$4:$G$31,MATCH($A25&amp;"|"&amp;$D25,Aux_HH!$A$4:$A$31,0)))</f>
        <v>0</v>
      </c>
      <c r="K25">
        <f>IF($D25="",0,$E25*INDEX(Aux_HH!$H$4:$H$31,MATCH($A25&amp;"|"&amp;$D25,Aux_HH!$A$4:$A$31,0)))</f>
        <v>0</v>
      </c>
      <c r="L25">
        <f>IF($D25="",0,$E25*INDEX(Aux_HH!$I$4:$I$31,MATCH($A25&amp;"|"&amp;$D25,Aux_HH!$A$4:$A$31,0)))</f>
        <v>0</v>
      </c>
    </row>
    <row r="26" spans="1:12" ht="15" customHeight="1" x14ac:dyDescent="0.4">
      <c r="A26" t="str">
        <f>Premissas!$A$39</f>
        <v>Colhedora</v>
      </c>
      <c r="B26">
        <v>23</v>
      </c>
      <c r="C26">
        <f>INDEX(Semanas!$E$3:$E$54,23)</f>
        <v>2</v>
      </c>
      <c r="D26" t="str">
        <f>Cronograma!X5</f>
        <v>S</v>
      </c>
      <c r="E26">
        <f>Premissas!$I$39</f>
        <v>8</v>
      </c>
      <c r="F26">
        <f t="shared" si="0"/>
        <v>8</v>
      </c>
      <c r="G26">
        <f>IF($D26="",0,$E26*INDEX(Aux_HH!$D$4:$D$31,MATCH($A26&amp;"|"&amp;$D26,Aux_HH!$A$4:$A$31,0)))</f>
        <v>24</v>
      </c>
      <c r="H26">
        <f>IF($D26="",0,$E26*INDEX(Aux_HH!$E$4:$E$31,MATCH($A26&amp;"|"&amp;$D26,Aux_HH!$A$4:$A$31,0)))</f>
        <v>0</v>
      </c>
      <c r="I26">
        <f>IF($D26="",0,$E26*INDEX(Aux_HH!$F$4:$F$31,MATCH($A26&amp;"|"&amp;$D26,Aux_HH!$A$4:$A$31,0)))</f>
        <v>0</v>
      </c>
      <c r="J26">
        <f>IF($D26="",0,$E26*INDEX(Aux_HH!$G$4:$G$31,MATCH($A26&amp;"|"&amp;$D26,Aux_HH!$A$4:$A$31,0)))</f>
        <v>0</v>
      </c>
      <c r="K26">
        <f>IF($D26="",0,$E26*INDEX(Aux_HH!$H$4:$H$31,MATCH($A26&amp;"|"&amp;$D26,Aux_HH!$A$4:$A$31,0)))</f>
        <v>0</v>
      </c>
      <c r="L26">
        <f>IF($D26="",0,$E26*INDEX(Aux_HH!$I$4:$I$31,MATCH($A26&amp;"|"&amp;$D26,Aux_HH!$A$4:$A$31,0)))</f>
        <v>0</v>
      </c>
    </row>
    <row r="27" spans="1:12" ht="15" customHeight="1" x14ac:dyDescent="0.4">
      <c r="A27" t="str">
        <f>Premissas!$A$39</f>
        <v>Colhedora</v>
      </c>
      <c r="B27">
        <v>24</v>
      </c>
      <c r="C27">
        <f>INDEX(Semanas!$E$3:$E$54,24)</f>
        <v>2</v>
      </c>
      <c r="D27" t="str">
        <f>Cronograma!Y5</f>
        <v/>
      </c>
      <c r="E27">
        <f>Premissas!$I$39</f>
        <v>8</v>
      </c>
      <c r="F27">
        <f t="shared" si="0"/>
        <v>0</v>
      </c>
      <c r="G27">
        <f>IF($D27="",0,$E27*INDEX(Aux_HH!$D$4:$D$31,MATCH($A27&amp;"|"&amp;$D27,Aux_HH!$A$4:$A$31,0)))</f>
        <v>0</v>
      </c>
      <c r="H27">
        <f>IF($D27="",0,$E27*INDEX(Aux_HH!$E$4:$E$31,MATCH($A27&amp;"|"&amp;$D27,Aux_HH!$A$4:$A$31,0)))</f>
        <v>0</v>
      </c>
      <c r="I27">
        <f>IF($D27="",0,$E27*INDEX(Aux_HH!$F$4:$F$31,MATCH($A27&amp;"|"&amp;$D27,Aux_HH!$A$4:$A$31,0)))</f>
        <v>0</v>
      </c>
      <c r="J27">
        <f>IF($D27="",0,$E27*INDEX(Aux_HH!$G$4:$G$31,MATCH($A27&amp;"|"&amp;$D27,Aux_HH!$A$4:$A$31,0)))</f>
        <v>0</v>
      </c>
      <c r="K27">
        <f>IF($D27="",0,$E27*INDEX(Aux_HH!$H$4:$H$31,MATCH($A27&amp;"|"&amp;$D27,Aux_HH!$A$4:$A$31,0)))</f>
        <v>0</v>
      </c>
      <c r="L27">
        <f>IF($D27="",0,$E27*INDEX(Aux_HH!$I$4:$I$31,MATCH($A27&amp;"|"&amp;$D27,Aux_HH!$A$4:$A$31,0)))</f>
        <v>0</v>
      </c>
    </row>
    <row r="28" spans="1:12" ht="15" customHeight="1" x14ac:dyDescent="0.4">
      <c r="A28" t="str">
        <f>Premissas!$A$39</f>
        <v>Colhedora</v>
      </c>
      <c r="B28">
        <v>25</v>
      </c>
      <c r="C28">
        <f>INDEX(Semanas!$E$3:$E$54,25)</f>
        <v>2</v>
      </c>
      <c r="D28" t="str">
        <f>Cronograma!Z5</f>
        <v>A</v>
      </c>
      <c r="E28">
        <f>Premissas!$I$39</f>
        <v>8</v>
      </c>
      <c r="F28">
        <f t="shared" si="0"/>
        <v>8</v>
      </c>
      <c r="G28">
        <f>IF($D28="",0,$E28*INDEX(Aux_HH!$D$4:$D$31,MATCH($A28&amp;"|"&amp;$D28,Aux_HH!$A$4:$A$31,0)))</f>
        <v>48</v>
      </c>
      <c r="H28">
        <f>IF($D28="",0,$E28*INDEX(Aux_HH!$E$4:$E$31,MATCH($A28&amp;"|"&amp;$D28,Aux_HH!$A$4:$A$31,0)))</f>
        <v>0</v>
      </c>
      <c r="I28">
        <f>IF($D28="",0,$E28*INDEX(Aux_HH!$F$4:$F$31,MATCH($A28&amp;"|"&amp;$D28,Aux_HH!$A$4:$A$31,0)))</f>
        <v>0</v>
      </c>
      <c r="J28">
        <f>IF($D28="",0,$E28*INDEX(Aux_HH!$G$4:$G$31,MATCH($A28&amp;"|"&amp;$D28,Aux_HH!$A$4:$A$31,0)))</f>
        <v>0</v>
      </c>
      <c r="K28">
        <f>IF($D28="",0,$E28*INDEX(Aux_HH!$H$4:$H$31,MATCH($A28&amp;"|"&amp;$D28,Aux_HH!$A$4:$A$31,0)))</f>
        <v>0</v>
      </c>
      <c r="L28">
        <f>IF($D28="",0,$E28*INDEX(Aux_HH!$I$4:$I$31,MATCH($A28&amp;"|"&amp;$D28,Aux_HH!$A$4:$A$31,0)))</f>
        <v>0</v>
      </c>
    </row>
    <row r="29" spans="1:12" ht="15" customHeight="1" x14ac:dyDescent="0.4">
      <c r="A29" t="str">
        <f>Premissas!$A$39</f>
        <v>Colhedora</v>
      </c>
      <c r="B29">
        <v>26</v>
      </c>
      <c r="C29">
        <f>INDEX(Semanas!$E$3:$E$54,26)</f>
        <v>2</v>
      </c>
      <c r="D29" t="str">
        <f>Cronograma!AA5</f>
        <v/>
      </c>
      <c r="E29">
        <f>Premissas!$I$39</f>
        <v>8</v>
      </c>
      <c r="F29">
        <f t="shared" si="0"/>
        <v>0</v>
      </c>
      <c r="G29">
        <f>IF($D29="",0,$E29*INDEX(Aux_HH!$D$4:$D$31,MATCH($A29&amp;"|"&amp;$D29,Aux_HH!$A$4:$A$31,0)))</f>
        <v>0</v>
      </c>
      <c r="H29">
        <f>IF($D29="",0,$E29*INDEX(Aux_HH!$E$4:$E$31,MATCH($A29&amp;"|"&amp;$D29,Aux_HH!$A$4:$A$31,0)))</f>
        <v>0</v>
      </c>
      <c r="I29">
        <f>IF($D29="",0,$E29*INDEX(Aux_HH!$F$4:$F$31,MATCH($A29&amp;"|"&amp;$D29,Aux_HH!$A$4:$A$31,0)))</f>
        <v>0</v>
      </c>
      <c r="J29">
        <f>IF($D29="",0,$E29*INDEX(Aux_HH!$G$4:$G$31,MATCH($A29&amp;"|"&amp;$D29,Aux_HH!$A$4:$A$31,0)))</f>
        <v>0</v>
      </c>
      <c r="K29">
        <f>IF($D29="",0,$E29*INDEX(Aux_HH!$H$4:$H$31,MATCH($A29&amp;"|"&amp;$D29,Aux_HH!$A$4:$A$31,0)))</f>
        <v>0</v>
      </c>
      <c r="L29">
        <f>IF($D29="",0,$E29*INDEX(Aux_HH!$I$4:$I$31,MATCH($A29&amp;"|"&amp;$D29,Aux_HH!$A$4:$A$31,0)))</f>
        <v>0</v>
      </c>
    </row>
    <row r="30" spans="1:12" ht="15" customHeight="1" x14ac:dyDescent="0.4">
      <c r="A30" t="str">
        <f>Premissas!$A$39</f>
        <v>Colhedora</v>
      </c>
      <c r="B30">
        <v>27</v>
      </c>
      <c r="C30">
        <f>INDEX(Semanas!$E$3:$E$54,27)</f>
        <v>3</v>
      </c>
      <c r="D30" t="str">
        <f>Cronograma!AB5</f>
        <v/>
      </c>
      <c r="E30">
        <f>Premissas!$I$39</f>
        <v>8</v>
      </c>
      <c r="F30">
        <f t="shared" si="0"/>
        <v>0</v>
      </c>
      <c r="G30">
        <f>IF($D30="",0,$E30*INDEX(Aux_HH!$D$4:$D$31,MATCH($A30&amp;"|"&amp;$D30,Aux_HH!$A$4:$A$31,0)))</f>
        <v>0</v>
      </c>
      <c r="H30">
        <f>IF($D30="",0,$E30*INDEX(Aux_HH!$E$4:$E$31,MATCH($A30&amp;"|"&amp;$D30,Aux_HH!$A$4:$A$31,0)))</f>
        <v>0</v>
      </c>
      <c r="I30">
        <f>IF($D30="",0,$E30*INDEX(Aux_HH!$F$4:$F$31,MATCH($A30&amp;"|"&amp;$D30,Aux_HH!$A$4:$A$31,0)))</f>
        <v>0</v>
      </c>
      <c r="J30">
        <f>IF($D30="",0,$E30*INDEX(Aux_HH!$G$4:$G$31,MATCH($A30&amp;"|"&amp;$D30,Aux_HH!$A$4:$A$31,0)))</f>
        <v>0</v>
      </c>
      <c r="K30">
        <f>IF($D30="",0,$E30*INDEX(Aux_HH!$H$4:$H$31,MATCH($A30&amp;"|"&amp;$D30,Aux_HH!$A$4:$A$31,0)))</f>
        <v>0</v>
      </c>
      <c r="L30">
        <f>IF($D30="",0,$E30*INDEX(Aux_HH!$I$4:$I$31,MATCH($A30&amp;"|"&amp;$D30,Aux_HH!$A$4:$A$31,0)))</f>
        <v>0</v>
      </c>
    </row>
    <row r="31" spans="1:12" ht="15" customHeight="1" x14ac:dyDescent="0.4">
      <c r="A31" t="str">
        <f>Premissas!$A$39</f>
        <v>Colhedora</v>
      </c>
      <c r="B31">
        <v>28</v>
      </c>
      <c r="C31">
        <f>INDEX(Semanas!$E$3:$E$54,28)</f>
        <v>3</v>
      </c>
      <c r="D31" t="str">
        <f>Cronograma!AC5</f>
        <v>S</v>
      </c>
      <c r="E31">
        <f>Premissas!$I$39</f>
        <v>8</v>
      </c>
      <c r="F31">
        <f t="shared" si="0"/>
        <v>8</v>
      </c>
      <c r="G31">
        <f>IF($D31="",0,$E31*INDEX(Aux_HH!$D$4:$D$31,MATCH($A31&amp;"|"&amp;$D31,Aux_HH!$A$4:$A$31,0)))</f>
        <v>24</v>
      </c>
      <c r="H31">
        <f>IF($D31="",0,$E31*INDEX(Aux_HH!$E$4:$E$31,MATCH($A31&amp;"|"&amp;$D31,Aux_HH!$A$4:$A$31,0)))</f>
        <v>0</v>
      </c>
      <c r="I31">
        <f>IF($D31="",0,$E31*INDEX(Aux_HH!$F$4:$F$31,MATCH($A31&amp;"|"&amp;$D31,Aux_HH!$A$4:$A$31,0)))</f>
        <v>0</v>
      </c>
      <c r="J31">
        <f>IF($D31="",0,$E31*INDEX(Aux_HH!$G$4:$G$31,MATCH($A31&amp;"|"&amp;$D31,Aux_HH!$A$4:$A$31,0)))</f>
        <v>0</v>
      </c>
      <c r="K31">
        <f>IF($D31="",0,$E31*INDEX(Aux_HH!$H$4:$H$31,MATCH($A31&amp;"|"&amp;$D31,Aux_HH!$A$4:$A$31,0)))</f>
        <v>0</v>
      </c>
      <c r="L31">
        <f>IF($D31="",0,$E31*INDEX(Aux_HH!$I$4:$I$31,MATCH($A31&amp;"|"&amp;$D31,Aux_HH!$A$4:$A$31,0)))</f>
        <v>0</v>
      </c>
    </row>
    <row r="32" spans="1:12" ht="15" customHeight="1" x14ac:dyDescent="0.4">
      <c r="A32" t="str">
        <f>Premissas!$A$39</f>
        <v>Colhedora</v>
      </c>
      <c r="B32">
        <v>29</v>
      </c>
      <c r="C32">
        <f>INDEX(Semanas!$E$3:$E$54,29)</f>
        <v>3</v>
      </c>
      <c r="D32" t="str">
        <f>Cronograma!AD5</f>
        <v/>
      </c>
      <c r="E32">
        <f>Premissas!$I$39</f>
        <v>8</v>
      </c>
      <c r="F32">
        <f t="shared" si="0"/>
        <v>0</v>
      </c>
      <c r="G32">
        <f>IF($D32="",0,$E32*INDEX(Aux_HH!$D$4:$D$31,MATCH($A32&amp;"|"&amp;$D32,Aux_HH!$A$4:$A$31,0)))</f>
        <v>0</v>
      </c>
      <c r="H32">
        <f>IF($D32="",0,$E32*INDEX(Aux_HH!$E$4:$E$31,MATCH($A32&amp;"|"&amp;$D32,Aux_HH!$A$4:$A$31,0)))</f>
        <v>0</v>
      </c>
      <c r="I32">
        <f>IF($D32="",0,$E32*INDEX(Aux_HH!$F$4:$F$31,MATCH($A32&amp;"|"&amp;$D32,Aux_HH!$A$4:$A$31,0)))</f>
        <v>0</v>
      </c>
      <c r="J32">
        <f>IF($D32="",0,$E32*INDEX(Aux_HH!$G$4:$G$31,MATCH($A32&amp;"|"&amp;$D32,Aux_HH!$A$4:$A$31,0)))</f>
        <v>0</v>
      </c>
      <c r="K32">
        <f>IF($D32="",0,$E32*INDEX(Aux_HH!$H$4:$H$31,MATCH($A32&amp;"|"&amp;$D32,Aux_HH!$A$4:$A$31,0)))</f>
        <v>0</v>
      </c>
      <c r="L32">
        <f>IF($D32="",0,$E32*INDEX(Aux_HH!$I$4:$I$31,MATCH($A32&amp;"|"&amp;$D32,Aux_HH!$A$4:$A$31,0)))</f>
        <v>0</v>
      </c>
    </row>
    <row r="33" spans="1:12" ht="15" customHeight="1" x14ac:dyDescent="0.4">
      <c r="A33" t="str">
        <f>Premissas!$A$39</f>
        <v>Colhedora</v>
      </c>
      <c r="B33">
        <v>30</v>
      </c>
      <c r="C33">
        <f>INDEX(Semanas!$E$3:$E$54,30)</f>
        <v>3</v>
      </c>
      <c r="D33" t="str">
        <f>Cronograma!AE5</f>
        <v>B</v>
      </c>
      <c r="E33">
        <f>Premissas!$I$39</f>
        <v>8</v>
      </c>
      <c r="F33">
        <f t="shared" si="0"/>
        <v>8</v>
      </c>
      <c r="G33">
        <f>IF($D33="",0,$E33*INDEX(Aux_HH!$D$4:$D$31,MATCH($A33&amp;"|"&amp;$D33,Aux_HH!$A$4:$A$31,0)))</f>
        <v>96</v>
      </c>
      <c r="H33">
        <f>IF($D33="",0,$E33*INDEX(Aux_HH!$E$4:$E$31,MATCH($A33&amp;"|"&amp;$D33,Aux_HH!$A$4:$A$31,0)))</f>
        <v>0</v>
      </c>
      <c r="I33">
        <f>IF($D33="",0,$E33*INDEX(Aux_HH!$F$4:$F$31,MATCH($A33&amp;"|"&amp;$D33,Aux_HH!$A$4:$A$31,0)))</f>
        <v>0</v>
      </c>
      <c r="J33">
        <f>IF($D33="",0,$E33*INDEX(Aux_HH!$G$4:$G$31,MATCH($A33&amp;"|"&amp;$D33,Aux_HH!$A$4:$A$31,0)))</f>
        <v>0</v>
      </c>
      <c r="K33">
        <f>IF($D33="",0,$E33*INDEX(Aux_HH!$H$4:$H$31,MATCH($A33&amp;"|"&amp;$D33,Aux_HH!$A$4:$A$31,0)))</f>
        <v>0</v>
      </c>
      <c r="L33">
        <f>IF($D33="",0,$E33*INDEX(Aux_HH!$I$4:$I$31,MATCH($A33&amp;"|"&amp;$D33,Aux_HH!$A$4:$A$31,0)))</f>
        <v>0</v>
      </c>
    </row>
    <row r="34" spans="1:12" ht="15" customHeight="1" x14ac:dyDescent="0.4">
      <c r="A34" t="str">
        <f>Premissas!$A$39</f>
        <v>Colhedora</v>
      </c>
      <c r="B34">
        <v>31</v>
      </c>
      <c r="C34">
        <f>INDEX(Semanas!$E$3:$E$54,31)</f>
        <v>3</v>
      </c>
      <c r="D34" t="str">
        <f>Cronograma!AF5</f>
        <v/>
      </c>
      <c r="E34">
        <f>Premissas!$I$39</f>
        <v>8</v>
      </c>
      <c r="F34">
        <f t="shared" si="0"/>
        <v>0</v>
      </c>
      <c r="G34">
        <f>IF($D34="",0,$E34*INDEX(Aux_HH!$D$4:$D$31,MATCH($A34&amp;"|"&amp;$D34,Aux_HH!$A$4:$A$31,0)))</f>
        <v>0</v>
      </c>
      <c r="H34">
        <f>IF($D34="",0,$E34*INDEX(Aux_HH!$E$4:$E$31,MATCH($A34&amp;"|"&amp;$D34,Aux_HH!$A$4:$A$31,0)))</f>
        <v>0</v>
      </c>
      <c r="I34">
        <f>IF($D34="",0,$E34*INDEX(Aux_HH!$F$4:$F$31,MATCH($A34&amp;"|"&amp;$D34,Aux_HH!$A$4:$A$31,0)))</f>
        <v>0</v>
      </c>
      <c r="J34">
        <f>IF($D34="",0,$E34*INDEX(Aux_HH!$G$4:$G$31,MATCH($A34&amp;"|"&amp;$D34,Aux_HH!$A$4:$A$31,0)))</f>
        <v>0</v>
      </c>
      <c r="K34">
        <f>IF($D34="",0,$E34*INDEX(Aux_HH!$H$4:$H$31,MATCH($A34&amp;"|"&amp;$D34,Aux_HH!$A$4:$A$31,0)))</f>
        <v>0</v>
      </c>
      <c r="L34">
        <f>IF($D34="",0,$E34*INDEX(Aux_HH!$I$4:$I$31,MATCH($A34&amp;"|"&amp;$D34,Aux_HH!$A$4:$A$31,0)))</f>
        <v>0</v>
      </c>
    </row>
    <row r="35" spans="1:12" ht="15" customHeight="1" x14ac:dyDescent="0.4">
      <c r="A35" t="str">
        <f>Premissas!$A$39</f>
        <v>Colhedora</v>
      </c>
      <c r="B35">
        <v>32</v>
      </c>
      <c r="C35">
        <f>INDEX(Semanas!$E$3:$E$54,32)</f>
        <v>4</v>
      </c>
      <c r="D35" t="str">
        <f>Cronograma!AG5</f>
        <v/>
      </c>
      <c r="E35">
        <f>Premissas!$I$39</f>
        <v>8</v>
      </c>
      <c r="F35">
        <f t="shared" si="0"/>
        <v>0</v>
      </c>
      <c r="G35">
        <f>IF($D35="",0,$E35*INDEX(Aux_HH!$D$4:$D$31,MATCH($A35&amp;"|"&amp;$D35,Aux_HH!$A$4:$A$31,0)))</f>
        <v>0</v>
      </c>
      <c r="H35">
        <f>IF($D35="",0,$E35*INDEX(Aux_HH!$E$4:$E$31,MATCH($A35&amp;"|"&amp;$D35,Aux_HH!$A$4:$A$31,0)))</f>
        <v>0</v>
      </c>
      <c r="I35">
        <f>IF($D35="",0,$E35*INDEX(Aux_HH!$F$4:$F$31,MATCH($A35&amp;"|"&amp;$D35,Aux_HH!$A$4:$A$31,0)))</f>
        <v>0</v>
      </c>
      <c r="J35">
        <f>IF($D35="",0,$E35*INDEX(Aux_HH!$G$4:$G$31,MATCH($A35&amp;"|"&amp;$D35,Aux_HH!$A$4:$A$31,0)))</f>
        <v>0</v>
      </c>
      <c r="K35">
        <f>IF($D35="",0,$E35*INDEX(Aux_HH!$H$4:$H$31,MATCH($A35&amp;"|"&amp;$D35,Aux_HH!$A$4:$A$31,0)))</f>
        <v>0</v>
      </c>
      <c r="L35">
        <f>IF($D35="",0,$E35*INDEX(Aux_HH!$I$4:$I$31,MATCH($A35&amp;"|"&amp;$D35,Aux_HH!$A$4:$A$31,0)))</f>
        <v>0</v>
      </c>
    </row>
    <row r="36" spans="1:12" ht="15" customHeight="1" x14ac:dyDescent="0.4">
      <c r="A36" t="str">
        <f>Premissas!$A$39</f>
        <v>Colhedora</v>
      </c>
      <c r="B36">
        <v>33</v>
      </c>
      <c r="C36">
        <f>INDEX(Semanas!$E$3:$E$54,33)</f>
        <v>4</v>
      </c>
      <c r="D36" t="str">
        <f>Cronograma!AH5</f>
        <v/>
      </c>
      <c r="E36">
        <f>Premissas!$I$39</f>
        <v>8</v>
      </c>
      <c r="F36">
        <f t="shared" si="0"/>
        <v>0</v>
      </c>
      <c r="G36">
        <f>IF($D36="",0,$E36*INDEX(Aux_HH!$D$4:$D$31,MATCH($A36&amp;"|"&amp;$D36,Aux_HH!$A$4:$A$31,0)))</f>
        <v>0</v>
      </c>
      <c r="H36">
        <f>IF($D36="",0,$E36*INDEX(Aux_HH!$E$4:$E$31,MATCH($A36&amp;"|"&amp;$D36,Aux_HH!$A$4:$A$31,0)))</f>
        <v>0</v>
      </c>
      <c r="I36">
        <f>IF($D36="",0,$E36*INDEX(Aux_HH!$F$4:$F$31,MATCH($A36&amp;"|"&amp;$D36,Aux_HH!$A$4:$A$31,0)))</f>
        <v>0</v>
      </c>
      <c r="J36">
        <f>IF($D36="",0,$E36*INDEX(Aux_HH!$G$4:$G$31,MATCH($A36&amp;"|"&amp;$D36,Aux_HH!$A$4:$A$31,0)))</f>
        <v>0</v>
      </c>
      <c r="K36">
        <f>IF($D36="",0,$E36*INDEX(Aux_HH!$H$4:$H$31,MATCH($A36&amp;"|"&amp;$D36,Aux_HH!$A$4:$A$31,0)))</f>
        <v>0</v>
      </c>
      <c r="L36">
        <f>IF($D36="",0,$E36*INDEX(Aux_HH!$I$4:$I$31,MATCH($A36&amp;"|"&amp;$D36,Aux_HH!$A$4:$A$31,0)))</f>
        <v>0</v>
      </c>
    </row>
    <row r="37" spans="1:12" ht="15" customHeight="1" x14ac:dyDescent="0.4">
      <c r="A37" t="str">
        <f>Premissas!$A$39</f>
        <v>Colhedora</v>
      </c>
      <c r="B37">
        <v>34</v>
      </c>
      <c r="C37">
        <f>INDEX(Semanas!$E$3:$E$54,34)</f>
        <v>4</v>
      </c>
      <c r="D37" t="str">
        <f>Cronograma!AI5</f>
        <v/>
      </c>
      <c r="E37">
        <f>Premissas!$I$39</f>
        <v>8</v>
      </c>
      <c r="F37">
        <f t="shared" si="0"/>
        <v>0</v>
      </c>
      <c r="G37">
        <f>IF($D37="",0,$E37*INDEX(Aux_HH!$D$4:$D$31,MATCH($A37&amp;"|"&amp;$D37,Aux_HH!$A$4:$A$31,0)))</f>
        <v>0</v>
      </c>
      <c r="H37">
        <f>IF($D37="",0,$E37*INDEX(Aux_HH!$E$4:$E$31,MATCH($A37&amp;"|"&amp;$D37,Aux_HH!$A$4:$A$31,0)))</f>
        <v>0</v>
      </c>
      <c r="I37">
        <f>IF($D37="",0,$E37*INDEX(Aux_HH!$F$4:$F$31,MATCH($A37&amp;"|"&amp;$D37,Aux_HH!$A$4:$A$31,0)))</f>
        <v>0</v>
      </c>
      <c r="J37">
        <f>IF($D37="",0,$E37*INDEX(Aux_HH!$G$4:$G$31,MATCH($A37&amp;"|"&amp;$D37,Aux_HH!$A$4:$A$31,0)))</f>
        <v>0</v>
      </c>
      <c r="K37">
        <f>IF($D37="",0,$E37*INDEX(Aux_HH!$H$4:$H$31,MATCH($A37&amp;"|"&amp;$D37,Aux_HH!$A$4:$A$31,0)))</f>
        <v>0</v>
      </c>
      <c r="L37">
        <f>IF($D37="",0,$E37*INDEX(Aux_HH!$I$4:$I$31,MATCH($A37&amp;"|"&amp;$D37,Aux_HH!$A$4:$A$31,0)))</f>
        <v>0</v>
      </c>
    </row>
    <row r="38" spans="1:12" ht="15" customHeight="1" x14ac:dyDescent="0.4">
      <c r="A38" t="str">
        <f>Premissas!$A$39</f>
        <v>Colhedora</v>
      </c>
      <c r="B38">
        <v>35</v>
      </c>
      <c r="C38">
        <f>INDEX(Semanas!$E$3:$E$54,35)</f>
        <v>4</v>
      </c>
      <c r="D38" t="str">
        <f>Cronograma!AJ5</f>
        <v/>
      </c>
      <c r="E38">
        <f>Premissas!$I$39</f>
        <v>8</v>
      </c>
      <c r="F38">
        <f t="shared" si="0"/>
        <v>0</v>
      </c>
      <c r="G38">
        <f>IF($D38="",0,$E38*INDEX(Aux_HH!$D$4:$D$31,MATCH($A38&amp;"|"&amp;$D38,Aux_HH!$A$4:$A$31,0)))</f>
        <v>0</v>
      </c>
      <c r="H38">
        <f>IF($D38="",0,$E38*INDEX(Aux_HH!$E$4:$E$31,MATCH($A38&amp;"|"&amp;$D38,Aux_HH!$A$4:$A$31,0)))</f>
        <v>0</v>
      </c>
      <c r="I38">
        <f>IF($D38="",0,$E38*INDEX(Aux_HH!$F$4:$F$31,MATCH($A38&amp;"|"&amp;$D38,Aux_HH!$A$4:$A$31,0)))</f>
        <v>0</v>
      </c>
      <c r="J38">
        <f>IF($D38="",0,$E38*INDEX(Aux_HH!$G$4:$G$31,MATCH($A38&amp;"|"&amp;$D38,Aux_HH!$A$4:$A$31,0)))</f>
        <v>0</v>
      </c>
      <c r="K38">
        <f>IF($D38="",0,$E38*INDEX(Aux_HH!$H$4:$H$31,MATCH($A38&amp;"|"&amp;$D38,Aux_HH!$A$4:$A$31,0)))</f>
        <v>0</v>
      </c>
      <c r="L38">
        <f>IF($D38="",0,$E38*INDEX(Aux_HH!$I$4:$I$31,MATCH($A38&amp;"|"&amp;$D38,Aux_HH!$A$4:$A$31,0)))</f>
        <v>0</v>
      </c>
    </row>
    <row r="39" spans="1:12" ht="15" customHeight="1" x14ac:dyDescent="0.4">
      <c r="A39" t="str">
        <f>Premissas!$A$39</f>
        <v>Colhedora</v>
      </c>
      <c r="B39">
        <v>36</v>
      </c>
      <c r="C39">
        <f>INDEX(Semanas!$E$3:$E$54,36)</f>
        <v>5</v>
      </c>
      <c r="D39" t="str">
        <f>Cronograma!AK5</f>
        <v/>
      </c>
      <c r="E39">
        <f>Premissas!$I$39</f>
        <v>8</v>
      </c>
      <c r="F39">
        <f t="shared" si="0"/>
        <v>0</v>
      </c>
      <c r="G39">
        <f>IF($D39="",0,$E39*INDEX(Aux_HH!$D$4:$D$31,MATCH($A39&amp;"|"&amp;$D39,Aux_HH!$A$4:$A$31,0)))</f>
        <v>0</v>
      </c>
      <c r="H39">
        <f>IF($D39="",0,$E39*INDEX(Aux_HH!$E$4:$E$31,MATCH($A39&amp;"|"&amp;$D39,Aux_HH!$A$4:$A$31,0)))</f>
        <v>0</v>
      </c>
      <c r="I39">
        <f>IF($D39="",0,$E39*INDEX(Aux_HH!$F$4:$F$31,MATCH($A39&amp;"|"&amp;$D39,Aux_HH!$A$4:$A$31,0)))</f>
        <v>0</v>
      </c>
      <c r="J39">
        <f>IF($D39="",0,$E39*INDEX(Aux_HH!$G$4:$G$31,MATCH($A39&amp;"|"&amp;$D39,Aux_HH!$A$4:$A$31,0)))</f>
        <v>0</v>
      </c>
      <c r="K39">
        <f>IF($D39="",0,$E39*INDEX(Aux_HH!$H$4:$H$31,MATCH($A39&amp;"|"&amp;$D39,Aux_HH!$A$4:$A$31,0)))</f>
        <v>0</v>
      </c>
      <c r="L39">
        <f>IF($D39="",0,$E39*INDEX(Aux_HH!$I$4:$I$31,MATCH($A39&amp;"|"&amp;$D39,Aux_HH!$A$4:$A$31,0)))</f>
        <v>0</v>
      </c>
    </row>
    <row r="40" spans="1:12" ht="15" customHeight="1" x14ac:dyDescent="0.4">
      <c r="A40" t="str">
        <f>Premissas!$A$39</f>
        <v>Colhedora</v>
      </c>
      <c r="B40">
        <v>37</v>
      </c>
      <c r="C40">
        <f>INDEX(Semanas!$E$3:$E$54,37)</f>
        <v>5</v>
      </c>
      <c r="D40" t="str">
        <f>Cronograma!AL5</f>
        <v/>
      </c>
      <c r="E40">
        <f>Premissas!$I$39</f>
        <v>8</v>
      </c>
      <c r="F40">
        <f t="shared" si="0"/>
        <v>0</v>
      </c>
      <c r="G40">
        <f>IF($D40="",0,$E40*INDEX(Aux_HH!$D$4:$D$31,MATCH($A40&amp;"|"&amp;$D40,Aux_HH!$A$4:$A$31,0)))</f>
        <v>0</v>
      </c>
      <c r="H40">
        <f>IF($D40="",0,$E40*INDEX(Aux_HH!$E$4:$E$31,MATCH($A40&amp;"|"&amp;$D40,Aux_HH!$A$4:$A$31,0)))</f>
        <v>0</v>
      </c>
      <c r="I40">
        <f>IF($D40="",0,$E40*INDEX(Aux_HH!$F$4:$F$31,MATCH($A40&amp;"|"&amp;$D40,Aux_HH!$A$4:$A$31,0)))</f>
        <v>0</v>
      </c>
      <c r="J40">
        <f>IF($D40="",0,$E40*INDEX(Aux_HH!$G$4:$G$31,MATCH($A40&amp;"|"&amp;$D40,Aux_HH!$A$4:$A$31,0)))</f>
        <v>0</v>
      </c>
      <c r="K40">
        <f>IF($D40="",0,$E40*INDEX(Aux_HH!$H$4:$H$31,MATCH($A40&amp;"|"&amp;$D40,Aux_HH!$A$4:$A$31,0)))</f>
        <v>0</v>
      </c>
      <c r="L40">
        <f>IF($D40="",0,$E40*INDEX(Aux_HH!$I$4:$I$31,MATCH($A40&amp;"|"&amp;$D40,Aux_HH!$A$4:$A$31,0)))</f>
        <v>0</v>
      </c>
    </row>
    <row r="41" spans="1:12" ht="15" customHeight="1" x14ac:dyDescent="0.4">
      <c r="A41" t="str">
        <f>Premissas!$A$39</f>
        <v>Colhedora</v>
      </c>
      <c r="B41">
        <v>38</v>
      </c>
      <c r="C41">
        <f>INDEX(Semanas!$E$3:$E$54,38)</f>
        <v>5</v>
      </c>
      <c r="D41" t="str">
        <f>Cronograma!AM5</f>
        <v/>
      </c>
      <c r="E41">
        <f>Premissas!$I$39</f>
        <v>8</v>
      </c>
      <c r="F41">
        <f t="shared" si="0"/>
        <v>0</v>
      </c>
      <c r="G41">
        <f>IF($D41="",0,$E41*INDEX(Aux_HH!$D$4:$D$31,MATCH($A41&amp;"|"&amp;$D41,Aux_HH!$A$4:$A$31,0)))</f>
        <v>0</v>
      </c>
      <c r="H41">
        <f>IF($D41="",0,$E41*INDEX(Aux_HH!$E$4:$E$31,MATCH($A41&amp;"|"&amp;$D41,Aux_HH!$A$4:$A$31,0)))</f>
        <v>0</v>
      </c>
      <c r="I41">
        <f>IF($D41="",0,$E41*INDEX(Aux_HH!$F$4:$F$31,MATCH($A41&amp;"|"&amp;$D41,Aux_HH!$A$4:$A$31,0)))</f>
        <v>0</v>
      </c>
      <c r="J41">
        <f>IF($D41="",0,$E41*INDEX(Aux_HH!$G$4:$G$31,MATCH($A41&amp;"|"&amp;$D41,Aux_HH!$A$4:$A$31,0)))</f>
        <v>0</v>
      </c>
      <c r="K41">
        <f>IF($D41="",0,$E41*INDEX(Aux_HH!$H$4:$H$31,MATCH($A41&amp;"|"&amp;$D41,Aux_HH!$A$4:$A$31,0)))</f>
        <v>0</v>
      </c>
      <c r="L41">
        <f>IF($D41="",0,$E41*INDEX(Aux_HH!$I$4:$I$31,MATCH($A41&amp;"|"&amp;$D41,Aux_HH!$A$4:$A$31,0)))</f>
        <v>0</v>
      </c>
    </row>
    <row r="42" spans="1:12" ht="15" customHeight="1" x14ac:dyDescent="0.4">
      <c r="A42" t="str">
        <f>Premissas!$A$39</f>
        <v>Colhedora</v>
      </c>
      <c r="B42">
        <v>39</v>
      </c>
      <c r="C42">
        <f>INDEX(Semanas!$E$3:$E$54,39)</f>
        <v>5</v>
      </c>
      <c r="D42" t="str">
        <f>Cronograma!AN5</f>
        <v/>
      </c>
      <c r="E42">
        <f>Premissas!$I$39</f>
        <v>8</v>
      </c>
      <c r="F42">
        <f t="shared" si="0"/>
        <v>0</v>
      </c>
      <c r="G42">
        <f>IF($D42="",0,$E42*INDEX(Aux_HH!$D$4:$D$31,MATCH($A42&amp;"|"&amp;$D42,Aux_HH!$A$4:$A$31,0)))</f>
        <v>0</v>
      </c>
      <c r="H42">
        <f>IF($D42="",0,$E42*INDEX(Aux_HH!$E$4:$E$31,MATCH($A42&amp;"|"&amp;$D42,Aux_HH!$A$4:$A$31,0)))</f>
        <v>0</v>
      </c>
      <c r="I42">
        <f>IF($D42="",0,$E42*INDEX(Aux_HH!$F$4:$F$31,MATCH($A42&amp;"|"&amp;$D42,Aux_HH!$A$4:$A$31,0)))</f>
        <v>0</v>
      </c>
      <c r="J42">
        <f>IF($D42="",0,$E42*INDEX(Aux_HH!$G$4:$G$31,MATCH($A42&amp;"|"&amp;$D42,Aux_HH!$A$4:$A$31,0)))</f>
        <v>0</v>
      </c>
      <c r="K42">
        <f>IF($D42="",0,$E42*INDEX(Aux_HH!$H$4:$H$31,MATCH($A42&amp;"|"&amp;$D42,Aux_HH!$A$4:$A$31,0)))</f>
        <v>0</v>
      </c>
      <c r="L42">
        <f>IF($D42="",0,$E42*INDEX(Aux_HH!$I$4:$I$31,MATCH($A42&amp;"|"&amp;$D42,Aux_HH!$A$4:$A$31,0)))</f>
        <v>0</v>
      </c>
    </row>
    <row r="43" spans="1:12" ht="15" customHeight="1" x14ac:dyDescent="0.4">
      <c r="A43" t="str">
        <f>Premissas!$A$39</f>
        <v>Colhedora</v>
      </c>
      <c r="B43">
        <v>40</v>
      </c>
      <c r="C43">
        <f>INDEX(Semanas!$E$3:$E$54,40)</f>
        <v>6</v>
      </c>
      <c r="D43" t="str">
        <f>Cronograma!AO5</f>
        <v/>
      </c>
      <c r="E43">
        <f>Premissas!$I$39</f>
        <v>8</v>
      </c>
      <c r="F43">
        <f t="shared" si="0"/>
        <v>0</v>
      </c>
      <c r="G43">
        <f>IF($D43="",0,$E43*INDEX(Aux_HH!$D$4:$D$31,MATCH($A43&amp;"|"&amp;$D43,Aux_HH!$A$4:$A$31,0)))</f>
        <v>0</v>
      </c>
      <c r="H43">
        <f>IF($D43="",0,$E43*INDEX(Aux_HH!$E$4:$E$31,MATCH($A43&amp;"|"&amp;$D43,Aux_HH!$A$4:$A$31,0)))</f>
        <v>0</v>
      </c>
      <c r="I43">
        <f>IF($D43="",0,$E43*INDEX(Aux_HH!$F$4:$F$31,MATCH($A43&amp;"|"&amp;$D43,Aux_HH!$A$4:$A$31,0)))</f>
        <v>0</v>
      </c>
      <c r="J43">
        <f>IF($D43="",0,$E43*INDEX(Aux_HH!$G$4:$G$31,MATCH($A43&amp;"|"&amp;$D43,Aux_HH!$A$4:$A$31,0)))</f>
        <v>0</v>
      </c>
      <c r="K43">
        <f>IF($D43="",0,$E43*INDEX(Aux_HH!$H$4:$H$31,MATCH($A43&amp;"|"&amp;$D43,Aux_HH!$A$4:$A$31,0)))</f>
        <v>0</v>
      </c>
      <c r="L43">
        <f>IF($D43="",0,$E43*INDEX(Aux_HH!$I$4:$I$31,MATCH($A43&amp;"|"&amp;$D43,Aux_HH!$A$4:$A$31,0)))</f>
        <v>0</v>
      </c>
    </row>
    <row r="44" spans="1:12" ht="15" customHeight="1" x14ac:dyDescent="0.4">
      <c r="A44" t="str">
        <f>Premissas!$A$39</f>
        <v>Colhedora</v>
      </c>
      <c r="B44">
        <v>41</v>
      </c>
      <c r="C44">
        <f>INDEX(Semanas!$E$3:$E$54,41)</f>
        <v>6</v>
      </c>
      <c r="D44" t="str">
        <f>Cronograma!AP5</f>
        <v/>
      </c>
      <c r="E44">
        <f>Premissas!$I$39</f>
        <v>8</v>
      </c>
      <c r="F44">
        <f t="shared" si="0"/>
        <v>0</v>
      </c>
      <c r="G44">
        <f>IF($D44="",0,$E44*INDEX(Aux_HH!$D$4:$D$31,MATCH($A44&amp;"|"&amp;$D44,Aux_HH!$A$4:$A$31,0)))</f>
        <v>0</v>
      </c>
      <c r="H44">
        <f>IF($D44="",0,$E44*INDEX(Aux_HH!$E$4:$E$31,MATCH($A44&amp;"|"&amp;$D44,Aux_HH!$A$4:$A$31,0)))</f>
        <v>0</v>
      </c>
      <c r="I44">
        <f>IF($D44="",0,$E44*INDEX(Aux_HH!$F$4:$F$31,MATCH($A44&amp;"|"&amp;$D44,Aux_HH!$A$4:$A$31,0)))</f>
        <v>0</v>
      </c>
      <c r="J44">
        <f>IF($D44="",0,$E44*INDEX(Aux_HH!$G$4:$G$31,MATCH($A44&amp;"|"&amp;$D44,Aux_HH!$A$4:$A$31,0)))</f>
        <v>0</v>
      </c>
      <c r="K44">
        <f>IF($D44="",0,$E44*INDEX(Aux_HH!$H$4:$H$31,MATCH($A44&amp;"|"&amp;$D44,Aux_HH!$A$4:$A$31,0)))</f>
        <v>0</v>
      </c>
      <c r="L44">
        <f>IF($D44="",0,$E44*INDEX(Aux_HH!$I$4:$I$31,MATCH($A44&amp;"|"&amp;$D44,Aux_HH!$A$4:$A$31,0)))</f>
        <v>0</v>
      </c>
    </row>
    <row r="45" spans="1:12" ht="15" customHeight="1" x14ac:dyDescent="0.4">
      <c r="A45" t="str">
        <f>Premissas!$A$39</f>
        <v>Colhedora</v>
      </c>
      <c r="B45">
        <v>42</v>
      </c>
      <c r="C45">
        <f>INDEX(Semanas!$E$3:$E$54,42)</f>
        <v>6</v>
      </c>
      <c r="D45" t="str">
        <f>Cronograma!AQ5</f>
        <v/>
      </c>
      <c r="E45">
        <f>Premissas!$I$39</f>
        <v>8</v>
      </c>
      <c r="F45">
        <f t="shared" si="0"/>
        <v>0</v>
      </c>
      <c r="G45">
        <f>IF($D45="",0,$E45*INDEX(Aux_HH!$D$4:$D$31,MATCH($A45&amp;"|"&amp;$D45,Aux_HH!$A$4:$A$31,0)))</f>
        <v>0</v>
      </c>
      <c r="H45">
        <f>IF($D45="",0,$E45*INDEX(Aux_HH!$E$4:$E$31,MATCH($A45&amp;"|"&amp;$D45,Aux_HH!$A$4:$A$31,0)))</f>
        <v>0</v>
      </c>
      <c r="I45">
        <f>IF($D45="",0,$E45*INDEX(Aux_HH!$F$4:$F$31,MATCH($A45&amp;"|"&amp;$D45,Aux_HH!$A$4:$A$31,0)))</f>
        <v>0</v>
      </c>
      <c r="J45">
        <f>IF($D45="",0,$E45*INDEX(Aux_HH!$G$4:$G$31,MATCH($A45&amp;"|"&amp;$D45,Aux_HH!$A$4:$A$31,0)))</f>
        <v>0</v>
      </c>
      <c r="K45">
        <f>IF($D45="",0,$E45*INDEX(Aux_HH!$H$4:$H$31,MATCH($A45&amp;"|"&amp;$D45,Aux_HH!$A$4:$A$31,0)))</f>
        <v>0</v>
      </c>
      <c r="L45">
        <f>IF($D45="",0,$E45*INDEX(Aux_HH!$I$4:$I$31,MATCH($A45&amp;"|"&amp;$D45,Aux_HH!$A$4:$A$31,0)))</f>
        <v>0</v>
      </c>
    </row>
    <row r="46" spans="1:12" ht="15" customHeight="1" x14ac:dyDescent="0.4">
      <c r="A46" t="str">
        <f>Premissas!$A$39</f>
        <v>Colhedora</v>
      </c>
      <c r="B46">
        <v>43</v>
      </c>
      <c r="C46">
        <f>INDEX(Semanas!$E$3:$E$54,43)</f>
        <v>6</v>
      </c>
      <c r="D46" t="str">
        <f>Cronograma!AR5</f>
        <v/>
      </c>
      <c r="E46">
        <f>Premissas!$I$39</f>
        <v>8</v>
      </c>
      <c r="F46">
        <f t="shared" si="0"/>
        <v>0</v>
      </c>
      <c r="G46">
        <f>IF($D46="",0,$E46*INDEX(Aux_HH!$D$4:$D$31,MATCH($A46&amp;"|"&amp;$D46,Aux_HH!$A$4:$A$31,0)))</f>
        <v>0</v>
      </c>
      <c r="H46">
        <f>IF($D46="",0,$E46*INDEX(Aux_HH!$E$4:$E$31,MATCH($A46&amp;"|"&amp;$D46,Aux_HH!$A$4:$A$31,0)))</f>
        <v>0</v>
      </c>
      <c r="I46">
        <f>IF($D46="",0,$E46*INDEX(Aux_HH!$F$4:$F$31,MATCH($A46&amp;"|"&amp;$D46,Aux_HH!$A$4:$A$31,0)))</f>
        <v>0</v>
      </c>
      <c r="J46">
        <f>IF($D46="",0,$E46*INDEX(Aux_HH!$G$4:$G$31,MATCH($A46&amp;"|"&amp;$D46,Aux_HH!$A$4:$A$31,0)))</f>
        <v>0</v>
      </c>
      <c r="K46">
        <f>IF($D46="",0,$E46*INDEX(Aux_HH!$H$4:$H$31,MATCH($A46&amp;"|"&amp;$D46,Aux_HH!$A$4:$A$31,0)))</f>
        <v>0</v>
      </c>
      <c r="L46">
        <f>IF($D46="",0,$E46*INDEX(Aux_HH!$I$4:$I$31,MATCH($A46&amp;"|"&amp;$D46,Aux_HH!$A$4:$A$31,0)))</f>
        <v>0</v>
      </c>
    </row>
    <row r="47" spans="1:12" ht="15" customHeight="1" x14ac:dyDescent="0.4">
      <c r="A47" t="str">
        <f>Premissas!$A$39</f>
        <v>Colhedora</v>
      </c>
      <c r="B47">
        <v>44</v>
      </c>
      <c r="C47">
        <f>INDEX(Semanas!$E$3:$E$54,44)</f>
        <v>6</v>
      </c>
      <c r="D47" t="str">
        <f>Cronograma!AS5</f>
        <v/>
      </c>
      <c r="E47">
        <f>Premissas!$I$39</f>
        <v>8</v>
      </c>
      <c r="F47">
        <f t="shared" si="0"/>
        <v>0</v>
      </c>
      <c r="G47">
        <f>IF($D47="",0,$E47*INDEX(Aux_HH!$D$4:$D$31,MATCH($A47&amp;"|"&amp;$D47,Aux_HH!$A$4:$A$31,0)))</f>
        <v>0</v>
      </c>
      <c r="H47">
        <f>IF($D47="",0,$E47*INDEX(Aux_HH!$E$4:$E$31,MATCH($A47&amp;"|"&amp;$D47,Aux_HH!$A$4:$A$31,0)))</f>
        <v>0</v>
      </c>
      <c r="I47">
        <f>IF($D47="",0,$E47*INDEX(Aux_HH!$F$4:$F$31,MATCH($A47&amp;"|"&amp;$D47,Aux_HH!$A$4:$A$31,0)))</f>
        <v>0</v>
      </c>
      <c r="J47">
        <f>IF($D47="",0,$E47*INDEX(Aux_HH!$G$4:$G$31,MATCH($A47&amp;"|"&amp;$D47,Aux_HH!$A$4:$A$31,0)))</f>
        <v>0</v>
      </c>
      <c r="K47">
        <f>IF($D47="",0,$E47*INDEX(Aux_HH!$H$4:$H$31,MATCH($A47&amp;"|"&amp;$D47,Aux_HH!$A$4:$A$31,0)))</f>
        <v>0</v>
      </c>
      <c r="L47">
        <f>IF($D47="",0,$E47*INDEX(Aux_HH!$I$4:$I$31,MATCH($A47&amp;"|"&amp;$D47,Aux_HH!$A$4:$A$31,0)))</f>
        <v>0</v>
      </c>
    </row>
    <row r="48" spans="1:12" ht="15" customHeight="1" x14ac:dyDescent="0.4">
      <c r="A48" t="str">
        <f>Premissas!$A$39</f>
        <v>Colhedora</v>
      </c>
      <c r="B48">
        <v>45</v>
      </c>
      <c r="C48">
        <f>INDEX(Semanas!$E$3:$E$54,45)</f>
        <v>7</v>
      </c>
      <c r="D48" t="str">
        <f>Cronograma!AT5</f>
        <v/>
      </c>
      <c r="E48">
        <f>Premissas!$I$39</f>
        <v>8</v>
      </c>
      <c r="F48">
        <f t="shared" si="0"/>
        <v>0</v>
      </c>
      <c r="G48">
        <f>IF($D48="",0,$E48*INDEX(Aux_HH!$D$4:$D$31,MATCH($A48&amp;"|"&amp;$D48,Aux_HH!$A$4:$A$31,0)))</f>
        <v>0</v>
      </c>
      <c r="H48">
        <f>IF($D48="",0,$E48*INDEX(Aux_HH!$E$4:$E$31,MATCH($A48&amp;"|"&amp;$D48,Aux_HH!$A$4:$A$31,0)))</f>
        <v>0</v>
      </c>
      <c r="I48">
        <f>IF($D48="",0,$E48*INDEX(Aux_HH!$F$4:$F$31,MATCH($A48&amp;"|"&amp;$D48,Aux_HH!$A$4:$A$31,0)))</f>
        <v>0</v>
      </c>
      <c r="J48">
        <f>IF($D48="",0,$E48*INDEX(Aux_HH!$G$4:$G$31,MATCH($A48&amp;"|"&amp;$D48,Aux_HH!$A$4:$A$31,0)))</f>
        <v>0</v>
      </c>
      <c r="K48">
        <f>IF($D48="",0,$E48*INDEX(Aux_HH!$H$4:$H$31,MATCH($A48&amp;"|"&amp;$D48,Aux_HH!$A$4:$A$31,0)))</f>
        <v>0</v>
      </c>
      <c r="L48">
        <f>IF($D48="",0,$E48*INDEX(Aux_HH!$I$4:$I$31,MATCH($A48&amp;"|"&amp;$D48,Aux_HH!$A$4:$A$31,0)))</f>
        <v>0</v>
      </c>
    </row>
    <row r="49" spans="1:12" ht="15" customHeight="1" x14ac:dyDescent="0.4">
      <c r="A49" t="str">
        <f>Premissas!$A$39</f>
        <v>Colhedora</v>
      </c>
      <c r="B49">
        <v>46</v>
      </c>
      <c r="C49">
        <f>INDEX(Semanas!$E$3:$E$54,46)</f>
        <v>7</v>
      </c>
      <c r="D49" t="str">
        <f>Cronograma!AU5</f>
        <v/>
      </c>
      <c r="E49">
        <f>Premissas!$I$39</f>
        <v>8</v>
      </c>
      <c r="F49">
        <f t="shared" si="0"/>
        <v>0</v>
      </c>
      <c r="G49">
        <f>IF($D49="",0,$E49*INDEX(Aux_HH!$D$4:$D$31,MATCH($A49&amp;"|"&amp;$D49,Aux_HH!$A$4:$A$31,0)))</f>
        <v>0</v>
      </c>
      <c r="H49">
        <f>IF($D49="",0,$E49*INDEX(Aux_HH!$E$4:$E$31,MATCH($A49&amp;"|"&amp;$D49,Aux_HH!$A$4:$A$31,0)))</f>
        <v>0</v>
      </c>
      <c r="I49">
        <f>IF($D49="",0,$E49*INDEX(Aux_HH!$F$4:$F$31,MATCH($A49&amp;"|"&amp;$D49,Aux_HH!$A$4:$A$31,0)))</f>
        <v>0</v>
      </c>
      <c r="J49">
        <f>IF($D49="",0,$E49*INDEX(Aux_HH!$G$4:$G$31,MATCH($A49&amp;"|"&amp;$D49,Aux_HH!$A$4:$A$31,0)))</f>
        <v>0</v>
      </c>
      <c r="K49">
        <f>IF($D49="",0,$E49*INDEX(Aux_HH!$H$4:$H$31,MATCH($A49&amp;"|"&amp;$D49,Aux_HH!$A$4:$A$31,0)))</f>
        <v>0</v>
      </c>
      <c r="L49">
        <f>IF($D49="",0,$E49*INDEX(Aux_HH!$I$4:$I$31,MATCH($A49&amp;"|"&amp;$D49,Aux_HH!$A$4:$A$31,0)))</f>
        <v>0</v>
      </c>
    </row>
    <row r="50" spans="1:12" ht="15" customHeight="1" x14ac:dyDescent="0.4">
      <c r="A50" t="str">
        <f>Premissas!$A$39</f>
        <v>Colhedora</v>
      </c>
      <c r="B50">
        <v>47</v>
      </c>
      <c r="C50">
        <f>INDEX(Semanas!$E$3:$E$54,47)</f>
        <v>7</v>
      </c>
      <c r="D50" t="str">
        <f>Cronograma!AV5</f>
        <v/>
      </c>
      <c r="E50">
        <f>Premissas!$I$39</f>
        <v>8</v>
      </c>
      <c r="F50">
        <f t="shared" si="0"/>
        <v>0</v>
      </c>
      <c r="G50">
        <f>IF($D50="",0,$E50*INDEX(Aux_HH!$D$4:$D$31,MATCH($A50&amp;"|"&amp;$D50,Aux_HH!$A$4:$A$31,0)))</f>
        <v>0</v>
      </c>
      <c r="H50">
        <f>IF($D50="",0,$E50*INDEX(Aux_HH!$E$4:$E$31,MATCH($A50&amp;"|"&amp;$D50,Aux_HH!$A$4:$A$31,0)))</f>
        <v>0</v>
      </c>
      <c r="I50">
        <f>IF($D50="",0,$E50*INDEX(Aux_HH!$F$4:$F$31,MATCH($A50&amp;"|"&amp;$D50,Aux_HH!$A$4:$A$31,0)))</f>
        <v>0</v>
      </c>
      <c r="J50">
        <f>IF($D50="",0,$E50*INDEX(Aux_HH!$G$4:$G$31,MATCH($A50&amp;"|"&amp;$D50,Aux_HH!$A$4:$A$31,0)))</f>
        <v>0</v>
      </c>
      <c r="K50">
        <f>IF($D50="",0,$E50*INDEX(Aux_HH!$H$4:$H$31,MATCH($A50&amp;"|"&amp;$D50,Aux_HH!$A$4:$A$31,0)))</f>
        <v>0</v>
      </c>
      <c r="L50">
        <f>IF($D50="",0,$E50*INDEX(Aux_HH!$I$4:$I$31,MATCH($A50&amp;"|"&amp;$D50,Aux_HH!$A$4:$A$31,0)))</f>
        <v>0</v>
      </c>
    </row>
    <row r="51" spans="1:12" ht="15" customHeight="1" x14ac:dyDescent="0.4">
      <c r="A51" t="str">
        <f>Premissas!$A$39</f>
        <v>Colhedora</v>
      </c>
      <c r="B51">
        <v>48</v>
      </c>
      <c r="C51">
        <f>INDEX(Semanas!$E$3:$E$54,48)</f>
        <v>7</v>
      </c>
      <c r="D51" t="str">
        <f>Cronograma!AW5</f>
        <v/>
      </c>
      <c r="E51">
        <f>Premissas!$I$39</f>
        <v>8</v>
      </c>
      <c r="F51">
        <f t="shared" si="0"/>
        <v>0</v>
      </c>
      <c r="G51">
        <f>IF($D51="",0,$E51*INDEX(Aux_HH!$D$4:$D$31,MATCH($A51&amp;"|"&amp;$D51,Aux_HH!$A$4:$A$31,0)))</f>
        <v>0</v>
      </c>
      <c r="H51">
        <f>IF($D51="",0,$E51*INDEX(Aux_HH!$E$4:$E$31,MATCH($A51&amp;"|"&amp;$D51,Aux_HH!$A$4:$A$31,0)))</f>
        <v>0</v>
      </c>
      <c r="I51">
        <f>IF($D51="",0,$E51*INDEX(Aux_HH!$F$4:$F$31,MATCH($A51&amp;"|"&amp;$D51,Aux_HH!$A$4:$A$31,0)))</f>
        <v>0</v>
      </c>
      <c r="J51">
        <f>IF($D51="",0,$E51*INDEX(Aux_HH!$G$4:$G$31,MATCH($A51&amp;"|"&amp;$D51,Aux_HH!$A$4:$A$31,0)))</f>
        <v>0</v>
      </c>
      <c r="K51">
        <f>IF($D51="",0,$E51*INDEX(Aux_HH!$H$4:$H$31,MATCH($A51&amp;"|"&amp;$D51,Aux_HH!$A$4:$A$31,0)))</f>
        <v>0</v>
      </c>
      <c r="L51">
        <f>IF($D51="",0,$E51*INDEX(Aux_HH!$I$4:$I$31,MATCH($A51&amp;"|"&amp;$D51,Aux_HH!$A$4:$A$31,0)))</f>
        <v>0</v>
      </c>
    </row>
    <row r="52" spans="1:12" ht="15" customHeight="1" x14ac:dyDescent="0.4">
      <c r="A52" t="str">
        <f>Premissas!$A$39</f>
        <v>Colhedora</v>
      </c>
      <c r="B52">
        <v>49</v>
      </c>
      <c r="C52">
        <f>INDEX(Semanas!$E$3:$E$54,49)</f>
        <v>8</v>
      </c>
      <c r="D52" t="str">
        <f>Cronograma!AX5</f>
        <v>S</v>
      </c>
      <c r="E52">
        <f>Premissas!$I$39</f>
        <v>8</v>
      </c>
      <c r="F52">
        <f t="shared" si="0"/>
        <v>8</v>
      </c>
      <c r="G52">
        <f>IF($D52="",0,$E52*INDEX(Aux_HH!$D$4:$D$31,MATCH($A52&amp;"|"&amp;$D52,Aux_HH!$A$4:$A$31,0)))</f>
        <v>24</v>
      </c>
      <c r="H52">
        <f>IF($D52="",0,$E52*INDEX(Aux_HH!$E$4:$E$31,MATCH($A52&amp;"|"&amp;$D52,Aux_HH!$A$4:$A$31,0)))</f>
        <v>0</v>
      </c>
      <c r="I52">
        <f>IF($D52="",0,$E52*INDEX(Aux_HH!$F$4:$F$31,MATCH($A52&amp;"|"&amp;$D52,Aux_HH!$A$4:$A$31,0)))</f>
        <v>0</v>
      </c>
      <c r="J52">
        <f>IF($D52="",0,$E52*INDEX(Aux_HH!$G$4:$G$31,MATCH($A52&amp;"|"&amp;$D52,Aux_HH!$A$4:$A$31,0)))</f>
        <v>0</v>
      </c>
      <c r="K52">
        <f>IF($D52="",0,$E52*INDEX(Aux_HH!$H$4:$H$31,MATCH($A52&amp;"|"&amp;$D52,Aux_HH!$A$4:$A$31,0)))</f>
        <v>0</v>
      </c>
      <c r="L52">
        <f>IF($D52="",0,$E52*INDEX(Aux_HH!$I$4:$I$31,MATCH($A52&amp;"|"&amp;$D52,Aux_HH!$A$4:$A$31,0)))</f>
        <v>0</v>
      </c>
    </row>
    <row r="53" spans="1:12" ht="15" customHeight="1" x14ac:dyDescent="0.4">
      <c r="A53" t="str">
        <f>Premissas!$A$39</f>
        <v>Colhedora</v>
      </c>
      <c r="B53">
        <v>50</v>
      </c>
      <c r="C53">
        <f>INDEX(Semanas!$E$3:$E$54,50)</f>
        <v>8</v>
      </c>
      <c r="D53" t="str">
        <f>Cronograma!AY5</f>
        <v/>
      </c>
      <c r="E53">
        <f>Premissas!$I$39</f>
        <v>8</v>
      </c>
      <c r="F53">
        <f t="shared" si="0"/>
        <v>0</v>
      </c>
      <c r="G53">
        <f>IF($D53="",0,$E53*INDEX(Aux_HH!$D$4:$D$31,MATCH($A53&amp;"|"&amp;$D53,Aux_HH!$A$4:$A$31,0)))</f>
        <v>0</v>
      </c>
      <c r="H53">
        <f>IF($D53="",0,$E53*INDEX(Aux_HH!$E$4:$E$31,MATCH($A53&amp;"|"&amp;$D53,Aux_HH!$A$4:$A$31,0)))</f>
        <v>0</v>
      </c>
      <c r="I53">
        <f>IF($D53="",0,$E53*INDEX(Aux_HH!$F$4:$F$31,MATCH($A53&amp;"|"&amp;$D53,Aux_HH!$A$4:$A$31,0)))</f>
        <v>0</v>
      </c>
      <c r="J53">
        <f>IF($D53="",0,$E53*INDEX(Aux_HH!$G$4:$G$31,MATCH($A53&amp;"|"&amp;$D53,Aux_HH!$A$4:$A$31,0)))</f>
        <v>0</v>
      </c>
      <c r="K53">
        <f>IF($D53="",0,$E53*INDEX(Aux_HH!$H$4:$H$31,MATCH($A53&amp;"|"&amp;$D53,Aux_HH!$A$4:$A$31,0)))</f>
        <v>0</v>
      </c>
      <c r="L53">
        <f>IF($D53="",0,$E53*INDEX(Aux_HH!$I$4:$I$31,MATCH($A53&amp;"|"&amp;$D53,Aux_HH!$A$4:$A$31,0)))</f>
        <v>0</v>
      </c>
    </row>
    <row r="54" spans="1:12" ht="15" customHeight="1" x14ac:dyDescent="0.4">
      <c r="A54" t="str">
        <f>Premissas!$A$39</f>
        <v>Colhedora</v>
      </c>
      <c r="B54">
        <v>51</v>
      </c>
      <c r="C54">
        <f>INDEX(Semanas!$E$3:$E$54,51)</f>
        <v>8</v>
      </c>
      <c r="D54" t="str">
        <f>Cronograma!AZ5</f>
        <v/>
      </c>
      <c r="E54">
        <f>Premissas!$I$39</f>
        <v>8</v>
      </c>
      <c r="F54">
        <f t="shared" si="0"/>
        <v>0</v>
      </c>
      <c r="G54">
        <f>IF($D54="",0,$E54*INDEX(Aux_HH!$D$4:$D$31,MATCH($A54&amp;"|"&amp;$D54,Aux_HH!$A$4:$A$31,0)))</f>
        <v>0</v>
      </c>
      <c r="H54">
        <f>IF($D54="",0,$E54*INDEX(Aux_HH!$E$4:$E$31,MATCH($A54&amp;"|"&amp;$D54,Aux_HH!$A$4:$A$31,0)))</f>
        <v>0</v>
      </c>
      <c r="I54">
        <f>IF($D54="",0,$E54*INDEX(Aux_HH!$F$4:$F$31,MATCH($A54&amp;"|"&amp;$D54,Aux_HH!$A$4:$A$31,0)))</f>
        <v>0</v>
      </c>
      <c r="J54">
        <f>IF($D54="",0,$E54*INDEX(Aux_HH!$G$4:$G$31,MATCH($A54&amp;"|"&amp;$D54,Aux_HH!$A$4:$A$31,0)))</f>
        <v>0</v>
      </c>
      <c r="K54">
        <f>IF($D54="",0,$E54*INDEX(Aux_HH!$H$4:$H$31,MATCH($A54&amp;"|"&amp;$D54,Aux_HH!$A$4:$A$31,0)))</f>
        <v>0</v>
      </c>
      <c r="L54">
        <f>IF($D54="",0,$E54*INDEX(Aux_HH!$I$4:$I$31,MATCH($A54&amp;"|"&amp;$D54,Aux_HH!$A$4:$A$31,0)))</f>
        <v>0</v>
      </c>
    </row>
    <row r="55" spans="1:12" ht="15" customHeight="1" x14ac:dyDescent="0.4">
      <c r="A55" t="str">
        <f>Premissas!$A$39</f>
        <v>Colhedora</v>
      </c>
      <c r="B55">
        <v>52</v>
      </c>
      <c r="C55">
        <f>INDEX(Semanas!$E$3:$E$54,52)</f>
        <v>8</v>
      </c>
      <c r="D55" t="str">
        <f>Cronograma!BA5</f>
        <v/>
      </c>
      <c r="E55">
        <f>Premissas!$I$39</f>
        <v>8</v>
      </c>
      <c r="F55">
        <f t="shared" si="0"/>
        <v>0</v>
      </c>
      <c r="G55">
        <f>IF($D55="",0,$E55*INDEX(Aux_HH!$D$4:$D$31,MATCH($A55&amp;"|"&amp;$D55,Aux_HH!$A$4:$A$31,0)))</f>
        <v>0</v>
      </c>
      <c r="H55">
        <f>IF($D55="",0,$E55*INDEX(Aux_HH!$E$4:$E$31,MATCH($A55&amp;"|"&amp;$D55,Aux_HH!$A$4:$A$31,0)))</f>
        <v>0</v>
      </c>
      <c r="I55">
        <f>IF($D55="",0,$E55*INDEX(Aux_HH!$F$4:$F$31,MATCH($A55&amp;"|"&amp;$D55,Aux_HH!$A$4:$A$31,0)))</f>
        <v>0</v>
      </c>
      <c r="J55">
        <f>IF($D55="",0,$E55*INDEX(Aux_HH!$G$4:$G$31,MATCH($A55&amp;"|"&amp;$D55,Aux_HH!$A$4:$A$31,0)))</f>
        <v>0</v>
      </c>
      <c r="K55">
        <f>IF($D55="",0,$E55*INDEX(Aux_HH!$H$4:$H$31,MATCH($A55&amp;"|"&amp;$D55,Aux_HH!$A$4:$A$31,0)))</f>
        <v>0</v>
      </c>
      <c r="L55">
        <f>IF($D55="",0,$E55*INDEX(Aux_HH!$I$4:$I$31,MATCH($A55&amp;"|"&amp;$D55,Aux_HH!$A$4:$A$31,0)))</f>
        <v>0</v>
      </c>
    </row>
    <row r="56" spans="1:12" ht="15" customHeight="1" x14ac:dyDescent="0.4">
      <c r="A56" t="str">
        <f>Premissas!$A$40</f>
        <v>Trator</v>
      </c>
      <c r="B56">
        <v>1</v>
      </c>
      <c r="C56">
        <f>INDEX(Semanas!$E$3:$E$54,1)</f>
        <v>9</v>
      </c>
      <c r="D56" t="str">
        <f>Cronograma!B6</f>
        <v/>
      </c>
      <c r="E56">
        <f>Premissas!$I$40</f>
        <v>102</v>
      </c>
      <c r="F56">
        <f t="shared" si="0"/>
        <v>0</v>
      </c>
      <c r="G56">
        <f>IF($D56="",0,$E56*INDEX(Aux_HH!$D$4:$D$31,MATCH($A56&amp;"|"&amp;$D56,Aux_HH!$A$4:$A$31,0)))</f>
        <v>0</v>
      </c>
      <c r="H56">
        <f>IF($D56="",0,$E56*INDEX(Aux_HH!$E$4:$E$31,MATCH($A56&amp;"|"&amp;$D56,Aux_HH!$A$4:$A$31,0)))</f>
        <v>0</v>
      </c>
      <c r="I56">
        <f>IF($D56="",0,$E56*INDEX(Aux_HH!$F$4:$F$31,MATCH($A56&amp;"|"&amp;$D56,Aux_HH!$A$4:$A$31,0)))</f>
        <v>0</v>
      </c>
      <c r="J56">
        <f>IF($D56="",0,$E56*INDEX(Aux_HH!$G$4:$G$31,MATCH($A56&amp;"|"&amp;$D56,Aux_HH!$A$4:$A$31,0)))</f>
        <v>0</v>
      </c>
      <c r="K56">
        <f>IF($D56="",0,$E56*INDEX(Aux_HH!$H$4:$H$31,MATCH($A56&amp;"|"&amp;$D56,Aux_HH!$A$4:$A$31,0)))</f>
        <v>0</v>
      </c>
      <c r="L56">
        <f>IF($D56="",0,$E56*INDEX(Aux_HH!$I$4:$I$31,MATCH($A56&amp;"|"&amp;$D56,Aux_HH!$A$4:$A$31,0)))</f>
        <v>0</v>
      </c>
    </row>
    <row r="57" spans="1:12" ht="15" customHeight="1" x14ac:dyDescent="0.4">
      <c r="A57" t="str">
        <f>Premissas!$A$40</f>
        <v>Trator</v>
      </c>
      <c r="B57">
        <v>2</v>
      </c>
      <c r="C57">
        <f>INDEX(Semanas!$E$3:$E$54,2)</f>
        <v>9</v>
      </c>
      <c r="D57" t="str">
        <f>Cronograma!C6</f>
        <v/>
      </c>
      <c r="E57">
        <f>Premissas!$I$40</f>
        <v>102</v>
      </c>
      <c r="F57">
        <f t="shared" si="0"/>
        <v>0</v>
      </c>
      <c r="G57">
        <f>IF($D57="",0,$E57*INDEX(Aux_HH!$D$4:$D$31,MATCH($A57&amp;"|"&amp;$D57,Aux_HH!$A$4:$A$31,0)))</f>
        <v>0</v>
      </c>
      <c r="H57">
        <f>IF($D57="",0,$E57*INDEX(Aux_HH!$E$4:$E$31,MATCH($A57&amp;"|"&amp;$D57,Aux_HH!$A$4:$A$31,0)))</f>
        <v>0</v>
      </c>
      <c r="I57">
        <f>IF($D57="",0,$E57*INDEX(Aux_HH!$F$4:$F$31,MATCH($A57&amp;"|"&amp;$D57,Aux_HH!$A$4:$A$31,0)))</f>
        <v>0</v>
      </c>
      <c r="J57">
        <f>IF($D57="",0,$E57*INDEX(Aux_HH!$G$4:$G$31,MATCH($A57&amp;"|"&amp;$D57,Aux_HH!$A$4:$A$31,0)))</f>
        <v>0</v>
      </c>
      <c r="K57">
        <f>IF($D57="",0,$E57*INDEX(Aux_HH!$H$4:$H$31,MATCH($A57&amp;"|"&amp;$D57,Aux_HH!$A$4:$A$31,0)))</f>
        <v>0</v>
      </c>
      <c r="L57">
        <f>IF($D57="",0,$E57*INDEX(Aux_HH!$I$4:$I$31,MATCH($A57&amp;"|"&amp;$D57,Aux_HH!$A$4:$A$31,0)))</f>
        <v>0</v>
      </c>
    </row>
    <row r="58" spans="1:12" ht="15" customHeight="1" x14ac:dyDescent="0.4">
      <c r="A58" t="str">
        <f>Premissas!$A$40</f>
        <v>Trator</v>
      </c>
      <c r="B58">
        <v>3</v>
      </c>
      <c r="C58">
        <f>INDEX(Semanas!$E$3:$E$54,3)</f>
        <v>9</v>
      </c>
      <c r="D58" t="str">
        <f>Cronograma!D6</f>
        <v/>
      </c>
      <c r="E58">
        <f>Premissas!$I$40</f>
        <v>102</v>
      </c>
      <c r="F58">
        <f t="shared" si="0"/>
        <v>0</v>
      </c>
      <c r="G58">
        <f>IF($D58="",0,$E58*INDEX(Aux_HH!$D$4:$D$31,MATCH($A58&amp;"|"&amp;$D58,Aux_HH!$A$4:$A$31,0)))</f>
        <v>0</v>
      </c>
      <c r="H58">
        <f>IF($D58="",0,$E58*INDEX(Aux_HH!$E$4:$E$31,MATCH($A58&amp;"|"&amp;$D58,Aux_HH!$A$4:$A$31,0)))</f>
        <v>0</v>
      </c>
      <c r="I58">
        <f>IF($D58="",0,$E58*INDEX(Aux_HH!$F$4:$F$31,MATCH($A58&amp;"|"&amp;$D58,Aux_HH!$A$4:$A$31,0)))</f>
        <v>0</v>
      </c>
      <c r="J58">
        <f>IF($D58="",0,$E58*INDEX(Aux_HH!$G$4:$G$31,MATCH($A58&amp;"|"&amp;$D58,Aux_HH!$A$4:$A$31,0)))</f>
        <v>0</v>
      </c>
      <c r="K58">
        <f>IF($D58="",0,$E58*INDEX(Aux_HH!$H$4:$H$31,MATCH($A58&amp;"|"&amp;$D58,Aux_HH!$A$4:$A$31,0)))</f>
        <v>0</v>
      </c>
      <c r="L58">
        <f>IF($D58="",0,$E58*INDEX(Aux_HH!$I$4:$I$31,MATCH($A58&amp;"|"&amp;$D58,Aux_HH!$A$4:$A$31,0)))</f>
        <v>0</v>
      </c>
    </row>
    <row r="59" spans="1:12" ht="15" customHeight="1" x14ac:dyDescent="0.4">
      <c r="A59" t="str">
        <f>Premissas!$A$40</f>
        <v>Trator</v>
      </c>
      <c r="B59">
        <v>4</v>
      </c>
      <c r="C59">
        <f>INDEX(Semanas!$E$3:$E$54,4)</f>
        <v>9</v>
      </c>
      <c r="D59" t="str">
        <f>Cronograma!E6</f>
        <v/>
      </c>
      <c r="E59">
        <f>Premissas!$I$40</f>
        <v>102</v>
      </c>
      <c r="F59">
        <f t="shared" si="0"/>
        <v>0</v>
      </c>
      <c r="G59">
        <f>IF($D59="",0,$E59*INDEX(Aux_HH!$D$4:$D$31,MATCH($A59&amp;"|"&amp;$D59,Aux_HH!$A$4:$A$31,0)))</f>
        <v>0</v>
      </c>
      <c r="H59">
        <f>IF($D59="",0,$E59*INDEX(Aux_HH!$E$4:$E$31,MATCH($A59&amp;"|"&amp;$D59,Aux_HH!$A$4:$A$31,0)))</f>
        <v>0</v>
      </c>
      <c r="I59">
        <f>IF($D59="",0,$E59*INDEX(Aux_HH!$F$4:$F$31,MATCH($A59&amp;"|"&amp;$D59,Aux_HH!$A$4:$A$31,0)))</f>
        <v>0</v>
      </c>
      <c r="J59">
        <f>IF($D59="",0,$E59*INDEX(Aux_HH!$G$4:$G$31,MATCH($A59&amp;"|"&amp;$D59,Aux_HH!$A$4:$A$31,0)))</f>
        <v>0</v>
      </c>
      <c r="K59">
        <f>IF($D59="",0,$E59*INDEX(Aux_HH!$H$4:$H$31,MATCH($A59&amp;"|"&amp;$D59,Aux_HH!$A$4:$A$31,0)))</f>
        <v>0</v>
      </c>
      <c r="L59">
        <f>IF($D59="",0,$E59*INDEX(Aux_HH!$I$4:$I$31,MATCH($A59&amp;"|"&amp;$D59,Aux_HH!$A$4:$A$31,0)))</f>
        <v>0</v>
      </c>
    </row>
    <row r="60" spans="1:12" ht="15" customHeight="1" x14ac:dyDescent="0.4">
      <c r="A60" t="str">
        <f>Premissas!$A$40</f>
        <v>Trator</v>
      </c>
      <c r="B60">
        <v>5</v>
      </c>
      <c r="C60">
        <f>INDEX(Semanas!$E$3:$E$54,5)</f>
        <v>9</v>
      </c>
      <c r="D60" t="str">
        <f>Cronograma!F6</f>
        <v/>
      </c>
      <c r="E60">
        <f>Premissas!$I$40</f>
        <v>102</v>
      </c>
      <c r="F60">
        <f t="shared" si="0"/>
        <v>0</v>
      </c>
      <c r="G60">
        <f>IF($D60="",0,$E60*INDEX(Aux_HH!$D$4:$D$31,MATCH($A60&amp;"|"&amp;$D60,Aux_HH!$A$4:$A$31,0)))</f>
        <v>0</v>
      </c>
      <c r="H60">
        <f>IF($D60="",0,$E60*INDEX(Aux_HH!$E$4:$E$31,MATCH($A60&amp;"|"&amp;$D60,Aux_HH!$A$4:$A$31,0)))</f>
        <v>0</v>
      </c>
      <c r="I60">
        <f>IF($D60="",0,$E60*INDEX(Aux_HH!$F$4:$F$31,MATCH($A60&amp;"|"&amp;$D60,Aux_HH!$A$4:$A$31,0)))</f>
        <v>0</v>
      </c>
      <c r="J60">
        <f>IF($D60="",0,$E60*INDEX(Aux_HH!$G$4:$G$31,MATCH($A60&amp;"|"&amp;$D60,Aux_HH!$A$4:$A$31,0)))</f>
        <v>0</v>
      </c>
      <c r="K60">
        <f>IF($D60="",0,$E60*INDEX(Aux_HH!$H$4:$H$31,MATCH($A60&amp;"|"&amp;$D60,Aux_HH!$A$4:$A$31,0)))</f>
        <v>0</v>
      </c>
      <c r="L60">
        <f>IF($D60="",0,$E60*INDEX(Aux_HH!$I$4:$I$31,MATCH($A60&amp;"|"&amp;$D60,Aux_HH!$A$4:$A$31,0)))</f>
        <v>0</v>
      </c>
    </row>
    <row r="61" spans="1:12" ht="15" customHeight="1" x14ac:dyDescent="0.4">
      <c r="A61" t="str">
        <f>Premissas!$A$40</f>
        <v>Trator</v>
      </c>
      <c r="B61">
        <v>6</v>
      </c>
      <c r="C61">
        <f>INDEX(Semanas!$E$3:$E$54,6)</f>
        <v>10</v>
      </c>
      <c r="D61" t="str">
        <f>Cronograma!G6</f>
        <v/>
      </c>
      <c r="E61">
        <f>Premissas!$I$40</f>
        <v>102</v>
      </c>
      <c r="F61">
        <f t="shared" si="0"/>
        <v>0</v>
      </c>
      <c r="G61">
        <f>IF($D61="",0,$E61*INDEX(Aux_HH!$D$4:$D$31,MATCH($A61&amp;"|"&amp;$D61,Aux_HH!$A$4:$A$31,0)))</f>
        <v>0</v>
      </c>
      <c r="H61">
        <f>IF($D61="",0,$E61*INDEX(Aux_HH!$E$4:$E$31,MATCH($A61&amp;"|"&amp;$D61,Aux_HH!$A$4:$A$31,0)))</f>
        <v>0</v>
      </c>
      <c r="I61">
        <f>IF($D61="",0,$E61*INDEX(Aux_HH!$F$4:$F$31,MATCH($A61&amp;"|"&amp;$D61,Aux_HH!$A$4:$A$31,0)))</f>
        <v>0</v>
      </c>
      <c r="J61">
        <f>IF($D61="",0,$E61*INDEX(Aux_HH!$G$4:$G$31,MATCH($A61&amp;"|"&amp;$D61,Aux_HH!$A$4:$A$31,0)))</f>
        <v>0</v>
      </c>
      <c r="K61">
        <f>IF($D61="",0,$E61*INDEX(Aux_HH!$H$4:$H$31,MATCH($A61&amp;"|"&amp;$D61,Aux_HH!$A$4:$A$31,0)))</f>
        <v>0</v>
      </c>
      <c r="L61">
        <f>IF($D61="",0,$E61*INDEX(Aux_HH!$I$4:$I$31,MATCH($A61&amp;"|"&amp;$D61,Aux_HH!$A$4:$A$31,0)))</f>
        <v>0</v>
      </c>
    </row>
    <row r="62" spans="1:12" ht="15" customHeight="1" x14ac:dyDescent="0.4">
      <c r="A62" t="str">
        <f>Premissas!$A$40</f>
        <v>Trator</v>
      </c>
      <c r="B62">
        <v>7</v>
      </c>
      <c r="C62">
        <f>INDEX(Semanas!$E$3:$E$54,7)</f>
        <v>10</v>
      </c>
      <c r="D62" t="str">
        <f>Cronograma!H6</f>
        <v>S</v>
      </c>
      <c r="E62">
        <f>Premissas!$I$40</f>
        <v>102</v>
      </c>
      <c r="F62">
        <f t="shared" si="0"/>
        <v>102</v>
      </c>
      <c r="G62">
        <f>IF($D62="",0,$E62*INDEX(Aux_HH!$D$4:$D$31,MATCH($A62&amp;"|"&amp;$D62,Aux_HH!$A$4:$A$31,0)))</f>
        <v>255</v>
      </c>
      <c r="H62">
        <f>IF($D62="",0,$E62*INDEX(Aux_HH!$E$4:$E$31,MATCH($A62&amp;"|"&amp;$D62,Aux_HH!$A$4:$A$31,0)))</f>
        <v>0</v>
      </c>
      <c r="I62">
        <f>IF($D62="",0,$E62*INDEX(Aux_HH!$F$4:$F$31,MATCH($A62&amp;"|"&amp;$D62,Aux_HH!$A$4:$A$31,0)))</f>
        <v>0</v>
      </c>
      <c r="J62">
        <f>IF($D62="",0,$E62*INDEX(Aux_HH!$G$4:$G$31,MATCH($A62&amp;"|"&amp;$D62,Aux_HH!$A$4:$A$31,0)))</f>
        <v>0</v>
      </c>
      <c r="K62">
        <f>IF($D62="",0,$E62*INDEX(Aux_HH!$H$4:$H$31,MATCH($A62&amp;"|"&amp;$D62,Aux_HH!$A$4:$A$31,0)))</f>
        <v>0</v>
      </c>
      <c r="L62">
        <f>IF($D62="",0,$E62*INDEX(Aux_HH!$I$4:$I$31,MATCH($A62&amp;"|"&amp;$D62,Aux_HH!$A$4:$A$31,0)))</f>
        <v>0</v>
      </c>
    </row>
    <row r="63" spans="1:12" ht="15" customHeight="1" x14ac:dyDescent="0.4">
      <c r="A63" t="str">
        <f>Premissas!$A$40</f>
        <v>Trator</v>
      </c>
      <c r="B63">
        <v>8</v>
      </c>
      <c r="C63">
        <f>INDEX(Semanas!$E$3:$E$54,8)</f>
        <v>10</v>
      </c>
      <c r="D63" t="str">
        <f>Cronograma!I6</f>
        <v/>
      </c>
      <c r="E63">
        <f>Premissas!$I$40</f>
        <v>102</v>
      </c>
      <c r="F63">
        <f t="shared" si="0"/>
        <v>0</v>
      </c>
      <c r="G63">
        <f>IF($D63="",0,$E63*INDEX(Aux_HH!$D$4:$D$31,MATCH($A63&amp;"|"&amp;$D63,Aux_HH!$A$4:$A$31,0)))</f>
        <v>0</v>
      </c>
      <c r="H63">
        <f>IF($D63="",0,$E63*INDEX(Aux_HH!$E$4:$E$31,MATCH($A63&amp;"|"&amp;$D63,Aux_HH!$A$4:$A$31,0)))</f>
        <v>0</v>
      </c>
      <c r="I63">
        <f>IF($D63="",0,$E63*INDEX(Aux_HH!$F$4:$F$31,MATCH($A63&amp;"|"&amp;$D63,Aux_HH!$A$4:$A$31,0)))</f>
        <v>0</v>
      </c>
      <c r="J63">
        <f>IF($D63="",0,$E63*INDEX(Aux_HH!$G$4:$G$31,MATCH($A63&amp;"|"&amp;$D63,Aux_HH!$A$4:$A$31,0)))</f>
        <v>0</v>
      </c>
      <c r="K63">
        <f>IF($D63="",0,$E63*INDEX(Aux_HH!$H$4:$H$31,MATCH($A63&amp;"|"&amp;$D63,Aux_HH!$A$4:$A$31,0)))</f>
        <v>0</v>
      </c>
      <c r="L63">
        <f>IF($D63="",0,$E63*INDEX(Aux_HH!$I$4:$I$31,MATCH($A63&amp;"|"&amp;$D63,Aux_HH!$A$4:$A$31,0)))</f>
        <v>0</v>
      </c>
    </row>
    <row r="64" spans="1:12" ht="15" customHeight="1" x14ac:dyDescent="0.4">
      <c r="A64" t="str">
        <f>Premissas!$A$40</f>
        <v>Trator</v>
      </c>
      <c r="B64">
        <v>9</v>
      </c>
      <c r="C64">
        <f>INDEX(Semanas!$E$3:$E$54,9)</f>
        <v>10</v>
      </c>
      <c r="D64" t="str">
        <f>Cronograma!J6</f>
        <v/>
      </c>
      <c r="E64">
        <f>Premissas!$I$40</f>
        <v>102</v>
      </c>
      <c r="F64">
        <f t="shared" si="0"/>
        <v>0</v>
      </c>
      <c r="G64">
        <f>IF($D64="",0,$E64*INDEX(Aux_HH!$D$4:$D$31,MATCH($A64&amp;"|"&amp;$D64,Aux_HH!$A$4:$A$31,0)))</f>
        <v>0</v>
      </c>
      <c r="H64">
        <f>IF($D64="",0,$E64*INDEX(Aux_HH!$E$4:$E$31,MATCH($A64&amp;"|"&amp;$D64,Aux_HH!$A$4:$A$31,0)))</f>
        <v>0</v>
      </c>
      <c r="I64">
        <f>IF($D64="",0,$E64*INDEX(Aux_HH!$F$4:$F$31,MATCH($A64&amp;"|"&amp;$D64,Aux_HH!$A$4:$A$31,0)))</f>
        <v>0</v>
      </c>
      <c r="J64">
        <f>IF($D64="",0,$E64*INDEX(Aux_HH!$G$4:$G$31,MATCH($A64&amp;"|"&amp;$D64,Aux_HH!$A$4:$A$31,0)))</f>
        <v>0</v>
      </c>
      <c r="K64">
        <f>IF($D64="",0,$E64*INDEX(Aux_HH!$H$4:$H$31,MATCH($A64&amp;"|"&amp;$D64,Aux_HH!$A$4:$A$31,0)))</f>
        <v>0</v>
      </c>
      <c r="L64">
        <f>IF($D64="",0,$E64*INDEX(Aux_HH!$I$4:$I$31,MATCH($A64&amp;"|"&amp;$D64,Aux_HH!$A$4:$A$31,0)))</f>
        <v>0</v>
      </c>
    </row>
    <row r="65" spans="1:12" ht="15" customHeight="1" x14ac:dyDescent="0.4">
      <c r="A65" t="str">
        <f>Premissas!$A$40</f>
        <v>Trator</v>
      </c>
      <c r="B65">
        <v>10</v>
      </c>
      <c r="C65">
        <f>INDEX(Semanas!$E$3:$E$54,10)</f>
        <v>11</v>
      </c>
      <c r="D65" t="str">
        <f>Cronograma!K6</f>
        <v/>
      </c>
      <c r="E65">
        <f>Premissas!$I$40</f>
        <v>102</v>
      </c>
      <c r="F65">
        <f t="shared" si="0"/>
        <v>0</v>
      </c>
      <c r="G65">
        <f>IF($D65="",0,$E65*INDEX(Aux_HH!$D$4:$D$31,MATCH($A65&amp;"|"&amp;$D65,Aux_HH!$A$4:$A$31,0)))</f>
        <v>0</v>
      </c>
      <c r="H65">
        <f>IF($D65="",0,$E65*INDEX(Aux_HH!$E$4:$E$31,MATCH($A65&amp;"|"&amp;$D65,Aux_HH!$A$4:$A$31,0)))</f>
        <v>0</v>
      </c>
      <c r="I65">
        <f>IF($D65="",0,$E65*INDEX(Aux_HH!$F$4:$F$31,MATCH($A65&amp;"|"&amp;$D65,Aux_HH!$A$4:$A$31,0)))</f>
        <v>0</v>
      </c>
      <c r="J65">
        <f>IF($D65="",0,$E65*INDEX(Aux_HH!$G$4:$G$31,MATCH($A65&amp;"|"&amp;$D65,Aux_HH!$A$4:$A$31,0)))</f>
        <v>0</v>
      </c>
      <c r="K65">
        <f>IF($D65="",0,$E65*INDEX(Aux_HH!$H$4:$H$31,MATCH($A65&amp;"|"&amp;$D65,Aux_HH!$A$4:$A$31,0)))</f>
        <v>0</v>
      </c>
      <c r="L65">
        <f>IF($D65="",0,$E65*INDEX(Aux_HH!$I$4:$I$31,MATCH($A65&amp;"|"&amp;$D65,Aux_HH!$A$4:$A$31,0)))</f>
        <v>0</v>
      </c>
    </row>
    <row r="66" spans="1:12" ht="15" customHeight="1" x14ac:dyDescent="0.4">
      <c r="A66" t="str">
        <f>Premissas!$A$40</f>
        <v>Trator</v>
      </c>
      <c r="B66">
        <v>11</v>
      </c>
      <c r="C66">
        <f>INDEX(Semanas!$E$3:$E$54,11)</f>
        <v>11</v>
      </c>
      <c r="D66" t="str">
        <f>Cronograma!L6</f>
        <v/>
      </c>
      <c r="E66">
        <f>Premissas!$I$40</f>
        <v>102</v>
      </c>
      <c r="F66">
        <f t="shared" si="0"/>
        <v>0</v>
      </c>
      <c r="G66">
        <f>IF($D66="",0,$E66*INDEX(Aux_HH!$D$4:$D$31,MATCH($A66&amp;"|"&amp;$D66,Aux_HH!$A$4:$A$31,0)))</f>
        <v>0</v>
      </c>
      <c r="H66">
        <f>IF($D66="",0,$E66*INDEX(Aux_HH!$E$4:$E$31,MATCH($A66&amp;"|"&amp;$D66,Aux_HH!$A$4:$A$31,0)))</f>
        <v>0</v>
      </c>
      <c r="I66">
        <f>IF($D66="",0,$E66*INDEX(Aux_HH!$F$4:$F$31,MATCH($A66&amp;"|"&amp;$D66,Aux_HH!$A$4:$A$31,0)))</f>
        <v>0</v>
      </c>
      <c r="J66">
        <f>IF($D66="",0,$E66*INDEX(Aux_HH!$G$4:$G$31,MATCH($A66&amp;"|"&amp;$D66,Aux_HH!$A$4:$A$31,0)))</f>
        <v>0</v>
      </c>
      <c r="K66">
        <f>IF($D66="",0,$E66*INDEX(Aux_HH!$H$4:$H$31,MATCH($A66&amp;"|"&amp;$D66,Aux_HH!$A$4:$A$31,0)))</f>
        <v>0</v>
      </c>
      <c r="L66">
        <f>IF($D66="",0,$E66*INDEX(Aux_HH!$I$4:$I$31,MATCH($A66&amp;"|"&amp;$D66,Aux_HH!$A$4:$A$31,0)))</f>
        <v>0</v>
      </c>
    </row>
    <row r="67" spans="1:12" ht="15" customHeight="1" x14ac:dyDescent="0.4">
      <c r="A67" t="str">
        <f>Premissas!$A$40</f>
        <v>Trator</v>
      </c>
      <c r="B67">
        <v>12</v>
      </c>
      <c r="C67">
        <f>INDEX(Semanas!$E$3:$E$54,12)</f>
        <v>11</v>
      </c>
      <c r="D67" t="str">
        <f>Cronograma!M6</f>
        <v/>
      </c>
      <c r="E67">
        <f>Premissas!$I$40</f>
        <v>102</v>
      </c>
      <c r="F67">
        <f t="shared" si="0"/>
        <v>0</v>
      </c>
      <c r="G67">
        <f>IF($D67="",0,$E67*INDEX(Aux_HH!$D$4:$D$31,MATCH($A67&amp;"|"&amp;$D67,Aux_HH!$A$4:$A$31,0)))</f>
        <v>0</v>
      </c>
      <c r="H67">
        <f>IF($D67="",0,$E67*INDEX(Aux_HH!$E$4:$E$31,MATCH($A67&amp;"|"&amp;$D67,Aux_HH!$A$4:$A$31,0)))</f>
        <v>0</v>
      </c>
      <c r="I67">
        <f>IF($D67="",0,$E67*INDEX(Aux_HH!$F$4:$F$31,MATCH($A67&amp;"|"&amp;$D67,Aux_HH!$A$4:$A$31,0)))</f>
        <v>0</v>
      </c>
      <c r="J67">
        <f>IF($D67="",0,$E67*INDEX(Aux_HH!$G$4:$G$31,MATCH($A67&amp;"|"&amp;$D67,Aux_HH!$A$4:$A$31,0)))</f>
        <v>0</v>
      </c>
      <c r="K67">
        <f>IF($D67="",0,$E67*INDEX(Aux_HH!$H$4:$H$31,MATCH($A67&amp;"|"&amp;$D67,Aux_HH!$A$4:$A$31,0)))</f>
        <v>0</v>
      </c>
      <c r="L67">
        <f>IF($D67="",0,$E67*INDEX(Aux_HH!$I$4:$I$31,MATCH($A67&amp;"|"&amp;$D67,Aux_HH!$A$4:$A$31,0)))</f>
        <v>0</v>
      </c>
    </row>
    <row r="68" spans="1:12" ht="15" customHeight="1" x14ac:dyDescent="0.4">
      <c r="A68" t="str">
        <f>Premissas!$A$40</f>
        <v>Trator</v>
      </c>
      <c r="B68">
        <v>13</v>
      </c>
      <c r="C68">
        <f>INDEX(Semanas!$E$3:$E$54,13)</f>
        <v>11</v>
      </c>
      <c r="D68" t="str">
        <f>Cronograma!N6</f>
        <v>A</v>
      </c>
      <c r="E68">
        <f>Premissas!$I$40</f>
        <v>102</v>
      </c>
      <c r="F68">
        <f t="shared" ref="F68:F131" si="1">IF($D68="",0,$E68)</f>
        <v>102</v>
      </c>
      <c r="G68">
        <f>IF($D68="",0,$E68*INDEX(Aux_HH!$D$4:$D$31,MATCH($A68&amp;"|"&amp;$D68,Aux_HH!$A$4:$A$31,0)))</f>
        <v>459</v>
      </c>
      <c r="H68">
        <f>IF($D68="",0,$E68*INDEX(Aux_HH!$E$4:$E$31,MATCH($A68&amp;"|"&amp;$D68,Aux_HH!$A$4:$A$31,0)))</f>
        <v>0</v>
      </c>
      <c r="I68">
        <f>IF($D68="",0,$E68*INDEX(Aux_HH!$F$4:$F$31,MATCH($A68&amp;"|"&amp;$D68,Aux_HH!$A$4:$A$31,0)))</f>
        <v>0</v>
      </c>
      <c r="J68">
        <f>IF($D68="",0,$E68*INDEX(Aux_HH!$G$4:$G$31,MATCH($A68&amp;"|"&amp;$D68,Aux_HH!$A$4:$A$31,0)))</f>
        <v>0</v>
      </c>
      <c r="K68">
        <f>IF($D68="",0,$E68*INDEX(Aux_HH!$H$4:$H$31,MATCH($A68&amp;"|"&amp;$D68,Aux_HH!$A$4:$A$31,0)))</f>
        <v>0</v>
      </c>
      <c r="L68">
        <f>IF($D68="",0,$E68*INDEX(Aux_HH!$I$4:$I$31,MATCH($A68&amp;"|"&amp;$D68,Aux_HH!$A$4:$A$31,0)))</f>
        <v>0</v>
      </c>
    </row>
    <row r="69" spans="1:12" ht="15" customHeight="1" x14ac:dyDescent="0.4">
      <c r="A69" t="str">
        <f>Premissas!$A$40</f>
        <v>Trator</v>
      </c>
      <c r="B69">
        <v>14</v>
      </c>
      <c r="C69">
        <f>INDEX(Semanas!$E$3:$E$54,14)</f>
        <v>12</v>
      </c>
      <c r="D69" t="str">
        <f>Cronograma!O6</f>
        <v/>
      </c>
      <c r="E69">
        <f>Premissas!$I$40</f>
        <v>102</v>
      </c>
      <c r="F69">
        <f t="shared" si="1"/>
        <v>0</v>
      </c>
      <c r="G69">
        <f>IF($D69="",0,$E69*INDEX(Aux_HH!$D$4:$D$31,MATCH($A69&amp;"|"&amp;$D69,Aux_HH!$A$4:$A$31,0)))</f>
        <v>0</v>
      </c>
      <c r="H69">
        <f>IF($D69="",0,$E69*INDEX(Aux_HH!$E$4:$E$31,MATCH($A69&amp;"|"&amp;$D69,Aux_HH!$A$4:$A$31,0)))</f>
        <v>0</v>
      </c>
      <c r="I69">
        <f>IF($D69="",0,$E69*INDEX(Aux_HH!$F$4:$F$31,MATCH($A69&amp;"|"&amp;$D69,Aux_HH!$A$4:$A$31,0)))</f>
        <v>0</v>
      </c>
      <c r="J69">
        <f>IF($D69="",0,$E69*INDEX(Aux_HH!$G$4:$G$31,MATCH($A69&amp;"|"&amp;$D69,Aux_HH!$A$4:$A$31,0)))</f>
        <v>0</v>
      </c>
      <c r="K69">
        <f>IF($D69="",0,$E69*INDEX(Aux_HH!$H$4:$H$31,MATCH($A69&amp;"|"&amp;$D69,Aux_HH!$A$4:$A$31,0)))</f>
        <v>0</v>
      </c>
      <c r="L69">
        <f>IF($D69="",0,$E69*INDEX(Aux_HH!$I$4:$I$31,MATCH($A69&amp;"|"&amp;$D69,Aux_HH!$A$4:$A$31,0)))</f>
        <v>0</v>
      </c>
    </row>
    <row r="70" spans="1:12" ht="15" customHeight="1" x14ac:dyDescent="0.4">
      <c r="A70" t="str">
        <f>Premissas!$A$40</f>
        <v>Trator</v>
      </c>
      <c r="B70">
        <v>15</v>
      </c>
      <c r="C70">
        <f>INDEX(Semanas!$E$3:$E$54,15)</f>
        <v>12</v>
      </c>
      <c r="D70" t="str">
        <f>Cronograma!P6</f>
        <v/>
      </c>
      <c r="E70">
        <f>Premissas!$I$40</f>
        <v>102</v>
      </c>
      <c r="F70">
        <f t="shared" si="1"/>
        <v>0</v>
      </c>
      <c r="G70">
        <f>IF($D70="",0,$E70*INDEX(Aux_HH!$D$4:$D$31,MATCH($A70&amp;"|"&amp;$D70,Aux_HH!$A$4:$A$31,0)))</f>
        <v>0</v>
      </c>
      <c r="H70">
        <f>IF($D70="",0,$E70*INDEX(Aux_HH!$E$4:$E$31,MATCH($A70&amp;"|"&amp;$D70,Aux_HH!$A$4:$A$31,0)))</f>
        <v>0</v>
      </c>
      <c r="I70">
        <f>IF($D70="",0,$E70*INDEX(Aux_HH!$F$4:$F$31,MATCH($A70&amp;"|"&amp;$D70,Aux_HH!$A$4:$A$31,0)))</f>
        <v>0</v>
      </c>
      <c r="J70">
        <f>IF($D70="",0,$E70*INDEX(Aux_HH!$G$4:$G$31,MATCH($A70&amp;"|"&amp;$D70,Aux_HH!$A$4:$A$31,0)))</f>
        <v>0</v>
      </c>
      <c r="K70">
        <f>IF($D70="",0,$E70*INDEX(Aux_HH!$H$4:$H$31,MATCH($A70&amp;"|"&amp;$D70,Aux_HH!$A$4:$A$31,0)))</f>
        <v>0</v>
      </c>
      <c r="L70">
        <f>IF($D70="",0,$E70*INDEX(Aux_HH!$I$4:$I$31,MATCH($A70&amp;"|"&amp;$D70,Aux_HH!$A$4:$A$31,0)))</f>
        <v>0</v>
      </c>
    </row>
    <row r="71" spans="1:12" ht="15" customHeight="1" x14ac:dyDescent="0.4">
      <c r="A71" t="str">
        <f>Premissas!$A$40</f>
        <v>Trator</v>
      </c>
      <c r="B71">
        <v>16</v>
      </c>
      <c r="C71">
        <f>INDEX(Semanas!$E$3:$E$54,16)</f>
        <v>12</v>
      </c>
      <c r="D71" t="str">
        <f>Cronograma!Q6</f>
        <v/>
      </c>
      <c r="E71">
        <f>Premissas!$I$40</f>
        <v>102</v>
      </c>
      <c r="F71">
        <f t="shared" si="1"/>
        <v>0</v>
      </c>
      <c r="G71">
        <f>IF($D71="",0,$E71*INDEX(Aux_HH!$D$4:$D$31,MATCH($A71&amp;"|"&amp;$D71,Aux_HH!$A$4:$A$31,0)))</f>
        <v>0</v>
      </c>
      <c r="H71">
        <f>IF($D71="",0,$E71*INDEX(Aux_HH!$E$4:$E$31,MATCH($A71&amp;"|"&amp;$D71,Aux_HH!$A$4:$A$31,0)))</f>
        <v>0</v>
      </c>
      <c r="I71">
        <f>IF($D71="",0,$E71*INDEX(Aux_HH!$F$4:$F$31,MATCH($A71&amp;"|"&amp;$D71,Aux_HH!$A$4:$A$31,0)))</f>
        <v>0</v>
      </c>
      <c r="J71">
        <f>IF($D71="",0,$E71*INDEX(Aux_HH!$G$4:$G$31,MATCH($A71&amp;"|"&amp;$D71,Aux_HH!$A$4:$A$31,0)))</f>
        <v>0</v>
      </c>
      <c r="K71">
        <f>IF($D71="",0,$E71*INDEX(Aux_HH!$H$4:$H$31,MATCH($A71&amp;"|"&amp;$D71,Aux_HH!$A$4:$A$31,0)))</f>
        <v>0</v>
      </c>
      <c r="L71">
        <f>IF($D71="",0,$E71*INDEX(Aux_HH!$I$4:$I$31,MATCH($A71&amp;"|"&amp;$D71,Aux_HH!$A$4:$A$31,0)))</f>
        <v>0</v>
      </c>
    </row>
    <row r="72" spans="1:12" ht="15" customHeight="1" x14ac:dyDescent="0.4">
      <c r="A72" t="str">
        <f>Premissas!$A$40</f>
        <v>Trator</v>
      </c>
      <c r="B72">
        <v>17</v>
      </c>
      <c r="C72">
        <f>INDEX(Semanas!$E$3:$E$54,17)</f>
        <v>12</v>
      </c>
      <c r="D72" t="str">
        <f>Cronograma!R6</f>
        <v/>
      </c>
      <c r="E72">
        <f>Premissas!$I$40</f>
        <v>102</v>
      </c>
      <c r="F72">
        <f t="shared" si="1"/>
        <v>0</v>
      </c>
      <c r="G72">
        <f>IF($D72="",0,$E72*INDEX(Aux_HH!$D$4:$D$31,MATCH($A72&amp;"|"&amp;$D72,Aux_HH!$A$4:$A$31,0)))</f>
        <v>0</v>
      </c>
      <c r="H72">
        <f>IF($D72="",0,$E72*INDEX(Aux_HH!$E$4:$E$31,MATCH($A72&amp;"|"&amp;$D72,Aux_HH!$A$4:$A$31,0)))</f>
        <v>0</v>
      </c>
      <c r="I72">
        <f>IF($D72="",0,$E72*INDEX(Aux_HH!$F$4:$F$31,MATCH($A72&amp;"|"&amp;$D72,Aux_HH!$A$4:$A$31,0)))</f>
        <v>0</v>
      </c>
      <c r="J72">
        <f>IF($D72="",0,$E72*INDEX(Aux_HH!$G$4:$G$31,MATCH($A72&amp;"|"&amp;$D72,Aux_HH!$A$4:$A$31,0)))</f>
        <v>0</v>
      </c>
      <c r="K72">
        <f>IF($D72="",0,$E72*INDEX(Aux_HH!$H$4:$H$31,MATCH($A72&amp;"|"&amp;$D72,Aux_HH!$A$4:$A$31,0)))</f>
        <v>0</v>
      </c>
      <c r="L72">
        <f>IF($D72="",0,$E72*INDEX(Aux_HH!$I$4:$I$31,MATCH($A72&amp;"|"&amp;$D72,Aux_HH!$A$4:$A$31,0)))</f>
        <v>0</v>
      </c>
    </row>
    <row r="73" spans="1:12" ht="15" customHeight="1" x14ac:dyDescent="0.4">
      <c r="A73" t="str">
        <f>Premissas!$A$40</f>
        <v>Trator</v>
      </c>
      <c r="B73">
        <v>18</v>
      </c>
      <c r="C73">
        <f>INDEX(Semanas!$E$3:$E$54,18)</f>
        <v>12</v>
      </c>
      <c r="D73" t="str">
        <f>Cronograma!S6</f>
        <v/>
      </c>
      <c r="E73">
        <f>Premissas!$I$40</f>
        <v>102</v>
      </c>
      <c r="F73">
        <f t="shared" si="1"/>
        <v>0</v>
      </c>
      <c r="G73">
        <f>IF($D73="",0,$E73*INDEX(Aux_HH!$D$4:$D$31,MATCH($A73&amp;"|"&amp;$D73,Aux_HH!$A$4:$A$31,0)))</f>
        <v>0</v>
      </c>
      <c r="H73">
        <f>IF($D73="",0,$E73*INDEX(Aux_HH!$E$4:$E$31,MATCH($A73&amp;"|"&amp;$D73,Aux_HH!$A$4:$A$31,0)))</f>
        <v>0</v>
      </c>
      <c r="I73">
        <f>IF($D73="",0,$E73*INDEX(Aux_HH!$F$4:$F$31,MATCH($A73&amp;"|"&amp;$D73,Aux_HH!$A$4:$A$31,0)))</f>
        <v>0</v>
      </c>
      <c r="J73">
        <f>IF($D73="",0,$E73*INDEX(Aux_HH!$G$4:$G$31,MATCH($A73&amp;"|"&amp;$D73,Aux_HH!$A$4:$A$31,0)))</f>
        <v>0</v>
      </c>
      <c r="K73">
        <f>IF($D73="",0,$E73*INDEX(Aux_HH!$H$4:$H$31,MATCH($A73&amp;"|"&amp;$D73,Aux_HH!$A$4:$A$31,0)))</f>
        <v>0</v>
      </c>
      <c r="L73">
        <f>IF($D73="",0,$E73*INDEX(Aux_HH!$I$4:$I$31,MATCH($A73&amp;"|"&amp;$D73,Aux_HH!$A$4:$A$31,0)))</f>
        <v>0</v>
      </c>
    </row>
    <row r="74" spans="1:12" ht="15" customHeight="1" x14ac:dyDescent="0.4">
      <c r="A74" t="str">
        <f>Premissas!$A$40</f>
        <v>Trator</v>
      </c>
      <c r="B74">
        <v>19</v>
      </c>
      <c r="C74">
        <f>INDEX(Semanas!$E$3:$E$54,19)</f>
        <v>1</v>
      </c>
      <c r="D74" t="str">
        <f>Cronograma!T6</f>
        <v>S</v>
      </c>
      <c r="E74">
        <f>Premissas!$I$40</f>
        <v>102</v>
      </c>
      <c r="F74">
        <f t="shared" si="1"/>
        <v>102</v>
      </c>
      <c r="G74">
        <f>IF($D74="",0,$E74*INDEX(Aux_HH!$D$4:$D$31,MATCH($A74&amp;"|"&amp;$D74,Aux_HH!$A$4:$A$31,0)))</f>
        <v>255</v>
      </c>
      <c r="H74">
        <f>IF($D74="",0,$E74*INDEX(Aux_HH!$E$4:$E$31,MATCH($A74&amp;"|"&amp;$D74,Aux_HH!$A$4:$A$31,0)))</f>
        <v>0</v>
      </c>
      <c r="I74">
        <f>IF($D74="",0,$E74*INDEX(Aux_HH!$F$4:$F$31,MATCH($A74&amp;"|"&amp;$D74,Aux_HH!$A$4:$A$31,0)))</f>
        <v>0</v>
      </c>
      <c r="J74">
        <f>IF($D74="",0,$E74*INDEX(Aux_HH!$G$4:$G$31,MATCH($A74&amp;"|"&amp;$D74,Aux_HH!$A$4:$A$31,0)))</f>
        <v>0</v>
      </c>
      <c r="K74">
        <f>IF($D74="",0,$E74*INDEX(Aux_HH!$H$4:$H$31,MATCH($A74&amp;"|"&amp;$D74,Aux_HH!$A$4:$A$31,0)))</f>
        <v>0</v>
      </c>
      <c r="L74">
        <f>IF($D74="",0,$E74*INDEX(Aux_HH!$I$4:$I$31,MATCH($A74&amp;"|"&amp;$D74,Aux_HH!$A$4:$A$31,0)))</f>
        <v>0</v>
      </c>
    </row>
    <row r="75" spans="1:12" ht="15" customHeight="1" x14ac:dyDescent="0.4">
      <c r="A75" t="str">
        <f>Premissas!$A$40</f>
        <v>Trator</v>
      </c>
      <c r="B75">
        <v>20</v>
      </c>
      <c r="C75">
        <f>INDEX(Semanas!$E$3:$E$54,20)</f>
        <v>1</v>
      </c>
      <c r="D75" t="str">
        <f>Cronograma!U6</f>
        <v/>
      </c>
      <c r="E75">
        <f>Premissas!$I$40</f>
        <v>102</v>
      </c>
      <c r="F75">
        <f t="shared" si="1"/>
        <v>0</v>
      </c>
      <c r="G75">
        <f>IF($D75="",0,$E75*INDEX(Aux_HH!$D$4:$D$31,MATCH($A75&amp;"|"&amp;$D75,Aux_HH!$A$4:$A$31,0)))</f>
        <v>0</v>
      </c>
      <c r="H75">
        <f>IF($D75="",0,$E75*INDEX(Aux_HH!$E$4:$E$31,MATCH($A75&amp;"|"&amp;$D75,Aux_HH!$A$4:$A$31,0)))</f>
        <v>0</v>
      </c>
      <c r="I75">
        <f>IF($D75="",0,$E75*INDEX(Aux_HH!$F$4:$F$31,MATCH($A75&amp;"|"&amp;$D75,Aux_HH!$A$4:$A$31,0)))</f>
        <v>0</v>
      </c>
      <c r="J75">
        <f>IF($D75="",0,$E75*INDEX(Aux_HH!$G$4:$G$31,MATCH($A75&amp;"|"&amp;$D75,Aux_HH!$A$4:$A$31,0)))</f>
        <v>0</v>
      </c>
      <c r="K75">
        <f>IF($D75="",0,$E75*INDEX(Aux_HH!$H$4:$H$31,MATCH($A75&amp;"|"&amp;$D75,Aux_HH!$A$4:$A$31,0)))</f>
        <v>0</v>
      </c>
      <c r="L75">
        <f>IF($D75="",0,$E75*INDEX(Aux_HH!$I$4:$I$31,MATCH($A75&amp;"|"&amp;$D75,Aux_HH!$A$4:$A$31,0)))</f>
        <v>0</v>
      </c>
    </row>
    <row r="76" spans="1:12" ht="15" customHeight="1" x14ac:dyDescent="0.4">
      <c r="A76" t="str">
        <f>Premissas!$A$40</f>
        <v>Trator</v>
      </c>
      <c r="B76">
        <v>21</v>
      </c>
      <c r="C76">
        <f>INDEX(Semanas!$E$3:$E$54,21)</f>
        <v>1</v>
      </c>
      <c r="D76" t="str">
        <f>Cronograma!V6</f>
        <v/>
      </c>
      <c r="E76">
        <f>Premissas!$I$40</f>
        <v>102</v>
      </c>
      <c r="F76">
        <f t="shared" si="1"/>
        <v>0</v>
      </c>
      <c r="G76">
        <f>IF($D76="",0,$E76*INDEX(Aux_HH!$D$4:$D$31,MATCH($A76&amp;"|"&amp;$D76,Aux_HH!$A$4:$A$31,0)))</f>
        <v>0</v>
      </c>
      <c r="H76">
        <f>IF($D76="",0,$E76*INDEX(Aux_HH!$E$4:$E$31,MATCH($A76&amp;"|"&amp;$D76,Aux_HH!$A$4:$A$31,0)))</f>
        <v>0</v>
      </c>
      <c r="I76">
        <f>IF($D76="",0,$E76*INDEX(Aux_HH!$F$4:$F$31,MATCH($A76&amp;"|"&amp;$D76,Aux_HH!$A$4:$A$31,0)))</f>
        <v>0</v>
      </c>
      <c r="J76">
        <f>IF($D76="",0,$E76*INDEX(Aux_HH!$G$4:$G$31,MATCH($A76&amp;"|"&amp;$D76,Aux_HH!$A$4:$A$31,0)))</f>
        <v>0</v>
      </c>
      <c r="K76">
        <f>IF($D76="",0,$E76*INDEX(Aux_HH!$H$4:$H$31,MATCH($A76&amp;"|"&amp;$D76,Aux_HH!$A$4:$A$31,0)))</f>
        <v>0</v>
      </c>
      <c r="L76">
        <f>IF($D76="",0,$E76*INDEX(Aux_HH!$I$4:$I$31,MATCH($A76&amp;"|"&amp;$D76,Aux_HH!$A$4:$A$31,0)))</f>
        <v>0</v>
      </c>
    </row>
    <row r="77" spans="1:12" ht="15" customHeight="1" x14ac:dyDescent="0.4">
      <c r="A77" t="str">
        <f>Premissas!$A$40</f>
        <v>Trator</v>
      </c>
      <c r="B77">
        <v>22</v>
      </c>
      <c r="C77">
        <f>INDEX(Semanas!$E$3:$E$54,22)</f>
        <v>1</v>
      </c>
      <c r="D77" t="str">
        <f>Cronograma!W6</f>
        <v/>
      </c>
      <c r="E77">
        <f>Premissas!$I$40</f>
        <v>102</v>
      </c>
      <c r="F77">
        <f t="shared" si="1"/>
        <v>0</v>
      </c>
      <c r="G77">
        <f>IF($D77="",0,$E77*INDEX(Aux_HH!$D$4:$D$31,MATCH($A77&amp;"|"&amp;$D77,Aux_HH!$A$4:$A$31,0)))</f>
        <v>0</v>
      </c>
      <c r="H77">
        <f>IF($D77="",0,$E77*INDEX(Aux_HH!$E$4:$E$31,MATCH($A77&amp;"|"&amp;$D77,Aux_HH!$A$4:$A$31,0)))</f>
        <v>0</v>
      </c>
      <c r="I77">
        <f>IF($D77="",0,$E77*INDEX(Aux_HH!$F$4:$F$31,MATCH($A77&amp;"|"&amp;$D77,Aux_HH!$A$4:$A$31,0)))</f>
        <v>0</v>
      </c>
      <c r="J77">
        <f>IF($D77="",0,$E77*INDEX(Aux_HH!$G$4:$G$31,MATCH($A77&amp;"|"&amp;$D77,Aux_HH!$A$4:$A$31,0)))</f>
        <v>0</v>
      </c>
      <c r="K77">
        <f>IF($D77="",0,$E77*INDEX(Aux_HH!$H$4:$H$31,MATCH($A77&amp;"|"&amp;$D77,Aux_HH!$A$4:$A$31,0)))</f>
        <v>0</v>
      </c>
      <c r="L77">
        <f>IF($D77="",0,$E77*INDEX(Aux_HH!$I$4:$I$31,MATCH($A77&amp;"|"&amp;$D77,Aux_HH!$A$4:$A$31,0)))</f>
        <v>0</v>
      </c>
    </row>
    <row r="78" spans="1:12" ht="15" customHeight="1" x14ac:dyDescent="0.4">
      <c r="A78" t="str">
        <f>Premissas!$A$40</f>
        <v>Trator</v>
      </c>
      <c r="B78">
        <v>23</v>
      </c>
      <c r="C78">
        <f>INDEX(Semanas!$E$3:$E$54,23)</f>
        <v>2</v>
      </c>
      <c r="D78" t="str">
        <f>Cronograma!X6</f>
        <v/>
      </c>
      <c r="E78">
        <f>Premissas!$I$40</f>
        <v>102</v>
      </c>
      <c r="F78">
        <f t="shared" si="1"/>
        <v>0</v>
      </c>
      <c r="G78">
        <f>IF($D78="",0,$E78*INDEX(Aux_HH!$D$4:$D$31,MATCH($A78&amp;"|"&amp;$D78,Aux_HH!$A$4:$A$31,0)))</f>
        <v>0</v>
      </c>
      <c r="H78">
        <f>IF($D78="",0,$E78*INDEX(Aux_HH!$E$4:$E$31,MATCH($A78&amp;"|"&amp;$D78,Aux_HH!$A$4:$A$31,0)))</f>
        <v>0</v>
      </c>
      <c r="I78">
        <f>IF($D78="",0,$E78*INDEX(Aux_HH!$F$4:$F$31,MATCH($A78&amp;"|"&amp;$D78,Aux_HH!$A$4:$A$31,0)))</f>
        <v>0</v>
      </c>
      <c r="J78">
        <f>IF($D78="",0,$E78*INDEX(Aux_HH!$G$4:$G$31,MATCH($A78&amp;"|"&amp;$D78,Aux_HH!$A$4:$A$31,0)))</f>
        <v>0</v>
      </c>
      <c r="K78">
        <f>IF($D78="",0,$E78*INDEX(Aux_HH!$H$4:$H$31,MATCH($A78&amp;"|"&amp;$D78,Aux_HH!$A$4:$A$31,0)))</f>
        <v>0</v>
      </c>
      <c r="L78">
        <f>IF($D78="",0,$E78*INDEX(Aux_HH!$I$4:$I$31,MATCH($A78&amp;"|"&amp;$D78,Aux_HH!$A$4:$A$31,0)))</f>
        <v>0</v>
      </c>
    </row>
    <row r="79" spans="1:12" ht="15" customHeight="1" x14ac:dyDescent="0.4">
      <c r="A79" t="str">
        <f>Premissas!$A$40</f>
        <v>Trator</v>
      </c>
      <c r="B79">
        <v>24</v>
      </c>
      <c r="C79">
        <f>INDEX(Semanas!$E$3:$E$54,24)</f>
        <v>2</v>
      </c>
      <c r="D79" t="str">
        <f>Cronograma!Y6</f>
        <v/>
      </c>
      <c r="E79">
        <f>Premissas!$I$40</f>
        <v>102</v>
      </c>
      <c r="F79">
        <f t="shared" si="1"/>
        <v>0</v>
      </c>
      <c r="G79">
        <f>IF($D79="",0,$E79*INDEX(Aux_HH!$D$4:$D$31,MATCH($A79&amp;"|"&amp;$D79,Aux_HH!$A$4:$A$31,0)))</f>
        <v>0</v>
      </c>
      <c r="H79">
        <f>IF($D79="",0,$E79*INDEX(Aux_HH!$E$4:$E$31,MATCH($A79&amp;"|"&amp;$D79,Aux_HH!$A$4:$A$31,0)))</f>
        <v>0</v>
      </c>
      <c r="I79">
        <f>IF($D79="",0,$E79*INDEX(Aux_HH!$F$4:$F$31,MATCH($A79&amp;"|"&amp;$D79,Aux_HH!$A$4:$A$31,0)))</f>
        <v>0</v>
      </c>
      <c r="J79">
        <f>IF($D79="",0,$E79*INDEX(Aux_HH!$G$4:$G$31,MATCH($A79&amp;"|"&amp;$D79,Aux_HH!$A$4:$A$31,0)))</f>
        <v>0</v>
      </c>
      <c r="K79">
        <f>IF($D79="",0,$E79*INDEX(Aux_HH!$H$4:$H$31,MATCH($A79&amp;"|"&amp;$D79,Aux_HH!$A$4:$A$31,0)))</f>
        <v>0</v>
      </c>
      <c r="L79">
        <f>IF($D79="",0,$E79*INDEX(Aux_HH!$I$4:$I$31,MATCH($A79&amp;"|"&amp;$D79,Aux_HH!$A$4:$A$31,0)))</f>
        <v>0</v>
      </c>
    </row>
    <row r="80" spans="1:12" ht="15" customHeight="1" x14ac:dyDescent="0.4">
      <c r="A80" t="str">
        <f>Premissas!$A$40</f>
        <v>Trator</v>
      </c>
      <c r="B80">
        <v>25</v>
      </c>
      <c r="C80">
        <f>INDEX(Semanas!$E$3:$E$54,25)</f>
        <v>2</v>
      </c>
      <c r="D80" t="str">
        <f>Cronograma!Z6</f>
        <v>B</v>
      </c>
      <c r="E80">
        <f>Premissas!$I$40</f>
        <v>102</v>
      </c>
      <c r="F80">
        <f t="shared" si="1"/>
        <v>102</v>
      </c>
      <c r="G80">
        <f>IF($D80="",0,$E80*INDEX(Aux_HH!$D$4:$D$31,MATCH($A80&amp;"|"&amp;$D80,Aux_HH!$A$4:$A$31,0)))</f>
        <v>816</v>
      </c>
      <c r="H80">
        <f>IF($D80="",0,$E80*INDEX(Aux_HH!$E$4:$E$31,MATCH($A80&amp;"|"&amp;$D80,Aux_HH!$A$4:$A$31,0)))</f>
        <v>0</v>
      </c>
      <c r="I80">
        <f>IF($D80="",0,$E80*INDEX(Aux_HH!$F$4:$F$31,MATCH($A80&amp;"|"&amp;$D80,Aux_HH!$A$4:$A$31,0)))</f>
        <v>0</v>
      </c>
      <c r="J80">
        <f>IF($D80="",0,$E80*INDEX(Aux_HH!$G$4:$G$31,MATCH($A80&amp;"|"&amp;$D80,Aux_HH!$A$4:$A$31,0)))</f>
        <v>0</v>
      </c>
      <c r="K80">
        <f>IF($D80="",0,$E80*INDEX(Aux_HH!$H$4:$H$31,MATCH($A80&amp;"|"&amp;$D80,Aux_HH!$A$4:$A$31,0)))</f>
        <v>0</v>
      </c>
      <c r="L80">
        <f>IF($D80="",0,$E80*INDEX(Aux_HH!$I$4:$I$31,MATCH($A80&amp;"|"&amp;$D80,Aux_HH!$A$4:$A$31,0)))</f>
        <v>0</v>
      </c>
    </row>
    <row r="81" spans="1:12" ht="15" customHeight="1" x14ac:dyDescent="0.4">
      <c r="A81" t="str">
        <f>Premissas!$A$40</f>
        <v>Trator</v>
      </c>
      <c r="B81">
        <v>26</v>
      </c>
      <c r="C81">
        <f>INDEX(Semanas!$E$3:$E$54,26)</f>
        <v>2</v>
      </c>
      <c r="D81" t="str">
        <f>Cronograma!AA6</f>
        <v/>
      </c>
      <c r="E81">
        <f>Premissas!$I$40</f>
        <v>102</v>
      </c>
      <c r="F81">
        <f t="shared" si="1"/>
        <v>0</v>
      </c>
      <c r="G81">
        <f>IF($D81="",0,$E81*INDEX(Aux_HH!$D$4:$D$31,MATCH($A81&amp;"|"&amp;$D81,Aux_HH!$A$4:$A$31,0)))</f>
        <v>0</v>
      </c>
      <c r="H81">
        <f>IF($D81="",0,$E81*INDEX(Aux_HH!$E$4:$E$31,MATCH($A81&amp;"|"&amp;$D81,Aux_HH!$A$4:$A$31,0)))</f>
        <v>0</v>
      </c>
      <c r="I81">
        <f>IF($D81="",0,$E81*INDEX(Aux_HH!$F$4:$F$31,MATCH($A81&amp;"|"&amp;$D81,Aux_HH!$A$4:$A$31,0)))</f>
        <v>0</v>
      </c>
      <c r="J81">
        <f>IF($D81="",0,$E81*INDEX(Aux_HH!$G$4:$G$31,MATCH($A81&amp;"|"&amp;$D81,Aux_HH!$A$4:$A$31,0)))</f>
        <v>0</v>
      </c>
      <c r="K81">
        <f>IF($D81="",0,$E81*INDEX(Aux_HH!$H$4:$H$31,MATCH($A81&amp;"|"&amp;$D81,Aux_HH!$A$4:$A$31,0)))</f>
        <v>0</v>
      </c>
      <c r="L81">
        <f>IF($D81="",0,$E81*INDEX(Aux_HH!$I$4:$I$31,MATCH($A81&amp;"|"&amp;$D81,Aux_HH!$A$4:$A$31,0)))</f>
        <v>0</v>
      </c>
    </row>
    <row r="82" spans="1:12" ht="15" customHeight="1" x14ac:dyDescent="0.4">
      <c r="A82" t="str">
        <f>Premissas!$A$40</f>
        <v>Trator</v>
      </c>
      <c r="B82">
        <v>27</v>
      </c>
      <c r="C82">
        <f>INDEX(Semanas!$E$3:$E$54,27)</f>
        <v>3</v>
      </c>
      <c r="D82" t="str">
        <f>Cronograma!AB6</f>
        <v/>
      </c>
      <c r="E82">
        <f>Premissas!$I$40</f>
        <v>102</v>
      </c>
      <c r="F82">
        <f t="shared" si="1"/>
        <v>0</v>
      </c>
      <c r="G82">
        <f>IF($D82="",0,$E82*INDEX(Aux_HH!$D$4:$D$31,MATCH($A82&amp;"|"&amp;$D82,Aux_HH!$A$4:$A$31,0)))</f>
        <v>0</v>
      </c>
      <c r="H82">
        <f>IF($D82="",0,$E82*INDEX(Aux_HH!$E$4:$E$31,MATCH($A82&amp;"|"&amp;$D82,Aux_HH!$A$4:$A$31,0)))</f>
        <v>0</v>
      </c>
      <c r="I82">
        <f>IF($D82="",0,$E82*INDEX(Aux_HH!$F$4:$F$31,MATCH($A82&amp;"|"&amp;$D82,Aux_HH!$A$4:$A$31,0)))</f>
        <v>0</v>
      </c>
      <c r="J82">
        <f>IF($D82="",0,$E82*INDEX(Aux_HH!$G$4:$G$31,MATCH($A82&amp;"|"&amp;$D82,Aux_HH!$A$4:$A$31,0)))</f>
        <v>0</v>
      </c>
      <c r="K82">
        <f>IF($D82="",0,$E82*INDEX(Aux_HH!$H$4:$H$31,MATCH($A82&amp;"|"&amp;$D82,Aux_HH!$A$4:$A$31,0)))</f>
        <v>0</v>
      </c>
      <c r="L82">
        <f>IF($D82="",0,$E82*INDEX(Aux_HH!$I$4:$I$31,MATCH($A82&amp;"|"&amp;$D82,Aux_HH!$A$4:$A$31,0)))</f>
        <v>0</v>
      </c>
    </row>
    <row r="83" spans="1:12" ht="15" customHeight="1" x14ac:dyDescent="0.4">
      <c r="A83" t="str">
        <f>Premissas!$A$40</f>
        <v>Trator</v>
      </c>
      <c r="B83">
        <v>28</v>
      </c>
      <c r="C83">
        <f>INDEX(Semanas!$E$3:$E$54,28)</f>
        <v>3</v>
      </c>
      <c r="D83" t="str">
        <f>Cronograma!AC6</f>
        <v/>
      </c>
      <c r="E83">
        <f>Premissas!$I$40</f>
        <v>102</v>
      </c>
      <c r="F83">
        <f t="shared" si="1"/>
        <v>0</v>
      </c>
      <c r="G83">
        <f>IF($D83="",0,$E83*INDEX(Aux_HH!$D$4:$D$31,MATCH($A83&amp;"|"&amp;$D83,Aux_HH!$A$4:$A$31,0)))</f>
        <v>0</v>
      </c>
      <c r="H83">
        <f>IF($D83="",0,$E83*INDEX(Aux_HH!$E$4:$E$31,MATCH($A83&amp;"|"&amp;$D83,Aux_HH!$A$4:$A$31,0)))</f>
        <v>0</v>
      </c>
      <c r="I83">
        <f>IF($D83="",0,$E83*INDEX(Aux_HH!$F$4:$F$31,MATCH($A83&amp;"|"&amp;$D83,Aux_HH!$A$4:$A$31,0)))</f>
        <v>0</v>
      </c>
      <c r="J83">
        <f>IF($D83="",0,$E83*INDEX(Aux_HH!$G$4:$G$31,MATCH($A83&amp;"|"&amp;$D83,Aux_HH!$A$4:$A$31,0)))</f>
        <v>0</v>
      </c>
      <c r="K83">
        <f>IF($D83="",0,$E83*INDEX(Aux_HH!$H$4:$H$31,MATCH($A83&amp;"|"&amp;$D83,Aux_HH!$A$4:$A$31,0)))</f>
        <v>0</v>
      </c>
      <c r="L83">
        <f>IF($D83="",0,$E83*INDEX(Aux_HH!$I$4:$I$31,MATCH($A83&amp;"|"&amp;$D83,Aux_HH!$A$4:$A$31,0)))</f>
        <v>0</v>
      </c>
    </row>
    <row r="84" spans="1:12" ht="15" customHeight="1" x14ac:dyDescent="0.4">
      <c r="A84" t="str">
        <f>Premissas!$A$40</f>
        <v>Trator</v>
      </c>
      <c r="B84">
        <v>29</v>
      </c>
      <c r="C84">
        <f>INDEX(Semanas!$E$3:$E$54,29)</f>
        <v>3</v>
      </c>
      <c r="D84" t="str">
        <f>Cronograma!AD6</f>
        <v/>
      </c>
      <c r="E84">
        <f>Premissas!$I$40</f>
        <v>102</v>
      </c>
      <c r="F84">
        <f t="shared" si="1"/>
        <v>0</v>
      </c>
      <c r="G84">
        <f>IF($D84="",0,$E84*INDEX(Aux_HH!$D$4:$D$31,MATCH($A84&amp;"|"&amp;$D84,Aux_HH!$A$4:$A$31,0)))</f>
        <v>0</v>
      </c>
      <c r="H84">
        <f>IF($D84="",0,$E84*INDEX(Aux_HH!$E$4:$E$31,MATCH($A84&amp;"|"&amp;$D84,Aux_HH!$A$4:$A$31,0)))</f>
        <v>0</v>
      </c>
      <c r="I84">
        <f>IF($D84="",0,$E84*INDEX(Aux_HH!$F$4:$F$31,MATCH($A84&amp;"|"&amp;$D84,Aux_HH!$A$4:$A$31,0)))</f>
        <v>0</v>
      </c>
      <c r="J84">
        <f>IF($D84="",0,$E84*INDEX(Aux_HH!$G$4:$G$31,MATCH($A84&amp;"|"&amp;$D84,Aux_HH!$A$4:$A$31,0)))</f>
        <v>0</v>
      </c>
      <c r="K84">
        <f>IF($D84="",0,$E84*INDEX(Aux_HH!$H$4:$H$31,MATCH($A84&amp;"|"&amp;$D84,Aux_HH!$A$4:$A$31,0)))</f>
        <v>0</v>
      </c>
      <c r="L84">
        <f>IF($D84="",0,$E84*INDEX(Aux_HH!$I$4:$I$31,MATCH($A84&amp;"|"&amp;$D84,Aux_HH!$A$4:$A$31,0)))</f>
        <v>0</v>
      </c>
    </row>
    <row r="85" spans="1:12" ht="15" customHeight="1" x14ac:dyDescent="0.4">
      <c r="A85" t="str">
        <f>Premissas!$A$40</f>
        <v>Trator</v>
      </c>
      <c r="B85">
        <v>30</v>
      </c>
      <c r="C85">
        <f>INDEX(Semanas!$E$3:$E$54,30)</f>
        <v>3</v>
      </c>
      <c r="D85" t="str">
        <f>Cronograma!AE6</f>
        <v/>
      </c>
      <c r="E85">
        <f>Premissas!$I$40</f>
        <v>102</v>
      </c>
      <c r="F85">
        <f t="shared" si="1"/>
        <v>0</v>
      </c>
      <c r="G85">
        <f>IF($D85="",0,$E85*INDEX(Aux_HH!$D$4:$D$31,MATCH($A85&amp;"|"&amp;$D85,Aux_HH!$A$4:$A$31,0)))</f>
        <v>0</v>
      </c>
      <c r="H85">
        <f>IF($D85="",0,$E85*INDEX(Aux_HH!$E$4:$E$31,MATCH($A85&amp;"|"&amp;$D85,Aux_HH!$A$4:$A$31,0)))</f>
        <v>0</v>
      </c>
      <c r="I85">
        <f>IF($D85="",0,$E85*INDEX(Aux_HH!$F$4:$F$31,MATCH($A85&amp;"|"&amp;$D85,Aux_HH!$A$4:$A$31,0)))</f>
        <v>0</v>
      </c>
      <c r="J85">
        <f>IF($D85="",0,$E85*INDEX(Aux_HH!$G$4:$G$31,MATCH($A85&amp;"|"&amp;$D85,Aux_HH!$A$4:$A$31,0)))</f>
        <v>0</v>
      </c>
      <c r="K85">
        <f>IF($D85="",0,$E85*INDEX(Aux_HH!$H$4:$H$31,MATCH($A85&amp;"|"&amp;$D85,Aux_HH!$A$4:$A$31,0)))</f>
        <v>0</v>
      </c>
      <c r="L85">
        <f>IF($D85="",0,$E85*INDEX(Aux_HH!$I$4:$I$31,MATCH($A85&amp;"|"&amp;$D85,Aux_HH!$A$4:$A$31,0)))</f>
        <v>0</v>
      </c>
    </row>
    <row r="86" spans="1:12" ht="15" customHeight="1" x14ac:dyDescent="0.4">
      <c r="A86" t="str">
        <f>Premissas!$A$40</f>
        <v>Trator</v>
      </c>
      <c r="B86">
        <v>31</v>
      </c>
      <c r="C86">
        <f>INDEX(Semanas!$E$3:$E$54,31)</f>
        <v>3</v>
      </c>
      <c r="D86" t="str">
        <f>Cronograma!AF6</f>
        <v/>
      </c>
      <c r="E86">
        <f>Premissas!$I$40</f>
        <v>102</v>
      </c>
      <c r="F86">
        <f t="shared" si="1"/>
        <v>0</v>
      </c>
      <c r="G86">
        <f>IF($D86="",0,$E86*INDEX(Aux_HH!$D$4:$D$31,MATCH($A86&amp;"|"&amp;$D86,Aux_HH!$A$4:$A$31,0)))</f>
        <v>0</v>
      </c>
      <c r="H86">
        <f>IF($D86="",0,$E86*INDEX(Aux_HH!$E$4:$E$31,MATCH($A86&amp;"|"&amp;$D86,Aux_HH!$A$4:$A$31,0)))</f>
        <v>0</v>
      </c>
      <c r="I86">
        <f>IF($D86="",0,$E86*INDEX(Aux_HH!$F$4:$F$31,MATCH($A86&amp;"|"&amp;$D86,Aux_HH!$A$4:$A$31,0)))</f>
        <v>0</v>
      </c>
      <c r="J86">
        <f>IF($D86="",0,$E86*INDEX(Aux_HH!$G$4:$G$31,MATCH($A86&amp;"|"&amp;$D86,Aux_HH!$A$4:$A$31,0)))</f>
        <v>0</v>
      </c>
      <c r="K86">
        <f>IF($D86="",0,$E86*INDEX(Aux_HH!$H$4:$H$31,MATCH($A86&amp;"|"&amp;$D86,Aux_HH!$A$4:$A$31,0)))</f>
        <v>0</v>
      </c>
      <c r="L86">
        <f>IF($D86="",0,$E86*INDEX(Aux_HH!$I$4:$I$31,MATCH($A86&amp;"|"&amp;$D86,Aux_HH!$A$4:$A$31,0)))</f>
        <v>0</v>
      </c>
    </row>
    <row r="87" spans="1:12" ht="15" customHeight="1" x14ac:dyDescent="0.4">
      <c r="A87" t="str">
        <f>Premissas!$A$40</f>
        <v>Trator</v>
      </c>
      <c r="B87">
        <v>32</v>
      </c>
      <c r="C87">
        <f>INDEX(Semanas!$E$3:$E$54,32)</f>
        <v>4</v>
      </c>
      <c r="D87" t="str">
        <f>Cronograma!AG6</f>
        <v>S</v>
      </c>
      <c r="E87">
        <f>Premissas!$I$40</f>
        <v>102</v>
      </c>
      <c r="F87">
        <f t="shared" si="1"/>
        <v>102</v>
      </c>
      <c r="G87">
        <f>IF($D87="",0,$E87*INDEX(Aux_HH!$D$4:$D$31,MATCH($A87&amp;"|"&amp;$D87,Aux_HH!$A$4:$A$31,0)))</f>
        <v>255</v>
      </c>
      <c r="H87">
        <f>IF($D87="",0,$E87*INDEX(Aux_HH!$E$4:$E$31,MATCH($A87&amp;"|"&amp;$D87,Aux_HH!$A$4:$A$31,0)))</f>
        <v>0</v>
      </c>
      <c r="I87">
        <f>IF($D87="",0,$E87*INDEX(Aux_HH!$F$4:$F$31,MATCH($A87&amp;"|"&amp;$D87,Aux_HH!$A$4:$A$31,0)))</f>
        <v>0</v>
      </c>
      <c r="J87">
        <f>IF($D87="",0,$E87*INDEX(Aux_HH!$G$4:$G$31,MATCH($A87&amp;"|"&amp;$D87,Aux_HH!$A$4:$A$31,0)))</f>
        <v>0</v>
      </c>
      <c r="K87">
        <f>IF($D87="",0,$E87*INDEX(Aux_HH!$H$4:$H$31,MATCH($A87&amp;"|"&amp;$D87,Aux_HH!$A$4:$A$31,0)))</f>
        <v>0</v>
      </c>
      <c r="L87">
        <f>IF($D87="",0,$E87*INDEX(Aux_HH!$I$4:$I$31,MATCH($A87&amp;"|"&amp;$D87,Aux_HH!$A$4:$A$31,0)))</f>
        <v>0</v>
      </c>
    </row>
    <row r="88" spans="1:12" ht="15" customHeight="1" x14ac:dyDescent="0.4">
      <c r="A88" t="str">
        <f>Premissas!$A$40</f>
        <v>Trator</v>
      </c>
      <c r="B88">
        <v>33</v>
      </c>
      <c r="C88">
        <f>INDEX(Semanas!$E$3:$E$54,33)</f>
        <v>4</v>
      </c>
      <c r="D88" t="str">
        <f>Cronograma!AH6</f>
        <v/>
      </c>
      <c r="E88">
        <f>Premissas!$I$40</f>
        <v>102</v>
      </c>
      <c r="F88">
        <f t="shared" si="1"/>
        <v>0</v>
      </c>
      <c r="G88">
        <f>IF($D88="",0,$E88*INDEX(Aux_HH!$D$4:$D$31,MATCH($A88&amp;"|"&amp;$D88,Aux_HH!$A$4:$A$31,0)))</f>
        <v>0</v>
      </c>
      <c r="H88">
        <f>IF($D88="",0,$E88*INDEX(Aux_HH!$E$4:$E$31,MATCH($A88&amp;"|"&amp;$D88,Aux_HH!$A$4:$A$31,0)))</f>
        <v>0</v>
      </c>
      <c r="I88">
        <f>IF($D88="",0,$E88*INDEX(Aux_HH!$F$4:$F$31,MATCH($A88&amp;"|"&amp;$D88,Aux_HH!$A$4:$A$31,0)))</f>
        <v>0</v>
      </c>
      <c r="J88">
        <f>IF($D88="",0,$E88*INDEX(Aux_HH!$G$4:$G$31,MATCH($A88&amp;"|"&amp;$D88,Aux_HH!$A$4:$A$31,0)))</f>
        <v>0</v>
      </c>
      <c r="K88">
        <f>IF($D88="",0,$E88*INDEX(Aux_HH!$H$4:$H$31,MATCH($A88&amp;"|"&amp;$D88,Aux_HH!$A$4:$A$31,0)))</f>
        <v>0</v>
      </c>
      <c r="L88">
        <f>IF($D88="",0,$E88*INDEX(Aux_HH!$I$4:$I$31,MATCH($A88&amp;"|"&amp;$D88,Aux_HH!$A$4:$A$31,0)))</f>
        <v>0</v>
      </c>
    </row>
    <row r="89" spans="1:12" ht="15" customHeight="1" x14ac:dyDescent="0.4">
      <c r="A89" t="str">
        <f>Premissas!$A$40</f>
        <v>Trator</v>
      </c>
      <c r="B89">
        <v>34</v>
      </c>
      <c r="C89">
        <f>INDEX(Semanas!$E$3:$E$54,34)</f>
        <v>4</v>
      </c>
      <c r="D89" t="str">
        <f>Cronograma!AI6</f>
        <v/>
      </c>
      <c r="E89">
        <f>Premissas!$I$40</f>
        <v>102</v>
      </c>
      <c r="F89">
        <f t="shared" si="1"/>
        <v>0</v>
      </c>
      <c r="G89">
        <f>IF($D89="",0,$E89*INDEX(Aux_HH!$D$4:$D$31,MATCH($A89&amp;"|"&amp;$D89,Aux_HH!$A$4:$A$31,0)))</f>
        <v>0</v>
      </c>
      <c r="H89">
        <f>IF($D89="",0,$E89*INDEX(Aux_HH!$E$4:$E$31,MATCH($A89&amp;"|"&amp;$D89,Aux_HH!$A$4:$A$31,0)))</f>
        <v>0</v>
      </c>
      <c r="I89">
        <f>IF($D89="",0,$E89*INDEX(Aux_HH!$F$4:$F$31,MATCH($A89&amp;"|"&amp;$D89,Aux_HH!$A$4:$A$31,0)))</f>
        <v>0</v>
      </c>
      <c r="J89">
        <f>IF($D89="",0,$E89*INDEX(Aux_HH!$G$4:$G$31,MATCH($A89&amp;"|"&amp;$D89,Aux_HH!$A$4:$A$31,0)))</f>
        <v>0</v>
      </c>
      <c r="K89">
        <f>IF($D89="",0,$E89*INDEX(Aux_HH!$H$4:$H$31,MATCH($A89&amp;"|"&amp;$D89,Aux_HH!$A$4:$A$31,0)))</f>
        <v>0</v>
      </c>
      <c r="L89">
        <f>IF($D89="",0,$E89*INDEX(Aux_HH!$I$4:$I$31,MATCH($A89&amp;"|"&amp;$D89,Aux_HH!$A$4:$A$31,0)))</f>
        <v>0</v>
      </c>
    </row>
    <row r="90" spans="1:12" ht="15" customHeight="1" x14ac:dyDescent="0.4">
      <c r="A90" t="str">
        <f>Premissas!$A$40</f>
        <v>Trator</v>
      </c>
      <c r="B90">
        <v>35</v>
      </c>
      <c r="C90">
        <f>INDEX(Semanas!$E$3:$E$54,35)</f>
        <v>4</v>
      </c>
      <c r="D90" t="str">
        <f>Cronograma!AJ6</f>
        <v/>
      </c>
      <c r="E90">
        <f>Premissas!$I$40</f>
        <v>102</v>
      </c>
      <c r="F90">
        <f t="shared" si="1"/>
        <v>0</v>
      </c>
      <c r="G90">
        <f>IF($D90="",0,$E90*INDEX(Aux_HH!$D$4:$D$31,MATCH($A90&amp;"|"&amp;$D90,Aux_HH!$A$4:$A$31,0)))</f>
        <v>0</v>
      </c>
      <c r="H90">
        <f>IF($D90="",0,$E90*INDEX(Aux_HH!$E$4:$E$31,MATCH($A90&amp;"|"&amp;$D90,Aux_HH!$A$4:$A$31,0)))</f>
        <v>0</v>
      </c>
      <c r="I90">
        <f>IF($D90="",0,$E90*INDEX(Aux_HH!$F$4:$F$31,MATCH($A90&amp;"|"&amp;$D90,Aux_HH!$A$4:$A$31,0)))</f>
        <v>0</v>
      </c>
      <c r="J90">
        <f>IF($D90="",0,$E90*INDEX(Aux_HH!$G$4:$G$31,MATCH($A90&amp;"|"&amp;$D90,Aux_HH!$A$4:$A$31,0)))</f>
        <v>0</v>
      </c>
      <c r="K90">
        <f>IF($D90="",0,$E90*INDEX(Aux_HH!$H$4:$H$31,MATCH($A90&amp;"|"&amp;$D90,Aux_HH!$A$4:$A$31,0)))</f>
        <v>0</v>
      </c>
      <c r="L90">
        <f>IF($D90="",0,$E90*INDEX(Aux_HH!$I$4:$I$31,MATCH($A90&amp;"|"&amp;$D90,Aux_HH!$A$4:$A$31,0)))</f>
        <v>0</v>
      </c>
    </row>
    <row r="91" spans="1:12" ht="15" customHeight="1" x14ac:dyDescent="0.4">
      <c r="A91" t="str">
        <f>Premissas!$A$40</f>
        <v>Trator</v>
      </c>
      <c r="B91">
        <v>36</v>
      </c>
      <c r="C91">
        <f>INDEX(Semanas!$E$3:$E$54,36)</f>
        <v>5</v>
      </c>
      <c r="D91" t="str">
        <f>Cronograma!AK6</f>
        <v/>
      </c>
      <c r="E91">
        <f>Premissas!$I$40</f>
        <v>102</v>
      </c>
      <c r="F91">
        <f t="shared" si="1"/>
        <v>0</v>
      </c>
      <c r="G91">
        <f>IF($D91="",0,$E91*INDEX(Aux_HH!$D$4:$D$31,MATCH($A91&amp;"|"&amp;$D91,Aux_HH!$A$4:$A$31,0)))</f>
        <v>0</v>
      </c>
      <c r="H91">
        <f>IF($D91="",0,$E91*INDEX(Aux_HH!$E$4:$E$31,MATCH($A91&amp;"|"&amp;$D91,Aux_HH!$A$4:$A$31,0)))</f>
        <v>0</v>
      </c>
      <c r="I91">
        <f>IF($D91="",0,$E91*INDEX(Aux_HH!$F$4:$F$31,MATCH($A91&amp;"|"&amp;$D91,Aux_HH!$A$4:$A$31,0)))</f>
        <v>0</v>
      </c>
      <c r="J91">
        <f>IF($D91="",0,$E91*INDEX(Aux_HH!$G$4:$G$31,MATCH($A91&amp;"|"&amp;$D91,Aux_HH!$A$4:$A$31,0)))</f>
        <v>0</v>
      </c>
      <c r="K91">
        <f>IF($D91="",0,$E91*INDEX(Aux_HH!$H$4:$H$31,MATCH($A91&amp;"|"&amp;$D91,Aux_HH!$A$4:$A$31,0)))</f>
        <v>0</v>
      </c>
      <c r="L91">
        <f>IF($D91="",0,$E91*INDEX(Aux_HH!$I$4:$I$31,MATCH($A91&amp;"|"&amp;$D91,Aux_HH!$A$4:$A$31,0)))</f>
        <v>0</v>
      </c>
    </row>
    <row r="92" spans="1:12" ht="15" customHeight="1" x14ac:dyDescent="0.4">
      <c r="A92" t="str">
        <f>Premissas!$A$40</f>
        <v>Trator</v>
      </c>
      <c r="B92">
        <v>37</v>
      </c>
      <c r="C92">
        <f>INDEX(Semanas!$E$3:$E$54,37)</f>
        <v>5</v>
      </c>
      <c r="D92" t="str">
        <f>Cronograma!AL6</f>
        <v/>
      </c>
      <c r="E92">
        <f>Premissas!$I$40</f>
        <v>102</v>
      </c>
      <c r="F92">
        <f t="shared" si="1"/>
        <v>0</v>
      </c>
      <c r="G92">
        <f>IF($D92="",0,$E92*INDEX(Aux_HH!$D$4:$D$31,MATCH($A92&amp;"|"&amp;$D92,Aux_HH!$A$4:$A$31,0)))</f>
        <v>0</v>
      </c>
      <c r="H92">
        <f>IF($D92="",0,$E92*INDEX(Aux_HH!$E$4:$E$31,MATCH($A92&amp;"|"&amp;$D92,Aux_HH!$A$4:$A$31,0)))</f>
        <v>0</v>
      </c>
      <c r="I92">
        <f>IF($D92="",0,$E92*INDEX(Aux_HH!$F$4:$F$31,MATCH($A92&amp;"|"&amp;$D92,Aux_HH!$A$4:$A$31,0)))</f>
        <v>0</v>
      </c>
      <c r="J92">
        <f>IF($D92="",0,$E92*INDEX(Aux_HH!$G$4:$G$31,MATCH($A92&amp;"|"&amp;$D92,Aux_HH!$A$4:$A$31,0)))</f>
        <v>0</v>
      </c>
      <c r="K92">
        <f>IF($D92="",0,$E92*INDEX(Aux_HH!$H$4:$H$31,MATCH($A92&amp;"|"&amp;$D92,Aux_HH!$A$4:$A$31,0)))</f>
        <v>0</v>
      </c>
      <c r="L92">
        <f>IF($D92="",0,$E92*INDEX(Aux_HH!$I$4:$I$31,MATCH($A92&amp;"|"&amp;$D92,Aux_HH!$A$4:$A$31,0)))</f>
        <v>0</v>
      </c>
    </row>
    <row r="93" spans="1:12" ht="15" customHeight="1" x14ac:dyDescent="0.4">
      <c r="A93" t="str">
        <f>Premissas!$A$40</f>
        <v>Trator</v>
      </c>
      <c r="B93">
        <v>38</v>
      </c>
      <c r="C93">
        <f>INDEX(Semanas!$E$3:$E$54,38)</f>
        <v>5</v>
      </c>
      <c r="D93" t="str">
        <f>Cronograma!AM6</f>
        <v/>
      </c>
      <c r="E93">
        <f>Premissas!$I$40</f>
        <v>102</v>
      </c>
      <c r="F93">
        <f t="shared" si="1"/>
        <v>0</v>
      </c>
      <c r="G93">
        <f>IF($D93="",0,$E93*INDEX(Aux_HH!$D$4:$D$31,MATCH($A93&amp;"|"&amp;$D93,Aux_HH!$A$4:$A$31,0)))</f>
        <v>0</v>
      </c>
      <c r="H93">
        <f>IF($D93="",0,$E93*INDEX(Aux_HH!$E$4:$E$31,MATCH($A93&amp;"|"&amp;$D93,Aux_HH!$A$4:$A$31,0)))</f>
        <v>0</v>
      </c>
      <c r="I93">
        <f>IF($D93="",0,$E93*INDEX(Aux_HH!$F$4:$F$31,MATCH($A93&amp;"|"&amp;$D93,Aux_HH!$A$4:$A$31,0)))</f>
        <v>0</v>
      </c>
      <c r="J93">
        <f>IF($D93="",0,$E93*INDEX(Aux_HH!$G$4:$G$31,MATCH($A93&amp;"|"&amp;$D93,Aux_HH!$A$4:$A$31,0)))</f>
        <v>0</v>
      </c>
      <c r="K93">
        <f>IF($D93="",0,$E93*INDEX(Aux_HH!$H$4:$H$31,MATCH($A93&amp;"|"&amp;$D93,Aux_HH!$A$4:$A$31,0)))</f>
        <v>0</v>
      </c>
      <c r="L93">
        <f>IF($D93="",0,$E93*INDEX(Aux_HH!$I$4:$I$31,MATCH($A93&amp;"|"&amp;$D93,Aux_HH!$A$4:$A$31,0)))</f>
        <v>0</v>
      </c>
    </row>
    <row r="94" spans="1:12" ht="15" customHeight="1" x14ac:dyDescent="0.4">
      <c r="A94" t="str">
        <f>Premissas!$A$40</f>
        <v>Trator</v>
      </c>
      <c r="B94">
        <v>39</v>
      </c>
      <c r="C94">
        <f>INDEX(Semanas!$E$3:$E$54,39)</f>
        <v>5</v>
      </c>
      <c r="D94" t="str">
        <f>Cronograma!AN6</f>
        <v/>
      </c>
      <c r="E94">
        <f>Premissas!$I$40</f>
        <v>102</v>
      </c>
      <c r="F94">
        <f t="shared" si="1"/>
        <v>0</v>
      </c>
      <c r="G94">
        <f>IF($D94="",0,$E94*INDEX(Aux_HH!$D$4:$D$31,MATCH($A94&amp;"|"&amp;$D94,Aux_HH!$A$4:$A$31,0)))</f>
        <v>0</v>
      </c>
      <c r="H94">
        <f>IF($D94="",0,$E94*INDEX(Aux_HH!$E$4:$E$31,MATCH($A94&amp;"|"&amp;$D94,Aux_HH!$A$4:$A$31,0)))</f>
        <v>0</v>
      </c>
      <c r="I94">
        <f>IF($D94="",0,$E94*INDEX(Aux_HH!$F$4:$F$31,MATCH($A94&amp;"|"&amp;$D94,Aux_HH!$A$4:$A$31,0)))</f>
        <v>0</v>
      </c>
      <c r="J94">
        <f>IF($D94="",0,$E94*INDEX(Aux_HH!$G$4:$G$31,MATCH($A94&amp;"|"&amp;$D94,Aux_HH!$A$4:$A$31,0)))</f>
        <v>0</v>
      </c>
      <c r="K94">
        <f>IF($D94="",0,$E94*INDEX(Aux_HH!$H$4:$H$31,MATCH($A94&amp;"|"&amp;$D94,Aux_HH!$A$4:$A$31,0)))</f>
        <v>0</v>
      </c>
      <c r="L94">
        <f>IF($D94="",0,$E94*INDEX(Aux_HH!$I$4:$I$31,MATCH($A94&amp;"|"&amp;$D94,Aux_HH!$A$4:$A$31,0)))</f>
        <v>0</v>
      </c>
    </row>
    <row r="95" spans="1:12" ht="15" customHeight="1" x14ac:dyDescent="0.4">
      <c r="A95" t="str">
        <f>Premissas!$A$40</f>
        <v>Trator</v>
      </c>
      <c r="B95">
        <v>40</v>
      </c>
      <c r="C95">
        <f>INDEX(Semanas!$E$3:$E$54,40)</f>
        <v>6</v>
      </c>
      <c r="D95" t="str">
        <f>Cronograma!AO6</f>
        <v/>
      </c>
      <c r="E95">
        <f>Premissas!$I$40</f>
        <v>102</v>
      </c>
      <c r="F95">
        <f t="shared" si="1"/>
        <v>0</v>
      </c>
      <c r="G95">
        <f>IF($D95="",0,$E95*INDEX(Aux_HH!$D$4:$D$31,MATCH($A95&amp;"|"&amp;$D95,Aux_HH!$A$4:$A$31,0)))</f>
        <v>0</v>
      </c>
      <c r="H95">
        <f>IF($D95="",0,$E95*INDEX(Aux_HH!$E$4:$E$31,MATCH($A95&amp;"|"&amp;$D95,Aux_HH!$A$4:$A$31,0)))</f>
        <v>0</v>
      </c>
      <c r="I95">
        <f>IF($D95="",0,$E95*INDEX(Aux_HH!$F$4:$F$31,MATCH($A95&amp;"|"&amp;$D95,Aux_HH!$A$4:$A$31,0)))</f>
        <v>0</v>
      </c>
      <c r="J95">
        <f>IF($D95="",0,$E95*INDEX(Aux_HH!$G$4:$G$31,MATCH($A95&amp;"|"&amp;$D95,Aux_HH!$A$4:$A$31,0)))</f>
        <v>0</v>
      </c>
      <c r="K95">
        <f>IF($D95="",0,$E95*INDEX(Aux_HH!$H$4:$H$31,MATCH($A95&amp;"|"&amp;$D95,Aux_HH!$A$4:$A$31,0)))</f>
        <v>0</v>
      </c>
      <c r="L95">
        <f>IF($D95="",0,$E95*INDEX(Aux_HH!$I$4:$I$31,MATCH($A95&amp;"|"&amp;$D95,Aux_HH!$A$4:$A$31,0)))</f>
        <v>0</v>
      </c>
    </row>
    <row r="96" spans="1:12" ht="15" customHeight="1" x14ac:dyDescent="0.4">
      <c r="A96" t="str">
        <f>Premissas!$A$40</f>
        <v>Trator</v>
      </c>
      <c r="B96">
        <v>41</v>
      </c>
      <c r="C96">
        <f>INDEX(Semanas!$E$3:$E$54,41)</f>
        <v>6</v>
      </c>
      <c r="D96" t="str">
        <f>Cronograma!AP6</f>
        <v/>
      </c>
      <c r="E96">
        <f>Premissas!$I$40</f>
        <v>102</v>
      </c>
      <c r="F96">
        <f t="shared" si="1"/>
        <v>0</v>
      </c>
      <c r="G96">
        <f>IF($D96="",0,$E96*INDEX(Aux_HH!$D$4:$D$31,MATCH($A96&amp;"|"&amp;$D96,Aux_HH!$A$4:$A$31,0)))</f>
        <v>0</v>
      </c>
      <c r="H96">
        <f>IF($D96="",0,$E96*INDEX(Aux_HH!$E$4:$E$31,MATCH($A96&amp;"|"&amp;$D96,Aux_HH!$A$4:$A$31,0)))</f>
        <v>0</v>
      </c>
      <c r="I96">
        <f>IF($D96="",0,$E96*INDEX(Aux_HH!$F$4:$F$31,MATCH($A96&amp;"|"&amp;$D96,Aux_HH!$A$4:$A$31,0)))</f>
        <v>0</v>
      </c>
      <c r="J96">
        <f>IF($D96="",0,$E96*INDEX(Aux_HH!$G$4:$G$31,MATCH($A96&amp;"|"&amp;$D96,Aux_HH!$A$4:$A$31,0)))</f>
        <v>0</v>
      </c>
      <c r="K96">
        <f>IF($D96="",0,$E96*INDEX(Aux_HH!$H$4:$H$31,MATCH($A96&amp;"|"&amp;$D96,Aux_HH!$A$4:$A$31,0)))</f>
        <v>0</v>
      </c>
      <c r="L96">
        <f>IF($D96="",0,$E96*INDEX(Aux_HH!$I$4:$I$31,MATCH($A96&amp;"|"&amp;$D96,Aux_HH!$A$4:$A$31,0)))</f>
        <v>0</v>
      </c>
    </row>
    <row r="97" spans="1:12" ht="15" customHeight="1" x14ac:dyDescent="0.4">
      <c r="A97" t="str">
        <f>Premissas!$A$40</f>
        <v>Trator</v>
      </c>
      <c r="B97">
        <v>42</v>
      </c>
      <c r="C97">
        <f>INDEX(Semanas!$E$3:$E$54,42)</f>
        <v>6</v>
      </c>
      <c r="D97" t="str">
        <f>Cronograma!AQ6</f>
        <v/>
      </c>
      <c r="E97">
        <f>Premissas!$I$40</f>
        <v>102</v>
      </c>
      <c r="F97">
        <f t="shared" si="1"/>
        <v>0</v>
      </c>
      <c r="G97">
        <f>IF($D97="",0,$E97*INDEX(Aux_HH!$D$4:$D$31,MATCH($A97&amp;"|"&amp;$D97,Aux_HH!$A$4:$A$31,0)))</f>
        <v>0</v>
      </c>
      <c r="H97">
        <f>IF($D97="",0,$E97*INDEX(Aux_HH!$E$4:$E$31,MATCH($A97&amp;"|"&amp;$D97,Aux_HH!$A$4:$A$31,0)))</f>
        <v>0</v>
      </c>
      <c r="I97">
        <f>IF($D97="",0,$E97*INDEX(Aux_HH!$F$4:$F$31,MATCH($A97&amp;"|"&amp;$D97,Aux_HH!$A$4:$A$31,0)))</f>
        <v>0</v>
      </c>
      <c r="J97">
        <f>IF($D97="",0,$E97*INDEX(Aux_HH!$G$4:$G$31,MATCH($A97&amp;"|"&amp;$D97,Aux_HH!$A$4:$A$31,0)))</f>
        <v>0</v>
      </c>
      <c r="K97">
        <f>IF($D97="",0,$E97*INDEX(Aux_HH!$H$4:$H$31,MATCH($A97&amp;"|"&amp;$D97,Aux_HH!$A$4:$A$31,0)))</f>
        <v>0</v>
      </c>
      <c r="L97">
        <f>IF($D97="",0,$E97*INDEX(Aux_HH!$I$4:$I$31,MATCH($A97&amp;"|"&amp;$D97,Aux_HH!$A$4:$A$31,0)))</f>
        <v>0</v>
      </c>
    </row>
    <row r="98" spans="1:12" ht="15" customHeight="1" x14ac:dyDescent="0.4">
      <c r="A98" t="str">
        <f>Premissas!$A$40</f>
        <v>Trator</v>
      </c>
      <c r="B98">
        <v>43</v>
      </c>
      <c r="C98">
        <f>INDEX(Semanas!$E$3:$E$54,43)</f>
        <v>6</v>
      </c>
      <c r="D98" t="str">
        <f>Cronograma!AR6</f>
        <v/>
      </c>
      <c r="E98">
        <f>Premissas!$I$40</f>
        <v>102</v>
      </c>
      <c r="F98">
        <f t="shared" si="1"/>
        <v>0</v>
      </c>
      <c r="G98">
        <f>IF($D98="",0,$E98*INDEX(Aux_HH!$D$4:$D$31,MATCH($A98&amp;"|"&amp;$D98,Aux_HH!$A$4:$A$31,0)))</f>
        <v>0</v>
      </c>
      <c r="H98">
        <f>IF($D98="",0,$E98*INDEX(Aux_HH!$E$4:$E$31,MATCH($A98&amp;"|"&amp;$D98,Aux_HH!$A$4:$A$31,0)))</f>
        <v>0</v>
      </c>
      <c r="I98">
        <f>IF($D98="",0,$E98*INDEX(Aux_HH!$F$4:$F$31,MATCH($A98&amp;"|"&amp;$D98,Aux_HH!$A$4:$A$31,0)))</f>
        <v>0</v>
      </c>
      <c r="J98">
        <f>IF($D98="",0,$E98*INDEX(Aux_HH!$G$4:$G$31,MATCH($A98&amp;"|"&amp;$D98,Aux_HH!$A$4:$A$31,0)))</f>
        <v>0</v>
      </c>
      <c r="K98">
        <f>IF($D98="",0,$E98*INDEX(Aux_HH!$H$4:$H$31,MATCH($A98&amp;"|"&amp;$D98,Aux_HH!$A$4:$A$31,0)))</f>
        <v>0</v>
      </c>
      <c r="L98">
        <f>IF($D98="",0,$E98*INDEX(Aux_HH!$I$4:$I$31,MATCH($A98&amp;"|"&amp;$D98,Aux_HH!$A$4:$A$31,0)))</f>
        <v>0</v>
      </c>
    </row>
    <row r="99" spans="1:12" ht="15" customHeight="1" x14ac:dyDescent="0.4">
      <c r="A99" t="str">
        <f>Premissas!$A$40</f>
        <v>Trator</v>
      </c>
      <c r="B99">
        <v>44</v>
      </c>
      <c r="C99">
        <f>INDEX(Semanas!$E$3:$E$54,44)</f>
        <v>6</v>
      </c>
      <c r="D99" t="str">
        <f>Cronograma!AS6</f>
        <v/>
      </c>
      <c r="E99">
        <f>Premissas!$I$40</f>
        <v>102</v>
      </c>
      <c r="F99">
        <f t="shared" si="1"/>
        <v>0</v>
      </c>
      <c r="G99">
        <f>IF($D99="",0,$E99*INDEX(Aux_HH!$D$4:$D$31,MATCH($A99&amp;"|"&amp;$D99,Aux_HH!$A$4:$A$31,0)))</f>
        <v>0</v>
      </c>
      <c r="H99">
        <f>IF($D99="",0,$E99*INDEX(Aux_HH!$E$4:$E$31,MATCH($A99&amp;"|"&amp;$D99,Aux_HH!$A$4:$A$31,0)))</f>
        <v>0</v>
      </c>
      <c r="I99">
        <f>IF($D99="",0,$E99*INDEX(Aux_HH!$F$4:$F$31,MATCH($A99&amp;"|"&amp;$D99,Aux_HH!$A$4:$A$31,0)))</f>
        <v>0</v>
      </c>
      <c r="J99">
        <f>IF($D99="",0,$E99*INDEX(Aux_HH!$G$4:$G$31,MATCH($A99&amp;"|"&amp;$D99,Aux_HH!$A$4:$A$31,0)))</f>
        <v>0</v>
      </c>
      <c r="K99">
        <f>IF($D99="",0,$E99*INDEX(Aux_HH!$H$4:$H$31,MATCH($A99&amp;"|"&amp;$D99,Aux_HH!$A$4:$A$31,0)))</f>
        <v>0</v>
      </c>
      <c r="L99">
        <f>IF($D99="",0,$E99*INDEX(Aux_HH!$I$4:$I$31,MATCH($A99&amp;"|"&amp;$D99,Aux_HH!$A$4:$A$31,0)))</f>
        <v>0</v>
      </c>
    </row>
    <row r="100" spans="1:12" ht="15" customHeight="1" x14ac:dyDescent="0.4">
      <c r="A100" t="str">
        <f>Premissas!$A$40</f>
        <v>Trator</v>
      </c>
      <c r="B100">
        <v>45</v>
      </c>
      <c r="C100">
        <f>INDEX(Semanas!$E$3:$E$54,45)</f>
        <v>7</v>
      </c>
      <c r="D100" t="str">
        <f>Cronograma!AT6</f>
        <v/>
      </c>
      <c r="E100">
        <f>Premissas!$I$40</f>
        <v>102</v>
      </c>
      <c r="F100">
        <f t="shared" si="1"/>
        <v>0</v>
      </c>
      <c r="G100">
        <f>IF($D100="",0,$E100*INDEX(Aux_HH!$D$4:$D$31,MATCH($A100&amp;"|"&amp;$D100,Aux_HH!$A$4:$A$31,0)))</f>
        <v>0</v>
      </c>
      <c r="H100">
        <f>IF($D100="",0,$E100*INDEX(Aux_HH!$E$4:$E$31,MATCH($A100&amp;"|"&amp;$D100,Aux_HH!$A$4:$A$31,0)))</f>
        <v>0</v>
      </c>
      <c r="I100">
        <f>IF($D100="",0,$E100*INDEX(Aux_HH!$F$4:$F$31,MATCH($A100&amp;"|"&amp;$D100,Aux_HH!$A$4:$A$31,0)))</f>
        <v>0</v>
      </c>
      <c r="J100">
        <f>IF($D100="",0,$E100*INDEX(Aux_HH!$G$4:$G$31,MATCH($A100&amp;"|"&amp;$D100,Aux_HH!$A$4:$A$31,0)))</f>
        <v>0</v>
      </c>
      <c r="K100">
        <f>IF($D100="",0,$E100*INDEX(Aux_HH!$H$4:$H$31,MATCH($A100&amp;"|"&amp;$D100,Aux_HH!$A$4:$A$31,0)))</f>
        <v>0</v>
      </c>
      <c r="L100">
        <f>IF($D100="",0,$E100*INDEX(Aux_HH!$I$4:$I$31,MATCH($A100&amp;"|"&amp;$D100,Aux_HH!$A$4:$A$31,0)))</f>
        <v>0</v>
      </c>
    </row>
    <row r="101" spans="1:12" ht="15" customHeight="1" x14ac:dyDescent="0.4">
      <c r="A101" t="str">
        <f>Premissas!$A$40</f>
        <v>Trator</v>
      </c>
      <c r="B101">
        <v>46</v>
      </c>
      <c r="C101">
        <f>INDEX(Semanas!$E$3:$E$54,46)</f>
        <v>7</v>
      </c>
      <c r="D101" t="str">
        <f>Cronograma!AU6</f>
        <v/>
      </c>
      <c r="E101">
        <f>Premissas!$I$40</f>
        <v>102</v>
      </c>
      <c r="F101">
        <f t="shared" si="1"/>
        <v>0</v>
      </c>
      <c r="G101">
        <f>IF($D101="",0,$E101*INDEX(Aux_HH!$D$4:$D$31,MATCH($A101&amp;"|"&amp;$D101,Aux_HH!$A$4:$A$31,0)))</f>
        <v>0</v>
      </c>
      <c r="H101">
        <f>IF($D101="",0,$E101*INDEX(Aux_HH!$E$4:$E$31,MATCH($A101&amp;"|"&amp;$D101,Aux_HH!$A$4:$A$31,0)))</f>
        <v>0</v>
      </c>
      <c r="I101">
        <f>IF($D101="",0,$E101*INDEX(Aux_HH!$F$4:$F$31,MATCH($A101&amp;"|"&amp;$D101,Aux_HH!$A$4:$A$31,0)))</f>
        <v>0</v>
      </c>
      <c r="J101">
        <f>IF($D101="",0,$E101*INDEX(Aux_HH!$G$4:$G$31,MATCH($A101&amp;"|"&amp;$D101,Aux_HH!$A$4:$A$31,0)))</f>
        <v>0</v>
      </c>
      <c r="K101">
        <f>IF($D101="",0,$E101*INDEX(Aux_HH!$H$4:$H$31,MATCH($A101&amp;"|"&amp;$D101,Aux_HH!$A$4:$A$31,0)))</f>
        <v>0</v>
      </c>
      <c r="L101">
        <f>IF($D101="",0,$E101*INDEX(Aux_HH!$I$4:$I$31,MATCH($A101&amp;"|"&amp;$D101,Aux_HH!$A$4:$A$31,0)))</f>
        <v>0</v>
      </c>
    </row>
    <row r="102" spans="1:12" ht="15" customHeight="1" x14ac:dyDescent="0.4">
      <c r="A102" t="str">
        <f>Premissas!$A$40</f>
        <v>Trator</v>
      </c>
      <c r="B102">
        <v>47</v>
      </c>
      <c r="C102">
        <f>INDEX(Semanas!$E$3:$E$54,47)</f>
        <v>7</v>
      </c>
      <c r="D102" t="str">
        <f>Cronograma!AV6</f>
        <v/>
      </c>
      <c r="E102">
        <f>Premissas!$I$40</f>
        <v>102</v>
      </c>
      <c r="F102">
        <f t="shared" si="1"/>
        <v>0</v>
      </c>
      <c r="G102">
        <f>IF($D102="",0,$E102*INDEX(Aux_HH!$D$4:$D$31,MATCH($A102&amp;"|"&amp;$D102,Aux_HH!$A$4:$A$31,0)))</f>
        <v>0</v>
      </c>
      <c r="H102">
        <f>IF($D102="",0,$E102*INDEX(Aux_HH!$E$4:$E$31,MATCH($A102&amp;"|"&amp;$D102,Aux_HH!$A$4:$A$31,0)))</f>
        <v>0</v>
      </c>
      <c r="I102">
        <f>IF($D102="",0,$E102*INDEX(Aux_HH!$F$4:$F$31,MATCH($A102&amp;"|"&amp;$D102,Aux_HH!$A$4:$A$31,0)))</f>
        <v>0</v>
      </c>
      <c r="J102">
        <f>IF($D102="",0,$E102*INDEX(Aux_HH!$G$4:$G$31,MATCH($A102&amp;"|"&amp;$D102,Aux_HH!$A$4:$A$31,0)))</f>
        <v>0</v>
      </c>
      <c r="K102">
        <f>IF($D102="",0,$E102*INDEX(Aux_HH!$H$4:$H$31,MATCH($A102&amp;"|"&amp;$D102,Aux_HH!$A$4:$A$31,0)))</f>
        <v>0</v>
      </c>
      <c r="L102">
        <f>IF($D102="",0,$E102*INDEX(Aux_HH!$I$4:$I$31,MATCH($A102&amp;"|"&amp;$D102,Aux_HH!$A$4:$A$31,0)))</f>
        <v>0</v>
      </c>
    </row>
    <row r="103" spans="1:12" ht="15" customHeight="1" x14ac:dyDescent="0.4">
      <c r="A103" t="str">
        <f>Premissas!$A$40</f>
        <v>Trator</v>
      </c>
      <c r="B103">
        <v>48</v>
      </c>
      <c r="C103">
        <f>INDEX(Semanas!$E$3:$E$54,48)</f>
        <v>7</v>
      </c>
      <c r="D103" t="str">
        <f>Cronograma!AW6</f>
        <v/>
      </c>
      <c r="E103">
        <f>Premissas!$I$40</f>
        <v>102</v>
      </c>
      <c r="F103">
        <f t="shared" si="1"/>
        <v>0</v>
      </c>
      <c r="G103">
        <f>IF($D103="",0,$E103*INDEX(Aux_HH!$D$4:$D$31,MATCH($A103&amp;"|"&amp;$D103,Aux_HH!$A$4:$A$31,0)))</f>
        <v>0</v>
      </c>
      <c r="H103">
        <f>IF($D103="",0,$E103*INDEX(Aux_HH!$E$4:$E$31,MATCH($A103&amp;"|"&amp;$D103,Aux_HH!$A$4:$A$31,0)))</f>
        <v>0</v>
      </c>
      <c r="I103">
        <f>IF($D103="",0,$E103*INDEX(Aux_HH!$F$4:$F$31,MATCH($A103&amp;"|"&amp;$D103,Aux_HH!$A$4:$A$31,0)))</f>
        <v>0</v>
      </c>
      <c r="J103">
        <f>IF($D103="",0,$E103*INDEX(Aux_HH!$G$4:$G$31,MATCH($A103&amp;"|"&amp;$D103,Aux_HH!$A$4:$A$31,0)))</f>
        <v>0</v>
      </c>
      <c r="K103">
        <f>IF($D103="",0,$E103*INDEX(Aux_HH!$H$4:$H$31,MATCH($A103&amp;"|"&amp;$D103,Aux_HH!$A$4:$A$31,0)))</f>
        <v>0</v>
      </c>
      <c r="L103">
        <f>IF($D103="",0,$E103*INDEX(Aux_HH!$I$4:$I$31,MATCH($A103&amp;"|"&amp;$D103,Aux_HH!$A$4:$A$31,0)))</f>
        <v>0</v>
      </c>
    </row>
    <row r="104" spans="1:12" ht="15" customHeight="1" x14ac:dyDescent="0.4">
      <c r="A104" t="str">
        <f>Premissas!$A$40</f>
        <v>Trator</v>
      </c>
      <c r="B104">
        <v>49</v>
      </c>
      <c r="C104">
        <f>INDEX(Semanas!$E$3:$E$54,49)</f>
        <v>8</v>
      </c>
      <c r="D104" t="str">
        <f>Cronograma!AX6</f>
        <v>A</v>
      </c>
      <c r="E104">
        <f>Premissas!$I$40</f>
        <v>102</v>
      </c>
      <c r="F104">
        <f t="shared" si="1"/>
        <v>102</v>
      </c>
      <c r="G104">
        <f>IF($D104="",0,$E104*INDEX(Aux_HH!$D$4:$D$31,MATCH($A104&amp;"|"&amp;$D104,Aux_HH!$A$4:$A$31,0)))</f>
        <v>459</v>
      </c>
      <c r="H104">
        <f>IF($D104="",0,$E104*INDEX(Aux_HH!$E$4:$E$31,MATCH($A104&amp;"|"&amp;$D104,Aux_HH!$A$4:$A$31,0)))</f>
        <v>0</v>
      </c>
      <c r="I104">
        <f>IF($D104="",0,$E104*INDEX(Aux_HH!$F$4:$F$31,MATCH($A104&amp;"|"&amp;$D104,Aux_HH!$A$4:$A$31,0)))</f>
        <v>0</v>
      </c>
      <c r="J104">
        <f>IF($D104="",0,$E104*INDEX(Aux_HH!$G$4:$G$31,MATCH($A104&amp;"|"&amp;$D104,Aux_HH!$A$4:$A$31,0)))</f>
        <v>0</v>
      </c>
      <c r="K104">
        <f>IF($D104="",0,$E104*INDEX(Aux_HH!$H$4:$H$31,MATCH($A104&amp;"|"&amp;$D104,Aux_HH!$A$4:$A$31,0)))</f>
        <v>0</v>
      </c>
      <c r="L104">
        <f>IF($D104="",0,$E104*INDEX(Aux_HH!$I$4:$I$31,MATCH($A104&amp;"|"&amp;$D104,Aux_HH!$A$4:$A$31,0)))</f>
        <v>0</v>
      </c>
    </row>
    <row r="105" spans="1:12" ht="15" customHeight="1" x14ac:dyDescent="0.4">
      <c r="A105" t="str">
        <f>Premissas!$A$40</f>
        <v>Trator</v>
      </c>
      <c r="B105">
        <v>50</v>
      </c>
      <c r="C105">
        <f>INDEX(Semanas!$E$3:$E$54,50)</f>
        <v>8</v>
      </c>
      <c r="D105" t="str">
        <f>Cronograma!AY6</f>
        <v/>
      </c>
      <c r="E105">
        <f>Premissas!$I$40</f>
        <v>102</v>
      </c>
      <c r="F105">
        <f t="shared" si="1"/>
        <v>0</v>
      </c>
      <c r="G105">
        <f>IF($D105="",0,$E105*INDEX(Aux_HH!$D$4:$D$31,MATCH($A105&amp;"|"&amp;$D105,Aux_HH!$A$4:$A$31,0)))</f>
        <v>0</v>
      </c>
      <c r="H105">
        <f>IF($D105="",0,$E105*INDEX(Aux_HH!$E$4:$E$31,MATCH($A105&amp;"|"&amp;$D105,Aux_HH!$A$4:$A$31,0)))</f>
        <v>0</v>
      </c>
      <c r="I105">
        <f>IF($D105="",0,$E105*INDEX(Aux_HH!$F$4:$F$31,MATCH($A105&amp;"|"&amp;$D105,Aux_HH!$A$4:$A$31,0)))</f>
        <v>0</v>
      </c>
      <c r="J105">
        <f>IF($D105="",0,$E105*INDEX(Aux_HH!$G$4:$G$31,MATCH($A105&amp;"|"&amp;$D105,Aux_HH!$A$4:$A$31,0)))</f>
        <v>0</v>
      </c>
      <c r="K105">
        <f>IF($D105="",0,$E105*INDEX(Aux_HH!$H$4:$H$31,MATCH($A105&amp;"|"&amp;$D105,Aux_HH!$A$4:$A$31,0)))</f>
        <v>0</v>
      </c>
      <c r="L105">
        <f>IF($D105="",0,$E105*INDEX(Aux_HH!$I$4:$I$31,MATCH($A105&amp;"|"&amp;$D105,Aux_HH!$A$4:$A$31,0)))</f>
        <v>0</v>
      </c>
    </row>
    <row r="106" spans="1:12" ht="15" customHeight="1" x14ac:dyDescent="0.4">
      <c r="A106" t="str">
        <f>Premissas!$A$40</f>
        <v>Trator</v>
      </c>
      <c r="B106">
        <v>51</v>
      </c>
      <c r="C106">
        <f>INDEX(Semanas!$E$3:$E$54,51)</f>
        <v>8</v>
      </c>
      <c r="D106" t="str">
        <f>Cronograma!AZ6</f>
        <v/>
      </c>
      <c r="E106">
        <f>Premissas!$I$40</f>
        <v>102</v>
      </c>
      <c r="F106">
        <f t="shared" si="1"/>
        <v>0</v>
      </c>
      <c r="G106">
        <f>IF($D106="",0,$E106*INDEX(Aux_HH!$D$4:$D$31,MATCH($A106&amp;"|"&amp;$D106,Aux_HH!$A$4:$A$31,0)))</f>
        <v>0</v>
      </c>
      <c r="H106">
        <f>IF($D106="",0,$E106*INDEX(Aux_HH!$E$4:$E$31,MATCH($A106&amp;"|"&amp;$D106,Aux_HH!$A$4:$A$31,0)))</f>
        <v>0</v>
      </c>
      <c r="I106">
        <f>IF($D106="",0,$E106*INDEX(Aux_HH!$F$4:$F$31,MATCH($A106&amp;"|"&amp;$D106,Aux_HH!$A$4:$A$31,0)))</f>
        <v>0</v>
      </c>
      <c r="J106">
        <f>IF($D106="",0,$E106*INDEX(Aux_HH!$G$4:$G$31,MATCH($A106&amp;"|"&amp;$D106,Aux_HH!$A$4:$A$31,0)))</f>
        <v>0</v>
      </c>
      <c r="K106">
        <f>IF($D106="",0,$E106*INDEX(Aux_HH!$H$4:$H$31,MATCH($A106&amp;"|"&amp;$D106,Aux_HH!$A$4:$A$31,0)))</f>
        <v>0</v>
      </c>
      <c r="L106">
        <f>IF($D106="",0,$E106*INDEX(Aux_HH!$I$4:$I$31,MATCH($A106&amp;"|"&amp;$D106,Aux_HH!$A$4:$A$31,0)))</f>
        <v>0</v>
      </c>
    </row>
    <row r="107" spans="1:12" ht="15" customHeight="1" x14ac:dyDescent="0.4">
      <c r="A107" t="str">
        <f>Premissas!$A$40</f>
        <v>Trator</v>
      </c>
      <c r="B107">
        <v>52</v>
      </c>
      <c r="C107">
        <f>INDEX(Semanas!$E$3:$E$54,52)</f>
        <v>8</v>
      </c>
      <c r="D107" t="str">
        <f>Cronograma!BA6</f>
        <v/>
      </c>
      <c r="E107">
        <f>Premissas!$I$40</f>
        <v>102</v>
      </c>
      <c r="F107">
        <f t="shared" si="1"/>
        <v>0</v>
      </c>
      <c r="G107">
        <f>IF($D107="",0,$E107*INDEX(Aux_HH!$D$4:$D$31,MATCH($A107&amp;"|"&amp;$D107,Aux_HH!$A$4:$A$31,0)))</f>
        <v>0</v>
      </c>
      <c r="H107">
        <f>IF($D107="",0,$E107*INDEX(Aux_HH!$E$4:$E$31,MATCH($A107&amp;"|"&amp;$D107,Aux_HH!$A$4:$A$31,0)))</f>
        <v>0</v>
      </c>
      <c r="I107">
        <f>IF($D107="",0,$E107*INDEX(Aux_HH!$F$4:$F$31,MATCH($A107&amp;"|"&amp;$D107,Aux_HH!$A$4:$A$31,0)))</f>
        <v>0</v>
      </c>
      <c r="J107">
        <f>IF($D107="",0,$E107*INDEX(Aux_HH!$G$4:$G$31,MATCH($A107&amp;"|"&amp;$D107,Aux_HH!$A$4:$A$31,0)))</f>
        <v>0</v>
      </c>
      <c r="K107">
        <f>IF($D107="",0,$E107*INDEX(Aux_HH!$H$4:$H$31,MATCH($A107&amp;"|"&amp;$D107,Aux_HH!$A$4:$A$31,0)))</f>
        <v>0</v>
      </c>
      <c r="L107">
        <f>IF($D107="",0,$E107*INDEX(Aux_HH!$I$4:$I$31,MATCH($A107&amp;"|"&amp;$D107,Aux_HH!$A$4:$A$31,0)))</f>
        <v>0</v>
      </c>
    </row>
    <row r="108" spans="1:12" ht="15" customHeight="1" x14ac:dyDescent="0.4">
      <c r="A108" t="str">
        <f>Premissas!$A$41</f>
        <v>Caminhão</v>
      </c>
      <c r="B108">
        <v>1</v>
      </c>
      <c r="C108">
        <f>INDEX(Semanas!$E$3:$E$54,1)</f>
        <v>9</v>
      </c>
      <c r="D108" t="str">
        <f>Cronograma!B7</f>
        <v/>
      </c>
      <c r="E108">
        <f>Premissas!$I$41</f>
        <v>121</v>
      </c>
      <c r="F108">
        <f t="shared" si="1"/>
        <v>0</v>
      </c>
      <c r="G108">
        <f>IF($D108="",0,$E108*INDEX(Aux_HH!$D$4:$D$31,MATCH($A108&amp;"|"&amp;$D108,Aux_HH!$A$4:$A$31,0)))</f>
        <v>0</v>
      </c>
      <c r="H108">
        <f>IF($D108="",0,$E108*INDEX(Aux_HH!$E$4:$E$31,MATCH($A108&amp;"|"&amp;$D108,Aux_HH!$A$4:$A$31,0)))</f>
        <v>0</v>
      </c>
      <c r="I108">
        <f>IF($D108="",0,$E108*INDEX(Aux_HH!$F$4:$F$31,MATCH($A108&amp;"|"&amp;$D108,Aux_HH!$A$4:$A$31,0)))</f>
        <v>0</v>
      </c>
      <c r="J108">
        <f>IF($D108="",0,$E108*INDEX(Aux_HH!$G$4:$G$31,MATCH($A108&amp;"|"&amp;$D108,Aux_HH!$A$4:$A$31,0)))</f>
        <v>0</v>
      </c>
      <c r="K108">
        <f>IF($D108="",0,$E108*INDEX(Aux_HH!$H$4:$H$31,MATCH($A108&amp;"|"&amp;$D108,Aux_HH!$A$4:$A$31,0)))</f>
        <v>0</v>
      </c>
      <c r="L108">
        <f>IF($D108="",0,$E108*INDEX(Aux_HH!$I$4:$I$31,MATCH($A108&amp;"|"&amp;$D108,Aux_HH!$A$4:$A$31,0)))</f>
        <v>0</v>
      </c>
    </row>
    <row r="109" spans="1:12" ht="15" customHeight="1" x14ac:dyDescent="0.4">
      <c r="A109" t="str">
        <f>Premissas!$A$41</f>
        <v>Caminhão</v>
      </c>
      <c r="B109">
        <v>2</v>
      </c>
      <c r="C109">
        <f>INDEX(Semanas!$E$3:$E$54,2)</f>
        <v>9</v>
      </c>
      <c r="D109" t="str">
        <f>Cronograma!C7</f>
        <v/>
      </c>
      <c r="E109">
        <f>Premissas!$I$41</f>
        <v>121</v>
      </c>
      <c r="F109">
        <f t="shared" si="1"/>
        <v>0</v>
      </c>
      <c r="G109">
        <f>IF($D109="",0,$E109*INDEX(Aux_HH!$D$4:$D$31,MATCH($A109&amp;"|"&amp;$D109,Aux_HH!$A$4:$A$31,0)))</f>
        <v>0</v>
      </c>
      <c r="H109">
        <f>IF($D109="",0,$E109*INDEX(Aux_HH!$E$4:$E$31,MATCH($A109&amp;"|"&amp;$D109,Aux_HH!$A$4:$A$31,0)))</f>
        <v>0</v>
      </c>
      <c r="I109">
        <f>IF($D109="",0,$E109*INDEX(Aux_HH!$F$4:$F$31,MATCH($A109&amp;"|"&amp;$D109,Aux_HH!$A$4:$A$31,0)))</f>
        <v>0</v>
      </c>
      <c r="J109">
        <f>IF($D109="",0,$E109*INDEX(Aux_HH!$G$4:$G$31,MATCH($A109&amp;"|"&amp;$D109,Aux_HH!$A$4:$A$31,0)))</f>
        <v>0</v>
      </c>
      <c r="K109">
        <f>IF($D109="",0,$E109*INDEX(Aux_HH!$H$4:$H$31,MATCH($A109&amp;"|"&amp;$D109,Aux_HH!$A$4:$A$31,0)))</f>
        <v>0</v>
      </c>
      <c r="L109">
        <f>IF($D109="",0,$E109*INDEX(Aux_HH!$I$4:$I$31,MATCH($A109&amp;"|"&amp;$D109,Aux_HH!$A$4:$A$31,0)))</f>
        <v>0</v>
      </c>
    </row>
    <row r="110" spans="1:12" ht="15" customHeight="1" x14ac:dyDescent="0.4">
      <c r="A110" t="str">
        <f>Premissas!$A$41</f>
        <v>Caminhão</v>
      </c>
      <c r="B110">
        <v>3</v>
      </c>
      <c r="C110">
        <f>INDEX(Semanas!$E$3:$E$54,3)</f>
        <v>9</v>
      </c>
      <c r="D110" t="str">
        <f>Cronograma!D7</f>
        <v/>
      </c>
      <c r="E110">
        <f>Premissas!$I$41</f>
        <v>121</v>
      </c>
      <c r="F110">
        <f t="shared" si="1"/>
        <v>0</v>
      </c>
      <c r="G110">
        <f>IF($D110="",0,$E110*INDEX(Aux_HH!$D$4:$D$31,MATCH($A110&amp;"|"&amp;$D110,Aux_HH!$A$4:$A$31,0)))</f>
        <v>0</v>
      </c>
      <c r="H110">
        <f>IF($D110="",0,$E110*INDEX(Aux_HH!$E$4:$E$31,MATCH($A110&amp;"|"&amp;$D110,Aux_HH!$A$4:$A$31,0)))</f>
        <v>0</v>
      </c>
      <c r="I110">
        <f>IF($D110="",0,$E110*INDEX(Aux_HH!$F$4:$F$31,MATCH($A110&amp;"|"&amp;$D110,Aux_HH!$A$4:$A$31,0)))</f>
        <v>0</v>
      </c>
      <c r="J110">
        <f>IF($D110="",0,$E110*INDEX(Aux_HH!$G$4:$G$31,MATCH($A110&amp;"|"&amp;$D110,Aux_HH!$A$4:$A$31,0)))</f>
        <v>0</v>
      </c>
      <c r="K110">
        <f>IF($D110="",0,$E110*INDEX(Aux_HH!$H$4:$H$31,MATCH($A110&amp;"|"&amp;$D110,Aux_HH!$A$4:$A$31,0)))</f>
        <v>0</v>
      </c>
      <c r="L110">
        <f>IF($D110="",0,$E110*INDEX(Aux_HH!$I$4:$I$31,MATCH($A110&amp;"|"&amp;$D110,Aux_HH!$A$4:$A$31,0)))</f>
        <v>0</v>
      </c>
    </row>
    <row r="111" spans="1:12" ht="15" customHeight="1" x14ac:dyDescent="0.4">
      <c r="A111" t="str">
        <f>Premissas!$A$41</f>
        <v>Caminhão</v>
      </c>
      <c r="B111">
        <v>4</v>
      </c>
      <c r="C111">
        <f>INDEX(Semanas!$E$3:$E$54,4)</f>
        <v>9</v>
      </c>
      <c r="D111" t="str">
        <f>Cronograma!E7</f>
        <v/>
      </c>
      <c r="E111">
        <f>Premissas!$I$41</f>
        <v>121</v>
      </c>
      <c r="F111">
        <f t="shared" si="1"/>
        <v>0</v>
      </c>
      <c r="G111">
        <f>IF($D111="",0,$E111*INDEX(Aux_HH!$D$4:$D$31,MATCH($A111&amp;"|"&amp;$D111,Aux_HH!$A$4:$A$31,0)))</f>
        <v>0</v>
      </c>
      <c r="H111">
        <f>IF($D111="",0,$E111*INDEX(Aux_HH!$E$4:$E$31,MATCH($A111&amp;"|"&amp;$D111,Aux_HH!$A$4:$A$31,0)))</f>
        <v>0</v>
      </c>
      <c r="I111">
        <f>IF($D111="",0,$E111*INDEX(Aux_HH!$F$4:$F$31,MATCH($A111&amp;"|"&amp;$D111,Aux_HH!$A$4:$A$31,0)))</f>
        <v>0</v>
      </c>
      <c r="J111">
        <f>IF($D111="",0,$E111*INDEX(Aux_HH!$G$4:$G$31,MATCH($A111&amp;"|"&amp;$D111,Aux_HH!$A$4:$A$31,0)))</f>
        <v>0</v>
      </c>
      <c r="K111">
        <f>IF($D111="",0,$E111*INDEX(Aux_HH!$H$4:$H$31,MATCH($A111&amp;"|"&amp;$D111,Aux_HH!$A$4:$A$31,0)))</f>
        <v>0</v>
      </c>
      <c r="L111">
        <f>IF($D111="",0,$E111*INDEX(Aux_HH!$I$4:$I$31,MATCH($A111&amp;"|"&amp;$D111,Aux_HH!$A$4:$A$31,0)))</f>
        <v>0</v>
      </c>
    </row>
    <row r="112" spans="1:12" ht="15" customHeight="1" x14ac:dyDescent="0.4">
      <c r="A112" t="str">
        <f>Premissas!$A$41</f>
        <v>Caminhão</v>
      </c>
      <c r="B112">
        <v>5</v>
      </c>
      <c r="C112">
        <f>INDEX(Semanas!$E$3:$E$54,5)</f>
        <v>9</v>
      </c>
      <c r="D112" t="str">
        <f>Cronograma!F7</f>
        <v/>
      </c>
      <c r="E112">
        <f>Premissas!$I$41</f>
        <v>121</v>
      </c>
      <c r="F112">
        <f t="shared" si="1"/>
        <v>0</v>
      </c>
      <c r="G112">
        <f>IF($D112="",0,$E112*INDEX(Aux_HH!$D$4:$D$31,MATCH($A112&amp;"|"&amp;$D112,Aux_HH!$A$4:$A$31,0)))</f>
        <v>0</v>
      </c>
      <c r="H112">
        <f>IF($D112="",0,$E112*INDEX(Aux_HH!$E$4:$E$31,MATCH($A112&amp;"|"&amp;$D112,Aux_HH!$A$4:$A$31,0)))</f>
        <v>0</v>
      </c>
      <c r="I112">
        <f>IF($D112="",0,$E112*INDEX(Aux_HH!$F$4:$F$31,MATCH($A112&amp;"|"&amp;$D112,Aux_HH!$A$4:$A$31,0)))</f>
        <v>0</v>
      </c>
      <c r="J112">
        <f>IF($D112="",0,$E112*INDEX(Aux_HH!$G$4:$G$31,MATCH($A112&amp;"|"&amp;$D112,Aux_HH!$A$4:$A$31,0)))</f>
        <v>0</v>
      </c>
      <c r="K112">
        <f>IF($D112="",0,$E112*INDEX(Aux_HH!$H$4:$H$31,MATCH($A112&amp;"|"&amp;$D112,Aux_HH!$A$4:$A$31,0)))</f>
        <v>0</v>
      </c>
      <c r="L112">
        <f>IF($D112="",0,$E112*INDEX(Aux_HH!$I$4:$I$31,MATCH($A112&amp;"|"&amp;$D112,Aux_HH!$A$4:$A$31,0)))</f>
        <v>0</v>
      </c>
    </row>
    <row r="113" spans="1:12" ht="15" customHeight="1" x14ac:dyDescent="0.4">
      <c r="A113" t="str">
        <f>Premissas!$A$41</f>
        <v>Caminhão</v>
      </c>
      <c r="B113">
        <v>6</v>
      </c>
      <c r="C113">
        <f>INDEX(Semanas!$E$3:$E$54,6)</f>
        <v>10</v>
      </c>
      <c r="D113" t="str">
        <f>Cronograma!G7</f>
        <v/>
      </c>
      <c r="E113">
        <f>Premissas!$I$41</f>
        <v>121</v>
      </c>
      <c r="F113">
        <f t="shared" si="1"/>
        <v>0</v>
      </c>
      <c r="G113">
        <f>IF($D113="",0,$E113*INDEX(Aux_HH!$D$4:$D$31,MATCH($A113&amp;"|"&amp;$D113,Aux_HH!$A$4:$A$31,0)))</f>
        <v>0</v>
      </c>
      <c r="H113">
        <f>IF($D113="",0,$E113*INDEX(Aux_HH!$E$4:$E$31,MATCH($A113&amp;"|"&amp;$D113,Aux_HH!$A$4:$A$31,0)))</f>
        <v>0</v>
      </c>
      <c r="I113">
        <f>IF($D113="",0,$E113*INDEX(Aux_HH!$F$4:$F$31,MATCH($A113&amp;"|"&amp;$D113,Aux_HH!$A$4:$A$31,0)))</f>
        <v>0</v>
      </c>
      <c r="J113">
        <f>IF($D113="",0,$E113*INDEX(Aux_HH!$G$4:$G$31,MATCH($A113&amp;"|"&amp;$D113,Aux_HH!$A$4:$A$31,0)))</f>
        <v>0</v>
      </c>
      <c r="K113">
        <f>IF($D113="",0,$E113*INDEX(Aux_HH!$H$4:$H$31,MATCH($A113&amp;"|"&amp;$D113,Aux_HH!$A$4:$A$31,0)))</f>
        <v>0</v>
      </c>
      <c r="L113">
        <f>IF($D113="",0,$E113*INDEX(Aux_HH!$I$4:$I$31,MATCH($A113&amp;"|"&amp;$D113,Aux_HH!$A$4:$A$31,0)))</f>
        <v>0</v>
      </c>
    </row>
    <row r="114" spans="1:12" ht="15" customHeight="1" x14ac:dyDescent="0.4">
      <c r="A114" t="str">
        <f>Premissas!$A$41</f>
        <v>Caminhão</v>
      </c>
      <c r="B114">
        <v>7</v>
      </c>
      <c r="C114">
        <f>INDEX(Semanas!$E$3:$E$54,7)</f>
        <v>10</v>
      </c>
      <c r="D114" t="str">
        <f>Cronograma!H7</f>
        <v>S</v>
      </c>
      <c r="E114">
        <f>Premissas!$I$41</f>
        <v>121</v>
      </c>
      <c r="F114">
        <f t="shared" si="1"/>
        <v>121</v>
      </c>
      <c r="G114">
        <f>IF($D114="",0,$E114*INDEX(Aux_HH!$D$4:$D$31,MATCH($A114&amp;"|"&amp;$D114,Aux_HH!$A$4:$A$31,0)))</f>
        <v>242</v>
      </c>
      <c r="H114">
        <f>IF($D114="",0,$E114*INDEX(Aux_HH!$E$4:$E$31,MATCH($A114&amp;"|"&amp;$D114,Aux_HH!$A$4:$A$31,0)))</f>
        <v>0</v>
      </c>
      <c r="I114">
        <f>IF($D114="",0,$E114*INDEX(Aux_HH!$F$4:$F$31,MATCH($A114&amp;"|"&amp;$D114,Aux_HH!$A$4:$A$31,0)))</f>
        <v>0</v>
      </c>
      <c r="J114">
        <f>IF($D114="",0,$E114*INDEX(Aux_HH!$G$4:$G$31,MATCH($A114&amp;"|"&amp;$D114,Aux_HH!$A$4:$A$31,0)))</f>
        <v>0</v>
      </c>
      <c r="K114">
        <f>IF($D114="",0,$E114*INDEX(Aux_HH!$H$4:$H$31,MATCH($A114&amp;"|"&amp;$D114,Aux_HH!$A$4:$A$31,0)))</f>
        <v>0</v>
      </c>
      <c r="L114">
        <f>IF($D114="",0,$E114*INDEX(Aux_HH!$I$4:$I$31,MATCH($A114&amp;"|"&amp;$D114,Aux_HH!$A$4:$A$31,0)))</f>
        <v>0</v>
      </c>
    </row>
    <row r="115" spans="1:12" ht="15" customHeight="1" x14ac:dyDescent="0.4">
      <c r="A115" t="str">
        <f>Premissas!$A$41</f>
        <v>Caminhão</v>
      </c>
      <c r="B115">
        <v>8</v>
      </c>
      <c r="C115">
        <f>INDEX(Semanas!$E$3:$E$54,8)</f>
        <v>10</v>
      </c>
      <c r="D115" t="str">
        <f>Cronograma!I7</f>
        <v/>
      </c>
      <c r="E115">
        <f>Premissas!$I$41</f>
        <v>121</v>
      </c>
      <c r="F115">
        <f t="shared" si="1"/>
        <v>0</v>
      </c>
      <c r="G115">
        <f>IF($D115="",0,$E115*INDEX(Aux_HH!$D$4:$D$31,MATCH($A115&amp;"|"&amp;$D115,Aux_HH!$A$4:$A$31,0)))</f>
        <v>0</v>
      </c>
      <c r="H115">
        <f>IF($D115="",0,$E115*INDEX(Aux_HH!$E$4:$E$31,MATCH($A115&amp;"|"&amp;$D115,Aux_HH!$A$4:$A$31,0)))</f>
        <v>0</v>
      </c>
      <c r="I115">
        <f>IF($D115="",0,$E115*INDEX(Aux_HH!$F$4:$F$31,MATCH($A115&amp;"|"&amp;$D115,Aux_HH!$A$4:$A$31,0)))</f>
        <v>0</v>
      </c>
      <c r="J115">
        <f>IF($D115="",0,$E115*INDEX(Aux_HH!$G$4:$G$31,MATCH($A115&amp;"|"&amp;$D115,Aux_HH!$A$4:$A$31,0)))</f>
        <v>0</v>
      </c>
      <c r="K115">
        <f>IF($D115="",0,$E115*INDEX(Aux_HH!$H$4:$H$31,MATCH($A115&amp;"|"&amp;$D115,Aux_HH!$A$4:$A$31,0)))</f>
        <v>0</v>
      </c>
      <c r="L115">
        <f>IF($D115="",0,$E115*INDEX(Aux_HH!$I$4:$I$31,MATCH($A115&amp;"|"&amp;$D115,Aux_HH!$A$4:$A$31,0)))</f>
        <v>0</v>
      </c>
    </row>
    <row r="116" spans="1:12" ht="15" customHeight="1" x14ac:dyDescent="0.4">
      <c r="A116" t="str">
        <f>Premissas!$A$41</f>
        <v>Caminhão</v>
      </c>
      <c r="B116">
        <v>9</v>
      </c>
      <c r="C116">
        <f>INDEX(Semanas!$E$3:$E$54,9)</f>
        <v>10</v>
      </c>
      <c r="D116" t="str">
        <f>Cronograma!J7</f>
        <v/>
      </c>
      <c r="E116">
        <f>Premissas!$I$41</f>
        <v>121</v>
      </c>
      <c r="F116">
        <f t="shared" si="1"/>
        <v>0</v>
      </c>
      <c r="G116">
        <f>IF($D116="",0,$E116*INDEX(Aux_HH!$D$4:$D$31,MATCH($A116&amp;"|"&amp;$D116,Aux_HH!$A$4:$A$31,0)))</f>
        <v>0</v>
      </c>
      <c r="H116">
        <f>IF($D116="",0,$E116*INDEX(Aux_HH!$E$4:$E$31,MATCH($A116&amp;"|"&amp;$D116,Aux_HH!$A$4:$A$31,0)))</f>
        <v>0</v>
      </c>
      <c r="I116">
        <f>IF($D116="",0,$E116*INDEX(Aux_HH!$F$4:$F$31,MATCH($A116&amp;"|"&amp;$D116,Aux_HH!$A$4:$A$31,0)))</f>
        <v>0</v>
      </c>
      <c r="J116">
        <f>IF($D116="",0,$E116*INDEX(Aux_HH!$G$4:$G$31,MATCH($A116&amp;"|"&amp;$D116,Aux_HH!$A$4:$A$31,0)))</f>
        <v>0</v>
      </c>
      <c r="K116">
        <f>IF($D116="",0,$E116*INDEX(Aux_HH!$H$4:$H$31,MATCH($A116&amp;"|"&amp;$D116,Aux_HH!$A$4:$A$31,0)))</f>
        <v>0</v>
      </c>
      <c r="L116">
        <f>IF($D116="",0,$E116*INDEX(Aux_HH!$I$4:$I$31,MATCH($A116&amp;"|"&amp;$D116,Aux_HH!$A$4:$A$31,0)))</f>
        <v>0</v>
      </c>
    </row>
    <row r="117" spans="1:12" ht="15" customHeight="1" x14ac:dyDescent="0.4">
      <c r="A117" t="str">
        <f>Premissas!$A$41</f>
        <v>Caminhão</v>
      </c>
      <c r="B117">
        <v>10</v>
      </c>
      <c r="C117">
        <f>INDEX(Semanas!$E$3:$E$54,10)</f>
        <v>11</v>
      </c>
      <c r="D117" t="str">
        <f>Cronograma!K7</f>
        <v/>
      </c>
      <c r="E117">
        <f>Premissas!$I$41</f>
        <v>121</v>
      </c>
      <c r="F117">
        <f t="shared" si="1"/>
        <v>0</v>
      </c>
      <c r="G117">
        <f>IF($D117="",0,$E117*INDEX(Aux_HH!$D$4:$D$31,MATCH($A117&amp;"|"&amp;$D117,Aux_HH!$A$4:$A$31,0)))</f>
        <v>0</v>
      </c>
      <c r="H117">
        <f>IF($D117="",0,$E117*INDEX(Aux_HH!$E$4:$E$31,MATCH($A117&amp;"|"&amp;$D117,Aux_HH!$A$4:$A$31,0)))</f>
        <v>0</v>
      </c>
      <c r="I117">
        <f>IF($D117="",0,$E117*INDEX(Aux_HH!$F$4:$F$31,MATCH($A117&amp;"|"&amp;$D117,Aux_HH!$A$4:$A$31,0)))</f>
        <v>0</v>
      </c>
      <c r="J117">
        <f>IF($D117="",0,$E117*INDEX(Aux_HH!$G$4:$G$31,MATCH($A117&amp;"|"&amp;$D117,Aux_HH!$A$4:$A$31,0)))</f>
        <v>0</v>
      </c>
      <c r="K117">
        <f>IF($D117="",0,$E117*INDEX(Aux_HH!$H$4:$H$31,MATCH($A117&amp;"|"&amp;$D117,Aux_HH!$A$4:$A$31,0)))</f>
        <v>0</v>
      </c>
      <c r="L117">
        <f>IF($D117="",0,$E117*INDEX(Aux_HH!$I$4:$I$31,MATCH($A117&amp;"|"&amp;$D117,Aux_HH!$A$4:$A$31,0)))</f>
        <v>0</v>
      </c>
    </row>
    <row r="118" spans="1:12" ht="15" customHeight="1" x14ac:dyDescent="0.4">
      <c r="A118" t="str">
        <f>Premissas!$A$41</f>
        <v>Caminhão</v>
      </c>
      <c r="B118">
        <v>11</v>
      </c>
      <c r="C118">
        <f>INDEX(Semanas!$E$3:$E$54,11)</f>
        <v>11</v>
      </c>
      <c r="D118" t="str">
        <f>Cronograma!L7</f>
        <v/>
      </c>
      <c r="E118">
        <f>Premissas!$I$41</f>
        <v>121</v>
      </c>
      <c r="F118">
        <f t="shared" si="1"/>
        <v>0</v>
      </c>
      <c r="G118">
        <f>IF($D118="",0,$E118*INDEX(Aux_HH!$D$4:$D$31,MATCH($A118&amp;"|"&amp;$D118,Aux_HH!$A$4:$A$31,0)))</f>
        <v>0</v>
      </c>
      <c r="H118">
        <f>IF($D118="",0,$E118*INDEX(Aux_HH!$E$4:$E$31,MATCH($A118&amp;"|"&amp;$D118,Aux_HH!$A$4:$A$31,0)))</f>
        <v>0</v>
      </c>
      <c r="I118">
        <f>IF($D118="",0,$E118*INDEX(Aux_HH!$F$4:$F$31,MATCH($A118&amp;"|"&amp;$D118,Aux_HH!$A$4:$A$31,0)))</f>
        <v>0</v>
      </c>
      <c r="J118">
        <f>IF($D118="",0,$E118*INDEX(Aux_HH!$G$4:$G$31,MATCH($A118&amp;"|"&amp;$D118,Aux_HH!$A$4:$A$31,0)))</f>
        <v>0</v>
      </c>
      <c r="K118">
        <f>IF($D118="",0,$E118*INDEX(Aux_HH!$H$4:$H$31,MATCH($A118&amp;"|"&amp;$D118,Aux_HH!$A$4:$A$31,0)))</f>
        <v>0</v>
      </c>
      <c r="L118">
        <f>IF($D118="",0,$E118*INDEX(Aux_HH!$I$4:$I$31,MATCH($A118&amp;"|"&amp;$D118,Aux_HH!$A$4:$A$31,0)))</f>
        <v>0</v>
      </c>
    </row>
    <row r="119" spans="1:12" ht="15" customHeight="1" x14ac:dyDescent="0.4">
      <c r="A119" t="str">
        <f>Premissas!$A$41</f>
        <v>Caminhão</v>
      </c>
      <c r="B119">
        <v>12</v>
      </c>
      <c r="C119">
        <f>INDEX(Semanas!$E$3:$E$54,12)</f>
        <v>11</v>
      </c>
      <c r="D119" t="str">
        <f>Cronograma!M7</f>
        <v/>
      </c>
      <c r="E119">
        <f>Premissas!$I$41</f>
        <v>121</v>
      </c>
      <c r="F119">
        <f t="shared" si="1"/>
        <v>0</v>
      </c>
      <c r="G119">
        <f>IF($D119="",0,$E119*INDEX(Aux_HH!$D$4:$D$31,MATCH($A119&amp;"|"&amp;$D119,Aux_HH!$A$4:$A$31,0)))</f>
        <v>0</v>
      </c>
      <c r="H119">
        <f>IF($D119="",0,$E119*INDEX(Aux_HH!$E$4:$E$31,MATCH($A119&amp;"|"&amp;$D119,Aux_HH!$A$4:$A$31,0)))</f>
        <v>0</v>
      </c>
      <c r="I119">
        <f>IF($D119="",0,$E119*INDEX(Aux_HH!$F$4:$F$31,MATCH($A119&amp;"|"&amp;$D119,Aux_HH!$A$4:$A$31,0)))</f>
        <v>0</v>
      </c>
      <c r="J119">
        <f>IF($D119="",0,$E119*INDEX(Aux_HH!$G$4:$G$31,MATCH($A119&amp;"|"&amp;$D119,Aux_HH!$A$4:$A$31,0)))</f>
        <v>0</v>
      </c>
      <c r="K119">
        <f>IF($D119="",0,$E119*INDEX(Aux_HH!$H$4:$H$31,MATCH($A119&amp;"|"&amp;$D119,Aux_HH!$A$4:$A$31,0)))</f>
        <v>0</v>
      </c>
      <c r="L119">
        <f>IF($D119="",0,$E119*INDEX(Aux_HH!$I$4:$I$31,MATCH($A119&amp;"|"&amp;$D119,Aux_HH!$A$4:$A$31,0)))</f>
        <v>0</v>
      </c>
    </row>
    <row r="120" spans="1:12" ht="15" customHeight="1" x14ac:dyDescent="0.4">
      <c r="A120" t="str">
        <f>Premissas!$A$41</f>
        <v>Caminhão</v>
      </c>
      <c r="B120">
        <v>13</v>
      </c>
      <c r="C120">
        <f>INDEX(Semanas!$E$3:$E$54,13)</f>
        <v>11</v>
      </c>
      <c r="D120" t="str">
        <f>Cronograma!N7</f>
        <v/>
      </c>
      <c r="E120">
        <f>Premissas!$I$41</f>
        <v>121</v>
      </c>
      <c r="F120">
        <f t="shared" si="1"/>
        <v>0</v>
      </c>
      <c r="G120">
        <f>IF($D120="",0,$E120*INDEX(Aux_HH!$D$4:$D$31,MATCH($A120&amp;"|"&amp;$D120,Aux_HH!$A$4:$A$31,0)))</f>
        <v>0</v>
      </c>
      <c r="H120">
        <f>IF($D120="",0,$E120*INDEX(Aux_HH!$E$4:$E$31,MATCH($A120&amp;"|"&amp;$D120,Aux_HH!$A$4:$A$31,0)))</f>
        <v>0</v>
      </c>
      <c r="I120">
        <f>IF($D120="",0,$E120*INDEX(Aux_HH!$F$4:$F$31,MATCH($A120&amp;"|"&amp;$D120,Aux_HH!$A$4:$A$31,0)))</f>
        <v>0</v>
      </c>
      <c r="J120">
        <f>IF($D120="",0,$E120*INDEX(Aux_HH!$G$4:$G$31,MATCH($A120&amp;"|"&amp;$D120,Aux_HH!$A$4:$A$31,0)))</f>
        <v>0</v>
      </c>
      <c r="K120">
        <f>IF($D120="",0,$E120*INDEX(Aux_HH!$H$4:$H$31,MATCH($A120&amp;"|"&amp;$D120,Aux_HH!$A$4:$A$31,0)))</f>
        <v>0</v>
      </c>
      <c r="L120">
        <f>IF($D120="",0,$E120*INDEX(Aux_HH!$I$4:$I$31,MATCH($A120&amp;"|"&amp;$D120,Aux_HH!$A$4:$A$31,0)))</f>
        <v>0</v>
      </c>
    </row>
    <row r="121" spans="1:12" ht="15" customHeight="1" x14ac:dyDescent="0.4">
      <c r="A121" t="str">
        <f>Premissas!$A$41</f>
        <v>Caminhão</v>
      </c>
      <c r="B121">
        <v>14</v>
      </c>
      <c r="C121">
        <f>INDEX(Semanas!$E$3:$E$54,14)</f>
        <v>12</v>
      </c>
      <c r="D121" t="str">
        <f>Cronograma!O7</f>
        <v>A</v>
      </c>
      <c r="E121">
        <f>Premissas!$I$41</f>
        <v>121</v>
      </c>
      <c r="F121">
        <f t="shared" si="1"/>
        <v>121</v>
      </c>
      <c r="G121">
        <f>IF($D121="",0,$E121*INDEX(Aux_HH!$D$4:$D$31,MATCH($A121&amp;"|"&amp;$D121,Aux_HH!$A$4:$A$31,0)))</f>
        <v>484</v>
      </c>
      <c r="H121">
        <f>IF($D121="",0,$E121*INDEX(Aux_HH!$E$4:$E$31,MATCH($A121&amp;"|"&amp;$D121,Aux_HH!$A$4:$A$31,0)))</f>
        <v>0</v>
      </c>
      <c r="I121">
        <f>IF($D121="",0,$E121*INDEX(Aux_HH!$F$4:$F$31,MATCH($A121&amp;"|"&amp;$D121,Aux_HH!$A$4:$A$31,0)))</f>
        <v>0</v>
      </c>
      <c r="J121">
        <f>IF($D121="",0,$E121*INDEX(Aux_HH!$G$4:$G$31,MATCH($A121&amp;"|"&amp;$D121,Aux_HH!$A$4:$A$31,0)))</f>
        <v>0</v>
      </c>
      <c r="K121">
        <f>IF($D121="",0,$E121*INDEX(Aux_HH!$H$4:$H$31,MATCH($A121&amp;"|"&amp;$D121,Aux_HH!$A$4:$A$31,0)))</f>
        <v>0</v>
      </c>
      <c r="L121">
        <f>IF($D121="",0,$E121*INDEX(Aux_HH!$I$4:$I$31,MATCH($A121&amp;"|"&amp;$D121,Aux_HH!$A$4:$A$31,0)))</f>
        <v>0</v>
      </c>
    </row>
    <row r="122" spans="1:12" ht="15" customHeight="1" x14ac:dyDescent="0.4">
      <c r="A122" t="str">
        <f>Premissas!$A$41</f>
        <v>Caminhão</v>
      </c>
      <c r="B122">
        <v>15</v>
      </c>
      <c r="C122">
        <f>INDEX(Semanas!$E$3:$E$54,15)</f>
        <v>12</v>
      </c>
      <c r="D122" t="str">
        <f>Cronograma!P7</f>
        <v/>
      </c>
      <c r="E122">
        <f>Premissas!$I$41</f>
        <v>121</v>
      </c>
      <c r="F122">
        <f t="shared" si="1"/>
        <v>0</v>
      </c>
      <c r="G122">
        <f>IF($D122="",0,$E122*INDEX(Aux_HH!$D$4:$D$31,MATCH($A122&amp;"|"&amp;$D122,Aux_HH!$A$4:$A$31,0)))</f>
        <v>0</v>
      </c>
      <c r="H122">
        <f>IF($D122="",0,$E122*INDEX(Aux_HH!$E$4:$E$31,MATCH($A122&amp;"|"&amp;$D122,Aux_HH!$A$4:$A$31,0)))</f>
        <v>0</v>
      </c>
      <c r="I122">
        <f>IF($D122="",0,$E122*INDEX(Aux_HH!$F$4:$F$31,MATCH($A122&amp;"|"&amp;$D122,Aux_HH!$A$4:$A$31,0)))</f>
        <v>0</v>
      </c>
      <c r="J122">
        <f>IF($D122="",0,$E122*INDEX(Aux_HH!$G$4:$G$31,MATCH($A122&amp;"|"&amp;$D122,Aux_HH!$A$4:$A$31,0)))</f>
        <v>0</v>
      </c>
      <c r="K122">
        <f>IF($D122="",0,$E122*INDEX(Aux_HH!$H$4:$H$31,MATCH($A122&amp;"|"&amp;$D122,Aux_HH!$A$4:$A$31,0)))</f>
        <v>0</v>
      </c>
      <c r="L122">
        <f>IF($D122="",0,$E122*INDEX(Aux_HH!$I$4:$I$31,MATCH($A122&amp;"|"&amp;$D122,Aux_HH!$A$4:$A$31,0)))</f>
        <v>0</v>
      </c>
    </row>
    <row r="123" spans="1:12" ht="15" customHeight="1" x14ac:dyDescent="0.4">
      <c r="A123" t="str">
        <f>Premissas!$A$41</f>
        <v>Caminhão</v>
      </c>
      <c r="B123">
        <v>16</v>
      </c>
      <c r="C123">
        <f>INDEX(Semanas!$E$3:$E$54,16)</f>
        <v>12</v>
      </c>
      <c r="D123" t="str">
        <f>Cronograma!Q7</f>
        <v/>
      </c>
      <c r="E123">
        <f>Premissas!$I$41</f>
        <v>121</v>
      </c>
      <c r="F123">
        <f t="shared" si="1"/>
        <v>0</v>
      </c>
      <c r="G123">
        <f>IF($D123="",0,$E123*INDEX(Aux_HH!$D$4:$D$31,MATCH($A123&amp;"|"&amp;$D123,Aux_HH!$A$4:$A$31,0)))</f>
        <v>0</v>
      </c>
      <c r="H123">
        <f>IF($D123="",0,$E123*INDEX(Aux_HH!$E$4:$E$31,MATCH($A123&amp;"|"&amp;$D123,Aux_HH!$A$4:$A$31,0)))</f>
        <v>0</v>
      </c>
      <c r="I123">
        <f>IF($D123="",0,$E123*INDEX(Aux_HH!$F$4:$F$31,MATCH($A123&amp;"|"&amp;$D123,Aux_HH!$A$4:$A$31,0)))</f>
        <v>0</v>
      </c>
      <c r="J123">
        <f>IF($D123="",0,$E123*INDEX(Aux_HH!$G$4:$G$31,MATCH($A123&amp;"|"&amp;$D123,Aux_HH!$A$4:$A$31,0)))</f>
        <v>0</v>
      </c>
      <c r="K123">
        <f>IF($D123="",0,$E123*INDEX(Aux_HH!$H$4:$H$31,MATCH($A123&amp;"|"&amp;$D123,Aux_HH!$A$4:$A$31,0)))</f>
        <v>0</v>
      </c>
      <c r="L123">
        <f>IF($D123="",0,$E123*INDEX(Aux_HH!$I$4:$I$31,MATCH($A123&amp;"|"&amp;$D123,Aux_HH!$A$4:$A$31,0)))</f>
        <v>0</v>
      </c>
    </row>
    <row r="124" spans="1:12" ht="15" customHeight="1" x14ac:dyDescent="0.4">
      <c r="A124" t="str">
        <f>Premissas!$A$41</f>
        <v>Caminhão</v>
      </c>
      <c r="B124">
        <v>17</v>
      </c>
      <c r="C124">
        <f>INDEX(Semanas!$E$3:$E$54,17)</f>
        <v>12</v>
      </c>
      <c r="D124" t="str">
        <f>Cronograma!R7</f>
        <v/>
      </c>
      <c r="E124">
        <f>Premissas!$I$41</f>
        <v>121</v>
      </c>
      <c r="F124">
        <f t="shared" si="1"/>
        <v>0</v>
      </c>
      <c r="G124">
        <f>IF($D124="",0,$E124*INDEX(Aux_HH!$D$4:$D$31,MATCH($A124&amp;"|"&amp;$D124,Aux_HH!$A$4:$A$31,0)))</f>
        <v>0</v>
      </c>
      <c r="H124">
        <f>IF($D124="",0,$E124*INDEX(Aux_HH!$E$4:$E$31,MATCH($A124&amp;"|"&amp;$D124,Aux_HH!$A$4:$A$31,0)))</f>
        <v>0</v>
      </c>
      <c r="I124">
        <f>IF($D124="",0,$E124*INDEX(Aux_HH!$F$4:$F$31,MATCH($A124&amp;"|"&amp;$D124,Aux_HH!$A$4:$A$31,0)))</f>
        <v>0</v>
      </c>
      <c r="J124">
        <f>IF($D124="",0,$E124*INDEX(Aux_HH!$G$4:$G$31,MATCH($A124&amp;"|"&amp;$D124,Aux_HH!$A$4:$A$31,0)))</f>
        <v>0</v>
      </c>
      <c r="K124">
        <f>IF($D124="",0,$E124*INDEX(Aux_HH!$H$4:$H$31,MATCH($A124&amp;"|"&amp;$D124,Aux_HH!$A$4:$A$31,0)))</f>
        <v>0</v>
      </c>
      <c r="L124">
        <f>IF($D124="",0,$E124*INDEX(Aux_HH!$I$4:$I$31,MATCH($A124&amp;"|"&amp;$D124,Aux_HH!$A$4:$A$31,0)))</f>
        <v>0</v>
      </c>
    </row>
    <row r="125" spans="1:12" ht="15" customHeight="1" x14ac:dyDescent="0.4">
      <c r="A125" t="str">
        <f>Premissas!$A$41</f>
        <v>Caminhão</v>
      </c>
      <c r="B125">
        <v>18</v>
      </c>
      <c r="C125">
        <f>INDEX(Semanas!$E$3:$E$54,18)</f>
        <v>12</v>
      </c>
      <c r="D125" t="str">
        <f>Cronograma!S7</f>
        <v/>
      </c>
      <c r="E125">
        <f>Premissas!$I$41</f>
        <v>121</v>
      </c>
      <c r="F125">
        <f t="shared" si="1"/>
        <v>0</v>
      </c>
      <c r="G125">
        <f>IF($D125="",0,$E125*INDEX(Aux_HH!$D$4:$D$31,MATCH($A125&amp;"|"&amp;$D125,Aux_HH!$A$4:$A$31,0)))</f>
        <v>0</v>
      </c>
      <c r="H125">
        <f>IF($D125="",0,$E125*INDEX(Aux_HH!$E$4:$E$31,MATCH($A125&amp;"|"&amp;$D125,Aux_HH!$A$4:$A$31,0)))</f>
        <v>0</v>
      </c>
      <c r="I125">
        <f>IF($D125="",0,$E125*INDEX(Aux_HH!$F$4:$F$31,MATCH($A125&amp;"|"&amp;$D125,Aux_HH!$A$4:$A$31,0)))</f>
        <v>0</v>
      </c>
      <c r="J125">
        <f>IF($D125="",0,$E125*INDEX(Aux_HH!$G$4:$G$31,MATCH($A125&amp;"|"&amp;$D125,Aux_HH!$A$4:$A$31,0)))</f>
        <v>0</v>
      </c>
      <c r="K125">
        <f>IF($D125="",0,$E125*INDEX(Aux_HH!$H$4:$H$31,MATCH($A125&amp;"|"&amp;$D125,Aux_HH!$A$4:$A$31,0)))</f>
        <v>0</v>
      </c>
      <c r="L125">
        <f>IF($D125="",0,$E125*INDEX(Aux_HH!$I$4:$I$31,MATCH($A125&amp;"|"&amp;$D125,Aux_HH!$A$4:$A$31,0)))</f>
        <v>0</v>
      </c>
    </row>
    <row r="126" spans="1:12" ht="15" customHeight="1" x14ac:dyDescent="0.4">
      <c r="A126" t="str">
        <f>Premissas!$A$41</f>
        <v>Caminhão</v>
      </c>
      <c r="B126">
        <v>19</v>
      </c>
      <c r="C126">
        <f>INDEX(Semanas!$E$3:$E$54,19)</f>
        <v>1</v>
      </c>
      <c r="D126" t="str">
        <f>Cronograma!T7</f>
        <v/>
      </c>
      <c r="E126">
        <f>Premissas!$I$41</f>
        <v>121</v>
      </c>
      <c r="F126">
        <f t="shared" si="1"/>
        <v>0</v>
      </c>
      <c r="G126">
        <f>IF($D126="",0,$E126*INDEX(Aux_HH!$D$4:$D$31,MATCH($A126&amp;"|"&amp;$D126,Aux_HH!$A$4:$A$31,0)))</f>
        <v>0</v>
      </c>
      <c r="H126">
        <f>IF($D126="",0,$E126*INDEX(Aux_HH!$E$4:$E$31,MATCH($A126&amp;"|"&amp;$D126,Aux_HH!$A$4:$A$31,0)))</f>
        <v>0</v>
      </c>
      <c r="I126">
        <f>IF($D126="",0,$E126*INDEX(Aux_HH!$F$4:$F$31,MATCH($A126&amp;"|"&amp;$D126,Aux_HH!$A$4:$A$31,0)))</f>
        <v>0</v>
      </c>
      <c r="J126">
        <f>IF($D126="",0,$E126*INDEX(Aux_HH!$G$4:$G$31,MATCH($A126&amp;"|"&amp;$D126,Aux_HH!$A$4:$A$31,0)))</f>
        <v>0</v>
      </c>
      <c r="K126">
        <f>IF($D126="",0,$E126*INDEX(Aux_HH!$H$4:$H$31,MATCH($A126&amp;"|"&amp;$D126,Aux_HH!$A$4:$A$31,0)))</f>
        <v>0</v>
      </c>
      <c r="L126">
        <f>IF($D126="",0,$E126*INDEX(Aux_HH!$I$4:$I$31,MATCH($A126&amp;"|"&amp;$D126,Aux_HH!$A$4:$A$31,0)))</f>
        <v>0</v>
      </c>
    </row>
    <row r="127" spans="1:12" ht="15" customHeight="1" x14ac:dyDescent="0.4">
      <c r="A127" t="str">
        <f>Premissas!$A$41</f>
        <v>Caminhão</v>
      </c>
      <c r="B127">
        <v>20</v>
      </c>
      <c r="C127">
        <f>INDEX(Semanas!$E$3:$E$54,20)</f>
        <v>1</v>
      </c>
      <c r="D127" t="str">
        <f>Cronograma!U7</f>
        <v>S</v>
      </c>
      <c r="E127">
        <f>Premissas!$I$41</f>
        <v>121</v>
      </c>
      <c r="F127">
        <f t="shared" si="1"/>
        <v>121</v>
      </c>
      <c r="G127">
        <f>IF($D127="",0,$E127*INDEX(Aux_HH!$D$4:$D$31,MATCH($A127&amp;"|"&amp;$D127,Aux_HH!$A$4:$A$31,0)))</f>
        <v>242</v>
      </c>
      <c r="H127">
        <f>IF($D127="",0,$E127*INDEX(Aux_HH!$E$4:$E$31,MATCH($A127&amp;"|"&amp;$D127,Aux_HH!$A$4:$A$31,0)))</f>
        <v>0</v>
      </c>
      <c r="I127">
        <f>IF($D127="",0,$E127*INDEX(Aux_HH!$F$4:$F$31,MATCH($A127&amp;"|"&amp;$D127,Aux_HH!$A$4:$A$31,0)))</f>
        <v>0</v>
      </c>
      <c r="J127">
        <f>IF($D127="",0,$E127*INDEX(Aux_HH!$G$4:$G$31,MATCH($A127&amp;"|"&amp;$D127,Aux_HH!$A$4:$A$31,0)))</f>
        <v>0</v>
      </c>
      <c r="K127">
        <f>IF($D127="",0,$E127*INDEX(Aux_HH!$H$4:$H$31,MATCH($A127&amp;"|"&amp;$D127,Aux_HH!$A$4:$A$31,0)))</f>
        <v>0</v>
      </c>
      <c r="L127">
        <f>IF($D127="",0,$E127*INDEX(Aux_HH!$I$4:$I$31,MATCH($A127&amp;"|"&amp;$D127,Aux_HH!$A$4:$A$31,0)))</f>
        <v>0</v>
      </c>
    </row>
    <row r="128" spans="1:12" ht="15" customHeight="1" x14ac:dyDescent="0.4">
      <c r="A128" t="str">
        <f>Premissas!$A$41</f>
        <v>Caminhão</v>
      </c>
      <c r="B128">
        <v>21</v>
      </c>
      <c r="C128">
        <f>INDEX(Semanas!$E$3:$E$54,21)</f>
        <v>1</v>
      </c>
      <c r="D128" t="str">
        <f>Cronograma!V7</f>
        <v/>
      </c>
      <c r="E128">
        <f>Premissas!$I$41</f>
        <v>121</v>
      </c>
      <c r="F128">
        <f t="shared" si="1"/>
        <v>0</v>
      </c>
      <c r="G128">
        <f>IF($D128="",0,$E128*INDEX(Aux_HH!$D$4:$D$31,MATCH($A128&amp;"|"&amp;$D128,Aux_HH!$A$4:$A$31,0)))</f>
        <v>0</v>
      </c>
      <c r="H128">
        <f>IF($D128="",0,$E128*INDEX(Aux_HH!$E$4:$E$31,MATCH($A128&amp;"|"&amp;$D128,Aux_HH!$A$4:$A$31,0)))</f>
        <v>0</v>
      </c>
      <c r="I128">
        <f>IF($D128="",0,$E128*INDEX(Aux_HH!$F$4:$F$31,MATCH($A128&amp;"|"&amp;$D128,Aux_HH!$A$4:$A$31,0)))</f>
        <v>0</v>
      </c>
      <c r="J128">
        <f>IF($D128="",0,$E128*INDEX(Aux_HH!$G$4:$G$31,MATCH($A128&amp;"|"&amp;$D128,Aux_HH!$A$4:$A$31,0)))</f>
        <v>0</v>
      </c>
      <c r="K128">
        <f>IF($D128="",0,$E128*INDEX(Aux_HH!$H$4:$H$31,MATCH($A128&amp;"|"&amp;$D128,Aux_HH!$A$4:$A$31,0)))</f>
        <v>0</v>
      </c>
      <c r="L128">
        <f>IF($D128="",0,$E128*INDEX(Aux_HH!$I$4:$I$31,MATCH($A128&amp;"|"&amp;$D128,Aux_HH!$A$4:$A$31,0)))</f>
        <v>0</v>
      </c>
    </row>
    <row r="129" spans="1:12" ht="15" customHeight="1" x14ac:dyDescent="0.4">
      <c r="A129" t="str">
        <f>Premissas!$A$41</f>
        <v>Caminhão</v>
      </c>
      <c r="B129">
        <v>22</v>
      </c>
      <c r="C129">
        <f>INDEX(Semanas!$E$3:$E$54,22)</f>
        <v>1</v>
      </c>
      <c r="D129" t="str">
        <f>Cronograma!W7</f>
        <v/>
      </c>
      <c r="E129">
        <f>Premissas!$I$41</f>
        <v>121</v>
      </c>
      <c r="F129">
        <f t="shared" si="1"/>
        <v>0</v>
      </c>
      <c r="G129">
        <f>IF($D129="",0,$E129*INDEX(Aux_HH!$D$4:$D$31,MATCH($A129&amp;"|"&amp;$D129,Aux_HH!$A$4:$A$31,0)))</f>
        <v>0</v>
      </c>
      <c r="H129">
        <f>IF($D129="",0,$E129*INDEX(Aux_HH!$E$4:$E$31,MATCH($A129&amp;"|"&amp;$D129,Aux_HH!$A$4:$A$31,0)))</f>
        <v>0</v>
      </c>
      <c r="I129">
        <f>IF($D129="",0,$E129*INDEX(Aux_HH!$F$4:$F$31,MATCH($A129&amp;"|"&amp;$D129,Aux_HH!$A$4:$A$31,0)))</f>
        <v>0</v>
      </c>
      <c r="J129">
        <f>IF($D129="",0,$E129*INDEX(Aux_HH!$G$4:$G$31,MATCH($A129&amp;"|"&amp;$D129,Aux_HH!$A$4:$A$31,0)))</f>
        <v>0</v>
      </c>
      <c r="K129">
        <f>IF($D129="",0,$E129*INDEX(Aux_HH!$H$4:$H$31,MATCH($A129&amp;"|"&amp;$D129,Aux_HH!$A$4:$A$31,0)))</f>
        <v>0</v>
      </c>
      <c r="L129">
        <f>IF($D129="",0,$E129*INDEX(Aux_HH!$I$4:$I$31,MATCH($A129&amp;"|"&amp;$D129,Aux_HH!$A$4:$A$31,0)))</f>
        <v>0</v>
      </c>
    </row>
    <row r="130" spans="1:12" ht="15" customHeight="1" x14ac:dyDescent="0.4">
      <c r="A130" t="str">
        <f>Premissas!$A$41</f>
        <v>Caminhão</v>
      </c>
      <c r="B130">
        <v>23</v>
      </c>
      <c r="C130">
        <f>INDEX(Semanas!$E$3:$E$54,23)</f>
        <v>2</v>
      </c>
      <c r="D130" t="str">
        <f>Cronograma!X7</f>
        <v/>
      </c>
      <c r="E130">
        <f>Premissas!$I$41</f>
        <v>121</v>
      </c>
      <c r="F130">
        <f t="shared" si="1"/>
        <v>0</v>
      </c>
      <c r="G130">
        <f>IF($D130="",0,$E130*INDEX(Aux_HH!$D$4:$D$31,MATCH($A130&amp;"|"&amp;$D130,Aux_HH!$A$4:$A$31,0)))</f>
        <v>0</v>
      </c>
      <c r="H130">
        <f>IF($D130="",0,$E130*INDEX(Aux_HH!$E$4:$E$31,MATCH($A130&amp;"|"&amp;$D130,Aux_HH!$A$4:$A$31,0)))</f>
        <v>0</v>
      </c>
      <c r="I130">
        <f>IF($D130="",0,$E130*INDEX(Aux_HH!$F$4:$F$31,MATCH($A130&amp;"|"&amp;$D130,Aux_HH!$A$4:$A$31,0)))</f>
        <v>0</v>
      </c>
      <c r="J130">
        <f>IF($D130="",0,$E130*INDEX(Aux_HH!$G$4:$G$31,MATCH($A130&amp;"|"&amp;$D130,Aux_HH!$A$4:$A$31,0)))</f>
        <v>0</v>
      </c>
      <c r="K130">
        <f>IF($D130="",0,$E130*INDEX(Aux_HH!$H$4:$H$31,MATCH($A130&amp;"|"&amp;$D130,Aux_HH!$A$4:$A$31,0)))</f>
        <v>0</v>
      </c>
      <c r="L130">
        <f>IF($D130="",0,$E130*INDEX(Aux_HH!$I$4:$I$31,MATCH($A130&amp;"|"&amp;$D130,Aux_HH!$A$4:$A$31,0)))</f>
        <v>0</v>
      </c>
    </row>
    <row r="131" spans="1:12" ht="15" customHeight="1" x14ac:dyDescent="0.4">
      <c r="A131" t="str">
        <f>Premissas!$A$41</f>
        <v>Caminhão</v>
      </c>
      <c r="B131">
        <v>24</v>
      </c>
      <c r="C131">
        <f>INDEX(Semanas!$E$3:$E$54,24)</f>
        <v>2</v>
      </c>
      <c r="D131" t="str">
        <f>Cronograma!Y7</f>
        <v/>
      </c>
      <c r="E131">
        <f>Premissas!$I$41</f>
        <v>121</v>
      </c>
      <c r="F131">
        <f t="shared" si="1"/>
        <v>0</v>
      </c>
      <c r="G131">
        <f>IF($D131="",0,$E131*INDEX(Aux_HH!$D$4:$D$31,MATCH($A131&amp;"|"&amp;$D131,Aux_HH!$A$4:$A$31,0)))</f>
        <v>0</v>
      </c>
      <c r="H131">
        <f>IF($D131="",0,$E131*INDEX(Aux_HH!$E$4:$E$31,MATCH($A131&amp;"|"&amp;$D131,Aux_HH!$A$4:$A$31,0)))</f>
        <v>0</v>
      </c>
      <c r="I131">
        <f>IF($D131="",0,$E131*INDEX(Aux_HH!$F$4:$F$31,MATCH($A131&amp;"|"&amp;$D131,Aux_HH!$A$4:$A$31,0)))</f>
        <v>0</v>
      </c>
      <c r="J131">
        <f>IF($D131="",0,$E131*INDEX(Aux_HH!$G$4:$G$31,MATCH($A131&amp;"|"&amp;$D131,Aux_HH!$A$4:$A$31,0)))</f>
        <v>0</v>
      </c>
      <c r="K131">
        <f>IF($D131="",0,$E131*INDEX(Aux_HH!$H$4:$H$31,MATCH($A131&amp;"|"&amp;$D131,Aux_HH!$A$4:$A$31,0)))</f>
        <v>0</v>
      </c>
      <c r="L131">
        <f>IF($D131="",0,$E131*INDEX(Aux_HH!$I$4:$I$31,MATCH($A131&amp;"|"&amp;$D131,Aux_HH!$A$4:$A$31,0)))</f>
        <v>0</v>
      </c>
    </row>
    <row r="132" spans="1:12" ht="15" customHeight="1" x14ac:dyDescent="0.4">
      <c r="A132" t="str">
        <f>Premissas!$A$41</f>
        <v>Caminhão</v>
      </c>
      <c r="B132">
        <v>25</v>
      </c>
      <c r="C132">
        <f>INDEX(Semanas!$E$3:$E$54,25)</f>
        <v>2</v>
      </c>
      <c r="D132" t="str">
        <f>Cronograma!Z7</f>
        <v/>
      </c>
      <c r="E132">
        <f>Premissas!$I$41</f>
        <v>121</v>
      </c>
      <c r="F132">
        <f t="shared" ref="F132:F195" si="2">IF($D132="",0,$E132)</f>
        <v>0</v>
      </c>
      <c r="G132">
        <f>IF($D132="",0,$E132*INDEX(Aux_HH!$D$4:$D$31,MATCH($A132&amp;"|"&amp;$D132,Aux_HH!$A$4:$A$31,0)))</f>
        <v>0</v>
      </c>
      <c r="H132">
        <f>IF($D132="",0,$E132*INDEX(Aux_HH!$E$4:$E$31,MATCH($A132&amp;"|"&amp;$D132,Aux_HH!$A$4:$A$31,0)))</f>
        <v>0</v>
      </c>
      <c r="I132">
        <f>IF($D132="",0,$E132*INDEX(Aux_HH!$F$4:$F$31,MATCH($A132&amp;"|"&amp;$D132,Aux_HH!$A$4:$A$31,0)))</f>
        <v>0</v>
      </c>
      <c r="J132">
        <f>IF($D132="",0,$E132*INDEX(Aux_HH!$G$4:$G$31,MATCH($A132&amp;"|"&amp;$D132,Aux_HH!$A$4:$A$31,0)))</f>
        <v>0</v>
      </c>
      <c r="K132">
        <f>IF($D132="",0,$E132*INDEX(Aux_HH!$H$4:$H$31,MATCH($A132&amp;"|"&amp;$D132,Aux_HH!$A$4:$A$31,0)))</f>
        <v>0</v>
      </c>
      <c r="L132">
        <f>IF($D132="",0,$E132*INDEX(Aux_HH!$I$4:$I$31,MATCH($A132&amp;"|"&amp;$D132,Aux_HH!$A$4:$A$31,0)))</f>
        <v>0</v>
      </c>
    </row>
    <row r="133" spans="1:12" ht="15" customHeight="1" x14ac:dyDescent="0.4">
      <c r="A133" t="str">
        <f>Premissas!$A$41</f>
        <v>Caminhão</v>
      </c>
      <c r="B133">
        <v>26</v>
      </c>
      <c r="C133">
        <f>INDEX(Semanas!$E$3:$E$54,26)</f>
        <v>2</v>
      </c>
      <c r="D133" t="str">
        <f>Cronograma!AA7</f>
        <v/>
      </c>
      <c r="E133">
        <f>Premissas!$I$41</f>
        <v>121</v>
      </c>
      <c r="F133">
        <f t="shared" si="2"/>
        <v>0</v>
      </c>
      <c r="G133">
        <f>IF($D133="",0,$E133*INDEX(Aux_HH!$D$4:$D$31,MATCH($A133&amp;"|"&amp;$D133,Aux_HH!$A$4:$A$31,0)))</f>
        <v>0</v>
      </c>
      <c r="H133">
        <f>IF($D133="",0,$E133*INDEX(Aux_HH!$E$4:$E$31,MATCH($A133&amp;"|"&amp;$D133,Aux_HH!$A$4:$A$31,0)))</f>
        <v>0</v>
      </c>
      <c r="I133">
        <f>IF($D133="",0,$E133*INDEX(Aux_HH!$F$4:$F$31,MATCH($A133&amp;"|"&amp;$D133,Aux_HH!$A$4:$A$31,0)))</f>
        <v>0</v>
      </c>
      <c r="J133">
        <f>IF($D133="",0,$E133*INDEX(Aux_HH!$G$4:$G$31,MATCH($A133&amp;"|"&amp;$D133,Aux_HH!$A$4:$A$31,0)))</f>
        <v>0</v>
      </c>
      <c r="K133">
        <f>IF($D133="",0,$E133*INDEX(Aux_HH!$H$4:$H$31,MATCH($A133&amp;"|"&amp;$D133,Aux_HH!$A$4:$A$31,0)))</f>
        <v>0</v>
      </c>
      <c r="L133">
        <f>IF($D133="",0,$E133*INDEX(Aux_HH!$I$4:$I$31,MATCH($A133&amp;"|"&amp;$D133,Aux_HH!$A$4:$A$31,0)))</f>
        <v>0</v>
      </c>
    </row>
    <row r="134" spans="1:12" ht="15" customHeight="1" x14ac:dyDescent="0.4">
      <c r="A134" t="str">
        <f>Premissas!$A$41</f>
        <v>Caminhão</v>
      </c>
      <c r="B134">
        <v>27</v>
      </c>
      <c r="C134">
        <f>INDEX(Semanas!$E$3:$E$54,27)</f>
        <v>3</v>
      </c>
      <c r="D134" t="str">
        <f>Cronograma!AB7</f>
        <v>B</v>
      </c>
      <c r="E134">
        <f>Premissas!$I$41</f>
        <v>121</v>
      </c>
      <c r="F134">
        <f t="shared" si="2"/>
        <v>121</v>
      </c>
      <c r="G134">
        <f>IF($D134="",0,$E134*INDEX(Aux_HH!$D$4:$D$31,MATCH($A134&amp;"|"&amp;$D134,Aux_HH!$A$4:$A$31,0)))</f>
        <v>968</v>
      </c>
      <c r="H134">
        <f>IF($D134="",0,$E134*INDEX(Aux_HH!$E$4:$E$31,MATCH($A134&amp;"|"&amp;$D134,Aux_HH!$A$4:$A$31,0)))</f>
        <v>0</v>
      </c>
      <c r="I134">
        <f>IF($D134="",0,$E134*INDEX(Aux_HH!$F$4:$F$31,MATCH($A134&amp;"|"&amp;$D134,Aux_HH!$A$4:$A$31,0)))</f>
        <v>0</v>
      </c>
      <c r="J134">
        <f>IF($D134="",0,$E134*INDEX(Aux_HH!$G$4:$G$31,MATCH($A134&amp;"|"&amp;$D134,Aux_HH!$A$4:$A$31,0)))</f>
        <v>0</v>
      </c>
      <c r="K134">
        <f>IF($D134="",0,$E134*INDEX(Aux_HH!$H$4:$H$31,MATCH($A134&amp;"|"&amp;$D134,Aux_HH!$A$4:$A$31,0)))</f>
        <v>0</v>
      </c>
      <c r="L134">
        <f>IF($D134="",0,$E134*INDEX(Aux_HH!$I$4:$I$31,MATCH($A134&amp;"|"&amp;$D134,Aux_HH!$A$4:$A$31,0)))</f>
        <v>0</v>
      </c>
    </row>
    <row r="135" spans="1:12" ht="15" customHeight="1" x14ac:dyDescent="0.4">
      <c r="A135" t="str">
        <f>Premissas!$A$41</f>
        <v>Caminhão</v>
      </c>
      <c r="B135">
        <v>28</v>
      </c>
      <c r="C135">
        <f>INDEX(Semanas!$E$3:$E$54,28)</f>
        <v>3</v>
      </c>
      <c r="D135" t="str">
        <f>Cronograma!AC7</f>
        <v/>
      </c>
      <c r="E135">
        <f>Premissas!$I$41</f>
        <v>121</v>
      </c>
      <c r="F135">
        <f t="shared" si="2"/>
        <v>0</v>
      </c>
      <c r="G135">
        <f>IF($D135="",0,$E135*INDEX(Aux_HH!$D$4:$D$31,MATCH($A135&amp;"|"&amp;$D135,Aux_HH!$A$4:$A$31,0)))</f>
        <v>0</v>
      </c>
      <c r="H135">
        <f>IF($D135="",0,$E135*INDEX(Aux_HH!$E$4:$E$31,MATCH($A135&amp;"|"&amp;$D135,Aux_HH!$A$4:$A$31,0)))</f>
        <v>0</v>
      </c>
      <c r="I135">
        <f>IF($D135="",0,$E135*INDEX(Aux_HH!$F$4:$F$31,MATCH($A135&amp;"|"&amp;$D135,Aux_HH!$A$4:$A$31,0)))</f>
        <v>0</v>
      </c>
      <c r="J135">
        <f>IF($D135="",0,$E135*INDEX(Aux_HH!$G$4:$G$31,MATCH($A135&amp;"|"&amp;$D135,Aux_HH!$A$4:$A$31,0)))</f>
        <v>0</v>
      </c>
      <c r="K135">
        <f>IF($D135="",0,$E135*INDEX(Aux_HH!$H$4:$H$31,MATCH($A135&amp;"|"&amp;$D135,Aux_HH!$A$4:$A$31,0)))</f>
        <v>0</v>
      </c>
      <c r="L135">
        <f>IF($D135="",0,$E135*INDEX(Aux_HH!$I$4:$I$31,MATCH($A135&amp;"|"&amp;$D135,Aux_HH!$A$4:$A$31,0)))</f>
        <v>0</v>
      </c>
    </row>
    <row r="136" spans="1:12" ht="15" customHeight="1" x14ac:dyDescent="0.4">
      <c r="A136" t="str">
        <f>Premissas!$A$41</f>
        <v>Caminhão</v>
      </c>
      <c r="B136">
        <v>29</v>
      </c>
      <c r="C136">
        <f>INDEX(Semanas!$E$3:$E$54,29)</f>
        <v>3</v>
      </c>
      <c r="D136" t="str">
        <f>Cronograma!AD7</f>
        <v/>
      </c>
      <c r="E136">
        <f>Premissas!$I$41</f>
        <v>121</v>
      </c>
      <c r="F136">
        <f t="shared" si="2"/>
        <v>0</v>
      </c>
      <c r="G136">
        <f>IF($D136="",0,$E136*INDEX(Aux_HH!$D$4:$D$31,MATCH($A136&amp;"|"&amp;$D136,Aux_HH!$A$4:$A$31,0)))</f>
        <v>0</v>
      </c>
      <c r="H136">
        <f>IF($D136="",0,$E136*INDEX(Aux_HH!$E$4:$E$31,MATCH($A136&amp;"|"&amp;$D136,Aux_HH!$A$4:$A$31,0)))</f>
        <v>0</v>
      </c>
      <c r="I136">
        <f>IF($D136="",0,$E136*INDEX(Aux_HH!$F$4:$F$31,MATCH($A136&amp;"|"&amp;$D136,Aux_HH!$A$4:$A$31,0)))</f>
        <v>0</v>
      </c>
      <c r="J136">
        <f>IF($D136="",0,$E136*INDEX(Aux_HH!$G$4:$G$31,MATCH($A136&amp;"|"&amp;$D136,Aux_HH!$A$4:$A$31,0)))</f>
        <v>0</v>
      </c>
      <c r="K136">
        <f>IF($D136="",0,$E136*INDEX(Aux_HH!$H$4:$H$31,MATCH($A136&amp;"|"&amp;$D136,Aux_HH!$A$4:$A$31,0)))</f>
        <v>0</v>
      </c>
      <c r="L136">
        <f>IF($D136="",0,$E136*INDEX(Aux_HH!$I$4:$I$31,MATCH($A136&amp;"|"&amp;$D136,Aux_HH!$A$4:$A$31,0)))</f>
        <v>0</v>
      </c>
    </row>
    <row r="137" spans="1:12" ht="15" customHeight="1" x14ac:dyDescent="0.4">
      <c r="A137" t="str">
        <f>Premissas!$A$41</f>
        <v>Caminhão</v>
      </c>
      <c r="B137">
        <v>30</v>
      </c>
      <c r="C137">
        <f>INDEX(Semanas!$E$3:$E$54,30)</f>
        <v>3</v>
      </c>
      <c r="D137" t="str">
        <f>Cronograma!AE7</f>
        <v/>
      </c>
      <c r="E137">
        <f>Premissas!$I$41</f>
        <v>121</v>
      </c>
      <c r="F137">
        <f t="shared" si="2"/>
        <v>0</v>
      </c>
      <c r="G137">
        <f>IF($D137="",0,$E137*INDEX(Aux_HH!$D$4:$D$31,MATCH($A137&amp;"|"&amp;$D137,Aux_HH!$A$4:$A$31,0)))</f>
        <v>0</v>
      </c>
      <c r="H137">
        <f>IF($D137="",0,$E137*INDEX(Aux_HH!$E$4:$E$31,MATCH($A137&amp;"|"&amp;$D137,Aux_HH!$A$4:$A$31,0)))</f>
        <v>0</v>
      </c>
      <c r="I137">
        <f>IF($D137="",0,$E137*INDEX(Aux_HH!$F$4:$F$31,MATCH($A137&amp;"|"&amp;$D137,Aux_HH!$A$4:$A$31,0)))</f>
        <v>0</v>
      </c>
      <c r="J137">
        <f>IF($D137="",0,$E137*INDEX(Aux_HH!$G$4:$G$31,MATCH($A137&amp;"|"&amp;$D137,Aux_HH!$A$4:$A$31,0)))</f>
        <v>0</v>
      </c>
      <c r="K137">
        <f>IF($D137="",0,$E137*INDEX(Aux_HH!$H$4:$H$31,MATCH($A137&amp;"|"&amp;$D137,Aux_HH!$A$4:$A$31,0)))</f>
        <v>0</v>
      </c>
      <c r="L137">
        <f>IF($D137="",0,$E137*INDEX(Aux_HH!$I$4:$I$31,MATCH($A137&amp;"|"&amp;$D137,Aux_HH!$A$4:$A$31,0)))</f>
        <v>0</v>
      </c>
    </row>
    <row r="138" spans="1:12" ht="15" customHeight="1" x14ac:dyDescent="0.4">
      <c r="A138" t="str">
        <f>Premissas!$A$41</f>
        <v>Caminhão</v>
      </c>
      <c r="B138">
        <v>31</v>
      </c>
      <c r="C138">
        <f>INDEX(Semanas!$E$3:$E$54,31)</f>
        <v>3</v>
      </c>
      <c r="D138" t="str">
        <f>Cronograma!AF7</f>
        <v/>
      </c>
      <c r="E138">
        <f>Premissas!$I$41</f>
        <v>121</v>
      </c>
      <c r="F138">
        <f t="shared" si="2"/>
        <v>0</v>
      </c>
      <c r="G138">
        <f>IF($D138="",0,$E138*INDEX(Aux_HH!$D$4:$D$31,MATCH($A138&amp;"|"&amp;$D138,Aux_HH!$A$4:$A$31,0)))</f>
        <v>0</v>
      </c>
      <c r="H138">
        <f>IF($D138="",0,$E138*INDEX(Aux_HH!$E$4:$E$31,MATCH($A138&amp;"|"&amp;$D138,Aux_HH!$A$4:$A$31,0)))</f>
        <v>0</v>
      </c>
      <c r="I138">
        <f>IF($D138="",0,$E138*INDEX(Aux_HH!$F$4:$F$31,MATCH($A138&amp;"|"&amp;$D138,Aux_HH!$A$4:$A$31,0)))</f>
        <v>0</v>
      </c>
      <c r="J138">
        <f>IF($D138="",0,$E138*INDEX(Aux_HH!$G$4:$G$31,MATCH($A138&amp;"|"&amp;$D138,Aux_HH!$A$4:$A$31,0)))</f>
        <v>0</v>
      </c>
      <c r="K138">
        <f>IF($D138="",0,$E138*INDEX(Aux_HH!$H$4:$H$31,MATCH($A138&amp;"|"&amp;$D138,Aux_HH!$A$4:$A$31,0)))</f>
        <v>0</v>
      </c>
      <c r="L138">
        <f>IF($D138="",0,$E138*INDEX(Aux_HH!$I$4:$I$31,MATCH($A138&amp;"|"&amp;$D138,Aux_HH!$A$4:$A$31,0)))</f>
        <v>0</v>
      </c>
    </row>
    <row r="139" spans="1:12" ht="15" customHeight="1" x14ac:dyDescent="0.4">
      <c r="A139" t="str">
        <f>Premissas!$A$41</f>
        <v>Caminhão</v>
      </c>
      <c r="B139">
        <v>32</v>
      </c>
      <c r="C139">
        <f>INDEX(Semanas!$E$3:$E$54,32)</f>
        <v>4</v>
      </c>
      <c r="D139" t="str">
        <f>Cronograma!AG7</f>
        <v/>
      </c>
      <c r="E139">
        <f>Premissas!$I$41</f>
        <v>121</v>
      </c>
      <c r="F139">
        <f t="shared" si="2"/>
        <v>0</v>
      </c>
      <c r="G139">
        <f>IF($D139="",0,$E139*INDEX(Aux_HH!$D$4:$D$31,MATCH($A139&amp;"|"&amp;$D139,Aux_HH!$A$4:$A$31,0)))</f>
        <v>0</v>
      </c>
      <c r="H139">
        <f>IF($D139="",0,$E139*INDEX(Aux_HH!$E$4:$E$31,MATCH($A139&amp;"|"&amp;$D139,Aux_HH!$A$4:$A$31,0)))</f>
        <v>0</v>
      </c>
      <c r="I139">
        <f>IF($D139="",0,$E139*INDEX(Aux_HH!$F$4:$F$31,MATCH($A139&amp;"|"&amp;$D139,Aux_HH!$A$4:$A$31,0)))</f>
        <v>0</v>
      </c>
      <c r="J139">
        <f>IF($D139="",0,$E139*INDEX(Aux_HH!$G$4:$G$31,MATCH($A139&amp;"|"&amp;$D139,Aux_HH!$A$4:$A$31,0)))</f>
        <v>0</v>
      </c>
      <c r="K139">
        <f>IF($D139="",0,$E139*INDEX(Aux_HH!$H$4:$H$31,MATCH($A139&amp;"|"&amp;$D139,Aux_HH!$A$4:$A$31,0)))</f>
        <v>0</v>
      </c>
      <c r="L139">
        <f>IF($D139="",0,$E139*INDEX(Aux_HH!$I$4:$I$31,MATCH($A139&amp;"|"&amp;$D139,Aux_HH!$A$4:$A$31,0)))</f>
        <v>0</v>
      </c>
    </row>
    <row r="140" spans="1:12" ht="15" customHeight="1" x14ac:dyDescent="0.4">
      <c r="A140" t="str">
        <f>Premissas!$A$41</f>
        <v>Caminhão</v>
      </c>
      <c r="B140">
        <v>33</v>
      </c>
      <c r="C140">
        <f>INDEX(Semanas!$E$3:$E$54,33)</f>
        <v>4</v>
      </c>
      <c r="D140" t="str">
        <f>Cronograma!AH7</f>
        <v/>
      </c>
      <c r="E140">
        <f>Premissas!$I$41</f>
        <v>121</v>
      </c>
      <c r="F140">
        <f t="shared" si="2"/>
        <v>0</v>
      </c>
      <c r="G140">
        <f>IF($D140="",0,$E140*INDEX(Aux_HH!$D$4:$D$31,MATCH($A140&amp;"|"&amp;$D140,Aux_HH!$A$4:$A$31,0)))</f>
        <v>0</v>
      </c>
      <c r="H140">
        <f>IF($D140="",0,$E140*INDEX(Aux_HH!$E$4:$E$31,MATCH($A140&amp;"|"&amp;$D140,Aux_HH!$A$4:$A$31,0)))</f>
        <v>0</v>
      </c>
      <c r="I140">
        <f>IF($D140="",0,$E140*INDEX(Aux_HH!$F$4:$F$31,MATCH($A140&amp;"|"&amp;$D140,Aux_HH!$A$4:$A$31,0)))</f>
        <v>0</v>
      </c>
      <c r="J140">
        <f>IF($D140="",0,$E140*INDEX(Aux_HH!$G$4:$G$31,MATCH($A140&amp;"|"&amp;$D140,Aux_HH!$A$4:$A$31,0)))</f>
        <v>0</v>
      </c>
      <c r="K140">
        <f>IF($D140="",0,$E140*INDEX(Aux_HH!$H$4:$H$31,MATCH($A140&amp;"|"&amp;$D140,Aux_HH!$A$4:$A$31,0)))</f>
        <v>0</v>
      </c>
      <c r="L140">
        <f>IF($D140="",0,$E140*INDEX(Aux_HH!$I$4:$I$31,MATCH($A140&amp;"|"&amp;$D140,Aux_HH!$A$4:$A$31,0)))</f>
        <v>0</v>
      </c>
    </row>
    <row r="141" spans="1:12" ht="15" customHeight="1" x14ac:dyDescent="0.4">
      <c r="A141" t="str">
        <f>Premissas!$A$41</f>
        <v>Caminhão</v>
      </c>
      <c r="B141">
        <v>34</v>
      </c>
      <c r="C141">
        <f>INDEX(Semanas!$E$3:$E$54,34)</f>
        <v>4</v>
      </c>
      <c r="D141" t="str">
        <f>Cronograma!AI7</f>
        <v/>
      </c>
      <c r="E141">
        <f>Premissas!$I$41</f>
        <v>121</v>
      </c>
      <c r="F141">
        <f t="shared" si="2"/>
        <v>0</v>
      </c>
      <c r="G141">
        <f>IF($D141="",0,$E141*INDEX(Aux_HH!$D$4:$D$31,MATCH($A141&amp;"|"&amp;$D141,Aux_HH!$A$4:$A$31,0)))</f>
        <v>0</v>
      </c>
      <c r="H141">
        <f>IF($D141="",0,$E141*INDEX(Aux_HH!$E$4:$E$31,MATCH($A141&amp;"|"&amp;$D141,Aux_HH!$A$4:$A$31,0)))</f>
        <v>0</v>
      </c>
      <c r="I141">
        <f>IF($D141="",0,$E141*INDEX(Aux_HH!$F$4:$F$31,MATCH($A141&amp;"|"&amp;$D141,Aux_HH!$A$4:$A$31,0)))</f>
        <v>0</v>
      </c>
      <c r="J141">
        <f>IF($D141="",0,$E141*INDEX(Aux_HH!$G$4:$G$31,MATCH($A141&amp;"|"&amp;$D141,Aux_HH!$A$4:$A$31,0)))</f>
        <v>0</v>
      </c>
      <c r="K141">
        <f>IF($D141="",0,$E141*INDEX(Aux_HH!$H$4:$H$31,MATCH($A141&amp;"|"&amp;$D141,Aux_HH!$A$4:$A$31,0)))</f>
        <v>0</v>
      </c>
      <c r="L141">
        <f>IF($D141="",0,$E141*INDEX(Aux_HH!$I$4:$I$31,MATCH($A141&amp;"|"&amp;$D141,Aux_HH!$A$4:$A$31,0)))</f>
        <v>0</v>
      </c>
    </row>
    <row r="142" spans="1:12" ht="15" customHeight="1" x14ac:dyDescent="0.4">
      <c r="A142" t="str">
        <f>Premissas!$A$41</f>
        <v>Caminhão</v>
      </c>
      <c r="B142">
        <v>35</v>
      </c>
      <c r="C142">
        <f>INDEX(Semanas!$E$3:$E$54,35)</f>
        <v>4</v>
      </c>
      <c r="D142" t="str">
        <f>Cronograma!AJ7</f>
        <v/>
      </c>
      <c r="E142">
        <f>Premissas!$I$41</f>
        <v>121</v>
      </c>
      <c r="F142">
        <f t="shared" si="2"/>
        <v>0</v>
      </c>
      <c r="G142">
        <f>IF($D142="",0,$E142*INDEX(Aux_HH!$D$4:$D$31,MATCH($A142&amp;"|"&amp;$D142,Aux_HH!$A$4:$A$31,0)))</f>
        <v>0</v>
      </c>
      <c r="H142">
        <f>IF($D142="",0,$E142*INDEX(Aux_HH!$E$4:$E$31,MATCH($A142&amp;"|"&amp;$D142,Aux_HH!$A$4:$A$31,0)))</f>
        <v>0</v>
      </c>
      <c r="I142">
        <f>IF($D142="",0,$E142*INDEX(Aux_HH!$F$4:$F$31,MATCH($A142&amp;"|"&amp;$D142,Aux_HH!$A$4:$A$31,0)))</f>
        <v>0</v>
      </c>
      <c r="J142">
        <f>IF($D142="",0,$E142*INDEX(Aux_HH!$G$4:$G$31,MATCH($A142&amp;"|"&amp;$D142,Aux_HH!$A$4:$A$31,0)))</f>
        <v>0</v>
      </c>
      <c r="K142">
        <f>IF($D142="",0,$E142*INDEX(Aux_HH!$H$4:$H$31,MATCH($A142&amp;"|"&amp;$D142,Aux_HH!$A$4:$A$31,0)))</f>
        <v>0</v>
      </c>
      <c r="L142">
        <f>IF($D142="",0,$E142*INDEX(Aux_HH!$I$4:$I$31,MATCH($A142&amp;"|"&amp;$D142,Aux_HH!$A$4:$A$31,0)))</f>
        <v>0</v>
      </c>
    </row>
    <row r="143" spans="1:12" ht="15" customHeight="1" x14ac:dyDescent="0.4">
      <c r="A143" t="str">
        <f>Premissas!$A$41</f>
        <v>Caminhão</v>
      </c>
      <c r="B143">
        <v>36</v>
      </c>
      <c r="C143">
        <f>INDEX(Semanas!$E$3:$E$54,36)</f>
        <v>5</v>
      </c>
      <c r="D143" t="str">
        <f>Cronograma!AK7</f>
        <v/>
      </c>
      <c r="E143">
        <f>Premissas!$I$41</f>
        <v>121</v>
      </c>
      <c r="F143">
        <f t="shared" si="2"/>
        <v>0</v>
      </c>
      <c r="G143">
        <f>IF($D143="",0,$E143*INDEX(Aux_HH!$D$4:$D$31,MATCH($A143&amp;"|"&amp;$D143,Aux_HH!$A$4:$A$31,0)))</f>
        <v>0</v>
      </c>
      <c r="H143">
        <f>IF($D143="",0,$E143*INDEX(Aux_HH!$E$4:$E$31,MATCH($A143&amp;"|"&amp;$D143,Aux_HH!$A$4:$A$31,0)))</f>
        <v>0</v>
      </c>
      <c r="I143">
        <f>IF($D143="",0,$E143*INDEX(Aux_HH!$F$4:$F$31,MATCH($A143&amp;"|"&amp;$D143,Aux_HH!$A$4:$A$31,0)))</f>
        <v>0</v>
      </c>
      <c r="J143">
        <f>IF($D143="",0,$E143*INDEX(Aux_HH!$G$4:$G$31,MATCH($A143&amp;"|"&amp;$D143,Aux_HH!$A$4:$A$31,0)))</f>
        <v>0</v>
      </c>
      <c r="K143">
        <f>IF($D143="",0,$E143*INDEX(Aux_HH!$H$4:$H$31,MATCH($A143&amp;"|"&amp;$D143,Aux_HH!$A$4:$A$31,0)))</f>
        <v>0</v>
      </c>
      <c r="L143">
        <f>IF($D143="",0,$E143*INDEX(Aux_HH!$I$4:$I$31,MATCH($A143&amp;"|"&amp;$D143,Aux_HH!$A$4:$A$31,0)))</f>
        <v>0</v>
      </c>
    </row>
    <row r="144" spans="1:12" ht="15" customHeight="1" x14ac:dyDescent="0.4">
      <c r="A144" t="str">
        <f>Premissas!$A$41</f>
        <v>Caminhão</v>
      </c>
      <c r="B144">
        <v>37</v>
      </c>
      <c r="C144">
        <f>INDEX(Semanas!$E$3:$E$54,37)</f>
        <v>5</v>
      </c>
      <c r="D144" t="str">
        <f>Cronograma!AL7</f>
        <v/>
      </c>
      <c r="E144">
        <f>Premissas!$I$41</f>
        <v>121</v>
      </c>
      <c r="F144">
        <f t="shared" si="2"/>
        <v>0</v>
      </c>
      <c r="G144">
        <f>IF($D144="",0,$E144*INDEX(Aux_HH!$D$4:$D$31,MATCH($A144&amp;"|"&amp;$D144,Aux_HH!$A$4:$A$31,0)))</f>
        <v>0</v>
      </c>
      <c r="H144">
        <f>IF($D144="",0,$E144*INDEX(Aux_HH!$E$4:$E$31,MATCH($A144&amp;"|"&amp;$D144,Aux_HH!$A$4:$A$31,0)))</f>
        <v>0</v>
      </c>
      <c r="I144">
        <f>IF($D144="",0,$E144*INDEX(Aux_HH!$F$4:$F$31,MATCH($A144&amp;"|"&amp;$D144,Aux_HH!$A$4:$A$31,0)))</f>
        <v>0</v>
      </c>
      <c r="J144">
        <f>IF($D144="",0,$E144*INDEX(Aux_HH!$G$4:$G$31,MATCH($A144&amp;"|"&amp;$D144,Aux_HH!$A$4:$A$31,0)))</f>
        <v>0</v>
      </c>
      <c r="K144">
        <f>IF($D144="",0,$E144*INDEX(Aux_HH!$H$4:$H$31,MATCH($A144&amp;"|"&amp;$D144,Aux_HH!$A$4:$A$31,0)))</f>
        <v>0</v>
      </c>
      <c r="L144">
        <f>IF($D144="",0,$E144*INDEX(Aux_HH!$I$4:$I$31,MATCH($A144&amp;"|"&amp;$D144,Aux_HH!$A$4:$A$31,0)))</f>
        <v>0</v>
      </c>
    </row>
    <row r="145" spans="1:12" ht="15" customHeight="1" x14ac:dyDescent="0.4">
      <c r="A145" t="str">
        <f>Premissas!$A$41</f>
        <v>Caminhão</v>
      </c>
      <c r="B145">
        <v>38</v>
      </c>
      <c r="C145">
        <f>INDEX(Semanas!$E$3:$E$54,38)</f>
        <v>5</v>
      </c>
      <c r="D145" t="str">
        <f>Cronograma!AM7</f>
        <v/>
      </c>
      <c r="E145">
        <f>Premissas!$I$41</f>
        <v>121</v>
      </c>
      <c r="F145">
        <f t="shared" si="2"/>
        <v>0</v>
      </c>
      <c r="G145">
        <f>IF($D145="",0,$E145*INDEX(Aux_HH!$D$4:$D$31,MATCH($A145&amp;"|"&amp;$D145,Aux_HH!$A$4:$A$31,0)))</f>
        <v>0</v>
      </c>
      <c r="H145">
        <f>IF($D145="",0,$E145*INDEX(Aux_HH!$E$4:$E$31,MATCH($A145&amp;"|"&amp;$D145,Aux_HH!$A$4:$A$31,0)))</f>
        <v>0</v>
      </c>
      <c r="I145">
        <f>IF($D145="",0,$E145*INDEX(Aux_HH!$F$4:$F$31,MATCH($A145&amp;"|"&amp;$D145,Aux_HH!$A$4:$A$31,0)))</f>
        <v>0</v>
      </c>
      <c r="J145">
        <f>IF($D145="",0,$E145*INDEX(Aux_HH!$G$4:$G$31,MATCH($A145&amp;"|"&amp;$D145,Aux_HH!$A$4:$A$31,0)))</f>
        <v>0</v>
      </c>
      <c r="K145">
        <f>IF($D145="",0,$E145*INDEX(Aux_HH!$H$4:$H$31,MATCH($A145&amp;"|"&amp;$D145,Aux_HH!$A$4:$A$31,0)))</f>
        <v>0</v>
      </c>
      <c r="L145">
        <f>IF($D145="",0,$E145*INDEX(Aux_HH!$I$4:$I$31,MATCH($A145&amp;"|"&amp;$D145,Aux_HH!$A$4:$A$31,0)))</f>
        <v>0</v>
      </c>
    </row>
    <row r="146" spans="1:12" ht="15" customHeight="1" x14ac:dyDescent="0.4">
      <c r="A146" t="str">
        <f>Premissas!$A$41</f>
        <v>Caminhão</v>
      </c>
      <c r="B146">
        <v>39</v>
      </c>
      <c r="C146">
        <f>INDEX(Semanas!$E$3:$E$54,39)</f>
        <v>5</v>
      </c>
      <c r="D146" t="str">
        <f>Cronograma!AN7</f>
        <v/>
      </c>
      <c r="E146">
        <f>Premissas!$I$41</f>
        <v>121</v>
      </c>
      <c r="F146">
        <f t="shared" si="2"/>
        <v>0</v>
      </c>
      <c r="G146">
        <f>IF($D146="",0,$E146*INDEX(Aux_HH!$D$4:$D$31,MATCH($A146&amp;"|"&amp;$D146,Aux_HH!$A$4:$A$31,0)))</f>
        <v>0</v>
      </c>
      <c r="H146">
        <f>IF($D146="",0,$E146*INDEX(Aux_HH!$E$4:$E$31,MATCH($A146&amp;"|"&amp;$D146,Aux_HH!$A$4:$A$31,0)))</f>
        <v>0</v>
      </c>
      <c r="I146">
        <f>IF($D146="",0,$E146*INDEX(Aux_HH!$F$4:$F$31,MATCH($A146&amp;"|"&amp;$D146,Aux_HH!$A$4:$A$31,0)))</f>
        <v>0</v>
      </c>
      <c r="J146">
        <f>IF($D146="",0,$E146*INDEX(Aux_HH!$G$4:$G$31,MATCH($A146&amp;"|"&amp;$D146,Aux_HH!$A$4:$A$31,0)))</f>
        <v>0</v>
      </c>
      <c r="K146">
        <f>IF($D146="",0,$E146*INDEX(Aux_HH!$H$4:$H$31,MATCH($A146&amp;"|"&amp;$D146,Aux_HH!$A$4:$A$31,0)))</f>
        <v>0</v>
      </c>
      <c r="L146">
        <f>IF($D146="",0,$E146*INDEX(Aux_HH!$I$4:$I$31,MATCH($A146&amp;"|"&amp;$D146,Aux_HH!$A$4:$A$31,0)))</f>
        <v>0</v>
      </c>
    </row>
    <row r="147" spans="1:12" ht="15" customHeight="1" x14ac:dyDescent="0.4">
      <c r="A147" t="str">
        <f>Premissas!$A$41</f>
        <v>Caminhão</v>
      </c>
      <c r="B147">
        <v>40</v>
      </c>
      <c r="C147">
        <f>INDEX(Semanas!$E$3:$E$54,40)</f>
        <v>6</v>
      </c>
      <c r="D147" t="str">
        <f>Cronograma!AO7</f>
        <v>S</v>
      </c>
      <c r="E147">
        <f>Premissas!$I$41</f>
        <v>121</v>
      </c>
      <c r="F147">
        <f t="shared" si="2"/>
        <v>121</v>
      </c>
      <c r="G147">
        <f>IF($D147="",0,$E147*INDEX(Aux_HH!$D$4:$D$31,MATCH($A147&amp;"|"&amp;$D147,Aux_HH!$A$4:$A$31,0)))</f>
        <v>242</v>
      </c>
      <c r="H147">
        <f>IF($D147="",0,$E147*INDEX(Aux_HH!$E$4:$E$31,MATCH($A147&amp;"|"&amp;$D147,Aux_HH!$A$4:$A$31,0)))</f>
        <v>0</v>
      </c>
      <c r="I147">
        <f>IF($D147="",0,$E147*INDEX(Aux_HH!$F$4:$F$31,MATCH($A147&amp;"|"&amp;$D147,Aux_HH!$A$4:$A$31,0)))</f>
        <v>0</v>
      </c>
      <c r="J147">
        <f>IF($D147="",0,$E147*INDEX(Aux_HH!$G$4:$G$31,MATCH($A147&amp;"|"&amp;$D147,Aux_HH!$A$4:$A$31,0)))</f>
        <v>0</v>
      </c>
      <c r="K147">
        <f>IF($D147="",0,$E147*INDEX(Aux_HH!$H$4:$H$31,MATCH($A147&amp;"|"&amp;$D147,Aux_HH!$A$4:$A$31,0)))</f>
        <v>0</v>
      </c>
      <c r="L147">
        <f>IF($D147="",0,$E147*INDEX(Aux_HH!$I$4:$I$31,MATCH($A147&amp;"|"&amp;$D147,Aux_HH!$A$4:$A$31,0)))</f>
        <v>0</v>
      </c>
    </row>
    <row r="148" spans="1:12" ht="15" customHeight="1" x14ac:dyDescent="0.4">
      <c r="A148" t="str">
        <f>Premissas!$A$41</f>
        <v>Caminhão</v>
      </c>
      <c r="B148">
        <v>41</v>
      </c>
      <c r="C148">
        <f>INDEX(Semanas!$E$3:$E$54,41)</f>
        <v>6</v>
      </c>
      <c r="D148" t="str">
        <f>Cronograma!AP7</f>
        <v/>
      </c>
      <c r="E148">
        <f>Premissas!$I$41</f>
        <v>121</v>
      </c>
      <c r="F148">
        <f t="shared" si="2"/>
        <v>0</v>
      </c>
      <c r="G148">
        <f>IF($D148="",0,$E148*INDEX(Aux_HH!$D$4:$D$31,MATCH($A148&amp;"|"&amp;$D148,Aux_HH!$A$4:$A$31,0)))</f>
        <v>0</v>
      </c>
      <c r="H148">
        <f>IF($D148="",0,$E148*INDEX(Aux_HH!$E$4:$E$31,MATCH($A148&amp;"|"&amp;$D148,Aux_HH!$A$4:$A$31,0)))</f>
        <v>0</v>
      </c>
      <c r="I148">
        <f>IF($D148="",0,$E148*INDEX(Aux_HH!$F$4:$F$31,MATCH($A148&amp;"|"&amp;$D148,Aux_HH!$A$4:$A$31,0)))</f>
        <v>0</v>
      </c>
      <c r="J148">
        <f>IF($D148="",0,$E148*INDEX(Aux_HH!$G$4:$G$31,MATCH($A148&amp;"|"&amp;$D148,Aux_HH!$A$4:$A$31,0)))</f>
        <v>0</v>
      </c>
      <c r="K148">
        <f>IF($D148="",0,$E148*INDEX(Aux_HH!$H$4:$H$31,MATCH($A148&amp;"|"&amp;$D148,Aux_HH!$A$4:$A$31,0)))</f>
        <v>0</v>
      </c>
      <c r="L148">
        <f>IF($D148="",0,$E148*INDEX(Aux_HH!$I$4:$I$31,MATCH($A148&amp;"|"&amp;$D148,Aux_HH!$A$4:$A$31,0)))</f>
        <v>0</v>
      </c>
    </row>
    <row r="149" spans="1:12" ht="15" customHeight="1" x14ac:dyDescent="0.4">
      <c r="A149" t="str">
        <f>Premissas!$A$41</f>
        <v>Caminhão</v>
      </c>
      <c r="B149">
        <v>42</v>
      </c>
      <c r="C149">
        <f>INDEX(Semanas!$E$3:$E$54,42)</f>
        <v>6</v>
      </c>
      <c r="D149" t="str">
        <f>Cronograma!AQ7</f>
        <v/>
      </c>
      <c r="E149">
        <f>Premissas!$I$41</f>
        <v>121</v>
      </c>
      <c r="F149">
        <f t="shared" si="2"/>
        <v>0</v>
      </c>
      <c r="G149">
        <f>IF($D149="",0,$E149*INDEX(Aux_HH!$D$4:$D$31,MATCH($A149&amp;"|"&amp;$D149,Aux_HH!$A$4:$A$31,0)))</f>
        <v>0</v>
      </c>
      <c r="H149">
        <f>IF($D149="",0,$E149*INDEX(Aux_HH!$E$4:$E$31,MATCH($A149&amp;"|"&amp;$D149,Aux_HH!$A$4:$A$31,0)))</f>
        <v>0</v>
      </c>
      <c r="I149">
        <f>IF($D149="",0,$E149*INDEX(Aux_HH!$F$4:$F$31,MATCH($A149&amp;"|"&amp;$D149,Aux_HH!$A$4:$A$31,0)))</f>
        <v>0</v>
      </c>
      <c r="J149">
        <f>IF($D149="",0,$E149*INDEX(Aux_HH!$G$4:$G$31,MATCH($A149&amp;"|"&amp;$D149,Aux_HH!$A$4:$A$31,0)))</f>
        <v>0</v>
      </c>
      <c r="K149">
        <f>IF($D149="",0,$E149*INDEX(Aux_HH!$H$4:$H$31,MATCH($A149&amp;"|"&amp;$D149,Aux_HH!$A$4:$A$31,0)))</f>
        <v>0</v>
      </c>
      <c r="L149">
        <f>IF($D149="",0,$E149*INDEX(Aux_HH!$I$4:$I$31,MATCH($A149&amp;"|"&amp;$D149,Aux_HH!$A$4:$A$31,0)))</f>
        <v>0</v>
      </c>
    </row>
    <row r="150" spans="1:12" ht="15" customHeight="1" x14ac:dyDescent="0.4">
      <c r="A150" t="str">
        <f>Premissas!$A$41</f>
        <v>Caminhão</v>
      </c>
      <c r="B150">
        <v>43</v>
      </c>
      <c r="C150">
        <f>INDEX(Semanas!$E$3:$E$54,43)</f>
        <v>6</v>
      </c>
      <c r="D150" t="str">
        <f>Cronograma!AR7</f>
        <v/>
      </c>
      <c r="E150">
        <f>Premissas!$I$41</f>
        <v>121</v>
      </c>
      <c r="F150">
        <f t="shared" si="2"/>
        <v>0</v>
      </c>
      <c r="G150">
        <f>IF($D150="",0,$E150*INDEX(Aux_HH!$D$4:$D$31,MATCH($A150&amp;"|"&amp;$D150,Aux_HH!$A$4:$A$31,0)))</f>
        <v>0</v>
      </c>
      <c r="H150">
        <f>IF($D150="",0,$E150*INDEX(Aux_HH!$E$4:$E$31,MATCH($A150&amp;"|"&amp;$D150,Aux_HH!$A$4:$A$31,0)))</f>
        <v>0</v>
      </c>
      <c r="I150">
        <f>IF($D150="",0,$E150*INDEX(Aux_HH!$F$4:$F$31,MATCH($A150&amp;"|"&amp;$D150,Aux_HH!$A$4:$A$31,0)))</f>
        <v>0</v>
      </c>
      <c r="J150">
        <f>IF($D150="",0,$E150*INDEX(Aux_HH!$G$4:$G$31,MATCH($A150&amp;"|"&amp;$D150,Aux_HH!$A$4:$A$31,0)))</f>
        <v>0</v>
      </c>
      <c r="K150">
        <f>IF($D150="",0,$E150*INDEX(Aux_HH!$H$4:$H$31,MATCH($A150&amp;"|"&amp;$D150,Aux_HH!$A$4:$A$31,0)))</f>
        <v>0</v>
      </c>
      <c r="L150">
        <f>IF($D150="",0,$E150*INDEX(Aux_HH!$I$4:$I$31,MATCH($A150&amp;"|"&amp;$D150,Aux_HH!$A$4:$A$31,0)))</f>
        <v>0</v>
      </c>
    </row>
    <row r="151" spans="1:12" ht="15" customHeight="1" x14ac:dyDescent="0.4">
      <c r="A151" t="str">
        <f>Premissas!$A$41</f>
        <v>Caminhão</v>
      </c>
      <c r="B151">
        <v>44</v>
      </c>
      <c r="C151">
        <f>INDEX(Semanas!$E$3:$E$54,44)</f>
        <v>6</v>
      </c>
      <c r="D151" t="str">
        <f>Cronograma!AS7</f>
        <v/>
      </c>
      <c r="E151">
        <f>Premissas!$I$41</f>
        <v>121</v>
      </c>
      <c r="F151">
        <f t="shared" si="2"/>
        <v>0</v>
      </c>
      <c r="G151">
        <f>IF($D151="",0,$E151*INDEX(Aux_HH!$D$4:$D$31,MATCH($A151&amp;"|"&amp;$D151,Aux_HH!$A$4:$A$31,0)))</f>
        <v>0</v>
      </c>
      <c r="H151">
        <f>IF($D151="",0,$E151*INDEX(Aux_HH!$E$4:$E$31,MATCH($A151&amp;"|"&amp;$D151,Aux_HH!$A$4:$A$31,0)))</f>
        <v>0</v>
      </c>
      <c r="I151">
        <f>IF($D151="",0,$E151*INDEX(Aux_HH!$F$4:$F$31,MATCH($A151&amp;"|"&amp;$D151,Aux_HH!$A$4:$A$31,0)))</f>
        <v>0</v>
      </c>
      <c r="J151">
        <f>IF($D151="",0,$E151*INDEX(Aux_HH!$G$4:$G$31,MATCH($A151&amp;"|"&amp;$D151,Aux_HH!$A$4:$A$31,0)))</f>
        <v>0</v>
      </c>
      <c r="K151">
        <f>IF($D151="",0,$E151*INDEX(Aux_HH!$H$4:$H$31,MATCH($A151&amp;"|"&amp;$D151,Aux_HH!$A$4:$A$31,0)))</f>
        <v>0</v>
      </c>
      <c r="L151">
        <f>IF($D151="",0,$E151*INDEX(Aux_HH!$I$4:$I$31,MATCH($A151&amp;"|"&amp;$D151,Aux_HH!$A$4:$A$31,0)))</f>
        <v>0</v>
      </c>
    </row>
    <row r="152" spans="1:12" ht="15" customHeight="1" x14ac:dyDescent="0.4">
      <c r="A152" t="str">
        <f>Premissas!$A$41</f>
        <v>Caminhão</v>
      </c>
      <c r="B152">
        <v>45</v>
      </c>
      <c r="C152">
        <f>INDEX(Semanas!$E$3:$E$54,45)</f>
        <v>7</v>
      </c>
      <c r="D152" t="str">
        <f>Cronograma!AT7</f>
        <v/>
      </c>
      <c r="E152">
        <f>Premissas!$I$41</f>
        <v>121</v>
      </c>
      <c r="F152">
        <f t="shared" si="2"/>
        <v>0</v>
      </c>
      <c r="G152">
        <f>IF($D152="",0,$E152*INDEX(Aux_HH!$D$4:$D$31,MATCH($A152&amp;"|"&amp;$D152,Aux_HH!$A$4:$A$31,0)))</f>
        <v>0</v>
      </c>
      <c r="H152">
        <f>IF($D152="",0,$E152*INDEX(Aux_HH!$E$4:$E$31,MATCH($A152&amp;"|"&amp;$D152,Aux_HH!$A$4:$A$31,0)))</f>
        <v>0</v>
      </c>
      <c r="I152">
        <f>IF($D152="",0,$E152*INDEX(Aux_HH!$F$4:$F$31,MATCH($A152&amp;"|"&amp;$D152,Aux_HH!$A$4:$A$31,0)))</f>
        <v>0</v>
      </c>
      <c r="J152">
        <f>IF($D152="",0,$E152*INDEX(Aux_HH!$G$4:$G$31,MATCH($A152&amp;"|"&amp;$D152,Aux_HH!$A$4:$A$31,0)))</f>
        <v>0</v>
      </c>
      <c r="K152">
        <f>IF($D152="",0,$E152*INDEX(Aux_HH!$H$4:$H$31,MATCH($A152&amp;"|"&amp;$D152,Aux_HH!$A$4:$A$31,0)))</f>
        <v>0</v>
      </c>
      <c r="L152">
        <f>IF($D152="",0,$E152*INDEX(Aux_HH!$I$4:$I$31,MATCH($A152&amp;"|"&amp;$D152,Aux_HH!$A$4:$A$31,0)))</f>
        <v>0</v>
      </c>
    </row>
    <row r="153" spans="1:12" ht="15" customHeight="1" x14ac:dyDescent="0.4">
      <c r="A153" t="str">
        <f>Premissas!$A$41</f>
        <v>Caminhão</v>
      </c>
      <c r="B153">
        <v>46</v>
      </c>
      <c r="C153">
        <f>INDEX(Semanas!$E$3:$E$54,46)</f>
        <v>7</v>
      </c>
      <c r="D153" t="str">
        <f>Cronograma!AU7</f>
        <v/>
      </c>
      <c r="E153">
        <f>Premissas!$I$41</f>
        <v>121</v>
      </c>
      <c r="F153">
        <f t="shared" si="2"/>
        <v>0</v>
      </c>
      <c r="G153">
        <f>IF($D153="",0,$E153*INDEX(Aux_HH!$D$4:$D$31,MATCH($A153&amp;"|"&amp;$D153,Aux_HH!$A$4:$A$31,0)))</f>
        <v>0</v>
      </c>
      <c r="H153">
        <f>IF($D153="",0,$E153*INDEX(Aux_HH!$E$4:$E$31,MATCH($A153&amp;"|"&amp;$D153,Aux_HH!$A$4:$A$31,0)))</f>
        <v>0</v>
      </c>
      <c r="I153">
        <f>IF($D153="",0,$E153*INDEX(Aux_HH!$F$4:$F$31,MATCH($A153&amp;"|"&amp;$D153,Aux_HH!$A$4:$A$31,0)))</f>
        <v>0</v>
      </c>
      <c r="J153">
        <f>IF($D153="",0,$E153*INDEX(Aux_HH!$G$4:$G$31,MATCH($A153&amp;"|"&amp;$D153,Aux_HH!$A$4:$A$31,0)))</f>
        <v>0</v>
      </c>
      <c r="K153">
        <f>IF($D153="",0,$E153*INDEX(Aux_HH!$H$4:$H$31,MATCH($A153&amp;"|"&amp;$D153,Aux_HH!$A$4:$A$31,0)))</f>
        <v>0</v>
      </c>
      <c r="L153">
        <f>IF($D153="",0,$E153*INDEX(Aux_HH!$I$4:$I$31,MATCH($A153&amp;"|"&amp;$D153,Aux_HH!$A$4:$A$31,0)))</f>
        <v>0</v>
      </c>
    </row>
    <row r="154" spans="1:12" ht="15" customHeight="1" x14ac:dyDescent="0.4">
      <c r="A154" t="str">
        <f>Premissas!$A$41</f>
        <v>Caminhão</v>
      </c>
      <c r="B154">
        <v>47</v>
      </c>
      <c r="C154">
        <f>INDEX(Semanas!$E$3:$E$54,47)</f>
        <v>7</v>
      </c>
      <c r="D154" t="str">
        <f>Cronograma!AV7</f>
        <v/>
      </c>
      <c r="E154">
        <f>Premissas!$I$41</f>
        <v>121</v>
      </c>
      <c r="F154">
        <f t="shared" si="2"/>
        <v>0</v>
      </c>
      <c r="G154">
        <f>IF($D154="",0,$E154*INDEX(Aux_HH!$D$4:$D$31,MATCH($A154&amp;"|"&amp;$D154,Aux_HH!$A$4:$A$31,0)))</f>
        <v>0</v>
      </c>
      <c r="H154">
        <f>IF($D154="",0,$E154*INDEX(Aux_HH!$E$4:$E$31,MATCH($A154&amp;"|"&amp;$D154,Aux_HH!$A$4:$A$31,0)))</f>
        <v>0</v>
      </c>
      <c r="I154">
        <f>IF($D154="",0,$E154*INDEX(Aux_HH!$F$4:$F$31,MATCH($A154&amp;"|"&amp;$D154,Aux_HH!$A$4:$A$31,0)))</f>
        <v>0</v>
      </c>
      <c r="J154">
        <f>IF($D154="",0,$E154*INDEX(Aux_HH!$G$4:$G$31,MATCH($A154&amp;"|"&amp;$D154,Aux_HH!$A$4:$A$31,0)))</f>
        <v>0</v>
      </c>
      <c r="K154">
        <f>IF($D154="",0,$E154*INDEX(Aux_HH!$H$4:$H$31,MATCH($A154&amp;"|"&amp;$D154,Aux_HH!$A$4:$A$31,0)))</f>
        <v>0</v>
      </c>
      <c r="L154">
        <f>IF($D154="",0,$E154*INDEX(Aux_HH!$I$4:$I$31,MATCH($A154&amp;"|"&amp;$D154,Aux_HH!$A$4:$A$31,0)))</f>
        <v>0</v>
      </c>
    </row>
    <row r="155" spans="1:12" ht="15" customHeight="1" x14ac:dyDescent="0.4">
      <c r="A155" t="str">
        <f>Premissas!$A$41</f>
        <v>Caminhão</v>
      </c>
      <c r="B155">
        <v>48</v>
      </c>
      <c r="C155">
        <f>INDEX(Semanas!$E$3:$E$54,48)</f>
        <v>7</v>
      </c>
      <c r="D155" t="str">
        <f>Cronograma!AW7</f>
        <v/>
      </c>
      <c r="E155">
        <f>Premissas!$I$41</f>
        <v>121</v>
      </c>
      <c r="F155">
        <f t="shared" si="2"/>
        <v>0</v>
      </c>
      <c r="G155">
        <f>IF($D155="",0,$E155*INDEX(Aux_HH!$D$4:$D$31,MATCH($A155&amp;"|"&amp;$D155,Aux_HH!$A$4:$A$31,0)))</f>
        <v>0</v>
      </c>
      <c r="H155">
        <f>IF($D155="",0,$E155*INDEX(Aux_HH!$E$4:$E$31,MATCH($A155&amp;"|"&amp;$D155,Aux_HH!$A$4:$A$31,0)))</f>
        <v>0</v>
      </c>
      <c r="I155">
        <f>IF($D155="",0,$E155*INDEX(Aux_HH!$F$4:$F$31,MATCH($A155&amp;"|"&amp;$D155,Aux_HH!$A$4:$A$31,0)))</f>
        <v>0</v>
      </c>
      <c r="J155">
        <f>IF($D155="",0,$E155*INDEX(Aux_HH!$G$4:$G$31,MATCH($A155&amp;"|"&amp;$D155,Aux_HH!$A$4:$A$31,0)))</f>
        <v>0</v>
      </c>
      <c r="K155">
        <f>IF($D155="",0,$E155*INDEX(Aux_HH!$H$4:$H$31,MATCH($A155&amp;"|"&amp;$D155,Aux_HH!$A$4:$A$31,0)))</f>
        <v>0</v>
      </c>
      <c r="L155">
        <f>IF($D155="",0,$E155*INDEX(Aux_HH!$I$4:$I$31,MATCH($A155&amp;"|"&amp;$D155,Aux_HH!$A$4:$A$31,0)))</f>
        <v>0</v>
      </c>
    </row>
    <row r="156" spans="1:12" ht="15" customHeight="1" x14ac:dyDescent="0.4">
      <c r="A156" t="str">
        <f>Premissas!$A$41</f>
        <v>Caminhão</v>
      </c>
      <c r="B156">
        <v>49</v>
      </c>
      <c r="C156">
        <f>INDEX(Semanas!$E$3:$E$54,49)</f>
        <v>8</v>
      </c>
      <c r="D156" t="str">
        <f>Cronograma!AX7</f>
        <v/>
      </c>
      <c r="E156">
        <f>Premissas!$I$41</f>
        <v>121</v>
      </c>
      <c r="F156">
        <f t="shared" si="2"/>
        <v>0</v>
      </c>
      <c r="G156">
        <f>IF($D156="",0,$E156*INDEX(Aux_HH!$D$4:$D$31,MATCH($A156&amp;"|"&amp;$D156,Aux_HH!$A$4:$A$31,0)))</f>
        <v>0</v>
      </c>
      <c r="H156">
        <f>IF($D156="",0,$E156*INDEX(Aux_HH!$E$4:$E$31,MATCH($A156&amp;"|"&amp;$D156,Aux_HH!$A$4:$A$31,0)))</f>
        <v>0</v>
      </c>
      <c r="I156">
        <f>IF($D156="",0,$E156*INDEX(Aux_HH!$F$4:$F$31,MATCH($A156&amp;"|"&amp;$D156,Aux_HH!$A$4:$A$31,0)))</f>
        <v>0</v>
      </c>
      <c r="J156">
        <f>IF($D156="",0,$E156*INDEX(Aux_HH!$G$4:$G$31,MATCH($A156&amp;"|"&amp;$D156,Aux_HH!$A$4:$A$31,0)))</f>
        <v>0</v>
      </c>
      <c r="K156">
        <f>IF($D156="",0,$E156*INDEX(Aux_HH!$H$4:$H$31,MATCH($A156&amp;"|"&amp;$D156,Aux_HH!$A$4:$A$31,0)))</f>
        <v>0</v>
      </c>
      <c r="L156">
        <f>IF($D156="",0,$E156*INDEX(Aux_HH!$I$4:$I$31,MATCH($A156&amp;"|"&amp;$D156,Aux_HH!$A$4:$A$31,0)))</f>
        <v>0</v>
      </c>
    </row>
    <row r="157" spans="1:12" ht="15" customHeight="1" x14ac:dyDescent="0.4">
      <c r="A157" t="str">
        <f>Premissas!$A$41</f>
        <v>Caminhão</v>
      </c>
      <c r="B157">
        <v>50</v>
      </c>
      <c r="C157">
        <f>INDEX(Semanas!$E$3:$E$54,50)</f>
        <v>8</v>
      </c>
      <c r="D157" t="str">
        <f>Cronograma!AY7</f>
        <v/>
      </c>
      <c r="E157">
        <f>Premissas!$I$41</f>
        <v>121</v>
      </c>
      <c r="F157">
        <f t="shared" si="2"/>
        <v>0</v>
      </c>
      <c r="G157">
        <f>IF($D157="",0,$E157*INDEX(Aux_HH!$D$4:$D$31,MATCH($A157&amp;"|"&amp;$D157,Aux_HH!$A$4:$A$31,0)))</f>
        <v>0</v>
      </c>
      <c r="H157">
        <f>IF($D157="",0,$E157*INDEX(Aux_HH!$E$4:$E$31,MATCH($A157&amp;"|"&amp;$D157,Aux_HH!$A$4:$A$31,0)))</f>
        <v>0</v>
      </c>
      <c r="I157">
        <f>IF($D157="",0,$E157*INDEX(Aux_HH!$F$4:$F$31,MATCH($A157&amp;"|"&amp;$D157,Aux_HH!$A$4:$A$31,0)))</f>
        <v>0</v>
      </c>
      <c r="J157">
        <f>IF($D157="",0,$E157*INDEX(Aux_HH!$G$4:$G$31,MATCH($A157&amp;"|"&amp;$D157,Aux_HH!$A$4:$A$31,0)))</f>
        <v>0</v>
      </c>
      <c r="K157">
        <f>IF($D157="",0,$E157*INDEX(Aux_HH!$H$4:$H$31,MATCH($A157&amp;"|"&amp;$D157,Aux_HH!$A$4:$A$31,0)))</f>
        <v>0</v>
      </c>
      <c r="L157">
        <f>IF($D157="",0,$E157*INDEX(Aux_HH!$I$4:$I$31,MATCH($A157&amp;"|"&amp;$D157,Aux_HH!$A$4:$A$31,0)))</f>
        <v>0</v>
      </c>
    </row>
    <row r="158" spans="1:12" ht="15" customHeight="1" x14ac:dyDescent="0.4">
      <c r="A158" t="str">
        <f>Premissas!$A$41</f>
        <v>Caminhão</v>
      </c>
      <c r="B158">
        <v>51</v>
      </c>
      <c r="C158">
        <f>INDEX(Semanas!$E$3:$E$54,51)</f>
        <v>8</v>
      </c>
      <c r="D158" t="str">
        <f>Cronograma!AZ7</f>
        <v/>
      </c>
      <c r="E158">
        <f>Premissas!$I$41</f>
        <v>121</v>
      </c>
      <c r="F158">
        <f t="shared" si="2"/>
        <v>0</v>
      </c>
      <c r="G158">
        <f>IF($D158="",0,$E158*INDEX(Aux_HH!$D$4:$D$31,MATCH($A158&amp;"|"&amp;$D158,Aux_HH!$A$4:$A$31,0)))</f>
        <v>0</v>
      </c>
      <c r="H158">
        <f>IF($D158="",0,$E158*INDEX(Aux_HH!$E$4:$E$31,MATCH($A158&amp;"|"&amp;$D158,Aux_HH!$A$4:$A$31,0)))</f>
        <v>0</v>
      </c>
      <c r="I158">
        <f>IF($D158="",0,$E158*INDEX(Aux_HH!$F$4:$F$31,MATCH($A158&amp;"|"&amp;$D158,Aux_HH!$A$4:$A$31,0)))</f>
        <v>0</v>
      </c>
      <c r="J158">
        <f>IF($D158="",0,$E158*INDEX(Aux_HH!$G$4:$G$31,MATCH($A158&amp;"|"&amp;$D158,Aux_HH!$A$4:$A$31,0)))</f>
        <v>0</v>
      </c>
      <c r="K158">
        <f>IF($D158="",0,$E158*INDEX(Aux_HH!$H$4:$H$31,MATCH($A158&amp;"|"&amp;$D158,Aux_HH!$A$4:$A$31,0)))</f>
        <v>0</v>
      </c>
      <c r="L158">
        <f>IF($D158="",0,$E158*INDEX(Aux_HH!$I$4:$I$31,MATCH($A158&amp;"|"&amp;$D158,Aux_HH!$A$4:$A$31,0)))</f>
        <v>0</v>
      </c>
    </row>
    <row r="159" spans="1:12" ht="15" customHeight="1" x14ac:dyDescent="0.4">
      <c r="A159" t="str">
        <f>Premissas!$A$41</f>
        <v>Caminhão</v>
      </c>
      <c r="B159">
        <v>52</v>
      </c>
      <c r="C159">
        <f>INDEX(Semanas!$E$3:$E$54,52)</f>
        <v>8</v>
      </c>
      <c r="D159" t="str">
        <f>Cronograma!BA7</f>
        <v/>
      </c>
      <c r="E159">
        <f>Premissas!$I$41</f>
        <v>121</v>
      </c>
      <c r="F159">
        <f t="shared" si="2"/>
        <v>0</v>
      </c>
      <c r="G159">
        <f>IF($D159="",0,$E159*INDEX(Aux_HH!$D$4:$D$31,MATCH($A159&amp;"|"&amp;$D159,Aux_HH!$A$4:$A$31,0)))</f>
        <v>0</v>
      </c>
      <c r="H159">
        <f>IF($D159="",0,$E159*INDEX(Aux_HH!$E$4:$E$31,MATCH($A159&amp;"|"&amp;$D159,Aux_HH!$A$4:$A$31,0)))</f>
        <v>0</v>
      </c>
      <c r="I159">
        <f>IF($D159="",0,$E159*INDEX(Aux_HH!$F$4:$F$31,MATCH($A159&amp;"|"&amp;$D159,Aux_HH!$A$4:$A$31,0)))</f>
        <v>0</v>
      </c>
      <c r="J159">
        <f>IF($D159="",0,$E159*INDEX(Aux_HH!$G$4:$G$31,MATCH($A159&amp;"|"&amp;$D159,Aux_HH!$A$4:$A$31,0)))</f>
        <v>0</v>
      </c>
      <c r="K159">
        <f>IF($D159="",0,$E159*INDEX(Aux_HH!$H$4:$H$31,MATCH($A159&amp;"|"&amp;$D159,Aux_HH!$A$4:$A$31,0)))</f>
        <v>0</v>
      </c>
      <c r="L159">
        <f>IF($D159="",0,$E159*INDEX(Aux_HH!$I$4:$I$31,MATCH($A159&amp;"|"&amp;$D159,Aux_HH!$A$4:$A$31,0)))</f>
        <v>0</v>
      </c>
    </row>
    <row r="160" spans="1:12" ht="15" customHeight="1" x14ac:dyDescent="0.4">
      <c r="A160" t="str">
        <f>Premissas!$A$42</f>
        <v>Carregadeira/Pesada</v>
      </c>
      <c r="B160">
        <v>1</v>
      </c>
      <c r="C160">
        <f>INDEX(Semanas!$E$3:$E$54,1)</f>
        <v>9</v>
      </c>
      <c r="D160" t="str">
        <f>Cronograma!B8</f>
        <v/>
      </c>
      <c r="E160">
        <f>Premissas!$I$42</f>
        <v>73</v>
      </c>
      <c r="F160">
        <f t="shared" si="2"/>
        <v>0</v>
      </c>
      <c r="G160">
        <f>IF($D160="",0,$E160*INDEX(Aux_HH!$D$4:$D$31,MATCH($A160&amp;"|"&amp;$D160,Aux_HH!$A$4:$A$31,0)))</f>
        <v>0</v>
      </c>
      <c r="H160">
        <f>IF($D160="",0,$E160*INDEX(Aux_HH!$E$4:$E$31,MATCH($A160&amp;"|"&amp;$D160,Aux_HH!$A$4:$A$31,0)))</f>
        <v>0</v>
      </c>
      <c r="I160">
        <f>IF($D160="",0,$E160*INDEX(Aux_HH!$F$4:$F$31,MATCH($A160&amp;"|"&amp;$D160,Aux_HH!$A$4:$A$31,0)))</f>
        <v>0</v>
      </c>
      <c r="J160">
        <f>IF($D160="",0,$E160*INDEX(Aux_HH!$G$4:$G$31,MATCH($A160&amp;"|"&amp;$D160,Aux_HH!$A$4:$A$31,0)))</f>
        <v>0</v>
      </c>
      <c r="K160">
        <f>IF($D160="",0,$E160*INDEX(Aux_HH!$H$4:$H$31,MATCH($A160&amp;"|"&amp;$D160,Aux_HH!$A$4:$A$31,0)))</f>
        <v>0</v>
      </c>
      <c r="L160">
        <f>IF($D160="",0,$E160*INDEX(Aux_HH!$I$4:$I$31,MATCH($A160&amp;"|"&amp;$D160,Aux_HH!$A$4:$A$31,0)))</f>
        <v>0</v>
      </c>
    </row>
    <row r="161" spans="1:12" ht="15" customHeight="1" x14ac:dyDescent="0.4">
      <c r="A161" t="str">
        <f>Premissas!$A$42</f>
        <v>Carregadeira/Pesada</v>
      </c>
      <c r="B161">
        <v>2</v>
      </c>
      <c r="C161">
        <f>INDEX(Semanas!$E$3:$E$54,2)</f>
        <v>9</v>
      </c>
      <c r="D161" t="str">
        <f>Cronograma!C8</f>
        <v/>
      </c>
      <c r="E161">
        <f>Premissas!$I$42</f>
        <v>73</v>
      </c>
      <c r="F161">
        <f t="shared" si="2"/>
        <v>0</v>
      </c>
      <c r="G161">
        <f>IF($D161="",0,$E161*INDEX(Aux_HH!$D$4:$D$31,MATCH($A161&amp;"|"&amp;$D161,Aux_HH!$A$4:$A$31,0)))</f>
        <v>0</v>
      </c>
      <c r="H161">
        <f>IF($D161="",0,$E161*INDEX(Aux_HH!$E$4:$E$31,MATCH($A161&amp;"|"&amp;$D161,Aux_HH!$A$4:$A$31,0)))</f>
        <v>0</v>
      </c>
      <c r="I161">
        <f>IF($D161="",0,$E161*INDEX(Aux_HH!$F$4:$F$31,MATCH($A161&amp;"|"&amp;$D161,Aux_HH!$A$4:$A$31,0)))</f>
        <v>0</v>
      </c>
      <c r="J161">
        <f>IF($D161="",0,$E161*INDEX(Aux_HH!$G$4:$G$31,MATCH($A161&amp;"|"&amp;$D161,Aux_HH!$A$4:$A$31,0)))</f>
        <v>0</v>
      </c>
      <c r="K161">
        <f>IF($D161="",0,$E161*INDEX(Aux_HH!$H$4:$H$31,MATCH($A161&amp;"|"&amp;$D161,Aux_HH!$A$4:$A$31,0)))</f>
        <v>0</v>
      </c>
      <c r="L161">
        <f>IF($D161="",0,$E161*INDEX(Aux_HH!$I$4:$I$31,MATCH($A161&amp;"|"&amp;$D161,Aux_HH!$A$4:$A$31,0)))</f>
        <v>0</v>
      </c>
    </row>
    <row r="162" spans="1:12" ht="15" customHeight="1" x14ac:dyDescent="0.4">
      <c r="A162" t="str">
        <f>Premissas!$A$42</f>
        <v>Carregadeira/Pesada</v>
      </c>
      <c r="B162">
        <v>3</v>
      </c>
      <c r="C162">
        <f>INDEX(Semanas!$E$3:$E$54,3)</f>
        <v>9</v>
      </c>
      <c r="D162" t="str">
        <f>Cronograma!D8</f>
        <v/>
      </c>
      <c r="E162">
        <f>Premissas!$I$42</f>
        <v>73</v>
      </c>
      <c r="F162">
        <f t="shared" si="2"/>
        <v>0</v>
      </c>
      <c r="G162">
        <f>IF($D162="",0,$E162*INDEX(Aux_HH!$D$4:$D$31,MATCH($A162&amp;"|"&amp;$D162,Aux_HH!$A$4:$A$31,0)))</f>
        <v>0</v>
      </c>
      <c r="H162">
        <f>IF($D162="",0,$E162*INDEX(Aux_HH!$E$4:$E$31,MATCH($A162&amp;"|"&amp;$D162,Aux_HH!$A$4:$A$31,0)))</f>
        <v>0</v>
      </c>
      <c r="I162">
        <f>IF($D162="",0,$E162*INDEX(Aux_HH!$F$4:$F$31,MATCH($A162&amp;"|"&amp;$D162,Aux_HH!$A$4:$A$31,0)))</f>
        <v>0</v>
      </c>
      <c r="J162">
        <f>IF($D162="",0,$E162*INDEX(Aux_HH!$G$4:$G$31,MATCH($A162&amp;"|"&amp;$D162,Aux_HH!$A$4:$A$31,0)))</f>
        <v>0</v>
      </c>
      <c r="K162">
        <f>IF($D162="",0,$E162*INDEX(Aux_HH!$H$4:$H$31,MATCH($A162&amp;"|"&amp;$D162,Aux_HH!$A$4:$A$31,0)))</f>
        <v>0</v>
      </c>
      <c r="L162">
        <f>IF($D162="",0,$E162*INDEX(Aux_HH!$I$4:$I$31,MATCH($A162&amp;"|"&amp;$D162,Aux_HH!$A$4:$A$31,0)))</f>
        <v>0</v>
      </c>
    </row>
    <row r="163" spans="1:12" ht="15" customHeight="1" x14ac:dyDescent="0.4">
      <c r="A163" t="str">
        <f>Premissas!$A$42</f>
        <v>Carregadeira/Pesada</v>
      </c>
      <c r="B163">
        <v>4</v>
      </c>
      <c r="C163">
        <f>INDEX(Semanas!$E$3:$E$54,4)</f>
        <v>9</v>
      </c>
      <c r="D163" t="str">
        <f>Cronograma!E8</f>
        <v/>
      </c>
      <c r="E163">
        <f>Premissas!$I$42</f>
        <v>73</v>
      </c>
      <c r="F163">
        <f t="shared" si="2"/>
        <v>0</v>
      </c>
      <c r="G163">
        <f>IF($D163="",0,$E163*INDEX(Aux_HH!$D$4:$D$31,MATCH($A163&amp;"|"&amp;$D163,Aux_HH!$A$4:$A$31,0)))</f>
        <v>0</v>
      </c>
      <c r="H163">
        <f>IF($D163="",0,$E163*INDEX(Aux_HH!$E$4:$E$31,MATCH($A163&amp;"|"&amp;$D163,Aux_HH!$A$4:$A$31,0)))</f>
        <v>0</v>
      </c>
      <c r="I163">
        <f>IF($D163="",0,$E163*INDEX(Aux_HH!$F$4:$F$31,MATCH($A163&amp;"|"&amp;$D163,Aux_HH!$A$4:$A$31,0)))</f>
        <v>0</v>
      </c>
      <c r="J163">
        <f>IF($D163="",0,$E163*INDEX(Aux_HH!$G$4:$G$31,MATCH($A163&amp;"|"&amp;$D163,Aux_HH!$A$4:$A$31,0)))</f>
        <v>0</v>
      </c>
      <c r="K163">
        <f>IF($D163="",0,$E163*INDEX(Aux_HH!$H$4:$H$31,MATCH($A163&amp;"|"&amp;$D163,Aux_HH!$A$4:$A$31,0)))</f>
        <v>0</v>
      </c>
      <c r="L163">
        <f>IF($D163="",0,$E163*INDEX(Aux_HH!$I$4:$I$31,MATCH($A163&amp;"|"&amp;$D163,Aux_HH!$A$4:$A$31,0)))</f>
        <v>0</v>
      </c>
    </row>
    <row r="164" spans="1:12" ht="15" customHeight="1" x14ac:dyDescent="0.4">
      <c r="A164" t="str">
        <f>Premissas!$A$42</f>
        <v>Carregadeira/Pesada</v>
      </c>
      <c r="B164">
        <v>5</v>
      </c>
      <c r="C164">
        <f>INDEX(Semanas!$E$3:$E$54,5)</f>
        <v>9</v>
      </c>
      <c r="D164" t="str">
        <f>Cronograma!F8</f>
        <v/>
      </c>
      <c r="E164">
        <f>Premissas!$I$42</f>
        <v>73</v>
      </c>
      <c r="F164">
        <f t="shared" si="2"/>
        <v>0</v>
      </c>
      <c r="G164">
        <f>IF($D164="",0,$E164*INDEX(Aux_HH!$D$4:$D$31,MATCH($A164&amp;"|"&amp;$D164,Aux_HH!$A$4:$A$31,0)))</f>
        <v>0</v>
      </c>
      <c r="H164">
        <f>IF($D164="",0,$E164*INDEX(Aux_HH!$E$4:$E$31,MATCH($A164&amp;"|"&amp;$D164,Aux_HH!$A$4:$A$31,0)))</f>
        <v>0</v>
      </c>
      <c r="I164">
        <f>IF($D164="",0,$E164*INDEX(Aux_HH!$F$4:$F$31,MATCH($A164&amp;"|"&amp;$D164,Aux_HH!$A$4:$A$31,0)))</f>
        <v>0</v>
      </c>
      <c r="J164">
        <f>IF($D164="",0,$E164*INDEX(Aux_HH!$G$4:$G$31,MATCH($A164&amp;"|"&amp;$D164,Aux_HH!$A$4:$A$31,0)))</f>
        <v>0</v>
      </c>
      <c r="K164">
        <f>IF($D164="",0,$E164*INDEX(Aux_HH!$H$4:$H$31,MATCH($A164&amp;"|"&amp;$D164,Aux_HH!$A$4:$A$31,0)))</f>
        <v>0</v>
      </c>
      <c r="L164">
        <f>IF($D164="",0,$E164*INDEX(Aux_HH!$I$4:$I$31,MATCH($A164&amp;"|"&amp;$D164,Aux_HH!$A$4:$A$31,0)))</f>
        <v>0</v>
      </c>
    </row>
    <row r="165" spans="1:12" ht="15" customHeight="1" x14ac:dyDescent="0.4">
      <c r="A165" t="str">
        <f>Premissas!$A$42</f>
        <v>Carregadeira/Pesada</v>
      </c>
      <c r="B165">
        <v>6</v>
      </c>
      <c r="C165">
        <f>INDEX(Semanas!$E$3:$E$54,6)</f>
        <v>10</v>
      </c>
      <c r="D165" t="str">
        <f>Cronograma!G8</f>
        <v>S</v>
      </c>
      <c r="E165">
        <f>Premissas!$I$42</f>
        <v>73</v>
      </c>
      <c r="F165">
        <f t="shared" si="2"/>
        <v>73</v>
      </c>
      <c r="G165">
        <f>IF($D165="",0,$E165*INDEX(Aux_HH!$D$4:$D$31,MATCH($A165&amp;"|"&amp;$D165,Aux_HH!$A$4:$A$31,0)))</f>
        <v>182.5</v>
      </c>
      <c r="H165">
        <f>IF($D165="",0,$E165*INDEX(Aux_HH!$E$4:$E$31,MATCH($A165&amp;"|"&amp;$D165,Aux_HH!$A$4:$A$31,0)))</f>
        <v>0</v>
      </c>
      <c r="I165">
        <f>IF($D165="",0,$E165*INDEX(Aux_HH!$F$4:$F$31,MATCH($A165&amp;"|"&amp;$D165,Aux_HH!$A$4:$A$31,0)))</f>
        <v>0</v>
      </c>
      <c r="J165">
        <f>IF($D165="",0,$E165*INDEX(Aux_HH!$G$4:$G$31,MATCH($A165&amp;"|"&amp;$D165,Aux_HH!$A$4:$A$31,0)))</f>
        <v>0</v>
      </c>
      <c r="K165">
        <f>IF($D165="",0,$E165*INDEX(Aux_HH!$H$4:$H$31,MATCH($A165&amp;"|"&amp;$D165,Aux_HH!$A$4:$A$31,0)))</f>
        <v>0</v>
      </c>
      <c r="L165">
        <f>IF($D165="",0,$E165*INDEX(Aux_HH!$I$4:$I$31,MATCH($A165&amp;"|"&amp;$D165,Aux_HH!$A$4:$A$31,0)))</f>
        <v>0</v>
      </c>
    </row>
    <row r="166" spans="1:12" ht="15" customHeight="1" x14ac:dyDescent="0.4">
      <c r="A166" t="str">
        <f>Premissas!$A$42</f>
        <v>Carregadeira/Pesada</v>
      </c>
      <c r="B166">
        <v>7</v>
      </c>
      <c r="C166">
        <f>INDEX(Semanas!$E$3:$E$54,7)</f>
        <v>10</v>
      </c>
      <c r="D166" t="str">
        <f>Cronograma!H8</f>
        <v/>
      </c>
      <c r="E166">
        <f>Premissas!$I$42</f>
        <v>73</v>
      </c>
      <c r="F166">
        <f t="shared" si="2"/>
        <v>0</v>
      </c>
      <c r="G166">
        <f>IF($D166="",0,$E166*INDEX(Aux_HH!$D$4:$D$31,MATCH($A166&amp;"|"&amp;$D166,Aux_HH!$A$4:$A$31,0)))</f>
        <v>0</v>
      </c>
      <c r="H166">
        <f>IF($D166="",0,$E166*INDEX(Aux_HH!$E$4:$E$31,MATCH($A166&amp;"|"&amp;$D166,Aux_HH!$A$4:$A$31,0)))</f>
        <v>0</v>
      </c>
      <c r="I166">
        <f>IF($D166="",0,$E166*INDEX(Aux_HH!$F$4:$F$31,MATCH($A166&amp;"|"&amp;$D166,Aux_HH!$A$4:$A$31,0)))</f>
        <v>0</v>
      </c>
      <c r="J166">
        <f>IF($D166="",0,$E166*INDEX(Aux_HH!$G$4:$G$31,MATCH($A166&amp;"|"&amp;$D166,Aux_HH!$A$4:$A$31,0)))</f>
        <v>0</v>
      </c>
      <c r="K166">
        <f>IF($D166="",0,$E166*INDEX(Aux_HH!$H$4:$H$31,MATCH($A166&amp;"|"&amp;$D166,Aux_HH!$A$4:$A$31,0)))</f>
        <v>0</v>
      </c>
      <c r="L166">
        <f>IF($D166="",0,$E166*INDEX(Aux_HH!$I$4:$I$31,MATCH($A166&amp;"|"&amp;$D166,Aux_HH!$A$4:$A$31,0)))</f>
        <v>0</v>
      </c>
    </row>
    <row r="167" spans="1:12" ht="15" customHeight="1" x14ac:dyDescent="0.4">
      <c r="A167" t="str">
        <f>Premissas!$A$42</f>
        <v>Carregadeira/Pesada</v>
      </c>
      <c r="B167">
        <v>8</v>
      </c>
      <c r="C167">
        <f>INDEX(Semanas!$E$3:$E$54,8)</f>
        <v>10</v>
      </c>
      <c r="D167" t="str">
        <f>Cronograma!I8</f>
        <v/>
      </c>
      <c r="E167">
        <f>Premissas!$I$42</f>
        <v>73</v>
      </c>
      <c r="F167">
        <f t="shared" si="2"/>
        <v>0</v>
      </c>
      <c r="G167">
        <f>IF($D167="",0,$E167*INDEX(Aux_HH!$D$4:$D$31,MATCH($A167&amp;"|"&amp;$D167,Aux_HH!$A$4:$A$31,0)))</f>
        <v>0</v>
      </c>
      <c r="H167">
        <f>IF($D167="",0,$E167*INDEX(Aux_HH!$E$4:$E$31,MATCH($A167&amp;"|"&amp;$D167,Aux_HH!$A$4:$A$31,0)))</f>
        <v>0</v>
      </c>
      <c r="I167">
        <f>IF($D167="",0,$E167*INDEX(Aux_HH!$F$4:$F$31,MATCH($A167&amp;"|"&amp;$D167,Aux_HH!$A$4:$A$31,0)))</f>
        <v>0</v>
      </c>
      <c r="J167">
        <f>IF($D167="",0,$E167*INDEX(Aux_HH!$G$4:$G$31,MATCH($A167&amp;"|"&amp;$D167,Aux_HH!$A$4:$A$31,0)))</f>
        <v>0</v>
      </c>
      <c r="K167">
        <f>IF($D167="",0,$E167*INDEX(Aux_HH!$H$4:$H$31,MATCH($A167&amp;"|"&amp;$D167,Aux_HH!$A$4:$A$31,0)))</f>
        <v>0</v>
      </c>
      <c r="L167">
        <f>IF($D167="",0,$E167*INDEX(Aux_HH!$I$4:$I$31,MATCH($A167&amp;"|"&amp;$D167,Aux_HH!$A$4:$A$31,0)))</f>
        <v>0</v>
      </c>
    </row>
    <row r="168" spans="1:12" ht="15" customHeight="1" x14ac:dyDescent="0.4">
      <c r="A168" t="str">
        <f>Premissas!$A$42</f>
        <v>Carregadeira/Pesada</v>
      </c>
      <c r="B168">
        <v>9</v>
      </c>
      <c r="C168">
        <f>INDEX(Semanas!$E$3:$E$54,9)</f>
        <v>10</v>
      </c>
      <c r="D168" t="str">
        <f>Cronograma!J8</f>
        <v/>
      </c>
      <c r="E168">
        <f>Premissas!$I$42</f>
        <v>73</v>
      </c>
      <c r="F168">
        <f t="shared" si="2"/>
        <v>0</v>
      </c>
      <c r="G168">
        <f>IF($D168="",0,$E168*INDEX(Aux_HH!$D$4:$D$31,MATCH($A168&amp;"|"&amp;$D168,Aux_HH!$A$4:$A$31,0)))</f>
        <v>0</v>
      </c>
      <c r="H168">
        <f>IF($D168="",0,$E168*INDEX(Aux_HH!$E$4:$E$31,MATCH($A168&amp;"|"&amp;$D168,Aux_HH!$A$4:$A$31,0)))</f>
        <v>0</v>
      </c>
      <c r="I168">
        <f>IF($D168="",0,$E168*INDEX(Aux_HH!$F$4:$F$31,MATCH($A168&amp;"|"&amp;$D168,Aux_HH!$A$4:$A$31,0)))</f>
        <v>0</v>
      </c>
      <c r="J168">
        <f>IF($D168="",0,$E168*INDEX(Aux_HH!$G$4:$G$31,MATCH($A168&amp;"|"&amp;$D168,Aux_HH!$A$4:$A$31,0)))</f>
        <v>0</v>
      </c>
      <c r="K168">
        <f>IF($D168="",0,$E168*INDEX(Aux_HH!$H$4:$H$31,MATCH($A168&amp;"|"&amp;$D168,Aux_HH!$A$4:$A$31,0)))</f>
        <v>0</v>
      </c>
      <c r="L168">
        <f>IF($D168="",0,$E168*INDEX(Aux_HH!$I$4:$I$31,MATCH($A168&amp;"|"&amp;$D168,Aux_HH!$A$4:$A$31,0)))</f>
        <v>0</v>
      </c>
    </row>
    <row r="169" spans="1:12" ht="15" customHeight="1" x14ac:dyDescent="0.4">
      <c r="A169" t="str">
        <f>Premissas!$A$42</f>
        <v>Carregadeira/Pesada</v>
      </c>
      <c r="B169">
        <v>10</v>
      </c>
      <c r="C169">
        <f>INDEX(Semanas!$E$3:$E$54,10)</f>
        <v>11</v>
      </c>
      <c r="D169" t="str">
        <f>Cronograma!K8</f>
        <v/>
      </c>
      <c r="E169">
        <f>Premissas!$I$42</f>
        <v>73</v>
      </c>
      <c r="F169">
        <f t="shared" si="2"/>
        <v>0</v>
      </c>
      <c r="G169">
        <f>IF($D169="",0,$E169*INDEX(Aux_HH!$D$4:$D$31,MATCH($A169&amp;"|"&amp;$D169,Aux_HH!$A$4:$A$31,0)))</f>
        <v>0</v>
      </c>
      <c r="H169">
        <f>IF($D169="",0,$E169*INDEX(Aux_HH!$E$4:$E$31,MATCH($A169&amp;"|"&amp;$D169,Aux_HH!$A$4:$A$31,0)))</f>
        <v>0</v>
      </c>
      <c r="I169">
        <f>IF($D169="",0,$E169*INDEX(Aux_HH!$F$4:$F$31,MATCH($A169&amp;"|"&amp;$D169,Aux_HH!$A$4:$A$31,0)))</f>
        <v>0</v>
      </c>
      <c r="J169">
        <f>IF($D169="",0,$E169*INDEX(Aux_HH!$G$4:$G$31,MATCH($A169&amp;"|"&amp;$D169,Aux_HH!$A$4:$A$31,0)))</f>
        <v>0</v>
      </c>
      <c r="K169">
        <f>IF($D169="",0,$E169*INDEX(Aux_HH!$H$4:$H$31,MATCH($A169&amp;"|"&amp;$D169,Aux_HH!$A$4:$A$31,0)))</f>
        <v>0</v>
      </c>
      <c r="L169">
        <f>IF($D169="",0,$E169*INDEX(Aux_HH!$I$4:$I$31,MATCH($A169&amp;"|"&amp;$D169,Aux_HH!$A$4:$A$31,0)))</f>
        <v>0</v>
      </c>
    </row>
    <row r="170" spans="1:12" ht="15" customHeight="1" x14ac:dyDescent="0.4">
      <c r="A170" t="str">
        <f>Premissas!$A$42</f>
        <v>Carregadeira/Pesada</v>
      </c>
      <c r="B170">
        <v>11</v>
      </c>
      <c r="C170">
        <f>INDEX(Semanas!$E$3:$E$54,11)</f>
        <v>11</v>
      </c>
      <c r="D170" t="str">
        <f>Cronograma!L8</f>
        <v/>
      </c>
      <c r="E170">
        <f>Premissas!$I$42</f>
        <v>73</v>
      </c>
      <c r="F170">
        <f t="shared" si="2"/>
        <v>0</v>
      </c>
      <c r="G170">
        <f>IF($D170="",0,$E170*INDEX(Aux_HH!$D$4:$D$31,MATCH($A170&amp;"|"&amp;$D170,Aux_HH!$A$4:$A$31,0)))</f>
        <v>0</v>
      </c>
      <c r="H170">
        <f>IF($D170="",0,$E170*INDEX(Aux_HH!$E$4:$E$31,MATCH($A170&amp;"|"&amp;$D170,Aux_HH!$A$4:$A$31,0)))</f>
        <v>0</v>
      </c>
      <c r="I170">
        <f>IF($D170="",0,$E170*INDEX(Aux_HH!$F$4:$F$31,MATCH($A170&amp;"|"&amp;$D170,Aux_HH!$A$4:$A$31,0)))</f>
        <v>0</v>
      </c>
      <c r="J170">
        <f>IF($D170="",0,$E170*INDEX(Aux_HH!$G$4:$G$31,MATCH($A170&amp;"|"&amp;$D170,Aux_HH!$A$4:$A$31,0)))</f>
        <v>0</v>
      </c>
      <c r="K170">
        <f>IF($D170="",0,$E170*INDEX(Aux_HH!$H$4:$H$31,MATCH($A170&amp;"|"&amp;$D170,Aux_HH!$A$4:$A$31,0)))</f>
        <v>0</v>
      </c>
      <c r="L170">
        <f>IF($D170="",0,$E170*INDEX(Aux_HH!$I$4:$I$31,MATCH($A170&amp;"|"&amp;$D170,Aux_HH!$A$4:$A$31,0)))</f>
        <v>0</v>
      </c>
    </row>
    <row r="171" spans="1:12" ht="15" customHeight="1" x14ac:dyDescent="0.4">
      <c r="A171" t="str">
        <f>Premissas!$A$42</f>
        <v>Carregadeira/Pesada</v>
      </c>
      <c r="B171">
        <v>12</v>
      </c>
      <c r="C171">
        <f>INDEX(Semanas!$E$3:$E$54,12)</f>
        <v>11</v>
      </c>
      <c r="D171" t="str">
        <f>Cronograma!M8</f>
        <v>A</v>
      </c>
      <c r="E171">
        <f>Premissas!$I$42</f>
        <v>73</v>
      </c>
      <c r="F171">
        <f t="shared" si="2"/>
        <v>73</v>
      </c>
      <c r="G171">
        <f>IF($D171="",0,$E171*INDEX(Aux_HH!$D$4:$D$31,MATCH($A171&amp;"|"&amp;$D171,Aux_HH!$A$4:$A$31,0)))</f>
        <v>328.5</v>
      </c>
      <c r="H171">
        <f>IF($D171="",0,$E171*INDEX(Aux_HH!$E$4:$E$31,MATCH($A171&amp;"|"&amp;$D171,Aux_HH!$A$4:$A$31,0)))</f>
        <v>0</v>
      </c>
      <c r="I171">
        <f>IF($D171="",0,$E171*INDEX(Aux_HH!$F$4:$F$31,MATCH($A171&amp;"|"&amp;$D171,Aux_HH!$A$4:$A$31,0)))</f>
        <v>0</v>
      </c>
      <c r="J171">
        <f>IF($D171="",0,$E171*INDEX(Aux_HH!$G$4:$G$31,MATCH($A171&amp;"|"&amp;$D171,Aux_HH!$A$4:$A$31,0)))</f>
        <v>0</v>
      </c>
      <c r="K171">
        <f>IF($D171="",0,$E171*INDEX(Aux_HH!$H$4:$H$31,MATCH($A171&amp;"|"&amp;$D171,Aux_HH!$A$4:$A$31,0)))</f>
        <v>0</v>
      </c>
      <c r="L171">
        <f>IF($D171="",0,$E171*INDEX(Aux_HH!$I$4:$I$31,MATCH($A171&amp;"|"&amp;$D171,Aux_HH!$A$4:$A$31,0)))</f>
        <v>0</v>
      </c>
    </row>
    <row r="172" spans="1:12" ht="15" customHeight="1" x14ac:dyDescent="0.4">
      <c r="A172" t="str">
        <f>Premissas!$A$42</f>
        <v>Carregadeira/Pesada</v>
      </c>
      <c r="B172">
        <v>13</v>
      </c>
      <c r="C172">
        <f>INDEX(Semanas!$E$3:$E$54,13)</f>
        <v>11</v>
      </c>
      <c r="D172" t="str">
        <f>Cronograma!N8</f>
        <v/>
      </c>
      <c r="E172">
        <f>Premissas!$I$42</f>
        <v>73</v>
      </c>
      <c r="F172">
        <f t="shared" si="2"/>
        <v>0</v>
      </c>
      <c r="G172">
        <f>IF($D172="",0,$E172*INDEX(Aux_HH!$D$4:$D$31,MATCH($A172&amp;"|"&amp;$D172,Aux_HH!$A$4:$A$31,0)))</f>
        <v>0</v>
      </c>
      <c r="H172">
        <f>IF($D172="",0,$E172*INDEX(Aux_HH!$E$4:$E$31,MATCH($A172&amp;"|"&amp;$D172,Aux_HH!$A$4:$A$31,0)))</f>
        <v>0</v>
      </c>
      <c r="I172">
        <f>IF($D172="",0,$E172*INDEX(Aux_HH!$F$4:$F$31,MATCH($A172&amp;"|"&amp;$D172,Aux_HH!$A$4:$A$31,0)))</f>
        <v>0</v>
      </c>
      <c r="J172">
        <f>IF($D172="",0,$E172*INDEX(Aux_HH!$G$4:$G$31,MATCH($A172&amp;"|"&amp;$D172,Aux_HH!$A$4:$A$31,0)))</f>
        <v>0</v>
      </c>
      <c r="K172">
        <f>IF($D172="",0,$E172*INDEX(Aux_HH!$H$4:$H$31,MATCH($A172&amp;"|"&amp;$D172,Aux_HH!$A$4:$A$31,0)))</f>
        <v>0</v>
      </c>
      <c r="L172">
        <f>IF($D172="",0,$E172*INDEX(Aux_HH!$I$4:$I$31,MATCH($A172&amp;"|"&amp;$D172,Aux_HH!$A$4:$A$31,0)))</f>
        <v>0</v>
      </c>
    </row>
    <row r="173" spans="1:12" ht="15" customHeight="1" x14ac:dyDescent="0.4">
      <c r="A173" t="str">
        <f>Premissas!$A$42</f>
        <v>Carregadeira/Pesada</v>
      </c>
      <c r="B173">
        <v>14</v>
      </c>
      <c r="C173">
        <f>INDEX(Semanas!$E$3:$E$54,14)</f>
        <v>12</v>
      </c>
      <c r="D173" t="str">
        <f>Cronograma!O8</f>
        <v/>
      </c>
      <c r="E173">
        <f>Premissas!$I$42</f>
        <v>73</v>
      </c>
      <c r="F173">
        <f t="shared" si="2"/>
        <v>0</v>
      </c>
      <c r="G173">
        <f>IF($D173="",0,$E173*INDEX(Aux_HH!$D$4:$D$31,MATCH($A173&amp;"|"&amp;$D173,Aux_HH!$A$4:$A$31,0)))</f>
        <v>0</v>
      </c>
      <c r="H173">
        <f>IF($D173="",0,$E173*INDEX(Aux_HH!$E$4:$E$31,MATCH($A173&amp;"|"&amp;$D173,Aux_HH!$A$4:$A$31,0)))</f>
        <v>0</v>
      </c>
      <c r="I173">
        <f>IF($D173="",0,$E173*INDEX(Aux_HH!$F$4:$F$31,MATCH($A173&amp;"|"&amp;$D173,Aux_HH!$A$4:$A$31,0)))</f>
        <v>0</v>
      </c>
      <c r="J173">
        <f>IF($D173="",0,$E173*INDEX(Aux_HH!$G$4:$G$31,MATCH($A173&amp;"|"&amp;$D173,Aux_HH!$A$4:$A$31,0)))</f>
        <v>0</v>
      </c>
      <c r="K173">
        <f>IF($D173="",0,$E173*INDEX(Aux_HH!$H$4:$H$31,MATCH($A173&amp;"|"&amp;$D173,Aux_HH!$A$4:$A$31,0)))</f>
        <v>0</v>
      </c>
      <c r="L173">
        <f>IF($D173="",0,$E173*INDEX(Aux_HH!$I$4:$I$31,MATCH($A173&amp;"|"&amp;$D173,Aux_HH!$A$4:$A$31,0)))</f>
        <v>0</v>
      </c>
    </row>
    <row r="174" spans="1:12" ht="15" customHeight="1" x14ac:dyDescent="0.4">
      <c r="A174" t="str">
        <f>Premissas!$A$42</f>
        <v>Carregadeira/Pesada</v>
      </c>
      <c r="B174">
        <v>15</v>
      </c>
      <c r="C174">
        <f>INDEX(Semanas!$E$3:$E$54,15)</f>
        <v>12</v>
      </c>
      <c r="D174" t="str">
        <f>Cronograma!P8</f>
        <v/>
      </c>
      <c r="E174">
        <f>Premissas!$I$42</f>
        <v>73</v>
      </c>
      <c r="F174">
        <f t="shared" si="2"/>
        <v>0</v>
      </c>
      <c r="G174">
        <f>IF($D174="",0,$E174*INDEX(Aux_HH!$D$4:$D$31,MATCH($A174&amp;"|"&amp;$D174,Aux_HH!$A$4:$A$31,0)))</f>
        <v>0</v>
      </c>
      <c r="H174">
        <f>IF($D174="",0,$E174*INDEX(Aux_HH!$E$4:$E$31,MATCH($A174&amp;"|"&amp;$D174,Aux_HH!$A$4:$A$31,0)))</f>
        <v>0</v>
      </c>
      <c r="I174">
        <f>IF($D174="",0,$E174*INDEX(Aux_HH!$F$4:$F$31,MATCH($A174&amp;"|"&amp;$D174,Aux_HH!$A$4:$A$31,0)))</f>
        <v>0</v>
      </c>
      <c r="J174">
        <f>IF($D174="",0,$E174*INDEX(Aux_HH!$G$4:$G$31,MATCH($A174&amp;"|"&amp;$D174,Aux_HH!$A$4:$A$31,0)))</f>
        <v>0</v>
      </c>
      <c r="K174">
        <f>IF($D174="",0,$E174*INDEX(Aux_HH!$H$4:$H$31,MATCH($A174&amp;"|"&amp;$D174,Aux_HH!$A$4:$A$31,0)))</f>
        <v>0</v>
      </c>
      <c r="L174">
        <f>IF($D174="",0,$E174*INDEX(Aux_HH!$I$4:$I$31,MATCH($A174&amp;"|"&amp;$D174,Aux_HH!$A$4:$A$31,0)))</f>
        <v>0</v>
      </c>
    </row>
    <row r="175" spans="1:12" ht="15" customHeight="1" x14ac:dyDescent="0.4">
      <c r="A175" t="str">
        <f>Premissas!$A$42</f>
        <v>Carregadeira/Pesada</v>
      </c>
      <c r="B175">
        <v>16</v>
      </c>
      <c r="C175">
        <f>INDEX(Semanas!$E$3:$E$54,16)</f>
        <v>12</v>
      </c>
      <c r="D175" t="str">
        <f>Cronograma!Q8</f>
        <v/>
      </c>
      <c r="E175">
        <f>Premissas!$I$42</f>
        <v>73</v>
      </c>
      <c r="F175">
        <f t="shared" si="2"/>
        <v>0</v>
      </c>
      <c r="G175">
        <f>IF($D175="",0,$E175*INDEX(Aux_HH!$D$4:$D$31,MATCH($A175&amp;"|"&amp;$D175,Aux_HH!$A$4:$A$31,0)))</f>
        <v>0</v>
      </c>
      <c r="H175">
        <f>IF($D175="",0,$E175*INDEX(Aux_HH!$E$4:$E$31,MATCH($A175&amp;"|"&amp;$D175,Aux_HH!$A$4:$A$31,0)))</f>
        <v>0</v>
      </c>
      <c r="I175">
        <f>IF($D175="",0,$E175*INDEX(Aux_HH!$F$4:$F$31,MATCH($A175&amp;"|"&amp;$D175,Aux_HH!$A$4:$A$31,0)))</f>
        <v>0</v>
      </c>
      <c r="J175">
        <f>IF($D175="",0,$E175*INDEX(Aux_HH!$G$4:$G$31,MATCH($A175&amp;"|"&amp;$D175,Aux_HH!$A$4:$A$31,0)))</f>
        <v>0</v>
      </c>
      <c r="K175">
        <f>IF($D175="",0,$E175*INDEX(Aux_HH!$H$4:$H$31,MATCH($A175&amp;"|"&amp;$D175,Aux_HH!$A$4:$A$31,0)))</f>
        <v>0</v>
      </c>
      <c r="L175">
        <f>IF($D175="",0,$E175*INDEX(Aux_HH!$I$4:$I$31,MATCH($A175&amp;"|"&amp;$D175,Aux_HH!$A$4:$A$31,0)))</f>
        <v>0</v>
      </c>
    </row>
    <row r="176" spans="1:12" ht="15" customHeight="1" x14ac:dyDescent="0.4">
      <c r="A176" t="str">
        <f>Premissas!$A$42</f>
        <v>Carregadeira/Pesada</v>
      </c>
      <c r="B176">
        <v>17</v>
      </c>
      <c r="C176">
        <f>INDEX(Semanas!$E$3:$E$54,17)</f>
        <v>12</v>
      </c>
      <c r="D176" t="str">
        <f>Cronograma!R8</f>
        <v>S</v>
      </c>
      <c r="E176">
        <f>Premissas!$I$42</f>
        <v>73</v>
      </c>
      <c r="F176">
        <f t="shared" si="2"/>
        <v>73</v>
      </c>
      <c r="G176">
        <f>IF($D176="",0,$E176*INDEX(Aux_HH!$D$4:$D$31,MATCH($A176&amp;"|"&amp;$D176,Aux_HH!$A$4:$A$31,0)))</f>
        <v>182.5</v>
      </c>
      <c r="H176">
        <f>IF($D176="",0,$E176*INDEX(Aux_HH!$E$4:$E$31,MATCH($A176&amp;"|"&amp;$D176,Aux_HH!$A$4:$A$31,0)))</f>
        <v>0</v>
      </c>
      <c r="I176">
        <f>IF($D176="",0,$E176*INDEX(Aux_HH!$F$4:$F$31,MATCH($A176&amp;"|"&amp;$D176,Aux_HH!$A$4:$A$31,0)))</f>
        <v>0</v>
      </c>
      <c r="J176">
        <f>IF($D176="",0,$E176*INDEX(Aux_HH!$G$4:$G$31,MATCH($A176&amp;"|"&amp;$D176,Aux_HH!$A$4:$A$31,0)))</f>
        <v>0</v>
      </c>
      <c r="K176">
        <f>IF($D176="",0,$E176*INDEX(Aux_HH!$H$4:$H$31,MATCH($A176&amp;"|"&amp;$D176,Aux_HH!$A$4:$A$31,0)))</f>
        <v>0</v>
      </c>
      <c r="L176">
        <f>IF($D176="",0,$E176*INDEX(Aux_HH!$I$4:$I$31,MATCH($A176&amp;"|"&amp;$D176,Aux_HH!$A$4:$A$31,0)))</f>
        <v>0</v>
      </c>
    </row>
    <row r="177" spans="1:12" ht="15" customHeight="1" x14ac:dyDescent="0.4">
      <c r="A177" t="str">
        <f>Premissas!$A$42</f>
        <v>Carregadeira/Pesada</v>
      </c>
      <c r="B177">
        <v>18</v>
      </c>
      <c r="C177">
        <f>INDEX(Semanas!$E$3:$E$54,18)</f>
        <v>12</v>
      </c>
      <c r="D177" t="str">
        <f>Cronograma!S8</f>
        <v/>
      </c>
      <c r="E177">
        <f>Premissas!$I$42</f>
        <v>73</v>
      </c>
      <c r="F177">
        <f t="shared" si="2"/>
        <v>0</v>
      </c>
      <c r="G177">
        <f>IF($D177="",0,$E177*INDEX(Aux_HH!$D$4:$D$31,MATCH($A177&amp;"|"&amp;$D177,Aux_HH!$A$4:$A$31,0)))</f>
        <v>0</v>
      </c>
      <c r="H177">
        <f>IF($D177="",0,$E177*INDEX(Aux_HH!$E$4:$E$31,MATCH($A177&amp;"|"&amp;$D177,Aux_HH!$A$4:$A$31,0)))</f>
        <v>0</v>
      </c>
      <c r="I177">
        <f>IF($D177="",0,$E177*INDEX(Aux_HH!$F$4:$F$31,MATCH($A177&amp;"|"&amp;$D177,Aux_HH!$A$4:$A$31,0)))</f>
        <v>0</v>
      </c>
      <c r="J177">
        <f>IF($D177="",0,$E177*INDEX(Aux_HH!$G$4:$G$31,MATCH($A177&amp;"|"&amp;$D177,Aux_HH!$A$4:$A$31,0)))</f>
        <v>0</v>
      </c>
      <c r="K177">
        <f>IF($D177="",0,$E177*INDEX(Aux_HH!$H$4:$H$31,MATCH($A177&amp;"|"&amp;$D177,Aux_HH!$A$4:$A$31,0)))</f>
        <v>0</v>
      </c>
      <c r="L177">
        <f>IF($D177="",0,$E177*INDEX(Aux_HH!$I$4:$I$31,MATCH($A177&amp;"|"&amp;$D177,Aux_HH!$A$4:$A$31,0)))</f>
        <v>0</v>
      </c>
    </row>
    <row r="178" spans="1:12" ht="15" customHeight="1" x14ac:dyDescent="0.4">
      <c r="A178" t="str">
        <f>Premissas!$A$42</f>
        <v>Carregadeira/Pesada</v>
      </c>
      <c r="B178">
        <v>19</v>
      </c>
      <c r="C178">
        <f>INDEX(Semanas!$E$3:$E$54,19)</f>
        <v>1</v>
      </c>
      <c r="D178" t="str">
        <f>Cronograma!T8</f>
        <v/>
      </c>
      <c r="E178">
        <f>Premissas!$I$42</f>
        <v>73</v>
      </c>
      <c r="F178">
        <f t="shared" si="2"/>
        <v>0</v>
      </c>
      <c r="G178">
        <f>IF($D178="",0,$E178*INDEX(Aux_HH!$D$4:$D$31,MATCH($A178&amp;"|"&amp;$D178,Aux_HH!$A$4:$A$31,0)))</f>
        <v>0</v>
      </c>
      <c r="H178">
        <f>IF($D178="",0,$E178*INDEX(Aux_HH!$E$4:$E$31,MATCH($A178&amp;"|"&amp;$D178,Aux_HH!$A$4:$A$31,0)))</f>
        <v>0</v>
      </c>
      <c r="I178">
        <f>IF($D178="",0,$E178*INDEX(Aux_HH!$F$4:$F$31,MATCH($A178&amp;"|"&amp;$D178,Aux_HH!$A$4:$A$31,0)))</f>
        <v>0</v>
      </c>
      <c r="J178">
        <f>IF($D178="",0,$E178*INDEX(Aux_HH!$G$4:$G$31,MATCH($A178&amp;"|"&amp;$D178,Aux_HH!$A$4:$A$31,0)))</f>
        <v>0</v>
      </c>
      <c r="K178">
        <f>IF($D178="",0,$E178*INDEX(Aux_HH!$H$4:$H$31,MATCH($A178&amp;"|"&amp;$D178,Aux_HH!$A$4:$A$31,0)))</f>
        <v>0</v>
      </c>
      <c r="L178">
        <f>IF($D178="",0,$E178*INDEX(Aux_HH!$I$4:$I$31,MATCH($A178&amp;"|"&amp;$D178,Aux_HH!$A$4:$A$31,0)))</f>
        <v>0</v>
      </c>
    </row>
    <row r="179" spans="1:12" ht="15" customHeight="1" x14ac:dyDescent="0.4">
      <c r="A179" t="str">
        <f>Premissas!$A$42</f>
        <v>Carregadeira/Pesada</v>
      </c>
      <c r="B179">
        <v>20</v>
      </c>
      <c r="C179">
        <f>INDEX(Semanas!$E$3:$E$54,20)</f>
        <v>1</v>
      </c>
      <c r="D179" t="str">
        <f>Cronograma!U8</f>
        <v/>
      </c>
      <c r="E179">
        <f>Premissas!$I$42</f>
        <v>73</v>
      </c>
      <c r="F179">
        <f t="shared" si="2"/>
        <v>0</v>
      </c>
      <c r="G179">
        <f>IF($D179="",0,$E179*INDEX(Aux_HH!$D$4:$D$31,MATCH($A179&amp;"|"&amp;$D179,Aux_HH!$A$4:$A$31,0)))</f>
        <v>0</v>
      </c>
      <c r="H179">
        <f>IF($D179="",0,$E179*INDEX(Aux_HH!$E$4:$E$31,MATCH($A179&amp;"|"&amp;$D179,Aux_HH!$A$4:$A$31,0)))</f>
        <v>0</v>
      </c>
      <c r="I179">
        <f>IF($D179="",0,$E179*INDEX(Aux_HH!$F$4:$F$31,MATCH($A179&amp;"|"&amp;$D179,Aux_HH!$A$4:$A$31,0)))</f>
        <v>0</v>
      </c>
      <c r="J179">
        <f>IF($D179="",0,$E179*INDEX(Aux_HH!$G$4:$G$31,MATCH($A179&amp;"|"&amp;$D179,Aux_HH!$A$4:$A$31,0)))</f>
        <v>0</v>
      </c>
      <c r="K179">
        <f>IF($D179="",0,$E179*INDEX(Aux_HH!$H$4:$H$31,MATCH($A179&amp;"|"&amp;$D179,Aux_HH!$A$4:$A$31,0)))</f>
        <v>0</v>
      </c>
      <c r="L179">
        <f>IF($D179="",0,$E179*INDEX(Aux_HH!$I$4:$I$31,MATCH($A179&amp;"|"&amp;$D179,Aux_HH!$A$4:$A$31,0)))</f>
        <v>0</v>
      </c>
    </row>
    <row r="180" spans="1:12" ht="15" customHeight="1" x14ac:dyDescent="0.4">
      <c r="A180" t="str">
        <f>Premissas!$A$42</f>
        <v>Carregadeira/Pesada</v>
      </c>
      <c r="B180">
        <v>21</v>
      </c>
      <c r="C180">
        <f>INDEX(Semanas!$E$3:$E$54,21)</f>
        <v>1</v>
      </c>
      <c r="D180" t="str">
        <f>Cronograma!V8</f>
        <v/>
      </c>
      <c r="E180">
        <f>Premissas!$I$42</f>
        <v>73</v>
      </c>
      <c r="F180">
        <f t="shared" si="2"/>
        <v>0</v>
      </c>
      <c r="G180">
        <f>IF($D180="",0,$E180*INDEX(Aux_HH!$D$4:$D$31,MATCH($A180&amp;"|"&amp;$D180,Aux_HH!$A$4:$A$31,0)))</f>
        <v>0</v>
      </c>
      <c r="H180">
        <f>IF($D180="",0,$E180*INDEX(Aux_HH!$E$4:$E$31,MATCH($A180&amp;"|"&amp;$D180,Aux_HH!$A$4:$A$31,0)))</f>
        <v>0</v>
      </c>
      <c r="I180">
        <f>IF($D180="",0,$E180*INDEX(Aux_HH!$F$4:$F$31,MATCH($A180&amp;"|"&amp;$D180,Aux_HH!$A$4:$A$31,0)))</f>
        <v>0</v>
      </c>
      <c r="J180">
        <f>IF($D180="",0,$E180*INDEX(Aux_HH!$G$4:$G$31,MATCH($A180&amp;"|"&amp;$D180,Aux_HH!$A$4:$A$31,0)))</f>
        <v>0</v>
      </c>
      <c r="K180">
        <f>IF($D180="",0,$E180*INDEX(Aux_HH!$H$4:$H$31,MATCH($A180&amp;"|"&amp;$D180,Aux_HH!$A$4:$A$31,0)))</f>
        <v>0</v>
      </c>
      <c r="L180">
        <f>IF($D180="",0,$E180*INDEX(Aux_HH!$I$4:$I$31,MATCH($A180&amp;"|"&amp;$D180,Aux_HH!$A$4:$A$31,0)))</f>
        <v>0</v>
      </c>
    </row>
    <row r="181" spans="1:12" ht="15" customHeight="1" x14ac:dyDescent="0.4">
      <c r="A181" t="str">
        <f>Premissas!$A$42</f>
        <v>Carregadeira/Pesada</v>
      </c>
      <c r="B181">
        <v>22</v>
      </c>
      <c r="C181">
        <f>INDEX(Semanas!$E$3:$E$54,22)</f>
        <v>1</v>
      </c>
      <c r="D181" t="str">
        <f>Cronograma!W8</f>
        <v/>
      </c>
      <c r="E181">
        <f>Premissas!$I$42</f>
        <v>73</v>
      </c>
      <c r="F181">
        <f t="shared" si="2"/>
        <v>0</v>
      </c>
      <c r="G181">
        <f>IF($D181="",0,$E181*INDEX(Aux_HH!$D$4:$D$31,MATCH($A181&amp;"|"&amp;$D181,Aux_HH!$A$4:$A$31,0)))</f>
        <v>0</v>
      </c>
      <c r="H181">
        <f>IF($D181="",0,$E181*INDEX(Aux_HH!$E$4:$E$31,MATCH($A181&amp;"|"&amp;$D181,Aux_HH!$A$4:$A$31,0)))</f>
        <v>0</v>
      </c>
      <c r="I181">
        <f>IF($D181="",0,$E181*INDEX(Aux_HH!$F$4:$F$31,MATCH($A181&amp;"|"&amp;$D181,Aux_HH!$A$4:$A$31,0)))</f>
        <v>0</v>
      </c>
      <c r="J181">
        <f>IF($D181="",0,$E181*INDEX(Aux_HH!$G$4:$G$31,MATCH($A181&amp;"|"&amp;$D181,Aux_HH!$A$4:$A$31,0)))</f>
        <v>0</v>
      </c>
      <c r="K181">
        <f>IF($D181="",0,$E181*INDEX(Aux_HH!$H$4:$H$31,MATCH($A181&amp;"|"&amp;$D181,Aux_HH!$A$4:$A$31,0)))</f>
        <v>0</v>
      </c>
      <c r="L181">
        <f>IF($D181="",0,$E181*INDEX(Aux_HH!$I$4:$I$31,MATCH($A181&amp;"|"&amp;$D181,Aux_HH!$A$4:$A$31,0)))</f>
        <v>0</v>
      </c>
    </row>
    <row r="182" spans="1:12" ht="15" customHeight="1" x14ac:dyDescent="0.4">
      <c r="A182" t="str">
        <f>Premissas!$A$42</f>
        <v>Carregadeira/Pesada</v>
      </c>
      <c r="B182">
        <v>23</v>
      </c>
      <c r="C182">
        <f>INDEX(Semanas!$E$3:$E$54,23)</f>
        <v>2</v>
      </c>
      <c r="D182" t="str">
        <f>Cronograma!X8</f>
        <v>B</v>
      </c>
      <c r="E182">
        <f>Premissas!$I$42</f>
        <v>73</v>
      </c>
      <c r="F182">
        <f t="shared" si="2"/>
        <v>73</v>
      </c>
      <c r="G182">
        <f>IF($D182="",0,$E182*INDEX(Aux_HH!$D$4:$D$31,MATCH($A182&amp;"|"&amp;$D182,Aux_HH!$A$4:$A$31,0)))</f>
        <v>584</v>
      </c>
      <c r="H182">
        <f>IF($D182="",0,$E182*INDEX(Aux_HH!$E$4:$E$31,MATCH($A182&amp;"|"&amp;$D182,Aux_HH!$A$4:$A$31,0)))</f>
        <v>0</v>
      </c>
      <c r="I182">
        <f>IF($D182="",0,$E182*INDEX(Aux_HH!$F$4:$F$31,MATCH($A182&amp;"|"&amp;$D182,Aux_HH!$A$4:$A$31,0)))</f>
        <v>0</v>
      </c>
      <c r="J182">
        <f>IF($D182="",0,$E182*INDEX(Aux_HH!$G$4:$G$31,MATCH($A182&amp;"|"&amp;$D182,Aux_HH!$A$4:$A$31,0)))</f>
        <v>0</v>
      </c>
      <c r="K182">
        <f>IF($D182="",0,$E182*INDEX(Aux_HH!$H$4:$H$31,MATCH($A182&amp;"|"&amp;$D182,Aux_HH!$A$4:$A$31,0)))</f>
        <v>0</v>
      </c>
      <c r="L182">
        <f>IF($D182="",0,$E182*INDEX(Aux_HH!$I$4:$I$31,MATCH($A182&amp;"|"&amp;$D182,Aux_HH!$A$4:$A$31,0)))</f>
        <v>0</v>
      </c>
    </row>
    <row r="183" spans="1:12" ht="15" customHeight="1" x14ac:dyDescent="0.4">
      <c r="A183" t="str">
        <f>Premissas!$A$42</f>
        <v>Carregadeira/Pesada</v>
      </c>
      <c r="B183">
        <v>24</v>
      </c>
      <c r="C183">
        <f>INDEX(Semanas!$E$3:$E$54,24)</f>
        <v>2</v>
      </c>
      <c r="D183" t="str">
        <f>Cronograma!Y8</f>
        <v/>
      </c>
      <c r="E183">
        <f>Premissas!$I$42</f>
        <v>73</v>
      </c>
      <c r="F183">
        <f t="shared" si="2"/>
        <v>0</v>
      </c>
      <c r="G183">
        <f>IF($D183="",0,$E183*INDEX(Aux_HH!$D$4:$D$31,MATCH($A183&amp;"|"&amp;$D183,Aux_HH!$A$4:$A$31,0)))</f>
        <v>0</v>
      </c>
      <c r="H183">
        <f>IF($D183="",0,$E183*INDEX(Aux_HH!$E$4:$E$31,MATCH($A183&amp;"|"&amp;$D183,Aux_HH!$A$4:$A$31,0)))</f>
        <v>0</v>
      </c>
      <c r="I183">
        <f>IF($D183="",0,$E183*INDEX(Aux_HH!$F$4:$F$31,MATCH($A183&amp;"|"&amp;$D183,Aux_HH!$A$4:$A$31,0)))</f>
        <v>0</v>
      </c>
      <c r="J183">
        <f>IF($D183="",0,$E183*INDEX(Aux_HH!$G$4:$G$31,MATCH($A183&amp;"|"&amp;$D183,Aux_HH!$A$4:$A$31,0)))</f>
        <v>0</v>
      </c>
      <c r="K183">
        <f>IF($D183="",0,$E183*INDEX(Aux_HH!$H$4:$H$31,MATCH($A183&amp;"|"&amp;$D183,Aux_HH!$A$4:$A$31,0)))</f>
        <v>0</v>
      </c>
      <c r="L183">
        <f>IF($D183="",0,$E183*INDEX(Aux_HH!$I$4:$I$31,MATCH($A183&amp;"|"&amp;$D183,Aux_HH!$A$4:$A$31,0)))</f>
        <v>0</v>
      </c>
    </row>
    <row r="184" spans="1:12" ht="15" customHeight="1" x14ac:dyDescent="0.4">
      <c r="A184" t="str">
        <f>Premissas!$A$42</f>
        <v>Carregadeira/Pesada</v>
      </c>
      <c r="B184">
        <v>25</v>
      </c>
      <c r="C184">
        <f>INDEX(Semanas!$E$3:$E$54,25)</f>
        <v>2</v>
      </c>
      <c r="D184" t="str">
        <f>Cronograma!Z8</f>
        <v/>
      </c>
      <c r="E184">
        <f>Premissas!$I$42</f>
        <v>73</v>
      </c>
      <c r="F184">
        <f t="shared" si="2"/>
        <v>0</v>
      </c>
      <c r="G184">
        <f>IF($D184="",0,$E184*INDEX(Aux_HH!$D$4:$D$31,MATCH($A184&amp;"|"&amp;$D184,Aux_HH!$A$4:$A$31,0)))</f>
        <v>0</v>
      </c>
      <c r="H184">
        <f>IF($D184="",0,$E184*INDEX(Aux_HH!$E$4:$E$31,MATCH($A184&amp;"|"&amp;$D184,Aux_HH!$A$4:$A$31,0)))</f>
        <v>0</v>
      </c>
      <c r="I184">
        <f>IF($D184="",0,$E184*INDEX(Aux_HH!$F$4:$F$31,MATCH($A184&amp;"|"&amp;$D184,Aux_HH!$A$4:$A$31,0)))</f>
        <v>0</v>
      </c>
      <c r="J184">
        <f>IF($D184="",0,$E184*INDEX(Aux_HH!$G$4:$G$31,MATCH($A184&amp;"|"&amp;$D184,Aux_HH!$A$4:$A$31,0)))</f>
        <v>0</v>
      </c>
      <c r="K184">
        <f>IF($D184="",0,$E184*INDEX(Aux_HH!$H$4:$H$31,MATCH($A184&amp;"|"&amp;$D184,Aux_HH!$A$4:$A$31,0)))</f>
        <v>0</v>
      </c>
      <c r="L184">
        <f>IF($D184="",0,$E184*INDEX(Aux_HH!$I$4:$I$31,MATCH($A184&amp;"|"&amp;$D184,Aux_HH!$A$4:$A$31,0)))</f>
        <v>0</v>
      </c>
    </row>
    <row r="185" spans="1:12" ht="15" customHeight="1" x14ac:dyDescent="0.4">
      <c r="A185" t="str">
        <f>Premissas!$A$42</f>
        <v>Carregadeira/Pesada</v>
      </c>
      <c r="B185">
        <v>26</v>
      </c>
      <c r="C185">
        <f>INDEX(Semanas!$E$3:$E$54,26)</f>
        <v>2</v>
      </c>
      <c r="D185" t="str">
        <f>Cronograma!AA8</f>
        <v/>
      </c>
      <c r="E185">
        <f>Premissas!$I$42</f>
        <v>73</v>
      </c>
      <c r="F185">
        <f t="shared" si="2"/>
        <v>0</v>
      </c>
      <c r="G185">
        <f>IF($D185="",0,$E185*INDEX(Aux_HH!$D$4:$D$31,MATCH($A185&amp;"|"&amp;$D185,Aux_HH!$A$4:$A$31,0)))</f>
        <v>0</v>
      </c>
      <c r="H185">
        <f>IF($D185="",0,$E185*INDEX(Aux_HH!$E$4:$E$31,MATCH($A185&amp;"|"&amp;$D185,Aux_HH!$A$4:$A$31,0)))</f>
        <v>0</v>
      </c>
      <c r="I185">
        <f>IF($D185="",0,$E185*INDEX(Aux_HH!$F$4:$F$31,MATCH($A185&amp;"|"&amp;$D185,Aux_HH!$A$4:$A$31,0)))</f>
        <v>0</v>
      </c>
      <c r="J185">
        <f>IF($D185="",0,$E185*INDEX(Aux_HH!$G$4:$G$31,MATCH($A185&amp;"|"&amp;$D185,Aux_HH!$A$4:$A$31,0)))</f>
        <v>0</v>
      </c>
      <c r="K185">
        <f>IF($D185="",0,$E185*INDEX(Aux_HH!$H$4:$H$31,MATCH($A185&amp;"|"&amp;$D185,Aux_HH!$A$4:$A$31,0)))</f>
        <v>0</v>
      </c>
      <c r="L185">
        <f>IF($D185="",0,$E185*INDEX(Aux_HH!$I$4:$I$31,MATCH($A185&amp;"|"&amp;$D185,Aux_HH!$A$4:$A$31,0)))</f>
        <v>0</v>
      </c>
    </row>
    <row r="186" spans="1:12" ht="15" customHeight="1" x14ac:dyDescent="0.4">
      <c r="A186" t="str">
        <f>Premissas!$A$42</f>
        <v>Carregadeira/Pesada</v>
      </c>
      <c r="B186">
        <v>27</v>
      </c>
      <c r="C186">
        <f>INDEX(Semanas!$E$3:$E$54,27)</f>
        <v>3</v>
      </c>
      <c r="D186" t="str">
        <f>Cronograma!AB8</f>
        <v/>
      </c>
      <c r="E186">
        <f>Premissas!$I$42</f>
        <v>73</v>
      </c>
      <c r="F186">
        <f t="shared" si="2"/>
        <v>0</v>
      </c>
      <c r="G186">
        <f>IF($D186="",0,$E186*INDEX(Aux_HH!$D$4:$D$31,MATCH($A186&amp;"|"&amp;$D186,Aux_HH!$A$4:$A$31,0)))</f>
        <v>0</v>
      </c>
      <c r="H186">
        <f>IF($D186="",0,$E186*INDEX(Aux_HH!$E$4:$E$31,MATCH($A186&amp;"|"&amp;$D186,Aux_HH!$A$4:$A$31,0)))</f>
        <v>0</v>
      </c>
      <c r="I186">
        <f>IF($D186="",0,$E186*INDEX(Aux_HH!$F$4:$F$31,MATCH($A186&amp;"|"&amp;$D186,Aux_HH!$A$4:$A$31,0)))</f>
        <v>0</v>
      </c>
      <c r="J186">
        <f>IF($D186="",0,$E186*INDEX(Aux_HH!$G$4:$G$31,MATCH($A186&amp;"|"&amp;$D186,Aux_HH!$A$4:$A$31,0)))</f>
        <v>0</v>
      </c>
      <c r="K186">
        <f>IF($D186="",0,$E186*INDEX(Aux_HH!$H$4:$H$31,MATCH($A186&amp;"|"&amp;$D186,Aux_HH!$A$4:$A$31,0)))</f>
        <v>0</v>
      </c>
      <c r="L186">
        <f>IF($D186="",0,$E186*INDEX(Aux_HH!$I$4:$I$31,MATCH($A186&amp;"|"&amp;$D186,Aux_HH!$A$4:$A$31,0)))</f>
        <v>0</v>
      </c>
    </row>
    <row r="187" spans="1:12" ht="15" customHeight="1" x14ac:dyDescent="0.4">
      <c r="A187" t="str">
        <f>Premissas!$A$42</f>
        <v>Carregadeira/Pesada</v>
      </c>
      <c r="B187">
        <v>28</v>
      </c>
      <c r="C187">
        <f>INDEX(Semanas!$E$3:$E$54,28)</f>
        <v>3</v>
      </c>
      <c r="D187" t="str">
        <f>Cronograma!AC8</f>
        <v>S</v>
      </c>
      <c r="E187">
        <f>Premissas!$I$42</f>
        <v>73</v>
      </c>
      <c r="F187">
        <f t="shared" si="2"/>
        <v>73</v>
      </c>
      <c r="G187">
        <f>IF($D187="",0,$E187*INDEX(Aux_HH!$D$4:$D$31,MATCH($A187&amp;"|"&amp;$D187,Aux_HH!$A$4:$A$31,0)))</f>
        <v>182.5</v>
      </c>
      <c r="H187">
        <f>IF($D187="",0,$E187*INDEX(Aux_HH!$E$4:$E$31,MATCH($A187&amp;"|"&amp;$D187,Aux_HH!$A$4:$A$31,0)))</f>
        <v>0</v>
      </c>
      <c r="I187">
        <f>IF($D187="",0,$E187*INDEX(Aux_HH!$F$4:$F$31,MATCH($A187&amp;"|"&amp;$D187,Aux_HH!$A$4:$A$31,0)))</f>
        <v>0</v>
      </c>
      <c r="J187">
        <f>IF($D187="",0,$E187*INDEX(Aux_HH!$G$4:$G$31,MATCH($A187&amp;"|"&amp;$D187,Aux_HH!$A$4:$A$31,0)))</f>
        <v>0</v>
      </c>
      <c r="K187">
        <f>IF($D187="",0,$E187*INDEX(Aux_HH!$H$4:$H$31,MATCH($A187&amp;"|"&amp;$D187,Aux_HH!$A$4:$A$31,0)))</f>
        <v>0</v>
      </c>
      <c r="L187">
        <f>IF($D187="",0,$E187*INDEX(Aux_HH!$I$4:$I$31,MATCH($A187&amp;"|"&amp;$D187,Aux_HH!$A$4:$A$31,0)))</f>
        <v>0</v>
      </c>
    </row>
    <row r="188" spans="1:12" ht="15" customHeight="1" x14ac:dyDescent="0.4">
      <c r="A188" t="str">
        <f>Premissas!$A$42</f>
        <v>Carregadeira/Pesada</v>
      </c>
      <c r="B188">
        <v>29</v>
      </c>
      <c r="C188">
        <f>INDEX(Semanas!$E$3:$E$54,29)</f>
        <v>3</v>
      </c>
      <c r="D188" t="str">
        <f>Cronograma!AD8</f>
        <v/>
      </c>
      <c r="E188">
        <f>Premissas!$I$42</f>
        <v>73</v>
      </c>
      <c r="F188">
        <f t="shared" si="2"/>
        <v>0</v>
      </c>
      <c r="G188">
        <f>IF($D188="",0,$E188*INDEX(Aux_HH!$D$4:$D$31,MATCH($A188&amp;"|"&amp;$D188,Aux_HH!$A$4:$A$31,0)))</f>
        <v>0</v>
      </c>
      <c r="H188">
        <f>IF($D188="",0,$E188*INDEX(Aux_HH!$E$4:$E$31,MATCH($A188&amp;"|"&amp;$D188,Aux_HH!$A$4:$A$31,0)))</f>
        <v>0</v>
      </c>
      <c r="I188">
        <f>IF($D188="",0,$E188*INDEX(Aux_HH!$F$4:$F$31,MATCH($A188&amp;"|"&amp;$D188,Aux_HH!$A$4:$A$31,0)))</f>
        <v>0</v>
      </c>
      <c r="J188">
        <f>IF($D188="",0,$E188*INDEX(Aux_HH!$G$4:$G$31,MATCH($A188&amp;"|"&amp;$D188,Aux_HH!$A$4:$A$31,0)))</f>
        <v>0</v>
      </c>
      <c r="K188">
        <f>IF($D188="",0,$E188*INDEX(Aux_HH!$H$4:$H$31,MATCH($A188&amp;"|"&amp;$D188,Aux_HH!$A$4:$A$31,0)))</f>
        <v>0</v>
      </c>
      <c r="L188">
        <f>IF($D188="",0,$E188*INDEX(Aux_HH!$I$4:$I$31,MATCH($A188&amp;"|"&amp;$D188,Aux_HH!$A$4:$A$31,0)))</f>
        <v>0</v>
      </c>
    </row>
    <row r="189" spans="1:12" ht="15" customHeight="1" x14ac:dyDescent="0.4">
      <c r="A189" t="str">
        <f>Premissas!$A$42</f>
        <v>Carregadeira/Pesada</v>
      </c>
      <c r="B189">
        <v>30</v>
      </c>
      <c r="C189">
        <f>INDEX(Semanas!$E$3:$E$54,30)</f>
        <v>3</v>
      </c>
      <c r="D189" t="str">
        <f>Cronograma!AE8</f>
        <v/>
      </c>
      <c r="E189">
        <f>Premissas!$I$42</f>
        <v>73</v>
      </c>
      <c r="F189">
        <f t="shared" si="2"/>
        <v>0</v>
      </c>
      <c r="G189">
        <f>IF($D189="",0,$E189*INDEX(Aux_HH!$D$4:$D$31,MATCH($A189&amp;"|"&amp;$D189,Aux_HH!$A$4:$A$31,0)))</f>
        <v>0</v>
      </c>
      <c r="H189">
        <f>IF($D189="",0,$E189*INDEX(Aux_HH!$E$4:$E$31,MATCH($A189&amp;"|"&amp;$D189,Aux_HH!$A$4:$A$31,0)))</f>
        <v>0</v>
      </c>
      <c r="I189">
        <f>IF($D189="",0,$E189*INDEX(Aux_HH!$F$4:$F$31,MATCH($A189&amp;"|"&amp;$D189,Aux_HH!$A$4:$A$31,0)))</f>
        <v>0</v>
      </c>
      <c r="J189">
        <f>IF($D189="",0,$E189*INDEX(Aux_HH!$G$4:$G$31,MATCH($A189&amp;"|"&amp;$D189,Aux_HH!$A$4:$A$31,0)))</f>
        <v>0</v>
      </c>
      <c r="K189">
        <f>IF($D189="",0,$E189*INDEX(Aux_HH!$H$4:$H$31,MATCH($A189&amp;"|"&amp;$D189,Aux_HH!$A$4:$A$31,0)))</f>
        <v>0</v>
      </c>
      <c r="L189">
        <f>IF($D189="",0,$E189*INDEX(Aux_HH!$I$4:$I$31,MATCH($A189&amp;"|"&amp;$D189,Aux_HH!$A$4:$A$31,0)))</f>
        <v>0</v>
      </c>
    </row>
    <row r="190" spans="1:12" ht="15" customHeight="1" x14ac:dyDescent="0.4">
      <c r="A190" t="str">
        <f>Premissas!$A$42</f>
        <v>Carregadeira/Pesada</v>
      </c>
      <c r="B190">
        <v>31</v>
      </c>
      <c r="C190">
        <f>INDEX(Semanas!$E$3:$E$54,31)</f>
        <v>3</v>
      </c>
      <c r="D190" t="str">
        <f>Cronograma!AF8</f>
        <v/>
      </c>
      <c r="E190">
        <f>Premissas!$I$42</f>
        <v>73</v>
      </c>
      <c r="F190">
        <f t="shared" si="2"/>
        <v>0</v>
      </c>
      <c r="G190">
        <f>IF($D190="",0,$E190*INDEX(Aux_HH!$D$4:$D$31,MATCH($A190&amp;"|"&amp;$D190,Aux_HH!$A$4:$A$31,0)))</f>
        <v>0</v>
      </c>
      <c r="H190">
        <f>IF($D190="",0,$E190*INDEX(Aux_HH!$E$4:$E$31,MATCH($A190&amp;"|"&amp;$D190,Aux_HH!$A$4:$A$31,0)))</f>
        <v>0</v>
      </c>
      <c r="I190">
        <f>IF($D190="",0,$E190*INDEX(Aux_HH!$F$4:$F$31,MATCH($A190&amp;"|"&amp;$D190,Aux_HH!$A$4:$A$31,0)))</f>
        <v>0</v>
      </c>
      <c r="J190">
        <f>IF($D190="",0,$E190*INDEX(Aux_HH!$G$4:$G$31,MATCH($A190&amp;"|"&amp;$D190,Aux_HH!$A$4:$A$31,0)))</f>
        <v>0</v>
      </c>
      <c r="K190">
        <f>IF($D190="",0,$E190*INDEX(Aux_HH!$H$4:$H$31,MATCH($A190&amp;"|"&amp;$D190,Aux_HH!$A$4:$A$31,0)))</f>
        <v>0</v>
      </c>
      <c r="L190">
        <f>IF($D190="",0,$E190*INDEX(Aux_HH!$I$4:$I$31,MATCH($A190&amp;"|"&amp;$D190,Aux_HH!$A$4:$A$31,0)))</f>
        <v>0</v>
      </c>
    </row>
    <row r="191" spans="1:12" ht="15" customHeight="1" x14ac:dyDescent="0.4">
      <c r="A191" t="str">
        <f>Premissas!$A$42</f>
        <v>Carregadeira/Pesada</v>
      </c>
      <c r="B191">
        <v>32</v>
      </c>
      <c r="C191">
        <f>INDEX(Semanas!$E$3:$E$54,32)</f>
        <v>4</v>
      </c>
      <c r="D191" t="str">
        <f>Cronograma!AG8</f>
        <v/>
      </c>
      <c r="E191">
        <f>Premissas!$I$42</f>
        <v>73</v>
      </c>
      <c r="F191">
        <f t="shared" si="2"/>
        <v>0</v>
      </c>
      <c r="G191">
        <f>IF($D191="",0,$E191*INDEX(Aux_HH!$D$4:$D$31,MATCH($A191&amp;"|"&amp;$D191,Aux_HH!$A$4:$A$31,0)))</f>
        <v>0</v>
      </c>
      <c r="H191">
        <f>IF($D191="",0,$E191*INDEX(Aux_HH!$E$4:$E$31,MATCH($A191&amp;"|"&amp;$D191,Aux_HH!$A$4:$A$31,0)))</f>
        <v>0</v>
      </c>
      <c r="I191">
        <f>IF($D191="",0,$E191*INDEX(Aux_HH!$F$4:$F$31,MATCH($A191&amp;"|"&amp;$D191,Aux_HH!$A$4:$A$31,0)))</f>
        <v>0</v>
      </c>
      <c r="J191">
        <f>IF($D191="",0,$E191*INDEX(Aux_HH!$G$4:$G$31,MATCH($A191&amp;"|"&amp;$D191,Aux_HH!$A$4:$A$31,0)))</f>
        <v>0</v>
      </c>
      <c r="K191">
        <f>IF($D191="",0,$E191*INDEX(Aux_HH!$H$4:$H$31,MATCH($A191&amp;"|"&amp;$D191,Aux_HH!$A$4:$A$31,0)))</f>
        <v>0</v>
      </c>
      <c r="L191">
        <f>IF($D191="",0,$E191*INDEX(Aux_HH!$I$4:$I$31,MATCH($A191&amp;"|"&amp;$D191,Aux_HH!$A$4:$A$31,0)))</f>
        <v>0</v>
      </c>
    </row>
    <row r="192" spans="1:12" ht="15" customHeight="1" x14ac:dyDescent="0.4">
      <c r="A192" t="str">
        <f>Premissas!$A$42</f>
        <v>Carregadeira/Pesada</v>
      </c>
      <c r="B192">
        <v>33</v>
      </c>
      <c r="C192">
        <f>INDEX(Semanas!$E$3:$E$54,33)</f>
        <v>4</v>
      </c>
      <c r="D192" t="str">
        <f>Cronograma!AH8</f>
        <v/>
      </c>
      <c r="E192">
        <f>Premissas!$I$42</f>
        <v>73</v>
      </c>
      <c r="F192">
        <f t="shared" si="2"/>
        <v>0</v>
      </c>
      <c r="G192">
        <f>IF($D192="",0,$E192*INDEX(Aux_HH!$D$4:$D$31,MATCH($A192&amp;"|"&amp;$D192,Aux_HH!$A$4:$A$31,0)))</f>
        <v>0</v>
      </c>
      <c r="H192">
        <f>IF($D192="",0,$E192*INDEX(Aux_HH!$E$4:$E$31,MATCH($A192&amp;"|"&amp;$D192,Aux_HH!$A$4:$A$31,0)))</f>
        <v>0</v>
      </c>
      <c r="I192">
        <f>IF($D192="",0,$E192*INDEX(Aux_HH!$F$4:$F$31,MATCH($A192&amp;"|"&amp;$D192,Aux_HH!$A$4:$A$31,0)))</f>
        <v>0</v>
      </c>
      <c r="J192">
        <f>IF($D192="",0,$E192*INDEX(Aux_HH!$G$4:$G$31,MATCH($A192&amp;"|"&amp;$D192,Aux_HH!$A$4:$A$31,0)))</f>
        <v>0</v>
      </c>
      <c r="K192">
        <f>IF($D192="",0,$E192*INDEX(Aux_HH!$H$4:$H$31,MATCH($A192&amp;"|"&amp;$D192,Aux_HH!$A$4:$A$31,0)))</f>
        <v>0</v>
      </c>
      <c r="L192">
        <f>IF($D192="",0,$E192*INDEX(Aux_HH!$I$4:$I$31,MATCH($A192&amp;"|"&amp;$D192,Aux_HH!$A$4:$A$31,0)))</f>
        <v>0</v>
      </c>
    </row>
    <row r="193" spans="1:12" ht="15" customHeight="1" x14ac:dyDescent="0.4">
      <c r="A193" t="str">
        <f>Premissas!$A$42</f>
        <v>Carregadeira/Pesada</v>
      </c>
      <c r="B193">
        <v>34</v>
      </c>
      <c r="C193">
        <f>INDEX(Semanas!$E$3:$E$54,34)</f>
        <v>4</v>
      </c>
      <c r="D193" t="str">
        <f>Cronograma!AI8</f>
        <v/>
      </c>
      <c r="E193">
        <f>Premissas!$I$42</f>
        <v>73</v>
      </c>
      <c r="F193">
        <f t="shared" si="2"/>
        <v>0</v>
      </c>
      <c r="G193">
        <f>IF($D193="",0,$E193*INDEX(Aux_HH!$D$4:$D$31,MATCH($A193&amp;"|"&amp;$D193,Aux_HH!$A$4:$A$31,0)))</f>
        <v>0</v>
      </c>
      <c r="H193">
        <f>IF($D193="",0,$E193*INDEX(Aux_HH!$E$4:$E$31,MATCH($A193&amp;"|"&amp;$D193,Aux_HH!$A$4:$A$31,0)))</f>
        <v>0</v>
      </c>
      <c r="I193">
        <f>IF($D193="",0,$E193*INDEX(Aux_HH!$F$4:$F$31,MATCH($A193&amp;"|"&amp;$D193,Aux_HH!$A$4:$A$31,0)))</f>
        <v>0</v>
      </c>
      <c r="J193">
        <f>IF($D193="",0,$E193*INDEX(Aux_HH!$G$4:$G$31,MATCH($A193&amp;"|"&amp;$D193,Aux_HH!$A$4:$A$31,0)))</f>
        <v>0</v>
      </c>
      <c r="K193">
        <f>IF($D193="",0,$E193*INDEX(Aux_HH!$H$4:$H$31,MATCH($A193&amp;"|"&amp;$D193,Aux_HH!$A$4:$A$31,0)))</f>
        <v>0</v>
      </c>
      <c r="L193">
        <f>IF($D193="",0,$E193*INDEX(Aux_HH!$I$4:$I$31,MATCH($A193&amp;"|"&amp;$D193,Aux_HH!$A$4:$A$31,0)))</f>
        <v>0</v>
      </c>
    </row>
    <row r="194" spans="1:12" ht="15" customHeight="1" x14ac:dyDescent="0.4">
      <c r="A194" t="str">
        <f>Premissas!$A$42</f>
        <v>Carregadeira/Pesada</v>
      </c>
      <c r="B194">
        <v>35</v>
      </c>
      <c r="C194">
        <f>INDEX(Semanas!$E$3:$E$54,35)</f>
        <v>4</v>
      </c>
      <c r="D194" t="str">
        <f>Cronograma!AJ8</f>
        <v/>
      </c>
      <c r="E194">
        <f>Premissas!$I$42</f>
        <v>73</v>
      </c>
      <c r="F194">
        <f t="shared" si="2"/>
        <v>0</v>
      </c>
      <c r="G194">
        <f>IF($D194="",0,$E194*INDEX(Aux_HH!$D$4:$D$31,MATCH($A194&amp;"|"&amp;$D194,Aux_HH!$A$4:$A$31,0)))</f>
        <v>0</v>
      </c>
      <c r="H194">
        <f>IF($D194="",0,$E194*INDEX(Aux_HH!$E$4:$E$31,MATCH($A194&amp;"|"&amp;$D194,Aux_HH!$A$4:$A$31,0)))</f>
        <v>0</v>
      </c>
      <c r="I194">
        <f>IF($D194="",0,$E194*INDEX(Aux_HH!$F$4:$F$31,MATCH($A194&amp;"|"&amp;$D194,Aux_HH!$A$4:$A$31,0)))</f>
        <v>0</v>
      </c>
      <c r="J194">
        <f>IF($D194="",0,$E194*INDEX(Aux_HH!$G$4:$G$31,MATCH($A194&amp;"|"&amp;$D194,Aux_HH!$A$4:$A$31,0)))</f>
        <v>0</v>
      </c>
      <c r="K194">
        <f>IF($D194="",0,$E194*INDEX(Aux_HH!$H$4:$H$31,MATCH($A194&amp;"|"&amp;$D194,Aux_HH!$A$4:$A$31,0)))</f>
        <v>0</v>
      </c>
      <c r="L194">
        <f>IF($D194="",0,$E194*INDEX(Aux_HH!$I$4:$I$31,MATCH($A194&amp;"|"&amp;$D194,Aux_HH!$A$4:$A$31,0)))</f>
        <v>0</v>
      </c>
    </row>
    <row r="195" spans="1:12" ht="15" customHeight="1" x14ac:dyDescent="0.4">
      <c r="A195" t="str">
        <f>Premissas!$A$42</f>
        <v>Carregadeira/Pesada</v>
      </c>
      <c r="B195">
        <v>36</v>
      </c>
      <c r="C195">
        <f>INDEX(Semanas!$E$3:$E$54,36)</f>
        <v>5</v>
      </c>
      <c r="D195" t="str">
        <f>Cronograma!AK8</f>
        <v/>
      </c>
      <c r="E195">
        <f>Premissas!$I$42</f>
        <v>73</v>
      </c>
      <c r="F195">
        <f t="shared" si="2"/>
        <v>0</v>
      </c>
      <c r="G195">
        <f>IF($D195="",0,$E195*INDEX(Aux_HH!$D$4:$D$31,MATCH($A195&amp;"|"&amp;$D195,Aux_HH!$A$4:$A$31,0)))</f>
        <v>0</v>
      </c>
      <c r="H195">
        <f>IF($D195="",0,$E195*INDEX(Aux_HH!$E$4:$E$31,MATCH($A195&amp;"|"&amp;$D195,Aux_HH!$A$4:$A$31,0)))</f>
        <v>0</v>
      </c>
      <c r="I195">
        <f>IF($D195="",0,$E195*INDEX(Aux_HH!$F$4:$F$31,MATCH($A195&amp;"|"&amp;$D195,Aux_HH!$A$4:$A$31,0)))</f>
        <v>0</v>
      </c>
      <c r="J195">
        <f>IF($D195="",0,$E195*INDEX(Aux_HH!$G$4:$G$31,MATCH($A195&amp;"|"&amp;$D195,Aux_HH!$A$4:$A$31,0)))</f>
        <v>0</v>
      </c>
      <c r="K195">
        <f>IF($D195="",0,$E195*INDEX(Aux_HH!$H$4:$H$31,MATCH($A195&amp;"|"&amp;$D195,Aux_HH!$A$4:$A$31,0)))</f>
        <v>0</v>
      </c>
      <c r="L195">
        <f>IF($D195="",0,$E195*INDEX(Aux_HH!$I$4:$I$31,MATCH($A195&amp;"|"&amp;$D195,Aux_HH!$A$4:$A$31,0)))</f>
        <v>0</v>
      </c>
    </row>
    <row r="196" spans="1:12" ht="15" customHeight="1" x14ac:dyDescent="0.4">
      <c r="A196" t="str">
        <f>Premissas!$A$42</f>
        <v>Carregadeira/Pesada</v>
      </c>
      <c r="B196">
        <v>37</v>
      </c>
      <c r="C196">
        <f>INDEX(Semanas!$E$3:$E$54,37)</f>
        <v>5</v>
      </c>
      <c r="D196" t="str">
        <f>Cronograma!AL8</f>
        <v/>
      </c>
      <c r="E196">
        <f>Premissas!$I$42</f>
        <v>73</v>
      </c>
      <c r="F196">
        <f t="shared" ref="F196:F259" si="3">IF($D196="",0,$E196)</f>
        <v>0</v>
      </c>
      <c r="G196">
        <f>IF($D196="",0,$E196*INDEX(Aux_HH!$D$4:$D$31,MATCH($A196&amp;"|"&amp;$D196,Aux_HH!$A$4:$A$31,0)))</f>
        <v>0</v>
      </c>
      <c r="H196">
        <f>IF($D196="",0,$E196*INDEX(Aux_HH!$E$4:$E$31,MATCH($A196&amp;"|"&amp;$D196,Aux_HH!$A$4:$A$31,0)))</f>
        <v>0</v>
      </c>
      <c r="I196">
        <f>IF($D196="",0,$E196*INDEX(Aux_HH!$F$4:$F$31,MATCH($A196&amp;"|"&amp;$D196,Aux_HH!$A$4:$A$31,0)))</f>
        <v>0</v>
      </c>
      <c r="J196">
        <f>IF($D196="",0,$E196*INDEX(Aux_HH!$G$4:$G$31,MATCH($A196&amp;"|"&amp;$D196,Aux_HH!$A$4:$A$31,0)))</f>
        <v>0</v>
      </c>
      <c r="K196">
        <f>IF($D196="",0,$E196*INDEX(Aux_HH!$H$4:$H$31,MATCH($A196&amp;"|"&amp;$D196,Aux_HH!$A$4:$A$31,0)))</f>
        <v>0</v>
      </c>
      <c r="L196">
        <f>IF($D196="",0,$E196*INDEX(Aux_HH!$I$4:$I$31,MATCH($A196&amp;"|"&amp;$D196,Aux_HH!$A$4:$A$31,0)))</f>
        <v>0</v>
      </c>
    </row>
    <row r="197" spans="1:12" ht="15" customHeight="1" x14ac:dyDescent="0.4">
      <c r="A197" t="str">
        <f>Premissas!$A$42</f>
        <v>Carregadeira/Pesada</v>
      </c>
      <c r="B197">
        <v>38</v>
      </c>
      <c r="C197">
        <f>INDEX(Semanas!$E$3:$E$54,38)</f>
        <v>5</v>
      </c>
      <c r="D197" t="str">
        <f>Cronograma!AM8</f>
        <v/>
      </c>
      <c r="E197">
        <f>Premissas!$I$42</f>
        <v>73</v>
      </c>
      <c r="F197">
        <f t="shared" si="3"/>
        <v>0</v>
      </c>
      <c r="G197">
        <f>IF($D197="",0,$E197*INDEX(Aux_HH!$D$4:$D$31,MATCH($A197&amp;"|"&amp;$D197,Aux_HH!$A$4:$A$31,0)))</f>
        <v>0</v>
      </c>
      <c r="H197">
        <f>IF($D197="",0,$E197*INDEX(Aux_HH!$E$4:$E$31,MATCH($A197&amp;"|"&amp;$D197,Aux_HH!$A$4:$A$31,0)))</f>
        <v>0</v>
      </c>
      <c r="I197">
        <f>IF($D197="",0,$E197*INDEX(Aux_HH!$F$4:$F$31,MATCH($A197&amp;"|"&amp;$D197,Aux_HH!$A$4:$A$31,0)))</f>
        <v>0</v>
      </c>
      <c r="J197">
        <f>IF($D197="",0,$E197*INDEX(Aux_HH!$G$4:$G$31,MATCH($A197&amp;"|"&amp;$D197,Aux_HH!$A$4:$A$31,0)))</f>
        <v>0</v>
      </c>
      <c r="K197">
        <f>IF($D197="",0,$E197*INDEX(Aux_HH!$H$4:$H$31,MATCH($A197&amp;"|"&amp;$D197,Aux_HH!$A$4:$A$31,0)))</f>
        <v>0</v>
      </c>
      <c r="L197">
        <f>IF($D197="",0,$E197*INDEX(Aux_HH!$I$4:$I$31,MATCH($A197&amp;"|"&amp;$D197,Aux_HH!$A$4:$A$31,0)))</f>
        <v>0</v>
      </c>
    </row>
    <row r="198" spans="1:12" ht="15" customHeight="1" x14ac:dyDescent="0.4">
      <c r="A198" t="str">
        <f>Premissas!$A$42</f>
        <v>Carregadeira/Pesada</v>
      </c>
      <c r="B198">
        <v>39</v>
      </c>
      <c r="C198">
        <f>INDEX(Semanas!$E$3:$E$54,39)</f>
        <v>5</v>
      </c>
      <c r="D198" t="str">
        <f>Cronograma!AN8</f>
        <v/>
      </c>
      <c r="E198">
        <f>Premissas!$I$42</f>
        <v>73</v>
      </c>
      <c r="F198">
        <f t="shared" si="3"/>
        <v>0</v>
      </c>
      <c r="G198">
        <f>IF($D198="",0,$E198*INDEX(Aux_HH!$D$4:$D$31,MATCH($A198&amp;"|"&amp;$D198,Aux_HH!$A$4:$A$31,0)))</f>
        <v>0</v>
      </c>
      <c r="H198">
        <f>IF($D198="",0,$E198*INDEX(Aux_HH!$E$4:$E$31,MATCH($A198&amp;"|"&amp;$D198,Aux_HH!$A$4:$A$31,0)))</f>
        <v>0</v>
      </c>
      <c r="I198">
        <f>IF($D198="",0,$E198*INDEX(Aux_HH!$F$4:$F$31,MATCH($A198&amp;"|"&amp;$D198,Aux_HH!$A$4:$A$31,0)))</f>
        <v>0</v>
      </c>
      <c r="J198">
        <f>IF($D198="",0,$E198*INDEX(Aux_HH!$G$4:$G$31,MATCH($A198&amp;"|"&amp;$D198,Aux_HH!$A$4:$A$31,0)))</f>
        <v>0</v>
      </c>
      <c r="K198">
        <f>IF($D198="",0,$E198*INDEX(Aux_HH!$H$4:$H$31,MATCH($A198&amp;"|"&amp;$D198,Aux_HH!$A$4:$A$31,0)))</f>
        <v>0</v>
      </c>
      <c r="L198">
        <f>IF($D198="",0,$E198*INDEX(Aux_HH!$I$4:$I$31,MATCH($A198&amp;"|"&amp;$D198,Aux_HH!$A$4:$A$31,0)))</f>
        <v>0</v>
      </c>
    </row>
    <row r="199" spans="1:12" ht="15" customHeight="1" x14ac:dyDescent="0.4">
      <c r="A199" t="str">
        <f>Premissas!$A$42</f>
        <v>Carregadeira/Pesada</v>
      </c>
      <c r="B199">
        <v>40</v>
      </c>
      <c r="C199">
        <f>INDEX(Semanas!$E$3:$E$54,40)</f>
        <v>6</v>
      </c>
      <c r="D199" t="str">
        <f>Cronograma!AO8</f>
        <v/>
      </c>
      <c r="E199">
        <f>Premissas!$I$42</f>
        <v>73</v>
      </c>
      <c r="F199">
        <f t="shared" si="3"/>
        <v>0</v>
      </c>
      <c r="G199">
        <f>IF($D199="",0,$E199*INDEX(Aux_HH!$D$4:$D$31,MATCH($A199&amp;"|"&amp;$D199,Aux_HH!$A$4:$A$31,0)))</f>
        <v>0</v>
      </c>
      <c r="H199">
        <f>IF($D199="",0,$E199*INDEX(Aux_HH!$E$4:$E$31,MATCH($A199&amp;"|"&amp;$D199,Aux_HH!$A$4:$A$31,0)))</f>
        <v>0</v>
      </c>
      <c r="I199">
        <f>IF($D199="",0,$E199*INDEX(Aux_HH!$F$4:$F$31,MATCH($A199&amp;"|"&amp;$D199,Aux_HH!$A$4:$A$31,0)))</f>
        <v>0</v>
      </c>
      <c r="J199">
        <f>IF($D199="",0,$E199*INDEX(Aux_HH!$G$4:$G$31,MATCH($A199&amp;"|"&amp;$D199,Aux_HH!$A$4:$A$31,0)))</f>
        <v>0</v>
      </c>
      <c r="K199">
        <f>IF($D199="",0,$E199*INDEX(Aux_HH!$H$4:$H$31,MATCH($A199&amp;"|"&amp;$D199,Aux_HH!$A$4:$A$31,0)))</f>
        <v>0</v>
      </c>
      <c r="L199">
        <f>IF($D199="",0,$E199*INDEX(Aux_HH!$I$4:$I$31,MATCH($A199&amp;"|"&amp;$D199,Aux_HH!$A$4:$A$31,0)))</f>
        <v>0</v>
      </c>
    </row>
    <row r="200" spans="1:12" ht="15" customHeight="1" x14ac:dyDescent="0.4">
      <c r="A200" t="str">
        <f>Premissas!$A$42</f>
        <v>Carregadeira/Pesada</v>
      </c>
      <c r="B200">
        <v>41</v>
      </c>
      <c r="C200">
        <f>INDEX(Semanas!$E$3:$E$54,41)</f>
        <v>6</v>
      </c>
      <c r="D200" t="str">
        <f>Cronograma!AP8</f>
        <v/>
      </c>
      <c r="E200">
        <f>Premissas!$I$42</f>
        <v>73</v>
      </c>
      <c r="F200">
        <f t="shared" si="3"/>
        <v>0</v>
      </c>
      <c r="G200">
        <f>IF($D200="",0,$E200*INDEX(Aux_HH!$D$4:$D$31,MATCH($A200&amp;"|"&amp;$D200,Aux_HH!$A$4:$A$31,0)))</f>
        <v>0</v>
      </c>
      <c r="H200">
        <f>IF($D200="",0,$E200*INDEX(Aux_HH!$E$4:$E$31,MATCH($A200&amp;"|"&amp;$D200,Aux_HH!$A$4:$A$31,0)))</f>
        <v>0</v>
      </c>
      <c r="I200">
        <f>IF($D200="",0,$E200*INDEX(Aux_HH!$F$4:$F$31,MATCH($A200&amp;"|"&amp;$D200,Aux_HH!$A$4:$A$31,0)))</f>
        <v>0</v>
      </c>
      <c r="J200">
        <f>IF($D200="",0,$E200*INDEX(Aux_HH!$G$4:$G$31,MATCH($A200&amp;"|"&amp;$D200,Aux_HH!$A$4:$A$31,0)))</f>
        <v>0</v>
      </c>
      <c r="K200">
        <f>IF($D200="",0,$E200*INDEX(Aux_HH!$H$4:$H$31,MATCH($A200&amp;"|"&amp;$D200,Aux_HH!$A$4:$A$31,0)))</f>
        <v>0</v>
      </c>
      <c r="L200">
        <f>IF($D200="",0,$E200*INDEX(Aux_HH!$I$4:$I$31,MATCH($A200&amp;"|"&amp;$D200,Aux_HH!$A$4:$A$31,0)))</f>
        <v>0</v>
      </c>
    </row>
    <row r="201" spans="1:12" ht="15" customHeight="1" x14ac:dyDescent="0.4">
      <c r="A201" t="str">
        <f>Premissas!$A$42</f>
        <v>Carregadeira/Pesada</v>
      </c>
      <c r="B201">
        <v>42</v>
      </c>
      <c r="C201">
        <f>INDEX(Semanas!$E$3:$E$54,42)</f>
        <v>6</v>
      </c>
      <c r="D201" t="str">
        <f>Cronograma!AQ8</f>
        <v>A</v>
      </c>
      <c r="E201">
        <f>Premissas!$I$42</f>
        <v>73</v>
      </c>
      <c r="F201">
        <f t="shared" si="3"/>
        <v>73</v>
      </c>
      <c r="G201">
        <f>IF($D201="",0,$E201*INDEX(Aux_HH!$D$4:$D$31,MATCH($A201&amp;"|"&amp;$D201,Aux_HH!$A$4:$A$31,0)))</f>
        <v>328.5</v>
      </c>
      <c r="H201">
        <f>IF($D201="",0,$E201*INDEX(Aux_HH!$E$4:$E$31,MATCH($A201&amp;"|"&amp;$D201,Aux_HH!$A$4:$A$31,0)))</f>
        <v>0</v>
      </c>
      <c r="I201">
        <f>IF($D201="",0,$E201*INDEX(Aux_HH!$F$4:$F$31,MATCH($A201&amp;"|"&amp;$D201,Aux_HH!$A$4:$A$31,0)))</f>
        <v>0</v>
      </c>
      <c r="J201">
        <f>IF($D201="",0,$E201*INDEX(Aux_HH!$G$4:$G$31,MATCH($A201&amp;"|"&amp;$D201,Aux_HH!$A$4:$A$31,0)))</f>
        <v>0</v>
      </c>
      <c r="K201">
        <f>IF($D201="",0,$E201*INDEX(Aux_HH!$H$4:$H$31,MATCH($A201&amp;"|"&amp;$D201,Aux_HH!$A$4:$A$31,0)))</f>
        <v>0</v>
      </c>
      <c r="L201">
        <f>IF($D201="",0,$E201*INDEX(Aux_HH!$I$4:$I$31,MATCH($A201&amp;"|"&amp;$D201,Aux_HH!$A$4:$A$31,0)))</f>
        <v>0</v>
      </c>
    </row>
    <row r="202" spans="1:12" ht="15" customHeight="1" x14ac:dyDescent="0.4">
      <c r="A202" t="str">
        <f>Premissas!$A$42</f>
        <v>Carregadeira/Pesada</v>
      </c>
      <c r="B202">
        <v>43</v>
      </c>
      <c r="C202">
        <f>INDEX(Semanas!$E$3:$E$54,43)</f>
        <v>6</v>
      </c>
      <c r="D202" t="str">
        <f>Cronograma!AR8</f>
        <v/>
      </c>
      <c r="E202">
        <f>Premissas!$I$42</f>
        <v>73</v>
      </c>
      <c r="F202">
        <f t="shared" si="3"/>
        <v>0</v>
      </c>
      <c r="G202">
        <f>IF($D202="",0,$E202*INDEX(Aux_HH!$D$4:$D$31,MATCH($A202&amp;"|"&amp;$D202,Aux_HH!$A$4:$A$31,0)))</f>
        <v>0</v>
      </c>
      <c r="H202">
        <f>IF($D202="",0,$E202*INDEX(Aux_HH!$E$4:$E$31,MATCH($A202&amp;"|"&amp;$D202,Aux_HH!$A$4:$A$31,0)))</f>
        <v>0</v>
      </c>
      <c r="I202">
        <f>IF($D202="",0,$E202*INDEX(Aux_HH!$F$4:$F$31,MATCH($A202&amp;"|"&amp;$D202,Aux_HH!$A$4:$A$31,0)))</f>
        <v>0</v>
      </c>
      <c r="J202">
        <f>IF($D202="",0,$E202*INDEX(Aux_HH!$G$4:$G$31,MATCH($A202&amp;"|"&amp;$D202,Aux_HH!$A$4:$A$31,0)))</f>
        <v>0</v>
      </c>
      <c r="K202">
        <f>IF($D202="",0,$E202*INDEX(Aux_HH!$H$4:$H$31,MATCH($A202&amp;"|"&amp;$D202,Aux_HH!$A$4:$A$31,0)))</f>
        <v>0</v>
      </c>
      <c r="L202">
        <f>IF($D202="",0,$E202*INDEX(Aux_HH!$I$4:$I$31,MATCH($A202&amp;"|"&amp;$D202,Aux_HH!$A$4:$A$31,0)))</f>
        <v>0</v>
      </c>
    </row>
    <row r="203" spans="1:12" ht="15" customHeight="1" x14ac:dyDescent="0.4">
      <c r="A203" t="str">
        <f>Premissas!$A$42</f>
        <v>Carregadeira/Pesada</v>
      </c>
      <c r="B203">
        <v>44</v>
      </c>
      <c r="C203">
        <f>INDEX(Semanas!$E$3:$E$54,44)</f>
        <v>6</v>
      </c>
      <c r="D203" t="str">
        <f>Cronograma!AS8</f>
        <v/>
      </c>
      <c r="E203">
        <f>Premissas!$I$42</f>
        <v>73</v>
      </c>
      <c r="F203">
        <f t="shared" si="3"/>
        <v>0</v>
      </c>
      <c r="G203">
        <f>IF($D203="",0,$E203*INDEX(Aux_HH!$D$4:$D$31,MATCH($A203&amp;"|"&amp;$D203,Aux_HH!$A$4:$A$31,0)))</f>
        <v>0</v>
      </c>
      <c r="H203">
        <f>IF($D203="",0,$E203*INDEX(Aux_HH!$E$4:$E$31,MATCH($A203&amp;"|"&amp;$D203,Aux_HH!$A$4:$A$31,0)))</f>
        <v>0</v>
      </c>
      <c r="I203">
        <f>IF($D203="",0,$E203*INDEX(Aux_HH!$F$4:$F$31,MATCH($A203&amp;"|"&amp;$D203,Aux_HH!$A$4:$A$31,0)))</f>
        <v>0</v>
      </c>
      <c r="J203">
        <f>IF($D203="",0,$E203*INDEX(Aux_HH!$G$4:$G$31,MATCH($A203&amp;"|"&amp;$D203,Aux_HH!$A$4:$A$31,0)))</f>
        <v>0</v>
      </c>
      <c r="K203">
        <f>IF($D203="",0,$E203*INDEX(Aux_HH!$H$4:$H$31,MATCH($A203&amp;"|"&amp;$D203,Aux_HH!$A$4:$A$31,0)))</f>
        <v>0</v>
      </c>
      <c r="L203">
        <f>IF($D203="",0,$E203*INDEX(Aux_HH!$I$4:$I$31,MATCH($A203&amp;"|"&amp;$D203,Aux_HH!$A$4:$A$31,0)))</f>
        <v>0</v>
      </c>
    </row>
    <row r="204" spans="1:12" ht="15" customHeight="1" x14ac:dyDescent="0.4">
      <c r="A204" t="str">
        <f>Premissas!$A$42</f>
        <v>Carregadeira/Pesada</v>
      </c>
      <c r="B204">
        <v>45</v>
      </c>
      <c r="C204">
        <f>INDEX(Semanas!$E$3:$E$54,45)</f>
        <v>7</v>
      </c>
      <c r="D204" t="str">
        <f>Cronograma!AT8</f>
        <v/>
      </c>
      <c r="E204">
        <f>Premissas!$I$42</f>
        <v>73</v>
      </c>
      <c r="F204">
        <f t="shared" si="3"/>
        <v>0</v>
      </c>
      <c r="G204">
        <f>IF($D204="",0,$E204*INDEX(Aux_HH!$D$4:$D$31,MATCH($A204&amp;"|"&amp;$D204,Aux_HH!$A$4:$A$31,0)))</f>
        <v>0</v>
      </c>
      <c r="H204">
        <f>IF($D204="",0,$E204*INDEX(Aux_HH!$E$4:$E$31,MATCH($A204&amp;"|"&amp;$D204,Aux_HH!$A$4:$A$31,0)))</f>
        <v>0</v>
      </c>
      <c r="I204">
        <f>IF($D204="",0,$E204*INDEX(Aux_HH!$F$4:$F$31,MATCH($A204&amp;"|"&amp;$D204,Aux_HH!$A$4:$A$31,0)))</f>
        <v>0</v>
      </c>
      <c r="J204">
        <f>IF($D204="",0,$E204*INDEX(Aux_HH!$G$4:$G$31,MATCH($A204&amp;"|"&amp;$D204,Aux_HH!$A$4:$A$31,0)))</f>
        <v>0</v>
      </c>
      <c r="K204">
        <f>IF($D204="",0,$E204*INDEX(Aux_HH!$H$4:$H$31,MATCH($A204&amp;"|"&amp;$D204,Aux_HH!$A$4:$A$31,0)))</f>
        <v>0</v>
      </c>
      <c r="L204">
        <f>IF($D204="",0,$E204*INDEX(Aux_HH!$I$4:$I$31,MATCH($A204&amp;"|"&amp;$D204,Aux_HH!$A$4:$A$31,0)))</f>
        <v>0</v>
      </c>
    </row>
    <row r="205" spans="1:12" ht="15" customHeight="1" x14ac:dyDescent="0.4">
      <c r="A205" t="str">
        <f>Premissas!$A$42</f>
        <v>Carregadeira/Pesada</v>
      </c>
      <c r="B205">
        <v>46</v>
      </c>
      <c r="C205">
        <f>INDEX(Semanas!$E$3:$E$54,46)</f>
        <v>7</v>
      </c>
      <c r="D205" t="str">
        <f>Cronograma!AU8</f>
        <v/>
      </c>
      <c r="E205">
        <f>Premissas!$I$42</f>
        <v>73</v>
      </c>
      <c r="F205">
        <f t="shared" si="3"/>
        <v>0</v>
      </c>
      <c r="G205">
        <f>IF($D205="",0,$E205*INDEX(Aux_HH!$D$4:$D$31,MATCH($A205&amp;"|"&amp;$D205,Aux_HH!$A$4:$A$31,0)))</f>
        <v>0</v>
      </c>
      <c r="H205">
        <f>IF($D205="",0,$E205*INDEX(Aux_HH!$E$4:$E$31,MATCH($A205&amp;"|"&amp;$D205,Aux_HH!$A$4:$A$31,0)))</f>
        <v>0</v>
      </c>
      <c r="I205">
        <f>IF($D205="",0,$E205*INDEX(Aux_HH!$F$4:$F$31,MATCH($A205&amp;"|"&amp;$D205,Aux_HH!$A$4:$A$31,0)))</f>
        <v>0</v>
      </c>
      <c r="J205">
        <f>IF($D205="",0,$E205*INDEX(Aux_HH!$G$4:$G$31,MATCH($A205&amp;"|"&amp;$D205,Aux_HH!$A$4:$A$31,0)))</f>
        <v>0</v>
      </c>
      <c r="K205">
        <f>IF($D205="",0,$E205*INDEX(Aux_HH!$H$4:$H$31,MATCH($A205&amp;"|"&amp;$D205,Aux_HH!$A$4:$A$31,0)))</f>
        <v>0</v>
      </c>
      <c r="L205">
        <f>IF($D205="",0,$E205*INDEX(Aux_HH!$I$4:$I$31,MATCH($A205&amp;"|"&amp;$D205,Aux_HH!$A$4:$A$31,0)))</f>
        <v>0</v>
      </c>
    </row>
    <row r="206" spans="1:12" ht="15" customHeight="1" x14ac:dyDescent="0.4">
      <c r="A206" t="str">
        <f>Premissas!$A$42</f>
        <v>Carregadeira/Pesada</v>
      </c>
      <c r="B206">
        <v>47</v>
      </c>
      <c r="C206">
        <f>INDEX(Semanas!$E$3:$E$54,47)</f>
        <v>7</v>
      </c>
      <c r="D206" t="str">
        <f>Cronograma!AV8</f>
        <v/>
      </c>
      <c r="E206">
        <f>Premissas!$I$42</f>
        <v>73</v>
      </c>
      <c r="F206">
        <f t="shared" si="3"/>
        <v>0</v>
      </c>
      <c r="G206">
        <f>IF($D206="",0,$E206*INDEX(Aux_HH!$D$4:$D$31,MATCH($A206&amp;"|"&amp;$D206,Aux_HH!$A$4:$A$31,0)))</f>
        <v>0</v>
      </c>
      <c r="H206">
        <f>IF($D206="",0,$E206*INDEX(Aux_HH!$E$4:$E$31,MATCH($A206&amp;"|"&amp;$D206,Aux_HH!$A$4:$A$31,0)))</f>
        <v>0</v>
      </c>
      <c r="I206">
        <f>IF($D206="",0,$E206*INDEX(Aux_HH!$F$4:$F$31,MATCH($A206&amp;"|"&amp;$D206,Aux_HH!$A$4:$A$31,0)))</f>
        <v>0</v>
      </c>
      <c r="J206">
        <f>IF($D206="",0,$E206*INDEX(Aux_HH!$G$4:$G$31,MATCH($A206&amp;"|"&amp;$D206,Aux_HH!$A$4:$A$31,0)))</f>
        <v>0</v>
      </c>
      <c r="K206">
        <f>IF($D206="",0,$E206*INDEX(Aux_HH!$H$4:$H$31,MATCH($A206&amp;"|"&amp;$D206,Aux_HH!$A$4:$A$31,0)))</f>
        <v>0</v>
      </c>
      <c r="L206">
        <f>IF($D206="",0,$E206*INDEX(Aux_HH!$I$4:$I$31,MATCH($A206&amp;"|"&amp;$D206,Aux_HH!$A$4:$A$31,0)))</f>
        <v>0</v>
      </c>
    </row>
    <row r="207" spans="1:12" ht="15" customHeight="1" x14ac:dyDescent="0.4">
      <c r="A207" t="str">
        <f>Premissas!$A$42</f>
        <v>Carregadeira/Pesada</v>
      </c>
      <c r="B207">
        <v>48</v>
      </c>
      <c r="C207">
        <f>INDEX(Semanas!$E$3:$E$54,48)</f>
        <v>7</v>
      </c>
      <c r="D207" t="str">
        <f>Cronograma!AW8</f>
        <v/>
      </c>
      <c r="E207">
        <f>Premissas!$I$42</f>
        <v>73</v>
      </c>
      <c r="F207">
        <f t="shared" si="3"/>
        <v>0</v>
      </c>
      <c r="G207">
        <f>IF($D207="",0,$E207*INDEX(Aux_HH!$D$4:$D$31,MATCH($A207&amp;"|"&amp;$D207,Aux_HH!$A$4:$A$31,0)))</f>
        <v>0</v>
      </c>
      <c r="H207">
        <f>IF($D207="",0,$E207*INDEX(Aux_HH!$E$4:$E$31,MATCH($A207&amp;"|"&amp;$D207,Aux_HH!$A$4:$A$31,0)))</f>
        <v>0</v>
      </c>
      <c r="I207">
        <f>IF($D207="",0,$E207*INDEX(Aux_HH!$F$4:$F$31,MATCH($A207&amp;"|"&amp;$D207,Aux_HH!$A$4:$A$31,0)))</f>
        <v>0</v>
      </c>
      <c r="J207">
        <f>IF($D207="",0,$E207*INDEX(Aux_HH!$G$4:$G$31,MATCH($A207&amp;"|"&amp;$D207,Aux_HH!$A$4:$A$31,0)))</f>
        <v>0</v>
      </c>
      <c r="K207">
        <f>IF($D207="",0,$E207*INDEX(Aux_HH!$H$4:$H$31,MATCH($A207&amp;"|"&amp;$D207,Aux_HH!$A$4:$A$31,0)))</f>
        <v>0</v>
      </c>
      <c r="L207">
        <f>IF($D207="",0,$E207*INDEX(Aux_HH!$I$4:$I$31,MATCH($A207&amp;"|"&amp;$D207,Aux_HH!$A$4:$A$31,0)))</f>
        <v>0</v>
      </c>
    </row>
    <row r="208" spans="1:12" ht="15" customHeight="1" x14ac:dyDescent="0.4">
      <c r="A208" t="str">
        <f>Premissas!$A$42</f>
        <v>Carregadeira/Pesada</v>
      </c>
      <c r="B208">
        <v>49</v>
      </c>
      <c r="C208">
        <f>INDEX(Semanas!$E$3:$E$54,49)</f>
        <v>8</v>
      </c>
      <c r="D208" t="str">
        <f>Cronograma!AX8</f>
        <v/>
      </c>
      <c r="E208">
        <f>Premissas!$I$42</f>
        <v>73</v>
      </c>
      <c r="F208">
        <f t="shared" si="3"/>
        <v>0</v>
      </c>
      <c r="G208">
        <f>IF($D208="",0,$E208*INDEX(Aux_HH!$D$4:$D$31,MATCH($A208&amp;"|"&amp;$D208,Aux_HH!$A$4:$A$31,0)))</f>
        <v>0</v>
      </c>
      <c r="H208">
        <f>IF($D208="",0,$E208*INDEX(Aux_HH!$E$4:$E$31,MATCH($A208&amp;"|"&amp;$D208,Aux_HH!$A$4:$A$31,0)))</f>
        <v>0</v>
      </c>
      <c r="I208">
        <f>IF($D208="",0,$E208*INDEX(Aux_HH!$F$4:$F$31,MATCH($A208&amp;"|"&amp;$D208,Aux_HH!$A$4:$A$31,0)))</f>
        <v>0</v>
      </c>
      <c r="J208">
        <f>IF($D208="",0,$E208*INDEX(Aux_HH!$G$4:$G$31,MATCH($A208&amp;"|"&amp;$D208,Aux_HH!$A$4:$A$31,0)))</f>
        <v>0</v>
      </c>
      <c r="K208">
        <f>IF($D208="",0,$E208*INDEX(Aux_HH!$H$4:$H$31,MATCH($A208&amp;"|"&amp;$D208,Aux_HH!$A$4:$A$31,0)))</f>
        <v>0</v>
      </c>
      <c r="L208">
        <f>IF($D208="",0,$E208*INDEX(Aux_HH!$I$4:$I$31,MATCH($A208&amp;"|"&amp;$D208,Aux_HH!$A$4:$A$31,0)))</f>
        <v>0</v>
      </c>
    </row>
    <row r="209" spans="1:12" ht="15" customHeight="1" x14ac:dyDescent="0.4">
      <c r="A209" t="str">
        <f>Premissas!$A$42</f>
        <v>Carregadeira/Pesada</v>
      </c>
      <c r="B209">
        <v>50</v>
      </c>
      <c r="C209">
        <f>INDEX(Semanas!$E$3:$E$54,50)</f>
        <v>8</v>
      </c>
      <c r="D209" t="str">
        <f>Cronograma!AY8</f>
        <v/>
      </c>
      <c r="E209">
        <f>Premissas!$I$42</f>
        <v>73</v>
      </c>
      <c r="F209">
        <f t="shared" si="3"/>
        <v>0</v>
      </c>
      <c r="G209">
        <f>IF($D209="",0,$E209*INDEX(Aux_HH!$D$4:$D$31,MATCH($A209&amp;"|"&amp;$D209,Aux_HH!$A$4:$A$31,0)))</f>
        <v>0</v>
      </c>
      <c r="H209">
        <f>IF($D209="",0,$E209*INDEX(Aux_HH!$E$4:$E$31,MATCH($A209&amp;"|"&amp;$D209,Aux_HH!$A$4:$A$31,0)))</f>
        <v>0</v>
      </c>
      <c r="I209">
        <f>IF($D209="",0,$E209*INDEX(Aux_HH!$F$4:$F$31,MATCH($A209&amp;"|"&amp;$D209,Aux_HH!$A$4:$A$31,0)))</f>
        <v>0</v>
      </c>
      <c r="J209">
        <f>IF($D209="",0,$E209*INDEX(Aux_HH!$G$4:$G$31,MATCH($A209&amp;"|"&amp;$D209,Aux_HH!$A$4:$A$31,0)))</f>
        <v>0</v>
      </c>
      <c r="K209">
        <f>IF($D209="",0,$E209*INDEX(Aux_HH!$H$4:$H$31,MATCH($A209&amp;"|"&amp;$D209,Aux_HH!$A$4:$A$31,0)))</f>
        <v>0</v>
      </c>
      <c r="L209">
        <f>IF($D209="",0,$E209*INDEX(Aux_HH!$I$4:$I$31,MATCH($A209&amp;"|"&amp;$D209,Aux_HH!$A$4:$A$31,0)))</f>
        <v>0</v>
      </c>
    </row>
    <row r="210" spans="1:12" ht="15" customHeight="1" x14ac:dyDescent="0.4">
      <c r="A210" t="str">
        <f>Premissas!$A$42</f>
        <v>Carregadeira/Pesada</v>
      </c>
      <c r="B210">
        <v>51</v>
      </c>
      <c r="C210">
        <f>INDEX(Semanas!$E$3:$E$54,51)</f>
        <v>8</v>
      </c>
      <c r="D210" t="str">
        <f>Cronograma!AZ8</f>
        <v/>
      </c>
      <c r="E210">
        <f>Premissas!$I$42</f>
        <v>73</v>
      </c>
      <c r="F210">
        <f t="shared" si="3"/>
        <v>0</v>
      </c>
      <c r="G210">
        <f>IF($D210="",0,$E210*INDEX(Aux_HH!$D$4:$D$31,MATCH($A210&amp;"|"&amp;$D210,Aux_HH!$A$4:$A$31,0)))</f>
        <v>0</v>
      </c>
      <c r="H210">
        <f>IF($D210="",0,$E210*INDEX(Aux_HH!$E$4:$E$31,MATCH($A210&amp;"|"&amp;$D210,Aux_HH!$A$4:$A$31,0)))</f>
        <v>0</v>
      </c>
      <c r="I210">
        <f>IF($D210="",0,$E210*INDEX(Aux_HH!$F$4:$F$31,MATCH($A210&amp;"|"&amp;$D210,Aux_HH!$A$4:$A$31,0)))</f>
        <v>0</v>
      </c>
      <c r="J210">
        <f>IF($D210="",0,$E210*INDEX(Aux_HH!$G$4:$G$31,MATCH($A210&amp;"|"&amp;$D210,Aux_HH!$A$4:$A$31,0)))</f>
        <v>0</v>
      </c>
      <c r="K210">
        <f>IF($D210="",0,$E210*INDEX(Aux_HH!$H$4:$H$31,MATCH($A210&amp;"|"&amp;$D210,Aux_HH!$A$4:$A$31,0)))</f>
        <v>0</v>
      </c>
      <c r="L210">
        <f>IF($D210="",0,$E210*INDEX(Aux_HH!$I$4:$I$31,MATCH($A210&amp;"|"&amp;$D210,Aux_HH!$A$4:$A$31,0)))</f>
        <v>0</v>
      </c>
    </row>
    <row r="211" spans="1:12" ht="15" customHeight="1" x14ac:dyDescent="0.4">
      <c r="A211" t="str">
        <f>Premissas!$A$42</f>
        <v>Carregadeira/Pesada</v>
      </c>
      <c r="B211">
        <v>52</v>
      </c>
      <c r="C211">
        <f>INDEX(Semanas!$E$3:$E$54,52)</f>
        <v>8</v>
      </c>
      <c r="D211" t="str">
        <f>Cronograma!BA8</f>
        <v/>
      </c>
      <c r="E211">
        <f>Premissas!$I$42</f>
        <v>73</v>
      </c>
      <c r="F211">
        <f t="shared" si="3"/>
        <v>0</v>
      </c>
      <c r="G211">
        <f>IF($D211="",0,$E211*INDEX(Aux_HH!$D$4:$D$31,MATCH($A211&amp;"|"&amp;$D211,Aux_HH!$A$4:$A$31,0)))</f>
        <v>0</v>
      </c>
      <c r="H211">
        <f>IF($D211="",0,$E211*INDEX(Aux_HH!$E$4:$E$31,MATCH($A211&amp;"|"&amp;$D211,Aux_HH!$A$4:$A$31,0)))</f>
        <v>0</v>
      </c>
      <c r="I211">
        <f>IF($D211="",0,$E211*INDEX(Aux_HH!$F$4:$F$31,MATCH($A211&amp;"|"&amp;$D211,Aux_HH!$A$4:$A$31,0)))</f>
        <v>0</v>
      </c>
      <c r="J211">
        <f>IF($D211="",0,$E211*INDEX(Aux_HH!$G$4:$G$31,MATCH($A211&amp;"|"&amp;$D211,Aux_HH!$A$4:$A$31,0)))</f>
        <v>0</v>
      </c>
      <c r="K211">
        <f>IF($D211="",0,$E211*INDEX(Aux_HH!$H$4:$H$31,MATCH($A211&amp;"|"&amp;$D211,Aux_HH!$A$4:$A$31,0)))</f>
        <v>0</v>
      </c>
      <c r="L211">
        <f>IF($D211="",0,$E211*INDEX(Aux_HH!$I$4:$I$31,MATCH($A211&amp;"|"&amp;$D211,Aux_HH!$A$4:$A$31,0)))</f>
        <v>0</v>
      </c>
    </row>
    <row r="212" spans="1:12" ht="15" customHeight="1" x14ac:dyDescent="0.4">
      <c r="A212" t="str">
        <f>Premissas!$A$43</f>
        <v>Veículo Leve</v>
      </c>
      <c r="B212">
        <v>1</v>
      </c>
      <c r="C212">
        <f>INDEX(Semanas!$E$3:$E$54,1)</f>
        <v>9</v>
      </c>
      <c r="D212" t="str">
        <f>Cronograma!B9</f>
        <v/>
      </c>
      <c r="E212">
        <f>Premissas!$I$43</f>
        <v>50</v>
      </c>
      <c r="F212">
        <f t="shared" si="3"/>
        <v>0</v>
      </c>
      <c r="G212">
        <f>IF($D212="",0,$E212*INDEX(Aux_HH!$D$4:$D$31,MATCH($A212&amp;"|"&amp;$D212,Aux_HH!$A$4:$A$31,0)))</f>
        <v>0</v>
      </c>
      <c r="H212">
        <f>IF($D212="",0,$E212*INDEX(Aux_HH!$E$4:$E$31,MATCH($A212&amp;"|"&amp;$D212,Aux_HH!$A$4:$A$31,0)))</f>
        <v>0</v>
      </c>
      <c r="I212">
        <f>IF($D212="",0,$E212*INDEX(Aux_HH!$F$4:$F$31,MATCH($A212&amp;"|"&amp;$D212,Aux_HH!$A$4:$A$31,0)))</f>
        <v>0</v>
      </c>
      <c r="J212">
        <f>IF($D212="",0,$E212*INDEX(Aux_HH!$G$4:$G$31,MATCH($A212&amp;"|"&amp;$D212,Aux_HH!$A$4:$A$31,0)))</f>
        <v>0</v>
      </c>
      <c r="K212">
        <f>IF($D212="",0,$E212*INDEX(Aux_HH!$H$4:$H$31,MATCH($A212&amp;"|"&amp;$D212,Aux_HH!$A$4:$A$31,0)))</f>
        <v>0</v>
      </c>
      <c r="L212">
        <f>IF($D212="",0,$E212*INDEX(Aux_HH!$I$4:$I$31,MATCH($A212&amp;"|"&amp;$D212,Aux_HH!$A$4:$A$31,0)))</f>
        <v>0</v>
      </c>
    </row>
    <row r="213" spans="1:12" ht="15" customHeight="1" x14ac:dyDescent="0.4">
      <c r="A213" t="str">
        <f>Premissas!$A$43</f>
        <v>Veículo Leve</v>
      </c>
      <c r="B213">
        <v>2</v>
      </c>
      <c r="C213">
        <f>INDEX(Semanas!$E$3:$E$54,2)</f>
        <v>9</v>
      </c>
      <c r="D213" t="str">
        <f>Cronograma!C9</f>
        <v/>
      </c>
      <c r="E213">
        <f>Premissas!$I$43</f>
        <v>50</v>
      </c>
      <c r="F213">
        <f t="shared" si="3"/>
        <v>0</v>
      </c>
      <c r="G213">
        <f>IF($D213="",0,$E213*INDEX(Aux_HH!$D$4:$D$31,MATCH($A213&amp;"|"&amp;$D213,Aux_HH!$A$4:$A$31,0)))</f>
        <v>0</v>
      </c>
      <c r="H213">
        <f>IF($D213="",0,$E213*INDEX(Aux_HH!$E$4:$E$31,MATCH($A213&amp;"|"&amp;$D213,Aux_HH!$A$4:$A$31,0)))</f>
        <v>0</v>
      </c>
      <c r="I213">
        <f>IF($D213="",0,$E213*INDEX(Aux_HH!$F$4:$F$31,MATCH($A213&amp;"|"&amp;$D213,Aux_HH!$A$4:$A$31,0)))</f>
        <v>0</v>
      </c>
      <c r="J213">
        <f>IF($D213="",0,$E213*INDEX(Aux_HH!$G$4:$G$31,MATCH($A213&amp;"|"&amp;$D213,Aux_HH!$A$4:$A$31,0)))</f>
        <v>0</v>
      </c>
      <c r="K213">
        <f>IF($D213="",0,$E213*INDEX(Aux_HH!$H$4:$H$31,MATCH($A213&amp;"|"&amp;$D213,Aux_HH!$A$4:$A$31,0)))</f>
        <v>0</v>
      </c>
      <c r="L213">
        <f>IF($D213="",0,$E213*INDEX(Aux_HH!$I$4:$I$31,MATCH($A213&amp;"|"&amp;$D213,Aux_HH!$A$4:$A$31,0)))</f>
        <v>0</v>
      </c>
    </row>
    <row r="214" spans="1:12" ht="15" customHeight="1" x14ac:dyDescent="0.4">
      <c r="A214" t="str">
        <f>Premissas!$A$43</f>
        <v>Veículo Leve</v>
      </c>
      <c r="B214">
        <v>3</v>
      </c>
      <c r="C214">
        <f>INDEX(Semanas!$E$3:$E$54,3)</f>
        <v>9</v>
      </c>
      <c r="D214" t="str">
        <f>Cronograma!D9</f>
        <v/>
      </c>
      <c r="E214">
        <f>Premissas!$I$43</f>
        <v>50</v>
      </c>
      <c r="F214">
        <f t="shared" si="3"/>
        <v>0</v>
      </c>
      <c r="G214">
        <f>IF($D214="",0,$E214*INDEX(Aux_HH!$D$4:$D$31,MATCH($A214&amp;"|"&amp;$D214,Aux_HH!$A$4:$A$31,0)))</f>
        <v>0</v>
      </c>
      <c r="H214">
        <f>IF($D214="",0,$E214*INDEX(Aux_HH!$E$4:$E$31,MATCH($A214&amp;"|"&amp;$D214,Aux_HH!$A$4:$A$31,0)))</f>
        <v>0</v>
      </c>
      <c r="I214">
        <f>IF($D214="",0,$E214*INDEX(Aux_HH!$F$4:$F$31,MATCH($A214&amp;"|"&amp;$D214,Aux_HH!$A$4:$A$31,0)))</f>
        <v>0</v>
      </c>
      <c r="J214">
        <f>IF($D214="",0,$E214*INDEX(Aux_HH!$G$4:$G$31,MATCH($A214&amp;"|"&amp;$D214,Aux_HH!$A$4:$A$31,0)))</f>
        <v>0</v>
      </c>
      <c r="K214">
        <f>IF($D214="",0,$E214*INDEX(Aux_HH!$H$4:$H$31,MATCH($A214&amp;"|"&amp;$D214,Aux_HH!$A$4:$A$31,0)))</f>
        <v>0</v>
      </c>
      <c r="L214">
        <f>IF($D214="",0,$E214*INDEX(Aux_HH!$I$4:$I$31,MATCH($A214&amp;"|"&amp;$D214,Aux_HH!$A$4:$A$31,0)))</f>
        <v>0</v>
      </c>
    </row>
    <row r="215" spans="1:12" ht="15" customHeight="1" x14ac:dyDescent="0.4">
      <c r="A215" t="str">
        <f>Premissas!$A$43</f>
        <v>Veículo Leve</v>
      </c>
      <c r="B215">
        <v>4</v>
      </c>
      <c r="C215">
        <f>INDEX(Semanas!$E$3:$E$54,4)</f>
        <v>9</v>
      </c>
      <c r="D215" t="str">
        <f>Cronograma!E9</f>
        <v/>
      </c>
      <c r="E215">
        <f>Premissas!$I$43</f>
        <v>50</v>
      </c>
      <c r="F215">
        <f t="shared" si="3"/>
        <v>0</v>
      </c>
      <c r="G215">
        <f>IF($D215="",0,$E215*INDEX(Aux_HH!$D$4:$D$31,MATCH($A215&amp;"|"&amp;$D215,Aux_HH!$A$4:$A$31,0)))</f>
        <v>0</v>
      </c>
      <c r="H215">
        <f>IF($D215="",0,$E215*INDEX(Aux_HH!$E$4:$E$31,MATCH($A215&amp;"|"&amp;$D215,Aux_HH!$A$4:$A$31,0)))</f>
        <v>0</v>
      </c>
      <c r="I215">
        <f>IF($D215="",0,$E215*INDEX(Aux_HH!$F$4:$F$31,MATCH($A215&amp;"|"&amp;$D215,Aux_HH!$A$4:$A$31,0)))</f>
        <v>0</v>
      </c>
      <c r="J215">
        <f>IF($D215="",0,$E215*INDEX(Aux_HH!$G$4:$G$31,MATCH($A215&amp;"|"&amp;$D215,Aux_HH!$A$4:$A$31,0)))</f>
        <v>0</v>
      </c>
      <c r="K215">
        <f>IF($D215="",0,$E215*INDEX(Aux_HH!$H$4:$H$31,MATCH($A215&amp;"|"&amp;$D215,Aux_HH!$A$4:$A$31,0)))</f>
        <v>0</v>
      </c>
      <c r="L215">
        <f>IF($D215="",0,$E215*INDEX(Aux_HH!$I$4:$I$31,MATCH($A215&amp;"|"&amp;$D215,Aux_HH!$A$4:$A$31,0)))</f>
        <v>0</v>
      </c>
    </row>
    <row r="216" spans="1:12" ht="15" customHeight="1" x14ac:dyDescent="0.4">
      <c r="A216" t="str">
        <f>Premissas!$A$43</f>
        <v>Veículo Leve</v>
      </c>
      <c r="B216">
        <v>5</v>
      </c>
      <c r="C216">
        <f>INDEX(Semanas!$E$3:$E$54,5)</f>
        <v>9</v>
      </c>
      <c r="D216" t="str">
        <f>Cronograma!F9</f>
        <v/>
      </c>
      <c r="E216">
        <f>Premissas!$I$43</f>
        <v>50</v>
      </c>
      <c r="F216">
        <f t="shared" si="3"/>
        <v>0</v>
      </c>
      <c r="G216">
        <f>IF($D216="",0,$E216*INDEX(Aux_HH!$D$4:$D$31,MATCH($A216&amp;"|"&amp;$D216,Aux_HH!$A$4:$A$31,0)))</f>
        <v>0</v>
      </c>
      <c r="H216">
        <f>IF($D216="",0,$E216*INDEX(Aux_HH!$E$4:$E$31,MATCH($A216&amp;"|"&amp;$D216,Aux_HH!$A$4:$A$31,0)))</f>
        <v>0</v>
      </c>
      <c r="I216">
        <f>IF($D216="",0,$E216*INDEX(Aux_HH!$F$4:$F$31,MATCH($A216&amp;"|"&amp;$D216,Aux_HH!$A$4:$A$31,0)))</f>
        <v>0</v>
      </c>
      <c r="J216">
        <f>IF($D216="",0,$E216*INDEX(Aux_HH!$G$4:$G$31,MATCH($A216&amp;"|"&amp;$D216,Aux_HH!$A$4:$A$31,0)))</f>
        <v>0</v>
      </c>
      <c r="K216">
        <f>IF($D216="",0,$E216*INDEX(Aux_HH!$H$4:$H$31,MATCH($A216&amp;"|"&amp;$D216,Aux_HH!$A$4:$A$31,0)))</f>
        <v>0</v>
      </c>
      <c r="L216">
        <f>IF($D216="",0,$E216*INDEX(Aux_HH!$I$4:$I$31,MATCH($A216&amp;"|"&amp;$D216,Aux_HH!$A$4:$A$31,0)))</f>
        <v>0</v>
      </c>
    </row>
    <row r="217" spans="1:12" ht="15" customHeight="1" x14ac:dyDescent="0.4">
      <c r="A217" t="str">
        <f>Premissas!$A$43</f>
        <v>Veículo Leve</v>
      </c>
      <c r="B217">
        <v>6</v>
      </c>
      <c r="C217">
        <f>INDEX(Semanas!$E$3:$E$54,6)</f>
        <v>10</v>
      </c>
      <c r="D217" t="str">
        <f>Cronograma!G9</f>
        <v/>
      </c>
      <c r="E217">
        <f>Premissas!$I$43</f>
        <v>50</v>
      </c>
      <c r="F217">
        <f t="shared" si="3"/>
        <v>0</v>
      </c>
      <c r="G217">
        <f>IF($D217="",0,$E217*INDEX(Aux_HH!$D$4:$D$31,MATCH($A217&amp;"|"&amp;$D217,Aux_HH!$A$4:$A$31,0)))</f>
        <v>0</v>
      </c>
      <c r="H217">
        <f>IF($D217="",0,$E217*INDEX(Aux_HH!$E$4:$E$31,MATCH($A217&amp;"|"&amp;$D217,Aux_HH!$A$4:$A$31,0)))</f>
        <v>0</v>
      </c>
      <c r="I217">
        <f>IF($D217="",0,$E217*INDEX(Aux_HH!$F$4:$F$31,MATCH($A217&amp;"|"&amp;$D217,Aux_HH!$A$4:$A$31,0)))</f>
        <v>0</v>
      </c>
      <c r="J217">
        <f>IF($D217="",0,$E217*INDEX(Aux_HH!$G$4:$G$31,MATCH($A217&amp;"|"&amp;$D217,Aux_HH!$A$4:$A$31,0)))</f>
        <v>0</v>
      </c>
      <c r="K217">
        <f>IF($D217="",0,$E217*INDEX(Aux_HH!$H$4:$H$31,MATCH($A217&amp;"|"&amp;$D217,Aux_HH!$A$4:$A$31,0)))</f>
        <v>0</v>
      </c>
      <c r="L217">
        <f>IF($D217="",0,$E217*INDEX(Aux_HH!$I$4:$I$31,MATCH($A217&amp;"|"&amp;$D217,Aux_HH!$A$4:$A$31,0)))</f>
        <v>0</v>
      </c>
    </row>
    <row r="218" spans="1:12" ht="15" customHeight="1" x14ac:dyDescent="0.4">
      <c r="A218" t="str">
        <f>Premissas!$A$43</f>
        <v>Veículo Leve</v>
      </c>
      <c r="B218">
        <v>7</v>
      </c>
      <c r="C218">
        <f>INDEX(Semanas!$E$3:$E$54,7)</f>
        <v>10</v>
      </c>
      <c r="D218" t="str">
        <f>Cronograma!H9</f>
        <v/>
      </c>
      <c r="E218">
        <f>Premissas!$I$43</f>
        <v>50</v>
      </c>
      <c r="F218">
        <f t="shared" si="3"/>
        <v>0</v>
      </c>
      <c r="G218">
        <f>IF($D218="",0,$E218*INDEX(Aux_HH!$D$4:$D$31,MATCH($A218&amp;"|"&amp;$D218,Aux_HH!$A$4:$A$31,0)))</f>
        <v>0</v>
      </c>
      <c r="H218">
        <f>IF($D218="",0,$E218*INDEX(Aux_HH!$E$4:$E$31,MATCH($A218&amp;"|"&amp;$D218,Aux_HH!$A$4:$A$31,0)))</f>
        <v>0</v>
      </c>
      <c r="I218">
        <f>IF($D218="",0,$E218*INDEX(Aux_HH!$F$4:$F$31,MATCH($A218&amp;"|"&amp;$D218,Aux_HH!$A$4:$A$31,0)))</f>
        <v>0</v>
      </c>
      <c r="J218">
        <f>IF($D218="",0,$E218*INDEX(Aux_HH!$G$4:$G$31,MATCH($A218&amp;"|"&amp;$D218,Aux_HH!$A$4:$A$31,0)))</f>
        <v>0</v>
      </c>
      <c r="K218">
        <f>IF($D218="",0,$E218*INDEX(Aux_HH!$H$4:$H$31,MATCH($A218&amp;"|"&amp;$D218,Aux_HH!$A$4:$A$31,0)))</f>
        <v>0</v>
      </c>
      <c r="L218">
        <f>IF($D218="",0,$E218*INDEX(Aux_HH!$I$4:$I$31,MATCH($A218&amp;"|"&amp;$D218,Aux_HH!$A$4:$A$31,0)))</f>
        <v>0</v>
      </c>
    </row>
    <row r="219" spans="1:12" ht="15" customHeight="1" x14ac:dyDescent="0.4">
      <c r="A219" t="str">
        <f>Premissas!$A$43</f>
        <v>Veículo Leve</v>
      </c>
      <c r="B219">
        <v>8</v>
      </c>
      <c r="C219">
        <f>INDEX(Semanas!$E$3:$E$54,8)</f>
        <v>10</v>
      </c>
      <c r="D219" t="str">
        <f>Cronograma!I9</f>
        <v/>
      </c>
      <c r="E219">
        <f>Premissas!$I$43</f>
        <v>50</v>
      </c>
      <c r="F219">
        <f t="shared" si="3"/>
        <v>0</v>
      </c>
      <c r="G219">
        <f>IF($D219="",0,$E219*INDEX(Aux_HH!$D$4:$D$31,MATCH($A219&amp;"|"&amp;$D219,Aux_HH!$A$4:$A$31,0)))</f>
        <v>0</v>
      </c>
      <c r="H219">
        <f>IF($D219="",0,$E219*INDEX(Aux_HH!$E$4:$E$31,MATCH($A219&amp;"|"&amp;$D219,Aux_HH!$A$4:$A$31,0)))</f>
        <v>0</v>
      </c>
      <c r="I219">
        <f>IF($D219="",0,$E219*INDEX(Aux_HH!$F$4:$F$31,MATCH($A219&amp;"|"&amp;$D219,Aux_HH!$A$4:$A$31,0)))</f>
        <v>0</v>
      </c>
      <c r="J219">
        <f>IF($D219="",0,$E219*INDEX(Aux_HH!$G$4:$G$31,MATCH($A219&amp;"|"&amp;$D219,Aux_HH!$A$4:$A$31,0)))</f>
        <v>0</v>
      </c>
      <c r="K219">
        <f>IF($D219="",0,$E219*INDEX(Aux_HH!$H$4:$H$31,MATCH($A219&amp;"|"&amp;$D219,Aux_HH!$A$4:$A$31,0)))</f>
        <v>0</v>
      </c>
      <c r="L219">
        <f>IF($D219="",0,$E219*INDEX(Aux_HH!$I$4:$I$31,MATCH($A219&amp;"|"&amp;$D219,Aux_HH!$A$4:$A$31,0)))</f>
        <v>0</v>
      </c>
    </row>
    <row r="220" spans="1:12" ht="15" customHeight="1" x14ac:dyDescent="0.4">
      <c r="A220" t="str">
        <f>Premissas!$A$43</f>
        <v>Veículo Leve</v>
      </c>
      <c r="B220">
        <v>9</v>
      </c>
      <c r="C220">
        <f>INDEX(Semanas!$E$3:$E$54,9)</f>
        <v>10</v>
      </c>
      <c r="D220" t="str">
        <f>Cronograma!J9</f>
        <v/>
      </c>
      <c r="E220">
        <f>Premissas!$I$43</f>
        <v>50</v>
      </c>
      <c r="F220">
        <f t="shared" si="3"/>
        <v>0</v>
      </c>
      <c r="G220">
        <f>IF($D220="",0,$E220*INDEX(Aux_HH!$D$4:$D$31,MATCH($A220&amp;"|"&amp;$D220,Aux_HH!$A$4:$A$31,0)))</f>
        <v>0</v>
      </c>
      <c r="H220">
        <f>IF($D220="",0,$E220*INDEX(Aux_HH!$E$4:$E$31,MATCH($A220&amp;"|"&amp;$D220,Aux_HH!$A$4:$A$31,0)))</f>
        <v>0</v>
      </c>
      <c r="I220">
        <f>IF($D220="",0,$E220*INDEX(Aux_HH!$F$4:$F$31,MATCH($A220&amp;"|"&amp;$D220,Aux_HH!$A$4:$A$31,0)))</f>
        <v>0</v>
      </c>
      <c r="J220">
        <f>IF($D220="",0,$E220*INDEX(Aux_HH!$G$4:$G$31,MATCH($A220&amp;"|"&amp;$D220,Aux_HH!$A$4:$A$31,0)))</f>
        <v>0</v>
      </c>
      <c r="K220">
        <f>IF($D220="",0,$E220*INDEX(Aux_HH!$H$4:$H$31,MATCH($A220&amp;"|"&amp;$D220,Aux_HH!$A$4:$A$31,0)))</f>
        <v>0</v>
      </c>
      <c r="L220">
        <f>IF($D220="",0,$E220*INDEX(Aux_HH!$I$4:$I$31,MATCH($A220&amp;"|"&amp;$D220,Aux_HH!$A$4:$A$31,0)))</f>
        <v>0</v>
      </c>
    </row>
    <row r="221" spans="1:12" ht="15" customHeight="1" x14ac:dyDescent="0.4">
      <c r="A221" t="str">
        <f>Premissas!$A$43</f>
        <v>Veículo Leve</v>
      </c>
      <c r="B221">
        <v>10</v>
      </c>
      <c r="C221">
        <f>INDEX(Semanas!$E$3:$E$54,10)</f>
        <v>11</v>
      </c>
      <c r="D221" t="str">
        <f>Cronograma!K9</f>
        <v/>
      </c>
      <c r="E221">
        <f>Premissas!$I$43</f>
        <v>50</v>
      </c>
      <c r="F221">
        <f t="shared" si="3"/>
        <v>0</v>
      </c>
      <c r="G221">
        <f>IF($D221="",0,$E221*INDEX(Aux_HH!$D$4:$D$31,MATCH($A221&amp;"|"&amp;$D221,Aux_HH!$A$4:$A$31,0)))</f>
        <v>0</v>
      </c>
      <c r="H221">
        <f>IF($D221="",0,$E221*INDEX(Aux_HH!$E$4:$E$31,MATCH($A221&amp;"|"&amp;$D221,Aux_HH!$A$4:$A$31,0)))</f>
        <v>0</v>
      </c>
      <c r="I221">
        <f>IF($D221="",0,$E221*INDEX(Aux_HH!$F$4:$F$31,MATCH($A221&amp;"|"&amp;$D221,Aux_HH!$A$4:$A$31,0)))</f>
        <v>0</v>
      </c>
      <c r="J221">
        <f>IF($D221="",0,$E221*INDEX(Aux_HH!$G$4:$G$31,MATCH($A221&amp;"|"&amp;$D221,Aux_HH!$A$4:$A$31,0)))</f>
        <v>0</v>
      </c>
      <c r="K221">
        <f>IF($D221="",0,$E221*INDEX(Aux_HH!$H$4:$H$31,MATCH($A221&amp;"|"&amp;$D221,Aux_HH!$A$4:$A$31,0)))</f>
        <v>0</v>
      </c>
      <c r="L221">
        <f>IF($D221="",0,$E221*INDEX(Aux_HH!$I$4:$I$31,MATCH($A221&amp;"|"&amp;$D221,Aux_HH!$A$4:$A$31,0)))</f>
        <v>0</v>
      </c>
    </row>
    <row r="222" spans="1:12" ht="15" customHeight="1" x14ac:dyDescent="0.4">
      <c r="A222" t="str">
        <f>Premissas!$A$43</f>
        <v>Veículo Leve</v>
      </c>
      <c r="B222">
        <v>11</v>
      </c>
      <c r="C222">
        <f>INDEX(Semanas!$E$3:$E$54,11)</f>
        <v>11</v>
      </c>
      <c r="D222" t="str">
        <f>Cronograma!L9</f>
        <v/>
      </c>
      <c r="E222">
        <f>Premissas!$I$43</f>
        <v>50</v>
      </c>
      <c r="F222">
        <f t="shared" si="3"/>
        <v>0</v>
      </c>
      <c r="G222">
        <f>IF($D222="",0,$E222*INDEX(Aux_HH!$D$4:$D$31,MATCH($A222&amp;"|"&amp;$D222,Aux_HH!$A$4:$A$31,0)))</f>
        <v>0</v>
      </c>
      <c r="H222">
        <f>IF($D222="",0,$E222*INDEX(Aux_HH!$E$4:$E$31,MATCH($A222&amp;"|"&amp;$D222,Aux_HH!$A$4:$A$31,0)))</f>
        <v>0</v>
      </c>
      <c r="I222">
        <f>IF($D222="",0,$E222*INDEX(Aux_HH!$F$4:$F$31,MATCH($A222&amp;"|"&amp;$D222,Aux_HH!$A$4:$A$31,0)))</f>
        <v>0</v>
      </c>
      <c r="J222">
        <f>IF($D222="",0,$E222*INDEX(Aux_HH!$G$4:$G$31,MATCH($A222&amp;"|"&amp;$D222,Aux_HH!$A$4:$A$31,0)))</f>
        <v>0</v>
      </c>
      <c r="K222">
        <f>IF($D222="",0,$E222*INDEX(Aux_HH!$H$4:$H$31,MATCH($A222&amp;"|"&amp;$D222,Aux_HH!$A$4:$A$31,0)))</f>
        <v>0</v>
      </c>
      <c r="L222">
        <f>IF($D222="",0,$E222*INDEX(Aux_HH!$I$4:$I$31,MATCH($A222&amp;"|"&amp;$D222,Aux_HH!$A$4:$A$31,0)))</f>
        <v>0</v>
      </c>
    </row>
    <row r="223" spans="1:12" ht="15" customHeight="1" x14ac:dyDescent="0.4">
      <c r="A223" t="str">
        <f>Premissas!$A$43</f>
        <v>Veículo Leve</v>
      </c>
      <c r="B223">
        <v>12</v>
      </c>
      <c r="C223">
        <f>INDEX(Semanas!$E$3:$E$54,12)</f>
        <v>11</v>
      </c>
      <c r="D223" t="str">
        <f>Cronograma!M9</f>
        <v/>
      </c>
      <c r="E223">
        <f>Premissas!$I$43</f>
        <v>50</v>
      </c>
      <c r="F223">
        <f t="shared" si="3"/>
        <v>0</v>
      </c>
      <c r="G223">
        <f>IF($D223="",0,$E223*INDEX(Aux_HH!$D$4:$D$31,MATCH($A223&amp;"|"&amp;$D223,Aux_HH!$A$4:$A$31,0)))</f>
        <v>0</v>
      </c>
      <c r="H223">
        <f>IF($D223="",0,$E223*INDEX(Aux_HH!$E$4:$E$31,MATCH($A223&amp;"|"&amp;$D223,Aux_HH!$A$4:$A$31,0)))</f>
        <v>0</v>
      </c>
      <c r="I223">
        <f>IF($D223="",0,$E223*INDEX(Aux_HH!$F$4:$F$31,MATCH($A223&amp;"|"&amp;$D223,Aux_HH!$A$4:$A$31,0)))</f>
        <v>0</v>
      </c>
      <c r="J223">
        <f>IF($D223="",0,$E223*INDEX(Aux_HH!$G$4:$G$31,MATCH($A223&amp;"|"&amp;$D223,Aux_HH!$A$4:$A$31,0)))</f>
        <v>0</v>
      </c>
      <c r="K223">
        <f>IF($D223="",0,$E223*INDEX(Aux_HH!$H$4:$H$31,MATCH($A223&amp;"|"&amp;$D223,Aux_HH!$A$4:$A$31,0)))</f>
        <v>0</v>
      </c>
      <c r="L223">
        <f>IF($D223="",0,$E223*INDEX(Aux_HH!$I$4:$I$31,MATCH($A223&amp;"|"&amp;$D223,Aux_HH!$A$4:$A$31,0)))</f>
        <v>0</v>
      </c>
    </row>
    <row r="224" spans="1:12" ht="15" customHeight="1" x14ac:dyDescent="0.4">
      <c r="A224" t="str">
        <f>Premissas!$A$43</f>
        <v>Veículo Leve</v>
      </c>
      <c r="B224">
        <v>13</v>
      </c>
      <c r="C224">
        <f>INDEX(Semanas!$E$3:$E$54,13)</f>
        <v>11</v>
      </c>
      <c r="D224" t="str">
        <f>Cronograma!N9</f>
        <v/>
      </c>
      <c r="E224">
        <f>Premissas!$I$43</f>
        <v>50</v>
      </c>
      <c r="F224">
        <f t="shared" si="3"/>
        <v>0</v>
      </c>
      <c r="G224">
        <f>IF($D224="",0,$E224*INDEX(Aux_HH!$D$4:$D$31,MATCH($A224&amp;"|"&amp;$D224,Aux_HH!$A$4:$A$31,0)))</f>
        <v>0</v>
      </c>
      <c r="H224">
        <f>IF($D224="",0,$E224*INDEX(Aux_HH!$E$4:$E$31,MATCH($A224&amp;"|"&amp;$D224,Aux_HH!$A$4:$A$31,0)))</f>
        <v>0</v>
      </c>
      <c r="I224">
        <f>IF($D224="",0,$E224*INDEX(Aux_HH!$F$4:$F$31,MATCH($A224&amp;"|"&amp;$D224,Aux_HH!$A$4:$A$31,0)))</f>
        <v>0</v>
      </c>
      <c r="J224">
        <f>IF($D224="",0,$E224*INDEX(Aux_HH!$G$4:$G$31,MATCH($A224&amp;"|"&amp;$D224,Aux_HH!$A$4:$A$31,0)))</f>
        <v>0</v>
      </c>
      <c r="K224">
        <f>IF($D224="",0,$E224*INDEX(Aux_HH!$H$4:$H$31,MATCH($A224&amp;"|"&amp;$D224,Aux_HH!$A$4:$A$31,0)))</f>
        <v>0</v>
      </c>
      <c r="L224">
        <f>IF($D224="",0,$E224*INDEX(Aux_HH!$I$4:$I$31,MATCH($A224&amp;"|"&amp;$D224,Aux_HH!$A$4:$A$31,0)))</f>
        <v>0</v>
      </c>
    </row>
    <row r="225" spans="1:12" ht="15" customHeight="1" x14ac:dyDescent="0.4">
      <c r="A225" t="str">
        <f>Premissas!$A$43</f>
        <v>Veículo Leve</v>
      </c>
      <c r="B225">
        <v>14</v>
      </c>
      <c r="C225">
        <f>INDEX(Semanas!$E$3:$E$54,14)</f>
        <v>12</v>
      </c>
      <c r="D225" t="str">
        <f>Cronograma!O9</f>
        <v/>
      </c>
      <c r="E225">
        <f>Premissas!$I$43</f>
        <v>50</v>
      </c>
      <c r="F225">
        <f t="shared" si="3"/>
        <v>0</v>
      </c>
      <c r="G225">
        <f>IF($D225="",0,$E225*INDEX(Aux_HH!$D$4:$D$31,MATCH($A225&amp;"|"&amp;$D225,Aux_HH!$A$4:$A$31,0)))</f>
        <v>0</v>
      </c>
      <c r="H225">
        <f>IF($D225="",0,$E225*INDEX(Aux_HH!$E$4:$E$31,MATCH($A225&amp;"|"&amp;$D225,Aux_HH!$A$4:$A$31,0)))</f>
        <v>0</v>
      </c>
      <c r="I225">
        <f>IF($D225="",0,$E225*INDEX(Aux_HH!$F$4:$F$31,MATCH($A225&amp;"|"&amp;$D225,Aux_HH!$A$4:$A$31,0)))</f>
        <v>0</v>
      </c>
      <c r="J225">
        <f>IF($D225="",0,$E225*INDEX(Aux_HH!$G$4:$G$31,MATCH($A225&amp;"|"&amp;$D225,Aux_HH!$A$4:$A$31,0)))</f>
        <v>0</v>
      </c>
      <c r="K225">
        <f>IF($D225="",0,$E225*INDEX(Aux_HH!$H$4:$H$31,MATCH($A225&amp;"|"&amp;$D225,Aux_HH!$A$4:$A$31,0)))</f>
        <v>0</v>
      </c>
      <c r="L225">
        <f>IF($D225="",0,$E225*INDEX(Aux_HH!$I$4:$I$31,MATCH($A225&amp;"|"&amp;$D225,Aux_HH!$A$4:$A$31,0)))</f>
        <v>0</v>
      </c>
    </row>
    <row r="226" spans="1:12" ht="15" customHeight="1" x14ac:dyDescent="0.4">
      <c r="A226" t="str">
        <f>Premissas!$A$43</f>
        <v>Veículo Leve</v>
      </c>
      <c r="B226">
        <v>15</v>
      </c>
      <c r="C226">
        <f>INDEX(Semanas!$E$3:$E$54,15)</f>
        <v>12</v>
      </c>
      <c r="D226" t="str">
        <f>Cronograma!P9</f>
        <v>S</v>
      </c>
      <c r="E226">
        <f>Premissas!$I$43</f>
        <v>50</v>
      </c>
      <c r="F226">
        <f t="shared" si="3"/>
        <v>50</v>
      </c>
      <c r="G226">
        <f>IF($D226="",0,$E226*INDEX(Aux_HH!$D$4:$D$31,MATCH($A226&amp;"|"&amp;$D226,Aux_HH!$A$4:$A$31,0)))</f>
        <v>75</v>
      </c>
      <c r="H226">
        <f>IF($D226="",0,$E226*INDEX(Aux_HH!$E$4:$E$31,MATCH($A226&amp;"|"&amp;$D226,Aux_HH!$A$4:$A$31,0)))</f>
        <v>0</v>
      </c>
      <c r="I226">
        <f>IF($D226="",0,$E226*INDEX(Aux_HH!$F$4:$F$31,MATCH($A226&amp;"|"&amp;$D226,Aux_HH!$A$4:$A$31,0)))</f>
        <v>0</v>
      </c>
      <c r="J226">
        <f>IF($D226="",0,$E226*INDEX(Aux_HH!$G$4:$G$31,MATCH($A226&amp;"|"&amp;$D226,Aux_HH!$A$4:$A$31,0)))</f>
        <v>0</v>
      </c>
      <c r="K226">
        <f>IF($D226="",0,$E226*INDEX(Aux_HH!$H$4:$H$31,MATCH($A226&amp;"|"&amp;$D226,Aux_HH!$A$4:$A$31,0)))</f>
        <v>0</v>
      </c>
      <c r="L226">
        <f>IF($D226="",0,$E226*INDEX(Aux_HH!$I$4:$I$31,MATCH($A226&amp;"|"&amp;$D226,Aux_HH!$A$4:$A$31,0)))</f>
        <v>0</v>
      </c>
    </row>
    <row r="227" spans="1:12" ht="15" customHeight="1" x14ac:dyDescent="0.4">
      <c r="A227" t="str">
        <f>Premissas!$A$43</f>
        <v>Veículo Leve</v>
      </c>
      <c r="B227">
        <v>16</v>
      </c>
      <c r="C227">
        <f>INDEX(Semanas!$E$3:$E$54,16)</f>
        <v>12</v>
      </c>
      <c r="D227" t="str">
        <f>Cronograma!Q9</f>
        <v/>
      </c>
      <c r="E227">
        <f>Premissas!$I$43</f>
        <v>50</v>
      </c>
      <c r="F227">
        <f t="shared" si="3"/>
        <v>0</v>
      </c>
      <c r="G227">
        <f>IF($D227="",0,$E227*INDEX(Aux_HH!$D$4:$D$31,MATCH($A227&amp;"|"&amp;$D227,Aux_HH!$A$4:$A$31,0)))</f>
        <v>0</v>
      </c>
      <c r="H227">
        <f>IF($D227="",0,$E227*INDEX(Aux_HH!$E$4:$E$31,MATCH($A227&amp;"|"&amp;$D227,Aux_HH!$A$4:$A$31,0)))</f>
        <v>0</v>
      </c>
      <c r="I227">
        <f>IF($D227="",0,$E227*INDEX(Aux_HH!$F$4:$F$31,MATCH($A227&amp;"|"&amp;$D227,Aux_HH!$A$4:$A$31,0)))</f>
        <v>0</v>
      </c>
      <c r="J227">
        <f>IF($D227="",0,$E227*INDEX(Aux_HH!$G$4:$G$31,MATCH($A227&amp;"|"&amp;$D227,Aux_HH!$A$4:$A$31,0)))</f>
        <v>0</v>
      </c>
      <c r="K227">
        <f>IF($D227="",0,$E227*INDEX(Aux_HH!$H$4:$H$31,MATCH($A227&amp;"|"&amp;$D227,Aux_HH!$A$4:$A$31,0)))</f>
        <v>0</v>
      </c>
      <c r="L227">
        <f>IF($D227="",0,$E227*INDEX(Aux_HH!$I$4:$I$31,MATCH($A227&amp;"|"&amp;$D227,Aux_HH!$A$4:$A$31,0)))</f>
        <v>0</v>
      </c>
    </row>
    <row r="228" spans="1:12" ht="15" customHeight="1" x14ac:dyDescent="0.4">
      <c r="A228" t="str">
        <f>Premissas!$A$43</f>
        <v>Veículo Leve</v>
      </c>
      <c r="B228">
        <v>17</v>
      </c>
      <c r="C228">
        <f>INDEX(Semanas!$E$3:$E$54,17)</f>
        <v>12</v>
      </c>
      <c r="D228" t="str">
        <f>Cronograma!R9</f>
        <v/>
      </c>
      <c r="E228">
        <f>Premissas!$I$43</f>
        <v>50</v>
      </c>
      <c r="F228">
        <f t="shared" si="3"/>
        <v>0</v>
      </c>
      <c r="G228">
        <f>IF($D228="",0,$E228*INDEX(Aux_HH!$D$4:$D$31,MATCH($A228&amp;"|"&amp;$D228,Aux_HH!$A$4:$A$31,0)))</f>
        <v>0</v>
      </c>
      <c r="H228">
        <f>IF($D228="",0,$E228*INDEX(Aux_HH!$E$4:$E$31,MATCH($A228&amp;"|"&amp;$D228,Aux_HH!$A$4:$A$31,0)))</f>
        <v>0</v>
      </c>
      <c r="I228">
        <f>IF($D228="",0,$E228*INDEX(Aux_HH!$F$4:$F$31,MATCH($A228&amp;"|"&amp;$D228,Aux_HH!$A$4:$A$31,0)))</f>
        <v>0</v>
      </c>
      <c r="J228">
        <f>IF($D228="",0,$E228*INDEX(Aux_HH!$G$4:$G$31,MATCH($A228&amp;"|"&amp;$D228,Aux_HH!$A$4:$A$31,0)))</f>
        <v>0</v>
      </c>
      <c r="K228">
        <f>IF($D228="",0,$E228*INDEX(Aux_HH!$H$4:$H$31,MATCH($A228&amp;"|"&amp;$D228,Aux_HH!$A$4:$A$31,0)))</f>
        <v>0</v>
      </c>
      <c r="L228">
        <f>IF($D228="",0,$E228*INDEX(Aux_HH!$I$4:$I$31,MATCH($A228&amp;"|"&amp;$D228,Aux_HH!$A$4:$A$31,0)))</f>
        <v>0</v>
      </c>
    </row>
    <row r="229" spans="1:12" ht="15" customHeight="1" x14ac:dyDescent="0.4">
      <c r="A229" t="str">
        <f>Premissas!$A$43</f>
        <v>Veículo Leve</v>
      </c>
      <c r="B229">
        <v>18</v>
      </c>
      <c r="C229">
        <f>INDEX(Semanas!$E$3:$E$54,18)</f>
        <v>12</v>
      </c>
      <c r="D229" t="str">
        <f>Cronograma!S9</f>
        <v/>
      </c>
      <c r="E229">
        <f>Premissas!$I$43</f>
        <v>50</v>
      </c>
      <c r="F229">
        <f t="shared" si="3"/>
        <v>0</v>
      </c>
      <c r="G229">
        <f>IF($D229="",0,$E229*INDEX(Aux_HH!$D$4:$D$31,MATCH($A229&amp;"|"&amp;$D229,Aux_HH!$A$4:$A$31,0)))</f>
        <v>0</v>
      </c>
      <c r="H229">
        <f>IF($D229="",0,$E229*INDEX(Aux_HH!$E$4:$E$31,MATCH($A229&amp;"|"&amp;$D229,Aux_HH!$A$4:$A$31,0)))</f>
        <v>0</v>
      </c>
      <c r="I229">
        <f>IF($D229="",0,$E229*INDEX(Aux_HH!$F$4:$F$31,MATCH($A229&amp;"|"&amp;$D229,Aux_HH!$A$4:$A$31,0)))</f>
        <v>0</v>
      </c>
      <c r="J229">
        <f>IF($D229="",0,$E229*INDEX(Aux_HH!$G$4:$G$31,MATCH($A229&amp;"|"&amp;$D229,Aux_HH!$A$4:$A$31,0)))</f>
        <v>0</v>
      </c>
      <c r="K229">
        <f>IF($D229="",0,$E229*INDEX(Aux_HH!$H$4:$H$31,MATCH($A229&amp;"|"&amp;$D229,Aux_HH!$A$4:$A$31,0)))</f>
        <v>0</v>
      </c>
      <c r="L229">
        <f>IF($D229="",0,$E229*INDEX(Aux_HH!$I$4:$I$31,MATCH($A229&amp;"|"&amp;$D229,Aux_HH!$A$4:$A$31,0)))</f>
        <v>0</v>
      </c>
    </row>
    <row r="230" spans="1:12" ht="15" customHeight="1" x14ac:dyDescent="0.4">
      <c r="A230" t="str">
        <f>Premissas!$A$43</f>
        <v>Veículo Leve</v>
      </c>
      <c r="B230">
        <v>19</v>
      </c>
      <c r="C230">
        <f>INDEX(Semanas!$E$3:$E$54,19)</f>
        <v>1</v>
      </c>
      <c r="D230" t="str">
        <f>Cronograma!T9</f>
        <v/>
      </c>
      <c r="E230">
        <f>Premissas!$I$43</f>
        <v>50</v>
      </c>
      <c r="F230">
        <f t="shared" si="3"/>
        <v>0</v>
      </c>
      <c r="G230">
        <f>IF($D230="",0,$E230*INDEX(Aux_HH!$D$4:$D$31,MATCH($A230&amp;"|"&amp;$D230,Aux_HH!$A$4:$A$31,0)))</f>
        <v>0</v>
      </c>
      <c r="H230">
        <f>IF($D230="",0,$E230*INDEX(Aux_HH!$E$4:$E$31,MATCH($A230&amp;"|"&amp;$D230,Aux_HH!$A$4:$A$31,0)))</f>
        <v>0</v>
      </c>
      <c r="I230">
        <f>IF($D230="",0,$E230*INDEX(Aux_HH!$F$4:$F$31,MATCH($A230&amp;"|"&amp;$D230,Aux_HH!$A$4:$A$31,0)))</f>
        <v>0</v>
      </c>
      <c r="J230">
        <f>IF($D230="",0,$E230*INDEX(Aux_HH!$G$4:$G$31,MATCH($A230&amp;"|"&amp;$D230,Aux_HH!$A$4:$A$31,0)))</f>
        <v>0</v>
      </c>
      <c r="K230">
        <f>IF($D230="",0,$E230*INDEX(Aux_HH!$H$4:$H$31,MATCH($A230&amp;"|"&amp;$D230,Aux_HH!$A$4:$A$31,0)))</f>
        <v>0</v>
      </c>
      <c r="L230">
        <f>IF($D230="",0,$E230*INDEX(Aux_HH!$I$4:$I$31,MATCH($A230&amp;"|"&amp;$D230,Aux_HH!$A$4:$A$31,0)))</f>
        <v>0</v>
      </c>
    </row>
    <row r="231" spans="1:12" ht="15" customHeight="1" x14ac:dyDescent="0.4">
      <c r="A231" t="str">
        <f>Premissas!$A$43</f>
        <v>Veículo Leve</v>
      </c>
      <c r="B231">
        <v>20</v>
      </c>
      <c r="C231">
        <f>INDEX(Semanas!$E$3:$E$54,20)</f>
        <v>1</v>
      </c>
      <c r="D231" t="str">
        <f>Cronograma!U9</f>
        <v/>
      </c>
      <c r="E231">
        <f>Premissas!$I$43</f>
        <v>50</v>
      </c>
      <c r="F231">
        <f t="shared" si="3"/>
        <v>0</v>
      </c>
      <c r="G231">
        <f>IF($D231="",0,$E231*INDEX(Aux_HH!$D$4:$D$31,MATCH($A231&amp;"|"&amp;$D231,Aux_HH!$A$4:$A$31,0)))</f>
        <v>0</v>
      </c>
      <c r="H231">
        <f>IF($D231="",0,$E231*INDEX(Aux_HH!$E$4:$E$31,MATCH($A231&amp;"|"&amp;$D231,Aux_HH!$A$4:$A$31,0)))</f>
        <v>0</v>
      </c>
      <c r="I231">
        <f>IF($D231="",0,$E231*INDEX(Aux_HH!$F$4:$F$31,MATCH($A231&amp;"|"&amp;$D231,Aux_HH!$A$4:$A$31,0)))</f>
        <v>0</v>
      </c>
      <c r="J231">
        <f>IF($D231="",0,$E231*INDEX(Aux_HH!$G$4:$G$31,MATCH($A231&amp;"|"&amp;$D231,Aux_HH!$A$4:$A$31,0)))</f>
        <v>0</v>
      </c>
      <c r="K231">
        <f>IF($D231="",0,$E231*INDEX(Aux_HH!$H$4:$H$31,MATCH($A231&amp;"|"&amp;$D231,Aux_HH!$A$4:$A$31,0)))</f>
        <v>0</v>
      </c>
      <c r="L231">
        <f>IF($D231="",0,$E231*INDEX(Aux_HH!$I$4:$I$31,MATCH($A231&amp;"|"&amp;$D231,Aux_HH!$A$4:$A$31,0)))</f>
        <v>0</v>
      </c>
    </row>
    <row r="232" spans="1:12" ht="15" customHeight="1" x14ac:dyDescent="0.4">
      <c r="A232" t="str">
        <f>Premissas!$A$43</f>
        <v>Veículo Leve</v>
      </c>
      <c r="B232">
        <v>21</v>
      </c>
      <c r="C232">
        <f>INDEX(Semanas!$E$3:$E$54,21)</f>
        <v>1</v>
      </c>
      <c r="D232" t="str">
        <f>Cronograma!V9</f>
        <v/>
      </c>
      <c r="E232">
        <f>Premissas!$I$43</f>
        <v>50</v>
      </c>
      <c r="F232">
        <f t="shared" si="3"/>
        <v>0</v>
      </c>
      <c r="G232">
        <f>IF($D232="",0,$E232*INDEX(Aux_HH!$D$4:$D$31,MATCH($A232&amp;"|"&amp;$D232,Aux_HH!$A$4:$A$31,0)))</f>
        <v>0</v>
      </c>
      <c r="H232">
        <f>IF($D232="",0,$E232*INDEX(Aux_HH!$E$4:$E$31,MATCH($A232&amp;"|"&amp;$D232,Aux_HH!$A$4:$A$31,0)))</f>
        <v>0</v>
      </c>
      <c r="I232">
        <f>IF($D232="",0,$E232*INDEX(Aux_HH!$F$4:$F$31,MATCH($A232&amp;"|"&amp;$D232,Aux_HH!$A$4:$A$31,0)))</f>
        <v>0</v>
      </c>
      <c r="J232">
        <f>IF($D232="",0,$E232*INDEX(Aux_HH!$G$4:$G$31,MATCH($A232&amp;"|"&amp;$D232,Aux_HH!$A$4:$A$31,0)))</f>
        <v>0</v>
      </c>
      <c r="K232">
        <f>IF($D232="",0,$E232*INDEX(Aux_HH!$H$4:$H$31,MATCH($A232&amp;"|"&amp;$D232,Aux_HH!$A$4:$A$31,0)))</f>
        <v>0</v>
      </c>
      <c r="L232">
        <f>IF($D232="",0,$E232*INDEX(Aux_HH!$I$4:$I$31,MATCH($A232&amp;"|"&amp;$D232,Aux_HH!$A$4:$A$31,0)))</f>
        <v>0</v>
      </c>
    </row>
    <row r="233" spans="1:12" ht="15" customHeight="1" x14ac:dyDescent="0.4">
      <c r="A233" t="str">
        <f>Premissas!$A$43</f>
        <v>Veículo Leve</v>
      </c>
      <c r="B233">
        <v>22</v>
      </c>
      <c r="C233">
        <f>INDEX(Semanas!$E$3:$E$54,22)</f>
        <v>1</v>
      </c>
      <c r="D233" t="str">
        <f>Cronograma!W9</f>
        <v/>
      </c>
      <c r="E233">
        <f>Premissas!$I$43</f>
        <v>50</v>
      </c>
      <c r="F233">
        <f t="shared" si="3"/>
        <v>0</v>
      </c>
      <c r="G233">
        <f>IF($D233="",0,$E233*INDEX(Aux_HH!$D$4:$D$31,MATCH($A233&amp;"|"&amp;$D233,Aux_HH!$A$4:$A$31,0)))</f>
        <v>0</v>
      </c>
      <c r="H233">
        <f>IF($D233="",0,$E233*INDEX(Aux_HH!$E$4:$E$31,MATCH($A233&amp;"|"&amp;$D233,Aux_HH!$A$4:$A$31,0)))</f>
        <v>0</v>
      </c>
      <c r="I233">
        <f>IF($D233="",0,$E233*INDEX(Aux_HH!$F$4:$F$31,MATCH($A233&amp;"|"&amp;$D233,Aux_HH!$A$4:$A$31,0)))</f>
        <v>0</v>
      </c>
      <c r="J233">
        <f>IF($D233="",0,$E233*INDEX(Aux_HH!$G$4:$G$31,MATCH($A233&amp;"|"&amp;$D233,Aux_HH!$A$4:$A$31,0)))</f>
        <v>0</v>
      </c>
      <c r="K233">
        <f>IF($D233="",0,$E233*INDEX(Aux_HH!$H$4:$H$31,MATCH($A233&amp;"|"&amp;$D233,Aux_HH!$A$4:$A$31,0)))</f>
        <v>0</v>
      </c>
      <c r="L233">
        <f>IF($D233="",0,$E233*INDEX(Aux_HH!$I$4:$I$31,MATCH($A233&amp;"|"&amp;$D233,Aux_HH!$A$4:$A$31,0)))</f>
        <v>0</v>
      </c>
    </row>
    <row r="234" spans="1:12" ht="15" customHeight="1" x14ac:dyDescent="0.4">
      <c r="A234" t="str">
        <f>Premissas!$A$43</f>
        <v>Veículo Leve</v>
      </c>
      <c r="B234">
        <v>23</v>
      </c>
      <c r="C234">
        <f>INDEX(Semanas!$E$3:$E$54,23)</f>
        <v>2</v>
      </c>
      <c r="D234" t="str">
        <f>Cronograma!X9</f>
        <v/>
      </c>
      <c r="E234">
        <f>Premissas!$I$43</f>
        <v>50</v>
      </c>
      <c r="F234">
        <f t="shared" si="3"/>
        <v>0</v>
      </c>
      <c r="G234">
        <f>IF($D234="",0,$E234*INDEX(Aux_HH!$D$4:$D$31,MATCH($A234&amp;"|"&amp;$D234,Aux_HH!$A$4:$A$31,0)))</f>
        <v>0</v>
      </c>
      <c r="H234">
        <f>IF($D234="",0,$E234*INDEX(Aux_HH!$E$4:$E$31,MATCH($A234&amp;"|"&amp;$D234,Aux_HH!$A$4:$A$31,0)))</f>
        <v>0</v>
      </c>
      <c r="I234">
        <f>IF($D234="",0,$E234*INDEX(Aux_HH!$F$4:$F$31,MATCH($A234&amp;"|"&amp;$D234,Aux_HH!$A$4:$A$31,0)))</f>
        <v>0</v>
      </c>
      <c r="J234">
        <f>IF($D234="",0,$E234*INDEX(Aux_HH!$G$4:$G$31,MATCH($A234&amp;"|"&amp;$D234,Aux_HH!$A$4:$A$31,0)))</f>
        <v>0</v>
      </c>
      <c r="K234">
        <f>IF($D234="",0,$E234*INDEX(Aux_HH!$H$4:$H$31,MATCH($A234&amp;"|"&amp;$D234,Aux_HH!$A$4:$A$31,0)))</f>
        <v>0</v>
      </c>
      <c r="L234">
        <f>IF($D234="",0,$E234*INDEX(Aux_HH!$I$4:$I$31,MATCH($A234&amp;"|"&amp;$D234,Aux_HH!$A$4:$A$31,0)))</f>
        <v>0</v>
      </c>
    </row>
    <row r="235" spans="1:12" ht="15" customHeight="1" x14ac:dyDescent="0.4">
      <c r="A235" t="str">
        <f>Premissas!$A$43</f>
        <v>Veículo Leve</v>
      </c>
      <c r="B235">
        <v>24</v>
      </c>
      <c r="C235">
        <f>INDEX(Semanas!$E$3:$E$54,24)</f>
        <v>2</v>
      </c>
      <c r="D235" t="str">
        <f>Cronograma!Y9</f>
        <v/>
      </c>
      <c r="E235">
        <f>Premissas!$I$43</f>
        <v>50</v>
      </c>
      <c r="F235">
        <f t="shared" si="3"/>
        <v>0</v>
      </c>
      <c r="G235">
        <f>IF($D235="",0,$E235*INDEX(Aux_HH!$D$4:$D$31,MATCH($A235&amp;"|"&amp;$D235,Aux_HH!$A$4:$A$31,0)))</f>
        <v>0</v>
      </c>
      <c r="H235">
        <f>IF($D235="",0,$E235*INDEX(Aux_HH!$E$4:$E$31,MATCH($A235&amp;"|"&amp;$D235,Aux_HH!$A$4:$A$31,0)))</f>
        <v>0</v>
      </c>
      <c r="I235">
        <f>IF($D235="",0,$E235*INDEX(Aux_HH!$F$4:$F$31,MATCH($A235&amp;"|"&amp;$D235,Aux_HH!$A$4:$A$31,0)))</f>
        <v>0</v>
      </c>
      <c r="J235">
        <f>IF($D235="",0,$E235*INDEX(Aux_HH!$G$4:$G$31,MATCH($A235&amp;"|"&amp;$D235,Aux_HH!$A$4:$A$31,0)))</f>
        <v>0</v>
      </c>
      <c r="K235">
        <f>IF($D235="",0,$E235*INDEX(Aux_HH!$H$4:$H$31,MATCH($A235&amp;"|"&amp;$D235,Aux_HH!$A$4:$A$31,0)))</f>
        <v>0</v>
      </c>
      <c r="L235">
        <f>IF($D235="",0,$E235*INDEX(Aux_HH!$I$4:$I$31,MATCH($A235&amp;"|"&amp;$D235,Aux_HH!$A$4:$A$31,0)))</f>
        <v>0</v>
      </c>
    </row>
    <row r="236" spans="1:12" ht="15" customHeight="1" x14ac:dyDescent="0.4">
      <c r="A236" t="str">
        <f>Premissas!$A$43</f>
        <v>Veículo Leve</v>
      </c>
      <c r="B236">
        <v>25</v>
      </c>
      <c r="C236">
        <f>INDEX(Semanas!$E$3:$E$54,25)</f>
        <v>2</v>
      </c>
      <c r="D236" t="str">
        <f>Cronograma!Z9</f>
        <v/>
      </c>
      <c r="E236">
        <f>Premissas!$I$43</f>
        <v>50</v>
      </c>
      <c r="F236">
        <f t="shared" si="3"/>
        <v>0</v>
      </c>
      <c r="G236">
        <f>IF($D236="",0,$E236*INDEX(Aux_HH!$D$4:$D$31,MATCH($A236&amp;"|"&amp;$D236,Aux_HH!$A$4:$A$31,0)))</f>
        <v>0</v>
      </c>
      <c r="H236">
        <f>IF($D236="",0,$E236*INDEX(Aux_HH!$E$4:$E$31,MATCH($A236&amp;"|"&amp;$D236,Aux_HH!$A$4:$A$31,0)))</f>
        <v>0</v>
      </c>
      <c r="I236">
        <f>IF($D236="",0,$E236*INDEX(Aux_HH!$F$4:$F$31,MATCH($A236&amp;"|"&amp;$D236,Aux_HH!$A$4:$A$31,0)))</f>
        <v>0</v>
      </c>
      <c r="J236">
        <f>IF($D236="",0,$E236*INDEX(Aux_HH!$G$4:$G$31,MATCH($A236&amp;"|"&amp;$D236,Aux_HH!$A$4:$A$31,0)))</f>
        <v>0</v>
      </c>
      <c r="K236">
        <f>IF($D236="",0,$E236*INDEX(Aux_HH!$H$4:$H$31,MATCH($A236&amp;"|"&amp;$D236,Aux_HH!$A$4:$A$31,0)))</f>
        <v>0</v>
      </c>
      <c r="L236">
        <f>IF($D236="",0,$E236*INDEX(Aux_HH!$I$4:$I$31,MATCH($A236&amp;"|"&amp;$D236,Aux_HH!$A$4:$A$31,0)))</f>
        <v>0</v>
      </c>
    </row>
    <row r="237" spans="1:12" ht="15" customHeight="1" x14ac:dyDescent="0.4">
      <c r="A237" t="str">
        <f>Premissas!$A$43</f>
        <v>Veículo Leve</v>
      </c>
      <c r="B237">
        <v>26</v>
      </c>
      <c r="C237">
        <f>INDEX(Semanas!$E$3:$E$54,26)</f>
        <v>2</v>
      </c>
      <c r="D237" t="str">
        <f>Cronograma!AA9</f>
        <v/>
      </c>
      <c r="E237">
        <f>Premissas!$I$43</f>
        <v>50</v>
      </c>
      <c r="F237">
        <f t="shared" si="3"/>
        <v>0</v>
      </c>
      <c r="G237">
        <f>IF($D237="",0,$E237*INDEX(Aux_HH!$D$4:$D$31,MATCH($A237&amp;"|"&amp;$D237,Aux_HH!$A$4:$A$31,0)))</f>
        <v>0</v>
      </c>
      <c r="H237">
        <f>IF($D237="",0,$E237*INDEX(Aux_HH!$E$4:$E$31,MATCH($A237&amp;"|"&amp;$D237,Aux_HH!$A$4:$A$31,0)))</f>
        <v>0</v>
      </c>
      <c r="I237">
        <f>IF($D237="",0,$E237*INDEX(Aux_HH!$F$4:$F$31,MATCH($A237&amp;"|"&amp;$D237,Aux_HH!$A$4:$A$31,0)))</f>
        <v>0</v>
      </c>
      <c r="J237">
        <f>IF($D237="",0,$E237*INDEX(Aux_HH!$G$4:$G$31,MATCH($A237&amp;"|"&amp;$D237,Aux_HH!$A$4:$A$31,0)))</f>
        <v>0</v>
      </c>
      <c r="K237">
        <f>IF($D237="",0,$E237*INDEX(Aux_HH!$H$4:$H$31,MATCH($A237&amp;"|"&amp;$D237,Aux_HH!$A$4:$A$31,0)))</f>
        <v>0</v>
      </c>
      <c r="L237">
        <f>IF($D237="",0,$E237*INDEX(Aux_HH!$I$4:$I$31,MATCH($A237&amp;"|"&amp;$D237,Aux_HH!$A$4:$A$31,0)))</f>
        <v>0</v>
      </c>
    </row>
    <row r="238" spans="1:12" ht="15" customHeight="1" x14ac:dyDescent="0.4">
      <c r="A238" t="str">
        <f>Premissas!$A$43</f>
        <v>Veículo Leve</v>
      </c>
      <c r="B238">
        <v>27</v>
      </c>
      <c r="C238">
        <f>INDEX(Semanas!$E$3:$E$54,27)</f>
        <v>3</v>
      </c>
      <c r="D238" t="str">
        <f>Cronograma!AB9</f>
        <v/>
      </c>
      <c r="E238">
        <f>Premissas!$I$43</f>
        <v>50</v>
      </c>
      <c r="F238">
        <f t="shared" si="3"/>
        <v>0</v>
      </c>
      <c r="G238">
        <f>IF($D238="",0,$E238*INDEX(Aux_HH!$D$4:$D$31,MATCH($A238&amp;"|"&amp;$D238,Aux_HH!$A$4:$A$31,0)))</f>
        <v>0</v>
      </c>
      <c r="H238">
        <f>IF($D238="",0,$E238*INDEX(Aux_HH!$E$4:$E$31,MATCH($A238&amp;"|"&amp;$D238,Aux_HH!$A$4:$A$31,0)))</f>
        <v>0</v>
      </c>
      <c r="I238">
        <f>IF($D238="",0,$E238*INDEX(Aux_HH!$F$4:$F$31,MATCH($A238&amp;"|"&amp;$D238,Aux_HH!$A$4:$A$31,0)))</f>
        <v>0</v>
      </c>
      <c r="J238">
        <f>IF($D238="",0,$E238*INDEX(Aux_HH!$G$4:$G$31,MATCH($A238&amp;"|"&amp;$D238,Aux_HH!$A$4:$A$31,0)))</f>
        <v>0</v>
      </c>
      <c r="K238">
        <f>IF($D238="",0,$E238*INDEX(Aux_HH!$H$4:$H$31,MATCH($A238&amp;"|"&amp;$D238,Aux_HH!$A$4:$A$31,0)))</f>
        <v>0</v>
      </c>
      <c r="L238">
        <f>IF($D238="",0,$E238*INDEX(Aux_HH!$I$4:$I$31,MATCH($A238&amp;"|"&amp;$D238,Aux_HH!$A$4:$A$31,0)))</f>
        <v>0</v>
      </c>
    </row>
    <row r="239" spans="1:12" ht="15" customHeight="1" x14ac:dyDescent="0.4">
      <c r="A239" t="str">
        <f>Premissas!$A$43</f>
        <v>Veículo Leve</v>
      </c>
      <c r="B239">
        <v>28</v>
      </c>
      <c r="C239">
        <f>INDEX(Semanas!$E$3:$E$54,28)</f>
        <v>3</v>
      </c>
      <c r="D239" t="str">
        <f>Cronograma!AC9</f>
        <v/>
      </c>
      <c r="E239">
        <f>Premissas!$I$43</f>
        <v>50</v>
      </c>
      <c r="F239">
        <f t="shared" si="3"/>
        <v>0</v>
      </c>
      <c r="G239">
        <f>IF($D239="",0,$E239*INDEX(Aux_HH!$D$4:$D$31,MATCH($A239&amp;"|"&amp;$D239,Aux_HH!$A$4:$A$31,0)))</f>
        <v>0</v>
      </c>
      <c r="H239">
        <f>IF($D239="",0,$E239*INDEX(Aux_HH!$E$4:$E$31,MATCH($A239&amp;"|"&amp;$D239,Aux_HH!$A$4:$A$31,0)))</f>
        <v>0</v>
      </c>
      <c r="I239">
        <f>IF($D239="",0,$E239*INDEX(Aux_HH!$F$4:$F$31,MATCH($A239&amp;"|"&amp;$D239,Aux_HH!$A$4:$A$31,0)))</f>
        <v>0</v>
      </c>
      <c r="J239">
        <f>IF($D239="",0,$E239*INDEX(Aux_HH!$G$4:$G$31,MATCH($A239&amp;"|"&amp;$D239,Aux_HH!$A$4:$A$31,0)))</f>
        <v>0</v>
      </c>
      <c r="K239">
        <f>IF($D239="",0,$E239*INDEX(Aux_HH!$H$4:$H$31,MATCH($A239&amp;"|"&amp;$D239,Aux_HH!$A$4:$A$31,0)))</f>
        <v>0</v>
      </c>
      <c r="L239">
        <f>IF($D239="",0,$E239*INDEX(Aux_HH!$I$4:$I$31,MATCH($A239&amp;"|"&amp;$D239,Aux_HH!$A$4:$A$31,0)))</f>
        <v>0</v>
      </c>
    </row>
    <row r="240" spans="1:12" ht="15" customHeight="1" x14ac:dyDescent="0.4">
      <c r="A240" t="str">
        <f>Premissas!$A$43</f>
        <v>Veículo Leve</v>
      </c>
      <c r="B240">
        <v>29</v>
      </c>
      <c r="C240">
        <f>INDEX(Semanas!$E$3:$E$54,29)</f>
        <v>3</v>
      </c>
      <c r="D240" t="str">
        <f>Cronograma!AD9</f>
        <v>A</v>
      </c>
      <c r="E240">
        <f>Premissas!$I$43</f>
        <v>50</v>
      </c>
      <c r="F240">
        <f t="shared" si="3"/>
        <v>50</v>
      </c>
      <c r="G240">
        <f>IF($D240="",0,$E240*INDEX(Aux_HH!$D$4:$D$31,MATCH($A240&amp;"|"&amp;$D240,Aux_HH!$A$4:$A$31,0)))</f>
        <v>150</v>
      </c>
      <c r="H240">
        <f>IF($D240="",0,$E240*INDEX(Aux_HH!$E$4:$E$31,MATCH($A240&amp;"|"&amp;$D240,Aux_HH!$A$4:$A$31,0)))</f>
        <v>0</v>
      </c>
      <c r="I240">
        <f>IF($D240="",0,$E240*INDEX(Aux_HH!$F$4:$F$31,MATCH($A240&amp;"|"&amp;$D240,Aux_HH!$A$4:$A$31,0)))</f>
        <v>0</v>
      </c>
      <c r="J240">
        <f>IF($D240="",0,$E240*INDEX(Aux_HH!$G$4:$G$31,MATCH($A240&amp;"|"&amp;$D240,Aux_HH!$A$4:$A$31,0)))</f>
        <v>0</v>
      </c>
      <c r="K240">
        <f>IF($D240="",0,$E240*INDEX(Aux_HH!$H$4:$H$31,MATCH($A240&amp;"|"&amp;$D240,Aux_HH!$A$4:$A$31,0)))</f>
        <v>0</v>
      </c>
      <c r="L240">
        <f>IF($D240="",0,$E240*INDEX(Aux_HH!$I$4:$I$31,MATCH($A240&amp;"|"&amp;$D240,Aux_HH!$A$4:$A$31,0)))</f>
        <v>0</v>
      </c>
    </row>
    <row r="241" spans="1:12" ht="15" customHeight="1" x14ac:dyDescent="0.4">
      <c r="A241" t="str">
        <f>Premissas!$A$43</f>
        <v>Veículo Leve</v>
      </c>
      <c r="B241">
        <v>30</v>
      </c>
      <c r="C241">
        <f>INDEX(Semanas!$E$3:$E$54,30)</f>
        <v>3</v>
      </c>
      <c r="D241" t="str">
        <f>Cronograma!AE9</f>
        <v/>
      </c>
      <c r="E241">
        <f>Premissas!$I$43</f>
        <v>50</v>
      </c>
      <c r="F241">
        <f t="shared" si="3"/>
        <v>0</v>
      </c>
      <c r="G241">
        <f>IF($D241="",0,$E241*INDEX(Aux_HH!$D$4:$D$31,MATCH($A241&amp;"|"&amp;$D241,Aux_HH!$A$4:$A$31,0)))</f>
        <v>0</v>
      </c>
      <c r="H241">
        <f>IF($D241="",0,$E241*INDEX(Aux_HH!$E$4:$E$31,MATCH($A241&amp;"|"&amp;$D241,Aux_HH!$A$4:$A$31,0)))</f>
        <v>0</v>
      </c>
      <c r="I241">
        <f>IF($D241="",0,$E241*INDEX(Aux_HH!$F$4:$F$31,MATCH($A241&amp;"|"&amp;$D241,Aux_HH!$A$4:$A$31,0)))</f>
        <v>0</v>
      </c>
      <c r="J241">
        <f>IF($D241="",0,$E241*INDEX(Aux_HH!$G$4:$G$31,MATCH($A241&amp;"|"&amp;$D241,Aux_HH!$A$4:$A$31,0)))</f>
        <v>0</v>
      </c>
      <c r="K241">
        <f>IF($D241="",0,$E241*INDEX(Aux_HH!$H$4:$H$31,MATCH($A241&amp;"|"&amp;$D241,Aux_HH!$A$4:$A$31,0)))</f>
        <v>0</v>
      </c>
      <c r="L241">
        <f>IF($D241="",0,$E241*INDEX(Aux_HH!$I$4:$I$31,MATCH($A241&amp;"|"&amp;$D241,Aux_HH!$A$4:$A$31,0)))</f>
        <v>0</v>
      </c>
    </row>
    <row r="242" spans="1:12" ht="15" customHeight="1" x14ac:dyDescent="0.4">
      <c r="A242" t="str">
        <f>Premissas!$A$43</f>
        <v>Veículo Leve</v>
      </c>
      <c r="B242">
        <v>31</v>
      </c>
      <c r="C242">
        <f>INDEX(Semanas!$E$3:$E$54,31)</f>
        <v>3</v>
      </c>
      <c r="D242" t="str">
        <f>Cronograma!AF9</f>
        <v/>
      </c>
      <c r="E242">
        <f>Premissas!$I$43</f>
        <v>50</v>
      </c>
      <c r="F242">
        <f t="shared" si="3"/>
        <v>0</v>
      </c>
      <c r="G242">
        <f>IF($D242="",0,$E242*INDEX(Aux_HH!$D$4:$D$31,MATCH($A242&amp;"|"&amp;$D242,Aux_HH!$A$4:$A$31,0)))</f>
        <v>0</v>
      </c>
      <c r="H242">
        <f>IF($D242="",0,$E242*INDEX(Aux_HH!$E$4:$E$31,MATCH($A242&amp;"|"&amp;$D242,Aux_HH!$A$4:$A$31,0)))</f>
        <v>0</v>
      </c>
      <c r="I242">
        <f>IF($D242="",0,$E242*INDEX(Aux_HH!$F$4:$F$31,MATCH($A242&amp;"|"&amp;$D242,Aux_HH!$A$4:$A$31,0)))</f>
        <v>0</v>
      </c>
      <c r="J242">
        <f>IF($D242="",0,$E242*INDEX(Aux_HH!$G$4:$G$31,MATCH($A242&amp;"|"&amp;$D242,Aux_HH!$A$4:$A$31,0)))</f>
        <v>0</v>
      </c>
      <c r="K242">
        <f>IF($D242="",0,$E242*INDEX(Aux_HH!$H$4:$H$31,MATCH($A242&amp;"|"&amp;$D242,Aux_HH!$A$4:$A$31,0)))</f>
        <v>0</v>
      </c>
      <c r="L242">
        <f>IF($D242="",0,$E242*INDEX(Aux_HH!$I$4:$I$31,MATCH($A242&amp;"|"&amp;$D242,Aux_HH!$A$4:$A$31,0)))</f>
        <v>0</v>
      </c>
    </row>
    <row r="243" spans="1:12" ht="15" customHeight="1" x14ac:dyDescent="0.4">
      <c r="A243" t="str">
        <f>Premissas!$A$43</f>
        <v>Veículo Leve</v>
      </c>
      <c r="B243">
        <v>32</v>
      </c>
      <c r="C243">
        <f>INDEX(Semanas!$E$3:$E$54,32)</f>
        <v>4</v>
      </c>
      <c r="D243" t="str">
        <f>Cronograma!AG9</f>
        <v/>
      </c>
      <c r="E243">
        <f>Premissas!$I$43</f>
        <v>50</v>
      </c>
      <c r="F243">
        <f t="shared" si="3"/>
        <v>0</v>
      </c>
      <c r="G243">
        <f>IF($D243="",0,$E243*INDEX(Aux_HH!$D$4:$D$31,MATCH($A243&amp;"|"&amp;$D243,Aux_HH!$A$4:$A$31,0)))</f>
        <v>0</v>
      </c>
      <c r="H243">
        <f>IF($D243="",0,$E243*INDEX(Aux_HH!$E$4:$E$31,MATCH($A243&amp;"|"&amp;$D243,Aux_HH!$A$4:$A$31,0)))</f>
        <v>0</v>
      </c>
      <c r="I243">
        <f>IF($D243="",0,$E243*INDEX(Aux_HH!$F$4:$F$31,MATCH($A243&amp;"|"&amp;$D243,Aux_HH!$A$4:$A$31,0)))</f>
        <v>0</v>
      </c>
      <c r="J243">
        <f>IF($D243="",0,$E243*INDEX(Aux_HH!$G$4:$G$31,MATCH($A243&amp;"|"&amp;$D243,Aux_HH!$A$4:$A$31,0)))</f>
        <v>0</v>
      </c>
      <c r="K243">
        <f>IF($D243="",0,$E243*INDEX(Aux_HH!$H$4:$H$31,MATCH($A243&amp;"|"&amp;$D243,Aux_HH!$A$4:$A$31,0)))</f>
        <v>0</v>
      </c>
      <c r="L243">
        <f>IF($D243="",0,$E243*INDEX(Aux_HH!$I$4:$I$31,MATCH($A243&amp;"|"&amp;$D243,Aux_HH!$A$4:$A$31,0)))</f>
        <v>0</v>
      </c>
    </row>
    <row r="244" spans="1:12" ht="15" customHeight="1" x14ac:dyDescent="0.4">
      <c r="A244" t="str">
        <f>Premissas!$A$43</f>
        <v>Veículo Leve</v>
      </c>
      <c r="B244">
        <v>33</v>
      </c>
      <c r="C244">
        <f>INDEX(Semanas!$E$3:$E$54,33)</f>
        <v>4</v>
      </c>
      <c r="D244" t="str">
        <f>Cronograma!AH9</f>
        <v/>
      </c>
      <c r="E244">
        <f>Premissas!$I$43</f>
        <v>50</v>
      </c>
      <c r="F244">
        <f t="shared" si="3"/>
        <v>0</v>
      </c>
      <c r="G244">
        <f>IF($D244="",0,$E244*INDEX(Aux_HH!$D$4:$D$31,MATCH($A244&amp;"|"&amp;$D244,Aux_HH!$A$4:$A$31,0)))</f>
        <v>0</v>
      </c>
      <c r="H244">
        <f>IF($D244="",0,$E244*INDEX(Aux_HH!$E$4:$E$31,MATCH($A244&amp;"|"&amp;$D244,Aux_HH!$A$4:$A$31,0)))</f>
        <v>0</v>
      </c>
      <c r="I244">
        <f>IF($D244="",0,$E244*INDEX(Aux_HH!$F$4:$F$31,MATCH($A244&amp;"|"&amp;$D244,Aux_HH!$A$4:$A$31,0)))</f>
        <v>0</v>
      </c>
      <c r="J244">
        <f>IF($D244="",0,$E244*INDEX(Aux_HH!$G$4:$G$31,MATCH($A244&amp;"|"&amp;$D244,Aux_HH!$A$4:$A$31,0)))</f>
        <v>0</v>
      </c>
      <c r="K244">
        <f>IF($D244="",0,$E244*INDEX(Aux_HH!$H$4:$H$31,MATCH($A244&amp;"|"&amp;$D244,Aux_HH!$A$4:$A$31,0)))</f>
        <v>0</v>
      </c>
      <c r="L244">
        <f>IF($D244="",0,$E244*INDEX(Aux_HH!$I$4:$I$31,MATCH($A244&amp;"|"&amp;$D244,Aux_HH!$A$4:$A$31,0)))</f>
        <v>0</v>
      </c>
    </row>
    <row r="245" spans="1:12" ht="15" customHeight="1" x14ac:dyDescent="0.4">
      <c r="A245" t="str">
        <f>Premissas!$A$43</f>
        <v>Veículo Leve</v>
      </c>
      <c r="B245">
        <v>34</v>
      </c>
      <c r="C245">
        <f>INDEX(Semanas!$E$3:$E$54,34)</f>
        <v>4</v>
      </c>
      <c r="D245" t="str">
        <f>Cronograma!AI9</f>
        <v/>
      </c>
      <c r="E245">
        <f>Premissas!$I$43</f>
        <v>50</v>
      </c>
      <c r="F245">
        <f t="shared" si="3"/>
        <v>0</v>
      </c>
      <c r="G245">
        <f>IF($D245="",0,$E245*INDEX(Aux_HH!$D$4:$D$31,MATCH($A245&amp;"|"&amp;$D245,Aux_HH!$A$4:$A$31,0)))</f>
        <v>0</v>
      </c>
      <c r="H245">
        <f>IF($D245="",0,$E245*INDEX(Aux_HH!$E$4:$E$31,MATCH($A245&amp;"|"&amp;$D245,Aux_HH!$A$4:$A$31,0)))</f>
        <v>0</v>
      </c>
      <c r="I245">
        <f>IF($D245="",0,$E245*INDEX(Aux_HH!$F$4:$F$31,MATCH($A245&amp;"|"&amp;$D245,Aux_HH!$A$4:$A$31,0)))</f>
        <v>0</v>
      </c>
      <c r="J245">
        <f>IF($D245="",0,$E245*INDEX(Aux_HH!$G$4:$G$31,MATCH($A245&amp;"|"&amp;$D245,Aux_HH!$A$4:$A$31,0)))</f>
        <v>0</v>
      </c>
      <c r="K245">
        <f>IF($D245="",0,$E245*INDEX(Aux_HH!$H$4:$H$31,MATCH($A245&amp;"|"&amp;$D245,Aux_HH!$A$4:$A$31,0)))</f>
        <v>0</v>
      </c>
      <c r="L245">
        <f>IF($D245="",0,$E245*INDEX(Aux_HH!$I$4:$I$31,MATCH($A245&amp;"|"&amp;$D245,Aux_HH!$A$4:$A$31,0)))</f>
        <v>0</v>
      </c>
    </row>
    <row r="246" spans="1:12" ht="15" customHeight="1" x14ac:dyDescent="0.4">
      <c r="A246" t="str">
        <f>Premissas!$A$43</f>
        <v>Veículo Leve</v>
      </c>
      <c r="B246">
        <v>35</v>
      </c>
      <c r="C246">
        <f>INDEX(Semanas!$E$3:$E$54,35)</f>
        <v>4</v>
      </c>
      <c r="D246" t="str">
        <f>Cronograma!AJ9</f>
        <v/>
      </c>
      <c r="E246">
        <f>Premissas!$I$43</f>
        <v>50</v>
      </c>
      <c r="F246">
        <f t="shared" si="3"/>
        <v>0</v>
      </c>
      <c r="G246">
        <f>IF($D246="",0,$E246*INDEX(Aux_HH!$D$4:$D$31,MATCH($A246&amp;"|"&amp;$D246,Aux_HH!$A$4:$A$31,0)))</f>
        <v>0</v>
      </c>
      <c r="H246">
        <f>IF($D246="",0,$E246*INDEX(Aux_HH!$E$4:$E$31,MATCH($A246&amp;"|"&amp;$D246,Aux_HH!$A$4:$A$31,0)))</f>
        <v>0</v>
      </c>
      <c r="I246">
        <f>IF($D246="",0,$E246*INDEX(Aux_HH!$F$4:$F$31,MATCH($A246&amp;"|"&amp;$D246,Aux_HH!$A$4:$A$31,0)))</f>
        <v>0</v>
      </c>
      <c r="J246">
        <f>IF($D246="",0,$E246*INDEX(Aux_HH!$G$4:$G$31,MATCH($A246&amp;"|"&amp;$D246,Aux_HH!$A$4:$A$31,0)))</f>
        <v>0</v>
      </c>
      <c r="K246">
        <f>IF($D246="",0,$E246*INDEX(Aux_HH!$H$4:$H$31,MATCH($A246&amp;"|"&amp;$D246,Aux_HH!$A$4:$A$31,0)))</f>
        <v>0</v>
      </c>
      <c r="L246">
        <f>IF($D246="",0,$E246*INDEX(Aux_HH!$I$4:$I$31,MATCH($A246&amp;"|"&amp;$D246,Aux_HH!$A$4:$A$31,0)))</f>
        <v>0</v>
      </c>
    </row>
    <row r="247" spans="1:12" ht="15" customHeight="1" x14ac:dyDescent="0.4">
      <c r="A247" t="str">
        <f>Premissas!$A$43</f>
        <v>Veículo Leve</v>
      </c>
      <c r="B247">
        <v>36</v>
      </c>
      <c r="C247">
        <f>INDEX(Semanas!$E$3:$E$54,36)</f>
        <v>5</v>
      </c>
      <c r="D247" t="str">
        <f>Cronograma!AK9</f>
        <v/>
      </c>
      <c r="E247">
        <f>Premissas!$I$43</f>
        <v>50</v>
      </c>
      <c r="F247">
        <f t="shared" si="3"/>
        <v>0</v>
      </c>
      <c r="G247">
        <f>IF($D247="",0,$E247*INDEX(Aux_HH!$D$4:$D$31,MATCH($A247&amp;"|"&amp;$D247,Aux_HH!$A$4:$A$31,0)))</f>
        <v>0</v>
      </c>
      <c r="H247">
        <f>IF($D247="",0,$E247*INDEX(Aux_HH!$E$4:$E$31,MATCH($A247&amp;"|"&amp;$D247,Aux_HH!$A$4:$A$31,0)))</f>
        <v>0</v>
      </c>
      <c r="I247">
        <f>IF($D247="",0,$E247*INDEX(Aux_HH!$F$4:$F$31,MATCH($A247&amp;"|"&amp;$D247,Aux_HH!$A$4:$A$31,0)))</f>
        <v>0</v>
      </c>
      <c r="J247">
        <f>IF($D247="",0,$E247*INDEX(Aux_HH!$G$4:$G$31,MATCH($A247&amp;"|"&amp;$D247,Aux_HH!$A$4:$A$31,0)))</f>
        <v>0</v>
      </c>
      <c r="K247">
        <f>IF($D247="",0,$E247*INDEX(Aux_HH!$H$4:$H$31,MATCH($A247&amp;"|"&amp;$D247,Aux_HH!$A$4:$A$31,0)))</f>
        <v>0</v>
      </c>
      <c r="L247">
        <f>IF($D247="",0,$E247*INDEX(Aux_HH!$I$4:$I$31,MATCH($A247&amp;"|"&amp;$D247,Aux_HH!$A$4:$A$31,0)))</f>
        <v>0</v>
      </c>
    </row>
    <row r="248" spans="1:12" ht="15" customHeight="1" x14ac:dyDescent="0.4">
      <c r="A248" t="str">
        <f>Premissas!$A$43</f>
        <v>Veículo Leve</v>
      </c>
      <c r="B248">
        <v>37</v>
      </c>
      <c r="C248">
        <f>INDEX(Semanas!$E$3:$E$54,37)</f>
        <v>5</v>
      </c>
      <c r="D248" t="str">
        <f>Cronograma!AL9</f>
        <v/>
      </c>
      <c r="E248">
        <f>Premissas!$I$43</f>
        <v>50</v>
      </c>
      <c r="F248">
        <f t="shared" si="3"/>
        <v>0</v>
      </c>
      <c r="G248">
        <f>IF($D248="",0,$E248*INDEX(Aux_HH!$D$4:$D$31,MATCH($A248&amp;"|"&amp;$D248,Aux_HH!$A$4:$A$31,0)))</f>
        <v>0</v>
      </c>
      <c r="H248">
        <f>IF($D248="",0,$E248*INDEX(Aux_HH!$E$4:$E$31,MATCH($A248&amp;"|"&amp;$D248,Aux_HH!$A$4:$A$31,0)))</f>
        <v>0</v>
      </c>
      <c r="I248">
        <f>IF($D248="",0,$E248*INDEX(Aux_HH!$F$4:$F$31,MATCH($A248&amp;"|"&amp;$D248,Aux_HH!$A$4:$A$31,0)))</f>
        <v>0</v>
      </c>
      <c r="J248">
        <f>IF($D248="",0,$E248*INDEX(Aux_HH!$G$4:$G$31,MATCH($A248&amp;"|"&amp;$D248,Aux_HH!$A$4:$A$31,0)))</f>
        <v>0</v>
      </c>
      <c r="K248">
        <f>IF($D248="",0,$E248*INDEX(Aux_HH!$H$4:$H$31,MATCH($A248&amp;"|"&amp;$D248,Aux_HH!$A$4:$A$31,0)))</f>
        <v>0</v>
      </c>
      <c r="L248">
        <f>IF($D248="",0,$E248*INDEX(Aux_HH!$I$4:$I$31,MATCH($A248&amp;"|"&amp;$D248,Aux_HH!$A$4:$A$31,0)))</f>
        <v>0</v>
      </c>
    </row>
    <row r="249" spans="1:12" ht="15" customHeight="1" x14ac:dyDescent="0.4">
      <c r="A249" t="str">
        <f>Premissas!$A$43</f>
        <v>Veículo Leve</v>
      </c>
      <c r="B249">
        <v>38</v>
      </c>
      <c r="C249">
        <f>INDEX(Semanas!$E$3:$E$54,38)</f>
        <v>5</v>
      </c>
      <c r="D249" t="str">
        <f>Cronograma!AM9</f>
        <v/>
      </c>
      <c r="E249">
        <f>Premissas!$I$43</f>
        <v>50</v>
      </c>
      <c r="F249">
        <f t="shared" si="3"/>
        <v>0</v>
      </c>
      <c r="G249">
        <f>IF($D249="",0,$E249*INDEX(Aux_HH!$D$4:$D$31,MATCH($A249&amp;"|"&amp;$D249,Aux_HH!$A$4:$A$31,0)))</f>
        <v>0</v>
      </c>
      <c r="H249">
        <f>IF($D249="",0,$E249*INDEX(Aux_HH!$E$4:$E$31,MATCH($A249&amp;"|"&amp;$D249,Aux_HH!$A$4:$A$31,0)))</f>
        <v>0</v>
      </c>
      <c r="I249">
        <f>IF($D249="",0,$E249*INDEX(Aux_HH!$F$4:$F$31,MATCH($A249&amp;"|"&amp;$D249,Aux_HH!$A$4:$A$31,0)))</f>
        <v>0</v>
      </c>
      <c r="J249">
        <f>IF($D249="",0,$E249*INDEX(Aux_HH!$G$4:$G$31,MATCH($A249&amp;"|"&amp;$D249,Aux_HH!$A$4:$A$31,0)))</f>
        <v>0</v>
      </c>
      <c r="K249">
        <f>IF($D249="",0,$E249*INDEX(Aux_HH!$H$4:$H$31,MATCH($A249&amp;"|"&amp;$D249,Aux_HH!$A$4:$A$31,0)))</f>
        <v>0</v>
      </c>
      <c r="L249">
        <f>IF($D249="",0,$E249*INDEX(Aux_HH!$I$4:$I$31,MATCH($A249&amp;"|"&amp;$D249,Aux_HH!$A$4:$A$31,0)))</f>
        <v>0</v>
      </c>
    </row>
    <row r="250" spans="1:12" ht="15" customHeight="1" x14ac:dyDescent="0.4">
      <c r="A250" t="str">
        <f>Premissas!$A$43</f>
        <v>Veículo Leve</v>
      </c>
      <c r="B250">
        <v>39</v>
      </c>
      <c r="C250">
        <f>INDEX(Semanas!$E$3:$E$54,39)</f>
        <v>5</v>
      </c>
      <c r="D250" t="str">
        <f>Cronograma!AN9</f>
        <v/>
      </c>
      <c r="E250">
        <f>Premissas!$I$43</f>
        <v>50</v>
      </c>
      <c r="F250">
        <f t="shared" si="3"/>
        <v>0</v>
      </c>
      <c r="G250">
        <f>IF($D250="",0,$E250*INDEX(Aux_HH!$D$4:$D$31,MATCH($A250&amp;"|"&amp;$D250,Aux_HH!$A$4:$A$31,0)))</f>
        <v>0</v>
      </c>
      <c r="H250">
        <f>IF($D250="",0,$E250*INDEX(Aux_HH!$E$4:$E$31,MATCH($A250&amp;"|"&amp;$D250,Aux_HH!$A$4:$A$31,0)))</f>
        <v>0</v>
      </c>
      <c r="I250">
        <f>IF($D250="",0,$E250*INDEX(Aux_HH!$F$4:$F$31,MATCH($A250&amp;"|"&amp;$D250,Aux_HH!$A$4:$A$31,0)))</f>
        <v>0</v>
      </c>
      <c r="J250">
        <f>IF($D250="",0,$E250*INDEX(Aux_HH!$G$4:$G$31,MATCH($A250&amp;"|"&amp;$D250,Aux_HH!$A$4:$A$31,0)))</f>
        <v>0</v>
      </c>
      <c r="K250">
        <f>IF($D250="",0,$E250*INDEX(Aux_HH!$H$4:$H$31,MATCH($A250&amp;"|"&amp;$D250,Aux_HH!$A$4:$A$31,0)))</f>
        <v>0</v>
      </c>
      <c r="L250">
        <f>IF($D250="",0,$E250*INDEX(Aux_HH!$I$4:$I$31,MATCH($A250&amp;"|"&amp;$D250,Aux_HH!$A$4:$A$31,0)))</f>
        <v>0</v>
      </c>
    </row>
    <row r="251" spans="1:12" ht="15" customHeight="1" x14ac:dyDescent="0.4">
      <c r="A251" t="str">
        <f>Premissas!$A$43</f>
        <v>Veículo Leve</v>
      </c>
      <c r="B251">
        <v>40</v>
      </c>
      <c r="C251">
        <f>INDEX(Semanas!$E$3:$E$54,40)</f>
        <v>6</v>
      </c>
      <c r="D251" t="str">
        <f>Cronograma!AO9</f>
        <v/>
      </c>
      <c r="E251">
        <f>Premissas!$I$43</f>
        <v>50</v>
      </c>
      <c r="F251">
        <f t="shared" si="3"/>
        <v>0</v>
      </c>
      <c r="G251">
        <f>IF($D251="",0,$E251*INDEX(Aux_HH!$D$4:$D$31,MATCH($A251&amp;"|"&amp;$D251,Aux_HH!$A$4:$A$31,0)))</f>
        <v>0</v>
      </c>
      <c r="H251">
        <f>IF($D251="",0,$E251*INDEX(Aux_HH!$E$4:$E$31,MATCH($A251&amp;"|"&amp;$D251,Aux_HH!$A$4:$A$31,0)))</f>
        <v>0</v>
      </c>
      <c r="I251">
        <f>IF($D251="",0,$E251*INDEX(Aux_HH!$F$4:$F$31,MATCH($A251&amp;"|"&amp;$D251,Aux_HH!$A$4:$A$31,0)))</f>
        <v>0</v>
      </c>
      <c r="J251">
        <f>IF($D251="",0,$E251*INDEX(Aux_HH!$G$4:$G$31,MATCH($A251&amp;"|"&amp;$D251,Aux_HH!$A$4:$A$31,0)))</f>
        <v>0</v>
      </c>
      <c r="K251">
        <f>IF($D251="",0,$E251*INDEX(Aux_HH!$H$4:$H$31,MATCH($A251&amp;"|"&amp;$D251,Aux_HH!$A$4:$A$31,0)))</f>
        <v>0</v>
      </c>
      <c r="L251">
        <f>IF($D251="",0,$E251*INDEX(Aux_HH!$I$4:$I$31,MATCH($A251&amp;"|"&amp;$D251,Aux_HH!$A$4:$A$31,0)))</f>
        <v>0</v>
      </c>
    </row>
    <row r="252" spans="1:12" ht="15" customHeight="1" x14ac:dyDescent="0.4">
      <c r="A252" t="str">
        <f>Premissas!$A$43</f>
        <v>Veículo Leve</v>
      </c>
      <c r="B252">
        <v>41</v>
      </c>
      <c r="C252">
        <f>INDEX(Semanas!$E$3:$E$54,41)</f>
        <v>6</v>
      </c>
      <c r="D252" t="str">
        <f>Cronograma!AP9</f>
        <v/>
      </c>
      <c r="E252">
        <f>Premissas!$I$43</f>
        <v>50</v>
      </c>
      <c r="F252">
        <f t="shared" si="3"/>
        <v>0</v>
      </c>
      <c r="G252">
        <f>IF($D252="",0,$E252*INDEX(Aux_HH!$D$4:$D$31,MATCH($A252&amp;"|"&amp;$D252,Aux_HH!$A$4:$A$31,0)))</f>
        <v>0</v>
      </c>
      <c r="H252">
        <f>IF($D252="",0,$E252*INDEX(Aux_HH!$E$4:$E$31,MATCH($A252&amp;"|"&amp;$D252,Aux_HH!$A$4:$A$31,0)))</f>
        <v>0</v>
      </c>
      <c r="I252">
        <f>IF($D252="",0,$E252*INDEX(Aux_HH!$F$4:$F$31,MATCH($A252&amp;"|"&amp;$D252,Aux_HH!$A$4:$A$31,0)))</f>
        <v>0</v>
      </c>
      <c r="J252">
        <f>IF($D252="",0,$E252*INDEX(Aux_HH!$G$4:$G$31,MATCH($A252&amp;"|"&amp;$D252,Aux_HH!$A$4:$A$31,0)))</f>
        <v>0</v>
      </c>
      <c r="K252">
        <f>IF($D252="",0,$E252*INDEX(Aux_HH!$H$4:$H$31,MATCH($A252&amp;"|"&amp;$D252,Aux_HH!$A$4:$A$31,0)))</f>
        <v>0</v>
      </c>
      <c r="L252">
        <f>IF($D252="",0,$E252*INDEX(Aux_HH!$I$4:$I$31,MATCH($A252&amp;"|"&amp;$D252,Aux_HH!$A$4:$A$31,0)))</f>
        <v>0</v>
      </c>
    </row>
    <row r="253" spans="1:12" ht="15" customHeight="1" x14ac:dyDescent="0.4">
      <c r="A253" t="str">
        <f>Premissas!$A$43</f>
        <v>Veículo Leve</v>
      </c>
      <c r="B253">
        <v>42</v>
      </c>
      <c r="C253">
        <f>INDEX(Semanas!$E$3:$E$54,42)</f>
        <v>6</v>
      </c>
      <c r="D253" t="str">
        <f>Cronograma!AQ9</f>
        <v/>
      </c>
      <c r="E253">
        <f>Premissas!$I$43</f>
        <v>50</v>
      </c>
      <c r="F253">
        <f t="shared" si="3"/>
        <v>0</v>
      </c>
      <c r="G253">
        <f>IF($D253="",0,$E253*INDEX(Aux_HH!$D$4:$D$31,MATCH($A253&amp;"|"&amp;$D253,Aux_HH!$A$4:$A$31,0)))</f>
        <v>0</v>
      </c>
      <c r="H253">
        <f>IF($D253="",0,$E253*INDEX(Aux_HH!$E$4:$E$31,MATCH($A253&amp;"|"&amp;$D253,Aux_HH!$A$4:$A$31,0)))</f>
        <v>0</v>
      </c>
      <c r="I253">
        <f>IF($D253="",0,$E253*INDEX(Aux_HH!$F$4:$F$31,MATCH($A253&amp;"|"&amp;$D253,Aux_HH!$A$4:$A$31,0)))</f>
        <v>0</v>
      </c>
      <c r="J253">
        <f>IF($D253="",0,$E253*INDEX(Aux_HH!$G$4:$G$31,MATCH($A253&amp;"|"&amp;$D253,Aux_HH!$A$4:$A$31,0)))</f>
        <v>0</v>
      </c>
      <c r="K253">
        <f>IF($D253="",0,$E253*INDEX(Aux_HH!$H$4:$H$31,MATCH($A253&amp;"|"&amp;$D253,Aux_HH!$A$4:$A$31,0)))</f>
        <v>0</v>
      </c>
      <c r="L253">
        <f>IF($D253="",0,$E253*INDEX(Aux_HH!$I$4:$I$31,MATCH($A253&amp;"|"&amp;$D253,Aux_HH!$A$4:$A$31,0)))</f>
        <v>0</v>
      </c>
    </row>
    <row r="254" spans="1:12" ht="15" customHeight="1" x14ac:dyDescent="0.4">
      <c r="A254" t="str">
        <f>Premissas!$A$43</f>
        <v>Veículo Leve</v>
      </c>
      <c r="B254">
        <v>43</v>
      </c>
      <c r="C254">
        <f>INDEX(Semanas!$E$3:$E$54,43)</f>
        <v>6</v>
      </c>
      <c r="D254" t="str">
        <f>Cronograma!AR9</f>
        <v/>
      </c>
      <c r="E254">
        <f>Premissas!$I$43</f>
        <v>50</v>
      </c>
      <c r="F254">
        <f t="shared" si="3"/>
        <v>0</v>
      </c>
      <c r="G254">
        <f>IF($D254="",0,$E254*INDEX(Aux_HH!$D$4:$D$31,MATCH($A254&amp;"|"&amp;$D254,Aux_HH!$A$4:$A$31,0)))</f>
        <v>0</v>
      </c>
      <c r="H254">
        <f>IF($D254="",0,$E254*INDEX(Aux_HH!$E$4:$E$31,MATCH($A254&amp;"|"&amp;$D254,Aux_HH!$A$4:$A$31,0)))</f>
        <v>0</v>
      </c>
      <c r="I254">
        <f>IF($D254="",0,$E254*INDEX(Aux_HH!$F$4:$F$31,MATCH($A254&amp;"|"&amp;$D254,Aux_HH!$A$4:$A$31,0)))</f>
        <v>0</v>
      </c>
      <c r="J254">
        <f>IF($D254="",0,$E254*INDEX(Aux_HH!$G$4:$G$31,MATCH($A254&amp;"|"&amp;$D254,Aux_HH!$A$4:$A$31,0)))</f>
        <v>0</v>
      </c>
      <c r="K254">
        <f>IF($D254="",0,$E254*INDEX(Aux_HH!$H$4:$H$31,MATCH($A254&amp;"|"&amp;$D254,Aux_HH!$A$4:$A$31,0)))</f>
        <v>0</v>
      </c>
      <c r="L254">
        <f>IF($D254="",0,$E254*INDEX(Aux_HH!$I$4:$I$31,MATCH($A254&amp;"|"&amp;$D254,Aux_HH!$A$4:$A$31,0)))</f>
        <v>0</v>
      </c>
    </row>
    <row r="255" spans="1:12" ht="15" customHeight="1" x14ac:dyDescent="0.4">
      <c r="A255" t="str">
        <f>Premissas!$A$43</f>
        <v>Veículo Leve</v>
      </c>
      <c r="B255">
        <v>44</v>
      </c>
      <c r="C255">
        <f>INDEX(Semanas!$E$3:$E$54,44)</f>
        <v>6</v>
      </c>
      <c r="D255" t="str">
        <f>Cronograma!AS9</f>
        <v/>
      </c>
      <c r="E255">
        <f>Premissas!$I$43</f>
        <v>50</v>
      </c>
      <c r="F255">
        <f t="shared" si="3"/>
        <v>0</v>
      </c>
      <c r="G255">
        <f>IF($D255="",0,$E255*INDEX(Aux_HH!$D$4:$D$31,MATCH($A255&amp;"|"&amp;$D255,Aux_HH!$A$4:$A$31,0)))</f>
        <v>0</v>
      </c>
      <c r="H255">
        <f>IF($D255="",0,$E255*INDEX(Aux_HH!$E$4:$E$31,MATCH($A255&amp;"|"&amp;$D255,Aux_HH!$A$4:$A$31,0)))</f>
        <v>0</v>
      </c>
      <c r="I255">
        <f>IF($D255="",0,$E255*INDEX(Aux_HH!$F$4:$F$31,MATCH($A255&amp;"|"&amp;$D255,Aux_HH!$A$4:$A$31,0)))</f>
        <v>0</v>
      </c>
      <c r="J255">
        <f>IF($D255="",0,$E255*INDEX(Aux_HH!$G$4:$G$31,MATCH($A255&amp;"|"&amp;$D255,Aux_HH!$A$4:$A$31,0)))</f>
        <v>0</v>
      </c>
      <c r="K255">
        <f>IF($D255="",0,$E255*INDEX(Aux_HH!$H$4:$H$31,MATCH($A255&amp;"|"&amp;$D255,Aux_HH!$A$4:$A$31,0)))</f>
        <v>0</v>
      </c>
      <c r="L255">
        <f>IF($D255="",0,$E255*INDEX(Aux_HH!$I$4:$I$31,MATCH($A255&amp;"|"&amp;$D255,Aux_HH!$A$4:$A$31,0)))</f>
        <v>0</v>
      </c>
    </row>
    <row r="256" spans="1:12" ht="15" customHeight="1" x14ac:dyDescent="0.4">
      <c r="A256" t="str">
        <f>Premissas!$A$43</f>
        <v>Veículo Leve</v>
      </c>
      <c r="B256">
        <v>45</v>
      </c>
      <c r="C256">
        <f>INDEX(Semanas!$E$3:$E$54,45)</f>
        <v>7</v>
      </c>
      <c r="D256" t="str">
        <f>Cronograma!AT9</f>
        <v/>
      </c>
      <c r="E256">
        <f>Premissas!$I$43</f>
        <v>50</v>
      </c>
      <c r="F256">
        <f t="shared" si="3"/>
        <v>0</v>
      </c>
      <c r="G256">
        <f>IF($D256="",0,$E256*INDEX(Aux_HH!$D$4:$D$31,MATCH($A256&amp;"|"&amp;$D256,Aux_HH!$A$4:$A$31,0)))</f>
        <v>0</v>
      </c>
      <c r="H256">
        <f>IF($D256="",0,$E256*INDEX(Aux_HH!$E$4:$E$31,MATCH($A256&amp;"|"&amp;$D256,Aux_HH!$A$4:$A$31,0)))</f>
        <v>0</v>
      </c>
      <c r="I256">
        <f>IF($D256="",0,$E256*INDEX(Aux_HH!$F$4:$F$31,MATCH($A256&amp;"|"&amp;$D256,Aux_HH!$A$4:$A$31,0)))</f>
        <v>0</v>
      </c>
      <c r="J256">
        <f>IF($D256="",0,$E256*INDEX(Aux_HH!$G$4:$G$31,MATCH($A256&amp;"|"&amp;$D256,Aux_HH!$A$4:$A$31,0)))</f>
        <v>0</v>
      </c>
      <c r="K256">
        <f>IF($D256="",0,$E256*INDEX(Aux_HH!$H$4:$H$31,MATCH($A256&amp;"|"&amp;$D256,Aux_HH!$A$4:$A$31,0)))</f>
        <v>0</v>
      </c>
      <c r="L256">
        <f>IF($D256="",0,$E256*INDEX(Aux_HH!$I$4:$I$31,MATCH($A256&amp;"|"&amp;$D256,Aux_HH!$A$4:$A$31,0)))</f>
        <v>0</v>
      </c>
    </row>
    <row r="257" spans="1:12" ht="15" customHeight="1" x14ac:dyDescent="0.4">
      <c r="A257" t="str">
        <f>Premissas!$A$43</f>
        <v>Veículo Leve</v>
      </c>
      <c r="B257">
        <v>46</v>
      </c>
      <c r="C257">
        <f>INDEX(Semanas!$E$3:$E$54,46)</f>
        <v>7</v>
      </c>
      <c r="D257" t="str">
        <f>Cronograma!AU9</f>
        <v/>
      </c>
      <c r="E257">
        <f>Premissas!$I$43</f>
        <v>50</v>
      </c>
      <c r="F257">
        <f t="shared" si="3"/>
        <v>0</v>
      </c>
      <c r="G257">
        <f>IF($D257="",0,$E257*INDEX(Aux_HH!$D$4:$D$31,MATCH($A257&amp;"|"&amp;$D257,Aux_HH!$A$4:$A$31,0)))</f>
        <v>0</v>
      </c>
      <c r="H257">
        <f>IF($D257="",0,$E257*INDEX(Aux_HH!$E$4:$E$31,MATCH($A257&amp;"|"&amp;$D257,Aux_HH!$A$4:$A$31,0)))</f>
        <v>0</v>
      </c>
      <c r="I257">
        <f>IF($D257="",0,$E257*INDEX(Aux_HH!$F$4:$F$31,MATCH($A257&amp;"|"&amp;$D257,Aux_HH!$A$4:$A$31,0)))</f>
        <v>0</v>
      </c>
      <c r="J257">
        <f>IF($D257="",0,$E257*INDEX(Aux_HH!$G$4:$G$31,MATCH($A257&amp;"|"&amp;$D257,Aux_HH!$A$4:$A$31,0)))</f>
        <v>0</v>
      </c>
      <c r="K257">
        <f>IF($D257="",0,$E257*INDEX(Aux_HH!$H$4:$H$31,MATCH($A257&amp;"|"&amp;$D257,Aux_HH!$A$4:$A$31,0)))</f>
        <v>0</v>
      </c>
      <c r="L257">
        <f>IF($D257="",0,$E257*INDEX(Aux_HH!$I$4:$I$31,MATCH($A257&amp;"|"&amp;$D257,Aux_HH!$A$4:$A$31,0)))</f>
        <v>0</v>
      </c>
    </row>
    <row r="258" spans="1:12" ht="15" customHeight="1" x14ac:dyDescent="0.4">
      <c r="A258" t="str">
        <f>Premissas!$A$43</f>
        <v>Veículo Leve</v>
      </c>
      <c r="B258">
        <v>47</v>
      </c>
      <c r="C258">
        <f>INDEX(Semanas!$E$3:$E$54,47)</f>
        <v>7</v>
      </c>
      <c r="D258" t="str">
        <f>Cronograma!AV9</f>
        <v/>
      </c>
      <c r="E258">
        <f>Premissas!$I$43</f>
        <v>50</v>
      </c>
      <c r="F258">
        <f t="shared" si="3"/>
        <v>0</v>
      </c>
      <c r="G258">
        <f>IF($D258="",0,$E258*INDEX(Aux_HH!$D$4:$D$31,MATCH($A258&amp;"|"&amp;$D258,Aux_HH!$A$4:$A$31,0)))</f>
        <v>0</v>
      </c>
      <c r="H258">
        <f>IF($D258="",0,$E258*INDEX(Aux_HH!$E$4:$E$31,MATCH($A258&amp;"|"&amp;$D258,Aux_HH!$A$4:$A$31,0)))</f>
        <v>0</v>
      </c>
      <c r="I258">
        <f>IF($D258="",0,$E258*INDEX(Aux_HH!$F$4:$F$31,MATCH($A258&amp;"|"&amp;$D258,Aux_HH!$A$4:$A$31,0)))</f>
        <v>0</v>
      </c>
      <c r="J258">
        <f>IF($D258="",0,$E258*INDEX(Aux_HH!$G$4:$G$31,MATCH($A258&amp;"|"&amp;$D258,Aux_HH!$A$4:$A$31,0)))</f>
        <v>0</v>
      </c>
      <c r="K258">
        <f>IF($D258="",0,$E258*INDEX(Aux_HH!$H$4:$H$31,MATCH($A258&amp;"|"&amp;$D258,Aux_HH!$A$4:$A$31,0)))</f>
        <v>0</v>
      </c>
      <c r="L258">
        <f>IF($D258="",0,$E258*INDEX(Aux_HH!$I$4:$I$31,MATCH($A258&amp;"|"&amp;$D258,Aux_HH!$A$4:$A$31,0)))</f>
        <v>0</v>
      </c>
    </row>
    <row r="259" spans="1:12" ht="15" customHeight="1" x14ac:dyDescent="0.4">
      <c r="A259" t="str">
        <f>Premissas!$A$43</f>
        <v>Veículo Leve</v>
      </c>
      <c r="B259">
        <v>48</v>
      </c>
      <c r="C259">
        <f>INDEX(Semanas!$E$3:$E$54,48)</f>
        <v>7</v>
      </c>
      <c r="D259" t="str">
        <f>Cronograma!AW9</f>
        <v>S</v>
      </c>
      <c r="E259">
        <f>Premissas!$I$43</f>
        <v>50</v>
      </c>
      <c r="F259">
        <f t="shared" si="3"/>
        <v>50</v>
      </c>
      <c r="G259">
        <f>IF($D259="",0,$E259*INDEX(Aux_HH!$D$4:$D$31,MATCH($A259&amp;"|"&amp;$D259,Aux_HH!$A$4:$A$31,0)))</f>
        <v>75</v>
      </c>
      <c r="H259">
        <f>IF($D259="",0,$E259*INDEX(Aux_HH!$E$4:$E$31,MATCH($A259&amp;"|"&amp;$D259,Aux_HH!$A$4:$A$31,0)))</f>
        <v>0</v>
      </c>
      <c r="I259">
        <f>IF($D259="",0,$E259*INDEX(Aux_HH!$F$4:$F$31,MATCH($A259&amp;"|"&amp;$D259,Aux_HH!$A$4:$A$31,0)))</f>
        <v>0</v>
      </c>
      <c r="J259">
        <f>IF($D259="",0,$E259*INDEX(Aux_HH!$G$4:$G$31,MATCH($A259&amp;"|"&amp;$D259,Aux_HH!$A$4:$A$31,0)))</f>
        <v>0</v>
      </c>
      <c r="K259">
        <f>IF($D259="",0,$E259*INDEX(Aux_HH!$H$4:$H$31,MATCH($A259&amp;"|"&amp;$D259,Aux_HH!$A$4:$A$31,0)))</f>
        <v>0</v>
      </c>
      <c r="L259">
        <f>IF($D259="",0,$E259*INDEX(Aux_HH!$I$4:$I$31,MATCH($A259&amp;"|"&amp;$D259,Aux_HH!$A$4:$A$31,0)))</f>
        <v>0</v>
      </c>
    </row>
    <row r="260" spans="1:12" ht="15" customHeight="1" x14ac:dyDescent="0.4">
      <c r="A260" t="str">
        <f>Premissas!$A$43</f>
        <v>Veículo Leve</v>
      </c>
      <c r="B260">
        <v>49</v>
      </c>
      <c r="C260">
        <f>INDEX(Semanas!$E$3:$E$54,49)</f>
        <v>8</v>
      </c>
      <c r="D260" t="str">
        <f>Cronograma!AX9</f>
        <v/>
      </c>
      <c r="E260">
        <f>Premissas!$I$43</f>
        <v>50</v>
      </c>
      <c r="F260">
        <f t="shared" ref="F260:F323" si="4">IF($D260="",0,$E260)</f>
        <v>0</v>
      </c>
      <c r="G260">
        <f>IF($D260="",0,$E260*INDEX(Aux_HH!$D$4:$D$31,MATCH($A260&amp;"|"&amp;$D260,Aux_HH!$A$4:$A$31,0)))</f>
        <v>0</v>
      </c>
      <c r="H260">
        <f>IF($D260="",0,$E260*INDEX(Aux_HH!$E$4:$E$31,MATCH($A260&amp;"|"&amp;$D260,Aux_HH!$A$4:$A$31,0)))</f>
        <v>0</v>
      </c>
      <c r="I260">
        <f>IF($D260="",0,$E260*INDEX(Aux_HH!$F$4:$F$31,MATCH($A260&amp;"|"&amp;$D260,Aux_HH!$A$4:$A$31,0)))</f>
        <v>0</v>
      </c>
      <c r="J260">
        <f>IF($D260="",0,$E260*INDEX(Aux_HH!$G$4:$G$31,MATCH($A260&amp;"|"&amp;$D260,Aux_HH!$A$4:$A$31,0)))</f>
        <v>0</v>
      </c>
      <c r="K260">
        <f>IF($D260="",0,$E260*INDEX(Aux_HH!$H$4:$H$31,MATCH($A260&amp;"|"&amp;$D260,Aux_HH!$A$4:$A$31,0)))</f>
        <v>0</v>
      </c>
      <c r="L260">
        <f>IF($D260="",0,$E260*INDEX(Aux_HH!$I$4:$I$31,MATCH($A260&amp;"|"&amp;$D260,Aux_HH!$A$4:$A$31,0)))</f>
        <v>0</v>
      </c>
    </row>
    <row r="261" spans="1:12" ht="15" customHeight="1" x14ac:dyDescent="0.4">
      <c r="A261" t="str">
        <f>Premissas!$A$43</f>
        <v>Veículo Leve</v>
      </c>
      <c r="B261">
        <v>50</v>
      </c>
      <c r="C261">
        <f>INDEX(Semanas!$E$3:$E$54,50)</f>
        <v>8</v>
      </c>
      <c r="D261" t="str">
        <f>Cronograma!AY9</f>
        <v/>
      </c>
      <c r="E261">
        <f>Premissas!$I$43</f>
        <v>50</v>
      </c>
      <c r="F261">
        <f t="shared" si="4"/>
        <v>0</v>
      </c>
      <c r="G261">
        <f>IF($D261="",0,$E261*INDEX(Aux_HH!$D$4:$D$31,MATCH($A261&amp;"|"&amp;$D261,Aux_HH!$A$4:$A$31,0)))</f>
        <v>0</v>
      </c>
      <c r="H261">
        <f>IF($D261="",0,$E261*INDEX(Aux_HH!$E$4:$E$31,MATCH($A261&amp;"|"&amp;$D261,Aux_HH!$A$4:$A$31,0)))</f>
        <v>0</v>
      </c>
      <c r="I261">
        <f>IF($D261="",0,$E261*INDEX(Aux_HH!$F$4:$F$31,MATCH($A261&amp;"|"&amp;$D261,Aux_HH!$A$4:$A$31,0)))</f>
        <v>0</v>
      </c>
      <c r="J261">
        <f>IF($D261="",0,$E261*INDEX(Aux_HH!$G$4:$G$31,MATCH($A261&amp;"|"&amp;$D261,Aux_HH!$A$4:$A$31,0)))</f>
        <v>0</v>
      </c>
      <c r="K261">
        <f>IF($D261="",0,$E261*INDEX(Aux_HH!$H$4:$H$31,MATCH($A261&amp;"|"&amp;$D261,Aux_HH!$A$4:$A$31,0)))</f>
        <v>0</v>
      </c>
      <c r="L261">
        <f>IF($D261="",0,$E261*INDEX(Aux_HH!$I$4:$I$31,MATCH($A261&amp;"|"&amp;$D261,Aux_HH!$A$4:$A$31,0)))</f>
        <v>0</v>
      </c>
    </row>
    <row r="262" spans="1:12" ht="15" customHeight="1" x14ac:dyDescent="0.4">
      <c r="A262" t="str">
        <f>Premissas!$A$43</f>
        <v>Veículo Leve</v>
      </c>
      <c r="B262">
        <v>51</v>
      </c>
      <c r="C262">
        <f>INDEX(Semanas!$E$3:$E$54,51)</f>
        <v>8</v>
      </c>
      <c r="D262" t="str">
        <f>Cronograma!AZ9</f>
        <v/>
      </c>
      <c r="E262">
        <f>Premissas!$I$43</f>
        <v>50</v>
      </c>
      <c r="F262">
        <f t="shared" si="4"/>
        <v>0</v>
      </c>
      <c r="G262">
        <f>IF($D262="",0,$E262*INDEX(Aux_HH!$D$4:$D$31,MATCH($A262&amp;"|"&amp;$D262,Aux_HH!$A$4:$A$31,0)))</f>
        <v>0</v>
      </c>
      <c r="H262">
        <f>IF($D262="",0,$E262*INDEX(Aux_HH!$E$4:$E$31,MATCH($A262&amp;"|"&amp;$D262,Aux_HH!$A$4:$A$31,0)))</f>
        <v>0</v>
      </c>
      <c r="I262">
        <f>IF($D262="",0,$E262*INDEX(Aux_HH!$F$4:$F$31,MATCH($A262&amp;"|"&amp;$D262,Aux_HH!$A$4:$A$31,0)))</f>
        <v>0</v>
      </c>
      <c r="J262">
        <f>IF($D262="",0,$E262*INDEX(Aux_HH!$G$4:$G$31,MATCH($A262&amp;"|"&amp;$D262,Aux_HH!$A$4:$A$31,0)))</f>
        <v>0</v>
      </c>
      <c r="K262">
        <f>IF($D262="",0,$E262*INDEX(Aux_HH!$H$4:$H$31,MATCH($A262&amp;"|"&amp;$D262,Aux_HH!$A$4:$A$31,0)))</f>
        <v>0</v>
      </c>
      <c r="L262">
        <f>IF($D262="",0,$E262*INDEX(Aux_HH!$I$4:$I$31,MATCH($A262&amp;"|"&amp;$D262,Aux_HH!$A$4:$A$31,0)))</f>
        <v>0</v>
      </c>
    </row>
    <row r="263" spans="1:12" ht="15" customHeight="1" x14ac:dyDescent="0.4">
      <c r="A263" t="str">
        <f>Premissas!$A$43</f>
        <v>Veículo Leve</v>
      </c>
      <c r="B263">
        <v>52</v>
      </c>
      <c r="C263">
        <f>INDEX(Semanas!$E$3:$E$54,52)</f>
        <v>8</v>
      </c>
      <c r="D263" t="str">
        <f>Cronograma!BA9</f>
        <v/>
      </c>
      <c r="E263">
        <f>Premissas!$I$43</f>
        <v>50</v>
      </c>
      <c r="F263">
        <f t="shared" si="4"/>
        <v>0</v>
      </c>
      <c r="G263">
        <f>IF($D263="",0,$E263*INDEX(Aux_HH!$D$4:$D$31,MATCH($A263&amp;"|"&amp;$D263,Aux_HH!$A$4:$A$31,0)))</f>
        <v>0</v>
      </c>
      <c r="H263">
        <f>IF($D263="",0,$E263*INDEX(Aux_HH!$E$4:$E$31,MATCH($A263&amp;"|"&amp;$D263,Aux_HH!$A$4:$A$31,0)))</f>
        <v>0</v>
      </c>
      <c r="I263">
        <f>IF($D263="",0,$E263*INDEX(Aux_HH!$F$4:$F$31,MATCH($A263&amp;"|"&amp;$D263,Aux_HH!$A$4:$A$31,0)))</f>
        <v>0</v>
      </c>
      <c r="J263">
        <f>IF($D263="",0,$E263*INDEX(Aux_HH!$G$4:$G$31,MATCH($A263&amp;"|"&amp;$D263,Aux_HH!$A$4:$A$31,0)))</f>
        <v>0</v>
      </c>
      <c r="K263">
        <f>IF($D263="",0,$E263*INDEX(Aux_HH!$H$4:$H$31,MATCH($A263&amp;"|"&amp;$D263,Aux_HH!$A$4:$A$31,0)))</f>
        <v>0</v>
      </c>
      <c r="L263">
        <f>IF($D263="",0,$E263*INDEX(Aux_HH!$I$4:$I$31,MATCH($A263&amp;"|"&amp;$D263,Aux_HH!$A$4:$A$31,0)))</f>
        <v>0</v>
      </c>
    </row>
    <row r="264" spans="1:12" ht="15" customHeight="1" x14ac:dyDescent="0.4">
      <c r="A264" t="str">
        <f>Premissas!$A$44</f>
        <v>Pulverizador</v>
      </c>
      <c r="B264">
        <v>1</v>
      </c>
      <c r="C264">
        <f>INDEX(Semanas!$E$3:$E$54,1)</f>
        <v>9</v>
      </c>
      <c r="D264" t="str">
        <f>Cronograma!B10</f>
        <v/>
      </c>
      <c r="E264">
        <f>Premissas!$I$44</f>
        <v>12</v>
      </c>
      <c r="F264">
        <f t="shared" si="4"/>
        <v>0</v>
      </c>
      <c r="G264">
        <f>IF($D264="",0,$E264*INDEX(Aux_HH!$D$4:$D$31,MATCH($A264&amp;"|"&amp;$D264,Aux_HH!$A$4:$A$31,0)))</f>
        <v>0</v>
      </c>
      <c r="H264">
        <f>IF($D264="",0,$E264*INDEX(Aux_HH!$E$4:$E$31,MATCH($A264&amp;"|"&amp;$D264,Aux_HH!$A$4:$A$31,0)))</f>
        <v>0</v>
      </c>
      <c r="I264">
        <f>IF($D264="",0,$E264*INDEX(Aux_HH!$F$4:$F$31,MATCH($A264&amp;"|"&amp;$D264,Aux_HH!$A$4:$A$31,0)))</f>
        <v>0</v>
      </c>
      <c r="J264">
        <f>IF($D264="",0,$E264*INDEX(Aux_HH!$G$4:$G$31,MATCH($A264&amp;"|"&amp;$D264,Aux_HH!$A$4:$A$31,0)))</f>
        <v>0</v>
      </c>
      <c r="K264">
        <f>IF($D264="",0,$E264*INDEX(Aux_HH!$H$4:$H$31,MATCH($A264&amp;"|"&amp;$D264,Aux_HH!$A$4:$A$31,0)))</f>
        <v>0</v>
      </c>
      <c r="L264">
        <f>IF($D264="",0,$E264*INDEX(Aux_HH!$I$4:$I$31,MATCH($A264&amp;"|"&amp;$D264,Aux_HH!$A$4:$A$31,0)))</f>
        <v>0</v>
      </c>
    </row>
    <row r="265" spans="1:12" ht="15" customHeight="1" x14ac:dyDescent="0.4">
      <c r="A265" t="str">
        <f>Premissas!$A$44</f>
        <v>Pulverizador</v>
      </c>
      <c r="B265">
        <v>2</v>
      </c>
      <c r="C265">
        <f>INDEX(Semanas!$E$3:$E$54,2)</f>
        <v>9</v>
      </c>
      <c r="D265" t="str">
        <f>Cronograma!C10</f>
        <v/>
      </c>
      <c r="E265">
        <f>Premissas!$I$44</f>
        <v>12</v>
      </c>
      <c r="F265">
        <f t="shared" si="4"/>
        <v>0</v>
      </c>
      <c r="G265">
        <f>IF($D265="",0,$E265*INDEX(Aux_HH!$D$4:$D$31,MATCH($A265&amp;"|"&amp;$D265,Aux_HH!$A$4:$A$31,0)))</f>
        <v>0</v>
      </c>
      <c r="H265">
        <f>IF($D265="",0,$E265*INDEX(Aux_HH!$E$4:$E$31,MATCH($A265&amp;"|"&amp;$D265,Aux_HH!$A$4:$A$31,0)))</f>
        <v>0</v>
      </c>
      <c r="I265">
        <f>IF($D265="",0,$E265*INDEX(Aux_HH!$F$4:$F$31,MATCH($A265&amp;"|"&amp;$D265,Aux_HH!$A$4:$A$31,0)))</f>
        <v>0</v>
      </c>
      <c r="J265">
        <f>IF($D265="",0,$E265*INDEX(Aux_HH!$G$4:$G$31,MATCH($A265&amp;"|"&amp;$D265,Aux_HH!$A$4:$A$31,0)))</f>
        <v>0</v>
      </c>
      <c r="K265">
        <f>IF($D265="",0,$E265*INDEX(Aux_HH!$H$4:$H$31,MATCH($A265&amp;"|"&amp;$D265,Aux_HH!$A$4:$A$31,0)))</f>
        <v>0</v>
      </c>
      <c r="L265">
        <f>IF($D265="",0,$E265*INDEX(Aux_HH!$I$4:$I$31,MATCH($A265&amp;"|"&amp;$D265,Aux_HH!$A$4:$A$31,0)))</f>
        <v>0</v>
      </c>
    </row>
    <row r="266" spans="1:12" ht="15" customHeight="1" x14ac:dyDescent="0.4">
      <c r="A266" t="str">
        <f>Premissas!$A$44</f>
        <v>Pulverizador</v>
      </c>
      <c r="B266">
        <v>3</v>
      </c>
      <c r="C266">
        <f>INDEX(Semanas!$E$3:$E$54,3)</f>
        <v>9</v>
      </c>
      <c r="D266" t="str">
        <f>Cronograma!D10</f>
        <v/>
      </c>
      <c r="E266">
        <f>Premissas!$I$44</f>
        <v>12</v>
      </c>
      <c r="F266">
        <f t="shared" si="4"/>
        <v>0</v>
      </c>
      <c r="G266">
        <f>IF($D266="",0,$E266*INDEX(Aux_HH!$D$4:$D$31,MATCH($A266&amp;"|"&amp;$D266,Aux_HH!$A$4:$A$31,0)))</f>
        <v>0</v>
      </c>
      <c r="H266">
        <f>IF($D266="",0,$E266*INDEX(Aux_HH!$E$4:$E$31,MATCH($A266&amp;"|"&amp;$D266,Aux_HH!$A$4:$A$31,0)))</f>
        <v>0</v>
      </c>
      <c r="I266">
        <f>IF($D266="",0,$E266*INDEX(Aux_HH!$F$4:$F$31,MATCH($A266&amp;"|"&amp;$D266,Aux_HH!$A$4:$A$31,0)))</f>
        <v>0</v>
      </c>
      <c r="J266">
        <f>IF($D266="",0,$E266*INDEX(Aux_HH!$G$4:$G$31,MATCH($A266&amp;"|"&amp;$D266,Aux_HH!$A$4:$A$31,0)))</f>
        <v>0</v>
      </c>
      <c r="K266">
        <f>IF($D266="",0,$E266*INDEX(Aux_HH!$H$4:$H$31,MATCH($A266&amp;"|"&amp;$D266,Aux_HH!$A$4:$A$31,0)))</f>
        <v>0</v>
      </c>
      <c r="L266">
        <f>IF($D266="",0,$E266*INDEX(Aux_HH!$I$4:$I$31,MATCH($A266&amp;"|"&amp;$D266,Aux_HH!$A$4:$A$31,0)))</f>
        <v>0</v>
      </c>
    </row>
    <row r="267" spans="1:12" ht="15" customHeight="1" x14ac:dyDescent="0.4">
      <c r="A267" t="str">
        <f>Premissas!$A$44</f>
        <v>Pulverizador</v>
      </c>
      <c r="B267">
        <v>4</v>
      </c>
      <c r="C267">
        <f>INDEX(Semanas!$E$3:$E$54,4)</f>
        <v>9</v>
      </c>
      <c r="D267" t="str">
        <f>Cronograma!E10</f>
        <v/>
      </c>
      <c r="E267">
        <f>Premissas!$I$44</f>
        <v>12</v>
      </c>
      <c r="F267">
        <f t="shared" si="4"/>
        <v>0</v>
      </c>
      <c r="G267">
        <f>IF($D267="",0,$E267*INDEX(Aux_HH!$D$4:$D$31,MATCH($A267&amp;"|"&amp;$D267,Aux_HH!$A$4:$A$31,0)))</f>
        <v>0</v>
      </c>
      <c r="H267">
        <f>IF($D267="",0,$E267*INDEX(Aux_HH!$E$4:$E$31,MATCH($A267&amp;"|"&amp;$D267,Aux_HH!$A$4:$A$31,0)))</f>
        <v>0</v>
      </c>
      <c r="I267">
        <f>IF($D267="",0,$E267*INDEX(Aux_HH!$F$4:$F$31,MATCH($A267&amp;"|"&amp;$D267,Aux_HH!$A$4:$A$31,0)))</f>
        <v>0</v>
      </c>
      <c r="J267">
        <f>IF($D267="",0,$E267*INDEX(Aux_HH!$G$4:$G$31,MATCH($A267&amp;"|"&amp;$D267,Aux_HH!$A$4:$A$31,0)))</f>
        <v>0</v>
      </c>
      <c r="K267">
        <f>IF($D267="",0,$E267*INDEX(Aux_HH!$H$4:$H$31,MATCH($A267&amp;"|"&amp;$D267,Aux_HH!$A$4:$A$31,0)))</f>
        <v>0</v>
      </c>
      <c r="L267">
        <f>IF($D267="",0,$E267*INDEX(Aux_HH!$I$4:$I$31,MATCH($A267&amp;"|"&amp;$D267,Aux_HH!$A$4:$A$31,0)))</f>
        <v>0</v>
      </c>
    </row>
    <row r="268" spans="1:12" ht="15" customHeight="1" x14ac:dyDescent="0.4">
      <c r="A268" t="str">
        <f>Premissas!$A$44</f>
        <v>Pulverizador</v>
      </c>
      <c r="B268">
        <v>5</v>
      </c>
      <c r="C268">
        <f>INDEX(Semanas!$E$3:$E$54,5)</f>
        <v>9</v>
      </c>
      <c r="D268" t="str">
        <f>Cronograma!F10</f>
        <v>S</v>
      </c>
      <c r="E268">
        <f>Premissas!$I$44</f>
        <v>12</v>
      </c>
      <c r="F268">
        <f t="shared" si="4"/>
        <v>12</v>
      </c>
      <c r="G268">
        <f>IF($D268="",0,$E268*INDEX(Aux_HH!$D$4:$D$31,MATCH($A268&amp;"|"&amp;$D268,Aux_HH!$A$4:$A$31,0)))</f>
        <v>24</v>
      </c>
      <c r="H268">
        <f>IF($D268="",0,$E268*INDEX(Aux_HH!$E$4:$E$31,MATCH($A268&amp;"|"&amp;$D268,Aux_HH!$A$4:$A$31,0)))</f>
        <v>0</v>
      </c>
      <c r="I268">
        <f>IF($D268="",0,$E268*INDEX(Aux_HH!$F$4:$F$31,MATCH($A268&amp;"|"&amp;$D268,Aux_HH!$A$4:$A$31,0)))</f>
        <v>0</v>
      </c>
      <c r="J268">
        <f>IF($D268="",0,$E268*INDEX(Aux_HH!$G$4:$G$31,MATCH($A268&amp;"|"&amp;$D268,Aux_HH!$A$4:$A$31,0)))</f>
        <v>0</v>
      </c>
      <c r="K268">
        <f>IF($D268="",0,$E268*INDEX(Aux_HH!$H$4:$H$31,MATCH($A268&amp;"|"&amp;$D268,Aux_HH!$A$4:$A$31,0)))</f>
        <v>0</v>
      </c>
      <c r="L268">
        <f>IF($D268="",0,$E268*INDEX(Aux_HH!$I$4:$I$31,MATCH($A268&amp;"|"&amp;$D268,Aux_HH!$A$4:$A$31,0)))</f>
        <v>0</v>
      </c>
    </row>
    <row r="269" spans="1:12" ht="15" customHeight="1" x14ac:dyDescent="0.4">
      <c r="A269" t="str">
        <f>Premissas!$A$44</f>
        <v>Pulverizador</v>
      </c>
      <c r="B269">
        <v>6</v>
      </c>
      <c r="C269">
        <f>INDEX(Semanas!$E$3:$E$54,6)</f>
        <v>10</v>
      </c>
      <c r="D269" t="str">
        <f>Cronograma!G10</f>
        <v/>
      </c>
      <c r="E269">
        <f>Premissas!$I$44</f>
        <v>12</v>
      </c>
      <c r="F269">
        <f t="shared" si="4"/>
        <v>0</v>
      </c>
      <c r="G269">
        <f>IF($D269="",0,$E269*INDEX(Aux_HH!$D$4:$D$31,MATCH($A269&amp;"|"&amp;$D269,Aux_HH!$A$4:$A$31,0)))</f>
        <v>0</v>
      </c>
      <c r="H269">
        <f>IF($D269="",0,$E269*INDEX(Aux_HH!$E$4:$E$31,MATCH($A269&amp;"|"&amp;$D269,Aux_HH!$A$4:$A$31,0)))</f>
        <v>0</v>
      </c>
      <c r="I269">
        <f>IF($D269="",0,$E269*INDEX(Aux_HH!$F$4:$F$31,MATCH($A269&amp;"|"&amp;$D269,Aux_HH!$A$4:$A$31,0)))</f>
        <v>0</v>
      </c>
      <c r="J269">
        <f>IF($D269="",0,$E269*INDEX(Aux_HH!$G$4:$G$31,MATCH($A269&amp;"|"&amp;$D269,Aux_HH!$A$4:$A$31,0)))</f>
        <v>0</v>
      </c>
      <c r="K269">
        <f>IF($D269="",0,$E269*INDEX(Aux_HH!$H$4:$H$31,MATCH($A269&amp;"|"&amp;$D269,Aux_HH!$A$4:$A$31,0)))</f>
        <v>0</v>
      </c>
      <c r="L269">
        <f>IF($D269="",0,$E269*INDEX(Aux_HH!$I$4:$I$31,MATCH($A269&amp;"|"&amp;$D269,Aux_HH!$A$4:$A$31,0)))</f>
        <v>0</v>
      </c>
    </row>
    <row r="270" spans="1:12" ht="15" customHeight="1" x14ac:dyDescent="0.4">
      <c r="A270" t="str">
        <f>Premissas!$A$44</f>
        <v>Pulverizador</v>
      </c>
      <c r="B270">
        <v>7</v>
      </c>
      <c r="C270">
        <f>INDEX(Semanas!$E$3:$E$54,7)</f>
        <v>10</v>
      </c>
      <c r="D270" t="str">
        <f>Cronograma!H10</f>
        <v/>
      </c>
      <c r="E270">
        <f>Premissas!$I$44</f>
        <v>12</v>
      </c>
      <c r="F270">
        <f t="shared" si="4"/>
        <v>0</v>
      </c>
      <c r="G270">
        <f>IF($D270="",0,$E270*INDEX(Aux_HH!$D$4:$D$31,MATCH($A270&amp;"|"&amp;$D270,Aux_HH!$A$4:$A$31,0)))</f>
        <v>0</v>
      </c>
      <c r="H270">
        <f>IF($D270="",0,$E270*INDEX(Aux_HH!$E$4:$E$31,MATCH($A270&amp;"|"&amp;$D270,Aux_HH!$A$4:$A$31,0)))</f>
        <v>0</v>
      </c>
      <c r="I270">
        <f>IF($D270="",0,$E270*INDEX(Aux_HH!$F$4:$F$31,MATCH($A270&amp;"|"&amp;$D270,Aux_HH!$A$4:$A$31,0)))</f>
        <v>0</v>
      </c>
      <c r="J270">
        <f>IF($D270="",0,$E270*INDEX(Aux_HH!$G$4:$G$31,MATCH($A270&amp;"|"&amp;$D270,Aux_HH!$A$4:$A$31,0)))</f>
        <v>0</v>
      </c>
      <c r="K270">
        <f>IF($D270="",0,$E270*INDEX(Aux_HH!$H$4:$H$31,MATCH($A270&amp;"|"&amp;$D270,Aux_HH!$A$4:$A$31,0)))</f>
        <v>0</v>
      </c>
      <c r="L270">
        <f>IF($D270="",0,$E270*INDEX(Aux_HH!$I$4:$I$31,MATCH($A270&amp;"|"&amp;$D270,Aux_HH!$A$4:$A$31,0)))</f>
        <v>0</v>
      </c>
    </row>
    <row r="271" spans="1:12" ht="15" customHeight="1" x14ac:dyDescent="0.4">
      <c r="A271" t="str">
        <f>Premissas!$A$44</f>
        <v>Pulverizador</v>
      </c>
      <c r="B271">
        <v>8</v>
      </c>
      <c r="C271">
        <f>INDEX(Semanas!$E$3:$E$54,8)</f>
        <v>10</v>
      </c>
      <c r="D271" t="str">
        <f>Cronograma!I10</f>
        <v/>
      </c>
      <c r="E271">
        <f>Premissas!$I$44</f>
        <v>12</v>
      </c>
      <c r="F271">
        <f t="shared" si="4"/>
        <v>0</v>
      </c>
      <c r="G271">
        <f>IF($D271="",0,$E271*INDEX(Aux_HH!$D$4:$D$31,MATCH($A271&amp;"|"&amp;$D271,Aux_HH!$A$4:$A$31,0)))</f>
        <v>0</v>
      </c>
      <c r="H271">
        <f>IF($D271="",0,$E271*INDEX(Aux_HH!$E$4:$E$31,MATCH($A271&amp;"|"&amp;$D271,Aux_HH!$A$4:$A$31,0)))</f>
        <v>0</v>
      </c>
      <c r="I271">
        <f>IF($D271="",0,$E271*INDEX(Aux_HH!$F$4:$F$31,MATCH($A271&amp;"|"&amp;$D271,Aux_HH!$A$4:$A$31,0)))</f>
        <v>0</v>
      </c>
      <c r="J271">
        <f>IF($D271="",0,$E271*INDEX(Aux_HH!$G$4:$G$31,MATCH($A271&amp;"|"&amp;$D271,Aux_HH!$A$4:$A$31,0)))</f>
        <v>0</v>
      </c>
      <c r="K271">
        <f>IF($D271="",0,$E271*INDEX(Aux_HH!$H$4:$H$31,MATCH($A271&amp;"|"&amp;$D271,Aux_HH!$A$4:$A$31,0)))</f>
        <v>0</v>
      </c>
      <c r="L271">
        <f>IF($D271="",0,$E271*INDEX(Aux_HH!$I$4:$I$31,MATCH($A271&amp;"|"&amp;$D271,Aux_HH!$A$4:$A$31,0)))</f>
        <v>0</v>
      </c>
    </row>
    <row r="272" spans="1:12" ht="15" customHeight="1" x14ac:dyDescent="0.4">
      <c r="A272" t="str">
        <f>Premissas!$A$44</f>
        <v>Pulverizador</v>
      </c>
      <c r="B272">
        <v>9</v>
      </c>
      <c r="C272">
        <f>INDEX(Semanas!$E$3:$E$54,9)</f>
        <v>10</v>
      </c>
      <c r="D272" t="str">
        <f>Cronograma!J10</f>
        <v/>
      </c>
      <c r="E272">
        <f>Premissas!$I$44</f>
        <v>12</v>
      </c>
      <c r="F272">
        <f t="shared" si="4"/>
        <v>0</v>
      </c>
      <c r="G272">
        <f>IF($D272="",0,$E272*INDEX(Aux_HH!$D$4:$D$31,MATCH($A272&amp;"|"&amp;$D272,Aux_HH!$A$4:$A$31,0)))</f>
        <v>0</v>
      </c>
      <c r="H272">
        <f>IF($D272="",0,$E272*INDEX(Aux_HH!$E$4:$E$31,MATCH($A272&amp;"|"&amp;$D272,Aux_HH!$A$4:$A$31,0)))</f>
        <v>0</v>
      </c>
      <c r="I272">
        <f>IF($D272="",0,$E272*INDEX(Aux_HH!$F$4:$F$31,MATCH($A272&amp;"|"&amp;$D272,Aux_HH!$A$4:$A$31,0)))</f>
        <v>0</v>
      </c>
      <c r="J272">
        <f>IF($D272="",0,$E272*INDEX(Aux_HH!$G$4:$G$31,MATCH($A272&amp;"|"&amp;$D272,Aux_HH!$A$4:$A$31,0)))</f>
        <v>0</v>
      </c>
      <c r="K272">
        <f>IF($D272="",0,$E272*INDEX(Aux_HH!$H$4:$H$31,MATCH($A272&amp;"|"&amp;$D272,Aux_HH!$A$4:$A$31,0)))</f>
        <v>0</v>
      </c>
      <c r="L272">
        <f>IF($D272="",0,$E272*INDEX(Aux_HH!$I$4:$I$31,MATCH($A272&amp;"|"&amp;$D272,Aux_HH!$A$4:$A$31,0)))</f>
        <v>0</v>
      </c>
    </row>
    <row r="273" spans="1:12" ht="15" customHeight="1" x14ac:dyDescent="0.4">
      <c r="A273" t="str">
        <f>Premissas!$A$44</f>
        <v>Pulverizador</v>
      </c>
      <c r="B273">
        <v>10</v>
      </c>
      <c r="C273">
        <f>INDEX(Semanas!$E$3:$E$54,10)</f>
        <v>11</v>
      </c>
      <c r="D273" t="str">
        <f>Cronograma!K10</f>
        <v>A</v>
      </c>
      <c r="E273">
        <f>Premissas!$I$44</f>
        <v>12</v>
      </c>
      <c r="F273">
        <f t="shared" si="4"/>
        <v>12</v>
      </c>
      <c r="G273">
        <f>IF($D273="",0,$E273*INDEX(Aux_HH!$D$4:$D$31,MATCH($A273&amp;"|"&amp;$D273,Aux_HH!$A$4:$A$31,0)))</f>
        <v>48</v>
      </c>
      <c r="H273">
        <f>IF($D273="",0,$E273*INDEX(Aux_HH!$E$4:$E$31,MATCH($A273&amp;"|"&amp;$D273,Aux_HH!$A$4:$A$31,0)))</f>
        <v>0</v>
      </c>
      <c r="I273">
        <f>IF($D273="",0,$E273*INDEX(Aux_HH!$F$4:$F$31,MATCH($A273&amp;"|"&amp;$D273,Aux_HH!$A$4:$A$31,0)))</f>
        <v>0</v>
      </c>
      <c r="J273">
        <f>IF($D273="",0,$E273*INDEX(Aux_HH!$G$4:$G$31,MATCH($A273&amp;"|"&amp;$D273,Aux_HH!$A$4:$A$31,0)))</f>
        <v>0</v>
      </c>
      <c r="K273">
        <f>IF($D273="",0,$E273*INDEX(Aux_HH!$H$4:$H$31,MATCH($A273&amp;"|"&amp;$D273,Aux_HH!$A$4:$A$31,0)))</f>
        <v>0</v>
      </c>
      <c r="L273">
        <f>IF($D273="",0,$E273*INDEX(Aux_HH!$I$4:$I$31,MATCH($A273&amp;"|"&amp;$D273,Aux_HH!$A$4:$A$31,0)))</f>
        <v>0</v>
      </c>
    </row>
    <row r="274" spans="1:12" ht="15" customHeight="1" x14ac:dyDescent="0.4">
      <c r="A274" t="str">
        <f>Premissas!$A$44</f>
        <v>Pulverizador</v>
      </c>
      <c r="B274">
        <v>11</v>
      </c>
      <c r="C274">
        <f>INDEX(Semanas!$E$3:$E$54,11)</f>
        <v>11</v>
      </c>
      <c r="D274" t="str">
        <f>Cronograma!L10</f>
        <v/>
      </c>
      <c r="E274">
        <f>Premissas!$I$44</f>
        <v>12</v>
      </c>
      <c r="F274">
        <f t="shared" si="4"/>
        <v>0</v>
      </c>
      <c r="G274">
        <f>IF($D274="",0,$E274*INDEX(Aux_HH!$D$4:$D$31,MATCH($A274&amp;"|"&amp;$D274,Aux_HH!$A$4:$A$31,0)))</f>
        <v>0</v>
      </c>
      <c r="H274">
        <f>IF($D274="",0,$E274*INDEX(Aux_HH!$E$4:$E$31,MATCH($A274&amp;"|"&amp;$D274,Aux_HH!$A$4:$A$31,0)))</f>
        <v>0</v>
      </c>
      <c r="I274">
        <f>IF($D274="",0,$E274*INDEX(Aux_HH!$F$4:$F$31,MATCH($A274&amp;"|"&amp;$D274,Aux_HH!$A$4:$A$31,0)))</f>
        <v>0</v>
      </c>
      <c r="J274">
        <f>IF($D274="",0,$E274*INDEX(Aux_HH!$G$4:$G$31,MATCH($A274&amp;"|"&amp;$D274,Aux_HH!$A$4:$A$31,0)))</f>
        <v>0</v>
      </c>
      <c r="K274">
        <f>IF($D274="",0,$E274*INDEX(Aux_HH!$H$4:$H$31,MATCH($A274&amp;"|"&amp;$D274,Aux_HH!$A$4:$A$31,0)))</f>
        <v>0</v>
      </c>
      <c r="L274">
        <f>IF($D274="",0,$E274*INDEX(Aux_HH!$I$4:$I$31,MATCH($A274&amp;"|"&amp;$D274,Aux_HH!$A$4:$A$31,0)))</f>
        <v>0</v>
      </c>
    </row>
    <row r="275" spans="1:12" ht="15" customHeight="1" x14ac:dyDescent="0.4">
      <c r="A275" t="str">
        <f>Premissas!$A$44</f>
        <v>Pulverizador</v>
      </c>
      <c r="B275">
        <v>12</v>
      </c>
      <c r="C275">
        <f>INDEX(Semanas!$E$3:$E$54,12)</f>
        <v>11</v>
      </c>
      <c r="D275" t="str">
        <f>Cronograma!M10</f>
        <v/>
      </c>
      <c r="E275">
        <f>Premissas!$I$44</f>
        <v>12</v>
      </c>
      <c r="F275">
        <f t="shared" si="4"/>
        <v>0</v>
      </c>
      <c r="G275">
        <f>IF($D275="",0,$E275*INDEX(Aux_HH!$D$4:$D$31,MATCH($A275&amp;"|"&amp;$D275,Aux_HH!$A$4:$A$31,0)))</f>
        <v>0</v>
      </c>
      <c r="H275">
        <f>IF($D275="",0,$E275*INDEX(Aux_HH!$E$4:$E$31,MATCH($A275&amp;"|"&amp;$D275,Aux_HH!$A$4:$A$31,0)))</f>
        <v>0</v>
      </c>
      <c r="I275">
        <f>IF($D275="",0,$E275*INDEX(Aux_HH!$F$4:$F$31,MATCH($A275&amp;"|"&amp;$D275,Aux_HH!$A$4:$A$31,0)))</f>
        <v>0</v>
      </c>
      <c r="J275">
        <f>IF($D275="",0,$E275*INDEX(Aux_HH!$G$4:$G$31,MATCH($A275&amp;"|"&amp;$D275,Aux_HH!$A$4:$A$31,0)))</f>
        <v>0</v>
      </c>
      <c r="K275">
        <f>IF($D275="",0,$E275*INDEX(Aux_HH!$H$4:$H$31,MATCH($A275&amp;"|"&amp;$D275,Aux_HH!$A$4:$A$31,0)))</f>
        <v>0</v>
      </c>
      <c r="L275">
        <f>IF($D275="",0,$E275*INDEX(Aux_HH!$I$4:$I$31,MATCH($A275&amp;"|"&amp;$D275,Aux_HH!$A$4:$A$31,0)))</f>
        <v>0</v>
      </c>
    </row>
    <row r="276" spans="1:12" ht="15" customHeight="1" x14ac:dyDescent="0.4">
      <c r="A276" t="str">
        <f>Premissas!$A$44</f>
        <v>Pulverizador</v>
      </c>
      <c r="B276">
        <v>13</v>
      </c>
      <c r="C276">
        <f>INDEX(Semanas!$E$3:$E$54,13)</f>
        <v>11</v>
      </c>
      <c r="D276" t="str">
        <f>Cronograma!N10</f>
        <v/>
      </c>
      <c r="E276">
        <f>Premissas!$I$44</f>
        <v>12</v>
      </c>
      <c r="F276">
        <f t="shared" si="4"/>
        <v>0</v>
      </c>
      <c r="G276">
        <f>IF($D276="",0,$E276*INDEX(Aux_HH!$D$4:$D$31,MATCH($A276&amp;"|"&amp;$D276,Aux_HH!$A$4:$A$31,0)))</f>
        <v>0</v>
      </c>
      <c r="H276">
        <f>IF($D276="",0,$E276*INDEX(Aux_HH!$E$4:$E$31,MATCH($A276&amp;"|"&amp;$D276,Aux_HH!$A$4:$A$31,0)))</f>
        <v>0</v>
      </c>
      <c r="I276">
        <f>IF($D276="",0,$E276*INDEX(Aux_HH!$F$4:$F$31,MATCH($A276&amp;"|"&amp;$D276,Aux_HH!$A$4:$A$31,0)))</f>
        <v>0</v>
      </c>
      <c r="J276">
        <f>IF($D276="",0,$E276*INDEX(Aux_HH!$G$4:$G$31,MATCH($A276&amp;"|"&amp;$D276,Aux_HH!$A$4:$A$31,0)))</f>
        <v>0</v>
      </c>
      <c r="K276">
        <f>IF($D276="",0,$E276*INDEX(Aux_HH!$H$4:$H$31,MATCH($A276&amp;"|"&amp;$D276,Aux_HH!$A$4:$A$31,0)))</f>
        <v>0</v>
      </c>
      <c r="L276">
        <f>IF($D276="",0,$E276*INDEX(Aux_HH!$I$4:$I$31,MATCH($A276&amp;"|"&amp;$D276,Aux_HH!$A$4:$A$31,0)))</f>
        <v>0</v>
      </c>
    </row>
    <row r="277" spans="1:12" ht="15" customHeight="1" x14ac:dyDescent="0.4">
      <c r="A277" t="str">
        <f>Premissas!$A$44</f>
        <v>Pulverizador</v>
      </c>
      <c r="B277">
        <v>14</v>
      </c>
      <c r="C277">
        <f>INDEX(Semanas!$E$3:$E$54,14)</f>
        <v>12</v>
      </c>
      <c r="D277" t="str">
        <f>Cronograma!O10</f>
        <v/>
      </c>
      <c r="E277">
        <f>Premissas!$I$44</f>
        <v>12</v>
      </c>
      <c r="F277">
        <f t="shared" si="4"/>
        <v>0</v>
      </c>
      <c r="G277">
        <f>IF($D277="",0,$E277*INDEX(Aux_HH!$D$4:$D$31,MATCH($A277&amp;"|"&amp;$D277,Aux_HH!$A$4:$A$31,0)))</f>
        <v>0</v>
      </c>
      <c r="H277">
        <f>IF($D277="",0,$E277*INDEX(Aux_HH!$E$4:$E$31,MATCH($A277&amp;"|"&amp;$D277,Aux_HH!$A$4:$A$31,0)))</f>
        <v>0</v>
      </c>
      <c r="I277">
        <f>IF($D277="",0,$E277*INDEX(Aux_HH!$F$4:$F$31,MATCH($A277&amp;"|"&amp;$D277,Aux_HH!$A$4:$A$31,0)))</f>
        <v>0</v>
      </c>
      <c r="J277">
        <f>IF($D277="",0,$E277*INDEX(Aux_HH!$G$4:$G$31,MATCH($A277&amp;"|"&amp;$D277,Aux_HH!$A$4:$A$31,0)))</f>
        <v>0</v>
      </c>
      <c r="K277">
        <f>IF($D277="",0,$E277*INDEX(Aux_HH!$H$4:$H$31,MATCH($A277&amp;"|"&amp;$D277,Aux_HH!$A$4:$A$31,0)))</f>
        <v>0</v>
      </c>
      <c r="L277">
        <f>IF($D277="",0,$E277*INDEX(Aux_HH!$I$4:$I$31,MATCH($A277&amp;"|"&amp;$D277,Aux_HH!$A$4:$A$31,0)))</f>
        <v>0</v>
      </c>
    </row>
    <row r="278" spans="1:12" ht="15" customHeight="1" x14ac:dyDescent="0.4">
      <c r="A278" t="str">
        <f>Premissas!$A$44</f>
        <v>Pulverizador</v>
      </c>
      <c r="B278">
        <v>15</v>
      </c>
      <c r="C278">
        <f>INDEX(Semanas!$E$3:$E$54,15)</f>
        <v>12</v>
      </c>
      <c r="D278" t="str">
        <f>Cronograma!P10</f>
        <v>S</v>
      </c>
      <c r="E278">
        <f>Premissas!$I$44</f>
        <v>12</v>
      </c>
      <c r="F278">
        <f t="shared" si="4"/>
        <v>12</v>
      </c>
      <c r="G278">
        <f>IF($D278="",0,$E278*INDEX(Aux_HH!$D$4:$D$31,MATCH($A278&amp;"|"&amp;$D278,Aux_HH!$A$4:$A$31,0)))</f>
        <v>24</v>
      </c>
      <c r="H278">
        <f>IF($D278="",0,$E278*INDEX(Aux_HH!$E$4:$E$31,MATCH($A278&amp;"|"&amp;$D278,Aux_HH!$A$4:$A$31,0)))</f>
        <v>0</v>
      </c>
      <c r="I278">
        <f>IF($D278="",0,$E278*INDEX(Aux_HH!$F$4:$F$31,MATCH($A278&amp;"|"&amp;$D278,Aux_HH!$A$4:$A$31,0)))</f>
        <v>0</v>
      </c>
      <c r="J278">
        <f>IF($D278="",0,$E278*INDEX(Aux_HH!$G$4:$G$31,MATCH($A278&amp;"|"&amp;$D278,Aux_HH!$A$4:$A$31,0)))</f>
        <v>0</v>
      </c>
      <c r="K278">
        <f>IF($D278="",0,$E278*INDEX(Aux_HH!$H$4:$H$31,MATCH($A278&amp;"|"&amp;$D278,Aux_HH!$A$4:$A$31,0)))</f>
        <v>0</v>
      </c>
      <c r="L278">
        <f>IF($D278="",0,$E278*INDEX(Aux_HH!$I$4:$I$31,MATCH($A278&amp;"|"&amp;$D278,Aux_HH!$A$4:$A$31,0)))</f>
        <v>0</v>
      </c>
    </row>
    <row r="279" spans="1:12" ht="15" customHeight="1" x14ac:dyDescent="0.4">
      <c r="A279" t="str">
        <f>Premissas!$A$44</f>
        <v>Pulverizador</v>
      </c>
      <c r="B279">
        <v>16</v>
      </c>
      <c r="C279">
        <f>INDEX(Semanas!$E$3:$E$54,16)</f>
        <v>12</v>
      </c>
      <c r="D279" t="str">
        <f>Cronograma!Q10</f>
        <v/>
      </c>
      <c r="E279">
        <f>Premissas!$I$44</f>
        <v>12</v>
      </c>
      <c r="F279">
        <f t="shared" si="4"/>
        <v>0</v>
      </c>
      <c r="G279">
        <f>IF($D279="",0,$E279*INDEX(Aux_HH!$D$4:$D$31,MATCH($A279&amp;"|"&amp;$D279,Aux_HH!$A$4:$A$31,0)))</f>
        <v>0</v>
      </c>
      <c r="H279">
        <f>IF($D279="",0,$E279*INDEX(Aux_HH!$E$4:$E$31,MATCH($A279&amp;"|"&amp;$D279,Aux_HH!$A$4:$A$31,0)))</f>
        <v>0</v>
      </c>
      <c r="I279">
        <f>IF($D279="",0,$E279*INDEX(Aux_HH!$F$4:$F$31,MATCH($A279&amp;"|"&amp;$D279,Aux_HH!$A$4:$A$31,0)))</f>
        <v>0</v>
      </c>
      <c r="J279">
        <f>IF($D279="",0,$E279*INDEX(Aux_HH!$G$4:$G$31,MATCH($A279&amp;"|"&amp;$D279,Aux_HH!$A$4:$A$31,0)))</f>
        <v>0</v>
      </c>
      <c r="K279">
        <f>IF($D279="",0,$E279*INDEX(Aux_HH!$H$4:$H$31,MATCH($A279&amp;"|"&amp;$D279,Aux_HH!$A$4:$A$31,0)))</f>
        <v>0</v>
      </c>
      <c r="L279">
        <f>IF($D279="",0,$E279*INDEX(Aux_HH!$I$4:$I$31,MATCH($A279&amp;"|"&amp;$D279,Aux_HH!$A$4:$A$31,0)))</f>
        <v>0</v>
      </c>
    </row>
    <row r="280" spans="1:12" ht="15" customHeight="1" x14ac:dyDescent="0.4">
      <c r="A280" t="str">
        <f>Premissas!$A$44</f>
        <v>Pulverizador</v>
      </c>
      <c r="B280">
        <v>17</v>
      </c>
      <c r="C280">
        <f>INDEX(Semanas!$E$3:$E$54,17)</f>
        <v>12</v>
      </c>
      <c r="D280" t="str">
        <f>Cronograma!R10</f>
        <v/>
      </c>
      <c r="E280">
        <f>Premissas!$I$44</f>
        <v>12</v>
      </c>
      <c r="F280">
        <f t="shared" si="4"/>
        <v>0</v>
      </c>
      <c r="G280">
        <f>IF($D280="",0,$E280*INDEX(Aux_HH!$D$4:$D$31,MATCH($A280&amp;"|"&amp;$D280,Aux_HH!$A$4:$A$31,0)))</f>
        <v>0</v>
      </c>
      <c r="H280">
        <f>IF($D280="",0,$E280*INDEX(Aux_HH!$E$4:$E$31,MATCH($A280&amp;"|"&amp;$D280,Aux_HH!$A$4:$A$31,0)))</f>
        <v>0</v>
      </c>
      <c r="I280">
        <f>IF($D280="",0,$E280*INDEX(Aux_HH!$F$4:$F$31,MATCH($A280&amp;"|"&amp;$D280,Aux_HH!$A$4:$A$31,0)))</f>
        <v>0</v>
      </c>
      <c r="J280">
        <f>IF($D280="",0,$E280*INDEX(Aux_HH!$G$4:$G$31,MATCH($A280&amp;"|"&amp;$D280,Aux_HH!$A$4:$A$31,0)))</f>
        <v>0</v>
      </c>
      <c r="K280">
        <f>IF($D280="",0,$E280*INDEX(Aux_HH!$H$4:$H$31,MATCH($A280&amp;"|"&amp;$D280,Aux_HH!$A$4:$A$31,0)))</f>
        <v>0</v>
      </c>
      <c r="L280">
        <f>IF($D280="",0,$E280*INDEX(Aux_HH!$I$4:$I$31,MATCH($A280&amp;"|"&amp;$D280,Aux_HH!$A$4:$A$31,0)))</f>
        <v>0</v>
      </c>
    </row>
    <row r="281" spans="1:12" ht="15" customHeight="1" x14ac:dyDescent="0.4">
      <c r="A281" t="str">
        <f>Premissas!$A$44</f>
        <v>Pulverizador</v>
      </c>
      <c r="B281">
        <v>18</v>
      </c>
      <c r="C281">
        <f>INDEX(Semanas!$E$3:$E$54,18)</f>
        <v>12</v>
      </c>
      <c r="D281" t="str">
        <f>Cronograma!S10</f>
        <v/>
      </c>
      <c r="E281">
        <f>Premissas!$I$44</f>
        <v>12</v>
      </c>
      <c r="F281">
        <f t="shared" si="4"/>
        <v>0</v>
      </c>
      <c r="G281">
        <f>IF($D281="",0,$E281*INDEX(Aux_HH!$D$4:$D$31,MATCH($A281&amp;"|"&amp;$D281,Aux_HH!$A$4:$A$31,0)))</f>
        <v>0</v>
      </c>
      <c r="H281">
        <f>IF($D281="",0,$E281*INDEX(Aux_HH!$E$4:$E$31,MATCH($A281&amp;"|"&amp;$D281,Aux_HH!$A$4:$A$31,0)))</f>
        <v>0</v>
      </c>
      <c r="I281">
        <f>IF($D281="",0,$E281*INDEX(Aux_HH!$F$4:$F$31,MATCH($A281&amp;"|"&amp;$D281,Aux_HH!$A$4:$A$31,0)))</f>
        <v>0</v>
      </c>
      <c r="J281">
        <f>IF($D281="",0,$E281*INDEX(Aux_HH!$G$4:$G$31,MATCH($A281&amp;"|"&amp;$D281,Aux_HH!$A$4:$A$31,0)))</f>
        <v>0</v>
      </c>
      <c r="K281">
        <f>IF($D281="",0,$E281*INDEX(Aux_HH!$H$4:$H$31,MATCH($A281&amp;"|"&amp;$D281,Aux_HH!$A$4:$A$31,0)))</f>
        <v>0</v>
      </c>
      <c r="L281">
        <f>IF($D281="",0,$E281*INDEX(Aux_HH!$I$4:$I$31,MATCH($A281&amp;"|"&amp;$D281,Aux_HH!$A$4:$A$31,0)))</f>
        <v>0</v>
      </c>
    </row>
    <row r="282" spans="1:12" ht="15" customHeight="1" x14ac:dyDescent="0.4">
      <c r="A282" t="str">
        <f>Premissas!$A$44</f>
        <v>Pulverizador</v>
      </c>
      <c r="B282">
        <v>19</v>
      </c>
      <c r="C282">
        <f>INDEX(Semanas!$E$3:$E$54,19)</f>
        <v>1</v>
      </c>
      <c r="D282" t="str">
        <f>Cronograma!T10</f>
        <v/>
      </c>
      <c r="E282">
        <f>Premissas!$I$44</f>
        <v>12</v>
      </c>
      <c r="F282">
        <f t="shared" si="4"/>
        <v>0</v>
      </c>
      <c r="G282">
        <f>IF($D282="",0,$E282*INDEX(Aux_HH!$D$4:$D$31,MATCH($A282&amp;"|"&amp;$D282,Aux_HH!$A$4:$A$31,0)))</f>
        <v>0</v>
      </c>
      <c r="H282">
        <f>IF($D282="",0,$E282*INDEX(Aux_HH!$E$4:$E$31,MATCH($A282&amp;"|"&amp;$D282,Aux_HH!$A$4:$A$31,0)))</f>
        <v>0</v>
      </c>
      <c r="I282">
        <f>IF($D282="",0,$E282*INDEX(Aux_HH!$F$4:$F$31,MATCH($A282&amp;"|"&amp;$D282,Aux_HH!$A$4:$A$31,0)))</f>
        <v>0</v>
      </c>
      <c r="J282">
        <f>IF($D282="",0,$E282*INDEX(Aux_HH!$G$4:$G$31,MATCH($A282&amp;"|"&amp;$D282,Aux_HH!$A$4:$A$31,0)))</f>
        <v>0</v>
      </c>
      <c r="K282">
        <f>IF($D282="",0,$E282*INDEX(Aux_HH!$H$4:$H$31,MATCH($A282&amp;"|"&amp;$D282,Aux_HH!$A$4:$A$31,0)))</f>
        <v>0</v>
      </c>
      <c r="L282">
        <f>IF($D282="",0,$E282*INDEX(Aux_HH!$I$4:$I$31,MATCH($A282&amp;"|"&amp;$D282,Aux_HH!$A$4:$A$31,0)))</f>
        <v>0</v>
      </c>
    </row>
    <row r="283" spans="1:12" ht="15" customHeight="1" x14ac:dyDescent="0.4">
      <c r="A283" t="str">
        <f>Premissas!$A$44</f>
        <v>Pulverizador</v>
      </c>
      <c r="B283">
        <v>20</v>
      </c>
      <c r="C283">
        <f>INDEX(Semanas!$E$3:$E$54,20)</f>
        <v>1</v>
      </c>
      <c r="D283" t="str">
        <f>Cronograma!U10</f>
        <v>A</v>
      </c>
      <c r="E283">
        <f>Premissas!$I$44</f>
        <v>12</v>
      </c>
      <c r="F283">
        <f t="shared" si="4"/>
        <v>12</v>
      </c>
      <c r="G283">
        <f>IF($D283="",0,$E283*INDEX(Aux_HH!$D$4:$D$31,MATCH($A283&amp;"|"&amp;$D283,Aux_HH!$A$4:$A$31,0)))</f>
        <v>48</v>
      </c>
      <c r="H283">
        <f>IF($D283="",0,$E283*INDEX(Aux_HH!$E$4:$E$31,MATCH($A283&amp;"|"&amp;$D283,Aux_HH!$A$4:$A$31,0)))</f>
        <v>0</v>
      </c>
      <c r="I283">
        <f>IF($D283="",0,$E283*INDEX(Aux_HH!$F$4:$F$31,MATCH($A283&amp;"|"&amp;$D283,Aux_HH!$A$4:$A$31,0)))</f>
        <v>0</v>
      </c>
      <c r="J283">
        <f>IF($D283="",0,$E283*INDEX(Aux_HH!$G$4:$G$31,MATCH($A283&amp;"|"&amp;$D283,Aux_HH!$A$4:$A$31,0)))</f>
        <v>0</v>
      </c>
      <c r="K283">
        <f>IF($D283="",0,$E283*INDEX(Aux_HH!$H$4:$H$31,MATCH($A283&amp;"|"&amp;$D283,Aux_HH!$A$4:$A$31,0)))</f>
        <v>0</v>
      </c>
      <c r="L283">
        <f>IF($D283="",0,$E283*INDEX(Aux_HH!$I$4:$I$31,MATCH($A283&amp;"|"&amp;$D283,Aux_HH!$A$4:$A$31,0)))</f>
        <v>0</v>
      </c>
    </row>
    <row r="284" spans="1:12" ht="15" customHeight="1" x14ac:dyDescent="0.4">
      <c r="A284" t="str">
        <f>Premissas!$A$44</f>
        <v>Pulverizador</v>
      </c>
      <c r="B284">
        <v>21</v>
      </c>
      <c r="C284">
        <f>INDEX(Semanas!$E$3:$E$54,21)</f>
        <v>1</v>
      </c>
      <c r="D284" t="str">
        <f>Cronograma!V10</f>
        <v/>
      </c>
      <c r="E284">
        <f>Premissas!$I$44</f>
        <v>12</v>
      </c>
      <c r="F284">
        <f t="shared" si="4"/>
        <v>0</v>
      </c>
      <c r="G284">
        <f>IF($D284="",0,$E284*INDEX(Aux_HH!$D$4:$D$31,MATCH($A284&amp;"|"&amp;$D284,Aux_HH!$A$4:$A$31,0)))</f>
        <v>0</v>
      </c>
      <c r="H284">
        <f>IF($D284="",0,$E284*INDEX(Aux_HH!$E$4:$E$31,MATCH($A284&amp;"|"&amp;$D284,Aux_HH!$A$4:$A$31,0)))</f>
        <v>0</v>
      </c>
      <c r="I284">
        <f>IF($D284="",0,$E284*INDEX(Aux_HH!$F$4:$F$31,MATCH($A284&amp;"|"&amp;$D284,Aux_HH!$A$4:$A$31,0)))</f>
        <v>0</v>
      </c>
      <c r="J284">
        <f>IF($D284="",0,$E284*INDEX(Aux_HH!$G$4:$G$31,MATCH($A284&amp;"|"&amp;$D284,Aux_HH!$A$4:$A$31,0)))</f>
        <v>0</v>
      </c>
      <c r="K284">
        <f>IF($D284="",0,$E284*INDEX(Aux_HH!$H$4:$H$31,MATCH($A284&amp;"|"&amp;$D284,Aux_HH!$A$4:$A$31,0)))</f>
        <v>0</v>
      </c>
      <c r="L284">
        <f>IF($D284="",0,$E284*INDEX(Aux_HH!$I$4:$I$31,MATCH($A284&amp;"|"&amp;$D284,Aux_HH!$A$4:$A$31,0)))</f>
        <v>0</v>
      </c>
    </row>
    <row r="285" spans="1:12" ht="15" customHeight="1" x14ac:dyDescent="0.4">
      <c r="A285" t="str">
        <f>Premissas!$A$44</f>
        <v>Pulverizador</v>
      </c>
      <c r="B285">
        <v>22</v>
      </c>
      <c r="C285">
        <f>INDEX(Semanas!$E$3:$E$54,22)</f>
        <v>1</v>
      </c>
      <c r="D285" t="str">
        <f>Cronograma!W10</f>
        <v/>
      </c>
      <c r="E285">
        <f>Premissas!$I$44</f>
        <v>12</v>
      </c>
      <c r="F285">
        <f t="shared" si="4"/>
        <v>0</v>
      </c>
      <c r="G285">
        <f>IF($D285="",0,$E285*INDEX(Aux_HH!$D$4:$D$31,MATCH($A285&amp;"|"&amp;$D285,Aux_HH!$A$4:$A$31,0)))</f>
        <v>0</v>
      </c>
      <c r="H285">
        <f>IF($D285="",0,$E285*INDEX(Aux_HH!$E$4:$E$31,MATCH($A285&amp;"|"&amp;$D285,Aux_HH!$A$4:$A$31,0)))</f>
        <v>0</v>
      </c>
      <c r="I285">
        <f>IF($D285="",0,$E285*INDEX(Aux_HH!$F$4:$F$31,MATCH($A285&amp;"|"&amp;$D285,Aux_HH!$A$4:$A$31,0)))</f>
        <v>0</v>
      </c>
      <c r="J285">
        <f>IF($D285="",0,$E285*INDEX(Aux_HH!$G$4:$G$31,MATCH($A285&amp;"|"&amp;$D285,Aux_HH!$A$4:$A$31,0)))</f>
        <v>0</v>
      </c>
      <c r="K285">
        <f>IF($D285="",0,$E285*INDEX(Aux_HH!$H$4:$H$31,MATCH($A285&amp;"|"&amp;$D285,Aux_HH!$A$4:$A$31,0)))</f>
        <v>0</v>
      </c>
      <c r="L285">
        <f>IF($D285="",0,$E285*INDEX(Aux_HH!$I$4:$I$31,MATCH($A285&amp;"|"&amp;$D285,Aux_HH!$A$4:$A$31,0)))</f>
        <v>0</v>
      </c>
    </row>
    <row r="286" spans="1:12" ht="15" customHeight="1" x14ac:dyDescent="0.4">
      <c r="A286" t="str">
        <f>Premissas!$A$44</f>
        <v>Pulverizador</v>
      </c>
      <c r="B286">
        <v>23</v>
      </c>
      <c r="C286">
        <f>INDEX(Semanas!$E$3:$E$54,23)</f>
        <v>2</v>
      </c>
      <c r="D286" t="str">
        <f>Cronograma!X10</f>
        <v/>
      </c>
      <c r="E286">
        <f>Premissas!$I$44</f>
        <v>12</v>
      </c>
      <c r="F286">
        <f t="shared" si="4"/>
        <v>0</v>
      </c>
      <c r="G286">
        <f>IF($D286="",0,$E286*INDEX(Aux_HH!$D$4:$D$31,MATCH($A286&amp;"|"&amp;$D286,Aux_HH!$A$4:$A$31,0)))</f>
        <v>0</v>
      </c>
      <c r="H286">
        <f>IF($D286="",0,$E286*INDEX(Aux_HH!$E$4:$E$31,MATCH($A286&amp;"|"&amp;$D286,Aux_HH!$A$4:$A$31,0)))</f>
        <v>0</v>
      </c>
      <c r="I286">
        <f>IF($D286="",0,$E286*INDEX(Aux_HH!$F$4:$F$31,MATCH($A286&amp;"|"&amp;$D286,Aux_HH!$A$4:$A$31,0)))</f>
        <v>0</v>
      </c>
      <c r="J286">
        <f>IF($D286="",0,$E286*INDEX(Aux_HH!$G$4:$G$31,MATCH($A286&amp;"|"&amp;$D286,Aux_HH!$A$4:$A$31,0)))</f>
        <v>0</v>
      </c>
      <c r="K286">
        <f>IF($D286="",0,$E286*INDEX(Aux_HH!$H$4:$H$31,MATCH($A286&amp;"|"&amp;$D286,Aux_HH!$A$4:$A$31,0)))</f>
        <v>0</v>
      </c>
      <c r="L286">
        <f>IF($D286="",0,$E286*INDEX(Aux_HH!$I$4:$I$31,MATCH($A286&amp;"|"&amp;$D286,Aux_HH!$A$4:$A$31,0)))</f>
        <v>0</v>
      </c>
    </row>
    <row r="287" spans="1:12" ht="15" customHeight="1" x14ac:dyDescent="0.4">
      <c r="A287" t="str">
        <f>Premissas!$A$44</f>
        <v>Pulverizador</v>
      </c>
      <c r="B287">
        <v>24</v>
      </c>
      <c r="C287">
        <f>INDEX(Semanas!$E$3:$E$54,24)</f>
        <v>2</v>
      </c>
      <c r="D287" t="str">
        <f>Cronograma!Y10</f>
        <v/>
      </c>
      <c r="E287">
        <f>Premissas!$I$44</f>
        <v>12</v>
      </c>
      <c r="F287">
        <f t="shared" si="4"/>
        <v>0</v>
      </c>
      <c r="G287">
        <f>IF($D287="",0,$E287*INDEX(Aux_HH!$D$4:$D$31,MATCH($A287&amp;"|"&amp;$D287,Aux_HH!$A$4:$A$31,0)))</f>
        <v>0</v>
      </c>
      <c r="H287">
        <f>IF($D287="",0,$E287*INDEX(Aux_HH!$E$4:$E$31,MATCH($A287&amp;"|"&amp;$D287,Aux_HH!$A$4:$A$31,0)))</f>
        <v>0</v>
      </c>
      <c r="I287">
        <f>IF($D287="",0,$E287*INDEX(Aux_HH!$F$4:$F$31,MATCH($A287&amp;"|"&amp;$D287,Aux_HH!$A$4:$A$31,0)))</f>
        <v>0</v>
      </c>
      <c r="J287">
        <f>IF($D287="",0,$E287*INDEX(Aux_HH!$G$4:$G$31,MATCH($A287&amp;"|"&amp;$D287,Aux_HH!$A$4:$A$31,0)))</f>
        <v>0</v>
      </c>
      <c r="K287">
        <f>IF($D287="",0,$E287*INDEX(Aux_HH!$H$4:$H$31,MATCH($A287&amp;"|"&amp;$D287,Aux_HH!$A$4:$A$31,0)))</f>
        <v>0</v>
      </c>
      <c r="L287">
        <f>IF($D287="",0,$E287*INDEX(Aux_HH!$I$4:$I$31,MATCH($A287&amp;"|"&amp;$D287,Aux_HH!$A$4:$A$31,0)))</f>
        <v>0</v>
      </c>
    </row>
    <row r="288" spans="1:12" ht="15" customHeight="1" x14ac:dyDescent="0.4">
      <c r="A288" t="str">
        <f>Premissas!$A$44</f>
        <v>Pulverizador</v>
      </c>
      <c r="B288">
        <v>25</v>
      </c>
      <c r="C288">
        <f>INDEX(Semanas!$E$3:$E$54,25)</f>
        <v>2</v>
      </c>
      <c r="D288" t="str">
        <f>Cronograma!Z10</f>
        <v>S</v>
      </c>
      <c r="E288">
        <f>Premissas!$I$44</f>
        <v>12</v>
      </c>
      <c r="F288">
        <f t="shared" si="4"/>
        <v>12</v>
      </c>
      <c r="G288">
        <f>IF($D288="",0,$E288*INDEX(Aux_HH!$D$4:$D$31,MATCH($A288&amp;"|"&amp;$D288,Aux_HH!$A$4:$A$31,0)))</f>
        <v>24</v>
      </c>
      <c r="H288">
        <f>IF($D288="",0,$E288*INDEX(Aux_HH!$E$4:$E$31,MATCH($A288&amp;"|"&amp;$D288,Aux_HH!$A$4:$A$31,0)))</f>
        <v>0</v>
      </c>
      <c r="I288">
        <f>IF($D288="",0,$E288*INDEX(Aux_HH!$F$4:$F$31,MATCH($A288&amp;"|"&amp;$D288,Aux_HH!$A$4:$A$31,0)))</f>
        <v>0</v>
      </c>
      <c r="J288">
        <f>IF($D288="",0,$E288*INDEX(Aux_HH!$G$4:$G$31,MATCH($A288&amp;"|"&amp;$D288,Aux_HH!$A$4:$A$31,0)))</f>
        <v>0</v>
      </c>
      <c r="K288">
        <f>IF($D288="",0,$E288*INDEX(Aux_HH!$H$4:$H$31,MATCH($A288&amp;"|"&amp;$D288,Aux_HH!$A$4:$A$31,0)))</f>
        <v>0</v>
      </c>
      <c r="L288">
        <f>IF($D288="",0,$E288*INDEX(Aux_HH!$I$4:$I$31,MATCH($A288&amp;"|"&amp;$D288,Aux_HH!$A$4:$A$31,0)))</f>
        <v>0</v>
      </c>
    </row>
    <row r="289" spans="1:12" ht="15" customHeight="1" x14ac:dyDescent="0.4">
      <c r="A289" t="str">
        <f>Premissas!$A$44</f>
        <v>Pulverizador</v>
      </c>
      <c r="B289">
        <v>26</v>
      </c>
      <c r="C289">
        <f>INDEX(Semanas!$E$3:$E$54,26)</f>
        <v>2</v>
      </c>
      <c r="D289" t="str">
        <f>Cronograma!AA10</f>
        <v/>
      </c>
      <c r="E289">
        <f>Premissas!$I$44</f>
        <v>12</v>
      </c>
      <c r="F289">
        <f t="shared" si="4"/>
        <v>0</v>
      </c>
      <c r="G289">
        <f>IF($D289="",0,$E289*INDEX(Aux_HH!$D$4:$D$31,MATCH($A289&amp;"|"&amp;$D289,Aux_HH!$A$4:$A$31,0)))</f>
        <v>0</v>
      </c>
      <c r="H289">
        <f>IF($D289="",0,$E289*INDEX(Aux_HH!$E$4:$E$31,MATCH($A289&amp;"|"&amp;$D289,Aux_HH!$A$4:$A$31,0)))</f>
        <v>0</v>
      </c>
      <c r="I289">
        <f>IF($D289="",0,$E289*INDEX(Aux_HH!$F$4:$F$31,MATCH($A289&amp;"|"&amp;$D289,Aux_HH!$A$4:$A$31,0)))</f>
        <v>0</v>
      </c>
      <c r="J289">
        <f>IF($D289="",0,$E289*INDEX(Aux_HH!$G$4:$G$31,MATCH($A289&amp;"|"&amp;$D289,Aux_HH!$A$4:$A$31,0)))</f>
        <v>0</v>
      </c>
      <c r="K289">
        <f>IF($D289="",0,$E289*INDEX(Aux_HH!$H$4:$H$31,MATCH($A289&amp;"|"&amp;$D289,Aux_HH!$A$4:$A$31,0)))</f>
        <v>0</v>
      </c>
      <c r="L289">
        <f>IF($D289="",0,$E289*INDEX(Aux_HH!$I$4:$I$31,MATCH($A289&amp;"|"&amp;$D289,Aux_HH!$A$4:$A$31,0)))</f>
        <v>0</v>
      </c>
    </row>
    <row r="290" spans="1:12" ht="15" customHeight="1" x14ac:dyDescent="0.4">
      <c r="A290" t="str">
        <f>Premissas!$A$44</f>
        <v>Pulverizador</v>
      </c>
      <c r="B290">
        <v>27</v>
      </c>
      <c r="C290">
        <f>INDEX(Semanas!$E$3:$E$54,27)</f>
        <v>3</v>
      </c>
      <c r="D290" t="str">
        <f>Cronograma!AB10</f>
        <v/>
      </c>
      <c r="E290">
        <f>Premissas!$I$44</f>
        <v>12</v>
      </c>
      <c r="F290">
        <f t="shared" si="4"/>
        <v>0</v>
      </c>
      <c r="G290">
        <f>IF($D290="",0,$E290*INDEX(Aux_HH!$D$4:$D$31,MATCH($A290&amp;"|"&amp;$D290,Aux_HH!$A$4:$A$31,0)))</f>
        <v>0</v>
      </c>
      <c r="H290">
        <f>IF($D290="",0,$E290*INDEX(Aux_HH!$E$4:$E$31,MATCH($A290&amp;"|"&amp;$D290,Aux_HH!$A$4:$A$31,0)))</f>
        <v>0</v>
      </c>
      <c r="I290">
        <f>IF($D290="",0,$E290*INDEX(Aux_HH!$F$4:$F$31,MATCH($A290&amp;"|"&amp;$D290,Aux_HH!$A$4:$A$31,0)))</f>
        <v>0</v>
      </c>
      <c r="J290">
        <f>IF($D290="",0,$E290*INDEX(Aux_HH!$G$4:$G$31,MATCH($A290&amp;"|"&amp;$D290,Aux_HH!$A$4:$A$31,0)))</f>
        <v>0</v>
      </c>
      <c r="K290">
        <f>IF($D290="",0,$E290*INDEX(Aux_HH!$H$4:$H$31,MATCH($A290&amp;"|"&amp;$D290,Aux_HH!$A$4:$A$31,0)))</f>
        <v>0</v>
      </c>
      <c r="L290">
        <f>IF($D290="",0,$E290*INDEX(Aux_HH!$I$4:$I$31,MATCH($A290&amp;"|"&amp;$D290,Aux_HH!$A$4:$A$31,0)))</f>
        <v>0</v>
      </c>
    </row>
    <row r="291" spans="1:12" ht="15" customHeight="1" x14ac:dyDescent="0.4">
      <c r="A291" t="str">
        <f>Premissas!$A$44</f>
        <v>Pulverizador</v>
      </c>
      <c r="B291">
        <v>28</v>
      </c>
      <c r="C291">
        <f>INDEX(Semanas!$E$3:$E$54,28)</f>
        <v>3</v>
      </c>
      <c r="D291" t="str">
        <f>Cronograma!AC10</f>
        <v/>
      </c>
      <c r="E291">
        <f>Premissas!$I$44</f>
        <v>12</v>
      </c>
      <c r="F291">
        <f t="shared" si="4"/>
        <v>0</v>
      </c>
      <c r="G291">
        <f>IF($D291="",0,$E291*INDEX(Aux_HH!$D$4:$D$31,MATCH($A291&amp;"|"&amp;$D291,Aux_HH!$A$4:$A$31,0)))</f>
        <v>0</v>
      </c>
      <c r="H291">
        <f>IF($D291="",0,$E291*INDEX(Aux_HH!$E$4:$E$31,MATCH($A291&amp;"|"&amp;$D291,Aux_HH!$A$4:$A$31,0)))</f>
        <v>0</v>
      </c>
      <c r="I291">
        <f>IF($D291="",0,$E291*INDEX(Aux_HH!$F$4:$F$31,MATCH($A291&amp;"|"&amp;$D291,Aux_HH!$A$4:$A$31,0)))</f>
        <v>0</v>
      </c>
      <c r="J291">
        <f>IF($D291="",0,$E291*INDEX(Aux_HH!$G$4:$G$31,MATCH($A291&amp;"|"&amp;$D291,Aux_HH!$A$4:$A$31,0)))</f>
        <v>0</v>
      </c>
      <c r="K291">
        <f>IF($D291="",0,$E291*INDEX(Aux_HH!$H$4:$H$31,MATCH($A291&amp;"|"&amp;$D291,Aux_HH!$A$4:$A$31,0)))</f>
        <v>0</v>
      </c>
      <c r="L291">
        <f>IF($D291="",0,$E291*INDEX(Aux_HH!$I$4:$I$31,MATCH($A291&amp;"|"&amp;$D291,Aux_HH!$A$4:$A$31,0)))</f>
        <v>0</v>
      </c>
    </row>
    <row r="292" spans="1:12" ht="15" customHeight="1" x14ac:dyDescent="0.4">
      <c r="A292" t="str">
        <f>Premissas!$A$44</f>
        <v>Pulverizador</v>
      </c>
      <c r="B292">
        <v>29</v>
      </c>
      <c r="C292">
        <f>INDEX(Semanas!$E$3:$E$54,29)</f>
        <v>3</v>
      </c>
      <c r="D292" t="str">
        <f>Cronograma!AD10</f>
        <v/>
      </c>
      <c r="E292">
        <f>Premissas!$I$44</f>
        <v>12</v>
      </c>
      <c r="F292">
        <f t="shared" si="4"/>
        <v>0</v>
      </c>
      <c r="G292">
        <f>IF($D292="",0,$E292*INDEX(Aux_HH!$D$4:$D$31,MATCH($A292&amp;"|"&amp;$D292,Aux_HH!$A$4:$A$31,0)))</f>
        <v>0</v>
      </c>
      <c r="H292">
        <f>IF($D292="",0,$E292*INDEX(Aux_HH!$E$4:$E$31,MATCH($A292&amp;"|"&amp;$D292,Aux_HH!$A$4:$A$31,0)))</f>
        <v>0</v>
      </c>
      <c r="I292">
        <f>IF($D292="",0,$E292*INDEX(Aux_HH!$F$4:$F$31,MATCH($A292&amp;"|"&amp;$D292,Aux_HH!$A$4:$A$31,0)))</f>
        <v>0</v>
      </c>
      <c r="J292">
        <f>IF($D292="",0,$E292*INDEX(Aux_HH!$G$4:$G$31,MATCH($A292&amp;"|"&amp;$D292,Aux_HH!$A$4:$A$31,0)))</f>
        <v>0</v>
      </c>
      <c r="K292">
        <f>IF($D292="",0,$E292*INDEX(Aux_HH!$H$4:$H$31,MATCH($A292&amp;"|"&amp;$D292,Aux_HH!$A$4:$A$31,0)))</f>
        <v>0</v>
      </c>
      <c r="L292">
        <f>IF($D292="",0,$E292*INDEX(Aux_HH!$I$4:$I$31,MATCH($A292&amp;"|"&amp;$D292,Aux_HH!$A$4:$A$31,0)))</f>
        <v>0</v>
      </c>
    </row>
    <row r="293" spans="1:12" ht="15" customHeight="1" x14ac:dyDescent="0.4">
      <c r="A293" t="str">
        <f>Premissas!$A$44</f>
        <v>Pulverizador</v>
      </c>
      <c r="B293">
        <v>30</v>
      </c>
      <c r="C293">
        <f>INDEX(Semanas!$E$3:$E$54,30)</f>
        <v>3</v>
      </c>
      <c r="D293" t="str">
        <f>Cronograma!AE10</f>
        <v>A</v>
      </c>
      <c r="E293">
        <f>Premissas!$I$44</f>
        <v>12</v>
      </c>
      <c r="F293">
        <f t="shared" si="4"/>
        <v>12</v>
      </c>
      <c r="G293">
        <f>IF($D293="",0,$E293*INDEX(Aux_HH!$D$4:$D$31,MATCH($A293&amp;"|"&amp;$D293,Aux_HH!$A$4:$A$31,0)))</f>
        <v>48</v>
      </c>
      <c r="H293">
        <f>IF($D293="",0,$E293*INDEX(Aux_HH!$E$4:$E$31,MATCH($A293&amp;"|"&amp;$D293,Aux_HH!$A$4:$A$31,0)))</f>
        <v>0</v>
      </c>
      <c r="I293">
        <f>IF($D293="",0,$E293*INDEX(Aux_HH!$F$4:$F$31,MATCH($A293&amp;"|"&amp;$D293,Aux_HH!$A$4:$A$31,0)))</f>
        <v>0</v>
      </c>
      <c r="J293">
        <f>IF($D293="",0,$E293*INDEX(Aux_HH!$G$4:$G$31,MATCH($A293&amp;"|"&amp;$D293,Aux_HH!$A$4:$A$31,0)))</f>
        <v>0</v>
      </c>
      <c r="K293">
        <f>IF($D293="",0,$E293*INDEX(Aux_HH!$H$4:$H$31,MATCH($A293&amp;"|"&amp;$D293,Aux_HH!$A$4:$A$31,0)))</f>
        <v>0</v>
      </c>
      <c r="L293">
        <f>IF($D293="",0,$E293*INDEX(Aux_HH!$I$4:$I$31,MATCH($A293&amp;"|"&amp;$D293,Aux_HH!$A$4:$A$31,0)))</f>
        <v>0</v>
      </c>
    </row>
    <row r="294" spans="1:12" ht="15" customHeight="1" x14ac:dyDescent="0.4">
      <c r="A294" t="str">
        <f>Premissas!$A$44</f>
        <v>Pulverizador</v>
      </c>
      <c r="B294">
        <v>31</v>
      </c>
      <c r="C294">
        <f>INDEX(Semanas!$E$3:$E$54,31)</f>
        <v>3</v>
      </c>
      <c r="D294" t="str">
        <f>Cronograma!AF10</f>
        <v/>
      </c>
      <c r="E294">
        <f>Premissas!$I$44</f>
        <v>12</v>
      </c>
      <c r="F294">
        <f t="shared" si="4"/>
        <v>0</v>
      </c>
      <c r="G294">
        <f>IF($D294="",0,$E294*INDEX(Aux_HH!$D$4:$D$31,MATCH($A294&amp;"|"&amp;$D294,Aux_HH!$A$4:$A$31,0)))</f>
        <v>0</v>
      </c>
      <c r="H294">
        <f>IF($D294="",0,$E294*INDEX(Aux_HH!$E$4:$E$31,MATCH($A294&amp;"|"&amp;$D294,Aux_HH!$A$4:$A$31,0)))</f>
        <v>0</v>
      </c>
      <c r="I294">
        <f>IF($D294="",0,$E294*INDEX(Aux_HH!$F$4:$F$31,MATCH($A294&amp;"|"&amp;$D294,Aux_HH!$A$4:$A$31,0)))</f>
        <v>0</v>
      </c>
      <c r="J294">
        <f>IF($D294="",0,$E294*INDEX(Aux_HH!$G$4:$G$31,MATCH($A294&amp;"|"&amp;$D294,Aux_HH!$A$4:$A$31,0)))</f>
        <v>0</v>
      </c>
      <c r="K294">
        <f>IF($D294="",0,$E294*INDEX(Aux_HH!$H$4:$H$31,MATCH($A294&amp;"|"&amp;$D294,Aux_HH!$A$4:$A$31,0)))</f>
        <v>0</v>
      </c>
      <c r="L294">
        <f>IF($D294="",0,$E294*INDEX(Aux_HH!$I$4:$I$31,MATCH($A294&amp;"|"&amp;$D294,Aux_HH!$A$4:$A$31,0)))</f>
        <v>0</v>
      </c>
    </row>
    <row r="295" spans="1:12" ht="15" customHeight="1" x14ac:dyDescent="0.4">
      <c r="A295" t="str">
        <f>Premissas!$A$44</f>
        <v>Pulverizador</v>
      </c>
      <c r="B295">
        <v>32</v>
      </c>
      <c r="C295">
        <f>INDEX(Semanas!$E$3:$E$54,32)</f>
        <v>4</v>
      </c>
      <c r="D295" t="str">
        <f>Cronograma!AG10</f>
        <v/>
      </c>
      <c r="E295">
        <f>Premissas!$I$44</f>
        <v>12</v>
      </c>
      <c r="F295">
        <f t="shared" si="4"/>
        <v>0</v>
      </c>
      <c r="G295">
        <f>IF($D295="",0,$E295*INDEX(Aux_HH!$D$4:$D$31,MATCH($A295&amp;"|"&amp;$D295,Aux_HH!$A$4:$A$31,0)))</f>
        <v>0</v>
      </c>
      <c r="H295">
        <f>IF($D295="",0,$E295*INDEX(Aux_HH!$E$4:$E$31,MATCH($A295&amp;"|"&amp;$D295,Aux_HH!$A$4:$A$31,0)))</f>
        <v>0</v>
      </c>
      <c r="I295">
        <f>IF($D295="",0,$E295*INDEX(Aux_HH!$F$4:$F$31,MATCH($A295&amp;"|"&amp;$D295,Aux_HH!$A$4:$A$31,0)))</f>
        <v>0</v>
      </c>
      <c r="J295">
        <f>IF($D295="",0,$E295*INDEX(Aux_HH!$G$4:$G$31,MATCH($A295&amp;"|"&amp;$D295,Aux_HH!$A$4:$A$31,0)))</f>
        <v>0</v>
      </c>
      <c r="K295">
        <f>IF($D295="",0,$E295*INDEX(Aux_HH!$H$4:$H$31,MATCH($A295&amp;"|"&amp;$D295,Aux_HH!$A$4:$A$31,0)))</f>
        <v>0</v>
      </c>
      <c r="L295">
        <f>IF($D295="",0,$E295*INDEX(Aux_HH!$I$4:$I$31,MATCH($A295&amp;"|"&amp;$D295,Aux_HH!$A$4:$A$31,0)))</f>
        <v>0</v>
      </c>
    </row>
    <row r="296" spans="1:12" ht="15" customHeight="1" x14ac:dyDescent="0.4">
      <c r="A296" t="str">
        <f>Premissas!$A$44</f>
        <v>Pulverizador</v>
      </c>
      <c r="B296">
        <v>33</v>
      </c>
      <c r="C296">
        <f>INDEX(Semanas!$E$3:$E$54,33)</f>
        <v>4</v>
      </c>
      <c r="D296" t="str">
        <f>Cronograma!AH10</f>
        <v/>
      </c>
      <c r="E296">
        <f>Premissas!$I$44</f>
        <v>12</v>
      </c>
      <c r="F296">
        <f t="shared" si="4"/>
        <v>0</v>
      </c>
      <c r="G296">
        <f>IF($D296="",0,$E296*INDEX(Aux_HH!$D$4:$D$31,MATCH($A296&amp;"|"&amp;$D296,Aux_HH!$A$4:$A$31,0)))</f>
        <v>0</v>
      </c>
      <c r="H296">
        <f>IF($D296="",0,$E296*INDEX(Aux_HH!$E$4:$E$31,MATCH($A296&amp;"|"&amp;$D296,Aux_HH!$A$4:$A$31,0)))</f>
        <v>0</v>
      </c>
      <c r="I296">
        <f>IF($D296="",0,$E296*INDEX(Aux_HH!$F$4:$F$31,MATCH($A296&amp;"|"&amp;$D296,Aux_HH!$A$4:$A$31,0)))</f>
        <v>0</v>
      </c>
      <c r="J296">
        <f>IF($D296="",0,$E296*INDEX(Aux_HH!$G$4:$G$31,MATCH($A296&amp;"|"&amp;$D296,Aux_HH!$A$4:$A$31,0)))</f>
        <v>0</v>
      </c>
      <c r="K296">
        <f>IF($D296="",0,$E296*INDEX(Aux_HH!$H$4:$H$31,MATCH($A296&amp;"|"&amp;$D296,Aux_HH!$A$4:$A$31,0)))</f>
        <v>0</v>
      </c>
      <c r="L296">
        <f>IF($D296="",0,$E296*INDEX(Aux_HH!$I$4:$I$31,MATCH($A296&amp;"|"&amp;$D296,Aux_HH!$A$4:$A$31,0)))</f>
        <v>0</v>
      </c>
    </row>
    <row r="297" spans="1:12" ht="15" customHeight="1" x14ac:dyDescent="0.4">
      <c r="A297" t="str">
        <f>Premissas!$A$44</f>
        <v>Pulverizador</v>
      </c>
      <c r="B297">
        <v>34</v>
      </c>
      <c r="C297">
        <f>INDEX(Semanas!$E$3:$E$54,34)</f>
        <v>4</v>
      </c>
      <c r="D297" t="str">
        <f>Cronograma!AI10</f>
        <v/>
      </c>
      <c r="E297">
        <f>Premissas!$I$44</f>
        <v>12</v>
      </c>
      <c r="F297">
        <f t="shared" si="4"/>
        <v>0</v>
      </c>
      <c r="G297">
        <f>IF($D297="",0,$E297*INDEX(Aux_HH!$D$4:$D$31,MATCH($A297&amp;"|"&amp;$D297,Aux_HH!$A$4:$A$31,0)))</f>
        <v>0</v>
      </c>
      <c r="H297">
        <f>IF($D297="",0,$E297*INDEX(Aux_HH!$E$4:$E$31,MATCH($A297&amp;"|"&amp;$D297,Aux_HH!$A$4:$A$31,0)))</f>
        <v>0</v>
      </c>
      <c r="I297">
        <f>IF($D297="",0,$E297*INDEX(Aux_HH!$F$4:$F$31,MATCH($A297&amp;"|"&amp;$D297,Aux_HH!$A$4:$A$31,0)))</f>
        <v>0</v>
      </c>
      <c r="J297">
        <f>IF($D297="",0,$E297*INDEX(Aux_HH!$G$4:$G$31,MATCH($A297&amp;"|"&amp;$D297,Aux_HH!$A$4:$A$31,0)))</f>
        <v>0</v>
      </c>
      <c r="K297">
        <f>IF($D297="",0,$E297*INDEX(Aux_HH!$H$4:$H$31,MATCH($A297&amp;"|"&amp;$D297,Aux_HH!$A$4:$A$31,0)))</f>
        <v>0</v>
      </c>
      <c r="L297">
        <f>IF($D297="",0,$E297*INDEX(Aux_HH!$I$4:$I$31,MATCH($A297&amp;"|"&amp;$D297,Aux_HH!$A$4:$A$31,0)))</f>
        <v>0</v>
      </c>
    </row>
    <row r="298" spans="1:12" ht="15" customHeight="1" x14ac:dyDescent="0.4">
      <c r="A298" t="str">
        <f>Premissas!$A$44</f>
        <v>Pulverizador</v>
      </c>
      <c r="B298">
        <v>35</v>
      </c>
      <c r="C298">
        <f>INDEX(Semanas!$E$3:$E$54,35)</f>
        <v>4</v>
      </c>
      <c r="D298" t="str">
        <f>Cronograma!AJ10</f>
        <v>S</v>
      </c>
      <c r="E298">
        <f>Premissas!$I$44</f>
        <v>12</v>
      </c>
      <c r="F298">
        <f t="shared" si="4"/>
        <v>12</v>
      </c>
      <c r="G298">
        <f>IF($D298="",0,$E298*INDEX(Aux_HH!$D$4:$D$31,MATCH($A298&amp;"|"&amp;$D298,Aux_HH!$A$4:$A$31,0)))</f>
        <v>24</v>
      </c>
      <c r="H298">
        <f>IF($D298="",0,$E298*INDEX(Aux_HH!$E$4:$E$31,MATCH($A298&amp;"|"&amp;$D298,Aux_HH!$A$4:$A$31,0)))</f>
        <v>0</v>
      </c>
      <c r="I298">
        <f>IF($D298="",0,$E298*INDEX(Aux_HH!$F$4:$F$31,MATCH($A298&amp;"|"&amp;$D298,Aux_HH!$A$4:$A$31,0)))</f>
        <v>0</v>
      </c>
      <c r="J298">
        <f>IF($D298="",0,$E298*INDEX(Aux_HH!$G$4:$G$31,MATCH($A298&amp;"|"&amp;$D298,Aux_HH!$A$4:$A$31,0)))</f>
        <v>0</v>
      </c>
      <c r="K298">
        <f>IF($D298="",0,$E298*INDEX(Aux_HH!$H$4:$H$31,MATCH($A298&amp;"|"&amp;$D298,Aux_HH!$A$4:$A$31,0)))</f>
        <v>0</v>
      </c>
      <c r="L298">
        <f>IF($D298="",0,$E298*INDEX(Aux_HH!$I$4:$I$31,MATCH($A298&amp;"|"&amp;$D298,Aux_HH!$A$4:$A$31,0)))</f>
        <v>0</v>
      </c>
    </row>
    <row r="299" spans="1:12" ht="15" customHeight="1" x14ac:dyDescent="0.4">
      <c r="A299" t="str">
        <f>Premissas!$A$44</f>
        <v>Pulverizador</v>
      </c>
      <c r="B299">
        <v>36</v>
      </c>
      <c r="C299">
        <f>INDEX(Semanas!$E$3:$E$54,36)</f>
        <v>5</v>
      </c>
      <c r="D299" t="str">
        <f>Cronograma!AK10</f>
        <v/>
      </c>
      <c r="E299">
        <f>Premissas!$I$44</f>
        <v>12</v>
      </c>
      <c r="F299">
        <f t="shared" si="4"/>
        <v>0</v>
      </c>
      <c r="G299">
        <f>IF($D299="",0,$E299*INDEX(Aux_HH!$D$4:$D$31,MATCH($A299&amp;"|"&amp;$D299,Aux_HH!$A$4:$A$31,0)))</f>
        <v>0</v>
      </c>
      <c r="H299">
        <f>IF($D299="",0,$E299*INDEX(Aux_HH!$E$4:$E$31,MATCH($A299&amp;"|"&amp;$D299,Aux_HH!$A$4:$A$31,0)))</f>
        <v>0</v>
      </c>
      <c r="I299">
        <f>IF($D299="",0,$E299*INDEX(Aux_HH!$F$4:$F$31,MATCH($A299&amp;"|"&amp;$D299,Aux_HH!$A$4:$A$31,0)))</f>
        <v>0</v>
      </c>
      <c r="J299">
        <f>IF($D299="",0,$E299*INDEX(Aux_HH!$G$4:$G$31,MATCH($A299&amp;"|"&amp;$D299,Aux_HH!$A$4:$A$31,0)))</f>
        <v>0</v>
      </c>
      <c r="K299">
        <f>IF($D299="",0,$E299*INDEX(Aux_HH!$H$4:$H$31,MATCH($A299&amp;"|"&amp;$D299,Aux_HH!$A$4:$A$31,0)))</f>
        <v>0</v>
      </c>
      <c r="L299">
        <f>IF($D299="",0,$E299*INDEX(Aux_HH!$I$4:$I$31,MATCH($A299&amp;"|"&amp;$D299,Aux_HH!$A$4:$A$31,0)))</f>
        <v>0</v>
      </c>
    </row>
    <row r="300" spans="1:12" ht="15" customHeight="1" x14ac:dyDescent="0.4">
      <c r="A300" t="str">
        <f>Premissas!$A$44</f>
        <v>Pulverizador</v>
      </c>
      <c r="B300">
        <v>37</v>
      </c>
      <c r="C300">
        <f>INDEX(Semanas!$E$3:$E$54,37)</f>
        <v>5</v>
      </c>
      <c r="D300" t="str">
        <f>Cronograma!AL10</f>
        <v/>
      </c>
      <c r="E300">
        <f>Premissas!$I$44</f>
        <v>12</v>
      </c>
      <c r="F300">
        <f t="shared" si="4"/>
        <v>0</v>
      </c>
      <c r="G300">
        <f>IF($D300="",0,$E300*INDEX(Aux_HH!$D$4:$D$31,MATCH($A300&amp;"|"&amp;$D300,Aux_HH!$A$4:$A$31,0)))</f>
        <v>0</v>
      </c>
      <c r="H300">
        <f>IF($D300="",0,$E300*INDEX(Aux_HH!$E$4:$E$31,MATCH($A300&amp;"|"&amp;$D300,Aux_HH!$A$4:$A$31,0)))</f>
        <v>0</v>
      </c>
      <c r="I300">
        <f>IF($D300="",0,$E300*INDEX(Aux_HH!$F$4:$F$31,MATCH($A300&amp;"|"&amp;$D300,Aux_HH!$A$4:$A$31,0)))</f>
        <v>0</v>
      </c>
      <c r="J300">
        <f>IF($D300="",0,$E300*INDEX(Aux_HH!$G$4:$G$31,MATCH($A300&amp;"|"&amp;$D300,Aux_HH!$A$4:$A$31,0)))</f>
        <v>0</v>
      </c>
      <c r="K300">
        <f>IF($D300="",0,$E300*INDEX(Aux_HH!$H$4:$H$31,MATCH($A300&amp;"|"&amp;$D300,Aux_HH!$A$4:$A$31,0)))</f>
        <v>0</v>
      </c>
      <c r="L300">
        <f>IF($D300="",0,$E300*INDEX(Aux_HH!$I$4:$I$31,MATCH($A300&amp;"|"&amp;$D300,Aux_HH!$A$4:$A$31,0)))</f>
        <v>0</v>
      </c>
    </row>
    <row r="301" spans="1:12" ht="15" customHeight="1" x14ac:dyDescent="0.4">
      <c r="A301" t="str">
        <f>Premissas!$A$44</f>
        <v>Pulverizador</v>
      </c>
      <c r="B301">
        <v>38</v>
      </c>
      <c r="C301">
        <f>INDEX(Semanas!$E$3:$E$54,38)</f>
        <v>5</v>
      </c>
      <c r="D301" t="str">
        <f>Cronograma!AM10</f>
        <v/>
      </c>
      <c r="E301">
        <f>Premissas!$I$44</f>
        <v>12</v>
      </c>
      <c r="F301">
        <f t="shared" si="4"/>
        <v>0</v>
      </c>
      <c r="G301">
        <f>IF($D301="",0,$E301*INDEX(Aux_HH!$D$4:$D$31,MATCH($A301&amp;"|"&amp;$D301,Aux_HH!$A$4:$A$31,0)))</f>
        <v>0</v>
      </c>
      <c r="H301">
        <f>IF($D301="",0,$E301*INDEX(Aux_HH!$E$4:$E$31,MATCH($A301&amp;"|"&amp;$D301,Aux_HH!$A$4:$A$31,0)))</f>
        <v>0</v>
      </c>
      <c r="I301">
        <f>IF($D301="",0,$E301*INDEX(Aux_HH!$F$4:$F$31,MATCH($A301&amp;"|"&amp;$D301,Aux_HH!$A$4:$A$31,0)))</f>
        <v>0</v>
      </c>
      <c r="J301">
        <f>IF($D301="",0,$E301*INDEX(Aux_HH!$G$4:$G$31,MATCH($A301&amp;"|"&amp;$D301,Aux_HH!$A$4:$A$31,0)))</f>
        <v>0</v>
      </c>
      <c r="K301">
        <f>IF($D301="",0,$E301*INDEX(Aux_HH!$H$4:$H$31,MATCH($A301&amp;"|"&amp;$D301,Aux_HH!$A$4:$A$31,0)))</f>
        <v>0</v>
      </c>
      <c r="L301">
        <f>IF($D301="",0,$E301*INDEX(Aux_HH!$I$4:$I$31,MATCH($A301&amp;"|"&amp;$D301,Aux_HH!$A$4:$A$31,0)))</f>
        <v>0</v>
      </c>
    </row>
    <row r="302" spans="1:12" ht="15" customHeight="1" x14ac:dyDescent="0.4">
      <c r="A302" t="str">
        <f>Premissas!$A$44</f>
        <v>Pulverizador</v>
      </c>
      <c r="B302">
        <v>39</v>
      </c>
      <c r="C302">
        <f>INDEX(Semanas!$E$3:$E$54,39)</f>
        <v>5</v>
      </c>
      <c r="D302" t="str">
        <f>Cronograma!AN10</f>
        <v/>
      </c>
      <c r="E302">
        <f>Premissas!$I$44</f>
        <v>12</v>
      </c>
      <c r="F302">
        <f t="shared" si="4"/>
        <v>0</v>
      </c>
      <c r="G302">
        <f>IF($D302="",0,$E302*INDEX(Aux_HH!$D$4:$D$31,MATCH($A302&amp;"|"&amp;$D302,Aux_HH!$A$4:$A$31,0)))</f>
        <v>0</v>
      </c>
      <c r="H302">
        <f>IF($D302="",0,$E302*INDEX(Aux_HH!$E$4:$E$31,MATCH($A302&amp;"|"&amp;$D302,Aux_HH!$A$4:$A$31,0)))</f>
        <v>0</v>
      </c>
      <c r="I302">
        <f>IF($D302="",0,$E302*INDEX(Aux_HH!$F$4:$F$31,MATCH($A302&amp;"|"&amp;$D302,Aux_HH!$A$4:$A$31,0)))</f>
        <v>0</v>
      </c>
      <c r="J302">
        <f>IF($D302="",0,$E302*INDEX(Aux_HH!$G$4:$G$31,MATCH($A302&amp;"|"&amp;$D302,Aux_HH!$A$4:$A$31,0)))</f>
        <v>0</v>
      </c>
      <c r="K302">
        <f>IF($D302="",0,$E302*INDEX(Aux_HH!$H$4:$H$31,MATCH($A302&amp;"|"&amp;$D302,Aux_HH!$A$4:$A$31,0)))</f>
        <v>0</v>
      </c>
      <c r="L302">
        <f>IF($D302="",0,$E302*INDEX(Aux_HH!$I$4:$I$31,MATCH($A302&amp;"|"&amp;$D302,Aux_HH!$A$4:$A$31,0)))</f>
        <v>0</v>
      </c>
    </row>
    <row r="303" spans="1:12" ht="15" customHeight="1" x14ac:dyDescent="0.4">
      <c r="A303" t="str">
        <f>Premissas!$A$44</f>
        <v>Pulverizador</v>
      </c>
      <c r="B303">
        <v>40</v>
      </c>
      <c r="C303">
        <f>INDEX(Semanas!$E$3:$E$54,40)</f>
        <v>6</v>
      </c>
      <c r="D303" t="str">
        <f>Cronograma!AO10</f>
        <v>A</v>
      </c>
      <c r="E303">
        <f>Premissas!$I$44</f>
        <v>12</v>
      </c>
      <c r="F303">
        <f t="shared" si="4"/>
        <v>12</v>
      </c>
      <c r="G303">
        <f>IF($D303="",0,$E303*INDEX(Aux_HH!$D$4:$D$31,MATCH($A303&amp;"|"&amp;$D303,Aux_HH!$A$4:$A$31,0)))</f>
        <v>48</v>
      </c>
      <c r="H303">
        <f>IF($D303="",0,$E303*INDEX(Aux_HH!$E$4:$E$31,MATCH($A303&amp;"|"&amp;$D303,Aux_HH!$A$4:$A$31,0)))</f>
        <v>0</v>
      </c>
      <c r="I303">
        <f>IF($D303="",0,$E303*INDEX(Aux_HH!$F$4:$F$31,MATCH($A303&amp;"|"&amp;$D303,Aux_HH!$A$4:$A$31,0)))</f>
        <v>0</v>
      </c>
      <c r="J303">
        <f>IF($D303="",0,$E303*INDEX(Aux_HH!$G$4:$G$31,MATCH($A303&amp;"|"&amp;$D303,Aux_HH!$A$4:$A$31,0)))</f>
        <v>0</v>
      </c>
      <c r="K303">
        <f>IF($D303="",0,$E303*INDEX(Aux_HH!$H$4:$H$31,MATCH($A303&amp;"|"&amp;$D303,Aux_HH!$A$4:$A$31,0)))</f>
        <v>0</v>
      </c>
      <c r="L303">
        <f>IF($D303="",0,$E303*INDEX(Aux_HH!$I$4:$I$31,MATCH($A303&amp;"|"&amp;$D303,Aux_HH!$A$4:$A$31,0)))</f>
        <v>0</v>
      </c>
    </row>
    <row r="304" spans="1:12" ht="15" customHeight="1" x14ac:dyDescent="0.4">
      <c r="A304" t="str">
        <f>Premissas!$A$44</f>
        <v>Pulverizador</v>
      </c>
      <c r="B304">
        <v>41</v>
      </c>
      <c r="C304">
        <f>INDEX(Semanas!$E$3:$E$54,41)</f>
        <v>6</v>
      </c>
      <c r="D304" t="str">
        <f>Cronograma!AP10</f>
        <v/>
      </c>
      <c r="E304">
        <f>Premissas!$I$44</f>
        <v>12</v>
      </c>
      <c r="F304">
        <f t="shared" si="4"/>
        <v>0</v>
      </c>
      <c r="G304">
        <f>IF($D304="",0,$E304*INDEX(Aux_HH!$D$4:$D$31,MATCH($A304&amp;"|"&amp;$D304,Aux_HH!$A$4:$A$31,0)))</f>
        <v>0</v>
      </c>
      <c r="H304">
        <f>IF($D304="",0,$E304*INDEX(Aux_HH!$E$4:$E$31,MATCH($A304&amp;"|"&amp;$D304,Aux_HH!$A$4:$A$31,0)))</f>
        <v>0</v>
      </c>
      <c r="I304">
        <f>IF($D304="",0,$E304*INDEX(Aux_HH!$F$4:$F$31,MATCH($A304&amp;"|"&amp;$D304,Aux_HH!$A$4:$A$31,0)))</f>
        <v>0</v>
      </c>
      <c r="J304">
        <f>IF($D304="",0,$E304*INDEX(Aux_HH!$G$4:$G$31,MATCH($A304&amp;"|"&amp;$D304,Aux_HH!$A$4:$A$31,0)))</f>
        <v>0</v>
      </c>
      <c r="K304">
        <f>IF($D304="",0,$E304*INDEX(Aux_HH!$H$4:$H$31,MATCH($A304&amp;"|"&amp;$D304,Aux_HH!$A$4:$A$31,0)))</f>
        <v>0</v>
      </c>
      <c r="L304">
        <f>IF($D304="",0,$E304*INDEX(Aux_HH!$I$4:$I$31,MATCH($A304&amp;"|"&amp;$D304,Aux_HH!$A$4:$A$31,0)))</f>
        <v>0</v>
      </c>
    </row>
    <row r="305" spans="1:12" ht="15" customHeight="1" x14ac:dyDescent="0.4">
      <c r="A305" t="str">
        <f>Premissas!$A$44</f>
        <v>Pulverizador</v>
      </c>
      <c r="B305">
        <v>42</v>
      </c>
      <c r="C305">
        <f>INDEX(Semanas!$E$3:$E$54,42)</f>
        <v>6</v>
      </c>
      <c r="D305" t="str">
        <f>Cronograma!AQ10</f>
        <v/>
      </c>
      <c r="E305">
        <f>Premissas!$I$44</f>
        <v>12</v>
      </c>
      <c r="F305">
        <f t="shared" si="4"/>
        <v>0</v>
      </c>
      <c r="G305">
        <f>IF($D305="",0,$E305*INDEX(Aux_HH!$D$4:$D$31,MATCH($A305&amp;"|"&amp;$D305,Aux_HH!$A$4:$A$31,0)))</f>
        <v>0</v>
      </c>
      <c r="H305">
        <f>IF($D305="",0,$E305*INDEX(Aux_HH!$E$4:$E$31,MATCH($A305&amp;"|"&amp;$D305,Aux_HH!$A$4:$A$31,0)))</f>
        <v>0</v>
      </c>
      <c r="I305">
        <f>IF($D305="",0,$E305*INDEX(Aux_HH!$F$4:$F$31,MATCH($A305&amp;"|"&amp;$D305,Aux_HH!$A$4:$A$31,0)))</f>
        <v>0</v>
      </c>
      <c r="J305">
        <f>IF($D305="",0,$E305*INDEX(Aux_HH!$G$4:$G$31,MATCH($A305&amp;"|"&amp;$D305,Aux_HH!$A$4:$A$31,0)))</f>
        <v>0</v>
      </c>
      <c r="K305">
        <f>IF($D305="",0,$E305*INDEX(Aux_HH!$H$4:$H$31,MATCH($A305&amp;"|"&amp;$D305,Aux_HH!$A$4:$A$31,0)))</f>
        <v>0</v>
      </c>
      <c r="L305">
        <f>IF($D305="",0,$E305*INDEX(Aux_HH!$I$4:$I$31,MATCH($A305&amp;"|"&amp;$D305,Aux_HH!$A$4:$A$31,0)))</f>
        <v>0</v>
      </c>
    </row>
    <row r="306" spans="1:12" ht="15" customHeight="1" x14ac:dyDescent="0.4">
      <c r="A306" t="str">
        <f>Premissas!$A$44</f>
        <v>Pulverizador</v>
      </c>
      <c r="B306">
        <v>43</v>
      </c>
      <c r="C306">
        <f>INDEX(Semanas!$E$3:$E$54,43)</f>
        <v>6</v>
      </c>
      <c r="D306" t="str">
        <f>Cronograma!AR10</f>
        <v/>
      </c>
      <c r="E306">
        <f>Premissas!$I$44</f>
        <v>12</v>
      </c>
      <c r="F306">
        <f t="shared" si="4"/>
        <v>0</v>
      </c>
      <c r="G306">
        <f>IF($D306="",0,$E306*INDEX(Aux_HH!$D$4:$D$31,MATCH($A306&amp;"|"&amp;$D306,Aux_HH!$A$4:$A$31,0)))</f>
        <v>0</v>
      </c>
      <c r="H306">
        <f>IF($D306="",0,$E306*INDEX(Aux_HH!$E$4:$E$31,MATCH($A306&amp;"|"&amp;$D306,Aux_HH!$A$4:$A$31,0)))</f>
        <v>0</v>
      </c>
      <c r="I306">
        <f>IF($D306="",0,$E306*INDEX(Aux_HH!$F$4:$F$31,MATCH($A306&amp;"|"&amp;$D306,Aux_HH!$A$4:$A$31,0)))</f>
        <v>0</v>
      </c>
      <c r="J306">
        <f>IF($D306="",0,$E306*INDEX(Aux_HH!$G$4:$G$31,MATCH($A306&amp;"|"&amp;$D306,Aux_HH!$A$4:$A$31,0)))</f>
        <v>0</v>
      </c>
      <c r="K306">
        <f>IF($D306="",0,$E306*INDEX(Aux_HH!$H$4:$H$31,MATCH($A306&amp;"|"&amp;$D306,Aux_HH!$A$4:$A$31,0)))</f>
        <v>0</v>
      </c>
      <c r="L306">
        <f>IF($D306="",0,$E306*INDEX(Aux_HH!$I$4:$I$31,MATCH($A306&amp;"|"&amp;$D306,Aux_HH!$A$4:$A$31,0)))</f>
        <v>0</v>
      </c>
    </row>
    <row r="307" spans="1:12" ht="15" customHeight="1" x14ac:dyDescent="0.4">
      <c r="A307" t="str">
        <f>Premissas!$A$44</f>
        <v>Pulverizador</v>
      </c>
      <c r="B307">
        <v>44</v>
      </c>
      <c r="C307">
        <f>INDEX(Semanas!$E$3:$E$54,44)</f>
        <v>6</v>
      </c>
      <c r="D307" t="str">
        <f>Cronograma!AS10</f>
        <v/>
      </c>
      <c r="E307">
        <f>Premissas!$I$44</f>
        <v>12</v>
      </c>
      <c r="F307">
        <f t="shared" si="4"/>
        <v>0</v>
      </c>
      <c r="G307">
        <f>IF($D307="",0,$E307*INDEX(Aux_HH!$D$4:$D$31,MATCH($A307&amp;"|"&amp;$D307,Aux_HH!$A$4:$A$31,0)))</f>
        <v>0</v>
      </c>
      <c r="H307">
        <f>IF($D307="",0,$E307*INDEX(Aux_HH!$E$4:$E$31,MATCH($A307&amp;"|"&amp;$D307,Aux_HH!$A$4:$A$31,0)))</f>
        <v>0</v>
      </c>
      <c r="I307">
        <f>IF($D307="",0,$E307*INDEX(Aux_HH!$F$4:$F$31,MATCH($A307&amp;"|"&amp;$D307,Aux_HH!$A$4:$A$31,0)))</f>
        <v>0</v>
      </c>
      <c r="J307">
        <f>IF($D307="",0,$E307*INDEX(Aux_HH!$G$4:$G$31,MATCH($A307&amp;"|"&amp;$D307,Aux_HH!$A$4:$A$31,0)))</f>
        <v>0</v>
      </c>
      <c r="K307">
        <f>IF($D307="",0,$E307*INDEX(Aux_HH!$H$4:$H$31,MATCH($A307&amp;"|"&amp;$D307,Aux_HH!$A$4:$A$31,0)))</f>
        <v>0</v>
      </c>
      <c r="L307">
        <f>IF($D307="",0,$E307*INDEX(Aux_HH!$I$4:$I$31,MATCH($A307&amp;"|"&amp;$D307,Aux_HH!$A$4:$A$31,0)))</f>
        <v>0</v>
      </c>
    </row>
    <row r="308" spans="1:12" ht="15" customHeight="1" x14ac:dyDescent="0.4">
      <c r="A308" t="str">
        <f>Premissas!$A$44</f>
        <v>Pulverizador</v>
      </c>
      <c r="B308">
        <v>45</v>
      </c>
      <c r="C308">
        <f>INDEX(Semanas!$E$3:$E$54,45)</f>
        <v>7</v>
      </c>
      <c r="D308" t="str">
        <f>Cronograma!AT10</f>
        <v>S</v>
      </c>
      <c r="E308">
        <f>Premissas!$I$44</f>
        <v>12</v>
      </c>
      <c r="F308">
        <f t="shared" si="4"/>
        <v>12</v>
      </c>
      <c r="G308">
        <f>IF($D308="",0,$E308*INDEX(Aux_HH!$D$4:$D$31,MATCH($A308&amp;"|"&amp;$D308,Aux_HH!$A$4:$A$31,0)))</f>
        <v>24</v>
      </c>
      <c r="H308">
        <f>IF($D308="",0,$E308*INDEX(Aux_HH!$E$4:$E$31,MATCH($A308&amp;"|"&amp;$D308,Aux_HH!$A$4:$A$31,0)))</f>
        <v>0</v>
      </c>
      <c r="I308">
        <f>IF($D308="",0,$E308*INDEX(Aux_HH!$F$4:$F$31,MATCH($A308&amp;"|"&amp;$D308,Aux_HH!$A$4:$A$31,0)))</f>
        <v>0</v>
      </c>
      <c r="J308">
        <f>IF($D308="",0,$E308*INDEX(Aux_HH!$G$4:$G$31,MATCH($A308&amp;"|"&amp;$D308,Aux_HH!$A$4:$A$31,0)))</f>
        <v>0</v>
      </c>
      <c r="K308">
        <f>IF($D308="",0,$E308*INDEX(Aux_HH!$H$4:$H$31,MATCH($A308&amp;"|"&amp;$D308,Aux_HH!$A$4:$A$31,0)))</f>
        <v>0</v>
      </c>
      <c r="L308">
        <f>IF($D308="",0,$E308*INDEX(Aux_HH!$I$4:$I$31,MATCH($A308&amp;"|"&amp;$D308,Aux_HH!$A$4:$A$31,0)))</f>
        <v>0</v>
      </c>
    </row>
    <row r="309" spans="1:12" ht="15" customHeight="1" x14ac:dyDescent="0.4">
      <c r="A309" t="str">
        <f>Premissas!$A$44</f>
        <v>Pulverizador</v>
      </c>
      <c r="B309">
        <v>46</v>
      </c>
      <c r="C309">
        <f>INDEX(Semanas!$E$3:$E$54,46)</f>
        <v>7</v>
      </c>
      <c r="D309" t="str">
        <f>Cronograma!AU10</f>
        <v/>
      </c>
      <c r="E309">
        <f>Premissas!$I$44</f>
        <v>12</v>
      </c>
      <c r="F309">
        <f t="shared" si="4"/>
        <v>0</v>
      </c>
      <c r="G309">
        <f>IF($D309="",0,$E309*INDEX(Aux_HH!$D$4:$D$31,MATCH($A309&amp;"|"&amp;$D309,Aux_HH!$A$4:$A$31,0)))</f>
        <v>0</v>
      </c>
      <c r="H309">
        <f>IF($D309="",0,$E309*INDEX(Aux_HH!$E$4:$E$31,MATCH($A309&amp;"|"&amp;$D309,Aux_HH!$A$4:$A$31,0)))</f>
        <v>0</v>
      </c>
      <c r="I309">
        <f>IF($D309="",0,$E309*INDEX(Aux_HH!$F$4:$F$31,MATCH($A309&amp;"|"&amp;$D309,Aux_HH!$A$4:$A$31,0)))</f>
        <v>0</v>
      </c>
      <c r="J309">
        <f>IF($D309="",0,$E309*INDEX(Aux_HH!$G$4:$G$31,MATCH($A309&amp;"|"&amp;$D309,Aux_HH!$A$4:$A$31,0)))</f>
        <v>0</v>
      </c>
      <c r="K309">
        <f>IF($D309="",0,$E309*INDEX(Aux_HH!$H$4:$H$31,MATCH($A309&amp;"|"&amp;$D309,Aux_HH!$A$4:$A$31,0)))</f>
        <v>0</v>
      </c>
      <c r="L309">
        <f>IF($D309="",0,$E309*INDEX(Aux_HH!$I$4:$I$31,MATCH($A309&amp;"|"&amp;$D309,Aux_HH!$A$4:$A$31,0)))</f>
        <v>0</v>
      </c>
    </row>
    <row r="310" spans="1:12" ht="15" customHeight="1" x14ac:dyDescent="0.4">
      <c r="A310" t="str">
        <f>Premissas!$A$44</f>
        <v>Pulverizador</v>
      </c>
      <c r="B310">
        <v>47</v>
      </c>
      <c r="C310">
        <f>INDEX(Semanas!$E$3:$E$54,47)</f>
        <v>7</v>
      </c>
      <c r="D310" t="str">
        <f>Cronograma!AV10</f>
        <v/>
      </c>
      <c r="E310">
        <f>Premissas!$I$44</f>
        <v>12</v>
      </c>
      <c r="F310">
        <f t="shared" si="4"/>
        <v>0</v>
      </c>
      <c r="G310">
        <f>IF($D310="",0,$E310*INDEX(Aux_HH!$D$4:$D$31,MATCH($A310&amp;"|"&amp;$D310,Aux_HH!$A$4:$A$31,0)))</f>
        <v>0</v>
      </c>
      <c r="H310">
        <f>IF($D310="",0,$E310*INDEX(Aux_HH!$E$4:$E$31,MATCH($A310&amp;"|"&amp;$D310,Aux_HH!$A$4:$A$31,0)))</f>
        <v>0</v>
      </c>
      <c r="I310">
        <f>IF($D310="",0,$E310*INDEX(Aux_HH!$F$4:$F$31,MATCH($A310&amp;"|"&amp;$D310,Aux_HH!$A$4:$A$31,0)))</f>
        <v>0</v>
      </c>
      <c r="J310">
        <f>IF($D310="",0,$E310*INDEX(Aux_HH!$G$4:$G$31,MATCH($A310&amp;"|"&amp;$D310,Aux_HH!$A$4:$A$31,0)))</f>
        <v>0</v>
      </c>
      <c r="K310">
        <f>IF($D310="",0,$E310*INDEX(Aux_HH!$H$4:$H$31,MATCH($A310&amp;"|"&amp;$D310,Aux_HH!$A$4:$A$31,0)))</f>
        <v>0</v>
      </c>
      <c r="L310">
        <f>IF($D310="",0,$E310*INDEX(Aux_HH!$I$4:$I$31,MATCH($A310&amp;"|"&amp;$D310,Aux_HH!$A$4:$A$31,0)))</f>
        <v>0</v>
      </c>
    </row>
    <row r="311" spans="1:12" ht="15" customHeight="1" x14ac:dyDescent="0.4">
      <c r="A311" t="str">
        <f>Premissas!$A$44</f>
        <v>Pulverizador</v>
      </c>
      <c r="B311">
        <v>48</v>
      </c>
      <c r="C311">
        <f>INDEX(Semanas!$E$3:$E$54,48)</f>
        <v>7</v>
      </c>
      <c r="D311" t="str">
        <f>Cronograma!AW10</f>
        <v/>
      </c>
      <c r="E311">
        <f>Premissas!$I$44</f>
        <v>12</v>
      </c>
      <c r="F311">
        <f t="shared" si="4"/>
        <v>0</v>
      </c>
      <c r="G311">
        <f>IF($D311="",0,$E311*INDEX(Aux_HH!$D$4:$D$31,MATCH($A311&amp;"|"&amp;$D311,Aux_HH!$A$4:$A$31,0)))</f>
        <v>0</v>
      </c>
      <c r="H311">
        <f>IF($D311="",0,$E311*INDEX(Aux_HH!$E$4:$E$31,MATCH($A311&amp;"|"&amp;$D311,Aux_HH!$A$4:$A$31,0)))</f>
        <v>0</v>
      </c>
      <c r="I311">
        <f>IF($D311="",0,$E311*INDEX(Aux_HH!$F$4:$F$31,MATCH($A311&amp;"|"&amp;$D311,Aux_HH!$A$4:$A$31,0)))</f>
        <v>0</v>
      </c>
      <c r="J311">
        <f>IF($D311="",0,$E311*INDEX(Aux_HH!$G$4:$G$31,MATCH($A311&amp;"|"&amp;$D311,Aux_HH!$A$4:$A$31,0)))</f>
        <v>0</v>
      </c>
      <c r="K311">
        <f>IF($D311="",0,$E311*INDEX(Aux_HH!$H$4:$H$31,MATCH($A311&amp;"|"&amp;$D311,Aux_HH!$A$4:$A$31,0)))</f>
        <v>0</v>
      </c>
      <c r="L311">
        <f>IF($D311="",0,$E311*INDEX(Aux_HH!$I$4:$I$31,MATCH($A311&amp;"|"&amp;$D311,Aux_HH!$A$4:$A$31,0)))</f>
        <v>0</v>
      </c>
    </row>
    <row r="312" spans="1:12" ht="15" customHeight="1" x14ac:dyDescent="0.4">
      <c r="A312" t="str">
        <f>Premissas!$A$44</f>
        <v>Pulverizador</v>
      </c>
      <c r="B312">
        <v>49</v>
      </c>
      <c r="C312">
        <f>INDEX(Semanas!$E$3:$E$54,49)</f>
        <v>8</v>
      </c>
      <c r="D312" t="str">
        <f>Cronograma!AX10</f>
        <v/>
      </c>
      <c r="E312">
        <f>Premissas!$I$44</f>
        <v>12</v>
      </c>
      <c r="F312">
        <f t="shared" si="4"/>
        <v>0</v>
      </c>
      <c r="G312">
        <f>IF($D312="",0,$E312*INDEX(Aux_HH!$D$4:$D$31,MATCH($A312&amp;"|"&amp;$D312,Aux_HH!$A$4:$A$31,0)))</f>
        <v>0</v>
      </c>
      <c r="H312">
        <f>IF($D312="",0,$E312*INDEX(Aux_HH!$E$4:$E$31,MATCH($A312&amp;"|"&amp;$D312,Aux_HH!$A$4:$A$31,0)))</f>
        <v>0</v>
      </c>
      <c r="I312">
        <f>IF($D312="",0,$E312*INDEX(Aux_HH!$F$4:$F$31,MATCH($A312&amp;"|"&amp;$D312,Aux_HH!$A$4:$A$31,0)))</f>
        <v>0</v>
      </c>
      <c r="J312">
        <f>IF($D312="",0,$E312*INDEX(Aux_HH!$G$4:$G$31,MATCH($A312&amp;"|"&amp;$D312,Aux_HH!$A$4:$A$31,0)))</f>
        <v>0</v>
      </c>
      <c r="K312">
        <f>IF($D312="",0,$E312*INDEX(Aux_HH!$H$4:$H$31,MATCH($A312&amp;"|"&amp;$D312,Aux_HH!$A$4:$A$31,0)))</f>
        <v>0</v>
      </c>
      <c r="L312">
        <f>IF($D312="",0,$E312*INDEX(Aux_HH!$I$4:$I$31,MATCH($A312&amp;"|"&amp;$D312,Aux_HH!$A$4:$A$31,0)))</f>
        <v>0</v>
      </c>
    </row>
    <row r="313" spans="1:12" ht="15" customHeight="1" x14ac:dyDescent="0.4">
      <c r="A313" t="str">
        <f>Premissas!$A$44</f>
        <v>Pulverizador</v>
      </c>
      <c r="B313">
        <v>50</v>
      </c>
      <c r="C313">
        <f>INDEX(Semanas!$E$3:$E$54,50)</f>
        <v>8</v>
      </c>
      <c r="D313" t="str">
        <f>Cronograma!AY10</f>
        <v>A</v>
      </c>
      <c r="E313">
        <f>Premissas!$I$44</f>
        <v>12</v>
      </c>
      <c r="F313">
        <f t="shared" si="4"/>
        <v>12</v>
      </c>
      <c r="G313">
        <f>IF($D313="",0,$E313*INDEX(Aux_HH!$D$4:$D$31,MATCH($A313&amp;"|"&amp;$D313,Aux_HH!$A$4:$A$31,0)))</f>
        <v>48</v>
      </c>
      <c r="H313">
        <f>IF($D313="",0,$E313*INDEX(Aux_HH!$E$4:$E$31,MATCH($A313&amp;"|"&amp;$D313,Aux_HH!$A$4:$A$31,0)))</f>
        <v>0</v>
      </c>
      <c r="I313">
        <f>IF($D313="",0,$E313*INDEX(Aux_HH!$F$4:$F$31,MATCH($A313&amp;"|"&amp;$D313,Aux_HH!$A$4:$A$31,0)))</f>
        <v>0</v>
      </c>
      <c r="J313">
        <f>IF($D313="",0,$E313*INDEX(Aux_HH!$G$4:$G$31,MATCH($A313&amp;"|"&amp;$D313,Aux_HH!$A$4:$A$31,0)))</f>
        <v>0</v>
      </c>
      <c r="K313">
        <f>IF($D313="",0,$E313*INDEX(Aux_HH!$H$4:$H$31,MATCH($A313&amp;"|"&amp;$D313,Aux_HH!$A$4:$A$31,0)))</f>
        <v>0</v>
      </c>
      <c r="L313">
        <f>IF($D313="",0,$E313*INDEX(Aux_HH!$I$4:$I$31,MATCH($A313&amp;"|"&amp;$D313,Aux_HH!$A$4:$A$31,0)))</f>
        <v>0</v>
      </c>
    </row>
    <row r="314" spans="1:12" ht="15" customHeight="1" x14ac:dyDescent="0.4">
      <c r="A314" t="str">
        <f>Premissas!$A$44</f>
        <v>Pulverizador</v>
      </c>
      <c r="B314">
        <v>51</v>
      </c>
      <c r="C314">
        <f>INDEX(Semanas!$E$3:$E$54,51)</f>
        <v>8</v>
      </c>
      <c r="D314" t="str">
        <f>Cronograma!AZ10</f>
        <v/>
      </c>
      <c r="E314">
        <f>Premissas!$I$44</f>
        <v>12</v>
      </c>
      <c r="F314">
        <f t="shared" si="4"/>
        <v>0</v>
      </c>
      <c r="G314">
        <f>IF($D314="",0,$E314*INDEX(Aux_HH!$D$4:$D$31,MATCH($A314&amp;"|"&amp;$D314,Aux_HH!$A$4:$A$31,0)))</f>
        <v>0</v>
      </c>
      <c r="H314">
        <f>IF($D314="",0,$E314*INDEX(Aux_HH!$E$4:$E$31,MATCH($A314&amp;"|"&amp;$D314,Aux_HH!$A$4:$A$31,0)))</f>
        <v>0</v>
      </c>
      <c r="I314">
        <f>IF($D314="",0,$E314*INDEX(Aux_HH!$F$4:$F$31,MATCH($A314&amp;"|"&amp;$D314,Aux_HH!$A$4:$A$31,0)))</f>
        <v>0</v>
      </c>
      <c r="J314">
        <f>IF($D314="",0,$E314*INDEX(Aux_HH!$G$4:$G$31,MATCH($A314&amp;"|"&amp;$D314,Aux_HH!$A$4:$A$31,0)))</f>
        <v>0</v>
      </c>
      <c r="K314">
        <f>IF($D314="",0,$E314*INDEX(Aux_HH!$H$4:$H$31,MATCH($A314&amp;"|"&amp;$D314,Aux_HH!$A$4:$A$31,0)))</f>
        <v>0</v>
      </c>
      <c r="L314">
        <f>IF($D314="",0,$E314*INDEX(Aux_HH!$I$4:$I$31,MATCH($A314&amp;"|"&amp;$D314,Aux_HH!$A$4:$A$31,0)))</f>
        <v>0</v>
      </c>
    </row>
    <row r="315" spans="1:12" ht="15" customHeight="1" x14ac:dyDescent="0.4">
      <c r="A315" t="str">
        <f>Premissas!$A$44</f>
        <v>Pulverizador</v>
      </c>
      <c r="B315">
        <v>52</v>
      </c>
      <c r="C315">
        <f>INDEX(Semanas!$E$3:$E$54,52)</f>
        <v>8</v>
      </c>
      <c r="D315" t="str">
        <f>Cronograma!BA10</f>
        <v/>
      </c>
      <c r="E315">
        <f>Premissas!$I$44</f>
        <v>12</v>
      </c>
      <c r="F315">
        <f t="shared" si="4"/>
        <v>0</v>
      </c>
      <c r="G315">
        <f>IF($D315="",0,$E315*INDEX(Aux_HH!$D$4:$D$31,MATCH($A315&amp;"|"&amp;$D315,Aux_HH!$A$4:$A$31,0)))</f>
        <v>0</v>
      </c>
      <c r="H315">
        <f>IF($D315="",0,$E315*INDEX(Aux_HH!$E$4:$E$31,MATCH($A315&amp;"|"&amp;$D315,Aux_HH!$A$4:$A$31,0)))</f>
        <v>0</v>
      </c>
      <c r="I315">
        <f>IF($D315="",0,$E315*INDEX(Aux_HH!$F$4:$F$31,MATCH($A315&amp;"|"&amp;$D315,Aux_HH!$A$4:$A$31,0)))</f>
        <v>0</v>
      </c>
      <c r="J315">
        <f>IF($D315="",0,$E315*INDEX(Aux_HH!$G$4:$G$31,MATCH($A315&amp;"|"&amp;$D315,Aux_HH!$A$4:$A$31,0)))</f>
        <v>0</v>
      </c>
      <c r="K315">
        <f>IF($D315="",0,$E315*INDEX(Aux_HH!$H$4:$H$31,MATCH($A315&amp;"|"&amp;$D315,Aux_HH!$A$4:$A$31,0)))</f>
        <v>0</v>
      </c>
      <c r="L315">
        <f>IF($D315="",0,$E315*INDEX(Aux_HH!$I$4:$I$31,MATCH($A315&amp;"|"&amp;$D315,Aux_HH!$A$4:$A$31,0)))</f>
        <v>0</v>
      </c>
    </row>
    <row r="316" spans="1:12" ht="15" customHeight="1" x14ac:dyDescent="0.4">
      <c r="A316" t="str">
        <f>Premissas!$A$45</f>
        <v>Implemento</v>
      </c>
      <c r="B316">
        <v>1</v>
      </c>
      <c r="C316">
        <f>INDEX(Semanas!$E$3:$E$54,1)</f>
        <v>9</v>
      </c>
      <c r="D316" t="str">
        <f>Cronograma!B11</f>
        <v/>
      </c>
      <c r="E316">
        <f>Premissas!$I$45</f>
        <v>18</v>
      </c>
      <c r="F316">
        <f t="shared" si="4"/>
        <v>0</v>
      </c>
      <c r="G316">
        <f>IF($D316="",0,$E316*INDEX(Aux_HH!$D$4:$D$31,MATCH($A316&amp;"|"&amp;$D316,Aux_HH!$A$4:$A$31,0)))</f>
        <v>0</v>
      </c>
      <c r="H316">
        <f>IF($D316="",0,$E316*INDEX(Aux_HH!$E$4:$E$31,MATCH($A316&amp;"|"&amp;$D316,Aux_HH!$A$4:$A$31,0)))</f>
        <v>0</v>
      </c>
      <c r="I316">
        <f>IF($D316="",0,$E316*INDEX(Aux_HH!$F$4:$F$31,MATCH($A316&amp;"|"&amp;$D316,Aux_HH!$A$4:$A$31,0)))</f>
        <v>0</v>
      </c>
      <c r="J316">
        <f>IF($D316="",0,$E316*INDEX(Aux_HH!$G$4:$G$31,MATCH($A316&amp;"|"&amp;$D316,Aux_HH!$A$4:$A$31,0)))</f>
        <v>0</v>
      </c>
      <c r="K316">
        <f>IF($D316="",0,$E316*INDEX(Aux_HH!$H$4:$H$31,MATCH($A316&amp;"|"&amp;$D316,Aux_HH!$A$4:$A$31,0)))</f>
        <v>0</v>
      </c>
      <c r="L316">
        <f>IF($D316="",0,$E316*INDEX(Aux_HH!$I$4:$I$31,MATCH($A316&amp;"|"&amp;$D316,Aux_HH!$A$4:$A$31,0)))</f>
        <v>0</v>
      </c>
    </row>
    <row r="317" spans="1:12" ht="15" customHeight="1" x14ac:dyDescent="0.4">
      <c r="A317" t="str">
        <f>Premissas!$A$45</f>
        <v>Implemento</v>
      </c>
      <c r="B317">
        <v>2</v>
      </c>
      <c r="C317">
        <f>INDEX(Semanas!$E$3:$E$54,2)</f>
        <v>9</v>
      </c>
      <c r="D317" t="str">
        <f>Cronograma!C11</f>
        <v/>
      </c>
      <c r="E317">
        <f>Premissas!$I$45</f>
        <v>18</v>
      </c>
      <c r="F317">
        <f t="shared" si="4"/>
        <v>0</v>
      </c>
      <c r="G317">
        <f>IF($D317="",0,$E317*INDEX(Aux_HH!$D$4:$D$31,MATCH($A317&amp;"|"&amp;$D317,Aux_HH!$A$4:$A$31,0)))</f>
        <v>0</v>
      </c>
      <c r="H317">
        <f>IF($D317="",0,$E317*INDEX(Aux_HH!$E$4:$E$31,MATCH($A317&amp;"|"&amp;$D317,Aux_HH!$A$4:$A$31,0)))</f>
        <v>0</v>
      </c>
      <c r="I317">
        <f>IF($D317="",0,$E317*INDEX(Aux_HH!$F$4:$F$31,MATCH($A317&amp;"|"&amp;$D317,Aux_HH!$A$4:$A$31,0)))</f>
        <v>0</v>
      </c>
      <c r="J317">
        <f>IF($D317="",0,$E317*INDEX(Aux_HH!$G$4:$G$31,MATCH($A317&amp;"|"&amp;$D317,Aux_HH!$A$4:$A$31,0)))</f>
        <v>0</v>
      </c>
      <c r="K317">
        <f>IF($D317="",0,$E317*INDEX(Aux_HH!$H$4:$H$31,MATCH($A317&amp;"|"&amp;$D317,Aux_HH!$A$4:$A$31,0)))</f>
        <v>0</v>
      </c>
      <c r="L317">
        <f>IF($D317="",0,$E317*INDEX(Aux_HH!$I$4:$I$31,MATCH($A317&amp;"|"&amp;$D317,Aux_HH!$A$4:$A$31,0)))</f>
        <v>0</v>
      </c>
    </row>
    <row r="318" spans="1:12" ht="15" customHeight="1" x14ac:dyDescent="0.4">
      <c r="A318" t="str">
        <f>Premissas!$A$45</f>
        <v>Implemento</v>
      </c>
      <c r="B318">
        <v>3</v>
      </c>
      <c r="C318">
        <f>INDEX(Semanas!$E$3:$E$54,3)</f>
        <v>9</v>
      </c>
      <c r="D318" t="str">
        <f>Cronograma!D11</f>
        <v/>
      </c>
      <c r="E318">
        <f>Premissas!$I$45</f>
        <v>18</v>
      </c>
      <c r="F318">
        <f t="shared" si="4"/>
        <v>0</v>
      </c>
      <c r="G318">
        <f>IF($D318="",0,$E318*INDEX(Aux_HH!$D$4:$D$31,MATCH($A318&amp;"|"&amp;$D318,Aux_HH!$A$4:$A$31,0)))</f>
        <v>0</v>
      </c>
      <c r="H318">
        <f>IF($D318="",0,$E318*INDEX(Aux_HH!$E$4:$E$31,MATCH($A318&amp;"|"&amp;$D318,Aux_HH!$A$4:$A$31,0)))</f>
        <v>0</v>
      </c>
      <c r="I318">
        <f>IF($D318="",0,$E318*INDEX(Aux_HH!$F$4:$F$31,MATCH($A318&amp;"|"&amp;$D318,Aux_HH!$A$4:$A$31,0)))</f>
        <v>0</v>
      </c>
      <c r="J318">
        <f>IF($D318="",0,$E318*INDEX(Aux_HH!$G$4:$G$31,MATCH($A318&amp;"|"&amp;$D318,Aux_HH!$A$4:$A$31,0)))</f>
        <v>0</v>
      </c>
      <c r="K318">
        <f>IF($D318="",0,$E318*INDEX(Aux_HH!$H$4:$H$31,MATCH($A318&amp;"|"&amp;$D318,Aux_HH!$A$4:$A$31,0)))</f>
        <v>0</v>
      </c>
      <c r="L318">
        <f>IF($D318="",0,$E318*INDEX(Aux_HH!$I$4:$I$31,MATCH($A318&amp;"|"&amp;$D318,Aux_HH!$A$4:$A$31,0)))</f>
        <v>0</v>
      </c>
    </row>
    <row r="319" spans="1:12" ht="15" customHeight="1" x14ac:dyDescent="0.4">
      <c r="A319" t="str">
        <f>Premissas!$A$45</f>
        <v>Implemento</v>
      </c>
      <c r="B319">
        <v>4</v>
      </c>
      <c r="C319">
        <f>INDEX(Semanas!$E$3:$E$54,4)</f>
        <v>9</v>
      </c>
      <c r="D319" t="str">
        <f>Cronograma!E11</f>
        <v/>
      </c>
      <c r="E319">
        <f>Premissas!$I$45</f>
        <v>18</v>
      </c>
      <c r="F319">
        <f t="shared" si="4"/>
        <v>0</v>
      </c>
      <c r="G319">
        <f>IF($D319="",0,$E319*INDEX(Aux_HH!$D$4:$D$31,MATCH($A319&amp;"|"&amp;$D319,Aux_HH!$A$4:$A$31,0)))</f>
        <v>0</v>
      </c>
      <c r="H319">
        <f>IF($D319="",0,$E319*INDEX(Aux_HH!$E$4:$E$31,MATCH($A319&amp;"|"&amp;$D319,Aux_HH!$A$4:$A$31,0)))</f>
        <v>0</v>
      </c>
      <c r="I319">
        <f>IF($D319="",0,$E319*INDEX(Aux_HH!$F$4:$F$31,MATCH($A319&amp;"|"&amp;$D319,Aux_HH!$A$4:$A$31,0)))</f>
        <v>0</v>
      </c>
      <c r="J319">
        <f>IF($D319="",0,$E319*INDEX(Aux_HH!$G$4:$G$31,MATCH($A319&amp;"|"&amp;$D319,Aux_HH!$A$4:$A$31,0)))</f>
        <v>0</v>
      </c>
      <c r="K319">
        <f>IF($D319="",0,$E319*INDEX(Aux_HH!$H$4:$H$31,MATCH($A319&amp;"|"&amp;$D319,Aux_HH!$A$4:$A$31,0)))</f>
        <v>0</v>
      </c>
      <c r="L319">
        <f>IF($D319="",0,$E319*INDEX(Aux_HH!$I$4:$I$31,MATCH($A319&amp;"|"&amp;$D319,Aux_HH!$A$4:$A$31,0)))</f>
        <v>0</v>
      </c>
    </row>
    <row r="320" spans="1:12" ht="15" customHeight="1" x14ac:dyDescent="0.4">
      <c r="A320" t="str">
        <f>Premissas!$A$45</f>
        <v>Implemento</v>
      </c>
      <c r="B320">
        <v>5</v>
      </c>
      <c r="C320">
        <f>INDEX(Semanas!$E$3:$E$54,5)</f>
        <v>9</v>
      </c>
      <c r="D320" t="str">
        <f>Cronograma!F11</f>
        <v/>
      </c>
      <c r="E320">
        <f>Premissas!$I$45</f>
        <v>18</v>
      </c>
      <c r="F320">
        <f t="shared" si="4"/>
        <v>0</v>
      </c>
      <c r="G320">
        <f>IF($D320="",0,$E320*INDEX(Aux_HH!$D$4:$D$31,MATCH($A320&amp;"|"&amp;$D320,Aux_HH!$A$4:$A$31,0)))</f>
        <v>0</v>
      </c>
      <c r="H320">
        <f>IF($D320="",0,$E320*INDEX(Aux_HH!$E$4:$E$31,MATCH($A320&amp;"|"&amp;$D320,Aux_HH!$A$4:$A$31,0)))</f>
        <v>0</v>
      </c>
      <c r="I320">
        <f>IF($D320="",0,$E320*INDEX(Aux_HH!$F$4:$F$31,MATCH($A320&amp;"|"&amp;$D320,Aux_HH!$A$4:$A$31,0)))</f>
        <v>0</v>
      </c>
      <c r="J320">
        <f>IF($D320="",0,$E320*INDEX(Aux_HH!$G$4:$G$31,MATCH($A320&amp;"|"&amp;$D320,Aux_HH!$A$4:$A$31,0)))</f>
        <v>0</v>
      </c>
      <c r="K320">
        <f>IF($D320="",0,$E320*INDEX(Aux_HH!$H$4:$H$31,MATCH($A320&amp;"|"&amp;$D320,Aux_HH!$A$4:$A$31,0)))</f>
        <v>0</v>
      </c>
      <c r="L320">
        <f>IF($D320="",0,$E320*INDEX(Aux_HH!$I$4:$I$31,MATCH($A320&amp;"|"&amp;$D320,Aux_HH!$A$4:$A$31,0)))</f>
        <v>0</v>
      </c>
    </row>
    <row r="321" spans="1:12" ht="15" customHeight="1" x14ac:dyDescent="0.4">
      <c r="A321" t="str">
        <f>Premissas!$A$45</f>
        <v>Implemento</v>
      </c>
      <c r="B321">
        <v>6</v>
      </c>
      <c r="C321">
        <f>INDEX(Semanas!$E$3:$E$54,6)</f>
        <v>10</v>
      </c>
      <c r="D321" t="str">
        <f>Cronograma!G11</f>
        <v/>
      </c>
      <c r="E321">
        <f>Premissas!$I$45</f>
        <v>18</v>
      </c>
      <c r="F321">
        <f t="shared" si="4"/>
        <v>0</v>
      </c>
      <c r="G321">
        <f>IF($D321="",0,$E321*INDEX(Aux_HH!$D$4:$D$31,MATCH($A321&amp;"|"&amp;$D321,Aux_HH!$A$4:$A$31,0)))</f>
        <v>0</v>
      </c>
      <c r="H321">
        <f>IF($D321="",0,$E321*INDEX(Aux_HH!$E$4:$E$31,MATCH($A321&amp;"|"&amp;$D321,Aux_HH!$A$4:$A$31,0)))</f>
        <v>0</v>
      </c>
      <c r="I321">
        <f>IF($D321="",0,$E321*INDEX(Aux_HH!$F$4:$F$31,MATCH($A321&amp;"|"&amp;$D321,Aux_HH!$A$4:$A$31,0)))</f>
        <v>0</v>
      </c>
      <c r="J321">
        <f>IF($D321="",0,$E321*INDEX(Aux_HH!$G$4:$G$31,MATCH($A321&amp;"|"&amp;$D321,Aux_HH!$A$4:$A$31,0)))</f>
        <v>0</v>
      </c>
      <c r="K321">
        <f>IF($D321="",0,$E321*INDEX(Aux_HH!$H$4:$H$31,MATCH($A321&amp;"|"&amp;$D321,Aux_HH!$A$4:$A$31,0)))</f>
        <v>0</v>
      </c>
      <c r="L321">
        <f>IF($D321="",0,$E321*INDEX(Aux_HH!$I$4:$I$31,MATCH($A321&amp;"|"&amp;$D321,Aux_HH!$A$4:$A$31,0)))</f>
        <v>0</v>
      </c>
    </row>
    <row r="322" spans="1:12" ht="15" customHeight="1" x14ac:dyDescent="0.4">
      <c r="A322" t="str">
        <f>Premissas!$A$45</f>
        <v>Implemento</v>
      </c>
      <c r="B322">
        <v>7</v>
      </c>
      <c r="C322">
        <f>INDEX(Semanas!$E$3:$E$54,7)</f>
        <v>10</v>
      </c>
      <c r="D322" t="str">
        <f>Cronograma!H11</f>
        <v/>
      </c>
      <c r="E322">
        <f>Premissas!$I$45</f>
        <v>18</v>
      </c>
      <c r="F322">
        <f t="shared" si="4"/>
        <v>0</v>
      </c>
      <c r="G322">
        <f>IF($D322="",0,$E322*INDEX(Aux_HH!$D$4:$D$31,MATCH($A322&amp;"|"&amp;$D322,Aux_HH!$A$4:$A$31,0)))</f>
        <v>0</v>
      </c>
      <c r="H322">
        <f>IF($D322="",0,$E322*INDEX(Aux_HH!$E$4:$E$31,MATCH($A322&amp;"|"&amp;$D322,Aux_HH!$A$4:$A$31,0)))</f>
        <v>0</v>
      </c>
      <c r="I322">
        <f>IF($D322="",0,$E322*INDEX(Aux_HH!$F$4:$F$31,MATCH($A322&amp;"|"&amp;$D322,Aux_HH!$A$4:$A$31,0)))</f>
        <v>0</v>
      </c>
      <c r="J322">
        <f>IF($D322="",0,$E322*INDEX(Aux_HH!$G$4:$G$31,MATCH($A322&amp;"|"&amp;$D322,Aux_HH!$A$4:$A$31,0)))</f>
        <v>0</v>
      </c>
      <c r="K322">
        <f>IF($D322="",0,$E322*INDEX(Aux_HH!$H$4:$H$31,MATCH($A322&amp;"|"&amp;$D322,Aux_HH!$A$4:$A$31,0)))</f>
        <v>0</v>
      </c>
      <c r="L322">
        <f>IF($D322="",0,$E322*INDEX(Aux_HH!$I$4:$I$31,MATCH($A322&amp;"|"&amp;$D322,Aux_HH!$A$4:$A$31,0)))</f>
        <v>0</v>
      </c>
    </row>
    <row r="323" spans="1:12" ht="15" customHeight="1" x14ac:dyDescent="0.4">
      <c r="A323" t="str">
        <f>Premissas!$A$45</f>
        <v>Implemento</v>
      </c>
      <c r="B323">
        <v>8</v>
      </c>
      <c r="C323">
        <f>INDEX(Semanas!$E$3:$E$54,8)</f>
        <v>10</v>
      </c>
      <c r="D323" t="str">
        <f>Cronograma!I11</f>
        <v>S</v>
      </c>
      <c r="E323">
        <f>Premissas!$I$45</f>
        <v>18</v>
      </c>
      <c r="F323">
        <f t="shared" si="4"/>
        <v>18</v>
      </c>
      <c r="G323">
        <f>IF($D323="",0,$E323*INDEX(Aux_HH!$D$4:$D$31,MATCH($A323&amp;"|"&amp;$D323,Aux_HH!$A$4:$A$31,0)))</f>
        <v>27</v>
      </c>
      <c r="H323">
        <f>IF($D323="",0,$E323*INDEX(Aux_HH!$E$4:$E$31,MATCH($A323&amp;"|"&amp;$D323,Aux_HH!$A$4:$A$31,0)))</f>
        <v>0</v>
      </c>
      <c r="I323">
        <f>IF($D323="",0,$E323*INDEX(Aux_HH!$F$4:$F$31,MATCH($A323&amp;"|"&amp;$D323,Aux_HH!$A$4:$A$31,0)))</f>
        <v>0</v>
      </c>
      <c r="J323">
        <f>IF($D323="",0,$E323*INDEX(Aux_HH!$G$4:$G$31,MATCH($A323&amp;"|"&amp;$D323,Aux_HH!$A$4:$A$31,0)))</f>
        <v>0</v>
      </c>
      <c r="K323">
        <f>IF($D323="",0,$E323*INDEX(Aux_HH!$H$4:$H$31,MATCH($A323&amp;"|"&amp;$D323,Aux_HH!$A$4:$A$31,0)))</f>
        <v>0</v>
      </c>
      <c r="L323">
        <f>IF($D323="",0,$E323*INDEX(Aux_HH!$I$4:$I$31,MATCH($A323&amp;"|"&amp;$D323,Aux_HH!$A$4:$A$31,0)))</f>
        <v>0</v>
      </c>
    </row>
    <row r="324" spans="1:12" ht="15" customHeight="1" x14ac:dyDescent="0.4">
      <c r="A324" t="str">
        <f>Premissas!$A$45</f>
        <v>Implemento</v>
      </c>
      <c r="B324">
        <v>9</v>
      </c>
      <c r="C324">
        <f>INDEX(Semanas!$E$3:$E$54,9)</f>
        <v>10</v>
      </c>
      <c r="D324" t="str">
        <f>Cronograma!J11</f>
        <v/>
      </c>
      <c r="E324">
        <f>Premissas!$I$45</f>
        <v>18</v>
      </c>
      <c r="F324">
        <f t="shared" ref="F324:F367" si="5">IF($D324="",0,$E324)</f>
        <v>0</v>
      </c>
      <c r="G324">
        <f>IF($D324="",0,$E324*INDEX(Aux_HH!$D$4:$D$31,MATCH($A324&amp;"|"&amp;$D324,Aux_HH!$A$4:$A$31,0)))</f>
        <v>0</v>
      </c>
      <c r="H324">
        <f>IF($D324="",0,$E324*INDEX(Aux_HH!$E$4:$E$31,MATCH($A324&amp;"|"&amp;$D324,Aux_HH!$A$4:$A$31,0)))</f>
        <v>0</v>
      </c>
      <c r="I324">
        <f>IF($D324="",0,$E324*INDEX(Aux_HH!$F$4:$F$31,MATCH($A324&amp;"|"&amp;$D324,Aux_HH!$A$4:$A$31,0)))</f>
        <v>0</v>
      </c>
      <c r="J324">
        <f>IF($D324="",0,$E324*INDEX(Aux_HH!$G$4:$G$31,MATCH($A324&amp;"|"&amp;$D324,Aux_HH!$A$4:$A$31,0)))</f>
        <v>0</v>
      </c>
      <c r="K324">
        <f>IF($D324="",0,$E324*INDEX(Aux_HH!$H$4:$H$31,MATCH($A324&amp;"|"&amp;$D324,Aux_HH!$A$4:$A$31,0)))</f>
        <v>0</v>
      </c>
      <c r="L324">
        <f>IF($D324="",0,$E324*INDEX(Aux_HH!$I$4:$I$31,MATCH($A324&amp;"|"&amp;$D324,Aux_HH!$A$4:$A$31,0)))</f>
        <v>0</v>
      </c>
    </row>
    <row r="325" spans="1:12" ht="15" customHeight="1" x14ac:dyDescent="0.4">
      <c r="A325" t="str">
        <f>Premissas!$A$45</f>
        <v>Implemento</v>
      </c>
      <c r="B325">
        <v>10</v>
      </c>
      <c r="C325">
        <f>INDEX(Semanas!$E$3:$E$54,10)</f>
        <v>11</v>
      </c>
      <c r="D325" t="str">
        <f>Cronograma!K11</f>
        <v/>
      </c>
      <c r="E325">
        <f>Premissas!$I$45</f>
        <v>18</v>
      </c>
      <c r="F325">
        <f t="shared" si="5"/>
        <v>0</v>
      </c>
      <c r="G325">
        <f>IF($D325="",0,$E325*INDEX(Aux_HH!$D$4:$D$31,MATCH($A325&amp;"|"&amp;$D325,Aux_HH!$A$4:$A$31,0)))</f>
        <v>0</v>
      </c>
      <c r="H325">
        <f>IF($D325="",0,$E325*INDEX(Aux_HH!$E$4:$E$31,MATCH($A325&amp;"|"&amp;$D325,Aux_HH!$A$4:$A$31,0)))</f>
        <v>0</v>
      </c>
      <c r="I325">
        <f>IF($D325="",0,$E325*INDEX(Aux_HH!$F$4:$F$31,MATCH($A325&amp;"|"&amp;$D325,Aux_HH!$A$4:$A$31,0)))</f>
        <v>0</v>
      </c>
      <c r="J325">
        <f>IF($D325="",0,$E325*INDEX(Aux_HH!$G$4:$G$31,MATCH($A325&amp;"|"&amp;$D325,Aux_HH!$A$4:$A$31,0)))</f>
        <v>0</v>
      </c>
      <c r="K325">
        <f>IF($D325="",0,$E325*INDEX(Aux_HH!$H$4:$H$31,MATCH($A325&amp;"|"&amp;$D325,Aux_HH!$A$4:$A$31,0)))</f>
        <v>0</v>
      </c>
      <c r="L325">
        <f>IF($D325="",0,$E325*INDEX(Aux_HH!$I$4:$I$31,MATCH($A325&amp;"|"&amp;$D325,Aux_HH!$A$4:$A$31,0)))</f>
        <v>0</v>
      </c>
    </row>
    <row r="326" spans="1:12" ht="15" customHeight="1" x14ac:dyDescent="0.4">
      <c r="A326" t="str">
        <f>Premissas!$A$45</f>
        <v>Implemento</v>
      </c>
      <c r="B326">
        <v>11</v>
      </c>
      <c r="C326">
        <f>INDEX(Semanas!$E$3:$E$54,11)</f>
        <v>11</v>
      </c>
      <c r="D326" t="str">
        <f>Cronograma!L11</f>
        <v/>
      </c>
      <c r="E326">
        <f>Premissas!$I$45</f>
        <v>18</v>
      </c>
      <c r="F326">
        <f t="shared" si="5"/>
        <v>0</v>
      </c>
      <c r="G326">
        <f>IF($D326="",0,$E326*INDEX(Aux_HH!$D$4:$D$31,MATCH($A326&amp;"|"&amp;$D326,Aux_HH!$A$4:$A$31,0)))</f>
        <v>0</v>
      </c>
      <c r="H326">
        <f>IF($D326="",0,$E326*INDEX(Aux_HH!$E$4:$E$31,MATCH($A326&amp;"|"&amp;$D326,Aux_HH!$A$4:$A$31,0)))</f>
        <v>0</v>
      </c>
      <c r="I326">
        <f>IF($D326="",0,$E326*INDEX(Aux_HH!$F$4:$F$31,MATCH($A326&amp;"|"&amp;$D326,Aux_HH!$A$4:$A$31,0)))</f>
        <v>0</v>
      </c>
      <c r="J326">
        <f>IF($D326="",0,$E326*INDEX(Aux_HH!$G$4:$G$31,MATCH($A326&amp;"|"&amp;$D326,Aux_HH!$A$4:$A$31,0)))</f>
        <v>0</v>
      </c>
      <c r="K326">
        <f>IF($D326="",0,$E326*INDEX(Aux_HH!$H$4:$H$31,MATCH($A326&amp;"|"&amp;$D326,Aux_HH!$A$4:$A$31,0)))</f>
        <v>0</v>
      </c>
      <c r="L326">
        <f>IF($D326="",0,$E326*INDEX(Aux_HH!$I$4:$I$31,MATCH($A326&amp;"|"&amp;$D326,Aux_HH!$A$4:$A$31,0)))</f>
        <v>0</v>
      </c>
    </row>
    <row r="327" spans="1:12" ht="15" customHeight="1" x14ac:dyDescent="0.4">
      <c r="A327" t="str">
        <f>Premissas!$A$45</f>
        <v>Implemento</v>
      </c>
      <c r="B327">
        <v>12</v>
      </c>
      <c r="C327">
        <f>INDEX(Semanas!$E$3:$E$54,12)</f>
        <v>11</v>
      </c>
      <c r="D327" t="str">
        <f>Cronograma!M11</f>
        <v/>
      </c>
      <c r="E327">
        <f>Premissas!$I$45</f>
        <v>18</v>
      </c>
      <c r="F327">
        <f t="shared" si="5"/>
        <v>0</v>
      </c>
      <c r="G327">
        <f>IF($D327="",0,$E327*INDEX(Aux_HH!$D$4:$D$31,MATCH($A327&amp;"|"&amp;$D327,Aux_HH!$A$4:$A$31,0)))</f>
        <v>0</v>
      </c>
      <c r="H327">
        <f>IF($D327="",0,$E327*INDEX(Aux_HH!$E$4:$E$31,MATCH($A327&amp;"|"&amp;$D327,Aux_HH!$A$4:$A$31,0)))</f>
        <v>0</v>
      </c>
      <c r="I327">
        <f>IF($D327="",0,$E327*INDEX(Aux_HH!$F$4:$F$31,MATCH($A327&amp;"|"&amp;$D327,Aux_HH!$A$4:$A$31,0)))</f>
        <v>0</v>
      </c>
      <c r="J327">
        <f>IF($D327="",0,$E327*INDEX(Aux_HH!$G$4:$G$31,MATCH($A327&amp;"|"&amp;$D327,Aux_HH!$A$4:$A$31,0)))</f>
        <v>0</v>
      </c>
      <c r="K327">
        <f>IF($D327="",0,$E327*INDEX(Aux_HH!$H$4:$H$31,MATCH($A327&amp;"|"&amp;$D327,Aux_HH!$A$4:$A$31,0)))</f>
        <v>0</v>
      </c>
      <c r="L327">
        <f>IF($D327="",0,$E327*INDEX(Aux_HH!$I$4:$I$31,MATCH($A327&amp;"|"&amp;$D327,Aux_HH!$A$4:$A$31,0)))</f>
        <v>0</v>
      </c>
    </row>
    <row r="328" spans="1:12" ht="15" customHeight="1" x14ac:dyDescent="0.4">
      <c r="A328" t="str">
        <f>Premissas!$A$45</f>
        <v>Implemento</v>
      </c>
      <c r="B328">
        <v>13</v>
      </c>
      <c r="C328">
        <f>INDEX(Semanas!$E$3:$E$54,13)</f>
        <v>11</v>
      </c>
      <c r="D328" t="str">
        <f>Cronograma!N11</f>
        <v/>
      </c>
      <c r="E328">
        <f>Premissas!$I$45</f>
        <v>18</v>
      </c>
      <c r="F328">
        <f t="shared" si="5"/>
        <v>0</v>
      </c>
      <c r="G328">
        <f>IF($D328="",0,$E328*INDEX(Aux_HH!$D$4:$D$31,MATCH($A328&amp;"|"&amp;$D328,Aux_HH!$A$4:$A$31,0)))</f>
        <v>0</v>
      </c>
      <c r="H328">
        <f>IF($D328="",0,$E328*INDEX(Aux_HH!$E$4:$E$31,MATCH($A328&amp;"|"&amp;$D328,Aux_HH!$A$4:$A$31,0)))</f>
        <v>0</v>
      </c>
      <c r="I328">
        <f>IF($D328="",0,$E328*INDEX(Aux_HH!$F$4:$F$31,MATCH($A328&amp;"|"&amp;$D328,Aux_HH!$A$4:$A$31,0)))</f>
        <v>0</v>
      </c>
      <c r="J328">
        <f>IF($D328="",0,$E328*INDEX(Aux_HH!$G$4:$G$31,MATCH($A328&amp;"|"&amp;$D328,Aux_HH!$A$4:$A$31,0)))</f>
        <v>0</v>
      </c>
      <c r="K328">
        <f>IF($D328="",0,$E328*INDEX(Aux_HH!$H$4:$H$31,MATCH($A328&amp;"|"&amp;$D328,Aux_HH!$A$4:$A$31,0)))</f>
        <v>0</v>
      </c>
      <c r="L328">
        <f>IF($D328="",0,$E328*INDEX(Aux_HH!$I$4:$I$31,MATCH($A328&amp;"|"&amp;$D328,Aux_HH!$A$4:$A$31,0)))</f>
        <v>0</v>
      </c>
    </row>
    <row r="329" spans="1:12" ht="15" customHeight="1" x14ac:dyDescent="0.4">
      <c r="A329" t="str">
        <f>Premissas!$A$45</f>
        <v>Implemento</v>
      </c>
      <c r="B329">
        <v>14</v>
      </c>
      <c r="C329">
        <f>INDEX(Semanas!$E$3:$E$54,14)</f>
        <v>12</v>
      </c>
      <c r="D329" t="str">
        <f>Cronograma!O11</f>
        <v/>
      </c>
      <c r="E329">
        <f>Premissas!$I$45</f>
        <v>18</v>
      </c>
      <c r="F329">
        <f t="shared" si="5"/>
        <v>0</v>
      </c>
      <c r="G329">
        <f>IF($D329="",0,$E329*INDEX(Aux_HH!$D$4:$D$31,MATCH($A329&amp;"|"&amp;$D329,Aux_HH!$A$4:$A$31,0)))</f>
        <v>0</v>
      </c>
      <c r="H329">
        <f>IF($D329="",0,$E329*INDEX(Aux_HH!$E$4:$E$31,MATCH($A329&amp;"|"&amp;$D329,Aux_HH!$A$4:$A$31,0)))</f>
        <v>0</v>
      </c>
      <c r="I329">
        <f>IF($D329="",0,$E329*INDEX(Aux_HH!$F$4:$F$31,MATCH($A329&amp;"|"&amp;$D329,Aux_HH!$A$4:$A$31,0)))</f>
        <v>0</v>
      </c>
      <c r="J329">
        <f>IF($D329="",0,$E329*INDEX(Aux_HH!$G$4:$G$31,MATCH($A329&amp;"|"&amp;$D329,Aux_HH!$A$4:$A$31,0)))</f>
        <v>0</v>
      </c>
      <c r="K329">
        <f>IF($D329="",0,$E329*INDEX(Aux_HH!$H$4:$H$31,MATCH($A329&amp;"|"&amp;$D329,Aux_HH!$A$4:$A$31,0)))</f>
        <v>0</v>
      </c>
      <c r="L329">
        <f>IF($D329="",0,$E329*INDEX(Aux_HH!$I$4:$I$31,MATCH($A329&amp;"|"&amp;$D329,Aux_HH!$A$4:$A$31,0)))</f>
        <v>0</v>
      </c>
    </row>
    <row r="330" spans="1:12" ht="15" customHeight="1" x14ac:dyDescent="0.4">
      <c r="A330" t="str">
        <f>Premissas!$A$45</f>
        <v>Implemento</v>
      </c>
      <c r="B330">
        <v>15</v>
      </c>
      <c r="C330">
        <f>INDEX(Semanas!$E$3:$E$54,15)</f>
        <v>12</v>
      </c>
      <c r="D330" t="str">
        <f>Cronograma!P11</f>
        <v/>
      </c>
      <c r="E330">
        <f>Premissas!$I$45</f>
        <v>18</v>
      </c>
      <c r="F330">
        <f t="shared" si="5"/>
        <v>0</v>
      </c>
      <c r="G330">
        <f>IF($D330="",0,$E330*INDEX(Aux_HH!$D$4:$D$31,MATCH($A330&amp;"|"&amp;$D330,Aux_HH!$A$4:$A$31,0)))</f>
        <v>0</v>
      </c>
      <c r="H330">
        <f>IF($D330="",0,$E330*INDEX(Aux_HH!$E$4:$E$31,MATCH($A330&amp;"|"&amp;$D330,Aux_HH!$A$4:$A$31,0)))</f>
        <v>0</v>
      </c>
      <c r="I330">
        <f>IF($D330="",0,$E330*INDEX(Aux_HH!$F$4:$F$31,MATCH($A330&amp;"|"&amp;$D330,Aux_HH!$A$4:$A$31,0)))</f>
        <v>0</v>
      </c>
      <c r="J330">
        <f>IF($D330="",0,$E330*INDEX(Aux_HH!$G$4:$G$31,MATCH($A330&amp;"|"&amp;$D330,Aux_HH!$A$4:$A$31,0)))</f>
        <v>0</v>
      </c>
      <c r="K330">
        <f>IF($D330="",0,$E330*INDEX(Aux_HH!$H$4:$H$31,MATCH($A330&amp;"|"&amp;$D330,Aux_HH!$A$4:$A$31,0)))</f>
        <v>0</v>
      </c>
      <c r="L330">
        <f>IF($D330="",0,$E330*INDEX(Aux_HH!$I$4:$I$31,MATCH($A330&amp;"|"&amp;$D330,Aux_HH!$A$4:$A$31,0)))</f>
        <v>0</v>
      </c>
    </row>
    <row r="331" spans="1:12" ht="15" customHeight="1" x14ac:dyDescent="0.4">
      <c r="A331" t="str">
        <f>Premissas!$A$45</f>
        <v>Implemento</v>
      </c>
      <c r="B331">
        <v>16</v>
      </c>
      <c r="C331">
        <f>INDEX(Semanas!$E$3:$E$54,16)</f>
        <v>12</v>
      </c>
      <c r="D331" t="str">
        <f>Cronograma!Q11</f>
        <v>A</v>
      </c>
      <c r="E331">
        <f>Premissas!$I$45</f>
        <v>18</v>
      </c>
      <c r="F331">
        <f t="shared" si="5"/>
        <v>18</v>
      </c>
      <c r="G331">
        <f>IF($D331="",0,$E331*INDEX(Aux_HH!$D$4:$D$31,MATCH($A331&amp;"|"&amp;$D331,Aux_HH!$A$4:$A$31,0)))</f>
        <v>54</v>
      </c>
      <c r="H331">
        <f>IF($D331="",0,$E331*INDEX(Aux_HH!$E$4:$E$31,MATCH($A331&amp;"|"&amp;$D331,Aux_HH!$A$4:$A$31,0)))</f>
        <v>0</v>
      </c>
      <c r="I331">
        <f>IF($D331="",0,$E331*INDEX(Aux_HH!$F$4:$F$31,MATCH($A331&amp;"|"&amp;$D331,Aux_HH!$A$4:$A$31,0)))</f>
        <v>0</v>
      </c>
      <c r="J331">
        <f>IF($D331="",0,$E331*INDEX(Aux_HH!$G$4:$G$31,MATCH($A331&amp;"|"&amp;$D331,Aux_HH!$A$4:$A$31,0)))</f>
        <v>0</v>
      </c>
      <c r="K331">
        <f>IF($D331="",0,$E331*INDEX(Aux_HH!$H$4:$H$31,MATCH($A331&amp;"|"&amp;$D331,Aux_HH!$A$4:$A$31,0)))</f>
        <v>0</v>
      </c>
      <c r="L331">
        <f>IF($D331="",0,$E331*INDEX(Aux_HH!$I$4:$I$31,MATCH($A331&amp;"|"&amp;$D331,Aux_HH!$A$4:$A$31,0)))</f>
        <v>0</v>
      </c>
    </row>
    <row r="332" spans="1:12" ht="15" customHeight="1" x14ac:dyDescent="0.4">
      <c r="A332" t="str">
        <f>Premissas!$A$45</f>
        <v>Implemento</v>
      </c>
      <c r="B332">
        <v>17</v>
      </c>
      <c r="C332">
        <f>INDEX(Semanas!$E$3:$E$54,17)</f>
        <v>12</v>
      </c>
      <c r="D332" t="str">
        <f>Cronograma!R11</f>
        <v/>
      </c>
      <c r="E332">
        <f>Premissas!$I$45</f>
        <v>18</v>
      </c>
      <c r="F332">
        <f t="shared" si="5"/>
        <v>0</v>
      </c>
      <c r="G332">
        <f>IF($D332="",0,$E332*INDEX(Aux_HH!$D$4:$D$31,MATCH($A332&amp;"|"&amp;$D332,Aux_HH!$A$4:$A$31,0)))</f>
        <v>0</v>
      </c>
      <c r="H332">
        <f>IF($D332="",0,$E332*INDEX(Aux_HH!$E$4:$E$31,MATCH($A332&amp;"|"&amp;$D332,Aux_HH!$A$4:$A$31,0)))</f>
        <v>0</v>
      </c>
      <c r="I332">
        <f>IF($D332="",0,$E332*INDEX(Aux_HH!$F$4:$F$31,MATCH($A332&amp;"|"&amp;$D332,Aux_HH!$A$4:$A$31,0)))</f>
        <v>0</v>
      </c>
      <c r="J332">
        <f>IF($D332="",0,$E332*INDEX(Aux_HH!$G$4:$G$31,MATCH($A332&amp;"|"&amp;$D332,Aux_HH!$A$4:$A$31,0)))</f>
        <v>0</v>
      </c>
      <c r="K332">
        <f>IF($D332="",0,$E332*INDEX(Aux_HH!$H$4:$H$31,MATCH($A332&amp;"|"&amp;$D332,Aux_HH!$A$4:$A$31,0)))</f>
        <v>0</v>
      </c>
      <c r="L332">
        <f>IF($D332="",0,$E332*INDEX(Aux_HH!$I$4:$I$31,MATCH($A332&amp;"|"&amp;$D332,Aux_HH!$A$4:$A$31,0)))</f>
        <v>0</v>
      </c>
    </row>
    <row r="333" spans="1:12" ht="15" customHeight="1" x14ac:dyDescent="0.4">
      <c r="A333" t="str">
        <f>Premissas!$A$45</f>
        <v>Implemento</v>
      </c>
      <c r="B333">
        <v>18</v>
      </c>
      <c r="C333">
        <f>INDEX(Semanas!$E$3:$E$54,18)</f>
        <v>12</v>
      </c>
      <c r="D333" t="str">
        <f>Cronograma!S11</f>
        <v/>
      </c>
      <c r="E333">
        <f>Premissas!$I$45</f>
        <v>18</v>
      </c>
      <c r="F333">
        <f t="shared" si="5"/>
        <v>0</v>
      </c>
      <c r="G333">
        <f>IF($D333="",0,$E333*INDEX(Aux_HH!$D$4:$D$31,MATCH($A333&amp;"|"&amp;$D333,Aux_HH!$A$4:$A$31,0)))</f>
        <v>0</v>
      </c>
      <c r="H333">
        <f>IF($D333="",0,$E333*INDEX(Aux_HH!$E$4:$E$31,MATCH($A333&amp;"|"&amp;$D333,Aux_HH!$A$4:$A$31,0)))</f>
        <v>0</v>
      </c>
      <c r="I333">
        <f>IF($D333="",0,$E333*INDEX(Aux_HH!$F$4:$F$31,MATCH($A333&amp;"|"&amp;$D333,Aux_HH!$A$4:$A$31,0)))</f>
        <v>0</v>
      </c>
      <c r="J333">
        <f>IF($D333="",0,$E333*INDEX(Aux_HH!$G$4:$G$31,MATCH($A333&amp;"|"&amp;$D333,Aux_HH!$A$4:$A$31,0)))</f>
        <v>0</v>
      </c>
      <c r="K333">
        <f>IF($D333="",0,$E333*INDEX(Aux_HH!$H$4:$H$31,MATCH($A333&amp;"|"&amp;$D333,Aux_HH!$A$4:$A$31,0)))</f>
        <v>0</v>
      </c>
      <c r="L333">
        <f>IF($D333="",0,$E333*INDEX(Aux_HH!$I$4:$I$31,MATCH($A333&amp;"|"&amp;$D333,Aux_HH!$A$4:$A$31,0)))</f>
        <v>0</v>
      </c>
    </row>
    <row r="334" spans="1:12" ht="15" customHeight="1" x14ac:dyDescent="0.4">
      <c r="A334" t="str">
        <f>Premissas!$A$45</f>
        <v>Implemento</v>
      </c>
      <c r="B334">
        <v>19</v>
      </c>
      <c r="C334">
        <f>INDEX(Semanas!$E$3:$E$54,19)</f>
        <v>1</v>
      </c>
      <c r="D334" t="str">
        <f>Cronograma!T11</f>
        <v/>
      </c>
      <c r="E334">
        <f>Premissas!$I$45</f>
        <v>18</v>
      </c>
      <c r="F334">
        <f t="shared" si="5"/>
        <v>0</v>
      </c>
      <c r="G334">
        <f>IF($D334="",0,$E334*INDEX(Aux_HH!$D$4:$D$31,MATCH($A334&amp;"|"&amp;$D334,Aux_HH!$A$4:$A$31,0)))</f>
        <v>0</v>
      </c>
      <c r="H334">
        <f>IF($D334="",0,$E334*INDEX(Aux_HH!$E$4:$E$31,MATCH($A334&amp;"|"&amp;$D334,Aux_HH!$A$4:$A$31,0)))</f>
        <v>0</v>
      </c>
      <c r="I334">
        <f>IF($D334="",0,$E334*INDEX(Aux_HH!$F$4:$F$31,MATCH($A334&amp;"|"&amp;$D334,Aux_HH!$A$4:$A$31,0)))</f>
        <v>0</v>
      </c>
      <c r="J334">
        <f>IF($D334="",0,$E334*INDEX(Aux_HH!$G$4:$G$31,MATCH($A334&amp;"|"&amp;$D334,Aux_HH!$A$4:$A$31,0)))</f>
        <v>0</v>
      </c>
      <c r="K334">
        <f>IF($D334="",0,$E334*INDEX(Aux_HH!$H$4:$H$31,MATCH($A334&amp;"|"&amp;$D334,Aux_HH!$A$4:$A$31,0)))</f>
        <v>0</v>
      </c>
      <c r="L334">
        <f>IF($D334="",0,$E334*INDEX(Aux_HH!$I$4:$I$31,MATCH($A334&amp;"|"&amp;$D334,Aux_HH!$A$4:$A$31,0)))</f>
        <v>0</v>
      </c>
    </row>
    <row r="335" spans="1:12" ht="15" customHeight="1" x14ac:dyDescent="0.4">
      <c r="A335" t="str">
        <f>Premissas!$A$45</f>
        <v>Implemento</v>
      </c>
      <c r="B335">
        <v>20</v>
      </c>
      <c r="C335">
        <f>INDEX(Semanas!$E$3:$E$54,20)</f>
        <v>1</v>
      </c>
      <c r="D335" t="str">
        <f>Cronograma!U11</f>
        <v/>
      </c>
      <c r="E335">
        <f>Premissas!$I$45</f>
        <v>18</v>
      </c>
      <c r="F335">
        <f t="shared" si="5"/>
        <v>0</v>
      </c>
      <c r="G335">
        <f>IF($D335="",0,$E335*INDEX(Aux_HH!$D$4:$D$31,MATCH($A335&amp;"|"&amp;$D335,Aux_HH!$A$4:$A$31,0)))</f>
        <v>0</v>
      </c>
      <c r="H335">
        <f>IF($D335="",0,$E335*INDEX(Aux_HH!$E$4:$E$31,MATCH($A335&amp;"|"&amp;$D335,Aux_HH!$A$4:$A$31,0)))</f>
        <v>0</v>
      </c>
      <c r="I335">
        <f>IF($D335="",0,$E335*INDEX(Aux_HH!$F$4:$F$31,MATCH($A335&amp;"|"&amp;$D335,Aux_HH!$A$4:$A$31,0)))</f>
        <v>0</v>
      </c>
      <c r="J335">
        <f>IF($D335="",0,$E335*INDEX(Aux_HH!$G$4:$G$31,MATCH($A335&amp;"|"&amp;$D335,Aux_HH!$A$4:$A$31,0)))</f>
        <v>0</v>
      </c>
      <c r="K335">
        <f>IF($D335="",0,$E335*INDEX(Aux_HH!$H$4:$H$31,MATCH($A335&amp;"|"&amp;$D335,Aux_HH!$A$4:$A$31,0)))</f>
        <v>0</v>
      </c>
      <c r="L335">
        <f>IF($D335="",0,$E335*INDEX(Aux_HH!$I$4:$I$31,MATCH($A335&amp;"|"&amp;$D335,Aux_HH!$A$4:$A$31,0)))</f>
        <v>0</v>
      </c>
    </row>
    <row r="336" spans="1:12" ht="15" customHeight="1" x14ac:dyDescent="0.4">
      <c r="A336" t="str">
        <f>Premissas!$A$45</f>
        <v>Implemento</v>
      </c>
      <c r="B336">
        <v>21</v>
      </c>
      <c r="C336">
        <f>INDEX(Semanas!$E$3:$E$54,21)</f>
        <v>1</v>
      </c>
      <c r="D336" t="str">
        <f>Cronograma!V11</f>
        <v/>
      </c>
      <c r="E336">
        <f>Premissas!$I$45</f>
        <v>18</v>
      </c>
      <c r="F336">
        <f t="shared" si="5"/>
        <v>0</v>
      </c>
      <c r="G336">
        <f>IF($D336="",0,$E336*INDEX(Aux_HH!$D$4:$D$31,MATCH($A336&amp;"|"&amp;$D336,Aux_HH!$A$4:$A$31,0)))</f>
        <v>0</v>
      </c>
      <c r="H336">
        <f>IF($D336="",0,$E336*INDEX(Aux_HH!$E$4:$E$31,MATCH($A336&amp;"|"&amp;$D336,Aux_HH!$A$4:$A$31,0)))</f>
        <v>0</v>
      </c>
      <c r="I336">
        <f>IF($D336="",0,$E336*INDEX(Aux_HH!$F$4:$F$31,MATCH($A336&amp;"|"&amp;$D336,Aux_HH!$A$4:$A$31,0)))</f>
        <v>0</v>
      </c>
      <c r="J336">
        <f>IF($D336="",0,$E336*INDEX(Aux_HH!$G$4:$G$31,MATCH($A336&amp;"|"&amp;$D336,Aux_HH!$A$4:$A$31,0)))</f>
        <v>0</v>
      </c>
      <c r="K336">
        <f>IF($D336="",0,$E336*INDEX(Aux_HH!$H$4:$H$31,MATCH($A336&amp;"|"&amp;$D336,Aux_HH!$A$4:$A$31,0)))</f>
        <v>0</v>
      </c>
      <c r="L336">
        <f>IF($D336="",0,$E336*INDEX(Aux_HH!$I$4:$I$31,MATCH($A336&amp;"|"&amp;$D336,Aux_HH!$A$4:$A$31,0)))</f>
        <v>0</v>
      </c>
    </row>
    <row r="337" spans="1:12" ht="15" customHeight="1" x14ac:dyDescent="0.4">
      <c r="A337" t="str">
        <f>Premissas!$A$45</f>
        <v>Implemento</v>
      </c>
      <c r="B337">
        <v>22</v>
      </c>
      <c r="C337">
        <f>INDEX(Semanas!$E$3:$E$54,22)</f>
        <v>1</v>
      </c>
      <c r="D337" t="str">
        <f>Cronograma!W11</f>
        <v/>
      </c>
      <c r="E337">
        <f>Premissas!$I$45</f>
        <v>18</v>
      </c>
      <c r="F337">
        <f t="shared" si="5"/>
        <v>0</v>
      </c>
      <c r="G337">
        <f>IF($D337="",0,$E337*INDEX(Aux_HH!$D$4:$D$31,MATCH($A337&amp;"|"&amp;$D337,Aux_HH!$A$4:$A$31,0)))</f>
        <v>0</v>
      </c>
      <c r="H337">
        <f>IF($D337="",0,$E337*INDEX(Aux_HH!$E$4:$E$31,MATCH($A337&amp;"|"&amp;$D337,Aux_HH!$A$4:$A$31,0)))</f>
        <v>0</v>
      </c>
      <c r="I337">
        <f>IF($D337="",0,$E337*INDEX(Aux_HH!$F$4:$F$31,MATCH($A337&amp;"|"&amp;$D337,Aux_HH!$A$4:$A$31,0)))</f>
        <v>0</v>
      </c>
      <c r="J337">
        <f>IF($D337="",0,$E337*INDEX(Aux_HH!$G$4:$G$31,MATCH($A337&amp;"|"&amp;$D337,Aux_HH!$A$4:$A$31,0)))</f>
        <v>0</v>
      </c>
      <c r="K337">
        <f>IF($D337="",0,$E337*INDEX(Aux_HH!$H$4:$H$31,MATCH($A337&amp;"|"&amp;$D337,Aux_HH!$A$4:$A$31,0)))</f>
        <v>0</v>
      </c>
      <c r="L337">
        <f>IF($D337="",0,$E337*INDEX(Aux_HH!$I$4:$I$31,MATCH($A337&amp;"|"&amp;$D337,Aux_HH!$A$4:$A$31,0)))</f>
        <v>0</v>
      </c>
    </row>
    <row r="338" spans="1:12" ht="15" customHeight="1" x14ac:dyDescent="0.4">
      <c r="A338" t="str">
        <f>Premissas!$A$45</f>
        <v>Implemento</v>
      </c>
      <c r="B338">
        <v>23</v>
      </c>
      <c r="C338">
        <f>INDEX(Semanas!$E$3:$E$54,23)</f>
        <v>2</v>
      </c>
      <c r="D338" t="str">
        <f>Cronograma!X11</f>
        <v/>
      </c>
      <c r="E338">
        <f>Premissas!$I$45</f>
        <v>18</v>
      </c>
      <c r="F338">
        <f t="shared" si="5"/>
        <v>0</v>
      </c>
      <c r="G338">
        <f>IF($D338="",0,$E338*INDEX(Aux_HH!$D$4:$D$31,MATCH($A338&amp;"|"&amp;$D338,Aux_HH!$A$4:$A$31,0)))</f>
        <v>0</v>
      </c>
      <c r="H338">
        <f>IF($D338="",0,$E338*INDEX(Aux_HH!$E$4:$E$31,MATCH($A338&amp;"|"&amp;$D338,Aux_HH!$A$4:$A$31,0)))</f>
        <v>0</v>
      </c>
      <c r="I338">
        <f>IF($D338="",0,$E338*INDEX(Aux_HH!$F$4:$F$31,MATCH($A338&amp;"|"&amp;$D338,Aux_HH!$A$4:$A$31,0)))</f>
        <v>0</v>
      </c>
      <c r="J338">
        <f>IF($D338="",0,$E338*INDEX(Aux_HH!$G$4:$G$31,MATCH($A338&amp;"|"&amp;$D338,Aux_HH!$A$4:$A$31,0)))</f>
        <v>0</v>
      </c>
      <c r="K338">
        <f>IF($D338="",0,$E338*INDEX(Aux_HH!$H$4:$H$31,MATCH($A338&amp;"|"&amp;$D338,Aux_HH!$A$4:$A$31,0)))</f>
        <v>0</v>
      </c>
      <c r="L338">
        <f>IF($D338="",0,$E338*INDEX(Aux_HH!$I$4:$I$31,MATCH($A338&amp;"|"&amp;$D338,Aux_HH!$A$4:$A$31,0)))</f>
        <v>0</v>
      </c>
    </row>
    <row r="339" spans="1:12" ht="15" customHeight="1" x14ac:dyDescent="0.4">
      <c r="A339" t="str">
        <f>Premissas!$A$45</f>
        <v>Implemento</v>
      </c>
      <c r="B339">
        <v>24</v>
      </c>
      <c r="C339">
        <f>INDEX(Semanas!$E$3:$E$54,24)</f>
        <v>2</v>
      </c>
      <c r="D339" t="str">
        <f>Cronograma!Y11</f>
        <v>S</v>
      </c>
      <c r="E339">
        <f>Premissas!$I$45</f>
        <v>18</v>
      </c>
      <c r="F339">
        <f t="shared" si="5"/>
        <v>18</v>
      </c>
      <c r="G339">
        <f>IF($D339="",0,$E339*INDEX(Aux_HH!$D$4:$D$31,MATCH($A339&amp;"|"&amp;$D339,Aux_HH!$A$4:$A$31,0)))</f>
        <v>27</v>
      </c>
      <c r="H339">
        <f>IF($D339="",0,$E339*INDEX(Aux_HH!$E$4:$E$31,MATCH($A339&amp;"|"&amp;$D339,Aux_HH!$A$4:$A$31,0)))</f>
        <v>0</v>
      </c>
      <c r="I339">
        <f>IF($D339="",0,$E339*INDEX(Aux_HH!$F$4:$F$31,MATCH($A339&amp;"|"&amp;$D339,Aux_HH!$A$4:$A$31,0)))</f>
        <v>0</v>
      </c>
      <c r="J339">
        <f>IF($D339="",0,$E339*INDEX(Aux_HH!$G$4:$G$31,MATCH($A339&amp;"|"&amp;$D339,Aux_HH!$A$4:$A$31,0)))</f>
        <v>0</v>
      </c>
      <c r="K339">
        <f>IF($D339="",0,$E339*INDEX(Aux_HH!$H$4:$H$31,MATCH($A339&amp;"|"&amp;$D339,Aux_HH!$A$4:$A$31,0)))</f>
        <v>0</v>
      </c>
      <c r="L339">
        <f>IF($D339="",0,$E339*INDEX(Aux_HH!$I$4:$I$31,MATCH($A339&amp;"|"&amp;$D339,Aux_HH!$A$4:$A$31,0)))</f>
        <v>0</v>
      </c>
    </row>
    <row r="340" spans="1:12" ht="15" customHeight="1" x14ac:dyDescent="0.4">
      <c r="A340" t="str">
        <f>Premissas!$A$45</f>
        <v>Implemento</v>
      </c>
      <c r="B340">
        <v>25</v>
      </c>
      <c r="C340">
        <f>INDEX(Semanas!$E$3:$E$54,25)</f>
        <v>2</v>
      </c>
      <c r="D340" t="str">
        <f>Cronograma!Z11</f>
        <v/>
      </c>
      <c r="E340">
        <f>Premissas!$I$45</f>
        <v>18</v>
      </c>
      <c r="F340">
        <f t="shared" si="5"/>
        <v>0</v>
      </c>
      <c r="G340">
        <f>IF($D340="",0,$E340*INDEX(Aux_HH!$D$4:$D$31,MATCH($A340&amp;"|"&amp;$D340,Aux_HH!$A$4:$A$31,0)))</f>
        <v>0</v>
      </c>
      <c r="H340">
        <f>IF($D340="",0,$E340*INDEX(Aux_HH!$E$4:$E$31,MATCH($A340&amp;"|"&amp;$D340,Aux_HH!$A$4:$A$31,0)))</f>
        <v>0</v>
      </c>
      <c r="I340">
        <f>IF($D340="",0,$E340*INDEX(Aux_HH!$F$4:$F$31,MATCH($A340&amp;"|"&amp;$D340,Aux_HH!$A$4:$A$31,0)))</f>
        <v>0</v>
      </c>
      <c r="J340">
        <f>IF($D340="",0,$E340*INDEX(Aux_HH!$G$4:$G$31,MATCH($A340&amp;"|"&amp;$D340,Aux_HH!$A$4:$A$31,0)))</f>
        <v>0</v>
      </c>
      <c r="K340">
        <f>IF($D340="",0,$E340*INDEX(Aux_HH!$H$4:$H$31,MATCH($A340&amp;"|"&amp;$D340,Aux_HH!$A$4:$A$31,0)))</f>
        <v>0</v>
      </c>
      <c r="L340">
        <f>IF($D340="",0,$E340*INDEX(Aux_HH!$I$4:$I$31,MATCH($A340&amp;"|"&amp;$D340,Aux_HH!$A$4:$A$31,0)))</f>
        <v>0</v>
      </c>
    </row>
    <row r="341" spans="1:12" ht="15" customHeight="1" x14ac:dyDescent="0.4">
      <c r="A341" t="str">
        <f>Premissas!$A$45</f>
        <v>Implemento</v>
      </c>
      <c r="B341">
        <v>26</v>
      </c>
      <c r="C341">
        <f>INDEX(Semanas!$E$3:$E$54,26)</f>
        <v>2</v>
      </c>
      <c r="D341" t="str">
        <f>Cronograma!AA11</f>
        <v/>
      </c>
      <c r="E341">
        <f>Premissas!$I$45</f>
        <v>18</v>
      </c>
      <c r="F341">
        <f t="shared" si="5"/>
        <v>0</v>
      </c>
      <c r="G341">
        <f>IF($D341="",0,$E341*INDEX(Aux_HH!$D$4:$D$31,MATCH($A341&amp;"|"&amp;$D341,Aux_HH!$A$4:$A$31,0)))</f>
        <v>0</v>
      </c>
      <c r="H341">
        <f>IF($D341="",0,$E341*INDEX(Aux_HH!$E$4:$E$31,MATCH($A341&amp;"|"&amp;$D341,Aux_HH!$A$4:$A$31,0)))</f>
        <v>0</v>
      </c>
      <c r="I341">
        <f>IF($D341="",0,$E341*INDEX(Aux_HH!$F$4:$F$31,MATCH($A341&amp;"|"&amp;$D341,Aux_HH!$A$4:$A$31,0)))</f>
        <v>0</v>
      </c>
      <c r="J341">
        <f>IF($D341="",0,$E341*INDEX(Aux_HH!$G$4:$G$31,MATCH($A341&amp;"|"&amp;$D341,Aux_HH!$A$4:$A$31,0)))</f>
        <v>0</v>
      </c>
      <c r="K341">
        <f>IF($D341="",0,$E341*INDEX(Aux_HH!$H$4:$H$31,MATCH($A341&amp;"|"&amp;$D341,Aux_HH!$A$4:$A$31,0)))</f>
        <v>0</v>
      </c>
      <c r="L341">
        <f>IF($D341="",0,$E341*INDEX(Aux_HH!$I$4:$I$31,MATCH($A341&amp;"|"&amp;$D341,Aux_HH!$A$4:$A$31,0)))</f>
        <v>0</v>
      </c>
    </row>
    <row r="342" spans="1:12" ht="15" customHeight="1" x14ac:dyDescent="0.4">
      <c r="A342" t="str">
        <f>Premissas!$A$45</f>
        <v>Implemento</v>
      </c>
      <c r="B342">
        <v>27</v>
      </c>
      <c r="C342">
        <f>INDEX(Semanas!$E$3:$E$54,27)</f>
        <v>3</v>
      </c>
      <c r="D342" t="str">
        <f>Cronograma!AB11</f>
        <v/>
      </c>
      <c r="E342">
        <f>Premissas!$I$45</f>
        <v>18</v>
      </c>
      <c r="F342">
        <f t="shared" si="5"/>
        <v>0</v>
      </c>
      <c r="G342">
        <f>IF($D342="",0,$E342*INDEX(Aux_HH!$D$4:$D$31,MATCH($A342&amp;"|"&amp;$D342,Aux_HH!$A$4:$A$31,0)))</f>
        <v>0</v>
      </c>
      <c r="H342">
        <f>IF($D342="",0,$E342*INDEX(Aux_HH!$E$4:$E$31,MATCH($A342&amp;"|"&amp;$D342,Aux_HH!$A$4:$A$31,0)))</f>
        <v>0</v>
      </c>
      <c r="I342">
        <f>IF($D342="",0,$E342*INDEX(Aux_HH!$F$4:$F$31,MATCH($A342&amp;"|"&amp;$D342,Aux_HH!$A$4:$A$31,0)))</f>
        <v>0</v>
      </c>
      <c r="J342">
        <f>IF($D342="",0,$E342*INDEX(Aux_HH!$G$4:$G$31,MATCH($A342&amp;"|"&amp;$D342,Aux_HH!$A$4:$A$31,0)))</f>
        <v>0</v>
      </c>
      <c r="K342">
        <f>IF($D342="",0,$E342*INDEX(Aux_HH!$H$4:$H$31,MATCH($A342&amp;"|"&amp;$D342,Aux_HH!$A$4:$A$31,0)))</f>
        <v>0</v>
      </c>
      <c r="L342">
        <f>IF($D342="",0,$E342*INDEX(Aux_HH!$I$4:$I$31,MATCH($A342&amp;"|"&amp;$D342,Aux_HH!$A$4:$A$31,0)))</f>
        <v>0</v>
      </c>
    </row>
    <row r="343" spans="1:12" ht="15" customHeight="1" x14ac:dyDescent="0.4">
      <c r="A343" t="str">
        <f>Premissas!$A$45</f>
        <v>Implemento</v>
      </c>
      <c r="B343">
        <v>28</v>
      </c>
      <c r="C343">
        <f>INDEX(Semanas!$E$3:$E$54,28)</f>
        <v>3</v>
      </c>
      <c r="D343" t="str">
        <f>Cronograma!AC11</f>
        <v/>
      </c>
      <c r="E343">
        <f>Premissas!$I$45</f>
        <v>18</v>
      </c>
      <c r="F343">
        <f t="shared" si="5"/>
        <v>0</v>
      </c>
      <c r="G343">
        <f>IF($D343="",0,$E343*INDEX(Aux_HH!$D$4:$D$31,MATCH($A343&amp;"|"&amp;$D343,Aux_HH!$A$4:$A$31,0)))</f>
        <v>0</v>
      </c>
      <c r="H343">
        <f>IF($D343="",0,$E343*INDEX(Aux_HH!$E$4:$E$31,MATCH($A343&amp;"|"&amp;$D343,Aux_HH!$A$4:$A$31,0)))</f>
        <v>0</v>
      </c>
      <c r="I343">
        <f>IF($D343="",0,$E343*INDEX(Aux_HH!$F$4:$F$31,MATCH($A343&amp;"|"&amp;$D343,Aux_HH!$A$4:$A$31,0)))</f>
        <v>0</v>
      </c>
      <c r="J343">
        <f>IF($D343="",0,$E343*INDEX(Aux_HH!$G$4:$G$31,MATCH($A343&amp;"|"&amp;$D343,Aux_HH!$A$4:$A$31,0)))</f>
        <v>0</v>
      </c>
      <c r="K343">
        <f>IF($D343="",0,$E343*INDEX(Aux_HH!$H$4:$H$31,MATCH($A343&amp;"|"&amp;$D343,Aux_HH!$A$4:$A$31,0)))</f>
        <v>0</v>
      </c>
      <c r="L343">
        <f>IF($D343="",0,$E343*INDEX(Aux_HH!$I$4:$I$31,MATCH($A343&amp;"|"&amp;$D343,Aux_HH!$A$4:$A$31,0)))</f>
        <v>0</v>
      </c>
    </row>
    <row r="344" spans="1:12" ht="15" customHeight="1" x14ac:dyDescent="0.4">
      <c r="A344" t="str">
        <f>Premissas!$A$45</f>
        <v>Implemento</v>
      </c>
      <c r="B344">
        <v>29</v>
      </c>
      <c r="C344">
        <f>INDEX(Semanas!$E$3:$E$54,29)</f>
        <v>3</v>
      </c>
      <c r="D344" t="str">
        <f>Cronograma!AD11</f>
        <v/>
      </c>
      <c r="E344">
        <f>Premissas!$I$45</f>
        <v>18</v>
      </c>
      <c r="F344">
        <f t="shared" si="5"/>
        <v>0</v>
      </c>
      <c r="G344">
        <f>IF($D344="",0,$E344*INDEX(Aux_HH!$D$4:$D$31,MATCH($A344&amp;"|"&amp;$D344,Aux_HH!$A$4:$A$31,0)))</f>
        <v>0</v>
      </c>
      <c r="H344">
        <f>IF($D344="",0,$E344*INDEX(Aux_HH!$E$4:$E$31,MATCH($A344&amp;"|"&amp;$D344,Aux_HH!$A$4:$A$31,0)))</f>
        <v>0</v>
      </c>
      <c r="I344">
        <f>IF($D344="",0,$E344*INDEX(Aux_HH!$F$4:$F$31,MATCH($A344&amp;"|"&amp;$D344,Aux_HH!$A$4:$A$31,0)))</f>
        <v>0</v>
      </c>
      <c r="J344">
        <f>IF($D344="",0,$E344*INDEX(Aux_HH!$G$4:$G$31,MATCH($A344&amp;"|"&amp;$D344,Aux_HH!$A$4:$A$31,0)))</f>
        <v>0</v>
      </c>
      <c r="K344">
        <f>IF($D344="",0,$E344*INDEX(Aux_HH!$H$4:$H$31,MATCH($A344&amp;"|"&amp;$D344,Aux_HH!$A$4:$A$31,0)))</f>
        <v>0</v>
      </c>
      <c r="L344">
        <f>IF($D344="",0,$E344*INDEX(Aux_HH!$I$4:$I$31,MATCH($A344&amp;"|"&amp;$D344,Aux_HH!$A$4:$A$31,0)))</f>
        <v>0</v>
      </c>
    </row>
    <row r="345" spans="1:12" ht="15" customHeight="1" x14ac:dyDescent="0.4">
      <c r="A345" t="str">
        <f>Premissas!$A$45</f>
        <v>Implemento</v>
      </c>
      <c r="B345">
        <v>30</v>
      </c>
      <c r="C345">
        <f>INDEX(Semanas!$E$3:$E$54,30)</f>
        <v>3</v>
      </c>
      <c r="D345" t="str">
        <f>Cronograma!AE11</f>
        <v/>
      </c>
      <c r="E345">
        <f>Premissas!$I$45</f>
        <v>18</v>
      </c>
      <c r="F345">
        <f t="shared" si="5"/>
        <v>0</v>
      </c>
      <c r="G345">
        <f>IF($D345="",0,$E345*INDEX(Aux_HH!$D$4:$D$31,MATCH($A345&amp;"|"&amp;$D345,Aux_HH!$A$4:$A$31,0)))</f>
        <v>0</v>
      </c>
      <c r="H345">
        <f>IF($D345="",0,$E345*INDEX(Aux_HH!$E$4:$E$31,MATCH($A345&amp;"|"&amp;$D345,Aux_HH!$A$4:$A$31,0)))</f>
        <v>0</v>
      </c>
      <c r="I345">
        <f>IF($D345="",0,$E345*INDEX(Aux_HH!$F$4:$F$31,MATCH($A345&amp;"|"&amp;$D345,Aux_HH!$A$4:$A$31,0)))</f>
        <v>0</v>
      </c>
      <c r="J345">
        <f>IF($D345="",0,$E345*INDEX(Aux_HH!$G$4:$G$31,MATCH($A345&amp;"|"&amp;$D345,Aux_HH!$A$4:$A$31,0)))</f>
        <v>0</v>
      </c>
      <c r="K345">
        <f>IF($D345="",0,$E345*INDEX(Aux_HH!$H$4:$H$31,MATCH($A345&amp;"|"&amp;$D345,Aux_HH!$A$4:$A$31,0)))</f>
        <v>0</v>
      </c>
      <c r="L345">
        <f>IF($D345="",0,$E345*INDEX(Aux_HH!$I$4:$I$31,MATCH($A345&amp;"|"&amp;$D345,Aux_HH!$A$4:$A$31,0)))</f>
        <v>0</v>
      </c>
    </row>
    <row r="346" spans="1:12" ht="15" customHeight="1" x14ac:dyDescent="0.4">
      <c r="A346" t="str">
        <f>Premissas!$A$45</f>
        <v>Implemento</v>
      </c>
      <c r="B346">
        <v>31</v>
      </c>
      <c r="C346">
        <f>INDEX(Semanas!$E$3:$E$54,31)</f>
        <v>3</v>
      </c>
      <c r="D346" t="str">
        <f>Cronograma!AF11</f>
        <v/>
      </c>
      <c r="E346">
        <f>Premissas!$I$45</f>
        <v>18</v>
      </c>
      <c r="F346">
        <f t="shared" si="5"/>
        <v>0</v>
      </c>
      <c r="G346">
        <f>IF($D346="",0,$E346*INDEX(Aux_HH!$D$4:$D$31,MATCH($A346&amp;"|"&amp;$D346,Aux_HH!$A$4:$A$31,0)))</f>
        <v>0</v>
      </c>
      <c r="H346">
        <f>IF($D346="",0,$E346*INDEX(Aux_HH!$E$4:$E$31,MATCH($A346&amp;"|"&amp;$D346,Aux_HH!$A$4:$A$31,0)))</f>
        <v>0</v>
      </c>
      <c r="I346">
        <f>IF($D346="",0,$E346*INDEX(Aux_HH!$F$4:$F$31,MATCH($A346&amp;"|"&amp;$D346,Aux_HH!$A$4:$A$31,0)))</f>
        <v>0</v>
      </c>
      <c r="J346">
        <f>IF($D346="",0,$E346*INDEX(Aux_HH!$G$4:$G$31,MATCH($A346&amp;"|"&amp;$D346,Aux_HH!$A$4:$A$31,0)))</f>
        <v>0</v>
      </c>
      <c r="K346">
        <f>IF($D346="",0,$E346*INDEX(Aux_HH!$H$4:$H$31,MATCH($A346&amp;"|"&amp;$D346,Aux_HH!$A$4:$A$31,0)))</f>
        <v>0</v>
      </c>
      <c r="L346">
        <f>IF($D346="",0,$E346*INDEX(Aux_HH!$I$4:$I$31,MATCH($A346&amp;"|"&amp;$D346,Aux_HH!$A$4:$A$31,0)))</f>
        <v>0</v>
      </c>
    </row>
    <row r="347" spans="1:12" ht="15" customHeight="1" x14ac:dyDescent="0.4">
      <c r="A347" t="str">
        <f>Premissas!$A$45</f>
        <v>Implemento</v>
      </c>
      <c r="B347">
        <v>32</v>
      </c>
      <c r="C347">
        <f>INDEX(Semanas!$E$3:$E$54,32)</f>
        <v>4</v>
      </c>
      <c r="D347" t="str">
        <f>Cronograma!AG11</f>
        <v/>
      </c>
      <c r="E347">
        <f>Premissas!$I$45</f>
        <v>18</v>
      </c>
      <c r="F347">
        <f t="shared" si="5"/>
        <v>0</v>
      </c>
      <c r="G347">
        <f>IF($D347="",0,$E347*INDEX(Aux_HH!$D$4:$D$31,MATCH($A347&amp;"|"&amp;$D347,Aux_HH!$A$4:$A$31,0)))</f>
        <v>0</v>
      </c>
      <c r="H347">
        <f>IF($D347="",0,$E347*INDEX(Aux_HH!$E$4:$E$31,MATCH($A347&amp;"|"&amp;$D347,Aux_HH!$A$4:$A$31,0)))</f>
        <v>0</v>
      </c>
      <c r="I347">
        <f>IF($D347="",0,$E347*INDEX(Aux_HH!$F$4:$F$31,MATCH($A347&amp;"|"&amp;$D347,Aux_HH!$A$4:$A$31,0)))</f>
        <v>0</v>
      </c>
      <c r="J347">
        <f>IF($D347="",0,$E347*INDEX(Aux_HH!$G$4:$G$31,MATCH($A347&amp;"|"&amp;$D347,Aux_HH!$A$4:$A$31,0)))</f>
        <v>0</v>
      </c>
      <c r="K347">
        <f>IF($D347="",0,$E347*INDEX(Aux_HH!$H$4:$H$31,MATCH($A347&amp;"|"&amp;$D347,Aux_HH!$A$4:$A$31,0)))</f>
        <v>0</v>
      </c>
      <c r="L347">
        <f>IF($D347="",0,$E347*INDEX(Aux_HH!$I$4:$I$31,MATCH($A347&amp;"|"&amp;$D347,Aux_HH!$A$4:$A$31,0)))</f>
        <v>0</v>
      </c>
    </row>
    <row r="348" spans="1:12" ht="15" customHeight="1" x14ac:dyDescent="0.4">
      <c r="A348" t="str">
        <f>Premissas!$A$45</f>
        <v>Implemento</v>
      </c>
      <c r="B348">
        <v>33</v>
      </c>
      <c r="C348">
        <f>INDEX(Semanas!$E$3:$E$54,33)</f>
        <v>4</v>
      </c>
      <c r="D348" t="str">
        <f>Cronograma!AH11</f>
        <v/>
      </c>
      <c r="E348">
        <f>Premissas!$I$45</f>
        <v>18</v>
      </c>
      <c r="F348">
        <f t="shared" si="5"/>
        <v>0</v>
      </c>
      <c r="G348">
        <f>IF($D348="",0,$E348*INDEX(Aux_HH!$D$4:$D$31,MATCH($A348&amp;"|"&amp;$D348,Aux_HH!$A$4:$A$31,0)))</f>
        <v>0</v>
      </c>
      <c r="H348">
        <f>IF($D348="",0,$E348*INDEX(Aux_HH!$E$4:$E$31,MATCH($A348&amp;"|"&amp;$D348,Aux_HH!$A$4:$A$31,0)))</f>
        <v>0</v>
      </c>
      <c r="I348">
        <f>IF($D348="",0,$E348*INDEX(Aux_HH!$F$4:$F$31,MATCH($A348&amp;"|"&amp;$D348,Aux_HH!$A$4:$A$31,0)))</f>
        <v>0</v>
      </c>
      <c r="J348">
        <f>IF($D348="",0,$E348*INDEX(Aux_HH!$G$4:$G$31,MATCH($A348&amp;"|"&amp;$D348,Aux_HH!$A$4:$A$31,0)))</f>
        <v>0</v>
      </c>
      <c r="K348">
        <f>IF($D348="",0,$E348*INDEX(Aux_HH!$H$4:$H$31,MATCH($A348&amp;"|"&amp;$D348,Aux_HH!$A$4:$A$31,0)))</f>
        <v>0</v>
      </c>
      <c r="L348">
        <f>IF($D348="",0,$E348*INDEX(Aux_HH!$I$4:$I$31,MATCH($A348&amp;"|"&amp;$D348,Aux_HH!$A$4:$A$31,0)))</f>
        <v>0</v>
      </c>
    </row>
    <row r="349" spans="1:12" ht="15" customHeight="1" x14ac:dyDescent="0.4">
      <c r="A349" t="str">
        <f>Premissas!$A$45</f>
        <v>Implemento</v>
      </c>
      <c r="B349">
        <v>34</v>
      </c>
      <c r="C349">
        <f>INDEX(Semanas!$E$3:$E$54,34)</f>
        <v>4</v>
      </c>
      <c r="D349" t="str">
        <f>Cronograma!AI11</f>
        <v/>
      </c>
      <c r="E349">
        <f>Premissas!$I$45</f>
        <v>18</v>
      </c>
      <c r="F349">
        <f t="shared" si="5"/>
        <v>0</v>
      </c>
      <c r="G349">
        <f>IF($D349="",0,$E349*INDEX(Aux_HH!$D$4:$D$31,MATCH($A349&amp;"|"&amp;$D349,Aux_HH!$A$4:$A$31,0)))</f>
        <v>0</v>
      </c>
      <c r="H349">
        <f>IF($D349="",0,$E349*INDEX(Aux_HH!$E$4:$E$31,MATCH($A349&amp;"|"&amp;$D349,Aux_HH!$A$4:$A$31,0)))</f>
        <v>0</v>
      </c>
      <c r="I349">
        <f>IF($D349="",0,$E349*INDEX(Aux_HH!$F$4:$F$31,MATCH($A349&amp;"|"&amp;$D349,Aux_HH!$A$4:$A$31,0)))</f>
        <v>0</v>
      </c>
      <c r="J349">
        <f>IF($D349="",0,$E349*INDEX(Aux_HH!$G$4:$G$31,MATCH($A349&amp;"|"&amp;$D349,Aux_HH!$A$4:$A$31,0)))</f>
        <v>0</v>
      </c>
      <c r="K349">
        <f>IF($D349="",0,$E349*INDEX(Aux_HH!$H$4:$H$31,MATCH($A349&amp;"|"&amp;$D349,Aux_HH!$A$4:$A$31,0)))</f>
        <v>0</v>
      </c>
      <c r="L349">
        <f>IF($D349="",0,$E349*INDEX(Aux_HH!$I$4:$I$31,MATCH($A349&amp;"|"&amp;$D349,Aux_HH!$A$4:$A$31,0)))</f>
        <v>0</v>
      </c>
    </row>
    <row r="350" spans="1:12" ht="15" customHeight="1" x14ac:dyDescent="0.4">
      <c r="A350" t="str">
        <f>Premissas!$A$45</f>
        <v>Implemento</v>
      </c>
      <c r="B350">
        <v>35</v>
      </c>
      <c r="C350">
        <f>INDEX(Semanas!$E$3:$E$54,35)</f>
        <v>4</v>
      </c>
      <c r="D350" t="str">
        <f>Cronograma!AJ11</f>
        <v/>
      </c>
      <c r="E350">
        <f>Premissas!$I$45</f>
        <v>18</v>
      </c>
      <c r="F350">
        <f t="shared" si="5"/>
        <v>0</v>
      </c>
      <c r="G350">
        <f>IF($D350="",0,$E350*INDEX(Aux_HH!$D$4:$D$31,MATCH($A350&amp;"|"&amp;$D350,Aux_HH!$A$4:$A$31,0)))</f>
        <v>0</v>
      </c>
      <c r="H350">
        <f>IF($D350="",0,$E350*INDEX(Aux_HH!$E$4:$E$31,MATCH($A350&amp;"|"&amp;$D350,Aux_HH!$A$4:$A$31,0)))</f>
        <v>0</v>
      </c>
      <c r="I350">
        <f>IF($D350="",0,$E350*INDEX(Aux_HH!$F$4:$F$31,MATCH($A350&amp;"|"&amp;$D350,Aux_HH!$A$4:$A$31,0)))</f>
        <v>0</v>
      </c>
      <c r="J350">
        <f>IF($D350="",0,$E350*INDEX(Aux_HH!$G$4:$G$31,MATCH($A350&amp;"|"&amp;$D350,Aux_HH!$A$4:$A$31,0)))</f>
        <v>0</v>
      </c>
      <c r="K350">
        <f>IF($D350="",0,$E350*INDEX(Aux_HH!$H$4:$H$31,MATCH($A350&amp;"|"&amp;$D350,Aux_HH!$A$4:$A$31,0)))</f>
        <v>0</v>
      </c>
      <c r="L350">
        <f>IF($D350="",0,$E350*INDEX(Aux_HH!$I$4:$I$31,MATCH($A350&amp;"|"&amp;$D350,Aux_HH!$A$4:$A$31,0)))</f>
        <v>0</v>
      </c>
    </row>
    <row r="351" spans="1:12" ht="15" customHeight="1" x14ac:dyDescent="0.4">
      <c r="A351" t="str">
        <f>Premissas!$A$45</f>
        <v>Implemento</v>
      </c>
      <c r="B351">
        <v>36</v>
      </c>
      <c r="C351">
        <f>INDEX(Semanas!$E$3:$E$54,36)</f>
        <v>5</v>
      </c>
      <c r="D351" t="str">
        <f>Cronograma!AK11</f>
        <v>A</v>
      </c>
      <c r="E351">
        <f>Premissas!$I$45</f>
        <v>18</v>
      </c>
      <c r="F351">
        <f t="shared" si="5"/>
        <v>18</v>
      </c>
      <c r="G351">
        <f>IF($D351="",0,$E351*INDEX(Aux_HH!$D$4:$D$31,MATCH($A351&amp;"|"&amp;$D351,Aux_HH!$A$4:$A$31,0)))</f>
        <v>54</v>
      </c>
      <c r="H351">
        <f>IF($D351="",0,$E351*INDEX(Aux_HH!$E$4:$E$31,MATCH($A351&amp;"|"&amp;$D351,Aux_HH!$A$4:$A$31,0)))</f>
        <v>0</v>
      </c>
      <c r="I351">
        <f>IF($D351="",0,$E351*INDEX(Aux_HH!$F$4:$F$31,MATCH($A351&amp;"|"&amp;$D351,Aux_HH!$A$4:$A$31,0)))</f>
        <v>0</v>
      </c>
      <c r="J351">
        <f>IF($D351="",0,$E351*INDEX(Aux_HH!$G$4:$G$31,MATCH($A351&amp;"|"&amp;$D351,Aux_HH!$A$4:$A$31,0)))</f>
        <v>0</v>
      </c>
      <c r="K351">
        <f>IF($D351="",0,$E351*INDEX(Aux_HH!$H$4:$H$31,MATCH($A351&amp;"|"&amp;$D351,Aux_HH!$A$4:$A$31,0)))</f>
        <v>0</v>
      </c>
      <c r="L351">
        <f>IF($D351="",0,$E351*INDEX(Aux_HH!$I$4:$I$31,MATCH($A351&amp;"|"&amp;$D351,Aux_HH!$A$4:$A$31,0)))</f>
        <v>0</v>
      </c>
    </row>
    <row r="352" spans="1:12" ht="15" customHeight="1" x14ac:dyDescent="0.4">
      <c r="A352" t="str">
        <f>Premissas!$A$45</f>
        <v>Implemento</v>
      </c>
      <c r="B352">
        <v>37</v>
      </c>
      <c r="C352">
        <f>INDEX(Semanas!$E$3:$E$54,37)</f>
        <v>5</v>
      </c>
      <c r="D352" t="str">
        <f>Cronograma!AL11</f>
        <v/>
      </c>
      <c r="E352">
        <f>Premissas!$I$45</f>
        <v>18</v>
      </c>
      <c r="F352">
        <f t="shared" si="5"/>
        <v>0</v>
      </c>
      <c r="G352">
        <f>IF($D352="",0,$E352*INDEX(Aux_HH!$D$4:$D$31,MATCH($A352&amp;"|"&amp;$D352,Aux_HH!$A$4:$A$31,0)))</f>
        <v>0</v>
      </c>
      <c r="H352">
        <f>IF($D352="",0,$E352*INDEX(Aux_HH!$E$4:$E$31,MATCH($A352&amp;"|"&amp;$D352,Aux_HH!$A$4:$A$31,0)))</f>
        <v>0</v>
      </c>
      <c r="I352">
        <f>IF($D352="",0,$E352*INDEX(Aux_HH!$F$4:$F$31,MATCH($A352&amp;"|"&amp;$D352,Aux_HH!$A$4:$A$31,0)))</f>
        <v>0</v>
      </c>
      <c r="J352">
        <f>IF($D352="",0,$E352*INDEX(Aux_HH!$G$4:$G$31,MATCH($A352&amp;"|"&amp;$D352,Aux_HH!$A$4:$A$31,0)))</f>
        <v>0</v>
      </c>
      <c r="K352">
        <f>IF($D352="",0,$E352*INDEX(Aux_HH!$H$4:$H$31,MATCH($A352&amp;"|"&amp;$D352,Aux_HH!$A$4:$A$31,0)))</f>
        <v>0</v>
      </c>
      <c r="L352">
        <f>IF($D352="",0,$E352*INDEX(Aux_HH!$I$4:$I$31,MATCH($A352&amp;"|"&amp;$D352,Aux_HH!$A$4:$A$31,0)))</f>
        <v>0</v>
      </c>
    </row>
    <row r="353" spans="1:12" ht="15" customHeight="1" x14ac:dyDescent="0.4">
      <c r="A353" t="str">
        <f>Premissas!$A$45</f>
        <v>Implemento</v>
      </c>
      <c r="B353">
        <v>38</v>
      </c>
      <c r="C353">
        <f>INDEX(Semanas!$E$3:$E$54,38)</f>
        <v>5</v>
      </c>
      <c r="D353" t="str">
        <f>Cronograma!AM11</f>
        <v/>
      </c>
      <c r="E353">
        <f>Premissas!$I$45</f>
        <v>18</v>
      </c>
      <c r="F353">
        <f t="shared" si="5"/>
        <v>0</v>
      </c>
      <c r="G353">
        <f>IF($D353="",0,$E353*INDEX(Aux_HH!$D$4:$D$31,MATCH($A353&amp;"|"&amp;$D353,Aux_HH!$A$4:$A$31,0)))</f>
        <v>0</v>
      </c>
      <c r="H353">
        <f>IF($D353="",0,$E353*INDEX(Aux_HH!$E$4:$E$31,MATCH($A353&amp;"|"&amp;$D353,Aux_HH!$A$4:$A$31,0)))</f>
        <v>0</v>
      </c>
      <c r="I353">
        <f>IF($D353="",0,$E353*INDEX(Aux_HH!$F$4:$F$31,MATCH($A353&amp;"|"&amp;$D353,Aux_HH!$A$4:$A$31,0)))</f>
        <v>0</v>
      </c>
      <c r="J353">
        <f>IF($D353="",0,$E353*INDEX(Aux_HH!$G$4:$G$31,MATCH($A353&amp;"|"&amp;$D353,Aux_HH!$A$4:$A$31,0)))</f>
        <v>0</v>
      </c>
      <c r="K353">
        <f>IF($D353="",0,$E353*INDEX(Aux_HH!$H$4:$H$31,MATCH($A353&amp;"|"&amp;$D353,Aux_HH!$A$4:$A$31,0)))</f>
        <v>0</v>
      </c>
      <c r="L353">
        <f>IF($D353="",0,$E353*INDEX(Aux_HH!$I$4:$I$31,MATCH($A353&amp;"|"&amp;$D353,Aux_HH!$A$4:$A$31,0)))</f>
        <v>0</v>
      </c>
    </row>
    <row r="354" spans="1:12" ht="15" customHeight="1" x14ac:dyDescent="0.4">
      <c r="A354" t="str">
        <f>Premissas!$A$45</f>
        <v>Implemento</v>
      </c>
      <c r="B354">
        <v>39</v>
      </c>
      <c r="C354">
        <f>INDEX(Semanas!$E$3:$E$54,39)</f>
        <v>5</v>
      </c>
      <c r="D354" t="str">
        <f>Cronograma!AN11</f>
        <v/>
      </c>
      <c r="E354">
        <f>Premissas!$I$45</f>
        <v>18</v>
      </c>
      <c r="F354">
        <f t="shared" si="5"/>
        <v>0</v>
      </c>
      <c r="G354">
        <f>IF($D354="",0,$E354*INDEX(Aux_HH!$D$4:$D$31,MATCH($A354&amp;"|"&amp;$D354,Aux_HH!$A$4:$A$31,0)))</f>
        <v>0</v>
      </c>
      <c r="H354">
        <f>IF($D354="",0,$E354*INDEX(Aux_HH!$E$4:$E$31,MATCH($A354&amp;"|"&amp;$D354,Aux_HH!$A$4:$A$31,0)))</f>
        <v>0</v>
      </c>
      <c r="I354">
        <f>IF($D354="",0,$E354*INDEX(Aux_HH!$F$4:$F$31,MATCH($A354&amp;"|"&amp;$D354,Aux_HH!$A$4:$A$31,0)))</f>
        <v>0</v>
      </c>
      <c r="J354">
        <f>IF($D354="",0,$E354*INDEX(Aux_HH!$G$4:$G$31,MATCH($A354&amp;"|"&amp;$D354,Aux_HH!$A$4:$A$31,0)))</f>
        <v>0</v>
      </c>
      <c r="K354">
        <f>IF($D354="",0,$E354*INDEX(Aux_HH!$H$4:$H$31,MATCH($A354&amp;"|"&amp;$D354,Aux_HH!$A$4:$A$31,0)))</f>
        <v>0</v>
      </c>
      <c r="L354">
        <f>IF($D354="",0,$E354*INDEX(Aux_HH!$I$4:$I$31,MATCH($A354&amp;"|"&amp;$D354,Aux_HH!$A$4:$A$31,0)))</f>
        <v>0</v>
      </c>
    </row>
    <row r="355" spans="1:12" ht="15" customHeight="1" x14ac:dyDescent="0.4">
      <c r="A355" t="str">
        <f>Premissas!$A$45</f>
        <v>Implemento</v>
      </c>
      <c r="B355">
        <v>40</v>
      </c>
      <c r="C355">
        <f>INDEX(Semanas!$E$3:$E$54,40)</f>
        <v>6</v>
      </c>
      <c r="D355" t="str">
        <f>Cronograma!AO11</f>
        <v/>
      </c>
      <c r="E355">
        <f>Premissas!$I$45</f>
        <v>18</v>
      </c>
      <c r="F355">
        <f t="shared" si="5"/>
        <v>0</v>
      </c>
      <c r="G355">
        <f>IF($D355="",0,$E355*INDEX(Aux_HH!$D$4:$D$31,MATCH($A355&amp;"|"&amp;$D355,Aux_HH!$A$4:$A$31,0)))</f>
        <v>0</v>
      </c>
      <c r="H355">
        <f>IF($D355="",0,$E355*INDEX(Aux_HH!$E$4:$E$31,MATCH($A355&amp;"|"&amp;$D355,Aux_HH!$A$4:$A$31,0)))</f>
        <v>0</v>
      </c>
      <c r="I355">
        <f>IF($D355="",0,$E355*INDEX(Aux_HH!$F$4:$F$31,MATCH($A355&amp;"|"&amp;$D355,Aux_HH!$A$4:$A$31,0)))</f>
        <v>0</v>
      </c>
      <c r="J355">
        <f>IF($D355="",0,$E355*INDEX(Aux_HH!$G$4:$G$31,MATCH($A355&amp;"|"&amp;$D355,Aux_HH!$A$4:$A$31,0)))</f>
        <v>0</v>
      </c>
      <c r="K355">
        <f>IF($D355="",0,$E355*INDEX(Aux_HH!$H$4:$H$31,MATCH($A355&amp;"|"&amp;$D355,Aux_HH!$A$4:$A$31,0)))</f>
        <v>0</v>
      </c>
      <c r="L355">
        <f>IF($D355="",0,$E355*INDEX(Aux_HH!$I$4:$I$31,MATCH($A355&amp;"|"&amp;$D355,Aux_HH!$A$4:$A$31,0)))</f>
        <v>0</v>
      </c>
    </row>
    <row r="356" spans="1:12" ht="15" customHeight="1" x14ac:dyDescent="0.4">
      <c r="A356" t="str">
        <f>Premissas!$A$45</f>
        <v>Implemento</v>
      </c>
      <c r="B356">
        <v>41</v>
      </c>
      <c r="C356">
        <f>INDEX(Semanas!$E$3:$E$54,41)</f>
        <v>6</v>
      </c>
      <c r="D356" t="str">
        <f>Cronograma!AP11</f>
        <v/>
      </c>
      <c r="E356">
        <f>Premissas!$I$45</f>
        <v>18</v>
      </c>
      <c r="F356">
        <f t="shared" si="5"/>
        <v>0</v>
      </c>
      <c r="G356">
        <f>IF($D356="",0,$E356*INDEX(Aux_HH!$D$4:$D$31,MATCH($A356&amp;"|"&amp;$D356,Aux_HH!$A$4:$A$31,0)))</f>
        <v>0</v>
      </c>
      <c r="H356">
        <f>IF($D356="",0,$E356*INDEX(Aux_HH!$E$4:$E$31,MATCH($A356&amp;"|"&amp;$D356,Aux_HH!$A$4:$A$31,0)))</f>
        <v>0</v>
      </c>
      <c r="I356">
        <f>IF($D356="",0,$E356*INDEX(Aux_HH!$F$4:$F$31,MATCH($A356&amp;"|"&amp;$D356,Aux_HH!$A$4:$A$31,0)))</f>
        <v>0</v>
      </c>
      <c r="J356">
        <f>IF($D356="",0,$E356*INDEX(Aux_HH!$G$4:$G$31,MATCH($A356&amp;"|"&amp;$D356,Aux_HH!$A$4:$A$31,0)))</f>
        <v>0</v>
      </c>
      <c r="K356">
        <f>IF($D356="",0,$E356*INDEX(Aux_HH!$H$4:$H$31,MATCH($A356&amp;"|"&amp;$D356,Aux_HH!$A$4:$A$31,0)))</f>
        <v>0</v>
      </c>
      <c r="L356">
        <f>IF($D356="",0,$E356*INDEX(Aux_HH!$I$4:$I$31,MATCH($A356&amp;"|"&amp;$D356,Aux_HH!$A$4:$A$31,0)))</f>
        <v>0</v>
      </c>
    </row>
    <row r="357" spans="1:12" ht="15" customHeight="1" x14ac:dyDescent="0.4">
      <c r="A357" t="str">
        <f>Premissas!$A$45</f>
        <v>Implemento</v>
      </c>
      <c r="B357">
        <v>42</v>
      </c>
      <c r="C357">
        <f>INDEX(Semanas!$E$3:$E$54,42)</f>
        <v>6</v>
      </c>
      <c r="D357" t="str">
        <f>Cronograma!AQ11</f>
        <v/>
      </c>
      <c r="E357">
        <f>Premissas!$I$45</f>
        <v>18</v>
      </c>
      <c r="F357">
        <f t="shared" si="5"/>
        <v>0</v>
      </c>
      <c r="G357">
        <f>IF($D357="",0,$E357*INDEX(Aux_HH!$D$4:$D$31,MATCH($A357&amp;"|"&amp;$D357,Aux_HH!$A$4:$A$31,0)))</f>
        <v>0</v>
      </c>
      <c r="H357">
        <f>IF($D357="",0,$E357*INDEX(Aux_HH!$E$4:$E$31,MATCH($A357&amp;"|"&amp;$D357,Aux_HH!$A$4:$A$31,0)))</f>
        <v>0</v>
      </c>
      <c r="I357">
        <f>IF($D357="",0,$E357*INDEX(Aux_HH!$F$4:$F$31,MATCH($A357&amp;"|"&amp;$D357,Aux_HH!$A$4:$A$31,0)))</f>
        <v>0</v>
      </c>
      <c r="J357">
        <f>IF($D357="",0,$E357*INDEX(Aux_HH!$G$4:$G$31,MATCH($A357&amp;"|"&amp;$D357,Aux_HH!$A$4:$A$31,0)))</f>
        <v>0</v>
      </c>
      <c r="K357">
        <f>IF($D357="",0,$E357*INDEX(Aux_HH!$H$4:$H$31,MATCH($A357&amp;"|"&amp;$D357,Aux_HH!$A$4:$A$31,0)))</f>
        <v>0</v>
      </c>
      <c r="L357">
        <f>IF($D357="",0,$E357*INDEX(Aux_HH!$I$4:$I$31,MATCH($A357&amp;"|"&amp;$D357,Aux_HH!$A$4:$A$31,0)))</f>
        <v>0</v>
      </c>
    </row>
    <row r="358" spans="1:12" ht="15" customHeight="1" x14ac:dyDescent="0.4">
      <c r="A358" t="str">
        <f>Premissas!$A$45</f>
        <v>Implemento</v>
      </c>
      <c r="B358">
        <v>43</v>
      </c>
      <c r="C358">
        <f>INDEX(Semanas!$E$3:$E$54,43)</f>
        <v>6</v>
      </c>
      <c r="D358" t="str">
        <f>Cronograma!AR11</f>
        <v/>
      </c>
      <c r="E358">
        <f>Premissas!$I$45</f>
        <v>18</v>
      </c>
      <c r="F358">
        <f t="shared" si="5"/>
        <v>0</v>
      </c>
      <c r="G358">
        <f>IF($D358="",0,$E358*INDEX(Aux_HH!$D$4:$D$31,MATCH($A358&amp;"|"&amp;$D358,Aux_HH!$A$4:$A$31,0)))</f>
        <v>0</v>
      </c>
      <c r="H358">
        <f>IF($D358="",0,$E358*INDEX(Aux_HH!$E$4:$E$31,MATCH($A358&amp;"|"&amp;$D358,Aux_HH!$A$4:$A$31,0)))</f>
        <v>0</v>
      </c>
      <c r="I358">
        <f>IF($D358="",0,$E358*INDEX(Aux_HH!$F$4:$F$31,MATCH($A358&amp;"|"&amp;$D358,Aux_HH!$A$4:$A$31,0)))</f>
        <v>0</v>
      </c>
      <c r="J358">
        <f>IF($D358="",0,$E358*INDEX(Aux_HH!$G$4:$G$31,MATCH($A358&amp;"|"&amp;$D358,Aux_HH!$A$4:$A$31,0)))</f>
        <v>0</v>
      </c>
      <c r="K358">
        <f>IF($D358="",0,$E358*INDEX(Aux_HH!$H$4:$H$31,MATCH($A358&amp;"|"&amp;$D358,Aux_HH!$A$4:$A$31,0)))</f>
        <v>0</v>
      </c>
      <c r="L358">
        <f>IF($D358="",0,$E358*INDEX(Aux_HH!$I$4:$I$31,MATCH($A358&amp;"|"&amp;$D358,Aux_HH!$A$4:$A$31,0)))</f>
        <v>0</v>
      </c>
    </row>
    <row r="359" spans="1:12" ht="15" customHeight="1" x14ac:dyDescent="0.4">
      <c r="A359" t="str">
        <f>Premissas!$A$45</f>
        <v>Implemento</v>
      </c>
      <c r="B359">
        <v>44</v>
      </c>
      <c r="C359">
        <f>INDEX(Semanas!$E$3:$E$54,44)</f>
        <v>6</v>
      </c>
      <c r="D359" t="str">
        <f>Cronograma!AS11</f>
        <v/>
      </c>
      <c r="E359">
        <f>Premissas!$I$45</f>
        <v>18</v>
      </c>
      <c r="F359">
        <f t="shared" si="5"/>
        <v>0</v>
      </c>
      <c r="G359">
        <f>IF($D359="",0,$E359*INDEX(Aux_HH!$D$4:$D$31,MATCH($A359&amp;"|"&amp;$D359,Aux_HH!$A$4:$A$31,0)))</f>
        <v>0</v>
      </c>
      <c r="H359">
        <f>IF($D359="",0,$E359*INDEX(Aux_HH!$E$4:$E$31,MATCH($A359&amp;"|"&amp;$D359,Aux_HH!$A$4:$A$31,0)))</f>
        <v>0</v>
      </c>
      <c r="I359">
        <f>IF($D359="",0,$E359*INDEX(Aux_HH!$F$4:$F$31,MATCH($A359&amp;"|"&amp;$D359,Aux_HH!$A$4:$A$31,0)))</f>
        <v>0</v>
      </c>
      <c r="J359">
        <f>IF($D359="",0,$E359*INDEX(Aux_HH!$G$4:$G$31,MATCH($A359&amp;"|"&amp;$D359,Aux_HH!$A$4:$A$31,0)))</f>
        <v>0</v>
      </c>
      <c r="K359">
        <f>IF($D359="",0,$E359*INDEX(Aux_HH!$H$4:$H$31,MATCH($A359&amp;"|"&amp;$D359,Aux_HH!$A$4:$A$31,0)))</f>
        <v>0</v>
      </c>
      <c r="L359">
        <f>IF($D359="",0,$E359*INDEX(Aux_HH!$I$4:$I$31,MATCH($A359&amp;"|"&amp;$D359,Aux_HH!$A$4:$A$31,0)))</f>
        <v>0</v>
      </c>
    </row>
    <row r="360" spans="1:12" ht="15" customHeight="1" x14ac:dyDescent="0.4">
      <c r="A360" t="str">
        <f>Premissas!$A$45</f>
        <v>Implemento</v>
      </c>
      <c r="B360">
        <v>45</v>
      </c>
      <c r="C360">
        <f>INDEX(Semanas!$E$3:$E$54,45)</f>
        <v>7</v>
      </c>
      <c r="D360" t="str">
        <f>Cronograma!AT11</f>
        <v/>
      </c>
      <c r="E360">
        <f>Premissas!$I$45</f>
        <v>18</v>
      </c>
      <c r="F360">
        <f t="shared" si="5"/>
        <v>0</v>
      </c>
      <c r="G360">
        <f>IF($D360="",0,$E360*INDEX(Aux_HH!$D$4:$D$31,MATCH($A360&amp;"|"&amp;$D360,Aux_HH!$A$4:$A$31,0)))</f>
        <v>0</v>
      </c>
      <c r="H360">
        <f>IF($D360="",0,$E360*INDEX(Aux_HH!$E$4:$E$31,MATCH($A360&amp;"|"&amp;$D360,Aux_HH!$A$4:$A$31,0)))</f>
        <v>0</v>
      </c>
      <c r="I360">
        <f>IF($D360="",0,$E360*INDEX(Aux_HH!$F$4:$F$31,MATCH($A360&amp;"|"&amp;$D360,Aux_HH!$A$4:$A$31,0)))</f>
        <v>0</v>
      </c>
      <c r="J360">
        <f>IF($D360="",0,$E360*INDEX(Aux_HH!$G$4:$G$31,MATCH($A360&amp;"|"&amp;$D360,Aux_HH!$A$4:$A$31,0)))</f>
        <v>0</v>
      </c>
      <c r="K360">
        <f>IF($D360="",0,$E360*INDEX(Aux_HH!$H$4:$H$31,MATCH($A360&amp;"|"&amp;$D360,Aux_HH!$A$4:$A$31,0)))</f>
        <v>0</v>
      </c>
      <c r="L360">
        <f>IF($D360="",0,$E360*INDEX(Aux_HH!$I$4:$I$31,MATCH($A360&amp;"|"&amp;$D360,Aux_HH!$A$4:$A$31,0)))</f>
        <v>0</v>
      </c>
    </row>
    <row r="361" spans="1:12" ht="15" customHeight="1" x14ac:dyDescent="0.4">
      <c r="A361" t="str">
        <f>Premissas!$A$45</f>
        <v>Implemento</v>
      </c>
      <c r="B361">
        <v>46</v>
      </c>
      <c r="C361">
        <f>INDEX(Semanas!$E$3:$E$54,46)</f>
        <v>7</v>
      </c>
      <c r="D361" t="str">
        <f>Cronograma!AU11</f>
        <v/>
      </c>
      <c r="E361">
        <f>Premissas!$I$45</f>
        <v>18</v>
      </c>
      <c r="F361">
        <f t="shared" si="5"/>
        <v>0</v>
      </c>
      <c r="G361">
        <f>IF($D361="",0,$E361*INDEX(Aux_HH!$D$4:$D$31,MATCH($A361&amp;"|"&amp;$D361,Aux_HH!$A$4:$A$31,0)))</f>
        <v>0</v>
      </c>
      <c r="H361">
        <f>IF($D361="",0,$E361*INDEX(Aux_HH!$E$4:$E$31,MATCH($A361&amp;"|"&amp;$D361,Aux_HH!$A$4:$A$31,0)))</f>
        <v>0</v>
      </c>
      <c r="I361">
        <f>IF($D361="",0,$E361*INDEX(Aux_HH!$F$4:$F$31,MATCH($A361&amp;"|"&amp;$D361,Aux_HH!$A$4:$A$31,0)))</f>
        <v>0</v>
      </c>
      <c r="J361">
        <f>IF($D361="",0,$E361*INDEX(Aux_HH!$G$4:$G$31,MATCH($A361&amp;"|"&amp;$D361,Aux_HH!$A$4:$A$31,0)))</f>
        <v>0</v>
      </c>
      <c r="K361">
        <f>IF($D361="",0,$E361*INDEX(Aux_HH!$H$4:$H$31,MATCH($A361&amp;"|"&amp;$D361,Aux_HH!$A$4:$A$31,0)))</f>
        <v>0</v>
      </c>
      <c r="L361">
        <f>IF($D361="",0,$E361*INDEX(Aux_HH!$I$4:$I$31,MATCH($A361&amp;"|"&amp;$D361,Aux_HH!$A$4:$A$31,0)))</f>
        <v>0</v>
      </c>
    </row>
    <row r="362" spans="1:12" ht="15" customHeight="1" x14ac:dyDescent="0.4">
      <c r="A362" t="str">
        <f>Premissas!$A$45</f>
        <v>Implemento</v>
      </c>
      <c r="B362">
        <v>47</v>
      </c>
      <c r="C362">
        <f>INDEX(Semanas!$E$3:$E$54,47)</f>
        <v>7</v>
      </c>
      <c r="D362" t="str">
        <f>Cronograma!AV11</f>
        <v/>
      </c>
      <c r="E362">
        <f>Premissas!$I$45</f>
        <v>18</v>
      </c>
      <c r="F362">
        <f t="shared" si="5"/>
        <v>0</v>
      </c>
      <c r="G362">
        <f>IF($D362="",0,$E362*INDEX(Aux_HH!$D$4:$D$31,MATCH($A362&amp;"|"&amp;$D362,Aux_HH!$A$4:$A$31,0)))</f>
        <v>0</v>
      </c>
      <c r="H362">
        <f>IF($D362="",0,$E362*INDEX(Aux_HH!$E$4:$E$31,MATCH($A362&amp;"|"&amp;$D362,Aux_HH!$A$4:$A$31,0)))</f>
        <v>0</v>
      </c>
      <c r="I362">
        <f>IF($D362="",0,$E362*INDEX(Aux_HH!$F$4:$F$31,MATCH($A362&amp;"|"&amp;$D362,Aux_HH!$A$4:$A$31,0)))</f>
        <v>0</v>
      </c>
      <c r="J362">
        <f>IF($D362="",0,$E362*INDEX(Aux_HH!$G$4:$G$31,MATCH($A362&amp;"|"&amp;$D362,Aux_HH!$A$4:$A$31,0)))</f>
        <v>0</v>
      </c>
      <c r="K362">
        <f>IF($D362="",0,$E362*INDEX(Aux_HH!$H$4:$H$31,MATCH($A362&amp;"|"&amp;$D362,Aux_HH!$A$4:$A$31,0)))</f>
        <v>0</v>
      </c>
      <c r="L362">
        <f>IF($D362="",0,$E362*INDEX(Aux_HH!$I$4:$I$31,MATCH($A362&amp;"|"&amp;$D362,Aux_HH!$A$4:$A$31,0)))</f>
        <v>0</v>
      </c>
    </row>
    <row r="363" spans="1:12" ht="15" customHeight="1" x14ac:dyDescent="0.4">
      <c r="A363" t="str">
        <f>Premissas!$A$45</f>
        <v>Implemento</v>
      </c>
      <c r="B363">
        <v>48</v>
      </c>
      <c r="C363">
        <f>INDEX(Semanas!$E$3:$E$54,48)</f>
        <v>7</v>
      </c>
      <c r="D363" t="str">
        <f>Cronograma!AW11</f>
        <v/>
      </c>
      <c r="E363">
        <f>Premissas!$I$45</f>
        <v>18</v>
      </c>
      <c r="F363">
        <f t="shared" si="5"/>
        <v>0</v>
      </c>
      <c r="G363">
        <f>IF($D363="",0,$E363*INDEX(Aux_HH!$D$4:$D$31,MATCH($A363&amp;"|"&amp;$D363,Aux_HH!$A$4:$A$31,0)))</f>
        <v>0</v>
      </c>
      <c r="H363">
        <f>IF($D363="",0,$E363*INDEX(Aux_HH!$E$4:$E$31,MATCH($A363&amp;"|"&amp;$D363,Aux_HH!$A$4:$A$31,0)))</f>
        <v>0</v>
      </c>
      <c r="I363">
        <f>IF($D363="",0,$E363*INDEX(Aux_HH!$F$4:$F$31,MATCH($A363&amp;"|"&amp;$D363,Aux_HH!$A$4:$A$31,0)))</f>
        <v>0</v>
      </c>
      <c r="J363">
        <f>IF($D363="",0,$E363*INDEX(Aux_HH!$G$4:$G$31,MATCH($A363&amp;"|"&amp;$D363,Aux_HH!$A$4:$A$31,0)))</f>
        <v>0</v>
      </c>
      <c r="K363">
        <f>IF($D363="",0,$E363*INDEX(Aux_HH!$H$4:$H$31,MATCH($A363&amp;"|"&amp;$D363,Aux_HH!$A$4:$A$31,0)))</f>
        <v>0</v>
      </c>
      <c r="L363">
        <f>IF($D363="",0,$E363*INDEX(Aux_HH!$I$4:$I$31,MATCH($A363&amp;"|"&amp;$D363,Aux_HH!$A$4:$A$31,0)))</f>
        <v>0</v>
      </c>
    </row>
    <row r="364" spans="1:12" ht="15" customHeight="1" x14ac:dyDescent="0.4">
      <c r="A364" t="str">
        <f>Premissas!$A$45</f>
        <v>Implemento</v>
      </c>
      <c r="B364">
        <v>49</v>
      </c>
      <c r="C364">
        <f>INDEX(Semanas!$E$3:$E$54,49)</f>
        <v>8</v>
      </c>
      <c r="D364" t="str">
        <f>Cronograma!AX11</f>
        <v/>
      </c>
      <c r="E364">
        <f>Premissas!$I$45</f>
        <v>18</v>
      </c>
      <c r="F364">
        <f t="shared" si="5"/>
        <v>0</v>
      </c>
      <c r="G364">
        <f>IF($D364="",0,$E364*INDEX(Aux_HH!$D$4:$D$31,MATCH($A364&amp;"|"&amp;$D364,Aux_HH!$A$4:$A$31,0)))</f>
        <v>0</v>
      </c>
      <c r="H364">
        <f>IF($D364="",0,$E364*INDEX(Aux_HH!$E$4:$E$31,MATCH($A364&amp;"|"&amp;$D364,Aux_HH!$A$4:$A$31,0)))</f>
        <v>0</v>
      </c>
      <c r="I364">
        <f>IF($D364="",0,$E364*INDEX(Aux_HH!$F$4:$F$31,MATCH($A364&amp;"|"&amp;$D364,Aux_HH!$A$4:$A$31,0)))</f>
        <v>0</v>
      </c>
      <c r="J364">
        <f>IF($D364="",0,$E364*INDEX(Aux_HH!$G$4:$G$31,MATCH($A364&amp;"|"&amp;$D364,Aux_HH!$A$4:$A$31,0)))</f>
        <v>0</v>
      </c>
      <c r="K364">
        <f>IF($D364="",0,$E364*INDEX(Aux_HH!$H$4:$H$31,MATCH($A364&amp;"|"&amp;$D364,Aux_HH!$A$4:$A$31,0)))</f>
        <v>0</v>
      </c>
      <c r="L364">
        <f>IF($D364="",0,$E364*INDEX(Aux_HH!$I$4:$I$31,MATCH($A364&amp;"|"&amp;$D364,Aux_HH!$A$4:$A$31,0)))</f>
        <v>0</v>
      </c>
    </row>
    <row r="365" spans="1:12" ht="15" customHeight="1" x14ac:dyDescent="0.4">
      <c r="A365" t="str">
        <f>Premissas!$A$45</f>
        <v>Implemento</v>
      </c>
      <c r="B365">
        <v>50</v>
      </c>
      <c r="C365">
        <f>INDEX(Semanas!$E$3:$E$54,50)</f>
        <v>8</v>
      </c>
      <c r="D365" t="str">
        <f>Cronograma!AY11</f>
        <v/>
      </c>
      <c r="E365">
        <f>Premissas!$I$45</f>
        <v>18</v>
      </c>
      <c r="F365">
        <f t="shared" si="5"/>
        <v>0</v>
      </c>
      <c r="G365">
        <f>IF($D365="",0,$E365*INDEX(Aux_HH!$D$4:$D$31,MATCH($A365&amp;"|"&amp;$D365,Aux_HH!$A$4:$A$31,0)))</f>
        <v>0</v>
      </c>
      <c r="H365">
        <f>IF($D365="",0,$E365*INDEX(Aux_HH!$E$4:$E$31,MATCH($A365&amp;"|"&amp;$D365,Aux_HH!$A$4:$A$31,0)))</f>
        <v>0</v>
      </c>
      <c r="I365">
        <f>IF($D365="",0,$E365*INDEX(Aux_HH!$F$4:$F$31,MATCH($A365&amp;"|"&amp;$D365,Aux_HH!$A$4:$A$31,0)))</f>
        <v>0</v>
      </c>
      <c r="J365">
        <f>IF($D365="",0,$E365*INDEX(Aux_HH!$G$4:$G$31,MATCH($A365&amp;"|"&amp;$D365,Aux_HH!$A$4:$A$31,0)))</f>
        <v>0</v>
      </c>
      <c r="K365">
        <f>IF($D365="",0,$E365*INDEX(Aux_HH!$H$4:$H$31,MATCH($A365&amp;"|"&amp;$D365,Aux_HH!$A$4:$A$31,0)))</f>
        <v>0</v>
      </c>
      <c r="L365">
        <f>IF($D365="",0,$E365*INDEX(Aux_HH!$I$4:$I$31,MATCH($A365&amp;"|"&amp;$D365,Aux_HH!$A$4:$A$31,0)))</f>
        <v>0</v>
      </c>
    </row>
    <row r="366" spans="1:12" ht="15" customHeight="1" x14ac:dyDescent="0.4">
      <c r="A366" t="str">
        <f>Premissas!$A$45</f>
        <v>Implemento</v>
      </c>
      <c r="B366">
        <v>51</v>
      </c>
      <c r="C366">
        <f>INDEX(Semanas!$E$3:$E$54,51)</f>
        <v>8</v>
      </c>
      <c r="D366" t="str">
        <f>Cronograma!AZ11</f>
        <v/>
      </c>
      <c r="E366">
        <f>Premissas!$I$45</f>
        <v>18</v>
      </c>
      <c r="F366">
        <f t="shared" si="5"/>
        <v>0</v>
      </c>
      <c r="G366">
        <f>IF($D366="",0,$E366*INDEX(Aux_HH!$D$4:$D$31,MATCH($A366&amp;"|"&amp;$D366,Aux_HH!$A$4:$A$31,0)))</f>
        <v>0</v>
      </c>
      <c r="H366">
        <f>IF($D366="",0,$E366*INDEX(Aux_HH!$E$4:$E$31,MATCH($A366&amp;"|"&amp;$D366,Aux_HH!$A$4:$A$31,0)))</f>
        <v>0</v>
      </c>
      <c r="I366">
        <f>IF($D366="",0,$E366*INDEX(Aux_HH!$F$4:$F$31,MATCH($A366&amp;"|"&amp;$D366,Aux_HH!$A$4:$A$31,0)))</f>
        <v>0</v>
      </c>
      <c r="J366">
        <f>IF($D366="",0,$E366*INDEX(Aux_HH!$G$4:$G$31,MATCH($A366&amp;"|"&amp;$D366,Aux_HH!$A$4:$A$31,0)))</f>
        <v>0</v>
      </c>
      <c r="K366">
        <f>IF($D366="",0,$E366*INDEX(Aux_HH!$H$4:$H$31,MATCH($A366&amp;"|"&amp;$D366,Aux_HH!$A$4:$A$31,0)))</f>
        <v>0</v>
      </c>
      <c r="L366">
        <f>IF($D366="",0,$E366*INDEX(Aux_HH!$I$4:$I$31,MATCH($A366&amp;"|"&amp;$D366,Aux_HH!$A$4:$A$31,0)))</f>
        <v>0</v>
      </c>
    </row>
    <row r="367" spans="1:12" ht="15" customHeight="1" x14ac:dyDescent="0.4">
      <c r="A367" t="str">
        <f>Premissas!$A$45</f>
        <v>Implemento</v>
      </c>
      <c r="B367">
        <v>52</v>
      </c>
      <c r="C367">
        <f>INDEX(Semanas!$E$3:$E$54,52)</f>
        <v>8</v>
      </c>
      <c r="D367" t="str">
        <f>Cronograma!BA11</f>
        <v/>
      </c>
      <c r="E367">
        <f>Premissas!$I$45</f>
        <v>18</v>
      </c>
      <c r="F367">
        <f t="shared" si="5"/>
        <v>0</v>
      </c>
      <c r="G367">
        <f>IF($D367="",0,$E367*INDEX(Aux_HH!$D$4:$D$31,MATCH($A367&amp;"|"&amp;$D367,Aux_HH!$A$4:$A$31,0)))</f>
        <v>0</v>
      </c>
      <c r="H367">
        <f>IF($D367="",0,$E367*INDEX(Aux_HH!$E$4:$E$31,MATCH($A367&amp;"|"&amp;$D367,Aux_HH!$A$4:$A$31,0)))</f>
        <v>0</v>
      </c>
      <c r="I367">
        <f>IF($D367="",0,$E367*INDEX(Aux_HH!$F$4:$F$31,MATCH($A367&amp;"|"&amp;$D367,Aux_HH!$A$4:$A$31,0)))</f>
        <v>0</v>
      </c>
      <c r="J367">
        <f>IF($D367="",0,$E367*INDEX(Aux_HH!$G$4:$G$31,MATCH($A367&amp;"|"&amp;$D367,Aux_HH!$A$4:$A$31,0)))</f>
        <v>0</v>
      </c>
      <c r="K367">
        <f>IF($D367="",0,$E367*INDEX(Aux_HH!$H$4:$H$31,MATCH($A367&amp;"|"&amp;$D367,Aux_HH!$A$4:$A$31,0)))</f>
        <v>0</v>
      </c>
      <c r="L367">
        <f>IF($D367="",0,$E367*INDEX(Aux_HH!$I$4:$I$31,MATCH($A367&amp;"|"&amp;$D367,Aux_HH!$A$4:$A$31,0)))</f>
        <v>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Menu</vt:lpstr>
      <vt:lpstr>Leia-me</vt:lpstr>
      <vt:lpstr>Calibração_OS</vt:lpstr>
      <vt:lpstr>Premissas</vt:lpstr>
      <vt:lpstr>Frota</vt:lpstr>
      <vt:lpstr>Pessoas</vt:lpstr>
      <vt:lpstr>Checklist</vt:lpstr>
      <vt:lpstr>Cronograma</vt:lpstr>
      <vt:lpstr>Cronograma_Ativos</vt:lpstr>
      <vt:lpstr>Agenda</vt:lpstr>
      <vt:lpstr>Mapa_Preventivas</vt:lpstr>
      <vt:lpstr>Plan_Prev</vt:lpstr>
      <vt:lpstr>Plan_Corr</vt:lpstr>
      <vt:lpstr>Disponibilidade</vt:lpstr>
      <vt:lpstr>Recursos</vt:lpstr>
      <vt:lpstr>Insumos</vt:lpstr>
      <vt:lpstr>Saving</vt:lpstr>
      <vt:lpstr>Resumo</vt:lpstr>
      <vt:lpstr>Semanas</vt:lpstr>
      <vt:lpstr>Cron_Uso</vt:lpstr>
      <vt:lpstr>Aux_HH</vt:lpstr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Fabio Iacono</cp:lastModifiedBy>
  <cp:revision>0</cp:revision>
  <dcterms:created xsi:type="dcterms:W3CDTF">2026-07-06T13:08:51Z</dcterms:created>
  <dcterms:modified xsi:type="dcterms:W3CDTF">2026-07-06T13:33:44Z</dcterms:modified>
  <dc:language>en-US</dc:language>
</cp:coreProperties>
</file>